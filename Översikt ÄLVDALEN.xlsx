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46224</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46224</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46224</v>
      </c>
      <c r="F4" t="inlineStr">
        <is>
          <t>DALARNAS LÄN</t>
        </is>
      </c>
      <c r="G4" t="inlineStr">
        <is>
          <t>ÄLVDALEN</t>
        </is>
      </c>
      <c r="H4" t="inlineStr">
        <is>
          <t>Bergvik skog väst AB</t>
        </is>
      </c>
      <c r="I4" t="n">
        <v>8</v>
      </c>
      <c r="J4" t="n">
        <v>18</v>
      </c>
      <c r="K4" t="n">
        <v>8</v>
      </c>
      <c r="L4" t="n">
        <v>7</v>
      </c>
      <c r="M4" t="n">
        <v>3</v>
      </c>
      <c r="N4" t="n">
        <v>0</v>
      </c>
      <c r="O4" t="n">
        <v>0</v>
      </c>
      <c r="P4" t="n">
        <v>0</v>
      </c>
      <c r="Q4" t="n">
        <v>10</v>
      </c>
      <c r="R4" t="n">
        <v>3</v>
      </c>
      <c r="S4" t="n">
        <v>30</v>
      </c>
      <c r="T4" t="n">
        <v>77</v>
      </c>
      <c r="U4" t="n">
        <v>77</v>
      </c>
      <c r="V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46224</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46224</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46224</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46224</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46224</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46224</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46224</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31144-2024</t>
        </is>
      </c>
      <c r="B12" t="inlineStr">
        <is>
          <t>avverkningsanmälan</t>
        </is>
      </c>
      <c r="C12" t="inlineStr">
        <is>
          <t>Föryngringsavverkning</t>
        </is>
      </c>
      <c r="D12" s="1" t="n">
        <v>45502</v>
      </c>
      <c r="E12" s="1" t="n">
        <v>46224</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46224</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46224</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46224</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46224</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53732-2025</t>
        </is>
      </c>
      <c r="B17" t="inlineStr">
        <is>
          <t>avverkningsanmälan</t>
        </is>
      </c>
      <c r="C17" t="inlineStr">
        <is>
          <t>Föryngringsavverkning</t>
        </is>
      </c>
      <c r="D17" s="1" t="n">
        <v>45960</v>
      </c>
      <c r="E17" s="1" t="n">
        <v>46224</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55981-2025</t>
        </is>
      </c>
      <c r="B18" t="inlineStr">
        <is>
          <t>avverkningsanmälan</t>
        </is>
      </c>
      <c r="C18" t="inlineStr">
        <is>
          <t>Föryngringsavverkning</t>
        </is>
      </c>
      <c r="D18" s="1" t="n">
        <v>45973</v>
      </c>
      <c r="E18" s="1" t="n">
        <v>46224</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63895-2023</t>
        </is>
      </c>
      <c r="B19" t="inlineStr">
        <is>
          <t>avverkningsanmälan</t>
        </is>
      </c>
      <c r="C19" t="inlineStr">
        <is>
          <t>Avverkning för annat ändamål</t>
        </is>
      </c>
      <c r="D19" s="1" t="n">
        <v>45278</v>
      </c>
      <c r="E19" s="1" t="n">
        <v>46224</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46224</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46224</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46224</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46224</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46224</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46224</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50492-2025</t>
        </is>
      </c>
      <c r="B26" t="inlineStr">
        <is>
          <t>avverkningsanmälan</t>
        </is>
      </c>
      <c r="C26" t="inlineStr">
        <is>
          <t>Föryngringsavverkning</t>
        </is>
      </c>
      <c r="D26" s="1" t="n">
        <v>45945</v>
      </c>
      <c r="E26" s="1" t="n">
        <v>46224</v>
      </c>
      <c r="F26" t="inlineStr">
        <is>
          <t>DALARNAS LÄN</t>
        </is>
      </c>
      <c r="G26" t="inlineStr">
        <is>
          <t>ÄLVDALEN</t>
        </is>
      </c>
      <c r="H26" t="inlineStr">
        <is>
          <t>Allmännings- och besparingsskogar</t>
        </is>
      </c>
      <c r="I26" t="n">
        <v>6.2</v>
      </c>
      <c r="J26" t="n">
        <v>2</v>
      </c>
      <c r="K26" t="n">
        <v>2</v>
      </c>
      <c r="L26" t="n">
        <v>10</v>
      </c>
      <c r="M26" t="n">
        <v>1</v>
      </c>
      <c r="N26" t="n">
        <v>0</v>
      </c>
      <c r="O26" t="n">
        <v>0</v>
      </c>
      <c r="P26" t="n">
        <v>0</v>
      </c>
      <c r="Q26" t="n">
        <v>11</v>
      </c>
      <c r="R26" t="n">
        <v>1</v>
      </c>
      <c r="S26" t="n">
        <v>15</v>
      </c>
      <c r="T26" t="n">
        <v>255</v>
      </c>
      <c r="U26" t="n">
        <v>255</v>
      </c>
      <c r="V26" s="2" t="inlineStr">
        <is>
          <t>Garnlav
Dropptaggsvamp
Dvärgbägarlav
Kolflarnlav
Mörk kolflarnlav
Rosenticka
Skuggblåslav
Tallkötticka
Tallticka
Vedskivlav
Vitplätt
Mindre märgborre
Vedticka
Spillkråka
Tjäder</t>
        </is>
      </c>
      <c r="W26">
        <f>HYPERLINK("https://klasma.github.io/Logging_2039/artfynd/A 50492-2025 artfynd.xlsx", "A 50492-2025")</f>
        <v/>
      </c>
      <c r="X26">
        <f>HYPERLINK("https://klasma.github.io/Logging_2039/kartor/A 50492-2025 karta.png", "A 50492-2025")</f>
        <v/>
      </c>
      <c r="Y26">
        <f>HYPERLINK("https://klasma.github.io/Logging_2039/kartor_geotiff/A 50492-2025 georefererad karta.tif", "A 50492-2025")</f>
        <v/>
      </c>
      <c r="AA26">
        <f>HYPERLINK("https://klasma.github.io/Logging_2039/klagomål/A 50492-2025 FSC-klagomål.docx", "A 50492-2025")</f>
        <v/>
      </c>
      <c r="AB26">
        <f>HYPERLINK("https://klasma.github.io/Logging_2039/klagomålsmail/A 50492-2025 FSC-klagomål mail.docx", "A 50492-2025")</f>
        <v/>
      </c>
      <c r="AC26">
        <f>HYPERLINK("https://klasma.github.io/Logging_2039/tillsyn/A 50492-2025 tillsynsbegäran.docx", "A 50492-2025")</f>
        <v/>
      </c>
      <c r="AD26">
        <f>HYPERLINK("https://klasma.github.io/Logging_2039/tillsynsmail/A 50492-2025 tillsynsbegäran mail.docx", "A 50492-2025")</f>
        <v/>
      </c>
      <c r="AE26">
        <f>HYPERLINK("https://klasma.github.io/Logging_2039/fåglar/A 50492-2025 prioriterade fågelarter.docx", "A 50492-2025")</f>
        <v/>
      </c>
    </row>
    <row r="27" ht="15" customHeight="1">
      <c r="A27" t="inlineStr">
        <is>
          <t>A 56939-2025</t>
        </is>
      </c>
      <c r="B27" t="inlineStr">
        <is>
          <t>avverkningsanmälan</t>
        </is>
      </c>
      <c r="C27" t="inlineStr">
        <is>
          <t>Föryngringsavverkning</t>
        </is>
      </c>
      <c r="D27" s="1" t="n">
        <v>45978</v>
      </c>
      <c r="E27" s="1" t="n">
        <v>46224</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46224</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5813-2025</t>
        </is>
      </c>
      <c r="B29" t="inlineStr">
        <is>
          <t>avverkningsanmälan</t>
        </is>
      </c>
      <c r="C29" t="inlineStr">
        <is>
          <t>Föryngringsavverkning</t>
        </is>
      </c>
      <c r="D29" s="1" t="n">
        <v>45694</v>
      </c>
      <c r="E29" s="1" t="n">
        <v>46224</v>
      </c>
      <c r="F29" t="inlineStr">
        <is>
          <t>DALARNAS LÄN</t>
        </is>
      </c>
      <c r="G29" t="inlineStr">
        <is>
          <t>ÄLVDALEN</t>
        </is>
      </c>
      <c r="H29" t="inlineStr">
        <is>
          <t>Övriga statliga verk och myndigheter</t>
        </is>
      </c>
      <c r="I29" t="n">
        <v>3.1</v>
      </c>
      <c r="J29" t="n">
        <v>4</v>
      </c>
      <c r="K29" t="n">
        <v>5</v>
      </c>
      <c r="L29" t="n">
        <v>4</v>
      </c>
      <c r="M29" t="n">
        <v>4</v>
      </c>
      <c r="N29" t="n">
        <v>0</v>
      </c>
      <c r="O29" t="n">
        <v>0</v>
      </c>
      <c r="P29" t="n">
        <v>0</v>
      </c>
      <c r="Q29" t="n">
        <v>8</v>
      </c>
      <c r="R29" t="n">
        <v>4</v>
      </c>
      <c r="S29" t="n">
        <v>15</v>
      </c>
      <c r="T29" t="n">
        <v>54</v>
      </c>
      <c r="U29" t="n">
        <v>54</v>
      </c>
      <c r="V29" s="2" t="inlineStr">
        <is>
          <t>Garnlav
Gränsticka
Knärot
Ulltickeporing
Doftskinn
Tretåig hackspett
Ullticka
Vedtrappmossa
Bronshjon
Korallblylav
Källpraktmossa
Luddlav
Vedticka
Spillkråka
Revlummer</t>
        </is>
      </c>
      <c r="W29">
        <f>HYPERLINK("https://klasma.github.io/Logging_2039/artfynd/A 5813-2025 artfynd.xlsx", "A 5813-2025")</f>
        <v/>
      </c>
      <c r="X29">
        <f>HYPERLINK("https://klasma.github.io/Logging_2039/kartor/A 5813-2025 karta.png", "A 5813-2025")</f>
        <v/>
      </c>
      <c r="Y29">
        <f>HYPERLINK("https://klasma.github.io/Logging_2039/kartor_geotiff/A 5813-2025 georefererad karta.tif", "A 5813-2025")</f>
        <v/>
      </c>
      <c r="Z29">
        <f>HYPERLINK("https://klasma.github.io/Logging_2039/knärot/A 5813-2025 karta knärot.png", "A 5813-2025")</f>
        <v/>
      </c>
      <c r="AA29">
        <f>HYPERLINK("https://klasma.github.io/Logging_2039/klagomål/A 5813-2025 FSC-klagomål.docx", "A 5813-2025")</f>
        <v/>
      </c>
      <c r="AB29">
        <f>HYPERLINK("https://klasma.github.io/Logging_2039/klagomålsmail/A 5813-2025 FSC-klagomål mail.docx", "A 5813-2025")</f>
        <v/>
      </c>
      <c r="AC29">
        <f>HYPERLINK("https://klasma.github.io/Logging_2039/tillsyn/A 5813-2025 tillsynsbegäran.docx", "A 5813-2025")</f>
        <v/>
      </c>
      <c r="AD29">
        <f>HYPERLINK("https://klasma.github.io/Logging_2039/tillsynsmail/A 5813-2025 tillsynsbegäran mail.docx", "A 5813-2025")</f>
        <v/>
      </c>
      <c r="AE29">
        <f>HYPERLINK("https://klasma.github.io/Logging_2039/fåglar/A 5813-2025 prioriterade fågelarter.docx", "A 5813-2025")</f>
        <v/>
      </c>
    </row>
    <row r="30" ht="15" customHeight="1">
      <c r="A30" t="inlineStr">
        <is>
          <t>A 31037-2023</t>
        </is>
      </c>
      <c r="B30" t="inlineStr">
        <is>
          <t>avverkningsanmälan</t>
        </is>
      </c>
      <c r="C30" t="inlineStr">
        <is>
          <t>Föryngringsavverkning</t>
        </is>
      </c>
      <c r="D30" s="1" t="n">
        <v>45113</v>
      </c>
      <c r="E30" s="1" t="n">
        <v>46224</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46224</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46224</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69728-2021</t>
        </is>
      </c>
      <c r="B33" t="inlineStr">
        <is>
          <t>avverkningsanmälan</t>
        </is>
      </c>
      <c r="C33" t="inlineStr">
        <is>
          <t>Föryngringsavverkning</t>
        </is>
      </c>
      <c r="D33" s="1" t="n">
        <v>44532</v>
      </c>
      <c r="E33" s="1" t="n">
        <v>46224</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41638-2025</t>
        </is>
      </c>
      <c r="B34" t="inlineStr">
        <is>
          <t>avverkningsanmälan</t>
        </is>
      </c>
      <c r="C34" t="inlineStr">
        <is>
          <t>Föryngringsavverkning</t>
        </is>
      </c>
      <c r="D34" s="1" t="n">
        <v>45901</v>
      </c>
      <c r="E34" s="1" t="n">
        <v>46224</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46224</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46224</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16123-2026</t>
        </is>
      </c>
      <c r="B37" t="inlineStr">
        <is>
          <t>avverkningsanmälan</t>
        </is>
      </c>
      <c r="C37" t="inlineStr">
        <is>
          <t>Föryngringsavverkning</t>
        </is>
      </c>
      <c r="D37" s="1" t="n">
        <v>46108</v>
      </c>
      <c r="E37" s="1" t="n">
        <v>46224</v>
      </c>
      <c r="F37" t="inlineStr">
        <is>
          <t>DALARNAS LÄN</t>
        </is>
      </c>
      <c r="G37" t="inlineStr">
        <is>
          <t>ÄLVDALEN</t>
        </is>
      </c>
      <c r="H37" t="inlineStr">
        <is>
          <t>Allmännings- och besparingsskogar</t>
        </is>
      </c>
      <c r="I37" t="n">
        <v>14.5</v>
      </c>
      <c r="J37" t="n">
        <v>4</v>
      </c>
      <c r="K37" t="n">
        <v>0</v>
      </c>
      <c r="L37" t="n">
        <v>9</v>
      </c>
      <c r="M37" t="n">
        <v>1</v>
      </c>
      <c r="N37" t="n">
        <v>0</v>
      </c>
      <c r="O37" t="n">
        <v>0</v>
      </c>
      <c r="P37" t="n">
        <v>0</v>
      </c>
      <c r="Q37" t="n">
        <v>10</v>
      </c>
      <c r="R37" t="n">
        <v>1</v>
      </c>
      <c r="S37" t="n">
        <v>13</v>
      </c>
      <c r="T37" t="n">
        <v>123</v>
      </c>
      <c r="U37" t="n">
        <v>123</v>
      </c>
      <c r="V37" s="2" t="inlineStr">
        <is>
          <t>Garnlav
Blanksvart spiklav
Blågrå svartspik
Dropptaggsvamp
Dvärgbägarlav
Kolflarnlav
Mörk kolflarnlav
Tretåig hackspett
Vedflamlav
Vedskivlav
Järpe
Spillkråka
Tjäder</t>
        </is>
      </c>
      <c r="W37">
        <f>HYPERLINK("https://klasma.github.io/Logging_2039/artfynd/A 16123-2026 artfynd.xlsx", "A 16123-2026")</f>
        <v/>
      </c>
      <c r="X37">
        <f>HYPERLINK("https://klasma.github.io/Logging_2039/kartor/A 16123-2026 karta.png", "A 16123-2026")</f>
        <v/>
      </c>
      <c r="Y37">
        <f>HYPERLINK("https://klasma.github.io/Logging_2039/kartor_geotiff/A 16123-2026 georefererad karta.tif", "A 16123-2026")</f>
        <v/>
      </c>
      <c r="AA37">
        <f>HYPERLINK("https://klasma.github.io/Logging_2039/klagomål/A 16123-2026 FSC-klagomål.docx", "A 16123-2026")</f>
        <v/>
      </c>
      <c r="AB37">
        <f>HYPERLINK("https://klasma.github.io/Logging_2039/klagomålsmail/A 16123-2026 FSC-klagomål mail.docx", "A 16123-2026")</f>
        <v/>
      </c>
      <c r="AC37">
        <f>HYPERLINK("https://klasma.github.io/Logging_2039/tillsyn/A 16123-2026 tillsynsbegäran.docx", "A 16123-2026")</f>
        <v/>
      </c>
      <c r="AD37">
        <f>HYPERLINK("https://klasma.github.io/Logging_2039/tillsynsmail/A 16123-2026 tillsynsbegäran mail.docx", "A 16123-2026")</f>
        <v/>
      </c>
      <c r="AE37">
        <f>HYPERLINK("https://klasma.github.io/Logging_2039/fåglar/A 16123-2026 prioriterade fågelarter.docx", "A 16123-2026")</f>
        <v/>
      </c>
    </row>
    <row r="38" ht="15" customHeight="1">
      <c r="A38" t="inlineStr">
        <is>
          <t>A 14277-2024</t>
        </is>
      </c>
      <c r="B38" t="inlineStr">
        <is>
          <t>avverkningsanmälan</t>
        </is>
      </c>
      <c r="C38" t="inlineStr">
        <is>
          <t>Avverkning för annat ändamål</t>
        </is>
      </c>
      <c r="D38" s="1" t="n">
        <v>45393</v>
      </c>
      <c r="E38" s="1" t="n">
        <v>46224</v>
      </c>
      <c r="F38" t="inlineStr">
        <is>
          <t>DALARNAS LÄN</t>
        </is>
      </c>
      <c r="G38" t="inlineStr">
        <is>
          <t>ÄLVDALEN</t>
        </is>
      </c>
      <c r="H38" t="inlineStr">
        <is>
          <t>Allmännings- och besparingsskogar</t>
        </is>
      </c>
      <c r="I38" t="n">
        <v>2.8</v>
      </c>
      <c r="J38" t="n">
        <v>3</v>
      </c>
      <c r="K38" t="n">
        <v>1</v>
      </c>
      <c r="L38" t="n">
        <v>9</v>
      </c>
      <c r="M38" t="n">
        <v>1</v>
      </c>
      <c r="N38" t="n">
        <v>0</v>
      </c>
      <c r="O38" t="n">
        <v>0</v>
      </c>
      <c r="P38" t="n">
        <v>0</v>
      </c>
      <c r="Q38" t="n">
        <v>10</v>
      </c>
      <c r="R38" t="n">
        <v>1</v>
      </c>
      <c r="S38" t="n">
        <v>12</v>
      </c>
      <c r="T38" t="n">
        <v>93</v>
      </c>
      <c r="U38" t="n">
        <v>87</v>
      </c>
      <c r="V38" s="2" t="inlineStr">
        <is>
          <t>Garnlav
Blå taggsvamp
Dropptaggsvamp
Kolflarnlav
Ladlav
Mörk kolflarnlav
Talltita
Varglav
Vedflamlav
Vedskivlav
Mindre märgborre
Tjäder</t>
        </is>
      </c>
      <c r="W38">
        <f>HYPERLINK("https://klasma.github.io/Logging_2039/artfynd/A 14277-2024 artfynd.xlsx", "A 14277-2024")</f>
        <v/>
      </c>
      <c r="X38">
        <f>HYPERLINK("https://klasma.github.io/Logging_2039/kartor/A 14277-2024 karta.png", "A 14277-2024")</f>
        <v/>
      </c>
      <c r="Y38">
        <f>HYPERLINK("https://klasma.github.io/Logging_2039/kartor_geotiff/A 14277-2024 georefererad karta.tif", "A 14277-2024")</f>
        <v/>
      </c>
      <c r="AA38">
        <f>HYPERLINK("https://klasma.github.io/Logging_2039/klagomål/A 14277-2024 FSC-klagomål.docx", "A 14277-2024")</f>
        <v/>
      </c>
      <c r="AB38">
        <f>HYPERLINK("https://klasma.github.io/Logging_2039/klagomålsmail/A 14277-2024 FSC-klagomål mail.docx", "A 14277-2024")</f>
        <v/>
      </c>
      <c r="AC38">
        <f>HYPERLINK("https://klasma.github.io/Logging_2039/tillsyn/A 14277-2024 tillsynsbegäran.docx", "A 14277-2024")</f>
        <v/>
      </c>
      <c r="AD38">
        <f>HYPERLINK("https://klasma.github.io/Logging_2039/tillsynsmail/A 14277-2024 tillsynsbegäran mail.docx", "A 14277-2024")</f>
        <v/>
      </c>
      <c r="AE38">
        <f>HYPERLINK("https://klasma.github.io/Logging_2039/fåglar/A 14277-2024 prioriterade fågelarter.docx", "A 14277-2024")</f>
        <v/>
      </c>
    </row>
    <row r="39" ht="15" customHeight="1">
      <c r="A39" t="inlineStr">
        <is>
          <t>A 47008-2025</t>
        </is>
      </c>
      <c r="B39" t="inlineStr">
        <is>
          <t>avverkningsanmälan</t>
        </is>
      </c>
      <c r="C39" t="inlineStr">
        <is>
          <t>Föryngringsavverkning</t>
        </is>
      </c>
      <c r="D39" s="1" t="n">
        <v>45929</v>
      </c>
      <c r="E39" s="1" t="n">
        <v>46224</v>
      </c>
      <c r="F39" t="inlineStr">
        <is>
          <t>DALARNAS LÄN</t>
        </is>
      </c>
      <c r="G39" t="inlineStr">
        <is>
          <t>ÄLVDALEN</t>
        </is>
      </c>
      <c r="H39" t="inlineStr">
        <is>
          <t>Allmännings- och besparingsskogar</t>
        </is>
      </c>
      <c r="I39" t="n">
        <v>4.6</v>
      </c>
      <c r="J39" t="n">
        <v>5</v>
      </c>
      <c r="K39" t="n">
        <v>0</v>
      </c>
      <c r="L39" t="n">
        <v>8</v>
      </c>
      <c r="M39" t="n">
        <v>1</v>
      </c>
      <c r="N39" t="n">
        <v>0</v>
      </c>
      <c r="O39" t="n">
        <v>0</v>
      </c>
      <c r="P39" t="n">
        <v>0</v>
      </c>
      <c r="Q39" t="n">
        <v>9</v>
      </c>
      <c r="R39" t="n">
        <v>1</v>
      </c>
      <c r="S39" t="n">
        <v>12</v>
      </c>
      <c r="T39" t="n">
        <v>103</v>
      </c>
      <c r="U39" t="n">
        <v>103</v>
      </c>
      <c r="V39" s="2" t="inlineStr">
        <is>
          <t>Garnlav
Dvärgbägarlav
Kolflarnlav
Mörk kolflarnlav
Tallticka
Talltita
Tretåig hackspett
Vedflamlav
Vedskivlav
Spillkråka
Tjäder
Orre</t>
        </is>
      </c>
      <c r="W39">
        <f>HYPERLINK("https://klasma.github.io/Logging_2039/artfynd/A 47008-2025 artfynd.xlsx", "A 47008-2025")</f>
        <v/>
      </c>
      <c r="X39">
        <f>HYPERLINK("https://klasma.github.io/Logging_2039/kartor/A 47008-2025 karta.png", "A 47008-2025")</f>
        <v/>
      </c>
      <c r="Y39">
        <f>HYPERLINK("https://klasma.github.io/Logging_2039/kartor_geotiff/A 47008-2025 georefererad karta.tif", "A 47008-2025")</f>
        <v/>
      </c>
      <c r="AA39">
        <f>HYPERLINK("https://klasma.github.io/Logging_2039/klagomål/A 47008-2025 FSC-klagomål.docx", "A 47008-2025")</f>
        <v/>
      </c>
      <c r="AB39">
        <f>HYPERLINK("https://klasma.github.io/Logging_2039/klagomålsmail/A 47008-2025 FSC-klagomål mail.docx", "A 47008-2025")</f>
        <v/>
      </c>
      <c r="AC39">
        <f>HYPERLINK("https://klasma.github.io/Logging_2039/tillsyn/A 47008-2025 tillsynsbegäran.docx", "A 47008-2025")</f>
        <v/>
      </c>
      <c r="AD39">
        <f>HYPERLINK("https://klasma.github.io/Logging_2039/tillsynsmail/A 47008-2025 tillsynsbegäran mail.docx", "A 47008-2025")</f>
        <v/>
      </c>
      <c r="AE39">
        <f>HYPERLINK("https://klasma.github.io/Logging_2039/fåglar/A 47008-2025 prioriterade fågelarter.docx", "A 47008-2025")</f>
        <v/>
      </c>
    </row>
    <row r="40" ht="15" customHeight="1">
      <c r="A40" t="inlineStr">
        <is>
          <t>A 31658-2025</t>
        </is>
      </c>
      <c r="B40" t="inlineStr">
        <is>
          <t>avverkningsanmälan</t>
        </is>
      </c>
      <c r="C40" t="inlineStr">
        <is>
          <t>Föryngringsavverkning</t>
        </is>
      </c>
      <c r="D40" s="1" t="n">
        <v>45834</v>
      </c>
      <c r="E40" s="1" t="n">
        <v>46224</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t="n">
        <v>27</v>
      </c>
      <c r="V40" s="2" t="inlineStr">
        <is>
          <t>Blanksvart spiklav
Blågrå svartspik
Dvärgbägarlav
Kolflarnlav
Mörk kolflarnlav
Nordtagging
Skrovellav
Talltita
Tretåig hackspett
Vedflamlav
Vedskivlav
Vedticka</t>
        </is>
      </c>
      <c r="W40">
        <f>HYPERLINK("https://klasma.github.io/Logging_2039/artfynd/A 31658-2025 artfynd.xlsx", "A 31658-2025")</f>
        <v/>
      </c>
      <c r="X40">
        <f>HYPERLINK("https://klasma.github.io/Logging_2039/kartor/A 31658-2025 karta.png", "A 31658-2025")</f>
        <v/>
      </c>
      <c r="Y40">
        <f>HYPERLINK("https://klasma.github.io/Logging_2039/kartor_geotiff/A 31658-2025 georefererad karta.tif", "A 31658-2025")</f>
        <v/>
      </c>
      <c r="AA40">
        <f>HYPERLINK("https://klasma.github.io/Logging_2039/klagomål/A 31658-2025 FSC-klagomål.docx", "A 31658-2025")</f>
        <v/>
      </c>
      <c r="AB40">
        <f>HYPERLINK("https://klasma.github.io/Logging_2039/klagomålsmail/A 31658-2025 FSC-klagomål mail.docx", "A 31658-2025")</f>
        <v/>
      </c>
      <c r="AC40">
        <f>HYPERLINK("https://klasma.github.io/Logging_2039/tillsyn/A 31658-2025 tillsynsbegäran.docx", "A 31658-2025")</f>
        <v/>
      </c>
      <c r="AD40">
        <f>HYPERLINK("https://klasma.github.io/Logging_2039/tillsynsmail/A 31658-2025 tillsynsbegäran mail.docx", "A 31658-2025")</f>
        <v/>
      </c>
      <c r="AE40">
        <f>HYPERLINK("https://klasma.github.io/Logging_2039/fåglar/A 31658-2025 prioriterade fågelarter.docx", "A 31658-2025")</f>
        <v/>
      </c>
    </row>
    <row r="41" ht="15" customHeight="1">
      <c r="A41" t="inlineStr">
        <is>
          <t>A 49247-2025</t>
        </is>
      </c>
      <c r="B41" t="inlineStr">
        <is>
          <t>avverkningsanmälan</t>
        </is>
      </c>
      <c r="C41" t="inlineStr">
        <is>
          <t>Föryngringsavverkning</t>
        </is>
      </c>
      <c r="D41" s="1" t="n">
        <v>45938</v>
      </c>
      <c r="E41" s="1" t="n">
        <v>46224</v>
      </c>
      <c r="F41" t="inlineStr">
        <is>
          <t>DALARNAS LÄN</t>
        </is>
      </c>
      <c r="G41" t="inlineStr">
        <is>
          <t>ÄLVDALEN</t>
        </is>
      </c>
      <c r="H41" t="inlineStr">
        <is>
          <t>Allmännings- och besparingsskogar</t>
        </is>
      </c>
      <c r="I41" t="n">
        <v>19</v>
      </c>
      <c r="J41" t="n">
        <v>3</v>
      </c>
      <c r="K41" t="n">
        <v>1</v>
      </c>
      <c r="L41" t="n">
        <v>8</v>
      </c>
      <c r="M41" t="n">
        <v>1</v>
      </c>
      <c r="N41" t="n">
        <v>0</v>
      </c>
      <c r="O41" t="n">
        <v>0</v>
      </c>
      <c r="P41" t="n">
        <v>0</v>
      </c>
      <c r="Q41" t="n">
        <v>9</v>
      </c>
      <c r="R41" t="n">
        <v>1</v>
      </c>
      <c r="S41" t="n">
        <v>12</v>
      </c>
      <c r="T41" t="n">
        <v>170</v>
      </c>
      <c r="U41" t="n">
        <v>170</v>
      </c>
      <c r="V41" s="2" t="inlineStr">
        <is>
          <t>Garnlav
Doftskinn
Kolflarnlav
Mörk kolflarnlav
Tallticka
Tretåig hackspett
Ullticka
Vedflamlav
Vedskivlav
Mindre märgborre
Spillkråka
Kungsfågel</t>
        </is>
      </c>
      <c r="W41">
        <f>HYPERLINK("https://klasma.github.io/Logging_2039/artfynd/A 49247-2025 artfynd.xlsx", "A 49247-2025")</f>
        <v/>
      </c>
      <c r="X41">
        <f>HYPERLINK("https://klasma.github.io/Logging_2039/kartor/A 49247-2025 karta.png", "A 49247-2025")</f>
        <v/>
      </c>
      <c r="Y41">
        <f>HYPERLINK("https://klasma.github.io/Logging_2039/kartor_geotiff/A 49247-2025 georefererad karta.tif", "A 49247-2025")</f>
        <v/>
      </c>
      <c r="AA41">
        <f>HYPERLINK("https://klasma.github.io/Logging_2039/klagomål/A 49247-2025 FSC-klagomål.docx", "A 49247-2025")</f>
        <v/>
      </c>
      <c r="AB41">
        <f>HYPERLINK("https://klasma.github.io/Logging_2039/klagomålsmail/A 49247-2025 FSC-klagomål mail.docx", "A 49247-2025")</f>
        <v/>
      </c>
      <c r="AC41">
        <f>HYPERLINK("https://klasma.github.io/Logging_2039/tillsyn/A 49247-2025 tillsynsbegäran.docx", "A 49247-2025")</f>
        <v/>
      </c>
      <c r="AD41">
        <f>HYPERLINK("https://klasma.github.io/Logging_2039/tillsynsmail/A 49247-2025 tillsynsbegäran mail.docx", "A 49247-2025")</f>
        <v/>
      </c>
      <c r="AE41">
        <f>HYPERLINK("https://klasma.github.io/Logging_2039/fåglar/A 49247-2025 prioriterade fågelarter.docx", "A 49247-2025")</f>
        <v/>
      </c>
    </row>
    <row r="42" ht="15" customHeight="1">
      <c r="A42" t="inlineStr">
        <is>
          <t>A 16370-2024</t>
        </is>
      </c>
      <c r="B42" t="inlineStr">
        <is>
          <t>avverkningsanmälan</t>
        </is>
      </c>
      <c r="C42" t="inlineStr">
        <is>
          <t>Föryngringsavverkning</t>
        </is>
      </c>
      <c r="D42" s="1" t="n">
        <v>45407</v>
      </c>
      <c r="E42" s="1" t="n">
        <v>46224</v>
      </c>
      <c r="F42" t="inlineStr">
        <is>
          <t>DALARNAS LÄN</t>
        </is>
      </c>
      <c r="G42" t="inlineStr">
        <is>
          <t>ÄLVDALEN</t>
        </is>
      </c>
      <c r="H42" t="inlineStr">
        <is>
          <t>Sveaskog</t>
        </is>
      </c>
      <c r="I42" t="n">
        <v>11.8</v>
      </c>
      <c r="J42" t="n">
        <v>2</v>
      </c>
      <c r="K42" t="n">
        <v>1</v>
      </c>
      <c r="L42" t="n">
        <v>8</v>
      </c>
      <c r="M42" t="n">
        <v>3</v>
      </c>
      <c r="N42" t="n">
        <v>0</v>
      </c>
      <c r="O42" t="n">
        <v>0</v>
      </c>
      <c r="P42" t="n">
        <v>0</v>
      </c>
      <c r="Q42" t="n">
        <v>11</v>
      </c>
      <c r="R42" t="n">
        <v>3</v>
      </c>
      <c r="S42" t="n">
        <v>12</v>
      </c>
      <c r="T42" t="n">
        <v>32</v>
      </c>
      <c r="U42" t="n">
        <v>8</v>
      </c>
      <c r="V42" s="2" t="inlineStr">
        <is>
          <t>Fläckporing
Garnlav
Gräddporing
Bläsand
Dropptaggsvamp
Dvärgbägarlav
Knottrig blåslav
Lavskrika
Lunglav
Mörk kolflarnlav
Skrovellav
Stuplav</t>
        </is>
      </c>
      <c r="W42">
        <f>HYPERLINK("https://klasma.github.io/Logging_2039/artfynd/A 16370-2024 artfynd.xlsx", "A 16370-2024")</f>
        <v/>
      </c>
      <c r="X42">
        <f>HYPERLINK("https://klasma.github.io/Logging_2039/kartor/A 16370-2024 karta.png", "A 16370-2024")</f>
        <v/>
      </c>
      <c r="Y42">
        <f>HYPERLINK("https://klasma.github.io/Logging_2039/kartor_geotiff/A 16370-2024 georefererad karta.tif", "A 16370-2024")</f>
        <v/>
      </c>
      <c r="AA42">
        <f>HYPERLINK("https://klasma.github.io/Logging_2039/klagomål/A 16370-2024 FSC-klagomål.docx", "A 16370-2024")</f>
        <v/>
      </c>
      <c r="AB42">
        <f>HYPERLINK("https://klasma.github.io/Logging_2039/klagomålsmail/A 16370-2024 FSC-klagomål mail.docx", "A 16370-2024")</f>
        <v/>
      </c>
      <c r="AC42">
        <f>HYPERLINK("https://klasma.github.io/Logging_2039/tillsyn/A 16370-2024 tillsynsbegäran.docx", "A 16370-2024")</f>
        <v/>
      </c>
      <c r="AD42">
        <f>HYPERLINK("https://klasma.github.io/Logging_2039/tillsynsmail/A 16370-2024 tillsynsbegäran mail.docx", "A 16370-2024")</f>
        <v/>
      </c>
      <c r="AE42">
        <f>HYPERLINK("https://klasma.github.io/Logging_2039/fåglar/A 16370-2024 prioriterade fågelarter.docx", "A 16370-2024")</f>
        <v/>
      </c>
    </row>
    <row r="43" ht="15" customHeight="1">
      <c r="A43" t="inlineStr">
        <is>
          <t>A 36371-2025</t>
        </is>
      </c>
      <c r="B43" t="inlineStr">
        <is>
          <t>avverkningsanmälan</t>
        </is>
      </c>
      <c r="C43" t="inlineStr">
        <is>
          <t>Föryngringsavverkning</t>
        </is>
      </c>
      <c r="D43" s="1" t="n">
        <v>45868</v>
      </c>
      <c r="E43" s="1" t="n">
        <v>46224</v>
      </c>
      <c r="F43" t="inlineStr">
        <is>
          <t>DALARNAS LÄN</t>
        </is>
      </c>
      <c r="G43" t="inlineStr">
        <is>
          <t>ÄLVDALEN</t>
        </is>
      </c>
      <c r="H43" t="inlineStr">
        <is>
          <t>Allmännings- och besparingsskogar</t>
        </is>
      </c>
      <c r="I43" t="n">
        <v>30.8</v>
      </c>
      <c r="J43" t="n">
        <v>4</v>
      </c>
      <c r="K43" t="n">
        <v>2</v>
      </c>
      <c r="L43" t="n">
        <v>7</v>
      </c>
      <c r="M43" t="n">
        <v>1</v>
      </c>
      <c r="N43" t="n">
        <v>0</v>
      </c>
      <c r="O43" t="n">
        <v>0</v>
      </c>
      <c r="P43" t="n">
        <v>0</v>
      </c>
      <c r="Q43" t="n">
        <v>8</v>
      </c>
      <c r="R43" t="n">
        <v>1</v>
      </c>
      <c r="S43" t="n">
        <v>12</v>
      </c>
      <c r="T43" t="n">
        <v>133</v>
      </c>
      <c r="U43" t="n">
        <v>120</v>
      </c>
      <c r="V43" s="2" t="inlineStr">
        <is>
          <t>Garnlav
Duvhök
Kolflarnlav
Mörk kolflarnlav
Tallticka
Tretåig hackspett
Vedflamlav
Vedskivlav
Gräsull
Mindre märgborre
Spillkråka
Tjäder</t>
        </is>
      </c>
      <c r="W43">
        <f>HYPERLINK("https://klasma.github.io/Logging_2039/artfynd/A 36371-2025 artfynd.xlsx", "A 36371-2025")</f>
        <v/>
      </c>
      <c r="X43">
        <f>HYPERLINK("https://klasma.github.io/Logging_2039/kartor/A 36371-2025 karta.png", "A 36371-2025")</f>
        <v/>
      </c>
      <c r="Y43">
        <f>HYPERLINK("https://klasma.github.io/Logging_2039/kartor_geotiff/A 36371-2025 georefererad karta.tif", "A 36371-2025")</f>
        <v/>
      </c>
      <c r="AA43">
        <f>HYPERLINK("https://klasma.github.io/Logging_2039/klagomål/A 36371-2025 FSC-klagomål.docx", "A 36371-2025")</f>
        <v/>
      </c>
      <c r="AB43">
        <f>HYPERLINK("https://klasma.github.io/Logging_2039/klagomålsmail/A 36371-2025 FSC-klagomål mail.docx", "A 36371-2025")</f>
        <v/>
      </c>
      <c r="AC43">
        <f>HYPERLINK("https://klasma.github.io/Logging_2039/tillsyn/A 36371-2025 tillsynsbegäran.docx", "A 36371-2025")</f>
        <v/>
      </c>
      <c r="AD43">
        <f>HYPERLINK("https://klasma.github.io/Logging_2039/tillsynsmail/A 36371-2025 tillsynsbegäran mail.docx", "A 36371-2025")</f>
        <v/>
      </c>
      <c r="AE43">
        <f>HYPERLINK("https://klasma.github.io/Logging_2039/fåglar/A 36371-2025 prioriterade fågelarter.docx", "A 36371-2025")</f>
        <v/>
      </c>
    </row>
    <row r="44" ht="15" customHeight="1">
      <c r="A44" t="inlineStr">
        <is>
          <t>A 37730-2023</t>
        </is>
      </c>
      <c r="B44" t="inlineStr">
        <is>
          <t>avverkningsanmälan</t>
        </is>
      </c>
      <c r="C44" t="inlineStr">
        <is>
          <t>Föryngringsavverkning</t>
        </is>
      </c>
      <c r="D44" s="1" t="n">
        <v>45159</v>
      </c>
      <c r="E44" s="1" t="n">
        <v>46224</v>
      </c>
      <c r="F44" t="inlineStr">
        <is>
          <t>DALARNAS LÄN</t>
        </is>
      </c>
      <c r="G44" t="inlineStr">
        <is>
          <t>ÄLVDALEN</t>
        </is>
      </c>
      <c r="I44" t="n">
        <v>5.4</v>
      </c>
      <c r="J44" t="n">
        <v>4</v>
      </c>
      <c r="K44" t="n">
        <v>2</v>
      </c>
      <c r="L44" t="n">
        <v>6</v>
      </c>
      <c r="M44" t="n">
        <v>2</v>
      </c>
      <c r="N44" t="n">
        <v>0</v>
      </c>
      <c r="O44" t="n">
        <v>0</v>
      </c>
      <c r="P44" t="n">
        <v>0</v>
      </c>
      <c r="Q44" t="n">
        <v>8</v>
      </c>
      <c r="R44" t="n">
        <v>2</v>
      </c>
      <c r="S44" t="n">
        <v>12</v>
      </c>
      <c r="T44" t="n">
        <v>63</v>
      </c>
      <c r="U44" t="n">
        <v>63</v>
      </c>
      <c r="V44" s="2" t="inlineStr">
        <is>
          <t>Garnlav
Knärot
Dropptaggsvamp
Mörk kolflarnlav
Tallfingersvamp
Tretåig hackspett
Violettgrå tagellav
Vitgrynig nållav
Bronshjon
Luddlav
Spillkråka
Revlummer</t>
        </is>
      </c>
      <c r="W44">
        <f>HYPERLINK("https://klasma.github.io/Logging_2039/artfynd/A 37730-2023 artfynd.xlsx", "A 37730-2023")</f>
        <v/>
      </c>
      <c r="X44">
        <f>HYPERLINK("https://klasma.github.io/Logging_2039/kartor/A 37730-2023 karta.png", "A 37730-2023")</f>
        <v/>
      </c>
      <c r="Y44">
        <f>HYPERLINK("https://klasma.github.io/Logging_2039/kartor_geotiff/A 37730-2023 georefererad karta.tif", "A 37730-2023")</f>
        <v/>
      </c>
      <c r="Z44">
        <f>HYPERLINK("https://klasma.github.io/Logging_2039/knärot/A 37730-2023 karta knärot.png", "A 37730-2023")</f>
        <v/>
      </c>
      <c r="AA44">
        <f>HYPERLINK("https://klasma.github.io/Logging_2039/klagomål/A 37730-2023 FSC-klagomål.docx", "A 37730-2023")</f>
        <v/>
      </c>
      <c r="AB44">
        <f>HYPERLINK("https://klasma.github.io/Logging_2039/klagomålsmail/A 37730-2023 FSC-klagomål mail.docx", "A 37730-2023")</f>
        <v/>
      </c>
      <c r="AC44">
        <f>HYPERLINK("https://klasma.github.io/Logging_2039/tillsyn/A 37730-2023 tillsynsbegäran.docx", "A 37730-2023")</f>
        <v/>
      </c>
      <c r="AD44">
        <f>HYPERLINK("https://klasma.github.io/Logging_2039/tillsynsmail/A 37730-2023 tillsynsbegäran mail.docx", "A 37730-2023")</f>
        <v/>
      </c>
      <c r="AE44">
        <f>HYPERLINK("https://klasma.github.io/Logging_2039/fåglar/A 37730-2023 prioriterade fågelarter.docx", "A 37730-2023")</f>
        <v/>
      </c>
    </row>
    <row r="45" ht="15" customHeight="1">
      <c r="A45" t="inlineStr">
        <is>
          <t>A 55982-2025</t>
        </is>
      </c>
      <c r="B45" t="inlineStr">
        <is>
          <t>avverkningsanmälan</t>
        </is>
      </c>
      <c r="C45" t="inlineStr">
        <is>
          <t>Föryngringsavverkning</t>
        </is>
      </c>
      <c r="D45" s="1" t="n">
        <v>45973</v>
      </c>
      <c r="E45" s="1" t="n">
        <v>46224</v>
      </c>
      <c r="F45" t="inlineStr">
        <is>
          <t>DALARNAS LÄN</t>
        </is>
      </c>
      <c r="G45" t="inlineStr">
        <is>
          <t>ÄLVDALEN</t>
        </is>
      </c>
      <c r="I45" t="n">
        <v>10</v>
      </c>
      <c r="J45" t="n">
        <v>4</v>
      </c>
      <c r="K45" t="n">
        <v>2</v>
      </c>
      <c r="L45" t="n">
        <v>6</v>
      </c>
      <c r="M45" t="n">
        <v>1</v>
      </c>
      <c r="N45" t="n">
        <v>0</v>
      </c>
      <c r="O45" t="n">
        <v>0</v>
      </c>
      <c r="P45" t="n">
        <v>0</v>
      </c>
      <c r="Q45" t="n">
        <v>7</v>
      </c>
      <c r="R45" t="n">
        <v>1</v>
      </c>
      <c r="S45" t="n">
        <v>12</v>
      </c>
      <c r="T45" t="n">
        <v>135</v>
      </c>
      <c r="U45" t="n">
        <v>135</v>
      </c>
      <c r="V45" s="2" t="inlineStr">
        <is>
          <t>Garnlav
Blågrå svartspik
Kolflarnlav
Mörk kolflarnlav
Tretåig hackspett
Vedflamlav
Vedskivlav
Gullgröppa
Mindre märgborre
Spillkråka
Tjäder
Orre</t>
        </is>
      </c>
      <c r="W45">
        <f>HYPERLINK("https://klasma.github.io/Logging_2039/artfynd/A 55982-2025 artfynd.xlsx", "A 55982-2025")</f>
        <v/>
      </c>
      <c r="X45">
        <f>HYPERLINK("https://klasma.github.io/Logging_2039/kartor/A 55982-2025 karta.png", "A 55982-2025")</f>
        <v/>
      </c>
      <c r="Y45">
        <f>HYPERLINK("https://klasma.github.io/Logging_2039/kartor_geotiff/A 55982-2025 georefererad karta.tif", "A 55982-2025")</f>
        <v/>
      </c>
      <c r="AA45">
        <f>HYPERLINK("https://klasma.github.io/Logging_2039/klagomål/A 55982-2025 FSC-klagomål.docx", "A 55982-2025")</f>
        <v/>
      </c>
      <c r="AB45">
        <f>HYPERLINK("https://klasma.github.io/Logging_2039/klagomålsmail/A 55982-2025 FSC-klagomål mail.docx", "A 55982-2025")</f>
        <v/>
      </c>
      <c r="AC45">
        <f>HYPERLINK("https://klasma.github.io/Logging_2039/tillsyn/A 55982-2025 tillsynsbegäran.docx", "A 55982-2025")</f>
        <v/>
      </c>
      <c r="AD45">
        <f>HYPERLINK("https://klasma.github.io/Logging_2039/tillsynsmail/A 55982-2025 tillsynsbegäran mail.docx", "A 55982-2025")</f>
        <v/>
      </c>
      <c r="AE45">
        <f>HYPERLINK("https://klasma.github.io/Logging_2039/fåglar/A 55982-2025 prioriterade fågelarter.docx", "A 55982-2025")</f>
        <v/>
      </c>
    </row>
    <row r="46" ht="15" customHeight="1">
      <c r="A46" t="inlineStr">
        <is>
          <t>A 71652-2021</t>
        </is>
      </c>
      <c r="B46" t="inlineStr">
        <is>
          <t>avverkningsanmälan</t>
        </is>
      </c>
      <c r="C46" t="inlineStr">
        <is>
          <t>Föryngringsavverkning</t>
        </is>
      </c>
      <c r="D46" s="1" t="n">
        <v>44543</v>
      </c>
      <c r="E46" s="1" t="n">
        <v>46224</v>
      </c>
      <c r="F46" t="inlineStr">
        <is>
          <t>DALARNAS LÄN</t>
        </is>
      </c>
      <c r="G46" t="inlineStr">
        <is>
          <t>ÄLVDALEN</t>
        </is>
      </c>
      <c r="I46" t="n">
        <v>4.3</v>
      </c>
      <c r="J46" t="n">
        <v>7</v>
      </c>
      <c r="K46" t="n">
        <v>4</v>
      </c>
      <c r="L46" t="n">
        <v>4</v>
      </c>
      <c r="M46" t="n">
        <v>1</v>
      </c>
      <c r="N46" t="n">
        <v>0</v>
      </c>
      <c r="O46" t="n">
        <v>0</v>
      </c>
      <c r="P46" t="n">
        <v>0</v>
      </c>
      <c r="Q46" t="n">
        <v>5</v>
      </c>
      <c r="R46" t="n">
        <v>1</v>
      </c>
      <c r="S46" t="n">
        <v>12</v>
      </c>
      <c r="T46" t="n">
        <v>68</v>
      </c>
      <c r="U46" t="n">
        <v>68</v>
      </c>
      <c r="V46" s="2" t="inlineStr">
        <is>
          <t>Garnlav
Kolflarnlav
Talltita
Tretåig hackspett
Vedskivlav
Björksplintborre
Korallrot
Mindre märgborre
Spindelblomster
Spillkråka
Svartvit flugsnappare
Revlummer</t>
        </is>
      </c>
      <c r="W46">
        <f>HYPERLINK("https://klasma.github.io/Logging_2039/artfynd/A 71652-2021 artfynd.xlsx", "A 71652-2021")</f>
        <v/>
      </c>
      <c r="X46">
        <f>HYPERLINK("https://klasma.github.io/Logging_2039/kartor/A 71652-2021 karta.png", "A 71652-2021")</f>
        <v/>
      </c>
      <c r="Y46">
        <f>HYPERLINK("https://klasma.github.io/Logging_2039/kartor_geotiff/A 71652-2021 georefererad karta.tif", "A 71652-2021")</f>
        <v/>
      </c>
      <c r="AA46">
        <f>HYPERLINK("https://klasma.github.io/Logging_2039/klagomål/A 71652-2021 FSC-klagomål.docx", "A 71652-2021")</f>
        <v/>
      </c>
      <c r="AB46">
        <f>HYPERLINK("https://klasma.github.io/Logging_2039/klagomålsmail/A 71652-2021 FSC-klagomål mail.docx", "A 71652-2021")</f>
        <v/>
      </c>
      <c r="AC46">
        <f>HYPERLINK("https://klasma.github.io/Logging_2039/tillsyn/A 71652-2021 tillsynsbegäran.docx", "A 71652-2021")</f>
        <v/>
      </c>
      <c r="AD46">
        <f>HYPERLINK("https://klasma.github.io/Logging_2039/tillsynsmail/A 71652-2021 tillsynsbegäran mail.docx", "A 71652-2021")</f>
        <v/>
      </c>
      <c r="AE46">
        <f>HYPERLINK("https://klasma.github.io/Logging_2039/fåglar/A 71652-2021 prioriterade fågelarter.docx", "A 71652-2021")</f>
        <v/>
      </c>
    </row>
    <row r="47" ht="15" customHeight="1">
      <c r="A47" t="inlineStr">
        <is>
          <t>A 44936-2025</t>
        </is>
      </c>
      <c r="B47" t="inlineStr">
        <is>
          <t>avverkningsanmälan</t>
        </is>
      </c>
      <c r="C47" t="inlineStr">
        <is>
          <t>Föryngringsavverkning</t>
        </is>
      </c>
      <c r="D47" s="1" t="n">
        <v>45918</v>
      </c>
      <c r="E47" s="1" t="n">
        <v>46224</v>
      </c>
      <c r="F47" t="inlineStr">
        <is>
          <t>DALARNAS LÄN</t>
        </is>
      </c>
      <c r="G47" t="inlineStr">
        <is>
          <t>ÄLVDALEN</t>
        </is>
      </c>
      <c r="H47" t="inlineStr">
        <is>
          <t>Allmännings- och besparingsskogar</t>
        </is>
      </c>
      <c r="I47" t="n">
        <v>29.6</v>
      </c>
      <c r="J47" t="n">
        <v>5</v>
      </c>
      <c r="K47" t="n">
        <v>0</v>
      </c>
      <c r="L47" t="n">
        <v>7</v>
      </c>
      <c r="M47" t="n">
        <v>2</v>
      </c>
      <c r="N47" t="n">
        <v>0</v>
      </c>
      <c r="O47" t="n">
        <v>0</v>
      </c>
      <c r="P47" t="n">
        <v>0</v>
      </c>
      <c r="Q47" t="n">
        <v>9</v>
      </c>
      <c r="R47" t="n">
        <v>2</v>
      </c>
      <c r="S47" t="n">
        <v>12</v>
      </c>
      <c r="T47" t="n">
        <v>288</v>
      </c>
      <c r="U47" t="n">
        <v>288</v>
      </c>
      <c r="V47" s="2" t="inlineStr">
        <is>
          <t>Garnlav
Gräddporing
Kolflarnlav
Mörk kolflarnlav
Tallticka
Talltita
Varglav
Vedflamlav
Vedskivlav
Spillkråka
Tjäder
Kungsfågel</t>
        </is>
      </c>
      <c r="W47">
        <f>HYPERLINK("https://klasma.github.io/Logging_2039/artfynd/A 44936-2025 artfynd.xlsx", "A 44936-2025")</f>
        <v/>
      </c>
      <c r="X47">
        <f>HYPERLINK("https://klasma.github.io/Logging_2039/kartor/A 44936-2025 karta.png", "A 44936-2025")</f>
        <v/>
      </c>
      <c r="Y47">
        <f>HYPERLINK("https://klasma.github.io/Logging_2039/kartor_geotiff/A 44936-2025 georefererad karta.tif", "A 44936-2025")</f>
        <v/>
      </c>
      <c r="AA47">
        <f>HYPERLINK("https://klasma.github.io/Logging_2039/klagomål/A 44936-2025 FSC-klagomål.docx", "A 44936-2025")</f>
        <v/>
      </c>
      <c r="AB47">
        <f>HYPERLINK("https://klasma.github.io/Logging_2039/klagomålsmail/A 44936-2025 FSC-klagomål mail.docx", "A 44936-2025")</f>
        <v/>
      </c>
      <c r="AC47">
        <f>HYPERLINK("https://klasma.github.io/Logging_2039/tillsyn/A 44936-2025 tillsynsbegäran.docx", "A 44936-2025")</f>
        <v/>
      </c>
      <c r="AD47">
        <f>HYPERLINK("https://klasma.github.io/Logging_2039/tillsynsmail/A 44936-2025 tillsynsbegäran mail.docx", "A 44936-2025")</f>
        <v/>
      </c>
      <c r="AE47">
        <f>HYPERLINK("https://klasma.github.io/Logging_2039/fåglar/A 44936-2025 prioriterade fågelarter.docx", "A 44936-2025")</f>
        <v/>
      </c>
    </row>
    <row r="48" ht="15" customHeight="1">
      <c r="A48" t="inlineStr">
        <is>
          <t>A 38364-2021</t>
        </is>
      </c>
      <c r="B48" t="inlineStr">
        <is>
          <t>avverkningsanmälan</t>
        </is>
      </c>
      <c r="C48" t="inlineStr">
        <is>
          <t>Föryngringsavverkning</t>
        </is>
      </c>
      <c r="D48" s="1" t="n">
        <v>44406</v>
      </c>
      <c r="E48" s="1" t="n">
        <v>46224</v>
      </c>
      <c r="F48" t="inlineStr">
        <is>
          <t>DALARNAS LÄN</t>
        </is>
      </c>
      <c r="G48" t="inlineStr">
        <is>
          <t>ÄLVDALEN</t>
        </is>
      </c>
      <c r="I48" t="n">
        <v>16.9</v>
      </c>
      <c r="J48" t="n">
        <v>1</v>
      </c>
      <c r="K48" t="n">
        <v>3</v>
      </c>
      <c r="L48" t="n">
        <v>6</v>
      </c>
      <c r="M48" t="n">
        <v>2</v>
      </c>
      <c r="N48" t="n">
        <v>0</v>
      </c>
      <c r="O48" t="n">
        <v>0</v>
      </c>
      <c r="P48" t="n">
        <v>0</v>
      </c>
      <c r="Q48" t="n">
        <v>8</v>
      </c>
      <c r="R48" t="n">
        <v>2</v>
      </c>
      <c r="S48" t="n">
        <v>11</v>
      </c>
      <c r="T48" t="n">
        <v>31</v>
      </c>
      <c r="U48" t="n">
        <v>31</v>
      </c>
      <c r="V48" s="2" t="inlineStr">
        <is>
          <t>Garnlav
Skuggnål
Doftskinn
Rynkskinn
Skrovellav
Tretåig hackspett
Vedtrappmossa
Vitgrynig nållav
Luddlav
Stuplav
Vedticka</t>
        </is>
      </c>
      <c r="W48">
        <f>HYPERLINK("https://klasma.github.io/Logging_2039/artfynd/A 38364-2021 artfynd.xlsx", "A 38364-2021")</f>
        <v/>
      </c>
      <c r="X48">
        <f>HYPERLINK("https://klasma.github.io/Logging_2039/kartor/A 38364-2021 karta.png", "A 38364-2021")</f>
        <v/>
      </c>
      <c r="Y48">
        <f>HYPERLINK("https://klasma.github.io/Logging_2039/kartor_geotiff/A 38364-2021 georefererad karta.tif", "A 38364-2021")</f>
        <v/>
      </c>
      <c r="AA48">
        <f>HYPERLINK("https://klasma.github.io/Logging_2039/klagomål/A 38364-2021 FSC-klagomål.docx", "A 38364-2021")</f>
        <v/>
      </c>
      <c r="AB48">
        <f>HYPERLINK("https://klasma.github.io/Logging_2039/klagomålsmail/A 38364-2021 FSC-klagomål mail.docx", "A 38364-2021")</f>
        <v/>
      </c>
      <c r="AC48">
        <f>HYPERLINK("https://klasma.github.io/Logging_2039/tillsyn/A 38364-2021 tillsynsbegäran.docx", "A 38364-2021")</f>
        <v/>
      </c>
      <c r="AD48">
        <f>HYPERLINK("https://klasma.github.io/Logging_2039/tillsynsmail/A 38364-2021 tillsynsbegäran mail.docx", "A 38364-2021")</f>
        <v/>
      </c>
      <c r="AE48">
        <f>HYPERLINK("https://klasma.github.io/Logging_2039/fåglar/A 38364-2021 prioriterade fågelarter.docx", "A 38364-2021")</f>
        <v/>
      </c>
    </row>
    <row r="49" ht="15" customHeight="1">
      <c r="A49" t="inlineStr">
        <is>
          <t>A 43867-2025</t>
        </is>
      </c>
      <c r="B49" t="inlineStr">
        <is>
          <t>avverkningsanmälan</t>
        </is>
      </c>
      <c r="C49" t="inlineStr">
        <is>
          <t>Föryngringsavverkning</t>
        </is>
      </c>
      <c r="D49" s="1" t="n">
        <v>45912</v>
      </c>
      <c r="E49" s="1" t="n">
        <v>46224</v>
      </c>
      <c r="F49" t="inlineStr">
        <is>
          <t>DALARNAS LÄN</t>
        </is>
      </c>
      <c r="G49" t="inlineStr">
        <is>
          <t>ÄLVDALEN</t>
        </is>
      </c>
      <c r="H49" t="inlineStr">
        <is>
          <t>Allmännings- och besparingsskogar</t>
        </is>
      </c>
      <c r="I49" t="n">
        <v>25.5</v>
      </c>
      <c r="J49" t="n">
        <v>5</v>
      </c>
      <c r="K49" t="n">
        <v>1</v>
      </c>
      <c r="L49" t="n">
        <v>6</v>
      </c>
      <c r="M49" t="n">
        <v>1</v>
      </c>
      <c r="N49" t="n">
        <v>0</v>
      </c>
      <c r="O49" t="n">
        <v>0</v>
      </c>
      <c r="P49" t="n">
        <v>0</v>
      </c>
      <c r="Q49" t="n">
        <v>7</v>
      </c>
      <c r="R49" t="n">
        <v>1</v>
      </c>
      <c r="S49" t="n">
        <v>11</v>
      </c>
      <c r="T49" t="n">
        <v>132</v>
      </c>
      <c r="U49" t="n">
        <v>132</v>
      </c>
      <c r="V49" s="2" t="inlineStr">
        <is>
          <t>Garnlav
Doftskinn
Kolflarnlav
Mörk kolflarnlav
Talltita
Vedflamlav
Vedskivlav
Plattlummer
Spillkråka
Tjäder
Kungsfågel</t>
        </is>
      </c>
      <c r="W49">
        <f>HYPERLINK("https://klasma.github.io/Logging_2039/artfynd/A 43867-2025 artfynd.xlsx", "A 43867-2025")</f>
        <v/>
      </c>
      <c r="X49">
        <f>HYPERLINK("https://klasma.github.io/Logging_2039/kartor/A 43867-2025 karta.png", "A 43867-2025")</f>
        <v/>
      </c>
      <c r="Y49">
        <f>HYPERLINK("https://klasma.github.io/Logging_2039/kartor_geotiff/A 43867-2025 georefererad karta.tif", "A 43867-2025")</f>
        <v/>
      </c>
      <c r="AA49">
        <f>HYPERLINK("https://klasma.github.io/Logging_2039/klagomål/A 43867-2025 FSC-klagomål.docx", "A 43867-2025")</f>
        <v/>
      </c>
      <c r="AB49">
        <f>HYPERLINK("https://klasma.github.io/Logging_2039/klagomålsmail/A 43867-2025 FSC-klagomål mail.docx", "A 43867-2025")</f>
        <v/>
      </c>
      <c r="AC49">
        <f>HYPERLINK("https://klasma.github.io/Logging_2039/tillsyn/A 43867-2025 tillsynsbegäran.docx", "A 43867-2025")</f>
        <v/>
      </c>
      <c r="AD49">
        <f>HYPERLINK("https://klasma.github.io/Logging_2039/tillsynsmail/A 43867-2025 tillsynsbegäran mail.docx", "A 43867-2025")</f>
        <v/>
      </c>
      <c r="AE49">
        <f>HYPERLINK("https://klasma.github.io/Logging_2039/fåglar/A 43867-2025 prioriterade fågelarter.docx", "A 43867-2025")</f>
        <v/>
      </c>
    </row>
    <row r="50" ht="15" customHeight="1">
      <c r="A50" t="inlineStr">
        <is>
          <t>A 43051-2025</t>
        </is>
      </c>
      <c r="B50" t="inlineStr">
        <is>
          <t>avverkningsanmälan</t>
        </is>
      </c>
      <c r="C50" t="inlineStr">
        <is>
          <t>Föryngringsavverkning</t>
        </is>
      </c>
      <c r="D50" s="1" t="n">
        <v>45909</v>
      </c>
      <c r="E50" s="1" t="n">
        <v>46224</v>
      </c>
      <c r="F50" t="inlineStr">
        <is>
          <t>DALARNAS LÄN</t>
        </is>
      </c>
      <c r="G50" t="inlineStr">
        <is>
          <t>ÄLVDALEN</t>
        </is>
      </c>
      <c r="I50" t="n">
        <v>1.1</v>
      </c>
      <c r="J50" t="n">
        <v>5</v>
      </c>
      <c r="K50" t="n">
        <v>2</v>
      </c>
      <c r="L50" t="n">
        <v>5</v>
      </c>
      <c r="M50" t="n">
        <v>1</v>
      </c>
      <c r="N50" t="n">
        <v>1</v>
      </c>
      <c r="O50" t="n">
        <v>0</v>
      </c>
      <c r="P50" t="n">
        <v>0</v>
      </c>
      <c r="Q50" t="n">
        <v>7</v>
      </c>
      <c r="R50" t="n">
        <v>2</v>
      </c>
      <c r="S50" t="n">
        <v>11</v>
      </c>
      <c r="T50" t="n">
        <v>26</v>
      </c>
      <c r="U50" t="n">
        <v>26</v>
      </c>
      <c r="V50" s="2" t="inlineStr">
        <is>
          <t>Pärluggla
Garnlav
Kolflarnlav
Skrovellav
Talltita
Tretåig hackspett
Vitgrynig nållav
Bronshjon
Vågbandad barkbock
Tjäder
Revlummer</t>
        </is>
      </c>
      <c r="W50">
        <f>HYPERLINK("https://klasma.github.io/Logging_2039/artfynd/A 43051-2025 artfynd.xlsx", "A 43051-2025")</f>
        <v/>
      </c>
      <c r="X50">
        <f>HYPERLINK("https://klasma.github.io/Logging_2039/kartor/A 43051-2025 karta.png", "A 43051-2025")</f>
        <v/>
      </c>
      <c r="Y50">
        <f>HYPERLINK("https://klasma.github.io/Logging_2039/kartor_geotiff/A 43051-2025 georefererad karta.tif", "A 43051-2025")</f>
        <v/>
      </c>
      <c r="AA50">
        <f>HYPERLINK("https://klasma.github.io/Logging_2039/klagomål/A 43051-2025 FSC-klagomål.docx", "A 43051-2025")</f>
        <v/>
      </c>
      <c r="AB50">
        <f>HYPERLINK("https://klasma.github.io/Logging_2039/klagomålsmail/A 43051-2025 FSC-klagomål mail.docx", "A 43051-2025")</f>
        <v/>
      </c>
      <c r="AC50">
        <f>HYPERLINK("https://klasma.github.io/Logging_2039/tillsyn/A 43051-2025 tillsynsbegäran.docx", "A 43051-2025")</f>
        <v/>
      </c>
      <c r="AD50">
        <f>HYPERLINK("https://klasma.github.io/Logging_2039/tillsynsmail/A 43051-2025 tillsynsbegäran mail.docx", "A 43051-2025")</f>
        <v/>
      </c>
      <c r="AE50">
        <f>HYPERLINK("https://klasma.github.io/Logging_2039/fåglar/A 43051-2025 prioriterade fågelarter.docx", "A 43051-2025")</f>
        <v/>
      </c>
    </row>
    <row r="51" ht="15" customHeight="1">
      <c r="A51" t="inlineStr">
        <is>
          <t>A 39759-2025</t>
        </is>
      </c>
      <c r="B51" t="inlineStr">
        <is>
          <t>avverkningsanmälan</t>
        </is>
      </c>
      <c r="C51" t="inlineStr">
        <is>
          <t>Föryngringsavverkning</t>
        </is>
      </c>
      <c r="D51" s="1" t="n">
        <v>45891</v>
      </c>
      <c r="E51" s="1" t="n">
        <v>46224</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t="n">
        <v>45</v>
      </c>
      <c r="V51" s="2" t="inlineStr">
        <is>
          <t>Garnlav
Dropptaggsvamp
Fjällig taggsvamp s.str.
Kolflarnlav
Mörk kolflarnlav
Talltita
Violettgrå tagellav
Trådticka
Spillkråka
Kungsfågel
Revlummer</t>
        </is>
      </c>
      <c r="W51">
        <f>HYPERLINK("https://klasma.github.io/Logging_2039/artfynd/A 39759-2025 artfynd.xlsx", "A 39759-2025")</f>
        <v/>
      </c>
      <c r="X51">
        <f>HYPERLINK("https://klasma.github.io/Logging_2039/kartor/A 39759-2025 karta.png", "A 39759-2025")</f>
        <v/>
      </c>
      <c r="Y51">
        <f>HYPERLINK("https://klasma.github.io/Logging_2039/kartor_geotiff/A 39759-2025 georefererad karta.tif", "A 39759-2025")</f>
        <v/>
      </c>
      <c r="AA51">
        <f>HYPERLINK("https://klasma.github.io/Logging_2039/klagomål/A 39759-2025 FSC-klagomål.docx", "A 39759-2025")</f>
        <v/>
      </c>
      <c r="AB51">
        <f>HYPERLINK("https://klasma.github.io/Logging_2039/klagomålsmail/A 39759-2025 FSC-klagomål mail.docx", "A 39759-2025")</f>
        <v/>
      </c>
      <c r="AC51">
        <f>HYPERLINK("https://klasma.github.io/Logging_2039/tillsyn/A 39759-2025 tillsynsbegäran.docx", "A 39759-2025")</f>
        <v/>
      </c>
      <c r="AD51">
        <f>HYPERLINK("https://klasma.github.io/Logging_2039/tillsynsmail/A 39759-2025 tillsynsbegäran mail.docx", "A 39759-2025")</f>
        <v/>
      </c>
      <c r="AE51">
        <f>HYPERLINK("https://klasma.github.io/Logging_2039/fåglar/A 39759-2025 prioriterade fågelarter.docx", "A 39759-2025")</f>
        <v/>
      </c>
    </row>
    <row r="52" ht="15" customHeight="1">
      <c r="A52" t="inlineStr">
        <is>
          <t>A 49064-2025</t>
        </is>
      </c>
      <c r="B52" t="inlineStr">
        <is>
          <t>avverkningsanmälan</t>
        </is>
      </c>
      <c r="C52" t="inlineStr">
        <is>
          <t>Föryngringsavverkning</t>
        </is>
      </c>
      <c r="D52" s="1" t="n">
        <v>45937</v>
      </c>
      <c r="E52" s="1" t="n">
        <v>46224</v>
      </c>
      <c r="F52" t="inlineStr">
        <is>
          <t>DALARNAS LÄN</t>
        </is>
      </c>
      <c r="G52" t="inlineStr">
        <is>
          <t>ÄLVDALEN</t>
        </is>
      </c>
      <c r="H52" t="inlineStr">
        <is>
          <t>Allmännings- och besparingsskogar</t>
        </is>
      </c>
      <c r="I52" t="n">
        <v>16.7</v>
      </c>
      <c r="J52" t="n">
        <v>4</v>
      </c>
      <c r="K52" t="n">
        <v>1</v>
      </c>
      <c r="L52" t="n">
        <v>6</v>
      </c>
      <c r="M52" t="n">
        <v>1</v>
      </c>
      <c r="N52" t="n">
        <v>0</v>
      </c>
      <c r="O52" t="n">
        <v>0</v>
      </c>
      <c r="P52" t="n">
        <v>0</v>
      </c>
      <c r="Q52" t="n">
        <v>7</v>
      </c>
      <c r="R52" t="n">
        <v>1</v>
      </c>
      <c r="S52" t="n">
        <v>11</v>
      </c>
      <c r="T52" t="n">
        <v>147</v>
      </c>
      <c r="U52" t="n">
        <v>147</v>
      </c>
      <c r="V52" s="2" t="inlineStr">
        <is>
          <t>Garnlav
Dropptaggsvamp
Kolflarnlav
Mörk kolflarnlav
Talltita
Vedflamlav
Vedskivlav
Mindre märgborre
Spillkråka
Tjäder
Kungsfågel</t>
        </is>
      </c>
      <c r="W52">
        <f>HYPERLINK("https://klasma.github.io/Logging_2039/artfynd/A 49064-2025 artfynd.xlsx", "A 49064-2025")</f>
        <v/>
      </c>
      <c r="X52">
        <f>HYPERLINK("https://klasma.github.io/Logging_2039/kartor/A 49064-2025 karta.png", "A 49064-2025")</f>
        <v/>
      </c>
      <c r="Y52">
        <f>HYPERLINK("https://klasma.github.io/Logging_2039/kartor_geotiff/A 49064-2025 georefererad karta.tif", "A 49064-2025")</f>
        <v/>
      </c>
      <c r="AA52">
        <f>HYPERLINK("https://klasma.github.io/Logging_2039/klagomål/A 49064-2025 FSC-klagomål.docx", "A 49064-2025")</f>
        <v/>
      </c>
      <c r="AB52">
        <f>HYPERLINK("https://klasma.github.io/Logging_2039/klagomålsmail/A 49064-2025 FSC-klagomål mail.docx", "A 49064-2025")</f>
        <v/>
      </c>
      <c r="AC52">
        <f>HYPERLINK("https://klasma.github.io/Logging_2039/tillsyn/A 49064-2025 tillsynsbegäran.docx", "A 49064-2025")</f>
        <v/>
      </c>
      <c r="AD52">
        <f>HYPERLINK("https://klasma.github.io/Logging_2039/tillsynsmail/A 49064-2025 tillsynsbegäran mail.docx", "A 49064-2025")</f>
        <v/>
      </c>
      <c r="AE52">
        <f>HYPERLINK("https://klasma.github.io/Logging_2039/fåglar/A 49064-2025 prioriterade fågelarter.docx", "A 49064-2025")</f>
        <v/>
      </c>
    </row>
    <row r="53" ht="15" customHeight="1">
      <c r="A53" t="inlineStr">
        <is>
          <t>A 39267-2021</t>
        </is>
      </c>
      <c r="B53" t="inlineStr">
        <is>
          <t>avverkningsanmälan</t>
        </is>
      </c>
      <c r="C53" t="inlineStr">
        <is>
          <t>Avverkning för annat ändamål</t>
        </is>
      </c>
      <c r="D53" s="1" t="n">
        <v>44413</v>
      </c>
      <c r="E53" s="1" t="n">
        <v>46224</v>
      </c>
      <c r="F53" t="inlineStr">
        <is>
          <t>DALARNAS LÄN</t>
        </is>
      </c>
      <c r="G53" t="inlineStr">
        <is>
          <t>ÄLVDALEN</t>
        </is>
      </c>
      <c r="I53" t="n">
        <v>2.4</v>
      </c>
      <c r="J53" t="n">
        <v>5</v>
      </c>
      <c r="K53" t="n">
        <v>1</v>
      </c>
      <c r="L53" t="n">
        <v>4</v>
      </c>
      <c r="M53" t="n">
        <v>2</v>
      </c>
      <c r="N53" t="n">
        <v>0</v>
      </c>
      <c r="O53" t="n">
        <v>0</v>
      </c>
      <c r="P53" t="n">
        <v>0</v>
      </c>
      <c r="Q53" t="n">
        <v>6</v>
      </c>
      <c r="R53" t="n">
        <v>2</v>
      </c>
      <c r="S53" t="n">
        <v>10</v>
      </c>
      <c r="T53" t="n">
        <v>27</v>
      </c>
      <c r="U53" t="n">
        <v>27</v>
      </c>
      <c r="V53" s="2" t="inlineStr">
        <is>
          <t>Garnlav
Knärot
Tretåig hackspett
Ullticka
Vedskivlav
Violettgrå tagellav
Vedticka
Spillkråka
Kungsfågel
Revlummer</t>
        </is>
      </c>
      <c r="W53">
        <f>HYPERLINK("https://klasma.github.io/Logging_2039/artfynd/A 39267-2021 artfynd.xlsx", "A 39267-2021")</f>
        <v/>
      </c>
      <c r="X53">
        <f>HYPERLINK("https://klasma.github.io/Logging_2039/kartor/A 39267-2021 karta.png", "A 39267-2021")</f>
        <v/>
      </c>
      <c r="Y53">
        <f>HYPERLINK("https://klasma.github.io/Logging_2039/kartor_geotiff/A 39267-2021 georefererad karta.tif", "A 39267-2021")</f>
        <v/>
      </c>
      <c r="Z53">
        <f>HYPERLINK("https://klasma.github.io/Logging_2039/knärot/A 39267-2021 karta knärot.png", "A 39267-2021")</f>
        <v/>
      </c>
      <c r="AA53">
        <f>HYPERLINK("https://klasma.github.io/Logging_2039/klagomål/A 39267-2021 FSC-klagomål.docx", "A 39267-2021")</f>
        <v/>
      </c>
      <c r="AB53">
        <f>HYPERLINK("https://klasma.github.io/Logging_2039/klagomålsmail/A 39267-2021 FSC-klagomål mail.docx", "A 39267-2021")</f>
        <v/>
      </c>
      <c r="AC53">
        <f>HYPERLINK("https://klasma.github.io/Logging_2039/tillsyn/A 39267-2021 tillsynsbegäran.docx", "A 39267-2021")</f>
        <v/>
      </c>
      <c r="AD53">
        <f>HYPERLINK("https://klasma.github.io/Logging_2039/tillsynsmail/A 39267-2021 tillsynsbegäran mail.docx", "A 39267-2021")</f>
        <v/>
      </c>
      <c r="AE53">
        <f>HYPERLINK("https://klasma.github.io/Logging_2039/fåglar/A 39267-2021 prioriterade fågelarter.docx", "A 39267-2021")</f>
        <v/>
      </c>
    </row>
    <row r="54" ht="15" customHeight="1">
      <c r="A54" t="inlineStr">
        <is>
          <t>A 61999-2025</t>
        </is>
      </c>
      <c r="B54" t="inlineStr">
        <is>
          <t>avverkningsanmälan</t>
        </is>
      </c>
      <c r="C54" t="inlineStr">
        <is>
          <t>Föryngringsavverkning</t>
        </is>
      </c>
      <c r="D54" s="1" t="n">
        <v>46003</v>
      </c>
      <c r="E54" s="1" t="n">
        <v>46224</v>
      </c>
      <c r="F54" t="inlineStr">
        <is>
          <t>DALARNAS LÄN</t>
        </is>
      </c>
      <c r="G54" t="inlineStr">
        <is>
          <t>ÄLVDALEN</t>
        </is>
      </c>
      <c r="I54" t="n">
        <v>9.199999999999999</v>
      </c>
      <c r="J54" t="n">
        <v>5</v>
      </c>
      <c r="K54" t="n">
        <v>2</v>
      </c>
      <c r="L54" t="n">
        <v>2</v>
      </c>
      <c r="M54" t="n">
        <v>1</v>
      </c>
      <c r="N54" t="n">
        <v>0</v>
      </c>
      <c r="O54" t="n">
        <v>0</v>
      </c>
      <c r="P54" t="n">
        <v>0</v>
      </c>
      <c r="Q54" t="n">
        <v>3</v>
      </c>
      <c r="R54" t="n">
        <v>1</v>
      </c>
      <c r="S54" t="n">
        <v>10</v>
      </c>
      <c r="T54" t="n">
        <v>38</v>
      </c>
      <c r="U54" t="n">
        <v>37</v>
      </c>
      <c r="V54" s="2" t="inlineStr">
        <is>
          <t>Garnlav
Skogshare
Tallticka
Björksplintborre
Mindre märgborre
Spillkråka
Tjäder
Kungsfågel
Orre
Utter</t>
        </is>
      </c>
      <c r="W54">
        <f>HYPERLINK("https://klasma.github.io/Logging_2039/artfynd/A 61999-2025 artfynd.xlsx", "A 61999-2025")</f>
        <v/>
      </c>
      <c r="X54">
        <f>HYPERLINK("https://klasma.github.io/Logging_2039/kartor/A 61999-2025 karta.png", "A 61999-2025")</f>
        <v/>
      </c>
      <c r="Y54">
        <f>HYPERLINK("https://klasma.github.io/Logging_2039/kartor_geotiff/A 61999-2025 georefererad karta.tif", "A 61999-2025")</f>
        <v/>
      </c>
      <c r="AA54">
        <f>HYPERLINK("https://klasma.github.io/Logging_2039/klagomål/A 61999-2025 FSC-klagomål.docx", "A 61999-2025")</f>
        <v/>
      </c>
      <c r="AB54">
        <f>HYPERLINK("https://klasma.github.io/Logging_2039/klagomålsmail/A 61999-2025 FSC-klagomål mail.docx", "A 61999-2025")</f>
        <v/>
      </c>
      <c r="AC54">
        <f>HYPERLINK("https://klasma.github.io/Logging_2039/tillsyn/A 61999-2025 tillsynsbegäran.docx", "A 61999-2025")</f>
        <v/>
      </c>
      <c r="AD54">
        <f>HYPERLINK("https://klasma.github.io/Logging_2039/tillsynsmail/A 61999-2025 tillsynsbegäran mail.docx", "A 61999-2025")</f>
        <v/>
      </c>
      <c r="AE54">
        <f>HYPERLINK("https://klasma.github.io/Logging_2039/fåglar/A 61999-2025 prioriterade fågelarter.docx", "A 61999-2025")</f>
        <v/>
      </c>
    </row>
    <row r="55" ht="15" customHeight="1">
      <c r="A55" t="inlineStr">
        <is>
          <t>A 38582-2023</t>
        </is>
      </c>
      <c r="B55" t="inlineStr">
        <is>
          <t>avverkningsanmälan</t>
        </is>
      </c>
      <c r="C55" t="inlineStr">
        <is>
          <t>Föryngringsavverkning</t>
        </is>
      </c>
      <c r="D55" s="1" t="n">
        <v>45162</v>
      </c>
      <c r="E55" s="1" t="n">
        <v>46224</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41753-2025</t>
        </is>
      </c>
      <c r="B56" t="inlineStr">
        <is>
          <t>avverkningsanmälan</t>
        </is>
      </c>
      <c r="C56" t="inlineStr">
        <is>
          <t>Föryngringsavverkning</t>
        </is>
      </c>
      <c r="D56" s="1" t="n">
        <v>45902</v>
      </c>
      <c r="E56" s="1" t="n">
        <v>46224</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t="n">
        <v>1</v>
      </c>
      <c r="V56" s="2" t="inlineStr">
        <is>
          <t>Fläckporing
Blå taggsvamp
Dropptaggsvamp
Dvärgbägarlav
Kolflarnlav
Mörk kolflarnlav
Orange taggsvamp
Talltaggsvamp
Varglav
Vedflamlav</t>
        </is>
      </c>
      <c r="W56">
        <f>HYPERLINK("https://klasma.github.io/Logging_2039/artfynd/A 41753-2025 artfynd.xlsx", "A 41753-2025")</f>
        <v/>
      </c>
      <c r="X56">
        <f>HYPERLINK("https://klasma.github.io/Logging_2039/kartor/A 41753-2025 karta.png", "A 41753-2025")</f>
        <v/>
      </c>
      <c r="Y56">
        <f>HYPERLINK("https://klasma.github.io/Logging_2039/kartor_geotiff/A 41753-2025 georefererad karta.tif", "A 41753-2025")</f>
        <v/>
      </c>
      <c r="AA56">
        <f>HYPERLINK("https://klasma.github.io/Logging_2039/klagomål/A 41753-2025 FSC-klagomål.docx", "A 41753-2025")</f>
        <v/>
      </c>
      <c r="AB56">
        <f>HYPERLINK("https://klasma.github.io/Logging_2039/klagomålsmail/A 41753-2025 FSC-klagomål mail.docx", "A 41753-2025")</f>
        <v/>
      </c>
      <c r="AC56">
        <f>HYPERLINK("https://klasma.github.io/Logging_2039/tillsyn/A 41753-2025 tillsynsbegäran.docx", "A 41753-2025")</f>
        <v/>
      </c>
      <c r="AD56">
        <f>HYPERLINK("https://klasma.github.io/Logging_2039/tillsynsmail/A 41753-2025 tillsynsbegäran mail.docx", "A 41753-2025")</f>
        <v/>
      </c>
    </row>
    <row r="57" ht="15" customHeight="1">
      <c r="A57" t="inlineStr">
        <is>
          <t>A 40444-2025</t>
        </is>
      </c>
      <c r="B57" t="inlineStr">
        <is>
          <t>avverkningsanmälan</t>
        </is>
      </c>
      <c r="C57" t="inlineStr">
        <is>
          <t>Föryngringsavverkning</t>
        </is>
      </c>
      <c r="D57" s="1" t="n">
        <v>45895</v>
      </c>
      <c r="E57" s="1" t="n">
        <v>46224</v>
      </c>
      <c r="F57" t="inlineStr">
        <is>
          <t>DALARNAS LÄN</t>
        </is>
      </c>
      <c r="G57" t="inlineStr">
        <is>
          <t>ÄLVDALEN</t>
        </is>
      </c>
      <c r="I57" t="n">
        <v>7.4</v>
      </c>
      <c r="J57" t="n">
        <v>2</v>
      </c>
      <c r="K57" t="n">
        <v>1</v>
      </c>
      <c r="L57" t="n">
        <v>8</v>
      </c>
      <c r="M57" t="n">
        <v>1</v>
      </c>
      <c r="N57" t="n">
        <v>0</v>
      </c>
      <c r="O57" t="n">
        <v>0</v>
      </c>
      <c r="P57" t="n">
        <v>0</v>
      </c>
      <c r="Q57" t="n">
        <v>9</v>
      </c>
      <c r="R57" t="n">
        <v>1</v>
      </c>
      <c r="S57" t="n">
        <v>10</v>
      </c>
      <c r="T57" t="n">
        <v>19</v>
      </c>
      <c r="U57" t="n">
        <v>19</v>
      </c>
      <c r="V57" s="2" t="inlineStr">
        <is>
          <t>Garnlav
Blanksvart spiklav
Blågrå svartspik
Dropptaggsvamp
Lavskrika
Mörk kolflarnlav
Talltita
Vedflamlav
Vedskivlav
Vedticka</t>
        </is>
      </c>
      <c r="W57">
        <f>HYPERLINK("https://klasma.github.io/Logging_2039/artfynd/A 40444-2025 artfynd.xlsx", "A 40444-2025")</f>
        <v/>
      </c>
      <c r="X57">
        <f>HYPERLINK("https://klasma.github.io/Logging_2039/kartor/A 40444-2025 karta.png", "A 40444-2025")</f>
        <v/>
      </c>
      <c r="Y57">
        <f>HYPERLINK("https://klasma.github.io/Logging_2039/kartor_geotiff/A 40444-2025 georefererad karta.tif", "A 40444-2025")</f>
        <v/>
      </c>
      <c r="AA57">
        <f>HYPERLINK("https://klasma.github.io/Logging_2039/klagomål/A 40444-2025 FSC-klagomål.docx", "A 40444-2025")</f>
        <v/>
      </c>
      <c r="AB57">
        <f>HYPERLINK("https://klasma.github.io/Logging_2039/klagomålsmail/A 40444-2025 FSC-klagomål mail.docx", "A 40444-2025")</f>
        <v/>
      </c>
      <c r="AC57">
        <f>HYPERLINK("https://klasma.github.io/Logging_2039/tillsyn/A 40444-2025 tillsynsbegäran.docx", "A 40444-2025")</f>
        <v/>
      </c>
      <c r="AD57">
        <f>HYPERLINK("https://klasma.github.io/Logging_2039/tillsynsmail/A 40444-2025 tillsynsbegäran mail.docx", "A 40444-2025")</f>
        <v/>
      </c>
      <c r="AE57">
        <f>HYPERLINK("https://klasma.github.io/Logging_2039/fåglar/A 40444-2025 prioriterade fågelarter.docx", "A 40444-2025")</f>
        <v/>
      </c>
    </row>
    <row r="58" ht="15" customHeight="1">
      <c r="A58" t="inlineStr">
        <is>
          <t>A 2221-2026</t>
        </is>
      </c>
      <c r="B58" t="inlineStr">
        <is>
          <t>avverkningsanmälan</t>
        </is>
      </c>
      <c r="C58" t="inlineStr">
        <is>
          <t>Föryngringsavverkning</t>
        </is>
      </c>
      <c r="D58" s="1" t="n">
        <v>46036</v>
      </c>
      <c r="E58" s="1" t="n">
        <v>46224</v>
      </c>
      <c r="F58" t="inlineStr">
        <is>
          <t>DALARNAS LÄN</t>
        </is>
      </c>
      <c r="G58" t="inlineStr">
        <is>
          <t>ÄLVDALEN</t>
        </is>
      </c>
      <c r="H58" t="inlineStr">
        <is>
          <t>Allmännings- och besparingsskogar</t>
        </is>
      </c>
      <c r="I58" t="n">
        <v>3</v>
      </c>
      <c r="J58" t="n">
        <v>3</v>
      </c>
      <c r="K58" t="n">
        <v>1</v>
      </c>
      <c r="L58" t="n">
        <v>7</v>
      </c>
      <c r="M58" t="n">
        <v>1</v>
      </c>
      <c r="N58" t="n">
        <v>0</v>
      </c>
      <c r="O58" t="n">
        <v>0</v>
      </c>
      <c r="P58" t="n">
        <v>0</v>
      </c>
      <c r="Q58" t="n">
        <v>8</v>
      </c>
      <c r="R58" t="n">
        <v>1</v>
      </c>
      <c r="S58" t="n">
        <v>10</v>
      </c>
      <c r="T58" t="n">
        <v>25</v>
      </c>
      <c r="U58" t="n">
        <v>0</v>
      </c>
      <c r="V58" s="2" t="inlineStr">
        <is>
          <t>Garnlav
Blanksvart spiklav
Kolflarnlav
Mörk kolflarnlav
Tretåig hackspett
Varglav
Vedflamlav
Vedskivlav
Vågbandad barkbock
Orre</t>
        </is>
      </c>
      <c r="W58">
        <f>HYPERLINK("https://klasma.github.io/Logging_2039/artfynd/A 2221-2026 artfynd.xlsx", "A 2221-2026")</f>
        <v/>
      </c>
      <c r="X58">
        <f>HYPERLINK("https://klasma.github.io/Logging_2039/kartor/A 2221-2026 karta.png", "A 2221-2026")</f>
        <v/>
      </c>
      <c r="Y58">
        <f>HYPERLINK("https://klasma.github.io/Logging_2039/kartor_geotiff/A 2221-2026 georefererad karta.tif", "A 2221-2026")</f>
        <v/>
      </c>
      <c r="AA58">
        <f>HYPERLINK("https://klasma.github.io/Logging_2039/klagomål/A 2221-2026 FSC-klagomål.docx", "A 2221-2026")</f>
        <v/>
      </c>
      <c r="AB58">
        <f>HYPERLINK("https://klasma.github.io/Logging_2039/klagomålsmail/A 2221-2026 FSC-klagomål mail.docx", "A 2221-2026")</f>
        <v/>
      </c>
      <c r="AC58">
        <f>HYPERLINK("https://klasma.github.io/Logging_2039/tillsyn/A 2221-2026 tillsynsbegäran.docx", "A 2221-2026")</f>
        <v/>
      </c>
      <c r="AD58">
        <f>HYPERLINK("https://klasma.github.io/Logging_2039/tillsynsmail/A 2221-2026 tillsynsbegäran mail.docx", "A 2221-2026")</f>
        <v/>
      </c>
      <c r="AE58">
        <f>HYPERLINK("https://klasma.github.io/Logging_2039/fåglar/A 2221-2026 prioriterade fågelarter.docx", "A 2221-2026")</f>
        <v/>
      </c>
    </row>
    <row r="59" ht="15" customHeight="1">
      <c r="A59" t="inlineStr">
        <is>
          <t>A 34765-2025</t>
        </is>
      </c>
      <c r="B59" t="inlineStr">
        <is>
          <t>avverkningsanmälan</t>
        </is>
      </c>
      <c r="C59" t="inlineStr">
        <is>
          <t>Föryngringsavverkning</t>
        </is>
      </c>
      <c r="D59" s="1" t="n">
        <v>45848</v>
      </c>
      <c r="E59" s="1" t="n">
        <v>46224</v>
      </c>
      <c r="F59" t="inlineStr">
        <is>
          <t>DALARNAS LÄN</t>
        </is>
      </c>
      <c r="G59" t="inlineStr">
        <is>
          <t>ÄLVDALEN</t>
        </is>
      </c>
      <c r="H59" t="inlineStr">
        <is>
          <t>Allmännings- och besparingsskogar</t>
        </is>
      </c>
      <c r="I59" t="n">
        <v>32.9</v>
      </c>
      <c r="J59" t="n">
        <v>3</v>
      </c>
      <c r="K59" t="n">
        <v>1</v>
      </c>
      <c r="L59" t="n">
        <v>5</v>
      </c>
      <c r="M59" t="n">
        <v>1</v>
      </c>
      <c r="N59" t="n">
        <v>0</v>
      </c>
      <c r="O59" t="n">
        <v>0</v>
      </c>
      <c r="P59" t="n">
        <v>0</v>
      </c>
      <c r="Q59" t="n">
        <v>6</v>
      </c>
      <c r="R59" t="n">
        <v>1</v>
      </c>
      <c r="S59" t="n">
        <v>10</v>
      </c>
      <c r="T59" t="n">
        <v>69</v>
      </c>
      <c r="U59" t="n">
        <v>69</v>
      </c>
      <c r="V59" s="2" t="inlineStr">
        <is>
          <t>Garnlav
Kolflarnlav
Mörk kolflarnlav
Tallticka
Vedflamlav
Vedskivlav
Mindre märgborre
Järpe
Spillkråka
Tjäder</t>
        </is>
      </c>
      <c r="W59">
        <f>HYPERLINK("https://klasma.github.io/Logging_2039/artfynd/A 34765-2025 artfynd.xlsx", "A 34765-2025")</f>
        <v/>
      </c>
      <c r="X59">
        <f>HYPERLINK("https://klasma.github.io/Logging_2039/kartor/A 34765-2025 karta.png", "A 34765-2025")</f>
        <v/>
      </c>
      <c r="Y59">
        <f>HYPERLINK("https://klasma.github.io/Logging_2039/kartor_geotiff/A 34765-2025 georefererad karta.tif", "A 34765-2025")</f>
        <v/>
      </c>
      <c r="AA59">
        <f>HYPERLINK("https://klasma.github.io/Logging_2039/klagomål/A 34765-2025 FSC-klagomål.docx", "A 34765-2025")</f>
        <v/>
      </c>
      <c r="AB59">
        <f>HYPERLINK("https://klasma.github.io/Logging_2039/klagomålsmail/A 34765-2025 FSC-klagomål mail.docx", "A 34765-2025")</f>
        <v/>
      </c>
      <c r="AC59">
        <f>HYPERLINK("https://klasma.github.io/Logging_2039/tillsyn/A 34765-2025 tillsynsbegäran.docx", "A 34765-2025")</f>
        <v/>
      </c>
      <c r="AD59">
        <f>HYPERLINK("https://klasma.github.io/Logging_2039/tillsynsmail/A 34765-2025 tillsynsbegäran mail.docx", "A 34765-2025")</f>
        <v/>
      </c>
      <c r="AE59">
        <f>HYPERLINK("https://klasma.github.io/Logging_2039/fåglar/A 34765-2025 prioriterade fågelarter.docx", "A 34765-2025")</f>
        <v/>
      </c>
    </row>
    <row r="60" ht="15" customHeight="1">
      <c r="A60" t="inlineStr">
        <is>
          <t>A 39762-2025</t>
        </is>
      </c>
      <c r="B60" t="inlineStr">
        <is>
          <t>avverkningsanmälan</t>
        </is>
      </c>
      <c r="C60" t="inlineStr">
        <is>
          <t>Föryngringsavverkning</t>
        </is>
      </c>
      <c r="D60" s="1" t="n">
        <v>45891</v>
      </c>
      <c r="E60" s="1" t="n">
        <v>46224</v>
      </c>
      <c r="F60" t="inlineStr">
        <is>
          <t>DALARNAS LÄN</t>
        </is>
      </c>
      <c r="G60" t="inlineStr">
        <is>
          <t>ÄLVDALEN</t>
        </is>
      </c>
      <c r="I60" t="n">
        <v>4.7</v>
      </c>
      <c r="J60" t="n">
        <v>4</v>
      </c>
      <c r="K60" t="n">
        <v>1</v>
      </c>
      <c r="L60" t="n">
        <v>5</v>
      </c>
      <c r="M60" t="n">
        <v>1</v>
      </c>
      <c r="N60" t="n">
        <v>1</v>
      </c>
      <c r="O60" t="n">
        <v>0</v>
      </c>
      <c r="P60" t="n">
        <v>0</v>
      </c>
      <c r="Q60" t="n">
        <v>7</v>
      </c>
      <c r="R60" t="n">
        <v>2</v>
      </c>
      <c r="S60" t="n">
        <v>10</v>
      </c>
      <c r="T60" t="n">
        <v>45</v>
      </c>
      <c r="U60" t="n">
        <v>45</v>
      </c>
      <c r="V60" s="2" t="inlineStr">
        <is>
          <t>Långt broktagel
Garnlav
Lavskrika
Tallticka
Tretåig hackspett
Vedskivlav
Violettgrå tagellav
Mindre märgborre
Spillkråka
Tjäder</t>
        </is>
      </c>
      <c r="W60">
        <f>HYPERLINK("https://klasma.github.io/Logging_2039/artfynd/A 39762-2025 artfynd.xlsx", "A 39762-2025")</f>
        <v/>
      </c>
      <c r="X60">
        <f>HYPERLINK("https://klasma.github.io/Logging_2039/kartor/A 39762-2025 karta.png", "A 39762-2025")</f>
        <v/>
      </c>
      <c r="Y60">
        <f>HYPERLINK("https://klasma.github.io/Logging_2039/kartor_geotiff/A 39762-2025 georefererad karta.tif", "A 39762-2025")</f>
        <v/>
      </c>
      <c r="AA60">
        <f>HYPERLINK("https://klasma.github.io/Logging_2039/klagomål/A 39762-2025 FSC-klagomål.docx", "A 39762-2025")</f>
        <v/>
      </c>
      <c r="AB60">
        <f>HYPERLINK("https://klasma.github.io/Logging_2039/klagomålsmail/A 39762-2025 FSC-klagomål mail.docx", "A 39762-2025")</f>
        <v/>
      </c>
      <c r="AC60">
        <f>HYPERLINK("https://klasma.github.io/Logging_2039/tillsyn/A 39762-2025 tillsynsbegäran.docx", "A 39762-2025")</f>
        <v/>
      </c>
      <c r="AD60">
        <f>HYPERLINK("https://klasma.github.io/Logging_2039/tillsynsmail/A 39762-2025 tillsynsbegäran mail.docx", "A 39762-2025")</f>
        <v/>
      </c>
      <c r="AE60">
        <f>HYPERLINK("https://klasma.github.io/Logging_2039/fåglar/A 39762-2025 prioriterade fågelarter.docx", "A 39762-2025")</f>
        <v/>
      </c>
    </row>
    <row r="61" ht="15" customHeight="1">
      <c r="A61" t="inlineStr">
        <is>
          <t>A 6098-2026</t>
        </is>
      </c>
      <c r="B61" t="inlineStr">
        <is>
          <t>avverkningsanmälan</t>
        </is>
      </c>
      <c r="C61" t="inlineStr">
        <is>
          <t>Föryngringsavverkning</t>
        </is>
      </c>
      <c r="D61" s="1" t="n">
        <v>46052</v>
      </c>
      <c r="E61" s="1" t="n">
        <v>46224</v>
      </c>
      <c r="F61" t="inlineStr">
        <is>
          <t>DALARNAS LÄN</t>
        </is>
      </c>
      <c r="G61" t="inlineStr">
        <is>
          <t>ÄLVDALEN</t>
        </is>
      </c>
      <c r="I61" t="n">
        <v>4.1</v>
      </c>
      <c r="J61" t="n">
        <v>4</v>
      </c>
      <c r="K61" t="n">
        <v>2</v>
      </c>
      <c r="L61" t="n">
        <v>4</v>
      </c>
      <c r="M61" t="n">
        <v>1</v>
      </c>
      <c r="N61" t="n">
        <v>0</v>
      </c>
      <c r="O61" t="n">
        <v>0</v>
      </c>
      <c r="P61" t="n">
        <v>0</v>
      </c>
      <c r="Q61" t="n">
        <v>5</v>
      </c>
      <c r="R61" t="n">
        <v>1</v>
      </c>
      <c r="S61" t="n">
        <v>10</v>
      </c>
      <c r="T61" t="n">
        <v>41</v>
      </c>
      <c r="U61" t="n">
        <v>41</v>
      </c>
      <c r="V61" s="2" t="inlineStr">
        <is>
          <t>Garnlav
Kolflarnlav
Mörk kolflarnlav
Tretåig hackspett
Vedskivlav
Björksplintborre
Mindre märgborre
Spillkråka
Tjäder
Orre</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23427-2025</t>
        </is>
      </c>
      <c r="B62" t="inlineStr">
        <is>
          <t>avverkningsanmälan</t>
        </is>
      </c>
      <c r="C62" t="inlineStr">
        <is>
          <t>Föryngringsavverkning</t>
        </is>
      </c>
      <c r="D62" s="1" t="n">
        <v>45792</v>
      </c>
      <c r="E62" s="1" t="n">
        <v>46224</v>
      </c>
      <c r="F62" t="inlineStr">
        <is>
          <t>DALARNAS LÄN</t>
        </is>
      </c>
      <c r="G62" t="inlineStr">
        <is>
          <t>ÄLVDALEN</t>
        </is>
      </c>
      <c r="H62" t="inlineStr">
        <is>
          <t>Bergvik skog väst AB</t>
        </is>
      </c>
      <c r="I62" t="n">
        <v>11.7</v>
      </c>
      <c r="J62" t="n">
        <v>5</v>
      </c>
      <c r="K62" t="n">
        <v>1</v>
      </c>
      <c r="L62" t="n">
        <v>5</v>
      </c>
      <c r="M62" t="n">
        <v>1</v>
      </c>
      <c r="N62" t="n">
        <v>0</v>
      </c>
      <c r="O62" t="n">
        <v>0</v>
      </c>
      <c r="P62" t="n">
        <v>0</v>
      </c>
      <c r="Q62" t="n">
        <v>6</v>
      </c>
      <c r="R62" t="n">
        <v>1</v>
      </c>
      <c r="S62" t="n">
        <v>10</v>
      </c>
      <c r="T62" t="n">
        <v>18</v>
      </c>
      <c r="U62" t="n">
        <v>18</v>
      </c>
      <c r="V62" s="2" t="inlineStr">
        <is>
          <t>Garnlav
Blanksvart spiklav
Blågrå svartspik
Tretåig hackspett
Varglav
Vedflamlav
Bronshjon
Tjäder
Fläcknycklar
Revlummer</t>
        </is>
      </c>
      <c r="W62">
        <f>HYPERLINK("https://klasma.github.io/Logging_2039/artfynd/A 23427-2025 artfynd.xlsx", "A 23427-2025")</f>
        <v/>
      </c>
      <c r="X62">
        <f>HYPERLINK("https://klasma.github.io/Logging_2039/kartor/A 23427-2025 karta.png", "A 23427-2025")</f>
        <v/>
      </c>
      <c r="Y62">
        <f>HYPERLINK("https://klasma.github.io/Logging_2039/kartor_geotiff/A 23427-2025 georefererad karta.tif", "A 23427-2025")</f>
        <v/>
      </c>
      <c r="AA62">
        <f>HYPERLINK("https://klasma.github.io/Logging_2039/klagomål/A 23427-2025 FSC-klagomål.docx", "A 23427-2025")</f>
        <v/>
      </c>
      <c r="AB62">
        <f>HYPERLINK("https://klasma.github.io/Logging_2039/klagomålsmail/A 23427-2025 FSC-klagomål mail.docx", "A 23427-2025")</f>
        <v/>
      </c>
      <c r="AC62">
        <f>HYPERLINK("https://klasma.github.io/Logging_2039/tillsyn/A 23427-2025 tillsynsbegäran.docx", "A 23427-2025")</f>
        <v/>
      </c>
      <c r="AD62">
        <f>HYPERLINK("https://klasma.github.io/Logging_2039/tillsynsmail/A 23427-2025 tillsynsbegäran mail.docx", "A 23427-2025")</f>
        <v/>
      </c>
      <c r="AE62">
        <f>HYPERLINK("https://klasma.github.io/Logging_2039/fåglar/A 23427-2025 prioriterade fågelarter.docx", "A 23427-2025")</f>
        <v/>
      </c>
    </row>
    <row r="63" ht="15" customHeight="1">
      <c r="A63" t="inlineStr">
        <is>
          <t>A 1159-2026</t>
        </is>
      </c>
      <c r="B63" t="inlineStr">
        <is>
          <t>avverkningsanmälan</t>
        </is>
      </c>
      <c r="C63" t="inlineStr">
        <is>
          <t>Föryngringsavverkning</t>
        </is>
      </c>
      <c r="D63" s="1" t="n">
        <v>46031</v>
      </c>
      <c r="E63" s="1" t="n">
        <v>46224</v>
      </c>
      <c r="F63" t="inlineStr">
        <is>
          <t>DALARNAS LÄN</t>
        </is>
      </c>
      <c r="G63" t="inlineStr">
        <is>
          <t>ÄLVDALEN</t>
        </is>
      </c>
      <c r="H63" t="inlineStr">
        <is>
          <t>Allmännings- och besparingsskogar</t>
        </is>
      </c>
      <c r="I63" t="n">
        <v>33.9</v>
      </c>
      <c r="J63" t="n">
        <v>3</v>
      </c>
      <c r="K63" t="n">
        <v>1</v>
      </c>
      <c r="L63" t="n">
        <v>5</v>
      </c>
      <c r="M63" t="n">
        <v>2</v>
      </c>
      <c r="N63" t="n">
        <v>0</v>
      </c>
      <c r="O63" t="n">
        <v>0</v>
      </c>
      <c r="P63" t="n">
        <v>0</v>
      </c>
      <c r="Q63" t="n">
        <v>7</v>
      </c>
      <c r="R63" t="n">
        <v>2</v>
      </c>
      <c r="S63" t="n">
        <v>10</v>
      </c>
      <c r="T63" t="n">
        <v>95</v>
      </c>
      <c r="U63" t="n">
        <v>95</v>
      </c>
      <c r="V63" s="2" t="inlineStr">
        <is>
          <t>Garnlav
Raggbock
Kolflarnlav
Mörk kolflarnlav
Tallticka
Tretåig hackspett
Vedflamlav
Mindre märgborre
Spillkråka
Kungsfågel</t>
        </is>
      </c>
      <c r="W63">
        <f>HYPERLINK("https://klasma.github.io/Logging_2039/artfynd/A 1159-2026 artfynd.xlsx", "A 1159-2026")</f>
        <v/>
      </c>
      <c r="X63">
        <f>HYPERLINK("https://klasma.github.io/Logging_2039/kartor/A 1159-2026 karta.png", "A 1159-2026")</f>
        <v/>
      </c>
      <c r="Y63">
        <f>HYPERLINK("https://klasma.github.io/Logging_2039/kartor_geotiff/A 1159-2026 georefererad karta.tif", "A 1159-2026")</f>
        <v/>
      </c>
      <c r="AA63">
        <f>HYPERLINK("https://klasma.github.io/Logging_2039/klagomål/A 1159-2026 FSC-klagomål.docx", "A 1159-2026")</f>
        <v/>
      </c>
      <c r="AB63">
        <f>HYPERLINK("https://klasma.github.io/Logging_2039/klagomålsmail/A 1159-2026 FSC-klagomål mail.docx", "A 1159-2026")</f>
        <v/>
      </c>
      <c r="AC63">
        <f>HYPERLINK("https://klasma.github.io/Logging_2039/tillsyn/A 1159-2026 tillsynsbegäran.docx", "A 1159-2026")</f>
        <v/>
      </c>
      <c r="AD63">
        <f>HYPERLINK("https://klasma.github.io/Logging_2039/tillsynsmail/A 1159-2026 tillsynsbegäran mail.docx", "A 1159-2026")</f>
        <v/>
      </c>
      <c r="AE63">
        <f>HYPERLINK("https://klasma.github.io/Logging_2039/fåglar/A 1159-2026 prioriterade fågelarter.docx", "A 1159-2026")</f>
        <v/>
      </c>
    </row>
    <row r="64" ht="15" customHeight="1">
      <c r="A64" t="inlineStr">
        <is>
          <t>A 15738-2025</t>
        </is>
      </c>
      <c r="B64" t="inlineStr">
        <is>
          <t>avverkningsanmälan</t>
        </is>
      </c>
      <c r="C64" t="inlineStr">
        <is>
          <t>Föryngringsavverkning</t>
        </is>
      </c>
      <c r="D64" s="1" t="n">
        <v>45748</v>
      </c>
      <c r="E64" s="1" t="n">
        <v>46224</v>
      </c>
      <c r="F64" t="inlineStr">
        <is>
          <t>DALARNAS LÄN</t>
        </is>
      </c>
      <c r="G64" t="inlineStr">
        <is>
          <t>ÄLVDALEN</t>
        </is>
      </c>
      <c r="I64" t="n">
        <v>4.5</v>
      </c>
      <c r="J64" t="n">
        <v>3</v>
      </c>
      <c r="K64" t="n">
        <v>2</v>
      </c>
      <c r="L64" t="n">
        <v>5</v>
      </c>
      <c r="M64" t="n">
        <v>1</v>
      </c>
      <c r="N64" t="n">
        <v>0</v>
      </c>
      <c r="O64" t="n">
        <v>0</v>
      </c>
      <c r="P64" t="n">
        <v>0</v>
      </c>
      <c r="Q64" t="n">
        <v>6</v>
      </c>
      <c r="R64" t="n">
        <v>1</v>
      </c>
      <c r="S64" t="n">
        <v>10</v>
      </c>
      <c r="T64" t="n">
        <v>38</v>
      </c>
      <c r="U64" t="n">
        <v>38</v>
      </c>
      <c r="V64" s="2" t="inlineStr">
        <is>
          <t>Garnlav
Doftskinn
Dropptaggsvamp
Talltita
Ullticka
Vedskivlav
Bronshjon
Mindre märgborre
Spillkråka
Tjäder</t>
        </is>
      </c>
      <c r="W64">
        <f>HYPERLINK("https://klasma.github.io/Logging_2039/artfynd/A 15738-2025 artfynd.xlsx", "A 15738-2025")</f>
        <v/>
      </c>
      <c r="X64">
        <f>HYPERLINK("https://klasma.github.io/Logging_2039/kartor/A 15738-2025 karta.png", "A 15738-2025")</f>
        <v/>
      </c>
      <c r="Y64">
        <f>HYPERLINK("https://klasma.github.io/Logging_2039/kartor_geotiff/A 15738-2025 georefererad karta.tif", "A 15738-2025")</f>
        <v/>
      </c>
      <c r="AA64">
        <f>HYPERLINK("https://klasma.github.io/Logging_2039/klagomål/A 15738-2025 FSC-klagomål.docx", "A 15738-2025")</f>
        <v/>
      </c>
      <c r="AB64">
        <f>HYPERLINK("https://klasma.github.io/Logging_2039/klagomålsmail/A 15738-2025 FSC-klagomål mail.docx", "A 15738-2025")</f>
        <v/>
      </c>
      <c r="AC64">
        <f>HYPERLINK("https://klasma.github.io/Logging_2039/tillsyn/A 15738-2025 tillsynsbegäran.docx", "A 15738-2025")</f>
        <v/>
      </c>
      <c r="AD64">
        <f>HYPERLINK("https://klasma.github.io/Logging_2039/tillsynsmail/A 15738-2025 tillsynsbegäran mail.docx", "A 15738-2025")</f>
        <v/>
      </c>
      <c r="AE64">
        <f>HYPERLINK("https://klasma.github.io/Logging_2039/fåglar/A 15738-2025 prioriterade fågelarter.docx", "A 15738-2025")</f>
        <v/>
      </c>
    </row>
    <row r="65" ht="15" customHeight="1">
      <c r="A65" t="inlineStr">
        <is>
          <t>A 32048-2025</t>
        </is>
      </c>
      <c r="B65" t="inlineStr">
        <is>
          <t>avverkningsanmälan</t>
        </is>
      </c>
      <c r="C65" t="inlineStr">
        <is>
          <t>Föryngringsavverkning</t>
        </is>
      </c>
      <c r="D65" s="1" t="n">
        <v>45835</v>
      </c>
      <c r="E65" s="1" t="n">
        <v>46224</v>
      </c>
      <c r="F65" t="inlineStr">
        <is>
          <t>DALARNAS LÄN</t>
        </is>
      </c>
      <c r="G65" t="inlineStr">
        <is>
          <t>ÄLVDALEN</t>
        </is>
      </c>
      <c r="I65" t="n">
        <v>6.7</v>
      </c>
      <c r="J65" t="n">
        <v>4</v>
      </c>
      <c r="K65" t="n">
        <v>0</v>
      </c>
      <c r="L65" t="n">
        <v>7</v>
      </c>
      <c r="M65" t="n">
        <v>1</v>
      </c>
      <c r="N65" t="n">
        <v>0</v>
      </c>
      <c r="O65" t="n">
        <v>0</v>
      </c>
      <c r="P65" t="n">
        <v>0</v>
      </c>
      <c r="Q65" t="n">
        <v>8</v>
      </c>
      <c r="R65" t="n">
        <v>1</v>
      </c>
      <c r="S65" t="n">
        <v>10</v>
      </c>
      <c r="T65" t="n">
        <v>83</v>
      </c>
      <c r="U65" t="n">
        <v>83</v>
      </c>
      <c r="V65" s="2" t="inlineStr">
        <is>
          <t>Garnlav
Doftskinn
Mörk kolflarnlav
Talltita
Tretåig hackspett
Vedflamlav
Vedskivlav
Vitgrynig nållav
Spillkråka
Tjäder</t>
        </is>
      </c>
      <c r="W65">
        <f>HYPERLINK("https://klasma.github.io/Logging_2039/artfynd/A 32048-2025 artfynd.xlsx", "A 32048-2025")</f>
        <v/>
      </c>
      <c r="X65">
        <f>HYPERLINK("https://klasma.github.io/Logging_2039/kartor/A 32048-2025 karta.png", "A 32048-2025")</f>
        <v/>
      </c>
      <c r="Y65">
        <f>HYPERLINK("https://klasma.github.io/Logging_2039/kartor_geotiff/A 32048-2025 georefererad karta.tif", "A 32048-2025")</f>
        <v/>
      </c>
      <c r="AA65">
        <f>HYPERLINK("https://klasma.github.io/Logging_2039/klagomål/A 32048-2025 FSC-klagomål.docx", "A 32048-2025")</f>
        <v/>
      </c>
      <c r="AB65">
        <f>HYPERLINK("https://klasma.github.io/Logging_2039/klagomålsmail/A 32048-2025 FSC-klagomål mail.docx", "A 32048-2025")</f>
        <v/>
      </c>
      <c r="AC65">
        <f>HYPERLINK("https://klasma.github.io/Logging_2039/tillsyn/A 32048-2025 tillsynsbegäran.docx", "A 32048-2025")</f>
        <v/>
      </c>
      <c r="AD65">
        <f>HYPERLINK("https://klasma.github.io/Logging_2039/tillsynsmail/A 32048-2025 tillsynsbegäran mail.docx", "A 32048-2025")</f>
        <v/>
      </c>
      <c r="AE65">
        <f>HYPERLINK("https://klasma.github.io/Logging_2039/fåglar/A 32048-2025 prioriterade fågelarter.docx", "A 32048-2025")</f>
        <v/>
      </c>
    </row>
    <row r="66" ht="15" customHeight="1">
      <c r="A66" t="inlineStr">
        <is>
          <t>A 17715-2024</t>
        </is>
      </c>
      <c r="B66" t="inlineStr">
        <is>
          <t>avverkningsanmälan</t>
        </is>
      </c>
      <c r="C66" t="inlineStr">
        <is>
          <t>Föryngringsavverkning</t>
        </is>
      </c>
      <c r="D66" s="1" t="n">
        <v>45415</v>
      </c>
      <c r="E66" s="1" t="n">
        <v>46224</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54671-2021</t>
        </is>
      </c>
      <c r="B67" t="inlineStr">
        <is>
          <t>avverkningsanmälan</t>
        </is>
      </c>
      <c r="C67" t="inlineStr">
        <is>
          <t>Föryngringsavverkning</t>
        </is>
      </c>
      <c r="D67" s="1" t="n">
        <v>44473</v>
      </c>
      <c r="E67" s="1" t="n">
        <v>46224</v>
      </c>
      <c r="F67" t="inlineStr">
        <is>
          <t>DALARNAS LÄN</t>
        </is>
      </c>
      <c r="G67" t="inlineStr">
        <is>
          <t>ÄLVDALEN</t>
        </is>
      </c>
      <c r="I67" t="n">
        <v>26.4</v>
      </c>
      <c r="J67" t="n">
        <v>4</v>
      </c>
      <c r="K67" t="n">
        <v>0</v>
      </c>
      <c r="L67" t="n">
        <v>4</v>
      </c>
      <c r="M67" t="n">
        <v>2</v>
      </c>
      <c r="N67" t="n">
        <v>0</v>
      </c>
      <c r="O67" t="n">
        <v>0</v>
      </c>
      <c r="P67" t="n">
        <v>0</v>
      </c>
      <c r="Q67" t="n">
        <v>6</v>
      </c>
      <c r="R67" t="n">
        <v>2</v>
      </c>
      <c r="S67" t="n">
        <v>9</v>
      </c>
      <c r="T67" t="n">
        <v>10</v>
      </c>
      <c r="U67" t="n">
        <v>6</v>
      </c>
      <c r="V67" s="2" t="inlineStr">
        <is>
          <t>Fläckporing
Timmerskapania
Kolflarnlav
Lavskrika
Mörk kolflarnlav
Ullticka
Tjäder
Orre
Revlummer</t>
        </is>
      </c>
      <c r="W67">
        <f>HYPERLINK("https://klasma.github.io/Logging_2039/artfynd/A 54671-2021 artfynd.xlsx", "A 54671-2021")</f>
        <v/>
      </c>
      <c r="X67">
        <f>HYPERLINK("https://klasma.github.io/Logging_2039/kartor/A 54671-2021 karta.png", "A 54671-2021")</f>
        <v/>
      </c>
      <c r="Y67">
        <f>HYPERLINK("https://klasma.github.io/Logging_2039/kartor_geotiff/A 54671-2021 georefererad karta.tif", "A 54671-2021")</f>
        <v/>
      </c>
      <c r="AA67">
        <f>HYPERLINK("https://klasma.github.io/Logging_2039/klagomål/A 54671-2021 FSC-klagomål.docx", "A 54671-2021")</f>
        <v/>
      </c>
      <c r="AB67">
        <f>HYPERLINK("https://klasma.github.io/Logging_2039/klagomålsmail/A 54671-2021 FSC-klagomål mail.docx", "A 54671-2021")</f>
        <v/>
      </c>
      <c r="AC67">
        <f>HYPERLINK("https://klasma.github.io/Logging_2039/tillsyn/A 54671-2021 tillsynsbegäran.docx", "A 54671-2021")</f>
        <v/>
      </c>
      <c r="AD67">
        <f>HYPERLINK("https://klasma.github.io/Logging_2039/tillsynsmail/A 54671-2021 tillsynsbegäran mail.docx", "A 54671-2021")</f>
        <v/>
      </c>
      <c r="AE67">
        <f>HYPERLINK("https://klasma.github.io/Logging_2039/fåglar/A 54671-2021 prioriterade fågelarter.docx", "A 54671-2021")</f>
        <v/>
      </c>
    </row>
    <row r="68" ht="15" customHeight="1">
      <c r="A68" t="inlineStr">
        <is>
          <t>A 41755-2025</t>
        </is>
      </c>
      <c r="B68" t="inlineStr">
        <is>
          <t>avverkningsanmälan</t>
        </is>
      </c>
      <c r="C68" t="inlineStr">
        <is>
          <t>Föryngringsavverkning</t>
        </is>
      </c>
      <c r="D68" s="1" t="n">
        <v>45902</v>
      </c>
      <c r="E68" s="1" t="n">
        <v>46224</v>
      </c>
      <c r="F68" t="inlineStr">
        <is>
          <t>DALARNAS LÄN</t>
        </is>
      </c>
      <c r="G68" t="inlineStr">
        <is>
          <t>ÄLVDALEN</t>
        </is>
      </c>
      <c r="H68" t="inlineStr">
        <is>
          <t>Sveaskog</t>
        </is>
      </c>
      <c r="I68" t="n">
        <v>18.2</v>
      </c>
      <c r="J68" t="n">
        <v>0</v>
      </c>
      <c r="K68" t="n">
        <v>0</v>
      </c>
      <c r="L68" t="n">
        <v>8</v>
      </c>
      <c r="M68" t="n">
        <v>1</v>
      </c>
      <c r="N68" t="n">
        <v>0</v>
      </c>
      <c r="O68" t="n">
        <v>0</v>
      </c>
      <c r="P68" t="n">
        <v>0</v>
      </c>
      <c r="Q68" t="n">
        <v>9</v>
      </c>
      <c r="R68" t="n">
        <v>1</v>
      </c>
      <c r="S68" t="n">
        <v>9</v>
      </c>
      <c r="T68" t="n">
        <v>44</v>
      </c>
      <c r="U68" t="n">
        <v>4</v>
      </c>
      <c r="V68" s="2" t="inlineStr">
        <is>
          <t>Gräddporing
Blå taggsvamp
Dropptaggsvamp
Kolflarnlav
Mörk kolflarnlav
Orange taggsvamp
Skarp dropptaggsvamp
Talltaggsvamp
Vedflamlav</t>
        </is>
      </c>
      <c r="W68">
        <f>HYPERLINK("https://klasma.github.io/Logging_2039/artfynd/A 41755-2025 artfynd.xlsx", "A 41755-2025")</f>
        <v/>
      </c>
      <c r="X68">
        <f>HYPERLINK("https://klasma.github.io/Logging_2039/kartor/A 41755-2025 karta.png", "A 41755-2025")</f>
        <v/>
      </c>
      <c r="Y68">
        <f>HYPERLINK("https://klasma.github.io/Logging_2039/kartor_geotiff/A 41755-2025 georefererad karta.tif", "A 41755-2025")</f>
        <v/>
      </c>
      <c r="AA68">
        <f>HYPERLINK("https://klasma.github.io/Logging_2039/klagomål/A 41755-2025 FSC-klagomål.docx", "A 41755-2025")</f>
        <v/>
      </c>
      <c r="AB68">
        <f>HYPERLINK("https://klasma.github.io/Logging_2039/klagomålsmail/A 41755-2025 FSC-klagomål mail.docx", "A 41755-2025")</f>
        <v/>
      </c>
      <c r="AC68">
        <f>HYPERLINK("https://klasma.github.io/Logging_2039/tillsyn/A 41755-2025 tillsynsbegäran.docx", "A 41755-2025")</f>
        <v/>
      </c>
      <c r="AD68">
        <f>HYPERLINK("https://klasma.github.io/Logging_2039/tillsynsmail/A 41755-2025 tillsynsbegäran mail.docx", "A 41755-2025")</f>
        <v/>
      </c>
    </row>
    <row r="69" ht="15" customHeight="1">
      <c r="A69" t="inlineStr">
        <is>
          <t>A 44785-2025</t>
        </is>
      </c>
      <c r="B69" t="inlineStr">
        <is>
          <t>avverkningsanmälan</t>
        </is>
      </c>
      <c r="C69" t="inlineStr">
        <is>
          <t>Föryngringsavverkning</t>
        </is>
      </c>
      <c r="D69" s="1" t="n">
        <v>45917</v>
      </c>
      <c r="E69" s="1" t="n">
        <v>46224</v>
      </c>
      <c r="F69" t="inlineStr">
        <is>
          <t>DALARNAS LÄN</t>
        </is>
      </c>
      <c r="G69" t="inlineStr">
        <is>
          <t>ÄLVDALEN</t>
        </is>
      </c>
      <c r="H69" t="inlineStr">
        <is>
          <t>Sveaskog</t>
        </is>
      </c>
      <c r="I69" t="n">
        <v>29.6</v>
      </c>
      <c r="J69" t="n">
        <v>1</v>
      </c>
      <c r="K69" t="n">
        <v>0</v>
      </c>
      <c r="L69" t="n">
        <v>7</v>
      </c>
      <c r="M69" t="n">
        <v>1</v>
      </c>
      <c r="N69" t="n">
        <v>1</v>
      </c>
      <c r="O69" t="n">
        <v>0</v>
      </c>
      <c r="P69" t="n">
        <v>0</v>
      </c>
      <c r="Q69" t="n">
        <v>9</v>
      </c>
      <c r="R69" t="n">
        <v>2</v>
      </c>
      <c r="S69" t="n">
        <v>9</v>
      </c>
      <c r="T69" t="n">
        <v>33</v>
      </c>
      <c r="U69" t="n">
        <v>14</v>
      </c>
      <c r="V69" s="2" t="inlineStr">
        <is>
          <t>Mosippa
Tallgråticka
Blå taggsvamp
Dropptaggsvamp
Dvärgbägarlav
Kolflarnlav
Skarp dropptaggsvamp
Talltaggsvamp
Vedflamlav</t>
        </is>
      </c>
      <c r="W69">
        <f>HYPERLINK("https://klasma.github.io/Logging_2039/artfynd/A 44785-2025 artfynd.xlsx", "A 44785-2025")</f>
        <v/>
      </c>
      <c r="X69">
        <f>HYPERLINK("https://klasma.github.io/Logging_2039/kartor/A 44785-2025 karta.png", "A 44785-2025")</f>
        <v/>
      </c>
      <c r="Y69">
        <f>HYPERLINK("https://klasma.github.io/Logging_2039/kartor_geotiff/A 44785-2025 georefererad karta.tif", "A 44785-2025")</f>
        <v/>
      </c>
      <c r="AA69">
        <f>HYPERLINK("https://klasma.github.io/Logging_2039/klagomål/A 44785-2025 FSC-klagomål.docx", "A 44785-2025")</f>
        <v/>
      </c>
      <c r="AB69">
        <f>HYPERLINK("https://klasma.github.io/Logging_2039/klagomålsmail/A 44785-2025 FSC-klagomål mail.docx", "A 44785-2025")</f>
        <v/>
      </c>
      <c r="AC69">
        <f>HYPERLINK("https://klasma.github.io/Logging_2039/tillsyn/A 44785-2025 tillsynsbegäran.docx", "A 44785-2025")</f>
        <v/>
      </c>
      <c r="AD69">
        <f>HYPERLINK("https://klasma.github.io/Logging_2039/tillsynsmail/A 44785-2025 tillsynsbegäran mail.docx", "A 44785-2025")</f>
        <v/>
      </c>
    </row>
    <row r="70" ht="15" customHeight="1">
      <c r="A70" t="inlineStr">
        <is>
          <t>A 39278-2022</t>
        </is>
      </c>
      <c r="B70" t="inlineStr">
        <is>
          <t>avverkningsanmälan</t>
        </is>
      </c>
      <c r="C70" t="inlineStr">
        <is>
          <t>Föryngringsavverkning</t>
        </is>
      </c>
      <c r="D70" s="1" t="n">
        <v>44817</v>
      </c>
      <c r="E70" s="1" t="n">
        <v>46224</v>
      </c>
      <c r="F70" t="inlineStr">
        <is>
          <t>DALARNAS LÄN</t>
        </is>
      </c>
      <c r="G70" t="inlineStr">
        <is>
          <t>ÄLVDALEN</t>
        </is>
      </c>
      <c r="I70" t="n">
        <v>20.3</v>
      </c>
      <c r="J70" t="n">
        <v>5</v>
      </c>
      <c r="K70" t="n">
        <v>0</v>
      </c>
      <c r="L70" t="n">
        <v>6</v>
      </c>
      <c r="M70" t="n">
        <v>2</v>
      </c>
      <c r="N70" t="n">
        <v>0</v>
      </c>
      <c r="O70" t="n">
        <v>0</v>
      </c>
      <c r="P70" t="n">
        <v>0</v>
      </c>
      <c r="Q70" t="n">
        <v>8</v>
      </c>
      <c r="R70" t="n">
        <v>2</v>
      </c>
      <c r="S70" t="n">
        <v>9</v>
      </c>
      <c r="T70" t="n">
        <v>10</v>
      </c>
      <c r="U70" t="n">
        <v>6</v>
      </c>
      <c r="V70" s="2" t="inlineStr">
        <is>
          <t>Gränsticka
Sprickporing
Björktrast
Lappmes
Rynkskinn
Talltita
Tretåig hackspett
Violettgrå tagellav
Kungsfågel</t>
        </is>
      </c>
      <c r="W70">
        <f>HYPERLINK("https://klasma.github.io/Logging_2039/artfynd/A 39278-2022 artfynd.xlsx", "A 39278-2022")</f>
        <v/>
      </c>
      <c r="X70">
        <f>HYPERLINK("https://klasma.github.io/Logging_2039/kartor/A 39278-2022 karta.png", "A 39278-2022")</f>
        <v/>
      </c>
      <c r="Y70">
        <f>HYPERLINK("https://klasma.github.io/Logging_2039/kartor_geotiff/A 39278-2022 georefererad karta.tif", "A 39278-2022")</f>
        <v/>
      </c>
      <c r="AA70">
        <f>HYPERLINK("https://klasma.github.io/Logging_2039/klagomål/A 39278-2022 FSC-klagomål.docx", "A 39278-2022")</f>
        <v/>
      </c>
      <c r="AB70">
        <f>HYPERLINK("https://klasma.github.io/Logging_2039/klagomålsmail/A 39278-2022 FSC-klagomål mail.docx", "A 39278-2022")</f>
        <v/>
      </c>
      <c r="AC70">
        <f>HYPERLINK("https://klasma.github.io/Logging_2039/tillsyn/A 39278-2022 tillsynsbegäran.docx", "A 39278-2022")</f>
        <v/>
      </c>
      <c r="AD70">
        <f>HYPERLINK("https://klasma.github.io/Logging_2039/tillsynsmail/A 39278-2022 tillsynsbegäran mail.docx", "A 39278-2022")</f>
        <v/>
      </c>
      <c r="AE70">
        <f>HYPERLINK("https://klasma.github.io/Logging_2039/fåglar/A 39278-2022 prioriterade fågelarter.docx", "A 39278-2022")</f>
        <v/>
      </c>
    </row>
    <row r="71" ht="15" customHeight="1">
      <c r="A71" t="inlineStr">
        <is>
          <t>A 41913-2022</t>
        </is>
      </c>
      <c r="B71" t="inlineStr">
        <is>
          <t>avverkningsanmälan</t>
        </is>
      </c>
      <c r="C71" t="inlineStr">
        <is>
          <t>Föryngringsavverkning</t>
        </is>
      </c>
      <c r="D71" s="1" t="n">
        <v>44830</v>
      </c>
      <c r="E71" s="1" t="n">
        <v>46224</v>
      </c>
      <c r="F71" t="inlineStr">
        <is>
          <t>DALARNAS LÄN</t>
        </is>
      </c>
      <c r="G71" t="inlineStr">
        <is>
          <t>ÄLVDALEN</t>
        </is>
      </c>
      <c r="H71" t="inlineStr">
        <is>
          <t>Sveaskog</t>
        </is>
      </c>
      <c r="I71" t="n">
        <v>5.6</v>
      </c>
      <c r="J71" t="n">
        <v>1</v>
      </c>
      <c r="K71" t="n">
        <v>0</v>
      </c>
      <c r="L71" t="n">
        <v>7</v>
      </c>
      <c r="M71" t="n">
        <v>2</v>
      </c>
      <c r="N71" t="n">
        <v>0</v>
      </c>
      <c r="O71" t="n">
        <v>0</v>
      </c>
      <c r="P71" t="n">
        <v>0</v>
      </c>
      <c r="Q71" t="n">
        <v>9</v>
      </c>
      <c r="R71" t="n">
        <v>2</v>
      </c>
      <c r="S71" t="n">
        <v>9</v>
      </c>
      <c r="T71" t="n">
        <v>20</v>
      </c>
      <c r="U71" t="n">
        <v>19</v>
      </c>
      <c r="V71" s="2" t="inlineStr">
        <is>
          <t>Fläckporing
Tajgataggsvamp
Blanksvart spiklav
Dropptaggsvamp
Orange taggsvamp
Tretåig hackspett
Vaddporing
Vedflamlav
Vedskivlav</t>
        </is>
      </c>
      <c r="W71">
        <f>HYPERLINK("https://klasma.github.io/Logging_2039/artfynd/A 41913-2022 artfynd.xlsx", "A 41913-2022")</f>
        <v/>
      </c>
      <c r="X71">
        <f>HYPERLINK("https://klasma.github.io/Logging_2039/kartor/A 41913-2022 karta.png", "A 41913-2022")</f>
        <v/>
      </c>
      <c r="Y71">
        <f>HYPERLINK("https://klasma.github.io/Logging_2039/kartor_geotiff/A 41913-2022 georefererad karta.tif", "A 41913-2022")</f>
        <v/>
      </c>
      <c r="AA71">
        <f>HYPERLINK("https://klasma.github.io/Logging_2039/klagomål/A 41913-2022 FSC-klagomål.docx", "A 41913-2022")</f>
        <v/>
      </c>
      <c r="AB71">
        <f>HYPERLINK("https://klasma.github.io/Logging_2039/klagomålsmail/A 41913-2022 FSC-klagomål mail.docx", "A 41913-2022")</f>
        <v/>
      </c>
      <c r="AC71">
        <f>HYPERLINK("https://klasma.github.io/Logging_2039/tillsyn/A 41913-2022 tillsynsbegäran.docx", "A 41913-2022")</f>
        <v/>
      </c>
      <c r="AD71">
        <f>HYPERLINK("https://klasma.github.io/Logging_2039/tillsynsmail/A 41913-2022 tillsynsbegäran mail.docx", "A 41913-2022")</f>
        <v/>
      </c>
      <c r="AE71">
        <f>HYPERLINK("https://klasma.github.io/Logging_2039/fåglar/A 41913-2022 prioriterade fågelarter.docx", "A 41913-2022")</f>
        <v/>
      </c>
    </row>
    <row r="72" ht="15" customHeight="1">
      <c r="A72" t="inlineStr">
        <is>
          <t>A 9783-2024</t>
        </is>
      </c>
      <c r="B72" t="inlineStr">
        <is>
          <t>avverkningsanmälan</t>
        </is>
      </c>
      <c r="C72" t="inlineStr">
        <is>
          <t>Föryngringsavverkning</t>
        </is>
      </c>
      <c r="D72" s="1" t="n">
        <v>45362</v>
      </c>
      <c r="E72" s="1" t="n">
        <v>46224</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57505-2024</t>
        </is>
      </c>
      <c r="B73" t="inlineStr">
        <is>
          <t>avverkningsanmälan</t>
        </is>
      </c>
      <c r="C73" t="inlineStr">
        <is>
          <t>Avverkning för annat ändamål</t>
        </is>
      </c>
      <c r="D73" s="1" t="n">
        <v>45630</v>
      </c>
      <c r="E73" s="1" t="n">
        <v>46224</v>
      </c>
      <c r="F73" t="inlineStr">
        <is>
          <t>DALARNAS LÄN</t>
        </is>
      </c>
      <c r="G73" t="inlineStr">
        <is>
          <t>ÄLVDALEN</t>
        </is>
      </c>
      <c r="H73" t="inlineStr">
        <is>
          <t>Allmännings- och besparingsskogar</t>
        </is>
      </c>
      <c r="I73" t="n">
        <v>2.3</v>
      </c>
      <c r="J73" t="n">
        <v>2</v>
      </c>
      <c r="K73" t="n">
        <v>2</v>
      </c>
      <c r="L73" t="n">
        <v>6</v>
      </c>
      <c r="M73" t="n">
        <v>1</v>
      </c>
      <c r="N73" t="n">
        <v>0</v>
      </c>
      <c r="O73" t="n">
        <v>0</v>
      </c>
      <c r="P73" t="n">
        <v>0</v>
      </c>
      <c r="Q73" t="n">
        <v>7</v>
      </c>
      <c r="R73" t="n">
        <v>1</v>
      </c>
      <c r="S73" t="n">
        <v>9</v>
      </c>
      <c r="T73" t="n">
        <v>19</v>
      </c>
      <c r="U73" t="n">
        <v>18</v>
      </c>
      <c r="V73" s="2" t="inlineStr">
        <is>
          <t>Garnlav
Knottrig blåslav
Skrovellav
Talltita
Tretåig hackspett
Vedflamlav
Vedskivlav
Bronshjon
Vågbandad barkbock</t>
        </is>
      </c>
      <c r="W73">
        <f>HYPERLINK("https://klasma.github.io/Logging_2039/artfynd/A 57505-2024 artfynd.xlsx", "A 57505-2024")</f>
        <v/>
      </c>
      <c r="X73">
        <f>HYPERLINK("https://klasma.github.io/Logging_2039/kartor/A 57505-2024 karta.png", "A 57505-2024")</f>
        <v/>
      </c>
      <c r="Y73">
        <f>HYPERLINK("https://klasma.github.io/Logging_2039/kartor_geotiff/A 57505-2024 georefererad karta.tif", "A 57505-2024")</f>
        <v/>
      </c>
      <c r="AA73">
        <f>HYPERLINK("https://klasma.github.io/Logging_2039/klagomål/A 57505-2024 FSC-klagomål.docx", "A 57505-2024")</f>
        <v/>
      </c>
      <c r="AB73">
        <f>HYPERLINK("https://klasma.github.io/Logging_2039/klagomålsmail/A 57505-2024 FSC-klagomål mail.docx", "A 57505-2024")</f>
        <v/>
      </c>
      <c r="AC73">
        <f>HYPERLINK("https://klasma.github.io/Logging_2039/tillsyn/A 57505-2024 tillsynsbegäran.docx", "A 57505-2024")</f>
        <v/>
      </c>
      <c r="AD73">
        <f>HYPERLINK("https://klasma.github.io/Logging_2039/tillsynsmail/A 57505-2024 tillsynsbegäran mail.docx", "A 57505-2024")</f>
        <v/>
      </c>
      <c r="AE73">
        <f>HYPERLINK("https://klasma.github.io/Logging_2039/fåglar/A 57505-2024 prioriterade fågelarter.docx", "A 57505-2024")</f>
        <v/>
      </c>
    </row>
    <row r="74" ht="15" customHeight="1">
      <c r="A74" t="inlineStr">
        <is>
          <t>A 7213-2026</t>
        </is>
      </c>
      <c r="B74" t="inlineStr">
        <is>
          <t>avverkningsanmälan</t>
        </is>
      </c>
      <c r="C74" t="inlineStr">
        <is>
          <t>Föryngringsavverkning</t>
        </is>
      </c>
      <c r="D74" s="1" t="n">
        <v>46058</v>
      </c>
      <c r="E74" s="1" t="n">
        <v>46224</v>
      </c>
      <c r="F74" t="inlineStr">
        <is>
          <t>DALARNAS LÄN</t>
        </is>
      </c>
      <c r="G74" t="inlineStr">
        <is>
          <t>ÄLVDALEN</t>
        </is>
      </c>
      <c r="I74" t="n">
        <v>1.7</v>
      </c>
      <c r="J74" t="n">
        <v>3</v>
      </c>
      <c r="K74" t="n">
        <v>1</v>
      </c>
      <c r="L74" t="n">
        <v>5</v>
      </c>
      <c r="M74" t="n">
        <v>1</v>
      </c>
      <c r="N74" t="n">
        <v>0</v>
      </c>
      <c r="O74" t="n">
        <v>0</v>
      </c>
      <c r="P74" t="n">
        <v>0</v>
      </c>
      <c r="Q74" t="n">
        <v>6</v>
      </c>
      <c r="R74" t="n">
        <v>1</v>
      </c>
      <c r="S74" t="n">
        <v>9</v>
      </c>
      <c r="T74" t="n">
        <v>22</v>
      </c>
      <c r="U74" t="n">
        <v>22</v>
      </c>
      <c r="V74" s="2" t="inlineStr">
        <is>
          <t>Garnlav
Kolflarnlav
Mörk kolflarnlav
Tretåig hackspett
Vedflamlav
Vedskivlav
Mindre märgborre
Spillkråka
Tjäder</t>
        </is>
      </c>
      <c r="W74">
        <f>HYPERLINK("https://klasma.github.io/Logging_2039/artfynd/A 7213-2026 artfynd.xlsx", "A 7213-2026")</f>
        <v/>
      </c>
      <c r="X74">
        <f>HYPERLINK("https://klasma.github.io/Logging_2039/kartor/A 7213-2026 karta.png", "A 7213-2026")</f>
        <v/>
      </c>
      <c r="Y74">
        <f>HYPERLINK("https://klasma.github.io/Logging_2039/kartor_geotiff/A 7213-2026 georefererad karta.tif", "A 7213-2026")</f>
        <v/>
      </c>
      <c r="AA74">
        <f>HYPERLINK("https://klasma.github.io/Logging_2039/klagomål/A 7213-2026 FSC-klagomål.docx", "A 7213-2026")</f>
        <v/>
      </c>
      <c r="AB74">
        <f>HYPERLINK("https://klasma.github.io/Logging_2039/klagomålsmail/A 7213-2026 FSC-klagomål mail.docx", "A 7213-2026")</f>
        <v/>
      </c>
      <c r="AC74">
        <f>HYPERLINK("https://klasma.github.io/Logging_2039/tillsyn/A 7213-2026 tillsynsbegäran.docx", "A 7213-2026")</f>
        <v/>
      </c>
      <c r="AD74">
        <f>HYPERLINK("https://klasma.github.io/Logging_2039/tillsynsmail/A 7213-2026 tillsynsbegäran mail.docx", "A 7213-2026")</f>
        <v/>
      </c>
      <c r="AE74">
        <f>HYPERLINK("https://klasma.github.io/Logging_2039/fåglar/A 7213-2026 prioriterade fågelarter.docx", "A 7213-2026")</f>
        <v/>
      </c>
    </row>
    <row r="75" ht="15" customHeight="1">
      <c r="A75" t="inlineStr">
        <is>
          <t>A 20947-2026</t>
        </is>
      </c>
      <c r="B75" t="inlineStr">
        <is>
          <t>avverkningsanmälan</t>
        </is>
      </c>
      <c r="C75" t="inlineStr">
        <is>
          <t>Föryngringsavverkning</t>
        </is>
      </c>
      <c r="D75" s="1" t="n">
        <v>46142</v>
      </c>
      <c r="E75" s="1" t="n">
        <v>46224</v>
      </c>
      <c r="F75" t="inlineStr">
        <is>
          <t>DALARNAS LÄN</t>
        </is>
      </c>
      <c r="G75" t="inlineStr">
        <is>
          <t>ÄLVDALEN</t>
        </is>
      </c>
      <c r="H75" t="inlineStr">
        <is>
          <t>Bergvik skog väst AB</t>
        </is>
      </c>
      <c r="I75" t="n">
        <v>3.7</v>
      </c>
      <c r="J75" t="n">
        <v>7</v>
      </c>
      <c r="K75" t="n">
        <v>2</v>
      </c>
      <c r="L75" t="n">
        <v>1</v>
      </c>
      <c r="M75" t="n">
        <v>1</v>
      </c>
      <c r="N75" t="n">
        <v>0</v>
      </c>
      <c r="O75" t="n">
        <v>0</v>
      </c>
      <c r="P75" t="n">
        <v>0</v>
      </c>
      <c r="Q75" t="n">
        <v>2</v>
      </c>
      <c r="R75" t="n">
        <v>1</v>
      </c>
      <c r="S75" t="n">
        <v>9</v>
      </c>
      <c r="T75" t="n">
        <v>22</v>
      </c>
      <c r="U75" t="n">
        <v>22</v>
      </c>
      <c r="V75" s="2" t="inlineStr">
        <is>
          <t>Garnlav
Järnsparv
Mindre märgborre
Plattlummer
Mattlummer
Spillkråka
Tjäder
Fläcknycklar
Revlummer</t>
        </is>
      </c>
      <c r="W75">
        <f>HYPERLINK("https://klasma.github.io/Logging_2039/artfynd/A 20947-2026 artfynd.xlsx", "A 20947-2026")</f>
        <v/>
      </c>
      <c r="X75">
        <f>HYPERLINK("https://klasma.github.io/Logging_2039/kartor/A 20947-2026 karta.png", "A 20947-2026")</f>
        <v/>
      </c>
      <c r="Y75">
        <f>HYPERLINK("https://klasma.github.io/Logging_2039/kartor_geotiff/A 20947-2026 georefererad karta.tif", "A 20947-2026")</f>
        <v/>
      </c>
      <c r="AA75">
        <f>HYPERLINK("https://klasma.github.io/Logging_2039/klagomål/A 20947-2026 FSC-klagomål.docx", "A 20947-2026")</f>
        <v/>
      </c>
      <c r="AB75">
        <f>HYPERLINK("https://klasma.github.io/Logging_2039/klagomålsmail/A 20947-2026 FSC-klagomål mail.docx", "A 20947-2026")</f>
        <v/>
      </c>
      <c r="AC75">
        <f>HYPERLINK("https://klasma.github.io/Logging_2039/tillsyn/A 20947-2026 tillsynsbegäran.docx", "A 20947-2026")</f>
        <v/>
      </c>
      <c r="AD75">
        <f>HYPERLINK("https://klasma.github.io/Logging_2039/tillsynsmail/A 20947-2026 tillsynsbegäran mail.docx", "A 20947-2026")</f>
        <v/>
      </c>
      <c r="AE75">
        <f>HYPERLINK("https://klasma.github.io/Logging_2039/fåglar/A 20947-2026 prioriterade fågelarter.docx", "A 20947-2026")</f>
        <v/>
      </c>
    </row>
    <row r="76" ht="15" customHeight="1">
      <c r="A76" t="inlineStr">
        <is>
          <t>A 66637-2021</t>
        </is>
      </c>
      <c r="B76" t="inlineStr">
        <is>
          <t>avverkningsanmälan</t>
        </is>
      </c>
      <c r="C76" t="inlineStr">
        <is>
          <t>Föryngringsavverkning</t>
        </is>
      </c>
      <c r="D76" s="1" t="n">
        <v>44519</v>
      </c>
      <c r="E76" s="1" t="n">
        <v>46224</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46224</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46224</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25754-2025</t>
        </is>
      </c>
      <c r="B79" t="inlineStr">
        <is>
          <t>avverkningsanmälan</t>
        </is>
      </c>
      <c r="C79" t="inlineStr">
        <is>
          <t>Föryngringsavverkning</t>
        </is>
      </c>
      <c r="D79" s="1" t="n">
        <v>45804</v>
      </c>
      <c r="E79" s="1" t="n">
        <v>46224</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t="n">
        <v>15</v>
      </c>
      <c r="V79" s="2" t="inlineStr">
        <is>
          <t>Garnlav
Dropptaggsvamp
Sotvaxskivling
Talltita
Mindre märgborre
Spillkråka
Kungsfågel
Revlummer</t>
        </is>
      </c>
      <c r="W79">
        <f>HYPERLINK("https://klasma.github.io/Logging_2039/artfynd/A 25754-2025 artfynd.xlsx", "A 25754-2025")</f>
        <v/>
      </c>
      <c r="X79">
        <f>HYPERLINK("https://klasma.github.io/Logging_2039/kartor/A 25754-2025 karta.png", "A 25754-2025")</f>
        <v/>
      </c>
      <c r="Y79">
        <f>HYPERLINK("https://klasma.github.io/Logging_2039/kartor_geotiff/A 25754-2025 georefererad karta.tif", "A 25754-2025")</f>
        <v/>
      </c>
      <c r="AA79">
        <f>HYPERLINK("https://klasma.github.io/Logging_2039/klagomål/A 25754-2025 FSC-klagomål.docx", "A 25754-2025")</f>
        <v/>
      </c>
      <c r="AB79">
        <f>HYPERLINK("https://klasma.github.io/Logging_2039/klagomålsmail/A 25754-2025 FSC-klagomål mail.docx", "A 25754-2025")</f>
        <v/>
      </c>
      <c r="AC79">
        <f>HYPERLINK("https://klasma.github.io/Logging_2039/tillsyn/A 25754-2025 tillsynsbegäran.docx", "A 25754-2025")</f>
        <v/>
      </c>
      <c r="AD79">
        <f>HYPERLINK("https://klasma.github.io/Logging_2039/tillsynsmail/A 25754-2025 tillsynsbegäran mail.docx", "A 25754-2025")</f>
        <v/>
      </c>
      <c r="AE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46224</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t="n">
        <v>0</v>
      </c>
      <c r="V80" s="2" t="inlineStr">
        <is>
          <t>Gräddporing
Skrovlig taggsvamp
Blanksvart spiklav
Dropptaggsvamp
Dvärgbägarlav
Kolflarnlav
Mörk kolflarnlav
Vedflamlav</t>
        </is>
      </c>
      <c r="W80">
        <f>HYPERLINK("https://klasma.github.io/Logging_2039/artfynd/A 41750-2025 artfynd.xlsx", "A 41750-2025")</f>
        <v/>
      </c>
      <c r="X80">
        <f>HYPERLINK("https://klasma.github.io/Logging_2039/kartor/A 41750-2025 karta.png", "A 41750-2025")</f>
        <v/>
      </c>
      <c r="Y80">
        <f>HYPERLINK("https://klasma.github.io/Logging_2039/kartor_geotiff/A 41750-2025 georefererad karta.tif", "A 41750-2025")</f>
        <v/>
      </c>
      <c r="AA80">
        <f>HYPERLINK("https://klasma.github.io/Logging_2039/klagomål/A 41750-2025 FSC-klagomål.docx", "A 41750-2025")</f>
        <v/>
      </c>
      <c r="AB80">
        <f>HYPERLINK("https://klasma.github.io/Logging_2039/klagomålsmail/A 41750-2025 FSC-klagomål mail.docx", "A 41750-2025")</f>
        <v/>
      </c>
      <c r="AC80">
        <f>HYPERLINK("https://klasma.github.io/Logging_2039/tillsyn/A 41750-2025 tillsynsbegäran.docx", "A 41750-2025")</f>
        <v/>
      </c>
      <c r="AD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46224</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46224</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59303-2025</t>
        </is>
      </c>
      <c r="B83" t="inlineStr">
        <is>
          <t>avverkningsanmälan</t>
        </is>
      </c>
      <c r="C83" t="inlineStr">
        <is>
          <t>Föryngringsavverkning</t>
        </is>
      </c>
      <c r="D83" s="1" t="n">
        <v>45988</v>
      </c>
      <c r="E83" s="1" t="n">
        <v>46224</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t="n">
        <v>30</v>
      </c>
      <c r="V83" s="2" t="inlineStr">
        <is>
          <t>Garnlav
Blanksvart spiklav
Blågrå svartspik
Liten svartspik
Tretåig hackspett
Vedflamlav
Violettgrå tagellav
Vitgrynig nållav</t>
        </is>
      </c>
      <c r="W83">
        <f>HYPERLINK("https://klasma.github.io/Logging_2039/artfynd/A 59303-2025 artfynd.xlsx", "A 59303-2025")</f>
        <v/>
      </c>
      <c r="X83">
        <f>HYPERLINK("https://klasma.github.io/Logging_2039/kartor/A 59303-2025 karta.png", "A 59303-2025")</f>
        <v/>
      </c>
      <c r="Y83">
        <f>HYPERLINK("https://klasma.github.io/Logging_2039/kartor_geotiff/A 59303-2025 georefererad karta.tif", "A 59303-2025")</f>
        <v/>
      </c>
      <c r="AA83">
        <f>HYPERLINK("https://klasma.github.io/Logging_2039/klagomål/A 59303-2025 FSC-klagomål.docx", "A 59303-2025")</f>
        <v/>
      </c>
      <c r="AB83">
        <f>HYPERLINK("https://klasma.github.io/Logging_2039/klagomålsmail/A 59303-2025 FSC-klagomål mail.docx", "A 59303-2025")</f>
        <v/>
      </c>
      <c r="AC83">
        <f>HYPERLINK("https://klasma.github.io/Logging_2039/tillsyn/A 59303-2025 tillsynsbegäran.docx", "A 59303-2025")</f>
        <v/>
      </c>
      <c r="AD83">
        <f>HYPERLINK("https://klasma.github.io/Logging_2039/tillsynsmail/A 59303-2025 tillsynsbegäran mail.docx", "A 59303-2025")</f>
        <v/>
      </c>
      <c r="AE83">
        <f>HYPERLINK("https://klasma.github.io/Logging_2039/fåglar/A 59303-2025 prioriterade fågelarter.docx", "A 59303-2025")</f>
        <v/>
      </c>
    </row>
    <row r="84" ht="15" customHeight="1">
      <c r="A84" t="inlineStr">
        <is>
          <t>A 6823-2026</t>
        </is>
      </c>
      <c r="B84" t="inlineStr">
        <is>
          <t>avverkningsanmälan</t>
        </is>
      </c>
      <c r="C84" t="inlineStr">
        <is>
          <t>Föryngringsavverkning</t>
        </is>
      </c>
      <c r="D84" s="1" t="n">
        <v>46057</v>
      </c>
      <c r="E84" s="1" t="n">
        <v>46224</v>
      </c>
      <c r="F84" t="inlineStr">
        <is>
          <t>DALARNAS LÄN</t>
        </is>
      </c>
      <c r="G84" t="inlineStr">
        <is>
          <t>ÄLVDALEN</t>
        </is>
      </c>
      <c r="I84" t="n">
        <v>3.9</v>
      </c>
      <c r="J84" t="n">
        <v>4</v>
      </c>
      <c r="K84" t="n">
        <v>0</v>
      </c>
      <c r="L84" t="n">
        <v>3</v>
      </c>
      <c r="M84" t="n">
        <v>1</v>
      </c>
      <c r="N84" t="n">
        <v>0</v>
      </c>
      <c r="O84" t="n">
        <v>0</v>
      </c>
      <c r="P84" t="n">
        <v>0</v>
      </c>
      <c r="Q84" t="n">
        <v>4</v>
      </c>
      <c r="R84" t="n">
        <v>1</v>
      </c>
      <c r="S84" t="n">
        <v>8</v>
      </c>
      <c r="T84" t="n">
        <v>27</v>
      </c>
      <c r="U84" t="n">
        <v>27</v>
      </c>
      <c r="V84" s="2" t="inlineStr">
        <is>
          <t>Garnlav
Tallticka
Tretåig hackspett
Ullticka
Järpe
Linnea
Spillkråka
Tjäder</t>
        </is>
      </c>
      <c r="W84">
        <f>HYPERLINK("https://klasma.github.io/Logging_2039/artfynd/A 6823-2026 artfynd.xlsx", "A 6823-2026")</f>
        <v/>
      </c>
      <c r="X84">
        <f>HYPERLINK("https://klasma.github.io/Logging_2039/kartor/A 6823-2026 karta.png", "A 6823-2026")</f>
        <v/>
      </c>
      <c r="Y84">
        <f>HYPERLINK("https://klasma.github.io/Logging_2039/kartor_geotiff/A 6823-2026 georefererad karta.tif", "A 6823-2026")</f>
        <v/>
      </c>
      <c r="AA84">
        <f>HYPERLINK("https://klasma.github.io/Logging_2039/klagomål/A 6823-2026 FSC-klagomål.docx", "A 6823-2026")</f>
        <v/>
      </c>
      <c r="AB84">
        <f>HYPERLINK("https://klasma.github.io/Logging_2039/klagomålsmail/A 6823-2026 FSC-klagomål mail.docx", "A 6823-2026")</f>
        <v/>
      </c>
      <c r="AC84">
        <f>HYPERLINK("https://klasma.github.io/Logging_2039/tillsyn/A 6823-2026 tillsynsbegäran.docx", "A 6823-2026")</f>
        <v/>
      </c>
      <c r="AD84">
        <f>HYPERLINK("https://klasma.github.io/Logging_2039/tillsynsmail/A 6823-2026 tillsynsbegäran mail.docx", "A 6823-2026")</f>
        <v/>
      </c>
      <c r="AE84">
        <f>HYPERLINK("https://klasma.github.io/Logging_2039/fåglar/A 6823-2026 prioriterade fågelarter.docx", "A 6823-2026")</f>
        <v/>
      </c>
    </row>
    <row r="85" ht="15" customHeight="1">
      <c r="A85" t="inlineStr">
        <is>
          <t>A 62355-2022</t>
        </is>
      </c>
      <c r="B85" t="inlineStr">
        <is>
          <t>avverkningsanmälan</t>
        </is>
      </c>
      <c r="C85" t="inlineStr">
        <is>
          <t>Föryngringsavverkning</t>
        </is>
      </c>
      <c r="D85" s="1" t="n">
        <v>44923</v>
      </c>
      <c r="E85" s="1" t="n">
        <v>46224</v>
      </c>
      <c r="F85" t="inlineStr">
        <is>
          <t>DALARNAS LÄN</t>
        </is>
      </c>
      <c r="G85" t="inlineStr">
        <is>
          <t>ÄLVDALEN</t>
        </is>
      </c>
      <c r="I85" t="n">
        <v>4.3</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62355-2022 artfynd.xlsx", "A 62355-2022")</f>
        <v/>
      </c>
      <c r="X85">
        <f>HYPERLINK("https://klasma.github.io/Logging_2039/kartor/A 62355-2022 karta.png", "A 62355-2022")</f>
        <v/>
      </c>
      <c r="Y85">
        <f>HYPERLINK("https://klasma.github.io/Logging_2039/kartor_geotiff/A 62355-2022 georefererad karta.tif", "A 62355-2022")</f>
        <v/>
      </c>
      <c r="Z85">
        <f>HYPERLINK("https://klasma.github.io/Logging_2039/knärot/A 62355-2022 karta knärot.png", "A 62355-2022")</f>
        <v/>
      </c>
      <c r="AA85">
        <f>HYPERLINK("https://klasma.github.io/Logging_2039/klagomål/A 62355-2022 FSC-klagomål.docx", "A 62355-2022")</f>
        <v/>
      </c>
      <c r="AB85">
        <f>HYPERLINK("https://klasma.github.io/Logging_2039/klagomålsmail/A 62355-2022 FSC-klagomål mail.docx", "A 62355-2022")</f>
        <v/>
      </c>
      <c r="AC85">
        <f>HYPERLINK("https://klasma.github.io/Logging_2039/tillsyn/A 62355-2022 tillsynsbegäran.docx", "A 62355-2022")</f>
        <v/>
      </c>
      <c r="AD85">
        <f>HYPERLINK("https://klasma.github.io/Logging_2039/tillsynsmail/A 62355-2022 tillsynsbegäran mail.docx", "A 62355-2022")</f>
        <v/>
      </c>
      <c r="AE85">
        <f>HYPERLINK("https://klasma.github.io/Logging_2039/fåglar/A 62355-2022 prioriterade fågelarter.docx", "A 62355-2022")</f>
        <v/>
      </c>
    </row>
    <row r="86" ht="15" customHeight="1">
      <c r="A86" t="inlineStr">
        <is>
          <t>A 66887-2021</t>
        </is>
      </c>
      <c r="B86" t="inlineStr">
        <is>
          <t>avverkningsanmälan</t>
        </is>
      </c>
      <c r="C86" t="inlineStr">
        <is>
          <t>Föryngringsavverkning</t>
        </is>
      </c>
      <c r="D86" s="1" t="n">
        <v>44522</v>
      </c>
      <c r="E86" s="1" t="n">
        <v>46224</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66887-2021 artfynd.xlsx", "A 66887-2021")</f>
        <v/>
      </c>
      <c r="X86">
        <f>HYPERLINK("https://klasma.github.io/Logging_2039/kartor/A 66887-2021 karta.png", "A 66887-2021")</f>
        <v/>
      </c>
      <c r="Y86">
        <f>HYPERLINK("https://klasma.github.io/Logging_2039/kartor_geotiff/A 66887-2021 georefererad karta.tif", "A 66887-2021")</f>
        <v/>
      </c>
      <c r="Z86">
        <f>HYPERLINK("https://klasma.github.io/Logging_2039/knärot/A 66887-2021 karta knärot.png", "A 66887-2021")</f>
        <v/>
      </c>
      <c r="AA86">
        <f>HYPERLINK("https://klasma.github.io/Logging_2039/klagomål/A 66887-2021 FSC-klagomål.docx", "A 66887-2021")</f>
        <v/>
      </c>
      <c r="AB86">
        <f>HYPERLINK("https://klasma.github.io/Logging_2039/klagomålsmail/A 66887-2021 FSC-klagomål mail.docx", "A 66887-2021")</f>
        <v/>
      </c>
      <c r="AC86">
        <f>HYPERLINK("https://klasma.github.io/Logging_2039/tillsyn/A 66887-2021 tillsynsbegäran.docx", "A 66887-2021")</f>
        <v/>
      </c>
      <c r="AD86">
        <f>HYPERLINK("https://klasma.github.io/Logging_2039/tillsynsmail/A 66887-2021 tillsynsbegäran mail.docx", "A 66887-2021")</f>
        <v/>
      </c>
      <c r="AE86">
        <f>HYPERLINK("https://klasma.github.io/Logging_2039/fåglar/A 66887-2021 prioriterade fågelarter.docx", "A 66887-2021")</f>
        <v/>
      </c>
    </row>
    <row r="87" ht="15" customHeight="1">
      <c r="A87" t="inlineStr">
        <is>
          <t>A 24018-2026</t>
        </is>
      </c>
      <c r="B87" t="inlineStr">
        <is>
          <t>avverkningsanmälan</t>
        </is>
      </c>
      <c r="C87" t="inlineStr">
        <is>
          <t>Föryngringsavverkning</t>
        </is>
      </c>
      <c r="D87" s="1" t="n">
        <v>46167</v>
      </c>
      <c r="E87" s="1" t="n">
        <v>46224</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24018-2026 artfynd.xlsx", "A 24018-2026")</f>
        <v/>
      </c>
      <c r="X87">
        <f>HYPERLINK("https://klasma.github.io/Logging_2039/kartor/A 24018-2026 karta.png", "A 24018-2026")</f>
        <v/>
      </c>
      <c r="Y87">
        <f>HYPERLINK("https://klasma.github.io/Logging_2039/kartor_geotiff/A 24018-2026 georefererad karta.tif", "A 24018-2026")</f>
        <v/>
      </c>
      <c r="Z87">
        <f>HYPERLINK("https://klasma.github.io/Logging_2039/knärot/A 24018-2026 karta knärot.png", "A 24018-2026")</f>
        <v/>
      </c>
      <c r="AA87">
        <f>HYPERLINK("https://klasma.github.io/Logging_2039/klagomål/A 24018-2026 FSC-klagomål.docx", "A 24018-2026")</f>
        <v/>
      </c>
      <c r="AB87">
        <f>HYPERLINK("https://klasma.github.io/Logging_2039/klagomålsmail/A 24018-2026 FSC-klagomål mail.docx", "A 24018-2026")</f>
        <v/>
      </c>
      <c r="AC87">
        <f>HYPERLINK("https://klasma.github.io/Logging_2039/tillsyn/A 24018-2026 tillsynsbegäran.docx", "A 24018-2026")</f>
        <v/>
      </c>
      <c r="AD87">
        <f>HYPERLINK("https://klasma.github.io/Logging_2039/tillsynsmail/A 24018-2026 tillsynsbegäran mail.docx", "A 24018-2026")</f>
        <v/>
      </c>
      <c r="AE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46224</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33882-2024</t>
        </is>
      </c>
      <c r="B89" t="inlineStr">
        <is>
          <t>avverkningsanmälan</t>
        </is>
      </c>
      <c r="C89" t="inlineStr">
        <is>
          <t>Föryngringsavverkning</t>
        </is>
      </c>
      <c r="D89" s="1" t="n">
        <v>45522</v>
      </c>
      <c r="E89" s="1" t="n">
        <v>46224</v>
      </c>
      <c r="F89" t="inlineStr">
        <is>
          <t>DALARNAS LÄN</t>
        </is>
      </c>
      <c r="G89" t="inlineStr">
        <is>
          <t>ÄLVDALEN</t>
        </is>
      </c>
      <c r="I89" t="n">
        <v>53.8</v>
      </c>
      <c r="J89" t="n">
        <v>4</v>
      </c>
      <c r="K89" t="n">
        <v>1</v>
      </c>
      <c r="L89" t="n">
        <v>4</v>
      </c>
      <c r="M89" t="n">
        <v>2</v>
      </c>
      <c r="N89" t="n">
        <v>0</v>
      </c>
      <c r="O89" t="n">
        <v>0</v>
      </c>
      <c r="P89" t="n">
        <v>0</v>
      </c>
      <c r="Q89" t="n">
        <v>6</v>
      </c>
      <c r="R89" t="n">
        <v>2</v>
      </c>
      <c r="S89" t="n">
        <v>8</v>
      </c>
      <c r="T89" t="n">
        <v>18</v>
      </c>
      <c r="U89" t="n">
        <v>15</v>
      </c>
      <c r="V89" s="2" t="inlineStr">
        <is>
          <t>Garnlav
Skuggnål
Lavskrika
Skrovellav
Tretåig hackspett
Vitplätt
Spindelblomster
Revlummer</t>
        </is>
      </c>
      <c r="W89">
        <f>HYPERLINK("https://klasma.github.io/Logging_2039/artfynd/A 33882-2024 artfynd.xlsx", "A 33882-2024")</f>
        <v/>
      </c>
      <c r="X89">
        <f>HYPERLINK("https://klasma.github.io/Logging_2039/kartor/A 33882-2024 karta.png", "A 33882-2024")</f>
        <v/>
      </c>
      <c r="Y89">
        <f>HYPERLINK("https://klasma.github.io/Logging_2039/kartor_geotiff/A 33882-2024 georefererad karta.tif", "A 33882-2024")</f>
        <v/>
      </c>
      <c r="AA89">
        <f>HYPERLINK("https://klasma.github.io/Logging_2039/klagomål/A 33882-2024 FSC-klagomål.docx", "A 33882-2024")</f>
        <v/>
      </c>
      <c r="AB89">
        <f>HYPERLINK("https://klasma.github.io/Logging_2039/klagomålsmail/A 33882-2024 FSC-klagomål mail.docx", "A 33882-2024")</f>
        <v/>
      </c>
      <c r="AC89">
        <f>HYPERLINK("https://klasma.github.io/Logging_2039/tillsyn/A 33882-2024 tillsynsbegäran.docx", "A 33882-2024")</f>
        <v/>
      </c>
      <c r="AD89">
        <f>HYPERLINK("https://klasma.github.io/Logging_2039/tillsynsmail/A 33882-2024 tillsynsbegäran mail.docx", "A 33882-2024")</f>
        <v/>
      </c>
      <c r="AE89">
        <f>HYPERLINK("https://klasma.github.io/Logging_2039/fåglar/A 33882-2024 prioriterade fågelarter.docx", "A 33882-2024")</f>
        <v/>
      </c>
    </row>
    <row r="90" ht="15" customHeight="1">
      <c r="A90" t="inlineStr">
        <is>
          <t>A 49052-2023</t>
        </is>
      </c>
      <c r="B90" t="inlineStr">
        <is>
          <t>avverkningsanmälan</t>
        </is>
      </c>
      <c r="C90" t="inlineStr">
        <is>
          <t>Föryngringsavverkning</t>
        </is>
      </c>
      <c r="D90" s="1" t="n">
        <v>45210</v>
      </c>
      <c r="E90" s="1" t="n">
        <v>46224</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t="n">
        <v>7</v>
      </c>
      <c r="V90" s="2" t="inlineStr">
        <is>
          <t>Blanksvart spiklav
Dropptaggsvamp
Kolflarnlav
Mörk kolflarnlav
Skarp dropptaggsvamp
Varglav
Vedflamlav</t>
        </is>
      </c>
      <c r="W90">
        <f>HYPERLINK("https://klasma.github.io/Logging_2039/artfynd/A 49052-2023 artfynd.xlsx", "A 49052-2023")</f>
        <v/>
      </c>
      <c r="X90">
        <f>HYPERLINK("https://klasma.github.io/Logging_2039/kartor/A 49052-2023 karta.png", "A 49052-2023")</f>
        <v/>
      </c>
      <c r="Y90">
        <f>HYPERLINK("https://klasma.github.io/Logging_2039/kartor_geotiff/A 49052-2023 georefererad karta.tif", "A 49052-2023")</f>
        <v/>
      </c>
      <c r="AA90">
        <f>HYPERLINK("https://klasma.github.io/Logging_2039/klagomål/A 49052-2023 FSC-klagomål.docx", "A 49052-2023")</f>
        <v/>
      </c>
      <c r="AB90">
        <f>HYPERLINK("https://klasma.github.io/Logging_2039/klagomålsmail/A 49052-2023 FSC-klagomål mail.docx", "A 49052-2023")</f>
        <v/>
      </c>
      <c r="AC90">
        <f>HYPERLINK("https://klasma.github.io/Logging_2039/tillsyn/A 49052-2023 tillsynsbegäran.docx", "A 49052-2023")</f>
        <v/>
      </c>
      <c r="AD90">
        <f>HYPERLINK("https://klasma.github.io/Logging_2039/tillsynsmail/A 49052-2023 tillsynsbegäran mail.docx", "A 49052-2023")</f>
        <v/>
      </c>
    </row>
    <row r="91" ht="15" customHeight="1">
      <c r="A91" t="inlineStr">
        <is>
          <t>A 63327-2025</t>
        </is>
      </c>
      <c r="B91" t="inlineStr">
        <is>
          <t>avverkningsanmälan</t>
        </is>
      </c>
      <c r="C91" t="inlineStr">
        <is>
          <t>Föryngringsavverkning</t>
        </is>
      </c>
      <c r="D91" s="1" t="n">
        <v>46010</v>
      </c>
      <c r="E91" s="1" t="n">
        <v>46224</v>
      </c>
      <c r="F91" t="inlineStr">
        <is>
          <t>DALARNAS LÄN</t>
        </is>
      </c>
      <c r="G91" t="inlineStr">
        <is>
          <t>ÄLVDALEN</t>
        </is>
      </c>
      <c r="H91" t="inlineStr">
        <is>
          <t>Allmännings- och besparingsskogar</t>
        </is>
      </c>
      <c r="I91" t="n">
        <v>9.800000000000001</v>
      </c>
      <c r="J91" t="n">
        <v>2</v>
      </c>
      <c r="K91" t="n">
        <v>1</v>
      </c>
      <c r="L91" t="n">
        <v>3</v>
      </c>
      <c r="M91" t="n">
        <v>1</v>
      </c>
      <c r="N91" t="n">
        <v>0</v>
      </c>
      <c r="O91" t="n">
        <v>0</v>
      </c>
      <c r="P91" t="n">
        <v>0</v>
      </c>
      <c r="Q91" t="n">
        <v>4</v>
      </c>
      <c r="R91" t="n">
        <v>1</v>
      </c>
      <c r="S91" t="n">
        <v>7</v>
      </c>
      <c r="T91" t="n">
        <v>22</v>
      </c>
      <c r="U91" t="n">
        <v>22</v>
      </c>
      <c r="V91" s="2" t="inlineStr">
        <is>
          <t>Garnlav
Mörk kolflarnlav
Tallticka
Vedskivlav
Mindre märgborre
Spillkråka
Tjäder</t>
        </is>
      </c>
      <c r="W91">
        <f>HYPERLINK("https://klasma.github.io/Logging_2039/artfynd/A 63327-2025 artfynd.xlsx", "A 63327-2025")</f>
        <v/>
      </c>
      <c r="X91">
        <f>HYPERLINK("https://klasma.github.io/Logging_2039/kartor/A 63327-2025 karta.png", "A 63327-2025")</f>
        <v/>
      </c>
      <c r="Y91">
        <f>HYPERLINK("https://klasma.github.io/Logging_2039/kartor_geotiff/A 63327-2025 georefererad karta.tif", "A 63327-2025")</f>
        <v/>
      </c>
      <c r="AA91">
        <f>HYPERLINK("https://klasma.github.io/Logging_2039/klagomål/A 63327-2025 FSC-klagomål.docx", "A 63327-2025")</f>
        <v/>
      </c>
      <c r="AB91">
        <f>HYPERLINK("https://klasma.github.io/Logging_2039/klagomålsmail/A 63327-2025 FSC-klagomål mail.docx", "A 63327-2025")</f>
        <v/>
      </c>
      <c r="AC91">
        <f>HYPERLINK("https://klasma.github.io/Logging_2039/tillsyn/A 63327-2025 tillsynsbegäran.docx", "A 63327-2025")</f>
        <v/>
      </c>
      <c r="AD91">
        <f>HYPERLINK("https://klasma.github.io/Logging_2039/tillsynsmail/A 63327-2025 tillsynsbegäran mail.docx", "A 63327-2025")</f>
        <v/>
      </c>
      <c r="AE91">
        <f>HYPERLINK("https://klasma.github.io/Logging_2039/fåglar/A 63327-2025 prioriterade fågelarter.docx", "A 63327-2025")</f>
        <v/>
      </c>
    </row>
    <row r="92" ht="15" customHeight="1">
      <c r="A92" t="inlineStr">
        <is>
          <t>A 38585-2023</t>
        </is>
      </c>
      <c r="B92" t="inlineStr">
        <is>
          <t>avverkningsanmälan</t>
        </is>
      </c>
      <c r="C92" t="inlineStr">
        <is>
          <t>Föryngringsavverkning</t>
        </is>
      </c>
      <c r="D92" s="1" t="n">
        <v>45162</v>
      </c>
      <c r="E92" s="1" t="n">
        <v>46224</v>
      </c>
      <c r="F92" t="inlineStr">
        <is>
          <t>DALARNAS LÄN</t>
        </is>
      </c>
      <c r="G92" t="inlineStr">
        <is>
          <t>ÄLVDALEN</t>
        </is>
      </c>
      <c r="H92" t="inlineStr">
        <is>
          <t>Sveaskog</t>
        </is>
      </c>
      <c r="I92" t="n">
        <v>7.8</v>
      </c>
      <c r="J92" t="n">
        <v>1</v>
      </c>
      <c r="K92" t="n">
        <v>1</v>
      </c>
      <c r="L92" t="n">
        <v>6</v>
      </c>
      <c r="M92" t="n">
        <v>0</v>
      </c>
      <c r="N92" t="n">
        <v>0</v>
      </c>
      <c r="O92" t="n">
        <v>0</v>
      </c>
      <c r="P92" t="n">
        <v>0</v>
      </c>
      <c r="Q92" t="n">
        <v>6</v>
      </c>
      <c r="R92" t="n">
        <v>0</v>
      </c>
      <c r="S92" t="n">
        <v>7</v>
      </c>
      <c r="T92" t="n">
        <v>12</v>
      </c>
      <c r="U92" t="n">
        <v>11</v>
      </c>
      <c r="V92" s="2" t="inlineStr">
        <is>
          <t>Blanksvart spiklav
Blå taggsvamp
Dropptaggsvamp
Dvärgbägarlav
Kolflarnlav
Skarp dropptaggsvamp
Plattlummer</t>
        </is>
      </c>
      <c r="W92">
        <f>HYPERLINK("https://klasma.github.io/Logging_2039/artfynd/A 38585-2023 artfynd.xlsx", "A 38585-2023")</f>
        <v/>
      </c>
      <c r="X92">
        <f>HYPERLINK("https://klasma.github.io/Logging_2039/kartor/A 38585-2023 karta.png", "A 38585-2023")</f>
        <v/>
      </c>
      <c r="Y92">
        <f>HYPERLINK("https://klasma.github.io/Logging_2039/kartor_geotiff/A 38585-2023 georefererad karta.tif", "A 38585-2023")</f>
        <v/>
      </c>
      <c r="AA92">
        <f>HYPERLINK("https://klasma.github.io/Logging_2039/klagomål/A 38585-2023 FSC-klagomål.docx", "A 38585-2023")</f>
        <v/>
      </c>
      <c r="AB92">
        <f>HYPERLINK("https://klasma.github.io/Logging_2039/klagomålsmail/A 38585-2023 FSC-klagomål mail.docx", "A 38585-2023")</f>
        <v/>
      </c>
      <c r="AC92">
        <f>HYPERLINK("https://klasma.github.io/Logging_2039/tillsyn/A 38585-2023 tillsynsbegäran.docx", "A 38585-2023")</f>
        <v/>
      </c>
      <c r="AD92">
        <f>HYPERLINK("https://klasma.github.io/Logging_2039/tillsynsmail/A 38585-2023 tillsynsbegäran mail.docx", "A 38585-2023")</f>
        <v/>
      </c>
    </row>
    <row r="93" ht="15" customHeight="1">
      <c r="A93" t="inlineStr">
        <is>
          <t>A 62684-2025</t>
        </is>
      </c>
      <c r="B93" t="inlineStr">
        <is>
          <t>avverkningsanmälan</t>
        </is>
      </c>
      <c r="C93" t="inlineStr">
        <is>
          <t>Föryngringsavverkning</t>
        </is>
      </c>
      <c r="D93" s="1" t="n">
        <v>46008</v>
      </c>
      <c r="E93" s="1" t="n">
        <v>46224</v>
      </c>
      <c r="F93" t="inlineStr">
        <is>
          <t>DALARNAS LÄN</t>
        </is>
      </c>
      <c r="G93" t="inlineStr">
        <is>
          <t>ÄLVDALEN</t>
        </is>
      </c>
      <c r="I93" t="n">
        <v>20.3</v>
      </c>
      <c r="J93" t="n">
        <v>4</v>
      </c>
      <c r="K93" t="n">
        <v>2</v>
      </c>
      <c r="L93" t="n">
        <v>1</v>
      </c>
      <c r="M93" t="n">
        <v>1</v>
      </c>
      <c r="N93" t="n">
        <v>0</v>
      </c>
      <c r="O93" t="n">
        <v>0</v>
      </c>
      <c r="P93" t="n">
        <v>0</v>
      </c>
      <c r="Q93" t="n">
        <v>2</v>
      </c>
      <c r="R93" t="n">
        <v>1</v>
      </c>
      <c r="S93" t="n">
        <v>7</v>
      </c>
      <c r="T93" t="n">
        <v>76</v>
      </c>
      <c r="U93" t="n">
        <v>74</v>
      </c>
      <c r="V93" s="2" t="inlineStr">
        <is>
          <t>Garnlav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31821-2025</t>
        </is>
      </c>
      <c r="B94" t="inlineStr">
        <is>
          <t>avverkningsanmälan</t>
        </is>
      </c>
      <c r="C94" t="inlineStr">
        <is>
          <t>Föryngringsavverkning</t>
        </is>
      </c>
      <c r="D94" s="1" t="n">
        <v>45834</v>
      </c>
      <c r="E94" s="1" t="n">
        <v>46224</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40417-2025</t>
        </is>
      </c>
      <c r="B95" t="inlineStr">
        <is>
          <t>avverkningsanmälan</t>
        </is>
      </c>
      <c r="C95" t="inlineStr">
        <is>
          <t>Föryngringsavverkning</t>
        </is>
      </c>
      <c r="D95" s="1" t="n">
        <v>45895</v>
      </c>
      <c r="E95" s="1" t="n">
        <v>46224</v>
      </c>
      <c r="F95" t="inlineStr">
        <is>
          <t>DALARNAS LÄN</t>
        </is>
      </c>
      <c r="G95" t="inlineStr">
        <is>
          <t>ÄLVDALEN</t>
        </is>
      </c>
      <c r="I95" t="n">
        <v>14.2</v>
      </c>
      <c r="J95" t="n">
        <v>2</v>
      </c>
      <c r="K95" t="n">
        <v>1</v>
      </c>
      <c r="L95" t="n">
        <v>4</v>
      </c>
      <c r="M95" t="n">
        <v>1</v>
      </c>
      <c r="N95" t="n">
        <v>0</v>
      </c>
      <c r="O95" t="n">
        <v>0</v>
      </c>
      <c r="P95" t="n">
        <v>0</v>
      </c>
      <c r="Q95" t="n">
        <v>5</v>
      </c>
      <c r="R95" t="n">
        <v>1</v>
      </c>
      <c r="S95" t="n">
        <v>7</v>
      </c>
      <c r="T95" t="n">
        <v>23</v>
      </c>
      <c r="U95" t="n">
        <v>23</v>
      </c>
      <c r="V95" s="2" t="inlineStr">
        <is>
          <t>Garnlav
Kolflarnlav
Mörk kolflarnlav
Talltagel
Vedskivlav
Plattlummer
Tjäder</t>
        </is>
      </c>
      <c r="W95">
        <f>HYPERLINK("https://klasma.github.io/Logging_2039/artfynd/A 40417-2025 artfynd.xlsx", "A 40417-2025")</f>
        <v/>
      </c>
      <c r="X95">
        <f>HYPERLINK("https://klasma.github.io/Logging_2039/kartor/A 40417-2025 karta.png", "A 40417-2025")</f>
        <v/>
      </c>
      <c r="Y95">
        <f>HYPERLINK("https://klasma.github.io/Logging_2039/kartor_geotiff/A 40417-2025 georefererad karta.tif", "A 40417-2025")</f>
        <v/>
      </c>
      <c r="AA95">
        <f>HYPERLINK("https://klasma.github.io/Logging_2039/klagomål/A 40417-2025 FSC-klagomål.docx", "A 40417-2025")</f>
        <v/>
      </c>
      <c r="AB95">
        <f>HYPERLINK("https://klasma.github.io/Logging_2039/klagomålsmail/A 40417-2025 FSC-klagomål mail.docx", "A 40417-2025")</f>
        <v/>
      </c>
      <c r="AC95">
        <f>HYPERLINK("https://klasma.github.io/Logging_2039/tillsyn/A 40417-2025 tillsynsbegäran.docx", "A 40417-2025")</f>
        <v/>
      </c>
      <c r="AD95">
        <f>HYPERLINK("https://klasma.github.io/Logging_2039/tillsynsmail/A 40417-2025 tillsynsbegäran mail.docx", "A 40417-2025")</f>
        <v/>
      </c>
      <c r="AE95">
        <f>HYPERLINK("https://klasma.github.io/Logging_2039/fåglar/A 40417-2025 prioriterade fågelarter.docx", "A 40417-2025")</f>
        <v/>
      </c>
    </row>
    <row r="96" ht="15" customHeight="1">
      <c r="A96" t="inlineStr">
        <is>
          <t>A 55222-2025</t>
        </is>
      </c>
      <c r="B96" t="inlineStr">
        <is>
          <t>avverkningsanmälan</t>
        </is>
      </c>
      <c r="C96" t="inlineStr">
        <is>
          <t>Föryngringsavverkning</t>
        </is>
      </c>
      <c r="D96" s="1" t="n">
        <v>45968</v>
      </c>
      <c r="E96" s="1" t="n">
        <v>46224</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46224</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6847-2026</t>
        </is>
      </c>
      <c r="B98" t="inlineStr">
        <is>
          <t>avverkningsanmälan</t>
        </is>
      </c>
      <c r="C98" t="inlineStr">
        <is>
          <t>Föryngringsavverkning</t>
        </is>
      </c>
      <c r="D98" s="1" t="n">
        <v>46057</v>
      </c>
      <c r="E98" s="1" t="n">
        <v>46224</v>
      </c>
      <c r="F98" t="inlineStr">
        <is>
          <t>DALARNAS LÄN</t>
        </is>
      </c>
      <c r="G98" t="inlineStr">
        <is>
          <t>ÄLVDALEN</t>
        </is>
      </c>
      <c r="I98" t="n">
        <v>3.6</v>
      </c>
      <c r="J98" t="n">
        <v>2</v>
      </c>
      <c r="K98" t="n">
        <v>1</v>
      </c>
      <c r="L98" t="n">
        <v>3</v>
      </c>
      <c r="M98" t="n">
        <v>1</v>
      </c>
      <c r="N98" t="n">
        <v>0</v>
      </c>
      <c r="O98" t="n">
        <v>0</v>
      </c>
      <c r="P98" t="n">
        <v>0</v>
      </c>
      <c r="Q98" t="n">
        <v>4</v>
      </c>
      <c r="R98" t="n">
        <v>1</v>
      </c>
      <c r="S98" t="n">
        <v>7</v>
      </c>
      <c r="T98" t="n">
        <v>64</v>
      </c>
      <c r="U98" t="n">
        <v>64</v>
      </c>
      <c r="V98" s="2" t="inlineStr">
        <is>
          <t>Garnlav
Apelsinticka
Vedskivlav
Älg
Mindre märgborre
Spillkråka
Tjäder</t>
        </is>
      </c>
      <c r="W98">
        <f>HYPERLINK("https://klasma.github.io/Logging_2039/artfynd/A 6847-2026 artfynd.xlsx", "A 6847-2026")</f>
        <v/>
      </c>
      <c r="X98">
        <f>HYPERLINK("https://klasma.github.io/Logging_2039/kartor/A 6847-2026 karta.png", "A 6847-2026")</f>
        <v/>
      </c>
      <c r="Y98">
        <f>HYPERLINK("https://klasma.github.io/Logging_2039/kartor_geotiff/A 6847-2026 georefererad karta.tif", "A 6847-2026")</f>
        <v/>
      </c>
      <c r="AA98">
        <f>HYPERLINK("https://klasma.github.io/Logging_2039/klagomål/A 6847-2026 FSC-klagomål.docx", "A 6847-2026")</f>
        <v/>
      </c>
      <c r="AB98">
        <f>HYPERLINK("https://klasma.github.io/Logging_2039/klagomålsmail/A 6847-2026 FSC-klagomål mail.docx", "A 6847-2026")</f>
        <v/>
      </c>
      <c r="AC98">
        <f>HYPERLINK("https://klasma.github.io/Logging_2039/tillsyn/A 6847-2026 tillsynsbegäran.docx", "A 6847-2026")</f>
        <v/>
      </c>
      <c r="AD98">
        <f>HYPERLINK("https://klasma.github.io/Logging_2039/tillsynsmail/A 6847-2026 tillsynsbegäran mail.docx", "A 6847-2026")</f>
        <v/>
      </c>
      <c r="AE98">
        <f>HYPERLINK("https://klasma.github.io/Logging_2039/fåglar/A 6847-2026 prioriterade fågelarter.docx", "A 6847-2026")</f>
        <v/>
      </c>
    </row>
    <row r="99" ht="15" customHeight="1">
      <c r="A99" t="inlineStr">
        <is>
          <t>S 824-2022</t>
        </is>
      </c>
      <c r="B99" t="inlineStr">
        <is>
          <t>samrådsanmälan</t>
        </is>
      </c>
      <c r="C99" t="inlineStr">
        <is>
          <t>Skogsgödsling</t>
        </is>
      </c>
      <c r="D99" s="1" t="n">
        <v>44602</v>
      </c>
      <c r="E99" s="1" t="n">
        <v>46224</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824-2022 artfynd.xlsx", "S 824-2022")</f>
        <v/>
      </c>
      <c r="X99">
        <f>HYPERLINK("https://klasma.github.io/Logging_2039/kartor/S 824-2022 karta.png", "S 824-2022")</f>
        <v/>
      </c>
      <c r="Y99">
        <f>HYPERLINK("https://klasma.github.io/Logging_2039/kartor_geotiff/S 824-2022 georefererad karta.tif", "S 824-2022")</f>
        <v/>
      </c>
      <c r="AA99">
        <f>HYPERLINK("https://klasma.github.io/Logging_2039/klagomål/S 824-2022 FSC-klagomål.docx", "S 824-2022")</f>
        <v/>
      </c>
      <c r="AB99">
        <f>HYPERLINK("https://klasma.github.io/Logging_2039/klagomålsmail/S 824-2022 FSC-klagomål mail.docx", "S 824-2022")</f>
        <v/>
      </c>
      <c r="AC99">
        <f>HYPERLINK("https://klasma.github.io/Logging_2039/tillsyn/S 824-2022 tillsynsbegäran.docx", "S 824-2022")</f>
        <v/>
      </c>
      <c r="AD99">
        <f>HYPERLINK("https://klasma.github.io/Logging_2039/tillsynsmail/S 824-2022 tillsynsbegäran mail.docx", "S 824-2022")</f>
        <v/>
      </c>
      <c r="AE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46224</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t="n">
        <v>0</v>
      </c>
      <c r="V100" s="2" t="inlineStr">
        <is>
          <t>Garnlav
Rosenticka
Rynkskinn
Tallticka
Violettgrå tagellav
Vitgrynig nållav
Vågbandad barkbock</t>
        </is>
      </c>
      <c r="W100">
        <f>HYPERLINK("https://klasma.github.io/Logging_2039/artfynd/S 5342-2022 artfynd.xlsx", "S 5342-2022")</f>
        <v/>
      </c>
      <c r="X100">
        <f>HYPERLINK("https://klasma.github.io/Logging_2039/kartor/S 5342-2022 karta.png", "S 5342-2022")</f>
        <v/>
      </c>
      <c r="Y100">
        <f>HYPERLINK("https://klasma.github.io/Logging_2039/kartor_geotiff/S 5342-2022 georefererad karta.tif", "S 5342-2022")</f>
        <v/>
      </c>
      <c r="AA100">
        <f>HYPERLINK("https://klasma.github.io/Logging_2039/klagomål/S 5342-2022 FSC-klagomål.docx", "S 5342-2022")</f>
        <v/>
      </c>
      <c r="AB100">
        <f>HYPERLINK("https://klasma.github.io/Logging_2039/klagomålsmail/S 5342-2022 FSC-klagomål mail.docx", "S 5342-2022")</f>
        <v/>
      </c>
      <c r="AC100">
        <f>HYPERLINK("https://klasma.github.io/Logging_2039/tillsyn/S 5342-2022 tillsynsbegäran.docx", "S 5342-2022")</f>
        <v/>
      </c>
      <c r="AD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46224</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669-2023 artfynd.xlsx", "S 669-2023")</f>
        <v/>
      </c>
      <c r="X101">
        <f>HYPERLINK("https://klasma.github.io/Logging_2039/kartor/S 669-2023 karta.png", "S 669-2023")</f>
        <v/>
      </c>
      <c r="Y101">
        <f>HYPERLINK("https://klasma.github.io/Logging_2039/kartor_geotiff/S 669-2023 georefererad karta.tif", "S 669-2023")</f>
        <v/>
      </c>
      <c r="AA101">
        <f>HYPERLINK("https://klasma.github.io/Logging_2039/klagomål/S 669-2023 FSC-klagomål.docx", "S 669-2023")</f>
        <v/>
      </c>
      <c r="AB101">
        <f>HYPERLINK("https://klasma.github.io/Logging_2039/klagomålsmail/S 669-2023 FSC-klagomål mail.docx", "S 669-2023")</f>
        <v/>
      </c>
      <c r="AC101">
        <f>HYPERLINK("https://klasma.github.io/Logging_2039/tillsyn/S 669-2023 tillsynsbegäran.docx", "S 669-2023")</f>
        <v/>
      </c>
      <c r="AD101">
        <f>HYPERLINK("https://klasma.github.io/Logging_2039/tillsynsmail/S 669-2023 tillsynsbegäran mail.docx", "S 669-2023")</f>
        <v/>
      </c>
      <c r="AE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46224</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t="n">
        <v>0</v>
      </c>
      <c r="V102" s="2" t="inlineStr">
        <is>
          <t>Garnlav
Mörk kolflarnlav
Vedflamlav
Vedskivlav
Violettgrå tagellav
Mindre märgborre</t>
        </is>
      </c>
      <c r="W102">
        <f>HYPERLINK("https://klasma.github.io/Logging_2039/artfynd/A 54314-2021 artfynd.xlsx", "A 54314-2021")</f>
        <v/>
      </c>
      <c r="X102">
        <f>HYPERLINK("https://klasma.github.io/Logging_2039/kartor/A 54314-2021 karta.png", "A 54314-2021")</f>
        <v/>
      </c>
      <c r="Y102">
        <f>HYPERLINK("https://klasma.github.io/Logging_2039/kartor_geotiff/A 54314-2021 georefererad karta.tif", "A 54314-2021")</f>
        <v/>
      </c>
      <c r="AA102">
        <f>HYPERLINK("https://klasma.github.io/Logging_2039/klagomål/A 54314-2021 FSC-klagomål.docx", "A 54314-2021")</f>
        <v/>
      </c>
      <c r="AB102">
        <f>HYPERLINK("https://klasma.github.io/Logging_2039/klagomålsmail/A 54314-2021 FSC-klagomål mail.docx", "A 54314-2021")</f>
        <v/>
      </c>
      <c r="AC102">
        <f>HYPERLINK("https://klasma.github.io/Logging_2039/tillsyn/A 54314-2021 tillsynsbegäran.docx", "A 54314-2021")</f>
        <v/>
      </c>
      <c r="AD102">
        <f>HYPERLINK("https://klasma.github.io/Logging_2039/tillsynsmail/A 54314-2021 tillsynsbegäran mail.docx", "A 54314-2021")</f>
        <v/>
      </c>
    </row>
    <row r="103" ht="15" customHeight="1">
      <c r="A103" t="inlineStr">
        <is>
          <t>A 61585-2025</t>
        </is>
      </c>
      <c r="B103" t="inlineStr">
        <is>
          <t>avverkningsanmälan</t>
        </is>
      </c>
      <c r="C103" t="inlineStr">
        <is>
          <t>Föryngringsavverkning</t>
        </is>
      </c>
      <c r="D103" s="1" t="n">
        <v>46002</v>
      </c>
      <c r="E103" s="1" t="n">
        <v>46224</v>
      </c>
      <c r="F103" t="inlineStr">
        <is>
          <t>DALARNAS LÄN</t>
        </is>
      </c>
      <c r="G103" t="inlineStr">
        <is>
          <t>ÄLVDALEN</t>
        </is>
      </c>
      <c r="H103" t="inlineStr">
        <is>
          <t>Sveaskog</t>
        </is>
      </c>
      <c r="I103" t="n">
        <v>11.2</v>
      </c>
      <c r="J103" t="n">
        <v>1</v>
      </c>
      <c r="K103" t="n">
        <v>1</v>
      </c>
      <c r="L103" t="n">
        <v>4</v>
      </c>
      <c r="M103" t="n">
        <v>1</v>
      </c>
      <c r="N103" t="n">
        <v>0</v>
      </c>
      <c r="O103" t="n">
        <v>0</v>
      </c>
      <c r="P103" t="n">
        <v>0</v>
      </c>
      <c r="Q103" t="n">
        <v>5</v>
      </c>
      <c r="R103" t="n">
        <v>1</v>
      </c>
      <c r="S103" t="n">
        <v>6</v>
      </c>
      <c r="T103" t="n">
        <v>10</v>
      </c>
      <c r="U103" t="n">
        <v>2</v>
      </c>
      <c r="V103" s="2" t="inlineStr">
        <is>
          <t>Garnlav
Dvärgbägarlav
Kolflarnlav
Skrovellav
Vedflamlav
Plattlummer</t>
        </is>
      </c>
      <c r="W103">
        <f>HYPERLINK("https://klasma.github.io/Logging_2039/artfynd/A 61585-2025 artfynd.xlsx", "A 61585-2025")</f>
        <v/>
      </c>
      <c r="X103">
        <f>HYPERLINK("https://klasma.github.io/Logging_2039/kartor/A 61585-2025 karta.png", "A 61585-2025")</f>
        <v/>
      </c>
      <c r="Y103">
        <f>HYPERLINK("https://klasma.github.io/Logging_2039/kartor_geotiff/A 61585-2025 georefererad karta.tif", "A 61585-2025")</f>
        <v/>
      </c>
      <c r="AA103">
        <f>HYPERLINK("https://klasma.github.io/Logging_2039/klagomål/A 61585-2025 FSC-klagomål.docx", "A 61585-2025")</f>
        <v/>
      </c>
      <c r="AB103">
        <f>HYPERLINK("https://klasma.github.io/Logging_2039/klagomålsmail/A 61585-2025 FSC-klagomål mail.docx", "A 61585-2025")</f>
        <v/>
      </c>
      <c r="AC103">
        <f>HYPERLINK("https://klasma.github.io/Logging_2039/tillsyn/A 61585-2025 tillsynsbegäran.docx", "A 61585-2025")</f>
        <v/>
      </c>
      <c r="AD103">
        <f>HYPERLINK("https://klasma.github.io/Logging_2039/tillsynsmail/A 61585-2025 tillsynsbegäran mail.docx", "A 61585-2025")</f>
        <v/>
      </c>
    </row>
    <row r="104" ht="15" customHeight="1">
      <c r="A104" t="inlineStr">
        <is>
          <t>A 61591-2025</t>
        </is>
      </c>
      <c r="B104" t="inlineStr">
        <is>
          <t>avverkningsanmälan</t>
        </is>
      </c>
      <c r="C104" t="inlineStr">
        <is>
          <t>Föryngringsavverkning</t>
        </is>
      </c>
      <c r="D104" s="1" t="n">
        <v>46002</v>
      </c>
      <c r="E104" s="1" t="n">
        <v>46224</v>
      </c>
      <c r="F104" t="inlineStr">
        <is>
          <t>DALARNAS LÄN</t>
        </is>
      </c>
      <c r="G104" t="inlineStr">
        <is>
          <t>ÄLVDALEN</t>
        </is>
      </c>
      <c r="H104" t="inlineStr">
        <is>
          <t>Sveaskog</t>
        </is>
      </c>
      <c r="I104" t="n">
        <v>8.1</v>
      </c>
      <c r="J104" t="n">
        <v>1</v>
      </c>
      <c r="K104" t="n">
        <v>1</v>
      </c>
      <c r="L104" t="n">
        <v>5</v>
      </c>
      <c r="M104" t="n">
        <v>0</v>
      </c>
      <c r="N104" t="n">
        <v>0</v>
      </c>
      <c r="O104" t="n">
        <v>0</v>
      </c>
      <c r="P104" t="n">
        <v>0</v>
      </c>
      <c r="Q104" t="n">
        <v>5</v>
      </c>
      <c r="R104" t="n">
        <v>0</v>
      </c>
      <c r="S104" t="n">
        <v>6</v>
      </c>
      <c r="T104" t="n">
        <v>9</v>
      </c>
      <c r="U104" t="n">
        <v>0</v>
      </c>
      <c r="V104" s="2" t="inlineStr">
        <is>
          <t>Dropptaggsvamp
Dvärgbägarlav
Kolflarnlav
Mörk kolflarnlav
Vedflamlav
Plattlummer</t>
        </is>
      </c>
      <c r="W104">
        <f>HYPERLINK("https://klasma.github.io/Logging_2039/artfynd/A 61591-2025 artfynd.xlsx", "A 61591-2025")</f>
        <v/>
      </c>
      <c r="X104">
        <f>HYPERLINK("https://klasma.github.io/Logging_2039/kartor/A 61591-2025 karta.png", "A 61591-2025")</f>
        <v/>
      </c>
      <c r="Y104">
        <f>HYPERLINK("https://klasma.github.io/Logging_2039/kartor_geotiff/A 61591-2025 georefererad karta.tif", "A 61591-2025")</f>
        <v/>
      </c>
      <c r="AA104">
        <f>HYPERLINK("https://klasma.github.io/Logging_2039/klagomål/A 61591-2025 FSC-klagomål.docx", "A 61591-2025")</f>
        <v/>
      </c>
      <c r="AB104">
        <f>HYPERLINK("https://klasma.github.io/Logging_2039/klagomålsmail/A 61591-2025 FSC-klagomål mail.docx", "A 61591-2025")</f>
        <v/>
      </c>
      <c r="AC104">
        <f>HYPERLINK("https://klasma.github.io/Logging_2039/tillsyn/A 61591-2025 tillsynsbegäran.docx", "A 61591-2025")</f>
        <v/>
      </c>
      <c r="AD104">
        <f>HYPERLINK("https://klasma.github.io/Logging_2039/tillsynsmail/A 61591-2025 tillsynsbegäran mail.docx", "A 61591-2025")</f>
        <v/>
      </c>
    </row>
    <row r="105" ht="15" customHeight="1">
      <c r="A105" t="inlineStr">
        <is>
          <t>A 10282-2024</t>
        </is>
      </c>
      <c r="B105" t="inlineStr">
        <is>
          <t>avverkningsanmälan</t>
        </is>
      </c>
      <c r="C105" t="inlineStr">
        <is>
          <t>Föryngringsavverkning</t>
        </is>
      </c>
      <c r="D105" s="1" t="n">
        <v>45365</v>
      </c>
      <c r="E105" s="1" t="n">
        <v>46224</v>
      </c>
      <c r="F105" t="inlineStr">
        <is>
          <t>DALARNAS LÄN</t>
        </is>
      </c>
      <c r="G105" t="inlineStr">
        <is>
          <t>ÄLVDALEN</t>
        </is>
      </c>
      <c r="I105" t="n">
        <v>1.2</v>
      </c>
      <c r="J105" t="n">
        <v>2</v>
      </c>
      <c r="K105" t="n">
        <v>1</v>
      </c>
      <c r="L105" t="n">
        <v>3</v>
      </c>
      <c r="M105" t="n">
        <v>2</v>
      </c>
      <c r="N105" t="n">
        <v>0</v>
      </c>
      <c r="O105" t="n">
        <v>0</v>
      </c>
      <c r="P105" t="n">
        <v>0</v>
      </c>
      <c r="Q105" t="n">
        <v>5</v>
      </c>
      <c r="R105" t="n">
        <v>2</v>
      </c>
      <c r="S105" t="n">
        <v>6</v>
      </c>
      <c r="T105" t="n">
        <v>24</v>
      </c>
      <c r="U105" t="n">
        <v>24</v>
      </c>
      <c r="V105" s="2" t="inlineStr">
        <is>
          <t>Garnlav
Knärot
Tretåig hackspett
Ullticka
Violettgrå tagellav
Vedticka</t>
        </is>
      </c>
      <c r="W105">
        <f>HYPERLINK("https://klasma.github.io/Logging_2039/artfynd/A 10282-2024 artfynd.xlsx", "A 10282-2024")</f>
        <v/>
      </c>
      <c r="X105">
        <f>HYPERLINK("https://klasma.github.io/Logging_2039/kartor/A 10282-2024 karta.png", "A 10282-2024")</f>
        <v/>
      </c>
      <c r="Y105">
        <f>HYPERLINK("https://klasma.github.io/Logging_2039/kartor_geotiff/A 10282-2024 georefererad karta.tif", "A 10282-2024")</f>
        <v/>
      </c>
      <c r="Z105">
        <f>HYPERLINK("https://klasma.github.io/Logging_2039/knärot/A 10282-2024 karta knärot.png", "A 10282-2024")</f>
        <v/>
      </c>
      <c r="AA105">
        <f>HYPERLINK("https://klasma.github.io/Logging_2039/klagomål/A 10282-2024 FSC-klagomål.docx", "A 10282-2024")</f>
        <v/>
      </c>
      <c r="AB105">
        <f>HYPERLINK("https://klasma.github.io/Logging_2039/klagomålsmail/A 10282-2024 FSC-klagomål mail.docx", "A 10282-2024")</f>
        <v/>
      </c>
      <c r="AC105">
        <f>HYPERLINK("https://klasma.github.io/Logging_2039/tillsyn/A 10282-2024 tillsynsbegäran.docx", "A 10282-2024")</f>
        <v/>
      </c>
      <c r="AD105">
        <f>HYPERLINK("https://klasma.github.io/Logging_2039/tillsynsmail/A 10282-2024 tillsynsbegäran mail.docx", "A 10282-2024")</f>
        <v/>
      </c>
      <c r="AE105">
        <f>HYPERLINK("https://klasma.github.io/Logging_2039/fåglar/A 10282-2024 prioriterade fågelarter.docx", "A 10282-2024")</f>
        <v/>
      </c>
    </row>
    <row r="106" ht="15" customHeight="1">
      <c r="A106" t="inlineStr">
        <is>
          <t>A 25758-2025</t>
        </is>
      </c>
      <c r="B106" t="inlineStr">
        <is>
          <t>avverkningsanmälan</t>
        </is>
      </c>
      <c r="C106" t="inlineStr">
        <is>
          <t>Föryngringsavverkning</t>
        </is>
      </c>
      <c r="D106" s="1" t="n">
        <v>45804</v>
      </c>
      <c r="E106" s="1" t="n">
        <v>46224</v>
      </c>
      <c r="F106" t="inlineStr">
        <is>
          <t>DALARNAS LÄN</t>
        </is>
      </c>
      <c r="G106" t="inlineStr">
        <is>
          <t>ÄLVDALEN</t>
        </is>
      </c>
      <c r="H106" t="inlineStr">
        <is>
          <t>Kommuner</t>
        </is>
      </c>
      <c r="I106" t="n">
        <v>2.2</v>
      </c>
      <c r="J106" t="n">
        <v>2</v>
      </c>
      <c r="K106" t="n">
        <v>1</v>
      </c>
      <c r="L106" t="n">
        <v>3</v>
      </c>
      <c r="M106" t="n">
        <v>1</v>
      </c>
      <c r="N106" t="n">
        <v>0</v>
      </c>
      <c r="O106" t="n">
        <v>0</v>
      </c>
      <c r="P106" t="n">
        <v>0</v>
      </c>
      <c r="Q106" t="n">
        <v>4</v>
      </c>
      <c r="R106" t="n">
        <v>1</v>
      </c>
      <c r="S106" t="n">
        <v>6</v>
      </c>
      <c r="T106" t="n">
        <v>12</v>
      </c>
      <c r="U106" t="n">
        <v>12</v>
      </c>
      <c r="V106" s="2" t="inlineStr">
        <is>
          <t>Garnlav
Dropptaggsvamp
Rödvingetrast
Tallticka
Mindre märgborre
Spillkråka</t>
        </is>
      </c>
      <c r="W106">
        <f>HYPERLINK("https://klasma.github.io/Logging_2039/artfynd/A 25758-2025 artfynd.xlsx", "A 25758-2025")</f>
        <v/>
      </c>
      <c r="X106">
        <f>HYPERLINK("https://klasma.github.io/Logging_2039/kartor/A 25758-2025 karta.png", "A 25758-2025")</f>
        <v/>
      </c>
      <c r="Y106">
        <f>HYPERLINK("https://klasma.github.io/Logging_2039/kartor_geotiff/A 25758-2025 georefererad karta.tif", "A 25758-2025")</f>
        <v/>
      </c>
      <c r="AA106">
        <f>HYPERLINK("https://klasma.github.io/Logging_2039/klagomål/A 25758-2025 FSC-klagomål.docx", "A 25758-2025")</f>
        <v/>
      </c>
      <c r="AB106">
        <f>HYPERLINK("https://klasma.github.io/Logging_2039/klagomålsmail/A 25758-2025 FSC-klagomål mail.docx", "A 25758-2025")</f>
        <v/>
      </c>
      <c r="AC106">
        <f>HYPERLINK("https://klasma.github.io/Logging_2039/tillsyn/A 25758-2025 tillsynsbegäran.docx", "A 25758-2025")</f>
        <v/>
      </c>
      <c r="AD106">
        <f>HYPERLINK("https://klasma.github.io/Logging_2039/tillsynsmail/A 25758-2025 tillsynsbegäran mail.docx", "A 25758-2025")</f>
        <v/>
      </c>
      <c r="AE106">
        <f>HYPERLINK("https://klasma.github.io/Logging_2039/fåglar/A 25758-2025 prioriterade fågelarter.docx", "A 25758-2025")</f>
        <v/>
      </c>
    </row>
    <row r="107" ht="15" customHeight="1">
      <c r="A107" t="inlineStr">
        <is>
          <t>A 33638-2025</t>
        </is>
      </c>
      <c r="B107" t="inlineStr">
        <is>
          <t>avverkningsanmälan</t>
        </is>
      </c>
      <c r="C107" t="inlineStr">
        <is>
          <t>Föryngringsavverkning</t>
        </is>
      </c>
      <c r="D107" s="1" t="n">
        <v>45841</v>
      </c>
      <c r="E107" s="1" t="n">
        <v>46224</v>
      </c>
      <c r="F107" t="inlineStr">
        <is>
          <t>DALARNAS LÄN</t>
        </is>
      </c>
      <c r="G107" t="inlineStr">
        <is>
          <t>ÄLVDALEN</t>
        </is>
      </c>
      <c r="H107" t="inlineStr">
        <is>
          <t>Sveaskog</t>
        </is>
      </c>
      <c r="I107" t="n">
        <v>2.1</v>
      </c>
      <c r="J107" t="n">
        <v>0</v>
      </c>
      <c r="K107" t="n">
        <v>0</v>
      </c>
      <c r="L107" t="n">
        <v>5</v>
      </c>
      <c r="M107" t="n">
        <v>1</v>
      </c>
      <c r="N107" t="n">
        <v>0</v>
      </c>
      <c r="O107" t="n">
        <v>0</v>
      </c>
      <c r="P107" t="n">
        <v>0</v>
      </c>
      <c r="Q107" t="n">
        <v>6</v>
      </c>
      <c r="R107" t="n">
        <v>1</v>
      </c>
      <c r="S107" t="n">
        <v>6</v>
      </c>
      <c r="T107" t="n">
        <v>6</v>
      </c>
      <c r="U107" t="n">
        <v>1</v>
      </c>
      <c r="V107" s="2" t="inlineStr">
        <is>
          <t>Gräddporing
Blanksvart spiklav
Dropptaggsvamp
Dvärgbägarlav
Kolflarnlav
Mörk kolflarnlav</t>
        </is>
      </c>
      <c r="W107">
        <f>HYPERLINK("https://klasma.github.io/Logging_2039/artfynd/A 33638-2025 artfynd.xlsx", "A 33638-2025")</f>
        <v/>
      </c>
      <c r="X107">
        <f>HYPERLINK("https://klasma.github.io/Logging_2039/kartor/A 33638-2025 karta.png", "A 33638-2025")</f>
        <v/>
      </c>
      <c r="Y107">
        <f>HYPERLINK("https://klasma.github.io/Logging_2039/kartor_geotiff/A 33638-2025 georefererad karta.tif", "A 33638-2025")</f>
        <v/>
      </c>
      <c r="AA107">
        <f>HYPERLINK("https://klasma.github.io/Logging_2039/klagomål/A 33638-2025 FSC-klagomål.docx", "A 33638-2025")</f>
        <v/>
      </c>
      <c r="AB107">
        <f>HYPERLINK("https://klasma.github.io/Logging_2039/klagomålsmail/A 33638-2025 FSC-klagomål mail.docx", "A 33638-2025")</f>
        <v/>
      </c>
      <c r="AC107">
        <f>HYPERLINK("https://klasma.github.io/Logging_2039/tillsyn/A 33638-2025 tillsynsbegäran.docx", "A 33638-2025")</f>
        <v/>
      </c>
      <c r="AD107">
        <f>HYPERLINK("https://klasma.github.io/Logging_2039/tillsynsmail/A 33638-2025 tillsynsbegäran mail.docx", "A 33638-2025")</f>
        <v/>
      </c>
    </row>
    <row r="108" ht="15" customHeight="1">
      <c r="A108" t="inlineStr">
        <is>
          <t>A 19686-2026</t>
        </is>
      </c>
      <c r="B108" t="inlineStr">
        <is>
          <t>avverkningsanmälan</t>
        </is>
      </c>
      <c r="C108" t="inlineStr">
        <is>
          <t>Föryngringsavverkning</t>
        </is>
      </c>
      <c r="D108" s="1" t="n">
        <v>46134</v>
      </c>
      <c r="E108" s="1" t="n">
        <v>46224</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t="n">
        <v>10</v>
      </c>
      <c r="V108" s="2" t="inlineStr">
        <is>
          <t>Garnlav
Talltita
Älg
Mindre märgborre
Spillkråka
Revlummer</t>
        </is>
      </c>
      <c r="W108">
        <f>HYPERLINK("https://klasma.github.io/Logging_2039/artfynd/A 19686-2026 artfynd.xlsx", "A 19686-2026")</f>
        <v/>
      </c>
      <c r="X108">
        <f>HYPERLINK("https://klasma.github.io/Logging_2039/kartor/A 19686-2026 karta.png", "A 19686-2026")</f>
        <v/>
      </c>
      <c r="Y108">
        <f>HYPERLINK("https://klasma.github.io/Logging_2039/kartor_geotiff/A 19686-2026 georefererad karta.tif", "A 19686-2026")</f>
        <v/>
      </c>
      <c r="AA108">
        <f>HYPERLINK("https://klasma.github.io/Logging_2039/klagomål/A 19686-2026 FSC-klagomål.docx", "A 19686-2026")</f>
        <v/>
      </c>
      <c r="AB108">
        <f>HYPERLINK("https://klasma.github.io/Logging_2039/klagomålsmail/A 19686-2026 FSC-klagomål mail.docx", "A 19686-2026")</f>
        <v/>
      </c>
      <c r="AC108">
        <f>HYPERLINK("https://klasma.github.io/Logging_2039/tillsyn/A 19686-2026 tillsynsbegäran.docx", "A 19686-2026")</f>
        <v/>
      </c>
      <c r="AD108">
        <f>HYPERLINK("https://klasma.github.io/Logging_2039/tillsynsmail/A 19686-2026 tillsynsbegäran mail.docx", "A 19686-2026")</f>
        <v/>
      </c>
      <c r="AE108">
        <f>HYPERLINK("https://klasma.github.io/Logging_2039/fåglar/A 19686-2026 prioriterade fågelarter.docx", "A 19686-2026")</f>
        <v/>
      </c>
    </row>
    <row r="109" ht="15" customHeight="1">
      <c r="A109" t="inlineStr">
        <is>
          <t>A 19262-2025</t>
        </is>
      </c>
      <c r="B109" t="inlineStr">
        <is>
          <t>avverkningsanmälan</t>
        </is>
      </c>
      <c r="C109" t="inlineStr">
        <is>
          <t>Föryngringsavverkning</t>
        </is>
      </c>
      <c r="D109" s="1" t="n">
        <v>45769</v>
      </c>
      <c r="E109" s="1" t="n">
        <v>46224</v>
      </c>
      <c r="F109" t="inlineStr">
        <is>
          <t>DALARNAS LÄN</t>
        </is>
      </c>
      <c r="G109" t="inlineStr">
        <is>
          <t>ÄLVDALEN</t>
        </is>
      </c>
      <c r="H109" t="inlineStr">
        <is>
          <t>Allmännings- och besparingsskogar</t>
        </is>
      </c>
      <c r="I109" t="n">
        <v>8.800000000000001</v>
      </c>
      <c r="J109" t="n">
        <v>0</v>
      </c>
      <c r="K109" t="n">
        <v>0</v>
      </c>
      <c r="L109" t="n">
        <v>3</v>
      </c>
      <c r="M109" t="n">
        <v>2</v>
      </c>
      <c r="N109" t="n">
        <v>1</v>
      </c>
      <c r="O109" t="n">
        <v>0</v>
      </c>
      <c r="P109" t="n">
        <v>0</v>
      </c>
      <c r="Q109" t="n">
        <v>6</v>
      </c>
      <c r="R109" t="n">
        <v>3</v>
      </c>
      <c r="S109" t="n">
        <v>6</v>
      </c>
      <c r="T109" t="n">
        <v>7</v>
      </c>
      <c r="U109" t="n">
        <v>3</v>
      </c>
      <c r="V109" s="2" t="inlineStr">
        <is>
          <t>Broktagel
Garnlav
Gräddporing
Dvärgbägarlav
Nordtagging
Skuggblåslav</t>
        </is>
      </c>
      <c r="W109">
        <f>HYPERLINK("https://klasma.github.io/Logging_2039/artfynd/A 19262-2025 artfynd.xlsx", "A 19262-2025")</f>
        <v/>
      </c>
      <c r="X109">
        <f>HYPERLINK("https://klasma.github.io/Logging_2039/kartor/A 19262-2025 karta.png", "A 19262-2025")</f>
        <v/>
      </c>
      <c r="Y109">
        <f>HYPERLINK("https://klasma.github.io/Logging_2039/kartor_geotiff/A 19262-2025 georefererad karta.tif", "A 19262-2025")</f>
        <v/>
      </c>
      <c r="AA109">
        <f>HYPERLINK("https://klasma.github.io/Logging_2039/klagomål/A 19262-2025 FSC-klagomål.docx", "A 19262-2025")</f>
        <v/>
      </c>
      <c r="AB109">
        <f>HYPERLINK("https://klasma.github.io/Logging_2039/klagomålsmail/A 19262-2025 FSC-klagomål mail.docx", "A 19262-2025")</f>
        <v/>
      </c>
      <c r="AC109">
        <f>HYPERLINK("https://klasma.github.io/Logging_2039/tillsyn/A 19262-2025 tillsynsbegäran.docx", "A 19262-2025")</f>
        <v/>
      </c>
      <c r="AD109">
        <f>HYPERLINK("https://klasma.github.io/Logging_2039/tillsynsmail/A 19262-2025 tillsynsbegäran mail.docx", "A 19262-2025")</f>
        <v/>
      </c>
    </row>
    <row r="110" ht="15" customHeight="1">
      <c r="A110" t="inlineStr">
        <is>
          <t>A 22701-2024</t>
        </is>
      </c>
      <c r="B110" t="inlineStr">
        <is>
          <t>avverkningsanmälan</t>
        </is>
      </c>
      <c r="C110" t="inlineStr">
        <is>
          <t>Föryngringsavverkning</t>
        </is>
      </c>
      <c r="D110" s="1" t="n">
        <v>45448</v>
      </c>
      <c r="E110" s="1" t="n">
        <v>46224</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t="n">
        <v>0</v>
      </c>
      <c r="V110" s="2" t="inlineStr">
        <is>
          <t>Smalfotad taggsvamp
Tajgataggsvamp
Tallstocksticka
Dropptaggsvamp
Dvärgbägarlav
Skarp dropptaggsvamp</t>
        </is>
      </c>
      <c r="W110">
        <f>HYPERLINK("https://klasma.github.io/Logging_2039/artfynd/A 22701-2024 artfynd.xlsx", "A 22701-2024")</f>
        <v/>
      </c>
      <c r="X110">
        <f>HYPERLINK("https://klasma.github.io/Logging_2039/kartor/A 22701-2024 karta.png", "A 22701-2024")</f>
        <v/>
      </c>
      <c r="Y110">
        <f>HYPERLINK("https://klasma.github.io/Logging_2039/kartor_geotiff/A 22701-2024 georefererad karta.tif", "A 22701-2024")</f>
        <v/>
      </c>
      <c r="AA110">
        <f>HYPERLINK("https://klasma.github.io/Logging_2039/klagomål/A 22701-2024 FSC-klagomål.docx", "A 22701-2024")</f>
        <v/>
      </c>
      <c r="AB110">
        <f>HYPERLINK("https://klasma.github.io/Logging_2039/klagomålsmail/A 22701-2024 FSC-klagomål mail.docx", "A 22701-2024")</f>
        <v/>
      </c>
      <c r="AC110">
        <f>HYPERLINK("https://klasma.github.io/Logging_2039/tillsyn/A 22701-2024 tillsynsbegäran.docx", "A 22701-2024")</f>
        <v/>
      </c>
      <c r="AD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46224</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t="n">
        <v>5</v>
      </c>
      <c r="V111" s="2" t="inlineStr">
        <is>
          <t>Gräddporing
Dropptaggsvamp
Kolflarnlav
Nordtagging
Skarp dropptaggsvamp
Vedflamlav</t>
        </is>
      </c>
      <c r="W111">
        <f>HYPERLINK("https://klasma.github.io/Logging_2039/artfynd/A 49053-2023 artfynd.xlsx", "A 49053-2023")</f>
        <v/>
      </c>
      <c r="X111">
        <f>HYPERLINK("https://klasma.github.io/Logging_2039/kartor/A 49053-2023 karta.png", "A 49053-2023")</f>
        <v/>
      </c>
      <c r="Y111">
        <f>HYPERLINK("https://klasma.github.io/Logging_2039/kartor_geotiff/A 49053-2023 georefererad karta.tif", "A 49053-2023")</f>
        <v/>
      </c>
      <c r="AA111">
        <f>HYPERLINK("https://klasma.github.io/Logging_2039/klagomål/A 49053-2023 FSC-klagomål.docx", "A 49053-2023")</f>
        <v/>
      </c>
      <c r="AB111">
        <f>HYPERLINK("https://klasma.github.io/Logging_2039/klagomålsmail/A 49053-2023 FSC-klagomål mail.docx", "A 49053-2023")</f>
        <v/>
      </c>
      <c r="AC111">
        <f>HYPERLINK("https://klasma.github.io/Logging_2039/tillsyn/A 49053-2023 tillsynsbegäran.docx", "A 49053-2023")</f>
        <v/>
      </c>
      <c r="AD111">
        <f>HYPERLINK("https://klasma.github.io/Logging_2039/tillsynsmail/A 49053-2023 tillsynsbegäran mail.docx", "A 49053-2023")</f>
        <v/>
      </c>
    </row>
    <row r="112" ht="15" customHeight="1">
      <c r="A112" t="inlineStr">
        <is>
          <t>A 24950-2025</t>
        </is>
      </c>
      <c r="B112" t="inlineStr">
        <is>
          <t>avverkningsanmälan</t>
        </is>
      </c>
      <c r="C112" t="inlineStr">
        <is>
          <t>Avverkning för annat ändamål</t>
        </is>
      </c>
      <c r="D112" s="1" t="n">
        <v>45799</v>
      </c>
      <c r="E112" s="1" t="n">
        <v>46224</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t="n">
        <v>0</v>
      </c>
      <c r="V112" s="2" t="inlineStr">
        <is>
          <t>Blanksvart spiklav
Blå taggsvamp
Dropptaggsvamp
Kolflarnlav
Skarp dropptaggsvamp</t>
        </is>
      </c>
      <c r="W112">
        <f>HYPERLINK("https://klasma.github.io/Logging_2039/artfynd/A 24950-2025 artfynd.xlsx", "A 24950-2025")</f>
        <v/>
      </c>
      <c r="X112">
        <f>HYPERLINK("https://klasma.github.io/Logging_2039/kartor/A 24950-2025 karta.png", "A 24950-2025")</f>
        <v/>
      </c>
      <c r="Y112">
        <f>HYPERLINK("https://klasma.github.io/Logging_2039/kartor_geotiff/A 24950-2025 georefererad karta.tif", "A 24950-2025")</f>
        <v/>
      </c>
      <c r="AA112">
        <f>HYPERLINK("https://klasma.github.io/Logging_2039/klagomål/A 24950-2025 FSC-klagomål.docx", "A 24950-2025")</f>
        <v/>
      </c>
      <c r="AB112">
        <f>HYPERLINK("https://klasma.github.io/Logging_2039/klagomålsmail/A 24950-2025 FSC-klagomål mail.docx", "A 24950-2025")</f>
        <v/>
      </c>
      <c r="AC112">
        <f>HYPERLINK("https://klasma.github.io/Logging_2039/tillsyn/A 24950-2025 tillsynsbegäran.docx", "A 24950-2025")</f>
        <v/>
      </c>
      <c r="AD112">
        <f>HYPERLINK("https://klasma.github.io/Logging_2039/tillsynsmail/A 24950-2025 tillsynsbegäran mail.docx", "A 24950-2025")</f>
        <v/>
      </c>
    </row>
    <row r="113" ht="15" customHeight="1">
      <c r="A113" t="inlineStr">
        <is>
          <t>A 41782-2025</t>
        </is>
      </c>
      <c r="B113" t="inlineStr">
        <is>
          <t>avverkningsanmälan</t>
        </is>
      </c>
      <c r="C113" t="inlineStr">
        <is>
          <t>Föryngringsavverkning</t>
        </is>
      </c>
      <c r="D113" s="1" t="n">
        <v>45902</v>
      </c>
      <c r="E113" s="1" t="n">
        <v>46224</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32206-2024</t>
        </is>
      </c>
      <c r="B114" t="inlineStr">
        <is>
          <t>avverkningsanmälan</t>
        </is>
      </c>
      <c r="C114" t="inlineStr">
        <is>
          <t>Föryngringsavverkning</t>
        </is>
      </c>
      <c r="D114" s="1" t="n">
        <v>45511</v>
      </c>
      <c r="E114" s="1" t="n">
        <v>46224</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41004-2023</t>
        </is>
      </c>
      <c r="B115" t="inlineStr">
        <is>
          <t>avverkningsanmälan</t>
        </is>
      </c>
      <c r="C115" t="inlineStr">
        <is>
          <t>Föryngringsavverkning</t>
        </is>
      </c>
      <c r="D115" s="1" t="n">
        <v>45173</v>
      </c>
      <c r="E115" s="1" t="n">
        <v>46224</v>
      </c>
      <c r="F115" t="inlineStr">
        <is>
          <t>DALARNAS LÄN</t>
        </is>
      </c>
      <c r="G115" t="inlineStr">
        <is>
          <t>ÄLVDALEN</t>
        </is>
      </c>
      <c r="H115" t="inlineStr">
        <is>
          <t>Bergvik skog väst AB</t>
        </is>
      </c>
      <c r="I115" t="n">
        <v>2</v>
      </c>
      <c r="J115" t="n">
        <v>5</v>
      </c>
      <c r="K115" t="n">
        <v>0</v>
      </c>
      <c r="L115" t="n">
        <v>4</v>
      </c>
      <c r="M115" t="n">
        <v>1</v>
      </c>
      <c r="N115" t="n">
        <v>0</v>
      </c>
      <c r="O115" t="n">
        <v>0</v>
      </c>
      <c r="P115" t="n">
        <v>0</v>
      </c>
      <c r="Q115" t="n">
        <v>5</v>
      </c>
      <c r="R115" t="n">
        <v>1</v>
      </c>
      <c r="S115" t="n">
        <v>5</v>
      </c>
      <c r="T115" t="n">
        <v>5</v>
      </c>
      <c r="U115" t="n">
        <v>5</v>
      </c>
      <c r="V115" s="2" t="inlineStr">
        <is>
          <t>Stare
Björktrast
Ladusvala
Rödvingetrast
Talltita</t>
        </is>
      </c>
      <c r="W115">
        <f>HYPERLINK("https://klasma.github.io/Logging_2039/artfynd/A 41004-2023 artfynd.xlsx", "A 41004-2023")</f>
        <v/>
      </c>
      <c r="X115">
        <f>HYPERLINK("https://klasma.github.io/Logging_2039/kartor/A 41004-2023 karta.png", "A 41004-2023")</f>
        <v/>
      </c>
      <c r="Y115">
        <f>HYPERLINK("https://klasma.github.io/Logging_2039/kartor_geotiff/A 41004-2023 georefererad karta.tif", "A 41004-2023")</f>
        <v/>
      </c>
      <c r="AA115">
        <f>HYPERLINK("https://klasma.github.io/Logging_2039/klagomål/A 41004-2023 FSC-klagomål.docx", "A 41004-2023")</f>
        <v/>
      </c>
      <c r="AB115">
        <f>HYPERLINK("https://klasma.github.io/Logging_2039/klagomålsmail/A 41004-2023 FSC-klagomål mail.docx", "A 41004-2023")</f>
        <v/>
      </c>
      <c r="AC115">
        <f>HYPERLINK("https://klasma.github.io/Logging_2039/tillsyn/A 41004-2023 tillsynsbegäran.docx", "A 41004-2023")</f>
        <v/>
      </c>
      <c r="AD115">
        <f>HYPERLINK("https://klasma.github.io/Logging_2039/tillsynsmail/A 41004-2023 tillsynsbegäran mail.docx", "A 41004-2023")</f>
        <v/>
      </c>
      <c r="AE115">
        <f>HYPERLINK("https://klasma.github.io/Logging_2039/fåglar/A 41004-2023 prioriterade fågelarter.docx", "A 41004-2023")</f>
        <v/>
      </c>
    </row>
    <row r="116" ht="15" customHeight="1">
      <c r="A116" t="inlineStr">
        <is>
          <t>A 52483-2023</t>
        </is>
      </c>
      <c r="B116" t="inlineStr">
        <is>
          <t>avverkningsanmälan</t>
        </is>
      </c>
      <c r="C116" t="inlineStr">
        <is>
          <t>Föryngringsavverkning</t>
        </is>
      </c>
      <c r="D116" s="1" t="n">
        <v>45225</v>
      </c>
      <c r="E116" s="1" t="n">
        <v>46224</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20945-2026</t>
        </is>
      </c>
      <c r="B117" t="inlineStr">
        <is>
          <t>avverkningsanmälan</t>
        </is>
      </c>
      <c r="C117" t="inlineStr">
        <is>
          <t>Föryngringsavverkning</t>
        </is>
      </c>
      <c r="D117" s="1" t="n">
        <v>46142</v>
      </c>
      <c r="E117" s="1" t="n">
        <v>46224</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t="n">
        <v>5</v>
      </c>
      <c r="V117" s="2" t="inlineStr">
        <is>
          <t>Garnlav
Järnsparv
Kärrviol
Ormbär
Fläcknycklar</t>
        </is>
      </c>
      <c r="W117">
        <f>HYPERLINK("https://klasma.github.io/Logging_2039/artfynd/A 20945-2026 artfynd.xlsx", "A 20945-2026")</f>
        <v/>
      </c>
      <c r="X117">
        <f>HYPERLINK("https://klasma.github.io/Logging_2039/kartor/A 20945-2026 karta.png", "A 20945-2026")</f>
        <v/>
      </c>
      <c r="Y117">
        <f>HYPERLINK("https://klasma.github.io/Logging_2039/kartor_geotiff/A 20945-2026 georefererad karta.tif", "A 20945-2026")</f>
        <v/>
      </c>
      <c r="AA117">
        <f>HYPERLINK("https://klasma.github.io/Logging_2039/klagomål/A 20945-2026 FSC-klagomål.docx", "A 20945-2026")</f>
        <v/>
      </c>
      <c r="AB117">
        <f>HYPERLINK("https://klasma.github.io/Logging_2039/klagomålsmail/A 20945-2026 FSC-klagomål mail.docx", "A 20945-2026")</f>
        <v/>
      </c>
      <c r="AC117">
        <f>HYPERLINK("https://klasma.github.io/Logging_2039/tillsyn/A 20945-2026 tillsynsbegäran.docx", "A 20945-2026")</f>
        <v/>
      </c>
      <c r="AD117">
        <f>HYPERLINK("https://klasma.github.io/Logging_2039/tillsynsmail/A 20945-2026 tillsynsbegäran mail.docx", "A 20945-2026")</f>
        <v/>
      </c>
      <c r="AE117">
        <f>HYPERLINK("https://klasma.github.io/Logging_2039/fåglar/A 20945-2026 prioriterade fågelarter.docx", "A 20945-2026")</f>
        <v/>
      </c>
    </row>
    <row r="118" ht="15" customHeight="1">
      <c r="A118" t="inlineStr">
        <is>
          <t>A 16894-2025</t>
        </is>
      </c>
      <c r="B118" t="inlineStr">
        <is>
          <t>avverkningsanmälan</t>
        </is>
      </c>
      <c r="C118" t="inlineStr">
        <is>
          <t>Föryngringsavverkning</t>
        </is>
      </c>
      <c r="D118" s="1" t="n">
        <v>45755</v>
      </c>
      <c r="E118" s="1" t="n">
        <v>46224</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29319-2026</t>
        </is>
      </c>
      <c r="B119" t="inlineStr">
        <is>
          <t>avverkningsanmälan</t>
        </is>
      </c>
      <c r="C119" t="inlineStr">
        <is>
          <t>Föryngringsavverkning</t>
        </is>
      </c>
      <c r="D119" s="1" t="n">
        <v>46202</v>
      </c>
      <c r="E119" s="1" t="n">
        <v>46224</v>
      </c>
      <c r="F119" t="inlineStr">
        <is>
          <t>DALARNAS LÄN</t>
        </is>
      </c>
      <c r="G119" t="inlineStr">
        <is>
          <t>ÄLVDALEN</t>
        </is>
      </c>
      <c r="I119" t="n">
        <v>1</v>
      </c>
      <c r="J119" t="n">
        <v>5</v>
      </c>
      <c r="K119" t="n">
        <v>1</v>
      </c>
      <c r="L119" t="n">
        <v>0</v>
      </c>
      <c r="M119" t="n">
        <v>0</v>
      </c>
      <c r="N119" t="n">
        <v>0</v>
      </c>
      <c r="O119" t="n">
        <v>0</v>
      </c>
      <c r="P119" t="n">
        <v>0</v>
      </c>
      <c r="Q119" t="n">
        <v>0</v>
      </c>
      <c r="R119" t="n">
        <v>0</v>
      </c>
      <c r="S119" t="n">
        <v>5</v>
      </c>
      <c r="T119" t="n">
        <v>7</v>
      </c>
      <c r="U119" t="n">
        <v>7</v>
      </c>
      <c r="V119" s="2" t="inlineStr">
        <is>
          <t>Spindelblomster
Järpe
Spillkråka
Fläcknycklar
Revlummer</t>
        </is>
      </c>
      <c r="W119">
        <f>HYPERLINK("https://klasma.github.io/Logging_2039/artfynd/A 29319-2026 artfynd.xlsx", "A 29319-2026")</f>
        <v/>
      </c>
      <c r="X119">
        <f>HYPERLINK("https://klasma.github.io/Logging_2039/kartor/A 29319-2026 karta.png", "A 29319-2026")</f>
        <v/>
      </c>
      <c r="Y119">
        <f>HYPERLINK("https://klasma.github.io/Logging_2039/kartor_geotiff/A 29319-2026 georefererad karta.tif", "A 29319-2026")</f>
        <v/>
      </c>
      <c r="AA119">
        <f>HYPERLINK("https://klasma.github.io/Logging_2039/klagomål/A 29319-2026 FSC-klagomål.docx", "A 29319-2026")</f>
        <v/>
      </c>
      <c r="AB119">
        <f>HYPERLINK("https://klasma.github.io/Logging_2039/klagomålsmail/A 29319-2026 FSC-klagomål mail.docx", "A 29319-2026")</f>
        <v/>
      </c>
      <c r="AC119">
        <f>HYPERLINK("https://klasma.github.io/Logging_2039/tillsyn/A 29319-2026 tillsynsbegäran.docx", "A 29319-2026")</f>
        <v/>
      </c>
      <c r="AD119">
        <f>HYPERLINK("https://klasma.github.io/Logging_2039/tillsynsmail/A 29319-2026 tillsynsbegäran mail.docx", "A 29319-2026")</f>
        <v/>
      </c>
      <c r="AE119">
        <f>HYPERLINK("https://klasma.github.io/Logging_2039/fåglar/A 29319-2026 prioriterade fågelarter.docx", "A 29319-2026")</f>
        <v/>
      </c>
    </row>
    <row r="120" ht="15" customHeight="1">
      <c r="A120" t="inlineStr">
        <is>
          <t>A 19616-2024</t>
        </is>
      </c>
      <c r="B120" t="inlineStr">
        <is>
          <t>avverkningsanmälan</t>
        </is>
      </c>
      <c r="C120" t="inlineStr">
        <is>
          <t>Föryngringsavverkning</t>
        </is>
      </c>
      <c r="D120" s="1" t="n">
        <v>45432</v>
      </c>
      <c r="E120" s="1" t="n">
        <v>46224</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25089-2024</t>
        </is>
      </c>
      <c r="B121" t="inlineStr">
        <is>
          <t>avverkningsanmälan</t>
        </is>
      </c>
      <c r="C121" t="inlineStr">
        <is>
          <t>Föryngringsavverkning</t>
        </is>
      </c>
      <c r="D121" s="1" t="n">
        <v>45462</v>
      </c>
      <c r="E121" s="1" t="n">
        <v>46224</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A 26215-2026</t>
        </is>
      </c>
      <c r="B122" t="inlineStr">
        <is>
          <t>avverkningsanmälan</t>
        </is>
      </c>
      <c r="C122" t="inlineStr">
        <is>
          <t>Avverkning för annat ändamål</t>
        </is>
      </c>
      <c r="D122" s="1" t="n">
        <v>46181</v>
      </c>
      <c r="E122" s="1" t="n">
        <v>46224</v>
      </c>
      <c r="F122" t="inlineStr">
        <is>
          <t>DALARNAS LÄN</t>
        </is>
      </c>
      <c r="G122" t="inlineStr">
        <is>
          <t>ÄLVDALEN</t>
        </is>
      </c>
      <c r="H122" t="inlineStr">
        <is>
          <t>Sveaskog</t>
        </is>
      </c>
      <c r="I122" t="n">
        <v>6.4</v>
      </c>
      <c r="J122" t="n">
        <v>0</v>
      </c>
      <c r="K122" t="n">
        <v>0</v>
      </c>
      <c r="L122" t="n">
        <v>5</v>
      </c>
      <c r="M122" t="n">
        <v>0</v>
      </c>
      <c r="N122" t="n">
        <v>0</v>
      </c>
      <c r="O122" t="n">
        <v>0</v>
      </c>
      <c r="P122" t="n">
        <v>0</v>
      </c>
      <c r="Q122" t="n">
        <v>5</v>
      </c>
      <c r="R122" t="n">
        <v>0</v>
      </c>
      <c r="S122" t="n">
        <v>5</v>
      </c>
      <c r="T122" t="n">
        <v>6</v>
      </c>
      <c r="U122" t="n">
        <v>0</v>
      </c>
      <c r="V122" s="2" t="inlineStr">
        <is>
          <t>Dvärgbägarlav
Kolflarnlav
Mörk kolflarnlav
Talltagel
Vedflamlav</t>
        </is>
      </c>
      <c r="W122">
        <f>HYPERLINK("https://klasma.github.io/Logging_2039/artfynd/A 26215-2026 artfynd.xlsx", "A 26215-2026")</f>
        <v/>
      </c>
      <c r="X122">
        <f>HYPERLINK("https://klasma.github.io/Logging_2039/kartor/A 26215-2026 karta.png", "A 26215-2026")</f>
        <v/>
      </c>
      <c r="Y122">
        <f>HYPERLINK("https://klasma.github.io/Logging_2039/kartor_geotiff/A 26215-2026 georefererad karta.tif", "A 26215-2026")</f>
        <v/>
      </c>
      <c r="AA122">
        <f>HYPERLINK("https://klasma.github.io/Logging_2039/klagomål/A 26215-2026 FSC-klagomål.docx", "A 26215-2026")</f>
        <v/>
      </c>
      <c r="AB122">
        <f>HYPERLINK("https://klasma.github.io/Logging_2039/klagomålsmail/A 26215-2026 FSC-klagomål mail.docx", "A 26215-2026")</f>
        <v/>
      </c>
      <c r="AC122">
        <f>HYPERLINK("https://klasma.github.io/Logging_2039/tillsyn/A 26215-2026 tillsynsbegäran.docx", "A 26215-2026")</f>
        <v/>
      </c>
      <c r="AD122">
        <f>HYPERLINK("https://klasma.github.io/Logging_2039/tillsynsmail/A 26215-2026 tillsynsbegäran mail.docx", "A 26215-2026")</f>
        <v/>
      </c>
    </row>
    <row r="123" ht="15" customHeight="1">
      <c r="A123" t="inlineStr">
        <is>
          <t>A 22291-2025</t>
        </is>
      </c>
      <c r="B123" t="inlineStr">
        <is>
          <t>avverkningsanmälan</t>
        </is>
      </c>
      <c r="C123" t="inlineStr">
        <is>
          <t>Föryngringsavverkning</t>
        </is>
      </c>
      <c r="D123" s="1" t="n">
        <v>45786</v>
      </c>
      <c r="E123" s="1" t="n">
        <v>46224</v>
      </c>
      <c r="F123" t="inlineStr">
        <is>
          <t>DALARNAS LÄN</t>
        </is>
      </c>
      <c r="G123" t="inlineStr">
        <is>
          <t>ÄLVDALEN</t>
        </is>
      </c>
      <c r="H123" t="inlineStr">
        <is>
          <t>Sveaskog</t>
        </is>
      </c>
      <c r="I123" t="n">
        <v>3.7</v>
      </c>
      <c r="J123" t="n">
        <v>0</v>
      </c>
      <c r="K123" t="n">
        <v>0</v>
      </c>
      <c r="L123" t="n">
        <v>4</v>
      </c>
      <c r="M123" t="n">
        <v>0</v>
      </c>
      <c r="N123" t="n">
        <v>0</v>
      </c>
      <c r="O123" t="n">
        <v>0</v>
      </c>
      <c r="P123" t="n">
        <v>0</v>
      </c>
      <c r="Q123" t="n">
        <v>4</v>
      </c>
      <c r="R123" t="n">
        <v>0</v>
      </c>
      <c r="S123" t="n">
        <v>4</v>
      </c>
      <c r="T123" t="n">
        <v>4</v>
      </c>
      <c r="U123" t="n">
        <v>4</v>
      </c>
      <c r="V123" s="2" t="inlineStr">
        <is>
          <t>Dropptaggsvamp
Kolflarnlav
Mörk kolflarnlav
Vedflamlav</t>
        </is>
      </c>
      <c r="W123">
        <f>HYPERLINK("https://klasma.github.io/Logging_2039/artfynd/A 22291-2025 artfynd.xlsx", "A 22291-2025")</f>
        <v/>
      </c>
      <c r="X123">
        <f>HYPERLINK("https://klasma.github.io/Logging_2039/kartor/A 22291-2025 karta.png", "A 22291-2025")</f>
        <v/>
      </c>
      <c r="Y123">
        <f>HYPERLINK("https://klasma.github.io/Logging_2039/kartor_geotiff/A 22291-2025 georefererad karta.tif", "A 22291-2025")</f>
        <v/>
      </c>
      <c r="AA123">
        <f>HYPERLINK("https://klasma.github.io/Logging_2039/klagomål/A 22291-2025 FSC-klagomål.docx", "A 22291-2025")</f>
        <v/>
      </c>
      <c r="AB123">
        <f>HYPERLINK("https://klasma.github.io/Logging_2039/klagomålsmail/A 22291-2025 FSC-klagomål mail.docx", "A 22291-2025")</f>
        <v/>
      </c>
      <c r="AC123">
        <f>HYPERLINK("https://klasma.github.io/Logging_2039/tillsyn/A 22291-2025 tillsynsbegäran.docx", "A 22291-2025")</f>
        <v/>
      </c>
      <c r="AD123">
        <f>HYPERLINK("https://klasma.github.io/Logging_2039/tillsynsmail/A 22291-2025 tillsynsbegäran mail.docx", "A 22291-2025")</f>
        <v/>
      </c>
    </row>
    <row r="124" ht="15" customHeight="1">
      <c r="A124" t="inlineStr">
        <is>
          <t>A 23872-2023</t>
        </is>
      </c>
      <c r="B124" t="inlineStr">
        <is>
          <t>avverkningsanmälan</t>
        </is>
      </c>
      <c r="C124" t="inlineStr">
        <is>
          <t>Föryngringsavverkning</t>
        </is>
      </c>
      <c r="D124" s="1" t="n">
        <v>45078</v>
      </c>
      <c r="E124" s="1" t="n">
        <v>46224</v>
      </c>
      <c r="F124" t="inlineStr">
        <is>
          <t>DALARNAS LÄN</t>
        </is>
      </c>
      <c r="G124" t="inlineStr">
        <is>
          <t>ÄLVDALEN</t>
        </is>
      </c>
      <c r="H124" t="inlineStr">
        <is>
          <t>Allmännings- och besparingsskogar</t>
        </is>
      </c>
      <c r="I124" t="n">
        <v>79.5</v>
      </c>
      <c r="J124" t="n">
        <v>3</v>
      </c>
      <c r="K124" t="n">
        <v>0</v>
      </c>
      <c r="L124" t="n">
        <v>2</v>
      </c>
      <c r="M124" t="n">
        <v>0</v>
      </c>
      <c r="N124" t="n">
        <v>0</v>
      </c>
      <c r="O124" t="n">
        <v>0</v>
      </c>
      <c r="P124" t="n">
        <v>0</v>
      </c>
      <c r="Q124" t="n">
        <v>2</v>
      </c>
      <c r="R124" t="n">
        <v>0</v>
      </c>
      <c r="S124" t="n">
        <v>4</v>
      </c>
      <c r="T124" t="n">
        <v>14</v>
      </c>
      <c r="U124" t="n">
        <v>13</v>
      </c>
      <c r="V124" s="2" t="inlineStr">
        <is>
          <t>Kolflarnlav
Varglav
Vanlig groda
Fläcknycklar</t>
        </is>
      </c>
      <c r="W124">
        <f>HYPERLINK("https://klasma.github.io/Logging_2039/artfynd/A 23872-2023 artfynd.xlsx", "A 23872-2023")</f>
        <v/>
      </c>
      <c r="X124">
        <f>HYPERLINK("https://klasma.github.io/Logging_2039/kartor/A 23872-2023 karta.png", "A 23872-2023")</f>
        <v/>
      </c>
      <c r="Y124">
        <f>HYPERLINK("https://klasma.github.io/Logging_2039/kartor_geotiff/A 23872-2023 georefererad karta.tif", "A 23872-2023")</f>
        <v/>
      </c>
      <c r="AA124">
        <f>HYPERLINK("https://klasma.github.io/Logging_2039/klagomål/A 23872-2023 FSC-klagomål.docx", "A 23872-2023")</f>
        <v/>
      </c>
      <c r="AB124">
        <f>HYPERLINK("https://klasma.github.io/Logging_2039/klagomålsmail/A 23872-2023 FSC-klagomål mail.docx", "A 23872-2023")</f>
        <v/>
      </c>
      <c r="AC124">
        <f>HYPERLINK("https://klasma.github.io/Logging_2039/tillsyn/A 23872-2023 tillsynsbegäran.docx", "A 23872-2023")</f>
        <v/>
      </c>
      <c r="AD124">
        <f>HYPERLINK("https://klasma.github.io/Logging_2039/tillsynsmail/A 23872-2023 tillsynsbegäran mail.docx", "A 23872-2023")</f>
        <v/>
      </c>
    </row>
    <row r="125" ht="15" customHeight="1">
      <c r="A125" t="inlineStr">
        <is>
          <t>A 25090-2025</t>
        </is>
      </c>
      <c r="B125" t="inlineStr">
        <is>
          <t>avverkningsanmälan</t>
        </is>
      </c>
      <c r="C125" t="inlineStr">
        <is>
          <t>Föryngringsavverkning</t>
        </is>
      </c>
      <c r="D125" s="1" t="n">
        <v>45800</v>
      </c>
      <c r="E125" s="1" t="n">
        <v>46224</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49125-2025</t>
        </is>
      </c>
      <c r="B126" t="inlineStr">
        <is>
          <t>avverkningsanmälan</t>
        </is>
      </c>
      <c r="C126" t="inlineStr">
        <is>
          <t>Föryngringsavverkning</t>
        </is>
      </c>
      <c r="D126" s="1" t="n">
        <v>45937</v>
      </c>
      <c r="E126" s="1" t="n">
        <v>46224</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42848-2023</t>
        </is>
      </c>
      <c r="B127" t="inlineStr">
        <is>
          <t>avverkningsanmälan</t>
        </is>
      </c>
      <c r="C127" t="inlineStr">
        <is>
          <t>Föryngringsavverkning</t>
        </is>
      </c>
      <c r="D127" s="1" t="n">
        <v>45182</v>
      </c>
      <c r="E127" s="1" t="n">
        <v>46224</v>
      </c>
      <c r="F127" t="inlineStr">
        <is>
          <t>DALARNAS LÄN</t>
        </is>
      </c>
      <c r="G127" t="inlineStr">
        <is>
          <t>ÄLVDALEN</t>
        </is>
      </c>
      <c r="H127" t="inlineStr">
        <is>
          <t>Allmännings- och besparingsskogar</t>
        </is>
      </c>
      <c r="I127" t="n">
        <v>1.9</v>
      </c>
      <c r="J127" t="n">
        <v>0</v>
      </c>
      <c r="K127" t="n">
        <v>0</v>
      </c>
      <c r="L127" t="n">
        <v>3</v>
      </c>
      <c r="M127" t="n">
        <v>1</v>
      </c>
      <c r="N127" t="n">
        <v>0</v>
      </c>
      <c r="O127" t="n">
        <v>0</v>
      </c>
      <c r="P127" t="n">
        <v>0</v>
      </c>
      <c r="Q127" t="n">
        <v>4</v>
      </c>
      <c r="R127" t="n">
        <v>1</v>
      </c>
      <c r="S127" t="n">
        <v>4</v>
      </c>
      <c r="T127" t="n">
        <v>7</v>
      </c>
      <c r="U127" t="n">
        <v>2</v>
      </c>
      <c r="V127" s="2" t="inlineStr">
        <is>
          <t>Goliatmusseron
Blå taggsvamp
Dropptaggsvamp
Skarp dropptaggsvamp</t>
        </is>
      </c>
      <c r="W127">
        <f>HYPERLINK("https://klasma.github.io/Logging_2039/artfynd/A 42848-2023 artfynd.xlsx", "A 42848-2023")</f>
        <v/>
      </c>
      <c r="X127">
        <f>HYPERLINK("https://klasma.github.io/Logging_2039/kartor/A 42848-2023 karta.png", "A 42848-2023")</f>
        <v/>
      </c>
      <c r="Y127">
        <f>HYPERLINK("https://klasma.github.io/Logging_2039/kartor_geotiff/A 42848-2023 georefererad karta.tif", "A 42848-2023")</f>
        <v/>
      </c>
      <c r="AA127">
        <f>HYPERLINK("https://klasma.github.io/Logging_2039/klagomål/A 42848-2023 FSC-klagomål.docx", "A 42848-2023")</f>
        <v/>
      </c>
      <c r="AB127">
        <f>HYPERLINK("https://klasma.github.io/Logging_2039/klagomålsmail/A 42848-2023 FSC-klagomål mail.docx", "A 42848-2023")</f>
        <v/>
      </c>
      <c r="AC127">
        <f>HYPERLINK("https://klasma.github.io/Logging_2039/tillsyn/A 42848-2023 tillsynsbegäran.docx", "A 42848-2023")</f>
        <v/>
      </c>
      <c r="AD127">
        <f>HYPERLINK("https://klasma.github.io/Logging_2039/tillsynsmail/A 42848-2023 tillsynsbegäran mail.docx", "A 42848-2023")</f>
        <v/>
      </c>
    </row>
    <row r="128" ht="15" customHeight="1">
      <c r="A128" t="inlineStr">
        <is>
          <t>A 36580-2024</t>
        </is>
      </c>
      <c r="B128" t="inlineStr">
        <is>
          <t>avverkningsanmälan</t>
        </is>
      </c>
      <c r="C128" t="inlineStr">
        <is>
          <t>Föryngringsavverkning</t>
        </is>
      </c>
      <c r="D128" s="1" t="n">
        <v>45537</v>
      </c>
      <c r="E128" s="1" t="n">
        <v>46224</v>
      </c>
      <c r="F128" t="inlineStr">
        <is>
          <t>DALARNAS LÄN</t>
        </is>
      </c>
      <c r="G128" t="inlineStr">
        <is>
          <t>ÄLVDALEN</t>
        </is>
      </c>
      <c r="H128" t="inlineStr">
        <is>
          <t>Sveaskog</t>
        </is>
      </c>
      <c r="I128" t="n">
        <v>4.2</v>
      </c>
      <c r="J128" t="n">
        <v>0</v>
      </c>
      <c r="K128" t="n">
        <v>0</v>
      </c>
      <c r="L128" t="n">
        <v>3</v>
      </c>
      <c r="M128" t="n">
        <v>1</v>
      </c>
      <c r="N128" t="n">
        <v>0</v>
      </c>
      <c r="O128" t="n">
        <v>0</v>
      </c>
      <c r="P128" t="n">
        <v>0</v>
      </c>
      <c r="Q128" t="n">
        <v>4</v>
      </c>
      <c r="R128" t="n">
        <v>1</v>
      </c>
      <c r="S128" t="n">
        <v>4</v>
      </c>
      <c r="T128" t="n">
        <v>4</v>
      </c>
      <c r="U128" t="n">
        <v>4</v>
      </c>
      <c r="V128" s="2" t="inlineStr">
        <is>
          <t>Garnlav
Kolflarnlav
Mörk kolflarnlav
Vedflamlav</t>
        </is>
      </c>
      <c r="W128">
        <f>HYPERLINK("https://klasma.github.io/Logging_2039/artfynd/A 36580-2024 artfynd.xlsx", "A 36580-2024")</f>
        <v/>
      </c>
      <c r="X128">
        <f>HYPERLINK("https://klasma.github.io/Logging_2039/kartor/A 36580-2024 karta.png", "A 36580-2024")</f>
        <v/>
      </c>
      <c r="Y128">
        <f>HYPERLINK("https://klasma.github.io/Logging_2039/kartor_geotiff/A 36580-2024 georefererad karta.tif", "A 36580-2024")</f>
        <v/>
      </c>
      <c r="AA128">
        <f>HYPERLINK("https://klasma.github.io/Logging_2039/klagomål/A 36580-2024 FSC-klagomål.docx", "A 36580-2024")</f>
        <v/>
      </c>
      <c r="AB128">
        <f>HYPERLINK("https://klasma.github.io/Logging_2039/klagomålsmail/A 36580-2024 FSC-klagomål mail.docx", "A 36580-2024")</f>
        <v/>
      </c>
      <c r="AC128">
        <f>HYPERLINK("https://klasma.github.io/Logging_2039/tillsyn/A 36580-2024 tillsynsbegäran.docx", "A 36580-2024")</f>
        <v/>
      </c>
      <c r="AD128">
        <f>HYPERLINK("https://klasma.github.io/Logging_2039/tillsynsmail/A 36580-2024 tillsynsbegäran mail.docx", "A 36580-2024")</f>
        <v/>
      </c>
    </row>
    <row r="129" ht="15" customHeight="1">
      <c r="A129" t="inlineStr">
        <is>
          <t>A 38819-2024</t>
        </is>
      </c>
      <c r="B129" t="inlineStr">
        <is>
          <t>avverkningsanmälan</t>
        </is>
      </c>
      <c r="C129" t="inlineStr">
        <is>
          <t>Föryngringsavverkning</t>
        </is>
      </c>
      <c r="D129" s="1" t="n">
        <v>45547</v>
      </c>
      <c r="E129" s="1" t="n">
        <v>46224</v>
      </c>
      <c r="F129" t="inlineStr">
        <is>
          <t>DALARNAS LÄN</t>
        </is>
      </c>
      <c r="G129" t="inlineStr">
        <is>
          <t>ÄLVDALEN</t>
        </is>
      </c>
      <c r="H129" t="inlineStr">
        <is>
          <t>Sveaskog</t>
        </is>
      </c>
      <c r="I129" t="n">
        <v>2.9</v>
      </c>
      <c r="J129" t="n">
        <v>0</v>
      </c>
      <c r="K129" t="n">
        <v>0</v>
      </c>
      <c r="L129" t="n">
        <v>4</v>
      </c>
      <c r="M129" t="n">
        <v>0</v>
      </c>
      <c r="N129" t="n">
        <v>0</v>
      </c>
      <c r="O129" t="n">
        <v>0</v>
      </c>
      <c r="P129" t="n">
        <v>0</v>
      </c>
      <c r="Q129" t="n">
        <v>4</v>
      </c>
      <c r="R129" t="n">
        <v>0</v>
      </c>
      <c r="S129" t="n">
        <v>4</v>
      </c>
      <c r="T129" t="n">
        <v>4</v>
      </c>
      <c r="U129" t="n">
        <v>4</v>
      </c>
      <c r="V129" s="2" t="inlineStr">
        <is>
          <t>Dvärgbägarlav
Kolflarnlav
Mörk kolflarnlav
Vedflamlav</t>
        </is>
      </c>
      <c r="W129">
        <f>HYPERLINK("https://klasma.github.io/Logging_2039/artfynd/A 38819-2024 artfynd.xlsx", "A 38819-2024")</f>
        <v/>
      </c>
      <c r="X129">
        <f>HYPERLINK("https://klasma.github.io/Logging_2039/kartor/A 38819-2024 karta.png", "A 38819-2024")</f>
        <v/>
      </c>
      <c r="Y129">
        <f>HYPERLINK("https://klasma.github.io/Logging_2039/kartor_geotiff/A 38819-2024 georefererad karta.tif", "A 38819-2024")</f>
        <v/>
      </c>
      <c r="AA129">
        <f>HYPERLINK("https://klasma.github.io/Logging_2039/klagomål/A 38819-2024 FSC-klagomål.docx", "A 38819-2024")</f>
        <v/>
      </c>
      <c r="AB129">
        <f>HYPERLINK("https://klasma.github.io/Logging_2039/klagomålsmail/A 38819-2024 FSC-klagomål mail.docx", "A 38819-2024")</f>
        <v/>
      </c>
      <c r="AC129">
        <f>HYPERLINK("https://klasma.github.io/Logging_2039/tillsyn/A 38819-2024 tillsynsbegäran.docx", "A 38819-2024")</f>
        <v/>
      </c>
      <c r="AD129">
        <f>HYPERLINK("https://klasma.github.io/Logging_2039/tillsynsmail/A 38819-2024 tillsynsbegäran mail.docx", "A 38819-2024")</f>
        <v/>
      </c>
    </row>
    <row r="130" ht="15" customHeight="1">
      <c r="A130" t="inlineStr">
        <is>
          <t>A 6820-2026</t>
        </is>
      </c>
      <c r="B130" t="inlineStr">
        <is>
          <t>avverkningsanmälan</t>
        </is>
      </c>
      <c r="C130" t="inlineStr">
        <is>
          <t>Föryngringsavverkning</t>
        </is>
      </c>
      <c r="D130" s="1" t="n">
        <v>46057</v>
      </c>
      <c r="E130" s="1" t="n">
        <v>46224</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t="n">
        <v>6</v>
      </c>
      <c r="V130" s="2" t="inlineStr">
        <is>
          <t>Garnlav
Linnea
Spillkråka
Tofsmes</t>
        </is>
      </c>
      <c r="W130">
        <f>HYPERLINK("https://klasma.github.io/Logging_2039/artfynd/A 6820-2026 artfynd.xlsx", "A 6820-2026")</f>
        <v/>
      </c>
      <c r="X130">
        <f>HYPERLINK("https://klasma.github.io/Logging_2039/kartor/A 6820-2026 karta.png", "A 6820-2026")</f>
        <v/>
      </c>
      <c r="Y130">
        <f>HYPERLINK("https://klasma.github.io/Logging_2039/kartor_geotiff/A 6820-2026 georefererad karta.tif", "A 6820-2026")</f>
        <v/>
      </c>
      <c r="AA130">
        <f>HYPERLINK("https://klasma.github.io/Logging_2039/klagomål/A 6820-2026 FSC-klagomål.docx", "A 6820-2026")</f>
        <v/>
      </c>
      <c r="AB130">
        <f>HYPERLINK("https://klasma.github.io/Logging_2039/klagomålsmail/A 6820-2026 FSC-klagomål mail.docx", "A 6820-2026")</f>
        <v/>
      </c>
      <c r="AC130">
        <f>HYPERLINK("https://klasma.github.io/Logging_2039/tillsyn/A 6820-2026 tillsynsbegäran.docx", "A 6820-2026")</f>
        <v/>
      </c>
      <c r="AD130">
        <f>HYPERLINK("https://klasma.github.io/Logging_2039/tillsynsmail/A 6820-2026 tillsynsbegäran mail.docx", "A 6820-2026")</f>
        <v/>
      </c>
      <c r="AE130">
        <f>HYPERLINK("https://klasma.github.io/Logging_2039/fåglar/A 6820-2026 prioriterade fågelarter.docx", "A 6820-2026")</f>
        <v/>
      </c>
    </row>
    <row r="131" ht="15" customHeight="1">
      <c r="A131" t="inlineStr">
        <is>
          <t>A 19870-2026</t>
        </is>
      </c>
      <c r="B131" t="inlineStr">
        <is>
          <t>avverkningsanmälan</t>
        </is>
      </c>
      <c r="C131" t="inlineStr">
        <is>
          <t>Föryngringsavverkning</t>
        </is>
      </c>
      <c r="D131" s="1" t="n">
        <v>46135</v>
      </c>
      <c r="E131" s="1" t="n">
        <v>46224</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t="n">
        <v>1</v>
      </c>
      <c r="V131" s="2" t="inlineStr">
        <is>
          <t>Dropptaggsvamp
Kolflarnlav
Mörk kolflarnlav
Vedflamlav</t>
        </is>
      </c>
      <c r="W131">
        <f>HYPERLINK("https://klasma.github.io/Logging_2039/artfynd/A 19870-2026 artfynd.xlsx", "A 19870-2026")</f>
        <v/>
      </c>
      <c r="X131">
        <f>HYPERLINK("https://klasma.github.io/Logging_2039/kartor/A 19870-2026 karta.png", "A 19870-2026")</f>
        <v/>
      </c>
      <c r="Y131">
        <f>HYPERLINK("https://klasma.github.io/Logging_2039/kartor_geotiff/A 19870-2026 georefererad karta.tif", "A 19870-2026")</f>
        <v/>
      </c>
      <c r="AA131">
        <f>HYPERLINK("https://klasma.github.io/Logging_2039/klagomål/A 19870-2026 FSC-klagomål.docx", "A 19870-2026")</f>
        <v/>
      </c>
      <c r="AB131">
        <f>HYPERLINK("https://klasma.github.io/Logging_2039/klagomålsmail/A 19870-2026 FSC-klagomål mail.docx", "A 19870-2026")</f>
        <v/>
      </c>
      <c r="AC131">
        <f>HYPERLINK("https://klasma.github.io/Logging_2039/tillsyn/A 19870-2026 tillsynsbegäran.docx", "A 19870-2026")</f>
        <v/>
      </c>
      <c r="AD131">
        <f>HYPERLINK("https://klasma.github.io/Logging_2039/tillsynsmail/A 19870-2026 tillsynsbegäran mail.docx", "A 19870-2026")</f>
        <v/>
      </c>
    </row>
    <row r="132" ht="15" customHeight="1">
      <c r="A132" t="inlineStr">
        <is>
          <t>A 41921-2022</t>
        </is>
      </c>
      <c r="B132" t="inlineStr">
        <is>
          <t>avverkningsanmälan</t>
        </is>
      </c>
      <c r="C132" t="inlineStr">
        <is>
          <t>Föryngringsavverkning</t>
        </is>
      </c>
      <c r="D132" s="1" t="n">
        <v>44830</v>
      </c>
      <c r="E132" s="1" t="n">
        <v>46224</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t="n">
        <v>4</v>
      </c>
      <c r="V132" s="2" t="inlineStr">
        <is>
          <t>Blågrå svartspik
Tretåig hackspett
Vedskivlav
Tjäder</t>
        </is>
      </c>
      <c r="W132">
        <f>HYPERLINK("https://klasma.github.io/Logging_2039/artfynd/A 41921-2022 artfynd.xlsx", "A 41921-2022")</f>
        <v/>
      </c>
      <c r="X132">
        <f>HYPERLINK("https://klasma.github.io/Logging_2039/kartor/A 41921-2022 karta.png", "A 41921-2022")</f>
        <v/>
      </c>
      <c r="Y132">
        <f>HYPERLINK("https://klasma.github.io/Logging_2039/kartor_geotiff/A 41921-2022 georefererad karta.tif", "A 41921-2022")</f>
        <v/>
      </c>
      <c r="AA132">
        <f>HYPERLINK("https://klasma.github.io/Logging_2039/klagomål/A 41921-2022 FSC-klagomål.docx", "A 41921-2022")</f>
        <v/>
      </c>
      <c r="AB132">
        <f>HYPERLINK("https://klasma.github.io/Logging_2039/klagomålsmail/A 41921-2022 FSC-klagomål mail.docx", "A 41921-2022")</f>
        <v/>
      </c>
      <c r="AC132">
        <f>HYPERLINK("https://klasma.github.io/Logging_2039/tillsyn/A 41921-2022 tillsynsbegäran.docx", "A 41921-2022")</f>
        <v/>
      </c>
      <c r="AD132">
        <f>HYPERLINK("https://klasma.github.io/Logging_2039/tillsynsmail/A 41921-2022 tillsynsbegäran mail.docx", "A 41921-2022")</f>
        <v/>
      </c>
      <c r="AE132">
        <f>HYPERLINK("https://klasma.github.io/Logging_2039/fåglar/A 41921-2022 prioriterade fågelarter.docx", "A 41921-2022")</f>
        <v/>
      </c>
    </row>
    <row r="133" ht="15" customHeight="1">
      <c r="A133" t="inlineStr">
        <is>
          <t>A 32204-2024</t>
        </is>
      </c>
      <c r="B133" t="inlineStr">
        <is>
          <t>avverkningsanmälan</t>
        </is>
      </c>
      <c r="C133" t="inlineStr">
        <is>
          <t>Föryngringsavverkning</t>
        </is>
      </c>
      <c r="D133" s="1" t="n">
        <v>45511</v>
      </c>
      <c r="E133" s="1" t="n">
        <v>46224</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t="n">
        <v>4</v>
      </c>
      <c r="V133" s="2" t="inlineStr">
        <is>
          <t>Blanksvart spiklav
Kolflarnlav
Mörk kolflarnlav
Vedflamlav</t>
        </is>
      </c>
      <c r="W133">
        <f>HYPERLINK("https://klasma.github.io/Logging_2039/artfynd/A 32204-2024 artfynd.xlsx", "A 32204-2024")</f>
        <v/>
      </c>
      <c r="X133">
        <f>HYPERLINK("https://klasma.github.io/Logging_2039/kartor/A 32204-2024 karta.png", "A 32204-2024")</f>
        <v/>
      </c>
      <c r="Y133">
        <f>HYPERLINK("https://klasma.github.io/Logging_2039/kartor_geotiff/A 32204-2024 georefererad karta.tif", "A 32204-2024")</f>
        <v/>
      </c>
      <c r="AA133">
        <f>HYPERLINK("https://klasma.github.io/Logging_2039/klagomål/A 32204-2024 FSC-klagomål.docx", "A 32204-2024")</f>
        <v/>
      </c>
      <c r="AB133">
        <f>HYPERLINK("https://klasma.github.io/Logging_2039/klagomålsmail/A 32204-2024 FSC-klagomål mail.docx", "A 32204-2024")</f>
        <v/>
      </c>
      <c r="AC133">
        <f>HYPERLINK("https://klasma.github.io/Logging_2039/tillsyn/A 32204-2024 tillsynsbegäran.docx", "A 32204-2024")</f>
        <v/>
      </c>
      <c r="AD133">
        <f>HYPERLINK("https://klasma.github.io/Logging_2039/tillsynsmail/A 32204-2024 tillsynsbegäran mail.docx", "A 32204-2024")</f>
        <v/>
      </c>
    </row>
    <row r="134" ht="15" customHeight="1">
      <c r="A134" t="inlineStr">
        <is>
          <t>A 59429-2024</t>
        </is>
      </c>
      <c r="B134" t="inlineStr">
        <is>
          <t>avverkningsanmälan</t>
        </is>
      </c>
      <c r="C134" t="inlineStr">
        <is>
          <t>Föryngringsavverkning</t>
        </is>
      </c>
      <c r="D134" s="1" t="n">
        <v>45638</v>
      </c>
      <c r="E134" s="1" t="n">
        <v>46224</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t="n">
        <v>0</v>
      </c>
      <c r="V134" s="2" t="inlineStr">
        <is>
          <t>Garnlav
Lunglav
Skrovellav
Platt fjädermossa</t>
        </is>
      </c>
      <c r="W134">
        <f>HYPERLINK("https://klasma.github.io/Logging_2039/artfynd/A 59429-2024 artfynd.xlsx", "A 59429-2024")</f>
        <v/>
      </c>
      <c r="X134">
        <f>HYPERLINK("https://klasma.github.io/Logging_2039/kartor/A 59429-2024 karta.png", "A 59429-2024")</f>
        <v/>
      </c>
      <c r="Y134">
        <f>HYPERLINK("https://klasma.github.io/Logging_2039/kartor_geotiff/A 59429-2024 georefererad karta.tif", "A 59429-2024")</f>
        <v/>
      </c>
      <c r="AA134">
        <f>HYPERLINK("https://klasma.github.io/Logging_2039/klagomål/A 59429-2024 FSC-klagomål.docx", "A 59429-2024")</f>
        <v/>
      </c>
      <c r="AB134">
        <f>HYPERLINK("https://klasma.github.io/Logging_2039/klagomålsmail/A 59429-2024 FSC-klagomål mail.docx", "A 59429-2024")</f>
        <v/>
      </c>
      <c r="AC134">
        <f>HYPERLINK("https://klasma.github.io/Logging_2039/tillsyn/A 59429-2024 tillsynsbegäran.docx", "A 59429-2024")</f>
        <v/>
      </c>
      <c r="AD134">
        <f>HYPERLINK("https://klasma.github.io/Logging_2039/tillsynsmail/A 59429-2024 tillsynsbegäran mail.docx", "A 59429-2024")</f>
        <v/>
      </c>
    </row>
    <row r="135" ht="15" customHeight="1">
      <c r="A135" t="inlineStr">
        <is>
          <t>A 27373-2026</t>
        </is>
      </c>
      <c r="B135" t="inlineStr">
        <is>
          <t>avverkningsanmälan</t>
        </is>
      </c>
      <c r="C135" t="inlineStr">
        <is>
          <t>Föryngringsavverkning</t>
        </is>
      </c>
      <c r="D135" s="1" t="n">
        <v>46189</v>
      </c>
      <c r="E135" s="1" t="n">
        <v>46224</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32207-2024</t>
        </is>
      </c>
      <c r="B136" t="inlineStr">
        <is>
          <t>avverkningsanmälan</t>
        </is>
      </c>
      <c r="C136" t="inlineStr">
        <is>
          <t>Föryngringsavverkning</t>
        </is>
      </c>
      <c r="D136" s="1" t="n">
        <v>45511</v>
      </c>
      <c r="E136" s="1" t="n">
        <v>46224</v>
      </c>
      <c r="F136" t="inlineStr">
        <is>
          <t>DALARNAS LÄN</t>
        </is>
      </c>
      <c r="G136" t="inlineStr">
        <is>
          <t>ÄLVDALEN</t>
        </is>
      </c>
      <c r="H136" t="inlineStr">
        <is>
          <t>Sveaskog</t>
        </is>
      </c>
      <c r="I136" t="n">
        <v>2.5</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32207-2024 artfynd.xlsx", "A 32207-2024")</f>
        <v/>
      </c>
      <c r="X136">
        <f>HYPERLINK("https://klasma.github.io/Logging_2039/kartor/A 32207-2024 karta.png", "A 32207-2024")</f>
        <v/>
      </c>
      <c r="Y136">
        <f>HYPERLINK("https://klasma.github.io/Logging_2039/kartor_geotiff/A 32207-2024 georefererad karta.tif", "A 32207-2024")</f>
        <v/>
      </c>
      <c r="AA136">
        <f>HYPERLINK("https://klasma.github.io/Logging_2039/klagomål/A 32207-2024 FSC-klagomål.docx", "A 32207-2024")</f>
        <v/>
      </c>
      <c r="AB136">
        <f>HYPERLINK("https://klasma.github.io/Logging_2039/klagomålsmail/A 32207-2024 FSC-klagomål mail.docx", "A 32207-2024")</f>
        <v/>
      </c>
      <c r="AC136">
        <f>HYPERLINK("https://klasma.github.io/Logging_2039/tillsyn/A 32207-2024 tillsynsbegäran.docx", "A 32207-2024")</f>
        <v/>
      </c>
      <c r="AD136">
        <f>HYPERLINK("https://klasma.github.io/Logging_2039/tillsynsmail/A 32207-2024 tillsynsbegäran mail.docx", "A 32207-2024")</f>
        <v/>
      </c>
    </row>
    <row r="137" ht="15" customHeight="1">
      <c r="A137" t="inlineStr">
        <is>
          <t>A 51732-2021</t>
        </is>
      </c>
      <c r="B137" t="inlineStr">
        <is>
          <t>avverkningsanmälan</t>
        </is>
      </c>
      <c r="C137" t="inlineStr">
        <is>
          <t>Föryngringsavverkning</t>
        </is>
      </c>
      <c r="D137" s="1" t="n">
        <v>44461</v>
      </c>
      <c r="E137" s="1" t="n">
        <v>46224</v>
      </c>
      <c r="F137" t="inlineStr">
        <is>
          <t>DALARNAS LÄN</t>
        </is>
      </c>
      <c r="G137" t="inlineStr">
        <is>
          <t>ÄLVDALEN</t>
        </is>
      </c>
      <c r="H137" t="inlineStr">
        <is>
          <t>Övriga statliga verk och myndigheter</t>
        </is>
      </c>
      <c r="I137" t="n">
        <v>5</v>
      </c>
      <c r="J137" t="n">
        <v>1</v>
      </c>
      <c r="K137" t="n">
        <v>2</v>
      </c>
      <c r="L137" t="n">
        <v>0</v>
      </c>
      <c r="M137" t="n">
        <v>1</v>
      </c>
      <c r="N137" t="n">
        <v>1</v>
      </c>
      <c r="O137" t="n">
        <v>0</v>
      </c>
      <c r="P137" t="n">
        <v>0</v>
      </c>
      <c r="Q137" t="n">
        <v>2</v>
      </c>
      <c r="R137" t="n">
        <v>2</v>
      </c>
      <c r="S137" t="n">
        <v>4</v>
      </c>
      <c r="T137" t="n">
        <v>5</v>
      </c>
      <c r="U137" t="n">
        <v>5</v>
      </c>
      <c r="V137" s="2" t="inlineStr">
        <is>
          <t>Mosippa
Garnlav
Svavelriska
Vedticka</t>
        </is>
      </c>
      <c r="W137">
        <f>HYPERLINK("https://klasma.github.io/Logging_2039/artfynd/A 51732-2021 artfynd.xlsx", "A 51732-2021")</f>
        <v/>
      </c>
      <c r="X137">
        <f>HYPERLINK("https://klasma.github.io/Logging_2039/kartor/A 51732-2021 karta.png", "A 51732-2021")</f>
        <v/>
      </c>
      <c r="Y137">
        <f>HYPERLINK("https://klasma.github.io/Logging_2039/kartor_geotiff/A 51732-2021 georefererad karta.tif", "A 51732-2021")</f>
        <v/>
      </c>
      <c r="AA137">
        <f>HYPERLINK("https://klasma.github.io/Logging_2039/klagomål/A 51732-2021 FSC-klagomål.docx", "A 51732-2021")</f>
        <v/>
      </c>
      <c r="AB137">
        <f>HYPERLINK("https://klasma.github.io/Logging_2039/klagomålsmail/A 51732-2021 FSC-klagomål mail.docx", "A 51732-2021")</f>
        <v/>
      </c>
      <c r="AC137">
        <f>HYPERLINK("https://klasma.github.io/Logging_2039/tillsyn/A 51732-2021 tillsynsbegäran.docx", "A 51732-2021")</f>
        <v/>
      </c>
      <c r="AD137">
        <f>HYPERLINK("https://klasma.github.io/Logging_2039/tillsynsmail/A 51732-2021 tillsynsbegäran mail.docx", "A 51732-2021")</f>
        <v/>
      </c>
    </row>
    <row r="138" ht="15" customHeight="1">
      <c r="A138" t="inlineStr">
        <is>
          <t>A 29339-2026</t>
        </is>
      </c>
      <c r="B138" t="inlineStr">
        <is>
          <t>avverkningsanmälan</t>
        </is>
      </c>
      <c r="C138" t="inlineStr">
        <is>
          <t>Föryngringsavverkning</t>
        </is>
      </c>
      <c r="D138" s="1" t="n">
        <v>46202</v>
      </c>
      <c r="E138" s="1" t="n">
        <v>46224</v>
      </c>
      <c r="F138" t="inlineStr">
        <is>
          <t>DALARNAS LÄN</t>
        </is>
      </c>
      <c r="G138" t="inlineStr">
        <is>
          <t>ÄLVDALEN</t>
        </is>
      </c>
      <c r="I138" t="n">
        <v>0.4</v>
      </c>
      <c r="J138" t="n">
        <v>2</v>
      </c>
      <c r="K138" t="n">
        <v>0</v>
      </c>
      <c r="L138" t="n">
        <v>1</v>
      </c>
      <c r="M138" t="n">
        <v>1</v>
      </c>
      <c r="N138" t="n">
        <v>0</v>
      </c>
      <c r="O138" t="n">
        <v>0</v>
      </c>
      <c r="P138" t="n">
        <v>0</v>
      </c>
      <c r="Q138" t="n">
        <v>2</v>
      </c>
      <c r="R138" t="n">
        <v>1</v>
      </c>
      <c r="S138" t="n">
        <v>4</v>
      </c>
      <c r="T138" t="n">
        <v>22</v>
      </c>
      <c r="U138" t="n">
        <v>22</v>
      </c>
      <c r="V138" s="2" t="inlineStr">
        <is>
          <t>Garnlav
Violettgrå tagellav
Spillkråka
Revlummer</t>
        </is>
      </c>
      <c r="W138">
        <f>HYPERLINK("https://klasma.github.io/Logging_2039/artfynd/A 29339-2026 artfynd.xlsx", "A 29339-2026")</f>
        <v/>
      </c>
      <c r="X138">
        <f>HYPERLINK("https://klasma.github.io/Logging_2039/kartor/A 29339-2026 karta.png", "A 29339-2026")</f>
        <v/>
      </c>
      <c r="Y138">
        <f>HYPERLINK("https://klasma.github.io/Logging_2039/kartor_geotiff/A 29339-2026 georefererad karta.tif", "A 29339-2026")</f>
        <v/>
      </c>
      <c r="AA138">
        <f>HYPERLINK("https://klasma.github.io/Logging_2039/klagomål/A 29339-2026 FSC-klagomål.docx", "A 29339-2026")</f>
        <v/>
      </c>
      <c r="AB138">
        <f>HYPERLINK("https://klasma.github.io/Logging_2039/klagomålsmail/A 29339-2026 FSC-klagomål mail.docx", "A 29339-2026")</f>
        <v/>
      </c>
      <c r="AC138">
        <f>HYPERLINK("https://klasma.github.io/Logging_2039/tillsyn/A 29339-2026 tillsynsbegäran.docx", "A 29339-2026")</f>
        <v/>
      </c>
      <c r="AD138">
        <f>HYPERLINK("https://klasma.github.io/Logging_2039/tillsynsmail/A 29339-2026 tillsynsbegäran mail.docx", "A 29339-2026")</f>
        <v/>
      </c>
      <c r="AE138">
        <f>HYPERLINK("https://klasma.github.io/Logging_2039/fåglar/A 29339-2026 prioriterade fågelarter.docx", "A 29339-2026")</f>
        <v/>
      </c>
    </row>
    <row r="139" ht="15" customHeight="1">
      <c r="A139" t="inlineStr">
        <is>
          <t>A 7024-2024</t>
        </is>
      </c>
      <c r="B139" t="inlineStr">
        <is>
          <t>avverkningsanmälan</t>
        </is>
      </c>
      <c r="C139" t="inlineStr">
        <is>
          <t>Föryngringsavverkning</t>
        </is>
      </c>
      <c r="D139" s="1" t="n">
        <v>45343</v>
      </c>
      <c r="E139" s="1" t="n">
        <v>46224</v>
      </c>
      <c r="F139" t="inlineStr">
        <is>
          <t>DALARNAS LÄN</t>
        </is>
      </c>
      <c r="G139" t="inlineStr">
        <is>
          <t>ÄLVDALEN</t>
        </is>
      </c>
      <c r="H139" t="inlineStr">
        <is>
          <t>Sveaskog</t>
        </is>
      </c>
      <c r="I139" t="n">
        <v>30.1</v>
      </c>
      <c r="J139" t="n">
        <v>0</v>
      </c>
      <c r="K139" t="n">
        <v>0</v>
      </c>
      <c r="L139" t="n">
        <v>2</v>
      </c>
      <c r="M139" t="n">
        <v>1</v>
      </c>
      <c r="N139" t="n">
        <v>0</v>
      </c>
      <c r="O139" t="n">
        <v>0</v>
      </c>
      <c r="P139" t="n">
        <v>0</v>
      </c>
      <c r="Q139" t="n">
        <v>3</v>
      </c>
      <c r="R139" t="n">
        <v>1</v>
      </c>
      <c r="S139" t="n">
        <v>3</v>
      </c>
      <c r="T139" t="n">
        <v>3</v>
      </c>
      <c r="U139" t="n">
        <v>0</v>
      </c>
      <c r="V139" s="2" t="inlineStr">
        <is>
          <t>Gräddporing
Nordtagging
Vaddporing</t>
        </is>
      </c>
      <c r="W139">
        <f>HYPERLINK("https://klasma.github.io/Logging_2039/artfynd/A 7024-2024 artfynd.xlsx", "A 7024-2024")</f>
        <v/>
      </c>
      <c r="X139">
        <f>HYPERLINK("https://klasma.github.io/Logging_2039/kartor/A 7024-2024 karta.png", "A 7024-2024")</f>
        <v/>
      </c>
      <c r="Y139">
        <f>HYPERLINK("https://klasma.github.io/Logging_2039/kartor_geotiff/A 7024-2024 georefererad karta.tif", "A 7024-2024")</f>
        <v/>
      </c>
      <c r="AA139">
        <f>HYPERLINK("https://klasma.github.io/Logging_2039/klagomål/A 7024-2024 FSC-klagomål.docx", "A 7024-2024")</f>
        <v/>
      </c>
      <c r="AB139">
        <f>HYPERLINK("https://klasma.github.io/Logging_2039/klagomålsmail/A 7024-2024 FSC-klagomål mail.docx", "A 7024-2024")</f>
        <v/>
      </c>
      <c r="AC139">
        <f>HYPERLINK("https://klasma.github.io/Logging_2039/tillsyn/A 7024-2024 tillsynsbegäran.docx", "A 7024-2024")</f>
        <v/>
      </c>
      <c r="AD139">
        <f>HYPERLINK("https://klasma.github.io/Logging_2039/tillsynsmail/A 7024-2024 tillsynsbegäran mail.docx", "A 7024-2024")</f>
        <v/>
      </c>
    </row>
    <row r="140" ht="15" customHeight="1">
      <c r="A140" t="inlineStr">
        <is>
          <t>A 26751-2025</t>
        </is>
      </c>
      <c r="B140" t="inlineStr">
        <is>
          <t>avverkningsanmälan</t>
        </is>
      </c>
      <c r="C140" t="inlineStr">
        <is>
          <t>Föryngringsavverkning</t>
        </is>
      </c>
      <c r="D140" s="1" t="n">
        <v>45810</v>
      </c>
      <c r="E140" s="1" t="n">
        <v>46224</v>
      </c>
      <c r="F140" t="inlineStr">
        <is>
          <t>DALARNAS LÄN</t>
        </is>
      </c>
      <c r="G140" t="inlineStr">
        <is>
          <t>ÄLVDALEN</t>
        </is>
      </c>
      <c r="H140" t="inlineStr">
        <is>
          <t>Allmännings- och besparingsskogar</t>
        </is>
      </c>
      <c r="I140" t="n">
        <v>3.6</v>
      </c>
      <c r="J140" t="n">
        <v>1</v>
      </c>
      <c r="K140" t="n">
        <v>1</v>
      </c>
      <c r="L140" t="n">
        <v>1</v>
      </c>
      <c r="M140" t="n">
        <v>1</v>
      </c>
      <c r="N140" t="n">
        <v>0</v>
      </c>
      <c r="O140" t="n">
        <v>0</v>
      </c>
      <c r="P140" t="n">
        <v>0</v>
      </c>
      <c r="Q140" t="n">
        <v>2</v>
      </c>
      <c r="R140" t="n">
        <v>1</v>
      </c>
      <c r="S140" t="n">
        <v>3</v>
      </c>
      <c r="T140" t="n">
        <v>4</v>
      </c>
      <c r="U140" t="n">
        <v>4</v>
      </c>
      <c r="V140" s="2" t="inlineStr">
        <is>
          <t>Garnlav
Skrovellav
Spindelblomster</t>
        </is>
      </c>
      <c r="W140">
        <f>HYPERLINK("https://klasma.github.io/Logging_2039/artfynd/A 26751-2025 artfynd.xlsx", "A 26751-2025")</f>
        <v/>
      </c>
      <c r="X140">
        <f>HYPERLINK("https://klasma.github.io/Logging_2039/kartor/A 26751-2025 karta.png", "A 26751-2025")</f>
        <v/>
      </c>
      <c r="Y140">
        <f>HYPERLINK("https://klasma.github.io/Logging_2039/kartor_geotiff/A 26751-2025 georefererad karta.tif", "A 26751-2025")</f>
        <v/>
      </c>
      <c r="AA140">
        <f>HYPERLINK("https://klasma.github.io/Logging_2039/klagomål/A 26751-2025 FSC-klagomål.docx", "A 26751-2025")</f>
        <v/>
      </c>
      <c r="AB140">
        <f>HYPERLINK("https://klasma.github.io/Logging_2039/klagomålsmail/A 26751-2025 FSC-klagomål mail.docx", "A 26751-2025")</f>
        <v/>
      </c>
      <c r="AC140">
        <f>HYPERLINK("https://klasma.github.io/Logging_2039/tillsyn/A 26751-2025 tillsynsbegäran.docx", "A 26751-2025")</f>
        <v/>
      </c>
      <c r="AD140">
        <f>HYPERLINK("https://klasma.github.io/Logging_2039/tillsynsmail/A 26751-2025 tillsynsbegäran mail.docx", "A 26751-2025")</f>
        <v/>
      </c>
    </row>
    <row r="141" ht="15" customHeight="1">
      <c r="A141" t="inlineStr">
        <is>
          <t>A 35141-2023</t>
        </is>
      </c>
      <c r="B141" t="inlineStr">
        <is>
          <t>avverkningsanmälan</t>
        </is>
      </c>
      <c r="C141" t="inlineStr">
        <is>
          <t>Föryngringsavverkning</t>
        </is>
      </c>
      <c r="D141" s="1" t="n">
        <v>45145</v>
      </c>
      <c r="E141" s="1" t="n">
        <v>46224</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27933-2025</t>
        </is>
      </c>
      <c r="B142" t="inlineStr">
        <is>
          <t>avverkningsanmälan</t>
        </is>
      </c>
      <c r="C142" t="inlineStr">
        <is>
          <t>Föryngringsavverkning</t>
        </is>
      </c>
      <c r="D142" s="1" t="n">
        <v>45817</v>
      </c>
      <c r="E142" s="1" t="n">
        <v>46224</v>
      </c>
      <c r="F142" t="inlineStr">
        <is>
          <t>DALARNAS LÄN</t>
        </is>
      </c>
      <c r="G142" t="inlineStr">
        <is>
          <t>ÄLVDALEN</t>
        </is>
      </c>
      <c r="H142" t="inlineStr">
        <is>
          <t>Sveaskog</t>
        </is>
      </c>
      <c r="I142" t="n">
        <v>2.5</v>
      </c>
      <c r="J142" t="n">
        <v>0</v>
      </c>
      <c r="K142" t="n">
        <v>0</v>
      </c>
      <c r="L142" t="n">
        <v>3</v>
      </c>
      <c r="M142" t="n">
        <v>0</v>
      </c>
      <c r="N142" t="n">
        <v>0</v>
      </c>
      <c r="O142" t="n">
        <v>0</v>
      </c>
      <c r="P142" t="n">
        <v>0</v>
      </c>
      <c r="Q142" t="n">
        <v>3</v>
      </c>
      <c r="R142" t="n">
        <v>0</v>
      </c>
      <c r="S142" t="n">
        <v>3</v>
      </c>
      <c r="T142" t="n">
        <v>3</v>
      </c>
      <c r="U142" t="n">
        <v>0</v>
      </c>
      <c r="V142" s="2" t="inlineStr">
        <is>
          <t>Kolflarnlav
Mörk kolflarnlav
Vedflamlav</t>
        </is>
      </c>
      <c r="W142">
        <f>HYPERLINK("https://klasma.github.io/Logging_2039/artfynd/A 27933-2025 artfynd.xlsx", "A 27933-2025")</f>
        <v/>
      </c>
      <c r="X142">
        <f>HYPERLINK("https://klasma.github.io/Logging_2039/kartor/A 27933-2025 karta.png", "A 27933-2025")</f>
        <v/>
      </c>
      <c r="Y142">
        <f>HYPERLINK("https://klasma.github.io/Logging_2039/kartor_geotiff/A 27933-2025 georefererad karta.tif", "A 27933-2025")</f>
        <v/>
      </c>
      <c r="AA142">
        <f>HYPERLINK("https://klasma.github.io/Logging_2039/klagomål/A 27933-2025 FSC-klagomål.docx", "A 27933-2025")</f>
        <v/>
      </c>
      <c r="AB142">
        <f>HYPERLINK("https://klasma.github.io/Logging_2039/klagomålsmail/A 27933-2025 FSC-klagomål mail.docx", "A 27933-2025")</f>
        <v/>
      </c>
      <c r="AC142">
        <f>HYPERLINK("https://klasma.github.io/Logging_2039/tillsyn/A 27933-2025 tillsynsbegäran.docx", "A 27933-2025")</f>
        <v/>
      </c>
      <c r="AD142">
        <f>HYPERLINK("https://klasma.github.io/Logging_2039/tillsynsmail/A 27933-2025 tillsynsbegäran mail.docx", "A 27933-2025")</f>
        <v/>
      </c>
    </row>
    <row r="143" ht="15" customHeight="1">
      <c r="A143" t="inlineStr">
        <is>
          <t>A 18839-2024</t>
        </is>
      </c>
      <c r="B143" t="inlineStr">
        <is>
          <t>avverkningsanmälan</t>
        </is>
      </c>
      <c r="C143" t="inlineStr">
        <is>
          <t>Föryngringsavverkning</t>
        </is>
      </c>
      <c r="D143" s="1" t="n">
        <v>45426</v>
      </c>
      <c r="E143" s="1" t="n">
        <v>46224</v>
      </c>
      <c r="F143" t="inlineStr">
        <is>
          <t>DALARNAS LÄN</t>
        </is>
      </c>
      <c r="G143" t="inlineStr">
        <is>
          <t>ÄLVDALEN</t>
        </is>
      </c>
      <c r="H143" t="inlineStr">
        <is>
          <t>Sveaskog</t>
        </is>
      </c>
      <c r="I143" t="n">
        <v>1.3</v>
      </c>
      <c r="J143" t="n">
        <v>0</v>
      </c>
      <c r="K143" t="n">
        <v>0</v>
      </c>
      <c r="L143" t="n">
        <v>3</v>
      </c>
      <c r="M143" t="n">
        <v>0</v>
      </c>
      <c r="N143" t="n">
        <v>0</v>
      </c>
      <c r="O143" t="n">
        <v>0</v>
      </c>
      <c r="P143" t="n">
        <v>0</v>
      </c>
      <c r="Q143" t="n">
        <v>3</v>
      </c>
      <c r="R143" t="n">
        <v>0</v>
      </c>
      <c r="S143" t="n">
        <v>3</v>
      </c>
      <c r="T143" t="n">
        <v>3</v>
      </c>
      <c r="U143" t="n">
        <v>0</v>
      </c>
      <c r="V143" s="2" t="inlineStr">
        <is>
          <t>Dropptaggsvamp
Kolflarnlav
Vedflamlav</t>
        </is>
      </c>
      <c r="W143">
        <f>HYPERLINK("https://klasma.github.io/Logging_2039/artfynd/A 18839-2024 artfynd.xlsx", "A 18839-2024")</f>
        <v/>
      </c>
      <c r="X143">
        <f>HYPERLINK("https://klasma.github.io/Logging_2039/kartor/A 18839-2024 karta.png", "A 18839-2024")</f>
        <v/>
      </c>
      <c r="Y143">
        <f>HYPERLINK("https://klasma.github.io/Logging_2039/kartor_geotiff/A 18839-2024 georefererad karta.tif", "A 18839-2024")</f>
        <v/>
      </c>
      <c r="AA143">
        <f>HYPERLINK("https://klasma.github.io/Logging_2039/klagomål/A 18839-2024 FSC-klagomål.docx", "A 18839-2024")</f>
        <v/>
      </c>
      <c r="AB143">
        <f>HYPERLINK("https://klasma.github.io/Logging_2039/klagomålsmail/A 18839-2024 FSC-klagomål mail.docx", "A 18839-2024")</f>
        <v/>
      </c>
      <c r="AC143">
        <f>HYPERLINK("https://klasma.github.io/Logging_2039/tillsyn/A 18839-2024 tillsynsbegäran.docx", "A 18839-2024")</f>
        <v/>
      </c>
      <c r="AD143">
        <f>HYPERLINK("https://klasma.github.io/Logging_2039/tillsynsmail/A 18839-2024 tillsynsbegäran mail.docx", "A 18839-2024")</f>
        <v/>
      </c>
    </row>
    <row r="144" ht="15" customHeight="1">
      <c r="A144" t="inlineStr">
        <is>
          <t>A 33645-2025</t>
        </is>
      </c>
      <c r="B144" t="inlineStr">
        <is>
          <t>avverkningsanmälan</t>
        </is>
      </c>
      <c r="C144" t="inlineStr">
        <is>
          <t>Avverkning för att bevara och utveckla /försöksver</t>
        </is>
      </c>
      <c r="D144" s="1" t="n">
        <v>45841</v>
      </c>
      <c r="E144" s="1" t="n">
        <v>46224</v>
      </c>
      <c r="F144" t="inlineStr">
        <is>
          <t>DALARNAS LÄN</t>
        </is>
      </c>
      <c r="G144" t="inlineStr">
        <is>
          <t>ÄLVDALEN</t>
        </is>
      </c>
      <c r="H144" t="inlineStr">
        <is>
          <t>Sveaskog</t>
        </is>
      </c>
      <c r="I144" t="n">
        <v>1.6</v>
      </c>
      <c r="J144" t="n">
        <v>0</v>
      </c>
      <c r="K144" t="n">
        <v>0</v>
      </c>
      <c r="L144" t="n">
        <v>3</v>
      </c>
      <c r="M144" t="n">
        <v>0</v>
      </c>
      <c r="N144" t="n">
        <v>0</v>
      </c>
      <c r="O144" t="n">
        <v>0</v>
      </c>
      <c r="P144" t="n">
        <v>0</v>
      </c>
      <c r="Q144" t="n">
        <v>3</v>
      </c>
      <c r="R144" t="n">
        <v>0</v>
      </c>
      <c r="S144" t="n">
        <v>3</v>
      </c>
      <c r="T144" t="n">
        <v>3</v>
      </c>
      <c r="U144" t="n">
        <v>0</v>
      </c>
      <c r="V144" s="2" t="inlineStr">
        <is>
          <t>Dvärgbägarlav
Kolflarnlav
Vedflamlav</t>
        </is>
      </c>
      <c r="W144">
        <f>HYPERLINK("https://klasma.github.io/Logging_2039/artfynd/A 33645-2025 artfynd.xlsx", "A 33645-2025")</f>
        <v/>
      </c>
      <c r="X144">
        <f>HYPERLINK("https://klasma.github.io/Logging_2039/kartor/A 33645-2025 karta.png", "A 33645-2025")</f>
        <v/>
      </c>
      <c r="Y144">
        <f>HYPERLINK("https://klasma.github.io/Logging_2039/kartor_geotiff/A 33645-2025 georefererad karta.tif", "A 33645-2025")</f>
        <v/>
      </c>
      <c r="AA144">
        <f>HYPERLINK("https://klasma.github.io/Logging_2039/klagomål/A 33645-2025 FSC-klagomål.docx", "A 33645-2025")</f>
        <v/>
      </c>
      <c r="AB144">
        <f>HYPERLINK("https://klasma.github.io/Logging_2039/klagomålsmail/A 33645-2025 FSC-klagomål mail.docx", "A 33645-2025")</f>
        <v/>
      </c>
      <c r="AC144">
        <f>HYPERLINK("https://klasma.github.io/Logging_2039/tillsyn/A 33645-2025 tillsynsbegäran.docx", "A 33645-2025")</f>
        <v/>
      </c>
      <c r="AD144">
        <f>HYPERLINK("https://klasma.github.io/Logging_2039/tillsynsmail/A 33645-2025 tillsynsbegäran mail.docx", "A 33645-2025")</f>
        <v/>
      </c>
    </row>
    <row r="145" ht="15" customHeight="1">
      <c r="A145" t="inlineStr">
        <is>
          <t>A 41909-2022</t>
        </is>
      </c>
      <c r="B145" t="inlineStr">
        <is>
          <t>avverkningsanmälan</t>
        </is>
      </c>
      <c r="C145" t="inlineStr">
        <is>
          <t>Föryngringsavverkning</t>
        </is>
      </c>
      <c r="D145" s="1" t="n">
        <v>44830</v>
      </c>
      <c r="E145" s="1" t="n">
        <v>46224</v>
      </c>
      <c r="F145" t="inlineStr">
        <is>
          <t>DALARNAS LÄN</t>
        </is>
      </c>
      <c r="G145" t="inlineStr">
        <is>
          <t>ÄLVDALEN</t>
        </is>
      </c>
      <c r="H145" t="inlineStr">
        <is>
          <t>Sveaskog</t>
        </is>
      </c>
      <c r="I145" t="n">
        <v>3.5</v>
      </c>
      <c r="J145" t="n">
        <v>1</v>
      </c>
      <c r="K145" t="n">
        <v>0</v>
      </c>
      <c r="L145" t="n">
        <v>2</v>
      </c>
      <c r="M145" t="n">
        <v>1</v>
      </c>
      <c r="N145" t="n">
        <v>0</v>
      </c>
      <c r="O145" t="n">
        <v>0</v>
      </c>
      <c r="P145" t="n">
        <v>0</v>
      </c>
      <c r="Q145" t="n">
        <v>3</v>
      </c>
      <c r="R145" t="n">
        <v>1</v>
      </c>
      <c r="S145" t="n">
        <v>3</v>
      </c>
      <c r="T145" t="n">
        <v>4</v>
      </c>
      <c r="U145" t="n">
        <v>4</v>
      </c>
      <c r="V145" s="2" t="inlineStr">
        <is>
          <t>Tajgataggsvamp
Blanksvart spiklav
Talltita</t>
        </is>
      </c>
      <c r="W145">
        <f>HYPERLINK("https://klasma.github.io/Logging_2039/artfynd/A 41909-2022 artfynd.xlsx", "A 41909-2022")</f>
        <v/>
      </c>
      <c r="X145">
        <f>HYPERLINK("https://klasma.github.io/Logging_2039/kartor/A 41909-2022 karta.png", "A 41909-2022")</f>
        <v/>
      </c>
      <c r="Y145">
        <f>HYPERLINK("https://klasma.github.io/Logging_2039/kartor_geotiff/A 41909-2022 georefererad karta.tif", "A 41909-2022")</f>
        <v/>
      </c>
      <c r="AA145">
        <f>HYPERLINK("https://klasma.github.io/Logging_2039/klagomål/A 41909-2022 FSC-klagomål.docx", "A 41909-2022")</f>
        <v/>
      </c>
      <c r="AB145">
        <f>HYPERLINK("https://klasma.github.io/Logging_2039/klagomålsmail/A 41909-2022 FSC-klagomål mail.docx", "A 41909-2022")</f>
        <v/>
      </c>
      <c r="AC145">
        <f>HYPERLINK("https://klasma.github.io/Logging_2039/tillsyn/A 41909-2022 tillsynsbegäran.docx", "A 41909-2022")</f>
        <v/>
      </c>
      <c r="AD145">
        <f>HYPERLINK("https://klasma.github.io/Logging_2039/tillsynsmail/A 41909-2022 tillsynsbegäran mail.docx", "A 41909-2022")</f>
        <v/>
      </c>
      <c r="AE145">
        <f>HYPERLINK("https://klasma.github.io/Logging_2039/fåglar/A 41909-2022 prioriterade fågelarter.docx", "A 41909-2022")</f>
        <v/>
      </c>
    </row>
    <row r="146" ht="15" customHeight="1">
      <c r="A146" t="inlineStr">
        <is>
          <t>A 58476-2025</t>
        </is>
      </c>
      <c r="B146" t="inlineStr">
        <is>
          <t>avverkningsanmälan</t>
        </is>
      </c>
      <c r="C146" t="inlineStr">
        <is>
          <t>Föryngringsavverkning</t>
        </is>
      </c>
      <c r="D146" s="1" t="n">
        <v>45985</v>
      </c>
      <c r="E146" s="1" t="n">
        <v>46224</v>
      </c>
      <c r="F146" t="inlineStr">
        <is>
          <t>DALARNAS LÄN</t>
        </is>
      </c>
      <c r="G146" t="inlineStr">
        <is>
          <t>ÄLVDALEN</t>
        </is>
      </c>
      <c r="H146" t="inlineStr">
        <is>
          <t>Allmännings- och besparingsskogar</t>
        </is>
      </c>
      <c r="I146" t="n">
        <v>17.9</v>
      </c>
      <c r="J146" t="n">
        <v>3</v>
      </c>
      <c r="K146" t="n">
        <v>0</v>
      </c>
      <c r="L146" t="n">
        <v>1</v>
      </c>
      <c r="M146" t="n">
        <v>0</v>
      </c>
      <c r="N146" t="n">
        <v>0</v>
      </c>
      <c r="O146" t="n">
        <v>0</v>
      </c>
      <c r="P146" t="n">
        <v>0</v>
      </c>
      <c r="Q146" t="n">
        <v>1</v>
      </c>
      <c r="R146" t="n">
        <v>0</v>
      </c>
      <c r="S146" t="n">
        <v>3</v>
      </c>
      <c r="T146" t="n">
        <v>3</v>
      </c>
      <c r="U146" t="n">
        <v>0</v>
      </c>
      <c r="V146" s="2" t="inlineStr">
        <is>
          <t>Lavskrika
Tjäder
Huggorm</t>
        </is>
      </c>
      <c r="W146">
        <f>HYPERLINK("https://klasma.github.io/Logging_2039/artfynd/A 58476-2025 artfynd.xlsx", "A 58476-2025")</f>
        <v/>
      </c>
      <c r="X146">
        <f>HYPERLINK("https://klasma.github.io/Logging_2039/kartor/A 58476-2025 karta.png", "A 58476-2025")</f>
        <v/>
      </c>
      <c r="Y146">
        <f>HYPERLINK("https://klasma.github.io/Logging_2039/kartor_geotiff/A 58476-2025 georefererad karta.tif", "A 58476-2025")</f>
        <v/>
      </c>
      <c r="AA146">
        <f>HYPERLINK("https://klasma.github.io/Logging_2039/klagomål/A 58476-2025 FSC-klagomål.docx", "A 58476-2025")</f>
        <v/>
      </c>
      <c r="AB146">
        <f>HYPERLINK("https://klasma.github.io/Logging_2039/klagomålsmail/A 58476-2025 FSC-klagomål mail.docx", "A 58476-2025")</f>
        <v/>
      </c>
      <c r="AC146">
        <f>HYPERLINK("https://klasma.github.io/Logging_2039/tillsyn/A 58476-2025 tillsynsbegäran.docx", "A 58476-2025")</f>
        <v/>
      </c>
      <c r="AD146">
        <f>HYPERLINK("https://klasma.github.io/Logging_2039/tillsynsmail/A 58476-2025 tillsynsbegäran mail.docx", "A 58476-2025")</f>
        <v/>
      </c>
      <c r="AE146">
        <f>HYPERLINK("https://klasma.github.io/Logging_2039/fåglar/A 58476-2025 prioriterade fågelarter.docx", "A 58476-2025")</f>
        <v/>
      </c>
    </row>
    <row r="147" ht="15" customHeight="1">
      <c r="A147" t="inlineStr">
        <is>
          <t>A 59587-2025</t>
        </is>
      </c>
      <c r="B147" t="inlineStr">
        <is>
          <t>avverkningsanmälan</t>
        </is>
      </c>
      <c r="C147" t="inlineStr">
        <is>
          <t>Föryngringsavverkning</t>
        </is>
      </c>
      <c r="D147" s="1" t="n">
        <v>45992</v>
      </c>
      <c r="E147" s="1" t="n">
        <v>46224</v>
      </c>
      <c r="F147" t="inlineStr">
        <is>
          <t>DALARNAS LÄN</t>
        </is>
      </c>
      <c r="G147" t="inlineStr">
        <is>
          <t>ÄLVDALEN</t>
        </is>
      </c>
      <c r="H147" t="inlineStr">
        <is>
          <t>Sveaskog</t>
        </is>
      </c>
      <c r="I147" t="n">
        <v>10.7</v>
      </c>
      <c r="J147" t="n">
        <v>0</v>
      </c>
      <c r="K147" t="n">
        <v>0</v>
      </c>
      <c r="L147" t="n">
        <v>3</v>
      </c>
      <c r="M147" t="n">
        <v>0</v>
      </c>
      <c r="N147" t="n">
        <v>0</v>
      </c>
      <c r="O147" t="n">
        <v>0</v>
      </c>
      <c r="P147" t="n">
        <v>0</v>
      </c>
      <c r="Q147" t="n">
        <v>3</v>
      </c>
      <c r="R147" t="n">
        <v>0</v>
      </c>
      <c r="S147" t="n">
        <v>3</v>
      </c>
      <c r="T147" t="n">
        <v>3</v>
      </c>
      <c r="U147" t="n">
        <v>0</v>
      </c>
      <c r="V147" s="2" t="inlineStr">
        <is>
          <t>Dropptaggsvamp
Kolflarnlav
Vedflamlav</t>
        </is>
      </c>
      <c r="W147">
        <f>HYPERLINK("https://klasma.github.io/Logging_2039/artfynd/A 59587-2025 artfynd.xlsx", "A 59587-2025")</f>
        <v/>
      </c>
      <c r="X147">
        <f>HYPERLINK("https://klasma.github.io/Logging_2039/kartor/A 59587-2025 karta.png", "A 59587-2025")</f>
        <v/>
      </c>
      <c r="Y147">
        <f>HYPERLINK("https://klasma.github.io/Logging_2039/kartor_geotiff/A 59587-2025 georefererad karta.tif", "A 59587-2025")</f>
        <v/>
      </c>
      <c r="AA147">
        <f>HYPERLINK("https://klasma.github.io/Logging_2039/klagomål/A 59587-2025 FSC-klagomål.docx", "A 59587-2025")</f>
        <v/>
      </c>
      <c r="AB147">
        <f>HYPERLINK("https://klasma.github.io/Logging_2039/klagomålsmail/A 59587-2025 FSC-klagomål mail.docx", "A 59587-2025")</f>
        <v/>
      </c>
      <c r="AC147">
        <f>HYPERLINK("https://klasma.github.io/Logging_2039/tillsyn/A 59587-2025 tillsynsbegäran.docx", "A 59587-2025")</f>
        <v/>
      </c>
      <c r="AD147">
        <f>HYPERLINK("https://klasma.github.io/Logging_2039/tillsynsmail/A 59587-2025 tillsynsbegäran mail.docx", "A 59587-2025")</f>
        <v/>
      </c>
    </row>
    <row r="148" ht="15" customHeight="1">
      <c r="A148" t="inlineStr">
        <is>
          <t>A 31057-2024</t>
        </is>
      </c>
      <c r="B148" t="inlineStr">
        <is>
          <t>avverkningsanmälan</t>
        </is>
      </c>
      <c r="C148" t="inlineStr">
        <is>
          <t>Föryngringsavverkning</t>
        </is>
      </c>
      <c r="D148" s="1" t="n">
        <v>45502</v>
      </c>
      <c r="E148" s="1" t="n">
        <v>46224</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18617-2026</t>
        </is>
      </c>
      <c r="B149" t="inlineStr">
        <is>
          <t>avverkningsanmälan</t>
        </is>
      </c>
      <c r="C149" t="inlineStr">
        <is>
          <t>Föryngringsavverkning</t>
        </is>
      </c>
      <c r="D149" s="1" t="n">
        <v>46127</v>
      </c>
      <c r="E149" s="1" t="n">
        <v>46224</v>
      </c>
      <c r="F149" t="inlineStr">
        <is>
          <t>DALARNAS LÄN</t>
        </is>
      </c>
      <c r="G149" t="inlineStr">
        <is>
          <t>ÄLVDALEN</t>
        </is>
      </c>
      <c r="I149" t="n">
        <v>1.3</v>
      </c>
      <c r="J149" t="n">
        <v>0</v>
      </c>
      <c r="K149" t="n">
        <v>1</v>
      </c>
      <c r="L149" t="n">
        <v>2</v>
      </c>
      <c r="M149" t="n">
        <v>0</v>
      </c>
      <c r="N149" t="n">
        <v>0</v>
      </c>
      <c r="O149" t="n">
        <v>0</v>
      </c>
      <c r="P149" t="n">
        <v>0</v>
      </c>
      <c r="Q149" t="n">
        <v>2</v>
      </c>
      <c r="R149" t="n">
        <v>0</v>
      </c>
      <c r="S149" t="n">
        <v>3</v>
      </c>
      <c r="T149" t="n">
        <v>6</v>
      </c>
      <c r="U149" t="n">
        <v>6</v>
      </c>
      <c r="V149" s="2" t="inlineStr">
        <is>
          <t>Kolflarnlav
Mörk kolflarnlav
Mindre märgborre</t>
        </is>
      </c>
      <c r="W149">
        <f>HYPERLINK("https://klasma.github.io/Logging_2039/artfynd/A 18617-2026 artfynd.xlsx", "A 18617-2026")</f>
        <v/>
      </c>
      <c r="X149">
        <f>HYPERLINK("https://klasma.github.io/Logging_2039/kartor/A 18617-2026 karta.png", "A 18617-2026")</f>
        <v/>
      </c>
      <c r="Y149">
        <f>HYPERLINK("https://klasma.github.io/Logging_2039/kartor_geotiff/A 18617-2026 georefererad karta.tif", "A 18617-2026")</f>
        <v/>
      </c>
      <c r="AA149">
        <f>HYPERLINK("https://klasma.github.io/Logging_2039/klagomål/A 18617-2026 FSC-klagomål.docx", "A 18617-2026")</f>
        <v/>
      </c>
      <c r="AB149">
        <f>HYPERLINK("https://klasma.github.io/Logging_2039/klagomålsmail/A 18617-2026 FSC-klagomål mail.docx", "A 18617-2026")</f>
        <v/>
      </c>
      <c r="AC149">
        <f>HYPERLINK("https://klasma.github.io/Logging_2039/tillsyn/A 18617-2026 tillsynsbegäran.docx", "A 18617-2026")</f>
        <v/>
      </c>
      <c r="AD149">
        <f>HYPERLINK("https://klasma.github.io/Logging_2039/tillsynsmail/A 18617-2026 tillsynsbegäran mail.docx", "A 18617-2026")</f>
        <v/>
      </c>
    </row>
    <row r="150" ht="15" customHeight="1">
      <c r="A150" t="inlineStr">
        <is>
          <t>A 28135-2026</t>
        </is>
      </c>
      <c r="B150" t="inlineStr">
        <is>
          <t>avverkningsanmälan</t>
        </is>
      </c>
      <c r="C150" t="inlineStr">
        <is>
          <t>Föryngringsavverkning</t>
        </is>
      </c>
      <c r="D150" s="1" t="n">
        <v>46195</v>
      </c>
      <c r="E150" s="1" t="n">
        <v>46224</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30101-2026</t>
        </is>
      </c>
      <c r="B151" t="inlineStr">
        <is>
          <t>avverkningsanmälan</t>
        </is>
      </c>
      <c r="C151" t="inlineStr">
        <is>
          <t>Föryngringsavverkning</t>
        </is>
      </c>
      <c r="D151" s="1" t="n">
        <v>46206</v>
      </c>
      <c r="E151" s="1" t="n">
        <v>46224</v>
      </c>
      <c r="F151" t="inlineStr">
        <is>
          <t>DALARNAS LÄN</t>
        </is>
      </c>
      <c r="G151" t="inlineStr">
        <is>
          <t>ÄLVDALEN</t>
        </is>
      </c>
      <c r="H151" t="inlineStr">
        <is>
          <t>Sveaskog</t>
        </is>
      </c>
      <c r="I151" t="n">
        <v>3.6</v>
      </c>
      <c r="J151" t="n">
        <v>0</v>
      </c>
      <c r="K151" t="n">
        <v>0</v>
      </c>
      <c r="L151" t="n">
        <v>2</v>
      </c>
      <c r="M151" t="n">
        <v>1</v>
      </c>
      <c r="N151" t="n">
        <v>0</v>
      </c>
      <c r="O151" t="n">
        <v>0</v>
      </c>
      <c r="P151" t="n">
        <v>0</v>
      </c>
      <c r="Q151" t="n">
        <v>3</v>
      </c>
      <c r="R151" t="n">
        <v>1</v>
      </c>
      <c r="S151" t="n">
        <v>3</v>
      </c>
      <c r="T151" t="n">
        <v>3</v>
      </c>
      <c r="U151" t="n">
        <v>0</v>
      </c>
      <c r="V151" s="2" t="inlineStr">
        <is>
          <t>Gräddporing
Kolflarnlav
Mörk kolflarnlav</t>
        </is>
      </c>
      <c r="W151">
        <f>HYPERLINK("https://klasma.github.io/Logging_2039/artfynd/A 30101-2026 artfynd.xlsx", "A 30101-2026")</f>
        <v/>
      </c>
      <c r="X151">
        <f>HYPERLINK("https://klasma.github.io/Logging_2039/kartor/A 30101-2026 karta.png", "A 30101-2026")</f>
        <v/>
      </c>
      <c r="Y151">
        <f>HYPERLINK("https://klasma.github.io/Logging_2039/kartor_geotiff/A 30101-2026 georefererad karta.tif", "A 30101-2026")</f>
        <v/>
      </c>
      <c r="AA151">
        <f>HYPERLINK("https://klasma.github.io/Logging_2039/klagomål/A 30101-2026 FSC-klagomål.docx", "A 30101-2026")</f>
        <v/>
      </c>
      <c r="AB151">
        <f>HYPERLINK("https://klasma.github.io/Logging_2039/klagomålsmail/A 30101-2026 FSC-klagomål mail.docx", "A 30101-2026")</f>
        <v/>
      </c>
      <c r="AC151">
        <f>HYPERLINK("https://klasma.github.io/Logging_2039/tillsyn/A 30101-2026 tillsynsbegäran.docx", "A 30101-2026")</f>
        <v/>
      </c>
      <c r="AD151">
        <f>HYPERLINK("https://klasma.github.io/Logging_2039/tillsynsmail/A 30101-2026 tillsynsbegäran mail.docx", "A 30101-2026")</f>
        <v/>
      </c>
    </row>
    <row r="152" ht="15" customHeight="1">
      <c r="A152" t="inlineStr">
        <is>
          <t>A 30105-2026</t>
        </is>
      </c>
      <c r="B152" t="inlineStr">
        <is>
          <t>avverkningsanmälan</t>
        </is>
      </c>
      <c r="C152" t="inlineStr">
        <is>
          <t>Föryngringsavverkning</t>
        </is>
      </c>
      <c r="D152" s="1" t="n">
        <v>46206</v>
      </c>
      <c r="E152" s="1" t="n">
        <v>46224</v>
      </c>
      <c r="F152" t="inlineStr">
        <is>
          <t>DALARNAS LÄN</t>
        </is>
      </c>
      <c r="G152" t="inlineStr">
        <is>
          <t>ÄLVDALEN</t>
        </is>
      </c>
      <c r="H152" t="inlineStr">
        <is>
          <t>Sveaskog</t>
        </is>
      </c>
      <c r="I152" t="n">
        <v>3.1</v>
      </c>
      <c r="J152" t="n">
        <v>1</v>
      </c>
      <c r="K152" t="n">
        <v>0</v>
      </c>
      <c r="L152" t="n">
        <v>3</v>
      </c>
      <c r="M152" t="n">
        <v>0</v>
      </c>
      <c r="N152" t="n">
        <v>0</v>
      </c>
      <c r="O152" t="n">
        <v>0</v>
      </c>
      <c r="P152" t="n">
        <v>0</v>
      </c>
      <c r="Q152" t="n">
        <v>3</v>
      </c>
      <c r="R152" t="n">
        <v>0</v>
      </c>
      <c r="S152" t="n">
        <v>3</v>
      </c>
      <c r="T152" t="n">
        <v>3</v>
      </c>
      <c r="U152" t="n">
        <v>0</v>
      </c>
      <c r="V152" s="2" t="inlineStr">
        <is>
          <t>Kolflarnlav
Mörk kolflarnlav
Varglav</t>
        </is>
      </c>
      <c r="W152">
        <f>HYPERLINK("https://klasma.github.io/Logging_2039/artfynd/A 30105-2026 artfynd.xlsx", "A 30105-2026")</f>
        <v/>
      </c>
      <c r="X152">
        <f>HYPERLINK("https://klasma.github.io/Logging_2039/kartor/A 30105-2026 karta.png", "A 30105-2026")</f>
        <v/>
      </c>
      <c r="Y152">
        <f>HYPERLINK("https://klasma.github.io/Logging_2039/kartor_geotiff/A 30105-2026 georefererad karta.tif", "A 30105-2026")</f>
        <v/>
      </c>
      <c r="AA152">
        <f>HYPERLINK("https://klasma.github.io/Logging_2039/klagomål/A 30105-2026 FSC-klagomål.docx", "A 30105-2026")</f>
        <v/>
      </c>
      <c r="AB152">
        <f>HYPERLINK("https://klasma.github.io/Logging_2039/klagomålsmail/A 30105-2026 FSC-klagomål mail.docx", "A 30105-2026")</f>
        <v/>
      </c>
      <c r="AC152">
        <f>HYPERLINK("https://klasma.github.io/Logging_2039/tillsyn/A 30105-2026 tillsynsbegäran.docx", "A 30105-2026")</f>
        <v/>
      </c>
      <c r="AD152">
        <f>HYPERLINK("https://klasma.github.io/Logging_2039/tillsynsmail/A 30105-2026 tillsynsbegäran mail.docx", "A 30105-2026")</f>
        <v/>
      </c>
    </row>
    <row r="153" ht="15" customHeight="1">
      <c r="A153" t="inlineStr">
        <is>
          <t>S 2088-2025</t>
        </is>
      </c>
      <c r="B153" t="inlineStr">
        <is>
          <t>samrådsanmälan</t>
        </is>
      </c>
      <c r="C153" t="inlineStr">
        <is>
          <t>Annan skogsbruksåtgärd</t>
        </is>
      </c>
      <c r="D153" s="1" t="n">
        <v>45841</v>
      </c>
      <c r="E153" s="1" t="n">
        <v>46224</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46224</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21629-2022</t>
        </is>
      </c>
      <c r="B155" t="inlineStr">
        <is>
          <t>avverkningsanmälan</t>
        </is>
      </c>
      <c r="C155" t="inlineStr">
        <is>
          <t>Föryngringsavverkning</t>
        </is>
      </c>
      <c r="D155" s="1" t="n">
        <v>44706</v>
      </c>
      <c r="E155" s="1" t="n">
        <v>46224</v>
      </c>
      <c r="F155" t="inlineStr">
        <is>
          <t>DALARNAS LÄN</t>
        </is>
      </c>
      <c r="G155" t="inlineStr">
        <is>
          <t>ÄLVDALEN</t>
        </is>
      </c>
      <c r="H155" t="inlineStr">
        <is>
          <t>Övriga statliga verk och myndigheter</t>
        </is>
      </c>
      <c r="I155" t="n">
        <v>19.2</v>
      </c>
      <c r="J155" t="n">
        <v>0</v>
      </c>
      <c r="K155" t="n">
        <v>1</v>
      </c>
      <c r="L155" t="n">
        <v>1</v>
      </c>
      <c r="M155" t="n">
        <v>0</v>
      </c>
      <c r="N155" t="n">
        <v>0</v>
      </c>
      <c r="O155" t="n">
        <v>0</v>
      </c>
      <c r="P155" t="n">
        <v>0</v>
      </c>
      <c r="Q155" t="n">
        <v>1</v>
      </c>
      <c r="R155" t="n">
        <v>0</v>
      </c>
      <c r="S155" t="n">
        <v>2</v>
      </c>
      <c r="T155" t="n">
        <v>2</v>
      </c>
      <c r="U155" t="n">
        <v>0</v>
      </c>
      <c r="V155" s="2" t="inlineStr">
        <is>
          <t>Vitgrynig nållav
Kransrams</t>
        </is>
      </c>
      <c r="W155">
        <f>HYPERLINK("https://klasma.github.io/Logging_2039/artfynd/A 21629-2022 artfynd.xlsx", "A 21629-2022")</f>
        <v/>
      </c>
      <c r="X155">
        <f>HYPERLINK("https://klasma.github.io/Logging_2039/kartor/A 21629-2022 karta.png", "A 21629-2022")</f>
        <v/>
      </c>
      <c r="Y155">
        <f>HYPERLINK("https://klasma.github.io/Logging_2039/kartor_geotiff/A 21629-2022 georefererad karta.tif", "A 21629-2022")</f>
        <v/>
      </c>
      <c r="AA155">
        <f>HYPERLINK("https://klasma.github.io/Logging_2039/klagomål/A 21629-2022 FSC-klagomål.docx", "A 21629-2022")</f>
        <v/>
      </c>
      <c r="AB155">
        <f>HYPERLINK("https://klasma.github.io/Logging_2039/klagomålsmail/A 21629-2022 FSC-klagomål mail.docx", "A 21629-2022")</f>
        <v/>
      </c>
      <c r="AC155">
        <f>HYPERLINK("https://klasma.github.io/Logging_2039/tillsyn/A 21629-2022 tillsynsbegäran.docx", "A 21629-2022")</f>
        <v/>
      </c>
      <c r="AD155">
        <f>HYPERLINK("https://klasma.github.io/Logging_2039/tillsynsmail/A 21629-2022 tillsynsbegäran mail.docx", "A 21629-2022")</f>
        <v/>
      </c>
    </row>
    <row r="156" ht="15" customHeight="1">
      <c r="A156" t="inlineStr">
        <is>
          <t>A 30691-2024</t>
        </is>
      </c>
      <c r="B156" t="inlineStr">
        <is>
          <t>avverkningsanmälan</t>
        </is>
      </c>
      <c r="C156" t="inlineStr">
        <is>
          <t>Föryngringsavverkning</t>
        </is>
      </c>
      <c r="D156" s="1" t="n">
        <v>45496</v>
      </c>
      <c r="E156" s="1" t="n">
        <v>46224</v>
      </c>
      <c r="F156" t="inlineStr">
        <is>
          <t>DALARNAS LÄN</t>
        </is>
      </c>
      <c r="G156" t="inlineStr">
        <is>
          <t>ÄLVDALEN</t>
        </is>
      </c>
      <c r="I156" t="n">
        <v>2.9</v>
      </c>
      <c r="J156" t="n">
        <v>0</v>
      </c>
      <c r="K156" t="n">
        <v>0</v>
      </c>
      <c r="L156" t="n">
        <v>2</v>
      </c>
      <c r="M156" t="n">
        <v>0</v>
      </c>
      <c r="N156" t="n">
        <v>0</v>
      </c>
      <c r="O156" t="n">
        <v>0</v>
      </c>
      <c r="P156" t="n">
        <v>0</v>
      </c>
      <c r="Q156" t="n">
        <v>2</v>
      </c>
      <c r="R156" t="n">
        <v>0</v>
      </c>
      <c r="S156" t="n">
        <v>2</v>
      </c>
      <c r="T156" t="n">
        <v>2</v>
      </c>
      <c r="U156" t="n">
        <v>0</v>
      </c>
      <c r="V156" s="2" t="inlineStr">
        <is>
          <t>Dropptaggsvamp
Nordtagging</t>
        </is>
      </c>
      <c r="W156">
        <f>HYPERLINK("https://klasma.github.io/Logging_2039/artfynd/A 30691-2024 artfynd.xlsx", "A 30691-2024")</f>
        <v/>
      </c>
      <c r="X156">
        <f>HYPERLINK("https://klasma.github.io/Logging_2039/kartor/A 30691-2024 karta.png", "A 30691-2024")</f>
        <v/>
      </c>
      <c r="Y156">
        <f>HYPERLINK("https://klasma.github.io/Logging_2039/kartor_geotiff/A 30691-2024 georefererad karta.tif", "A 30691-2024")</f>
        <v/>
      </c>
      <c r="AA156">
        <f>HYPERLINK("https://klasma.github.io/Logging_2039/klagomål/A 30691-2024 FSC-klagomål.docx", "A 30691-2024")</f>
        <v/>
      </c>
      <c r="AB156">
        <f>HYPERLINK("https://klasma.github.io/Logging_2039/klagomålsmail/A 30691-2024 FSC-klagomål mail.docx", "A 30691-2024")</f>
        <v/>
      </c>
      <c r="AC156">
        <f>HYPERLINK("https://klasma.github.io/Logging_2039/tillsyn/A 30691-2024 tillsynsbegäran.docx", "A 30691-2024")</f>
        <v/>
      </c>
      <c r="AD156">
        <f>HYPERLINK("https://klasma.github.io/Logging_2039/tillsynsmail/A 30691-2024 tillsynsbegäran mail.docx", "A 30691-2024")</f>
        <v/>
      </c>
    </row>
    <row r="157" ht="15" customHeight="1">
      <c r="A157" t="inlineStr">
        <is>
          <t>A 27937-2025</t>
        </is>
      </c>
      <c r="B157" t="inlineStr">
        <is>
          <t>avverkningsanmälan</t>
        </is>
      </c>
      <c r="C157" t="inlineStr">
        <is>
          <t>Föryngringsavverkning</t>
        </is>
      </c>
      <c r="D157" s="1" t="n">
        <v>45817</v>
      </c>
      <c r="E157" s="1" t="n">
        <v>46224</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t="n">
        <v>1</v>
      </c>
      <c r="V157" s="2" t="inlineStr">
        <is>
          <t>Dropptaggsvamp
Kolflarnlav</t>
        </is>
      </c>
      <c r="W157">
        <f>HYPERLINK("https://klasma.github.io/Logging_2039/artfynd/A 27937-2025 artfynd.xlsx", "A 27937-2025")</f>
        <v/>
      </c>
      <c r="X157">
        <f>HYPERLINK("https://klasma.github.io/Logging_2039/kartor/A 27937-2025 karta.png", "A 27937-2025")</f>
        <v/>
      </c>
      <c r="Y157">
        <f>HYPERLINK("https://klasma.github.io/Logging_2039/kartor_geotiff/A 27937-2025 georefererad karta.tif", "A 27937-2025")</f>
        <v/>
      </c>
      <c r="AA157">
        <f>HYPERLINK("https://klasma.github.io/Logging_2039/klagomål/A 27937-2025 FSC-klagomål.docx", "A 27937-2025")</f>
        <v/>
      </c>
      <c r="AB157">
        <f>HYPERLINK("https://klasma.github.io/Logging_2039/klagomålsmail/A 27937-2025 FSC-klagomål mail.docx", "A 27937-2025")</f>
        <v/>
      </c>
      <c r="AC157">
        <f>HYPERLINK("https://klasma.github.io/Logging_2039/tillsyn/A 27937-2025 tillsynsbegäran.docx", "A 27937-2025")</f>
        <v/>
      </c>
      <c r="AD157">
        <f>HYPERLINK("https://klasma.github.io/Logging_2039/tillsynsmail/A 27937-2025 tillsynsbegäran mail.docx", "A 27937-2025")</f>
        <v/>
      </c>
    </row>
    <row r="158" ht="15" customHeight="1">
      <c r="A158" t="inlineStr">
        <is>
          <t>A 31264-2025</t>
        </is>
      </c>
      <c r="B158" t="inlineStr">
        <is>
          <t>avverkningsanmälan</t>
        </is>
      </c>
      <c r="C158" t="inlineStr">
        <is>
          <t>Avverkning för att bevara och utveckla /försöksver</t>
        </is>
      </c>
      <c r="D158" s="1" t="n">
        <v>45833</v>
      </c>
      <c r="E158" s="1" t="n">
        <v>46224</v>
      </c>
      <c r="F158" t="inlineStr">
        <is>
          <t>DALARNAS LÄN</t>
        </is>
      </c>
      <c r="G158" t="inlineStr">
        <is>
          <t>ÄLVDALEN</t>
        </is>
      </c>
      <c r="H158" t="inlineStr">
        <is>
          <t>Sveaskog</t>
        </is>
      </c>
      <c r="I158" t="n">
        <v>1.3</v>
      </c>
      <c r="J158" t="n">
        <v>2</v>
      </c>
      <c r="K158" t="n">
        <v>0</v>
      </c>
      <c r="L158" t="n">
        <v>1</v>
      </c>
      <c r="M158" t="n">
        <v>0</v>
      </c>
      <c r="N158" t="n">
        <v>1</v>
      </c>
      <c r="O158" t="n">
        <v>0</v>
      </c>
      <c r="P158" t="n">
        <v>0</v>
      </c>
      <c r="Q158" t="n">
        <v>2</v>
      </c>
      <c r="R158" t="n">
        <v>1</v>
      </c>
      <c r="S158" t="n">
        <v>2</v>
      </c>
      <c r="T158" t="n">
        <v>2</v>
      </c>
      <c r="U158" t="n">
        <v>0</v>
      </c>
      <c r="V158" s="2" t="inlineStr">
        <is>
          <t>Mosippa
Drillsnäppa</t>
        </is>
      </c>
      <c r="W158">
        <f>HYPERLINK("https://klasma.github.io/Logging_2039/artfynd/A 31264-2025 artfynd.xlsx", "A 31264-2025")</f>
        <v/>
      </c>
      <c r="X158">
        <f>HYPERLINK("https://klasma.github.io/Logging_2039/kartor/A 31264-2025 karta.png", "A 31264-2025")</f>
        <v/>
      </c>
      <c r="Y158">
        <f>HYPERLINK("https://klasma.github.io/Logging_2039/kartor_geotiff/A 31264-2025 georefererad karta.tif", "A 31264-2025")</f>
        <v/>
      </c>
      <c r="AA158">
        <f>HYPERLINK("https://klasma.github.io/Logging_2039/klagomål/A 31264-2025 FSC-klagomål.docx", "A 31264-2025")</f>
        <v/>
      </c>
      <c r="AB158">
        <f>HYPERLINK("https://klasma.github.io/Logging_2039/klagomålsmail/A 31264-2025 FSC-klagomål mail.docx", "A 31264-2025")</f>
        <v/>
      </c>
      <c r="AC158">
        <f>HYPERLINK("https://klasma.github.io/Logging_2039/tillsyn/A 31264-2025 tillsynsbegäran.docx", "A 31264-2025")</f>
        <v/>
      </c>
      <c r="AD158">
        <f>HYPERLINK("https://klasma.github.io/Logging_2039/tillsynsmail/A 31264-2025 tillsynsbegäran mail.docx", "A 31264-2025")</f>
        <v/>
      </c>
      <c r="AE158">
        <f>HYPERLINK("https://klasma.github.io/Logging_2039/fåglar/A 31264-2025 prioriterade fågelarter.docx", "A 31264-2025")</f>
        <v/>
      </c>
    </row>
    <row r="159" ht="15" customHeight="1">
      <c r="A159" t="inlineStr">
        <is>
          <t>A 54632-2021</t>
        </is>
      </c>
      <c r="B159" t="inlineStr">
        <is>
          <t>avverkningsanmälan</t>
        </is>
      </c>
      <c r="C159" t="inlineStr">
        <is>
          <t>Föryngringsavverkning</t>
        </is>
      </c>
      <c r="D159" s="1" t="n">
        <v>44473</v>
      </c>
      <c r="E159" s="1" t="n">
        <v>46224</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t="n">
        <v>0</v>
      </c>
      <c r="V159" s="2" t="inlineStr">
        <is>
          <t>Varglav
Vedflamlav</t>
        </is>
      </c>
      <c r="W159">
        <f>HYPERLINK("https://klasma.github.io/Logging_2039/artfynd/A 54632-2021 artfynd.xlsx", "A 54632-2021")</f>
        <v/>
      </c>
      <c r="X159">
        <f>HYPERLINK("https://klasma.github.io/Logging_2039/kartor/A 54632-2021 karta.png", "A 54632-2021")</f>
        <v/>
      </c>
      <c r="Y159">
        <f>HYPERLINK("https://klasma.github.io/Logging_2039/kartor_geotiff/A 54632-2021 georefererad karta.tif", "A 54632-2021")</f>
        <v/>
      </c>
      <c r="AA159">
        <f>HYPERLINK("https://klasma.github.io/Logging_2039/klagomål/A 54632-2021 FSC-klagomål.docx", "A 54632-2021")</f>
        <v/>
      </c>
      <c r="AB159">
        <f>HYPERLINK("https://klasma.github.io/Logging_2039/klagomålsmail/A 54632-2021 FSC-klagomål mail.docx", "A 54632-2021")</f>
        <v/>
      </c>
      <c r="AC159">
        <f>HYPERLINK("https://klasma.github.io/Logging_2039/tillsyn/A 54632-2021 tillsynsbegäran.docx", "A 54632-2021")</f>
        <v/>
      </c>
      <c r="AD159">
        <f>HYPERLINK("https://klasma.github.io/Logging_2039/tillsynsmail/A 54632-2021 tillsynsbegäran mail.docx", "A 54632-2021")</f>
        <v/>
      </c>
    </row>
    <row r="160" ht="15" customHeight="1">
      <c r="A160" t="inlineStr">
        <is>
          <t>A 40461-2025</t>
        </is>
      </c>
      <c r="B160" t="inlineStr">
        <is>
          <t>avverkningsanmälan</t>
        </is>
      </c>
      <c r="C160" t="inlineStr">
        <is>
          <t>Föryngringsavverkning</t>
        </is>
      </c>
      <c r="D160" s="1" t="n">
        <v>45895</v>
      </c>
      <c r="E160" s="1" t="n">
        <v>46224</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t="n">
        <v>2</v>
      </c>
      <c r="V160" s="2" t="inlineStr">
        <is>
          <t>Talltita
Kungsfågel</t>
        </is>
      </c>
      <c r="W160">
        <f>HYPERLINK("https://klasma.github.io/Logging_2039/artfynd/A 40461-2025 artfynd.xlsx", "A 40461-2025")</f>
        <v/>
      </c>
      <c r="X160">
        <f>HYPERLINK("https://klasma.github.io/Logging_2039/kartor/A 40461-2025 karta.png", "A 40461-2025")</f>
        <v/>
      </c>
      <c r="Y160">
        <f>HYPERLINK("https://klasma.github.io/Logging_2039/kartor_geotiff/A 40461-2025 georefererad karta.tif", "A 40461-2025")</f>
        <v/>
      </c>
      <c r="AA160">
        <f>HYPERLINK("https://klasma.github.io/Logging_2039/klagomål/A 40461-2025 FSC-klagomål.docx", "A 40461-2025")</f>
        <v/>
      </c>
      <c r="AB160">
        <f>HYPERLINK("https://klasma.github.io/Logging_2039/klagomålsmail/A 40461-2025 FSC-klagomål mail.docx", "A 40461-2025")</f>
        <v/>
      </c>
      <c r="AC160">
        <f>HYPERLINK("https://klasma.github.io/Logging_2039/tillsyn/A 40461-2025 tillsynsbegäran.docx", "A 40461-2025")</f>
        <v/>
      </c>
      <c r="AD160">
        <f>HYPERLINK("https://klasma.github.io/Logging_2039/tillsynsmail/A 40461-2025 tillsynsbegäran mail.docx", "A 40461-2025")</f>
        <v/>
      </c>
      <c r="AE160">
        <f>HYPERLINK("https://klasma.github.io/Logging_2039/fåglar/A 40461-2025 prioriterade fågelarter.docx", "A 40461-2025")</f>
        <v/>
      </c>
    </row>
    <row r="161" ht="15" customHeight="1">
      <c r="A161" t="inlineStr">
        <is>
          <t>A 55227-2025</t>
        </is>
      </c>
      <c r="B161" t="inlineStr">
        <is>
          <t>avverkningsanmälan</t>
        </is>
      </c>
      <c r="C161" t="inlineStr">
        <is>
          <t>Föryngringsavverkning</t>
        </is>
      </c>
      <c r="D161" s="1" t="n">
        <v>45968</v>
      </c>
      <c r="E161" s="1" t="n">
        <v>46224</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HYPERLINK("https://klasma.github.io/Logging_2039/artfynd/A 55227-2025 artfynd.xlsx", "A 55227-2025")</f>
        <v/>
      </c>
      <c r="X161">
        <f>HYPERLINK("https://klasma.github.io/Logging_2039/kartor/A 55227-2025 karta.png", "A 55227-2025")</f>
        <v/>
      </c>
      <c r="Y161">
        <f>HYPERLINK("https://klasma.github.io/Logging_2039/kartor_geotiff/A 55227-2025 georefererad karta.tif", "A 55227-2025")</f>
        <v/>
      </c>
      <c r="AA161">
        <f>HYPERLINK("https://klasma.github.io/Logging_2039/klagomål/A 55227-2025 FSC-klagomål.docx", "A 55227-2025")</f>
        <v/>
      </c>
      <c r="AB161">
        <f>HYPERLINK("https://klasma.github.io/Logging_2039/klagomålsmail/A 55227-2025 FSC-klagomål mail.docx", "A 55227-2025")</f>
        <v/>
      </c>
      <c r="AC161">
        <f>HYPERLINK("https://klasma.github.io/Logging_2039/tillsyn/A 55227-2025 tillsynsbegäran.docx", "A 55227-2025")</f>
        <v/>
      </c>
      <c r="AD161">
        <f>HYPERLINK("https://klasma.github.io/Logging_2039/tillsynsmail/A 55227-2025 tillsynsbegäran mail.docx", "A 55227-2025")</f>
        <v/>
      </c>
    </row>
    <row r="162" ht="15" customHeight="1">
      <c r="A162" t="inlineStr">
        <is>
          <t>A 55225-2025</t>
        </is>
      </c>
      <c r="B162" t="inlineStr">
        <is>
          <t>avverkningsanmälan</t>
        </is>
      </c>
      <c r="C162" t="inlineStr">
        <is>
          <t>Föryngringsavverkning</t>
        </is>
      </c>
      <c r="D162" s="1" t="n">
        <v>45968</v>
      </c>
      <c r="E162" s="1" t="n">
        <v>46224</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t="n">
        <v>0</v>
      </c>
      <c r="V162" s="2" t="inlineStr">
        <is>
          <t>Dvärgbägarlav
Kolflarnlav</t>
        </is>
      </c>
      <c r="W162">
        <f>HYPERLINK("https://klasma.github.io/Logging_2039/artfynd/A 55225-2025 artfynd.xlsx", "A 55225-2025")</f>
        <v/>
      </c>
      <c r="X162">
        <f>HYPERLINK("https://klasma.github.io/Logging_2039/kartor/A 55225-2025 karta.png", "A 55225-2025")</f>
        <v/>
      </c>
      <c r="Y162">
        <f>HYPERLINK("https://klasma.github.io/Logging_2039/kartor_geotiff/A 55225-2025 georefererad karta.tif", "A 55225-2025")</f>
        <v/>
      </c>
      <c r="AA162">
        <f>HYPERLINK("https://klasma.github.io/Logging_2039/klagomål/A 55225-2025 FSC-klagomål.docx", "A 55225-2025")</f>
        <v/>
      </c>
      <c r="AB162">
        <f>HYPERLINK("https://klasma.github.io/Logging_2039/klagomålsmail/A 55225-2025 FSC-klagomål mail.docx", "A 55225-2025")</f>
        <v/>
      </c>
      <c r="AC162">
        <f>HYPERLINK("https://klasma.github.io/Logging_2039/tillsyn/A 55225-2025 tillsynsbegäran.docx", "A 55225-2025")</f>
        <v/>
      </c>
      <c r="AD162">
        <f>HYPERLINK("https://klasma.github.io/Logging_2039/tillsynsmail/A 55225-2025 tillsynsbegäran mail.docx", "A 55225-2025")</f>
        <v/>
      </c>
    </row>
    <row r="163" ht="15" customHeight="1">
      <c r="A163" t="inlineStr">
        <is>
          <t>A 17672-2026</t>
        </is>
      </c>
      <c r="B163" t="inlineStr">
        <is>
          <t>avverkningsanmälan</t>
        </is>
      </c>
      <c r="C163" t="inlineStr">
        <is>
          <t>Avverkning för annat ändamål</t>
        </is>
      </c>
      <c r="D163" s="1" t="n">
        <v>46121</v>
      </c>
      <c r="E163" s="1" t="n">
        <v>46224</v>
      </c>
      <c r="F163" t="inlineStr">
        <is>
          <t>DALARNAS LÄN</t>
        </is>
      </c>
      <c r="G163" t="inlineStr">
        <is>
          <t>ÄLVDALEN</t>
        </is>
      </c>
      <c r="H163" t="inlineStr">
        <is>
          <t>Allmännings- och besparingsskogar</t>
        </is>
      </c>
      <c r="I163" t="n">
        <v>0.2</v>
      </c>
      <c r="J163" t="n">
        <v>1</v>
      </c>
      <c r="K163" t="n">
        <v>0</v>
      </c>
      <c r="L163" t="n">
        <v>1</v>
      </c>
      <c r="M163" t="n">
        <v>0</v>
      </c>
      <c r="N163" t="n">
        <v>0</v>
      </c>
      <c r="O163" t="n">
        <v>0</v>
      </c>
      <c r="P163" t="n">
        <v>0</v>
      </c>
      <c r="Q163" t="n">
        <v>1</v>
      </c>
      <c r="R163" t="n">
        <v>0</v>
      </c>
      <c r="S163" t="n">
        <v>2</v>
      </c>
      <c r="T163" t="n">
        <v>2</v>
      </c>
      <c r="U163" t="n">
        <v>0</v>
      </c>
      <c r="V163" s="2" t="inlineStr">
        <is>
          <t>Vedskivlav
Orre</t>
        </is>
      </c>
      <c r="W163">
        <f>HYPERLINK("https://klasma.github.io/Logging_2039/artfynd/A 17672-2026 artfynd.xlsx", "A 17672-2026")</f>
        <v/>
      </c>
      <c r="X163">
        <f>HYPERLINK("https://klasma.github.io/Logging_2039/kartor/A 17672-2026 karta.png", "A 17672-2026")</f>
        <v/>
      </c>
      <c r="Y163">
        <f>HYPERLINK("https://klasma.github.io/Logging_2039/kartor_geotiff/A 17672-2026 georefererad karta.tif", "A 17672-2026")</f>
        <v/>
      </c>
      <c r="AA163">
        <f>HYPERLINK("https://klasma.github.io/Logging_2039/klagomål/A 17672-2026 FSC-klagomål.docx", "A 17672-2026")</f>
        <v/>
      </c>
      <c r="AB163">
        <f>HYPERLINK("https://klasma.github.io/Logging_2039/klagomålsmail/A 17672-2026 FSC-klagomål mail.docx", "A 17672-2026")</f>
        <v/>
      </c>
      <c r="AC163">
        <f>HYPERLINK("https://klasma.github.io/Logging_2039/tillsyn/A 17672-2026 tillsynsbegäran.docx", "A 17672-2026")</f>
        <v/>
      </c>
      <c r="AD163">
        <f>HYPERLINK("https://klasma.github.io/Logging_2039/tillsynsmail/A 17672-2026 tillsynsbegäran mail.docx", "A 17672-2026")</f>
        <v/>
      </c>
      <c r="AE163">
        <f>HYPERLINK("https://klasma.github.io/Logging_2039/fåglar/A 17672-2026 prioriterade fågelarter.docx", "A 17672-2026")</f>
        <v/>
      </c>
    </row>
    <row r="164" ht="15" customHeight="1">
      <c r="A164" t="inlineStr">
        <is>
          <t>A 15760-2024</t>
        </is>
      </c>
      <c r="B164" t="inlineStr">
        <is>
          <t>avverkningsanmälan</t>
        </is>
      </c>
      <c r="C164" t="inlineStr">
        <is>
          <t>Föryngringsavverkning</t>
        </is>
      </c>
      <c r="D164" s="1" t="n">
        <v>45404</v>
      </c>
      <c r="E164" s="1" t="n">
        <v>46224</v>
      </c>
      <c r="F164" t="inlineStr">
        <is>
          <t>DALARNAS LÄN</t>
        </is>
      </c>
      <c r="G164" t="inlineStr">
        <is>
          <t>ÄLVDALEN</t>
        </is>
      </c>
      <c r="I164" t="n">
        <v>1.9</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HYPERLINK("https://klasma.github.io/Logging_2039/artfynd/A 15760-2024 artfynd.xlsx", "A 15760-2024")</f>
        <v/>
      </c>
      <c r="X164">
        <f>HYPERLINK("https://klasma.github.io/Logging_2039/kartor/A 15760-2024 karta.png", "A 15760-2024")</f>
        <v/>
      </c>
      <c r="Y164">
        <f>HYPERLINK("https://klasma.github.io/Logging_2039/kartor_geotiff/A 15760-2024 georefererad karta.tif", "A 15760-2024")</f>
        <v/>
      </c>
      <c r="AA164">
        <f>HYPERLINK("https://klasma.github.io/Logging_2039/klagomål/A 15760-2024 FSC-klagomål.docx", "A 15760-2024")</f>
        <v/>
      </c>
      <c r="AB164">
        <f>HYPERLINK("https://klasma.github.io/Logging_2039/klagomålsmail/A 15760-2024 FSC-klagomål mail.docx", "A 15760-2024")</f>
        <v/>
      </c>
      <c r="AC164">
        <f>HYPERLINK("https://klasma.github.io/Logging_2039/tillsyn/A 15760-2024 tillsynsbegäran.docx", "A 15760-2024")</f>
        <v/>
      </c>
      <c r="AD164">
        <f>HYPERLINK("https://klasma.github.io/Logging_2039/tillsynsmail/A 15760-2024 tillsynsbegäran mail.docx", "A 15760-2024")</f>
        <v/>
      </c>
    </row>
    <row r="165" ht="15" customHeight="1">
      <c r="A165" t="inlineStr">
        <is>
          <t>A 28970-2026</t>
        </is>
      </c>
      <c r="B165" t="inlineStr">
        <is>
          <t>avverkningsanmälan</t>
        </is>
      </c>
      <c r="C165" t="inlineStr">
        <is>
          <t>Avverkning för annat ändamål</t>
        </is>
      </c>
      <c r="D165" s="1" t="n">
        <v>46196</v>
      </c>
      <c r="E165" s="1" t="n">
        <v>46224</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t="n">
        <v>0</v>
      </c>
      <c r="V165" s="2" t="inlineStr">
        <is>
          <t>Mörk kolflarnlav
Nordtagging</t>
        </is>
      </c>
      <c r="W165">
        <f>HYPERLINK("https://klasma.github.io/Logging_2039/artfynd/A 28970-2026 artfynd.xlsx", "A 28970-2026")</f>
        <v/>
      </c>
      <c r="X165">
        <f>HYPERLINK("https://klasma.github.io/Logging_2039/kartor/A 28970-2026 karta.png", "A 28970-2026")</f>
        <v/>
      </c>
      <c r="Y165">
        <f>HYPERLINK("https://klasma.github.io/Logging_2039/kartor_geotiff/A 28970-2026 georefererad karta.tif", "A 28970-2026")</f>
        <v/>
      </c>
      <c r="AA165">
        <f>HYPERLINK("https://klasma.github.io/Logging_2039/klagomål/A 28970-2026 FSC-klagomål.docx", "A 28970-2026")</f>
        <v/>
      </c>
      <c r="AB165">
        <f>HYPERLINK("https://klasma.github.io/Logging_2039/klagomålsmail/A 28970-2026 FSC-klagomål mail.docx", "A 28970-2026")</f>
        <v/>
      </c>
      <c r="AC165">
        <f>HYPERLINK("https://klasma.github.io/Logging_2039/tillsyn/A 28970-2026 tillsynsbegäran.docx", "A 28970-2026")</f>
        <v/>
      </c>
      <c r="AD165">
        <f>HYPERLINK("https://klasma.github.io/Logging_2039/tillsynsmail/A 28970-2026 tillsynsbegäran mail.docx", "A 28970-2026")</f>
        <v/>
      </c>
    </row>
    <row r="166" ht="15" customHeight="1">
      <c r="A166" t="inlineStr">
        <is>
          <t>A 30102-2026</t>
        </is>
      </c>
      <c r="B166" t="inlineStr">
        <is>
          <t>avverkningsanmälan</t>
        </is>
      </c>
      <c r="C166" t="inlineStr">
        <is>
          <t>Föryngringsavverkning</t>
        </is>
      </c>
      <c r="D166" s="1" t="n">
        <v>46206</v>
      </c>
      <c r="E166" s="1" t="n">
        <v>46224</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t="n">
        <v>2</v>
      </c>
      <c r="V166" s="2" t="inlineStr">
        <is>
          <t>Kolflarnlav
Mörk kolflarnlav</t>
        </is>
      </c>
      <c r="W166">
        <f>HYPERLINK("https://klasma.github.io/Logging_2039/artfynd/A 30102-2026 artfynd.xlsx", "A 30102-2026")</f>
        <v/>
      </c>
      <c r="X166">
        <f>HYPERLINK("https://klasma.github.io/Logging_2039/kartor/A 30102-2026 karta.png", "A 30102-2026")</f>
        <v/>
      </c>
      <c r="Y166">
        <f>HYPERLINK("https://klasma.github.io/Logging_2039/kartor_geotiff/A 30102-2026 georefererad karta.tif", "A 30102-2026")</f>
        <v/>
      </c>
      <c r="AA166">
        <f>HYPERLINK("https://klasma.github.io/Logging_2039/klagomål/A 30102-2026 FSC-klagomål.docx", "A 30102-2026")</f>
        <v/>
      </c>
      <c r="AB166">
        <f>HYPERLINK("https://klasma.github.io/Logging_2039/klagomålsmail/A 30102-2026 FSC-klagomål mail.docx", "A 30102-2026")</f>
        <v/>
      </c>
      <c r="AC166">
        <f>HYPERLINK("https://klasma.github.io/Logging_2039/tillsyn/A 30102-2026 tillsynsbegäran.docx", "A 30102-2026")</f>
        <v/>
      </c>
      <c r="AD166">
        <f>HYPERLINK("https://klasma.github.io/Logging_2039/tillsynsmail/A 30102-2026 tillsynsbegäran mail.docx", "A 30102-2026")</f>
        <v/>
      </c>
    </row>
    <row r="167" ht="15" customHeight="1">
      <c r="A167" t="inlineStr">
        <is>
          <t>A 45201-2024</t>
        </is>
      </c>
      <c r="B167" t="inlineStr">
        <is>
          <t>avverkningsanmälan</t>
        </is>
      </c>
      <c r="C167" t="inlineStr">
        <is>
          <t>Föryngringsavverkning</t>
        </is>
      </c>
      <c r="D167" s="1" t="n">
        <v>45575</v>
      </c>
      <c r="E167" s="1" t="n">
        <v>46224</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t="n">
        <v>0</v>
      </c>
      <c r="V167" s="2" t="inlineStr">
        <is>
          <t>Varglav
Tjäder</t>
        </is>
      </c>
      <c r="W167">
        <f>HYPERLINK("https://klasma.github.io/Logging_2039/artfynd/A 45201-2024 artfynd.xlsx", "A 45201-2024")</f>
        <v/>
      </c>
      <c r="X167">
        <f>HYPERLINK("https://klasma.github.io/Logging_2039/kartor/A 45201-2024 karta.png", "A 45201-2024")</f>
        <v/>
      </c>
      <c r="Y167">
        <f>HYPERLINK("https://klasma.github.io/Logging_2039/kartor_geotiff/A 45201-2024 georefererad karta.tif", "A 45201-2024")</f>
        <v/>
      </c>
      <c r="AA167">
        <f>HYPERLINK("https://klasma.github.io/Logging_2039/klagomål/A 45201-2024 FSC-klagomål.docx", "A 45201-2024")</f>
        <v/>
      </c>
      <c r="AB167">
        <f>HYPERLINK("https://klasma.github.io/Logging_2039/klagomålsmail/A 45201-2024 FSC-klagomål mail.docx", "A 45201-2024")</f>
        <v/>
      </c>
      <c r="AC167">
        <f>HYPERLINK("https://klasma.github.io/Logging_2039/tillsyn/A 45201-2024 tillsynsbegäran.docx", "A 45201-2024")</f>
        <v/>
      </c>
      <c r="AD167">
        <f>HYPERLINK("https://klasma.github.io/Logging_2039/tillsynsmail/A 45201-2024 tillsynsbegäran mail.docx", "A 45201-2024")</f>
        <v/>
      </c>
      <c r="AE167">
        <f>HYPERLINK("https://klasma.github.io/Logging_2039/fåglar/A 45201-2024 prioriterade fågelarter.docx", "A 45201-2024")</f>
        <v/>
      </c>
    </row>
    <row r="168" ht="15" customHeight="1">
      <c r="A168" t="inlineStr">
        <is>
          <t>A 45202-2024</t>
        </is>
      </c>
      <c r="B168" t="inlineStr">
        <is>
          <t>avverkningsanmälan</t>
        </is>
      </c>
      <c r="C168" t="inlineStr">
        <is>
          <t>Föryngringsavverkning</t>
        </is>
      </c>
      <c r="D168" s="1" t="n">
        <v>45575</v>
      </c>
      <c r="E168" s="1" t="n">
        <v>46224</v>
      </c>
      <c r="F168" t="inlineStr">
        <is>
          <t>DALARNAS LÄN</t>
        </is>
      </c>
      <c r="G168" t="inlineStr">
        <is>
          <t>ÄLVDALEN</t>
        </is>
      </c>
      <c r="I168" t="n">
        <v>183</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52490-2022</t>
        </is>
      </c>
      <c r="B169" t="inlineStr">
        <is>
          <t>avverkningsanmälan</t>
        </is>
      </c>
      <c r="C169" t="inlineStr">
        <is>
          <t>Föryngringsavverkning</t>
        </is>
      </c>
      <c r="D169" s="1" t="n">
        <v>44874</v>
      </c>
      <c r="E169" s="1" t="n">
        <v>46224</v>
      </c>
      <c r="F169" t="inlineStr">
        <is>
          <t>DALARNAS LÄN</t>
        </is>
      </c>
      <c r="G169" t="inlineStr">
        <is>
          <t>ÄLVDALEN</t>
        </is>
      </c>
      <c r="I169" t="n">
        <v>4.3</v>
      </c>
      <c r="J169" t="n">
        <v>0</v>
      </c>
      <c r="K169" t="n">
        <v>0</v>
      </c>
      <c r="L169" t="n">
        <v>1</v>
      </c>
      <c r="M169" t="n">
        <v>1</v>
      </c>
      <c r="N169" t="n">
        <v>0</v>
      </c>
      <c r="O169" t="n">
        <v>0</v>
      </c>
      <c r="P169" t="n">
        <v>0</v>
      </c>
      <c r="Q169" t="n">
        <v>2</v>
      </c>
      <c r="R169" t="n">
        <v>1</v>
      </c>
      <c r="S169" t="n">
        <v>2</v>
      </c>
      <c r="T169" t="n">
        <v>2</v>
      </c>
      <c r="U169" t="n">
        <v>0</v>
      </c>
      <c r="V169" s="2" t="inlineStr">
        <is>
          <t>Garnlav
Dropptaggsvamp</t>
        </is>
      </c>
      <c r="W169">
        <f>HYPERLINK("https://klasma.github.io/Logging_2039/artfynd/A 52490-2022 artfynd.xlsx", "A 52490-2022")</f>
        <v/>
      </c>
      <c r="X169">
        <f>HYPERLINK("https://klasma.github.io/Logging_2039/kartor/A 52490-2022 karta.png", "A 52490-2022")</f>
        <v/>
      </c>
      <c r="Y169">
        <f>HYPERLINK("https://klasma.github.io/Logging_2039/kartor_geotiff/A 52490-2022 georefererad karta.tif", "A 52490-2022")</f>
        <v/>
      </c>
      <c r="AA169">
        <f>HYPERLINK("https://klasma.github.io/Logging_2039/klagomål/A 52490-2022 FSC-klagomål.docx", "A 52490-2022")</f>
        <v/>
      </c>
      <c r="AB169">
        <f>HYPERLINK("https://klasma.github.io/Logging_2039/klagomålsmail/A 52490-2022 FSC-klagomål mail.docx", "A 52490-2022")</f>
        <v/>
      </c>
      <c r="AC169">
        <f>HYPERLINK("https://klasma.github.io/Logging_2039/tillsyn/A 52490-2022 tillsynsbegäran.docx", "A 52490-2022")</f>
        <v/>
      </c>
      <c r="AD169">
        <f>HYPERLINK("https://klasma.github.io/Logging_2039/tillsynsmail/A 52490-2022 tillsynsbegäran mail.docx", "A 52490-2022")</f>
        <v/>
      </c>
    </row>
    <row r="170" ht="15" customHeight="1">
      <c r="A170" t="inlineStr">
        <is>
          <t>A 25520-2026</t>
        </is>
      </c>
      <c r="B170" t="inlineStr">
        <is>
          <t>avverkningsanmälan</t>
        </is>
      </c>
      <c r="C170" t="inlineStr">
        <is>
          <t>Föryngringsavverkning</t>
        </is>
      </c>
      <c r="D170" s="1" t="n">
        <v>46177</v>
      </c>
      <c r="E170" s="1" t="n">
        <v>46224</v>
      </c>
      <c r="F170" t="inlineStr">
        <is>
          <t>DALARNAS LÄN</t>
        </is>
      </c>
      <c r="G170" t="inlineStr">
        <is>
          <t>ÄLVDALEN</t>
        </is>
      </c>
      <c r="H170" t="inlineStr">
        <is>
          <t>Sveaskog</t>
        </is>
      </c>
      <c r="I170" t="n">
        <v>3.9</v>
      </c>
      <c r="J170" t="n">
        <v>0</v>
      </c>
      <c r="K170" t="n">
        <v>0</v>
      </c>
      <c r="L170" t="n">
        <v>2</v>
      </c>
      <c r="M170" t="n">
        <v>0</v>
      </c>
      <c r="N170" t="n">
        <v>0</v>
      </c>
      <c r="O170" t="n">
        <v>0</v>
      </c>
      <c r="P170" t="n">
        <v>0</v>
      </c>
      <c r="Q170" t="n">
        <v>2</v>
      </c>
      <c r="R170" t="n">
        <v>0</v>
      </c>
      <c r="S170" t="n">
        <v>2</v>
      </c>
      <c r="T170" t="n">
        <v>2</v>
      </c>
      <c r="U170" t="n">
        <v>0</v>
      </c>
      <c r="V170" s="2" t="inlineStr">
        <is>
          <t>Kolflarnlav
Mörk kolflarnlav</t>
        </is>
      </c>
      <c r="W170">
        <f>HYPERLINK("https://klasma.github.io/Logging_2039/artfynd/A 25520-2026 artfynd.xlsx", "A 25520-2026")</f>
        <v/>
      </c>
      <c r="X170">
        <f>HYPERLINK("https://klasma.github.io/Logging_2039/kartor/A 25520-2026 karta.png", "A 25520-2026")</f>
        <v/>
      </c>
      <c r="Y170">
        <f>HYPERLINK("https://klasma.github.io/Logging_2039/kartor_geotiff/A 25520-2026 georefererad karta.tif", "A 25520-2026")</f>
        <v/>
      </c>
      <c r="AA170">
        <f>HYPERLINK("https://klasma.github.io/Logging_2039/klagomål/A 25520-2026 FSC-klagomål.docx", "A 25520-2026")</f>
        <v/>
      </c>
      <c r="AB170">
        <f>HYPERLINK("https://klasma.github.io/Logging_2039/klagomålsmail/A 25520-2026 FSC-klagomål mail.docx", "A 25520-2026")</f>
        <v/>
      </c>
      <c r="AC170">
        <f>HYPERLINK("https://klasma.github.io/Logging_2039/tillsyn/A 25520-2026 tillsynsbegäran.docx", "A 25520-2026")</f>
        <v/>
      </c>
      <c r="AD170">
        <f>HYPERLINK("https://klasma.github.io/Logging_2039/tillsynsmail/A 25520-2026 tillsynsbegäran mail.docx", "A 25520-2026")</f>
        <v/>
      </c>
    </row>
    <row r="171" ht="15" customHeight="1">
      <c r="A171" t="inlineStr">
        <is>
          <t>S 2470-2025</t>
        </is>
      </c>
      <c r="B171" t="inlineStr">
        <is>
          <t>samrådsanmälan</t>
        </is>
      </c>
      <c r="C171" t="inlineStr">
        <is>
          <t>Annan skogsbruksåtgärd</t>
        </is>
      </c>
      <c r="D171" s="1" t="n">
        <v>45902</v>
      </c>
      <c r="E171" s="1" t="n">
        <v>46224</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46224</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46224</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46224</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46224</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22286-2025</t>
        </is>
      </c>
      <c r="B176" t="inlineStr">
        <is>
          <t>avverkningsanmälan</t>
        </is>
      </c>
      <c r="C176" t="inlineStr">
        <is>
          <t>Föryngringsavverkning</t>
        </is>
      </c>
      <c r="D176" s="1" t="n">
        <v>45786</v>
      </c>
      <c r="E176" s="1" t="n">
        <v>46224</v>
      </c>
      <c r="F176" t="inlineStr">
        <is>
          <t>DALARNAS LÄN</t>
        </is>
      </c>
      <c r="G176" t="inlineStr">
        <is>
          <t>ÄLVDALEN</t>
        </is>
      </c>
      <c r="H176" t="inlineStr">
        <is>
          <t>Sveaskog</t>
        </is>
      </c>
      <c r="I176" t="n">
        <v>1.3</v>
      </c>
      <c r="J176" t="n">
        <v>0</v>
      </c>
      <c r="K176" t="n">
        <v>0</v>
      </c>
      <c r="L176" t="n">
        <v>1</v>
      </c>
      <c r="M176" t="n">
        <v>0</v>
      </c>
      <c r="N176" t="n">
        <v>0</v>
      </c>
      <c r="O176" t="n">
        <v>0</v>
      </c>
      <c r="P176" t="n">
        <v>0</v>
      </c>
      <c r="Q176" t="n">
        <v>1</v>
      </c>
      <c r="R176" t="n">
        <v>0</v>
      </c>
      <c r="S176" t="n">
        <v>1</v>
      </c>
      <c r="T176" t="n">
        <v>1</v>
      </c>
      <c r="U176" t="n">
        <v>1</v>
      </c>
      <c r="V176" s="2" t="inlineStr">
        <is>
          <t>Kolflarnlav</t>
        </is>
      </c>
      <c r="W176">
        <f>HYPERLINK("https://klasma.github.io/Logging_2039/artfynd/A 22286-2025 artfynd.xlsx", "A 22286-2025")</f>
        <v/>
      </c>
      <c r="X176">
        <f>HYPERLINK("https://klasma.github.io/Logging_2039/kartor/A 22286-2025 karta.png", "A 22286-2025")</f>
        <v/>
      </c>
      <c r="Y176">
        <f>HYPERLINK("https://klasma.github.io/Logging_2039/kartor_geotiff/A 22286-2025 georefererad karta.tif", "A 22286-2025")</f>
        <v/>
      </c>
      <c r="AA176">
        <f>HYPERLINK("https://klasma.github.io/Logging_2039/klagomål/A 22286-2025 FSC-klagomål.docx", "A 22286-2025")</f>
        <v/>
      </c>
      <c r="AB176">
        <f>HYPERLINK("https://klasma.github.io/Logging_2039/klagomålsmail/A 22286-2025 FSC-klagomål mail.docx", "A 22286-2025")</f>
        <v/>
      </c>
      <c r="AC176">
        <f>HYPERLINK("https://klasma.github.io/Logging_2039/tillsyn/A 22286-2025 tillsynsbegäran.docx", "A 22286-2025")</f>
        <v/>
      </c>
      <c r="AD176">
        <f>HYPERLINK("https://klasma.github.io/Logging_2039/tillsynsmail/A 22286-2025 tillsynsbegäran mail.docx", "A 22286-2025")</f>
        <v/>
      </c>
    </row>
    <row r="177" ht="15" customHeight="1">
      <c r="A177" t="inlineStr">
        <is>
          <t>A 61589-2025</t>
        </is>
      </c>
      <c r="B177" t="inlineStr">
        <is>
          <t>avverkningsanmälan</t>
        </is>
      </c>
      <c r="C177" t="inlineStr">
        <is>
          <t>Föryngringsavverkning</t>
        </is>
      </c>
      <c r="D177" s="1" t="n">
        <v>46002</v>
      </c>
      <c r="E177" s="1" t="n">
        <v>46224</v>
      </c>
      <c r="F177" t="inlineStr">
        <is>
          <t>DALARNAS LÄN</t>
        </is>
      </c>
      <c r="G177" t="inlineStr">
        <is>
          <t>ÄLVDALEN</t>
        </is>
      </c>
      <c r="H177" t="inlineStr">
        <is>
          <t>Sveaskog</t>
        </is>
      </c>
      <c r="I177" t="n">
        <v>2.4</v>
      </c>
      <c r="J177" t="n">
        <v>0</v>
      </c>
      <c r="K177" t="n">
        <v>0</v>
      </c>
      <c r="L177" t="n">
        <v>1</v>
      </c>
      <c r="M177" t="n">
        <v>0</v>
      </c>
      <c r="N177" t="n">
        <v>0</v>
      </c>
      <c r="O177" t="n">
        <v>0</v>
      </c>
      <c r="P177" t="n">
        <v>0</v>
      </c>
      <c r="Q177" t="n">
        <v>1</v>
      </c>
      <c r="R177" t="n">
        <v>0</v>
      </c>
      <c r="S177" t="n">
        <v>1</v>
      </c>
      <c r="T177" t="n">
        <v>1</v>
      </c>
      <c r="U177" t="n">
        <v>0</v>
      </c>
      <c r="V177" s="2" t="inlineStr">
        <is>
          <t>Skrovellav</t>
        </is>
      </c>
      <c r="W177">
        <f>HYPERLINK("https://klasma.github.io/Logging_2039/artfynd/A 61589-2025 artfynd.xlsx", "A 61589-2025")</f>
        <v/>
      </c>
      <c r="X177">
        <f>HYPERLINK("https://klasma.github.io/Logging_2039/kartor/A 61589-2025 karta.png", "A 61589-2025")</f>
        <v/>
      </c>
      <c r="Y177">
        <f>HYPERLINK("https://klasma.github.io/Logging_2039/kartor_geotiff/A 61589-2025 georefererad karta.tif", "A 61589-2025")</f>
        <v/>
      </c>
      <c r="AA177">
        <f>HYPERLINK("https://klasma.github.io/Logging_2039/klagomål/A 61589-2025 FSC-klagomål.docx", "A 61589-2025")</f>
        <v/>
      </c>
      <c r="AB177">
        <f>HYPERLINK("https://klasma.github.io/Logging_2039/klagomålsmail/A 61589-2025 FSC-klagomål mail.docx", "A 61589-2025")</f>
        <v/>
      </c>
      <c r="AC177">
        <f>HYPERLINK("https://klasma.github.io/Logging_2039/tillsyn/A 61589-2025 tillsynsbegäran.docx", "A 61589-2025")</f>
        <v/>
      </c>
      <c r="AD177">
        <f>HYPERLINK("https://klasma.github.io/Logging_2039/tillsynsmail/A 61589-2025 tillsynsbegäran mail.docx", "A 61589-2025")</f>
        <v/>
      </c>
    </row>
    <row r="178" ht="15" customHeight="1">
      <c r="A178" t="inlineStr">
        <is>
          <t>A 40231-2021</t>
        </is>
      </c>
      <c r="B178" t="inlineStr">
        <is>
          <t>avverkningsanmälan</t>
        </is>
      </c>
      <c r="C178" t="inlineStr">
        <is>
          <t>Föryngringsavverkning</t>
        </is>
      </c>
      <c r="D178" s="1" t="n">
        <v>44419</v>
      </c>
      <c r="E178" s="1" t="n">
        <v>46224</v>
      </c>
      <c r="F178" t="inlineStr">
        <is>
          <t>DALARNAS LÄN</t>
        </is>
      </c>
      <c r="G178" t="inlineStr">
        <is>
          <t>ÄLVDALEN</t>
        </is>
      </c>
      <c r="H178" t="inlineStr">
        <is>
          <t>Sveaskog</t>
        </is>
      </c>
      <c r="I178" t="n">
        <v>4.1</v>
      </c>
      <c r="J178" t="n">
        <v>0</v>
      </c>
      <c r="K178" t="n">
        <v>0</v>
      </c>
      <c r="L178" t="n">
        <v>1</v>
      </c>
      <c r="M178" t="n">
        <v>0</v>
      </c>
      <c r="N178" t="n">
        <v>0</v>
      </c>
      <c r="O178" t="n">
        <v>0</v>
      </c>
      <c r="P178" t="n">
        <v>0</v>
      </c>
      <c r="Q178" t="n">
        <v>1</v>
      </c>
      <c r="R178" t="n">
        <v>0</v>
      </c>
      <c r="S178" t="n">
        <v>1</v>
      </c>
      <c r="T178" t="n">
        <v>1</v>
      </c>
      <c r="U178" t="n">
        <v>1</v>
      </c>
      <c r="V178" s="2" t="inlineStr">
        <is>
          <t>Dropptaggsvamp</t>
        </is>
      </c>
      <c r="W178">
        <f>HYPERLINK("https://klasma.github.io/Logging_2039/artfynd/A 40231-2021 artfynd.xlsx", "A 40231-2021")</f>
        <v/>
      </c>
      <c r="X178">
        <f>HYPERLINK("https://klasma.github.io/Logging_2039/kartor/A 40231-2021 karta.png", "A 40231-2021")</f>
        <v/>
      </c>
      <c r="Y178">
        <f>HYPERLINK("https://klasma.github.io/Logging_2039/kartor_geotiff/A 40231-2021 georefererad karta.tif", "A 40231-2021")</f>
        <v/>
      </c>
      <c r="AA178">
        <f>HYPERLINK("https://klasma.github.io/Logging_2039/klagomål/A 40231-2021 FSC-klagomål.docx", "A 40231-2021")</f>
        <v/>
      </c>
      <c r="AB178">
        <f>HYPERLINK("https://klasma.github.io/Logging_2039/klagomålsmail/A 40231-2021 FSC-klagomål mail.docx", "A 40231-2021")</f>
        <v/>
      </c>
      <c r="AC178">
        <f>HYPERLINK("https://klasma.github.io/Logging_2039/tillsyn/A 40231-2021 tillsynsbegäran.docx", "A 40231-2021")</f>
        <v/>
      </c>
      <c r="AD178">
        <f>HYPERLINK("https://klasma.github.io/Logging_2039/tillsynsmail/A 40231-2021 tillsynsbegäran mail.docx", "A 40231-2021")</f>
        <v/>
      </c>
    </row>
    <row r="179" ht="15" customHeight="1">
      <c r="A179" t="inlineStr">
        <is>
          <t>A 19614-2024</t>
        </is>
      </c>
      <c r="B179" t="inlineStr">
        <is>
          <t>avverkningsanmälan</t>
        </is>
      </c>
      <c r="C179" t="inlineStr">
        <is>
          <t>Föryngringsavverkning</t>
        </is>
      </c>
      <c r="D179" s="1" t="n">
        <v>45432</v>
      </c>
      <c r="E179" s="1" t="n">
        <v>46224</v>
      </c>
      <c r="F179" t="inlineStr">
        <is>
          <t>DALARNAS LÄN</t>
        </is>
      </c>
      <c r="G179" t="inlineStr">
        <is>
          <t>ÄLVDALEN</t>
        </is>
      </c>
      <c r="H179" t="inlineStr">
        <is>
          <t>Sveaskog</t>
        </is>
      </c>
      <c r="I179" t="n">
        <v>2.9</v>
      </c>
      <c r="J179" t="n">
        <v>0</v>
      </c>
      <c r="K179" t="n">
        <v>0</v>
      </c>
      <c r="L179" t="n">
        <v>1</v>
      </c>
      <c r="M179" t="n">
        <v>0</v>
      </c>
      <c r="N179" t="n">
        <v>0</v>
      </c>
      <c r="O179" t="n">
        <v>0</v>
      </c>
      <c r="P179" t="n">
        <v>0</v>
      </c>
      <c r="Q179" t="n">
        <v>1</v>
      </c>
      <c r="R179" t="n">
        <v>0</v>
      </c>
      <c r="S179" t="n">
        <v>1</v>
      </c>
      <c r="T179" t="n">
        <v>1</v>
      </c>
      <c r="U179" t="n">
        <v>1</v>
      </c>
      <c r="V179" s="2" t="inlineStr">
        <is>
          <t>Mörk kolflarnlav</t>
        </is>
      </c>
      <c r="W179">
        <f>HYPERLINK("https://klasma.github.io/Logging_2039/artfynd/A 19614-2024 artfynd.xlsx", "A 19614-2024")</f>
        <v/>
      </c>
      <c r="X179">
        <f>HYPERLINK("https://klasma.github.io/Logging_2039/kartor/A 19614-2024 karta.png", "A 19614-2024")</f>
        <v/>
      </c>
      <c r="Y179">
        <f>HYPERLINK("https://klasma.github.io/Logging_2039/kartor_geotiff/A 19614-2024 georefererad karta.tif", "A 19614-2024")</f>
        <v/>
      </c>
      <c r="AA179">
        <f>HYPERLINK("https://klasma.github.io/Logging_2039/klagomål/A 19614-2024 FSC-klagomål.docx", "A 19614-2024")</f>
        <v/>
      </c>
      <c r="AB179">
        <f>HYPERLINK("https://klasma.github.io/Logging_2039/klagomålsmail/A 19614-2024 FSC-klagomål mail.docx", "A 19614-2024")</f>
        <v/>
      </c>
      <c r="AC179">
        <f>HYPERLINK("https://klasma.github.io/Logging_2039/tillsyn/A 19614-2024 tillsynsbegäran.docx", "A 19614-2024")</f>
        <v/>
      </c>
      <c r="AD179">
        <f>HYPERLINK("https://klasma.github.io/Logging_2039/tillsynsmail/A 19614-2024 tillsynsbegäran mail.docx", "A 19614-2024")</f>
        <v/>
      </c>
    </row>
    <row r="180" ht="15" customHeight="1">
      <c r="A180" t="inlineStr">
        <is>
          <t>A 41932-2025</t>
        </is>
      </c>
      <c r="B180" t="inlineStr">
        <is>
          <t>avverkningsanmälan</t>
        </is>
      </c>
      <c r="C180" t="inlineStr">
        <is>
          <t>Avverkning för att bevara och utveckla /försöksver</t>
        </is>
      </c>
      <c r="D180" s="1" t="n">
        <v>45903</v>
      </c>
      <c r="E180" s="1" t="n">
        <v>46224</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27929-2025</t>
        </is>
      </c>
      <c r="B181" t="inlineStr">
        <is>
          <t>avverkningsanmälan</t>
        </is>
      </c>
      <c r="C181" t="inlineStr">
        <is>
          <t>Föryngringsavverkning</t>
        </is>
      </c>
      <c r="D181" s="1" t="n">
        <v>45817</v>
      </c>
      <c r="E181" s="1" t="n">
        <v>46224</v>
      </c>
      <c r="F181" t="inlineStr">
        <is>
          <t>DALARNAS LÄN</t>
        </is>
      </c>
      <c r="G181" t="inlineStr">
        <is>
          <t>ÄLVDALEN</t>
        </is>
      </c>
      <c r="H181" t="inlineStr">
        <is>
          <t>Sveaskog</t>
        </is>
      </c>
      <c r="I181" t="n">
        <v>2.7</v>
      </c>
      <c r="J181" t="n">
        <v>0</v>
      </c>
      <c r="K181" t="n">
        <v>0</v>
      </c>
      <c r="L181" t="n">
        <v>1</v>
      </c>
      <c r="M181" t="n">
        <v>0</v>
      </c>
      <c r="N181" t="n">
        <v>0</v>
      </c>
      <c r="O181" t="n">
        <v>0</v>
      </c>
      <c r="P181" t="n">
        <v>0</v>
      </c>
      <c r="Q181" t="n">
        <v>1</v>
      </c>
      <c r="R181" t="n">
        <v>0</v>
      </c>
      <c r="S181" t="n">
        <v>1</v>
      </c>
      <c r="T181" t="n">
        <v>2</v>
      </c>
      <c r="U181" t="n">
        <v>0</v>
      </c>
      <c r="V181" s="2" t="inlineStr">
        <is>
          <t>Dropptaggsvamp</t>
        </is>
      </c>
      <c r="W181">
        <f>HYPERLINK("https://klasma.github.io/Logging_2039/artfynd/A 27929-2025 artfynd.xlsx", "A 27929-2025")</f>
        <v/>
      </c>
      <c r="X181">
        <f>HYPERLINK("https://klasma.github.io/Logging_2039/kartor/A 27929-2025 karta.png", "A 27929-2025")</f>
        <v/>
      </c>
      <c r="Y181">
        <f>HYPERLINK("https://klasma.github.io/Logging_2039/kartor_geotiff/A 27929-2025 georefererad karta.tif", "A 27929-2025")</f>
        <v/>
      </c>
      <c r="AA181">
        <f>HYPERLINK("https://klasma.github.io/Logging_2039/klagomål/A 27929-2025 FSC-klagomål.docx", "A 27929-2025")</f>
        <v/>
      </c>
      <c r="AB181">
        <f>HYPERLINK("https://klasma.github.io/Logging_2039/klagomålsmail/A 27929-2025 FSC-klagomål mail.docx", "A 27929-2025")</f>
        <v/>
      </c>
      <c r="AC181">
        <f>HYPERLINK("https://klasma.github.io/Logging_2039/tillsyn/A 27929-2025 tillsynsbegäran.docx", "A 27929-2025")</f>
        <v/>
      </c>
      <c r="AD181">
        <f>HYPERLINK("https://klasma.github.io/Logging_2039/tillsynsmail/A 27929-2025 tillsynsbegäran mail.docx", "A 27929-2025")</f>
        <v/>
      </c>
    </row>
    <row r="182" ht="15" customHeight="1">
      <c r="A182" t="inlineStr">
        <is>
          <t>A 42649-2023</t>
        </is>
      </c>
      <c r="B182" t="inlineStr">
        <is>
          <t>avverkningsanmälan</t>
        </is>
      </c>
      <c r="C182" t="inlineStr">
        <is>
          <t>Föryngringsavverkning</t>
        </is>
      </c>
      <c r="D182" s="1" t="n">
        <v>45181</v>
      </c>
      <c r="E182" s="1" t="n">
        <v>46224</v>
      </c>
      <c r="F182" t="inlineStr">
        <is>
          <t>DALARNAS LÄN</t>
        </is>
      </c>
      <c r="G182" t="inlineStr">
        <is>
          <t>ÄLVDALEN</t>
        </is>
      </c>
      <c r="I182" t="n">
        <v>5.3</v>
      </c>
      <c r="J182" t="n">
        <v>0</v>
      </c>
      <c r="K182" t="n">
        <v>0</v>
      </c>
      <c r="L182" t="n">
        <v>1</v>
      </c>
      <c r="M182" t="n">
        <v>0</v>
      </c>
      <c r="N182" t="n">
        <v>0</v>
      </c>
      <c r="O182" t="n">
        <v>0</v>
      </c>
      <c r="P182" t="n">
        <v>0</v>
      </c>
      <c r="Q182" t="n">
        <v>1</v>
      </c>
      <c r="R182" t="n">
        <v>0</v>
      </c>
      <c r="S182" t="n">
        <v>1</v>
      </c>
      <c r="T182" t="n">
        <v>1</v>
      </c>
      <c r="U182" t="n">
        <v>1</v>
      </c>
      <c r="V182" s="2" t="inlineStr">
        <is>
          <t>Blå taggsvamp</t>
        </is>
      </c>
      <c r="W182">
        <f>HYPERLINK("https://klasma.github.io/Logging_2039/artfynd/A 42649-2023 artfynd.xlsx", "A 42649-2023")</f>
        <v/>
      </c>
      <c r="X182">
        <f>HYPERLINK("https://klasma.github.io/Logging_2039/kartor/A 42649-2023 karta.png", "A 42649-2023")</f>
        <v/>
      </c>
      <c r="Y182">
        <f>HYPERLINK("https://klasma.github.io/Logging_2039/kartor_geotiff/A 42649-2023 georefererad karta.tif", "A 42649-2023")</f>
        <v/>
      </c>
      <c r="AA182">
        <f>HYPERLINK("https://klasma.github.io/Logging_2039/klagomål/A 42649-2023 FSC-klagomål.docx", "A 42649-2023")</f>
        <v/>
      </c>
      <c r="AB182">
        <f>HYPERLINK("https://klasma.github.io/Logging_2039/klagomålsmail/A 42649-2023 FSC-klagomål mail.docx", "A 42649-2023")</f>
        <v/>
      </c>
      <c r="AC182">
        <f>HYPERLINK("https://klasma.github.io/Logging_2039/tillsyn/A 42649-2023 tillsynsbegäran.docx", "A 42649-2023")</f>
        <v/>
      </c>
      <c r="AD182">
        <f>HYPERLINK("https://klasma.github.io/Logging_2039/tillsynsmail/A 42649-2023 tillsynsbegäran mail.docx", "A 42649-2023")</f>
        <v/>
      </c>
    </row>
    <row r="183" ht="15" customHeight="1">
      <c r="A183" t="inlineStr">
        <is>
          <t>A 49141-2025</t>
        </is>
      </c>
      <c r="B183" t="inlineStr">
        <is>
          <t>avverkningsanmälan</t>
        </is>
      </c>
      <c r="C183" t="inlineStr">
        <is>
          <t>Föryngringsavverkning</t>
        </is>
      </c>
      <c r="D183" s="1" t="n">
        <v>45938</v>
      </c>
      <c r="E183" s="1" t="n">
        <v>46224</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35352-2025</t>
        </is>
      </c>
      <c r="B184" t="inlineStr">
        <is>
          <t>avverkningsanmälan</t>
        </is>
      </c>
      <c r="C184" t="inlineStr">
        <is>
          <t>Avverkning för annat ändamål</t>
        </is>
      </c>
      <c r="D184" s="1" t="n">
        <v>45853</v>
      </c>
      <c r="E184" s="1" t="n">
        <v>46224</v>
      </c>
      <c r="F184" t="inlineStr">
        <is>
          <t>DALARNAS LÄN</t>
        </is>
      </c>
      <c r="G184" t="inlineStr">
        <is>
          <t>ÄLVDALEN</t>
        </is>
      </c>
      <c r="H184" t="inlineStr">
        <is>
          <t>Sveaskog</t>
        </is>
      </c>
      <c r="I184" t="n">
        <v>0.7</v>
      </c>
      <c r="J184" t="n">
        <v>0</v>
      </c>
      <c r="K184" t="n">
        <v>0</v>
      </c>
      <c r="L184" t="n">
        <v>0</v>
      </c>
      <c r="M184" t="n">
        <v>1</v>
      </c>
      <c r="N184" t="n">
        <v>0</v>
      </c>
      <c r="O184" t="n">
        <v>0</v>
      </c>
      <c r="P184" t="n">
        <v>0</v>
      </c>
      <c r="Q184" t="n">
        <v>1</v>
      </c>
      <c r="R184" t="n">
        <v>1</v>
      </c>
      <c r="S184" t="n">
        <v>1</v>
      </c>
      <c r="T184" t="n">
        <v>1</v>
      </c>
      <c r="U184" t="n">
        <v>0</v>
      </c>
      <c r="V184" s="2" t="inlineStr">
        <is>
          <t>Gräddporing</t>
        </is>
      </c>
      <c r="W184">
        <f>HYPERLINK("https://klasma.github.io/Logging_2039/artfynd/A 35352-2025 artfynd.xlsx", "A 35352-2025")</f>
        <v/>
      </c>
      <c r="X184">
        <f>HYPERLINK("https://klasma.github.io/Logging_2039/kartor/A 35352-2025 karta.png", "A 35352-2025")</f>
        <v/>
      </c>
      <c r="Y184">
        <f>HYPERLINK("https://klasma.github.io/Logging_2039/kartor_geotiff/A 35352-2025 georefererad karta.tif", "A 35352-2025")</f>
        <v/>
      </c>
      <c r="AA184">
        <f>HYPERLINK("https://klasma.github.io/Logging_2039/klagomål/A 35352-2025 FSC-klagomål.docx", "A 35352-2025")</f>
        <v/>
      </c>
      <c r="AB184">
        <f>HYPERLINK("https://klasma.github.io/Logging_2039/klagomålsmail/A 35352-2025 FSC-klagomål mail.docx", "A 35352-2025")</f>
        <v/>
      </c>
      <c r="AC184">
        <f>HYPERLINK("https://klasma.github.io/Logging_2039/tillsyn/A 35352-2025 tillsynsbegäran.docx", "A 35352-2025")</f>
        <v/>
      </c>
      <c r="AD184">
        <f>HYPERLINK("https://klasma.github.io/Logging_2039/tillsynsmail/A 35352-2025 tillsynsbegäran mail.docx", "A 35352-2025")</f>
        <v/>
      </c>
    </row>
    <row r="185" ht="15" customHeight="1">
      <c r="A185" t="inlineStr">
        <is>
          <t>A 31145-2024</t>
        </is>
      </c>
      <c r="B185" t="inlineStr">
        <is>
          <t>avverkningsanmälan</t>
        </is>
      </c>
      <c r="C185" t="inlineStr">
        <is>
          <t>Föryngringsavverkning</t>
        </is>
      </c>
      <c r="D185" s="1" t="n">
        <v>45502</v>
      </c>
      <c r="E185" s="1" t="n">
        <v>46224</v>
      </c>
      <c r="F185" t="inlineStr">
        <is>
          <t>DALARNAS LÄN</t>
        </is>
      </c>
      <c r="G185" t="inlineStr">
        <is>
          <t>ÄLVDALEN</t>
        </is>
      </c>
      <c r="I185" t="n">
        <v>1.2</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HYPERLINK("https://klasma.github.io/Logging_2039/artfynd/A 31145-2024 artfynd.xlsx", "A 31145-2024")</f>
        <v/>
      </c>
      <c r="X185">
        <f>HYPERLINK("https://klasma.github.io/Logging_2039/kartor/A 31145-2024 karta.png", "A 31145-2024")</f>
        <v/>
      </c>
      <c r="Y185">
        <f>HYPERLINK("https://klasma.github.io/Logging_2039/kartor_geotiff/A 31145-2024 georefererad karta.tif", "A 31145-2024")</f>
        <v/>
      </c>
      <c r="AA185">
        <f>HYPERLINK("https://klasma.github.io/Logging_2039/klagomål/A 31145-2024 FSC-klagomål.docx", "A 31145-2024")</f>
        <v/>
      </c>
      <c r="AB185">
        <f>HYPERLINK("https://klasma.github.io/Logging_2039/klagomålsmail/A 31145-2024 FSC-klagomål mail.docx", "A 31145-2024")</f>
        <v/>
      </c>
      <c r="AC185">
        <f>HYPERLINK("https://klasma.github.io/Logging_2039/tillsyn/A 31145-2024 tillsynsbegäran.docx", "A 31145-2024")</f>
        <v/>
      </c>
      <c r="AD185">
        <f>HYPERLINK("https://klasma.github.io/Logging_2039/tillsynsmail/A 31145-2024 tillsynsbegäran mail.docx", "A 31145-2024")</f>
        <v/>
      </c>
      <c r="AE185">
        <f>HYPERLINK("https://klasma.github.io/Logging_2039/fåglar/A 31145-2024 prioriterade fågelarter.docx", "A 31145-2024")</f>
        <v/>
      </c>
    </row>
    <row r="186" ht="15" customHeight="1">
      <c r="A186" t="inlineStr">
        <is>
          <t>A 19578-2025</t>
        </is>
      </c>
      <c r="B186" t="inlineStr">
        <is>
          <t>avverkningsanmälan</t>
        </is>
      </c>
      <c r="C186" t="inlineStr">
        <is>
          <t>Föryngringsavverkning</t>
        </is>
      </c>
      <c r="D186" s="1" t="n">
        <v>45770</v>
      </c>
      <c r="E186" s="1" t="n">
        <v>46224</v>
      </c>
      <c r="F186" t="inlineStr">
        <is>
          <t>DALARNAS LÄN</t>
        </is>
      </c>
      <c r="G186" t="inlineStr">
        <is>
          <t>ÄLVDALEN</t>
        </is>
      </c>
      <c r="H186" t="inlineStr">
        <is>
          <t>Sveaskog</t>
        </is>
      </c>
      <c r="I186" t="n">
        <v>15.2</v>
      </c>
      <c r="J186" t="n">
        <v>0</v>
      </c>
      <c r="K186" t="n">
        <v>0</v>
      </c>
      <c r="L186" t="n">
        <v>1</v>
      </c>
      <c r="M186" t="n">
        <v>0</v>
      </c>
      <c r="N186" t="n">
        <v>0</v>
      </c>
      <c r="O186" t="n">
        <v>0</v>
      </c>
      <c r="P186" t="n">
        <v>0</v>
      </c>
      <c r="Q186" t="n">
        <v>1</v>
      </c>
      <c r="R186" t="n">
        <v>0</v>
      </c>
      <c r="S186" t="n">
        <v>1</v>
      </c>
      <c r="T186" t="n">
        <v>1</v>
      </c>
      <c r="U186" t="n">
        <v>0</v>
      </c>
      <c r="V186" s="2" t="inlineStr">
        <is>
          <t>Orange taggsvamp</t>
        </is>
      </c>
      <c r="W186">
        <f>HYPERLINK("https://klasma.github.io/Logging_2039/artfynd/A 19578-2025 artfynd.xlsx", "A 19578-2025")</f>
        <v/>
      </c>
      <c r="X186">
        <f>HYPERLINK("https://klasma.github.io/Logging_2039/kartor/A 19578-2025 karta.png", "A 19578-2025")</f>
        <v/>
      </c>
      <c r="Y186">
        <f>HYPERLINK("https://klasma.github.io/Logging_2039/kartor_geotiff/A 19578-2025 georefererad karta.tif", "A 19578-2025")</f>
        <v/>
      </c>
      <c r="AA186">
        <f>HYPERLINK("https://klasma.github.io/Logging_2039/klagomål/A 19578-2025 FSC-klagomål.docx", "A 19578-2025")</f>
        <v/>
      </c>
      <c r="AB186">
        <f>HYPERLINK("https://klasma.github.io/Logging_2039/klagomålsmail/A 19578-2025 FSC-klagomål mail.docx", "A 19578-2025")</f>
        <v/>
      </c>
      <c r="AC186">
        <f>HYPERLINK("https://klasma.github.io/Logging_2039/tillsyn/A 19578-2025 tillsynsbegäran.docx", "A 19578-2025")</f>
        <v/>
      </c>
      <c r="AD186">
        <f>HYPERLINK("https://klasma.github.io/Logging_2039/tillsynsmail/A 19578-2025 tillsynsbegäran mail.docx", "A 19578-2025")</f>
        <v/>
      </c>
    </row>
    <row r="187" ht="15" customHeight="1">
      <c r="A187" t="inlineStr">
        <is>
          <t>A 43990-2024</t>
        </is>
      </c>
      <c r="B187" t="inlineStr">
        <is>
          <t>avverkningsanmälan</t>
        </is>
      </c>
      <c r="C187" t="inlineStr">
        <is>
          <t>Avverkning för annat ändamål</t>
        </is>
      </c>
      <c r="D187" s="1" t="n">
        <v>45572</v>
      </c>
      <c r="E187" s="1" t="n">
        <v>46224</v>
      </c>
      <c r="F187" t="inlineStr">
        <is>
          <t>DALARNAS LÄN</t>
        </is>
      </c>
      <c r="G187" t="inlineStr">
        <is>
          <t>ÄLVDALEN</t>
        </is>
      </c>
      <c r="H187" t="inlineStr">
        <is>
          <t>Kommuner</t>
        </is>
      </c>
      <c r="I187" t="n">
        <v>0</v>
      </c>
      <c r="J187" t="n">
        <v>1</v>
      </c>
      <c r="K187" t="n">
        <v>0</v>
      </c>
      <c r="L187" t="n">
        <v>1</v>
      </c>
      <c r="M187" t="n">
        <v>0</v>
      </c>
      <c r="N187" t="n">
        <v>0</v>
      </c>
      <c r="O187" t="n">
        <v>0</v>
      </c>
      <c r="P187" t="n">
        <v>0</v>
      </c>
      <c r="Q187" t="n">
        <v>1</v>
      </c>
      <c r="R187" t="n">
        <v>0</v>
      </c>
      <c r="S187" t="n">
        <v>1</v>
      </c>
      <c r="T187" t="n">
        <v>1</v>
      </c>
      <c r="U187" t="n">
        <v>0</v>
      </c>
      <c r="V187" s="2" t="inlineStr">
        <is>
          <t>Björktrast</t>
        </is>
      </c>
      <c r="W187">
        <f>HYPERLINK("https://klasma.github.io/Logging_2039/artfynd/A 43990-2024 artfynd.xlsx", "A 43990-2024")</f>
        <v/>
      </c>
      <c r="X187">
        <f>HYPERLINK("https://klasma.github.io/Logging_2039/kartor/A 43990-2024 karta.png", "A 43990-2024")</f>
        <v/>
      </c>
      <c r="Y187">
        <f>HYPERLINK("https://klasma.github.io/Logging_2039/kartor_geotiff/A 43990-2024 georefererad karta.tif", "A 43990-2024")</f>
        <v/>
      </c>
      <c r="AA187">
        <f>HYPERLINK("https://klasma.github.io/Logging_2039/klagomål/A 43990-2024 FSC-klagomål.docx", "A 43990-2024")</f>
        <v/>
      </c>
      <c r="AB187">
        <f>HYPERLINK("https://klasma.github.io/Logging_2039/klagomålsmail/A 43990-2024 FSC-klagomål mail.docx", "A 43990-2024")</f>
        <v/>
      </c>
      <c r="AC187">
        <f>HYPERLINK("https://klasma.github.io/Logging_2039/tillsyn/A 43990-2024 tillsynsbegäran.docx", "A 43990-2024")</f>
        <v/>
      </c>
      <c r="AD187">
        <f>HYPERLINK("https://klasma.github.io/Logging_2039/tillsynsmail/A 43990-2024 tillsynsbegäran mail.docx", "A 43990-2024")</f>
        <v/>
      </c>
      <c r="AE187">
        <f>HYPERLINK("https://klasma.github.io/Logging_2039/fåglar/A 43990-2024 prioriterade fågelarter.docx", "A 43990-2024")</f>
        <v/>
      </c>
    </row>
    <row r="188" ht="15" customHeight="1">
      <c r="A188" t="inlineStr">
        <is>
          <t>A 36593-2023</t>
        </is>
      </c>
      <c r="B188" t="inlineStr">
        <is>
          <t>avverkningsanmälan</t>
        </is>
      </c>
      <c r="C188" t="inlineStr">
        <is>
          <t>Föryngringsavverkning</t>
        </is>
      </c>
      <c r="D188" s="1" t="n">
        <v>45153</v>
      </c>
      <c r="E188" s="1" t="n">
        <v>46224</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59380-2025</t>
        </is>
      </c>
      <c r="B189" t="inlineStr">
        <is>
          <t>avverkningsanmälan</t>
        </is>
      </c>
      <c r="C189" t="inlineStr">
        <is>
          <t>Föryngringsavverkning</t>
        </is>
      </c>
      <c r="D189" s="1" t="n">
        <v>45989</v>
      </c>
      <c r="E189" s="1" t="n">
        <v>46224</v>
      </c>
      <c r="F189" t="inlineStr">
        <is>
          <t>DALARNAS LÄN</t>
        </is>
      </c>
      <c r="G189" t="inlineStr">
        <is>
          <t>ÄLVDALEN</t>
        </is>
      </c>
      <c r="H189" t="inlineStr">
        <is>
          <t>Sveaskog</t>
        </is>
      </c>
      <c r="I189" t="n">
        <v>1.1</v>
      </c>
      <c r="J189" t="n">
        <v>0</v>
      </c>
      <c r="K189" t="n">
        <v>0</v>
      </c>
      <c r="L189" t="n">
        <v>1</v>
      </c>
      <c r="M189" t="n">
        <v>0</v>
      </c>
      <c r="N189" t="n">
        <v>0</v>
      </c>
      <c r="O189" t="n">
        <v>0</v>
      </c>
      <c r="P189" t="n">
        <v>0</v>
      </c>
      <c r="Q189" t="n">
        <v>1</v>
      </c>
      <c r="R189" t="n">
        <v>0</v>
      </c>
      <c r="S189" t="n">
        <v>1</v>
      </c>
      <c r="T189" t="n">
        <v>2</v>
      </c>
      <c r="U189" t="n">
        <v>0</v>
      </c>
      <c r="V189" s="2" t="inlineStr">
        <is>
          <t>Lunglav</t>
        </is>
      </c>
      <c r="W189">
        <f>HYPERLINK("https://klasma.github.io/Logging_2039/artfynd/A 59380-2025 artfynd.xlsx", "A 59380-2025")</f>
        <v/>
      </c>
      <c r="X189">
        <f>HYPERLINK("https://klasma.github.io/Logging_2039/kartor/A 59380-2025 karta.png", "A 59380-2025")</f>
        <v/>
      </c>
      <c r="Y189">
        <f>HYPERLINK("https://klasma.github.io/Logging_2039/kartor_geotiff/A 59380-2025 georefererad karta.tif", "A 59380-2025")</f>
        <v/>
      </c>
      <c r="AA189">
        <f>HYPERLINK("https://klasma.github.io/Logging_2039/klagomål/A 59380-2025 FSC-klagomål.docx", "A 59380-2025")</f>
        <v/>
      </c>
      <c r="AB189">
        <f>HYPERLINK("https://klasma.github.io/Logging_2039/klagomålsmail/A 59380-2025 FSC-klagomål mail.docx", "A 59380-2025")</f>
        <v/>
      </c>
      <c r="AC189">
        <f>HYPERLINK("https://klasma.github.io/Logging_2039/tillsyn/A 59380-2025 tillsynsbegäran.docx", "A 59380-2025")</f>
        <v/>
      </c>
      <c r="AD189">
        <f>HYPERLINK("https://klasma.github.io/Logging_2039/tillsynsmail/A 59380-2025 tillsynsbegäran mail.docx", "A 59380-2025")</f>
        <v/>
      </c>
    </row>
    <row r="190" ht="15" customHeight="1">
      <c r="A190" t="inlineStr">
        <is>
          <t>A 60082-2025</t>
        </is>
      </c>
      <c r="B190" t="inlineStr">
        <is>
          <t>avverkningsanmälan</t>
        </is>
      </c>
      <c r="C190" t="inlineStr">
        <is>
          <t>Föryngringsavverkning</t>
        </is>
      </c>
      <c r="D190" s="1" t="n">
        <v>45993</v>
      </c>
      <c r="E190" s="1" t="n">
        <v>46224</v>
      </c>
      <c r="F190" t="inlineStr">
        <is>
          <t>DALARNAS LÄN</t>
        </is>
      </c>
      <c r="G190" t="inlineStr">
        <is>
          <t>ÄLVDALEN</t>
        </is>
      </c>
      <c r="I190" t="n">
        <v>7.5</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HYPERLINK("https://klasma.github.io/Logging_2039/artfynd/A 60082-2025 artfynd.xlsx", "A 60082-2025")</f>
        <v/>
      </c>
      <c r="X190">
        <f>HYPERLINK("https://klasma.github.io/Logging_2039/kartor/A 60082-2025 karta.png", "A 60082-2025")</f>
        <v/>
      </c>
      <c r="Y190">
        <f>HYPERLINK("https://klasma.github.io/Logging_2039/kartor_geotiff/A 60082-2025 georefererad karta.tif", "A 60082-2025")</f>
        <v/>
      </c>
      <c r="AA190">
        <f>HYPERLINK("https://klasma.github.io/Logging_2039/klagomål/A 60082-2025 FSC-klagomål.docx", "A 60082-2025")</f>
        <v/>
      </c>
      <c r="AB190">
        <f>HYPERLINK("https://klasma.github.io/Logging_2039/klagomålsmail/A 60082-2025 FSC-klagomål mail.docx", "A 60082-2025")</f>
        <v/>
      </c>
      <c r="AC190">
        <f>HYPERLINK("https://klasma.github.io/Logging_2039/tillsyn/A 60082-2025 tillsynsbegäran.docx", "A 60082-2025")</f>
        <v/>
      </c>
      <c r="AD190">
        <f>HYPERLINK("https://klasma.github.io/Logging_2039/tillsynsmail/A 60082-2025 tillsynsbegäran mail.docx", "A 60082-2025")</f>
        <v/>
      </c>
    </row>
    <row r="191" ht="15" customHeight="1">
      <c r="A191" t="inlineStr">
        <is>
          <t>A 7273-2026</t>
        </is>
      </c>
      <c r="B191" t="inlineStr">
        <is>
          <t>avverkningsanmälan</t>
        </is>
      </c>
      <c r="C191" t="inlineStr">
        <is>
          <t>Föryngringsavverkning</t>
        </is>
      </c>
      <c r="D191" s="1" t="n">
        <v>46058</v>
      </c>
      <c r="E191" s="1" t="n">
        <v>46224</v>
      </c>
      <c r="F191" t="inlineStr">
        <is>
          <t>DALARNAS LÄN</t>
        </is>
      </c>
      <c r="G191" t="inlineStr">
        <is>
          <t>ÄLVDALEN</t>
        </is>
      </c>
      <c r="I191" t="n">
        <v>0.9</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HYPERLINK("https://klasma.github.io/Logging_2039/artfynd/A 7273-2026 artfynd.xlsx", "A 7273-2026")</f>
        <v/>
      </c>
      <c r="X191">
        <f>HYPERLINK("https://klasma.github.io/Logging_2039/kartor/A 7273-2026 karta.png", "A 7273-2026")</f>
        <v/>
      </c>
      <c r="Y191">
        <f>HYPERLINK("https://klasma.github.io/Logging_2039/kartor_geotiff/A 7273-2026 georefererad karta.tif", "A 7273-2026")</f>
        <v/>
      </c>
      <c r="AA191">
        <f>HYPERLINK("https://klasma.github.io/Logging_2039/klagomål/A 7273-2026 FSC-klagomål.docx", "A 7273-2026")</f>
        <v/>
      </c>
      <c r="AB191">
        <f>HYPERLINK("https://klasma.github.io/Logging_2039/klagomålsmail/A 7273-2026 FSC-klagomål mail.docx", "A 7273-2026")</f>
        <v/>
      </c>
      <c r="AC191">
        <f>HYPERLINK("https://klasma.github.io/Logging_2039/tillsyn/A 7273-2026 tillsynsbegäran.docx", "A 7273-2026")</f>
        <v/>
      </c>
      <c r="AD191">
        <f>HYPERLINK("https://klasma.github.io/Logging_2039/tillsynsmail/A 7273-2026 tillsynsbegäran mail.docx", "A 7273-2026")</f>
        <v/>
      </c>
      <c r="AE191">
        <f>HYPERLINK("https://klasma.github.io/Logging_2039/fåglar/A 7273-2026 prioriterade fågelarter.docx", "A 7273-2026")</f>
        <v/>
      </c>
    </row>
    <row r="192" ht="15" customHeight="1">
      <c r="A192" t="inlineStr">
        <is>
          <t>A 55062-2022</t>
        </is>
      </c>
      <c r="B192" t="inlineStr">
        <is>
          <t>avverkningsanmälan</t>
        </is>
      </c>
      <c r="C192" t="inlineStr">
        <is>
          <t>Avverkning för annat ändamål</t>
        </is>
      </c>
      <c r="D192" s="1" t="n">
        <v>44881</v>
      </c>
      <c r="E192" s="1" t="n">
        <v>46224</v>
      </c>
      <c r="F192" t="inlineStr">
        <is>
          <t>DALARNAS LÄN</t>
        </is>
      </c>
      <c r="G192" t="inlineStr">
        <is>
          <t>ÄLVDALEN</t>
        </is>
      </c>
      <c r="H192" t="inlineStr">
        <is>
          <t>Övriga statliga verk och myndigheter</t>
        </is>
      </c>
      <c r="I192" t="n">
        <v>28.1</v>
      </c>
      <c r="J192" t="n">
        <v>1</v>
      </c>
      <c r="K192" t="n">
        <v>0</v>
      </c>
      <c r="L192" t="n">
        <v>0</v>
      </c>
      <c r="M192" t="n">
        <v>0</v>
      </c>
      <c r="N192" t="n">
        <v>0</v>
      </c>
      <c r="O192" t="n">
        <v>0</v>
      </c>
      <c r="P192" t="n">
        <v>0</v>
      </c>
      <c r="Q192" t="n">
        <v>0</v>
      </c>
      <c r="R192" t="n">
        <v>0</v>
      </c>
      <c r="S192" t="n">
        <v>1</v>
      </c>
      <c r="T192" t="n">
        <v>1</v>
      </c>
      <c r="U192" t="n">
        <v>0</v>
      </c>
      <c r="V192" s="2" t="inlineStr">
        <is>
          <t>Utter</t>
        </is>
      </c>
      <c r="W192">
        <f>HYPERLINK("https://klasma.github.io/Logging_2039/artfynd/A 55062-2022 artfynd.xlsx", "A 55062-2022")</f>
        <v/>
      </c>
      <c r="X192">
        <f>HYPERLINK("https://klasma.github.io/Logging_2039/kartor/A 55062-2022 karta.png", "A 55062-2022")</f>
        <v/>
      </c>
      <c r="Y192">
        <f>HYPERLINK("https://klasma.github.io/Logging_2039/kartor_geotiff/A 55062-2022 georefererad karta.tif", "A 55062-2022")</f>
        <v/>
      </c>
      <c r="AA192">
        <f>HYPERLINK("https://klasma.github.io/Logging_2039/klagomål/A 55062-2022 FSC-klagomål.docx", "A 55062-2022")</f>
        <v/>
      </c>
      <c r="AB192">
        <f>HYPERLINK("https://klasma.github.io/Logging_2039/klagomålsmail/A 55062-2022 FSC-klagomål mail.docx", "A 55062-2022")</f>
        <v/>
      </c>
      <c r="AC192">
        <f>HYPERLINK("https://klasma.github.io/Logging_2039/tillsyn/A 55062-2022 tillsynsbegäran.docx", "A 55062-2022")</f>
        <v/>
      </c>
      <c r="AD192">
        <f>HYPERLINK("https://klasma.github.io/Logging_2039/tillsynsmail/A 55062-2022 tillsynsbegäran mail.docx", "A 55062-2022")</f>
        <v/>
      </c>
    </row>
    <row r="193" ht="15" customHeight="1">
      <c r="A193" t="inlineStr">
        <is>
          <t>A 18584-2026</t>
        </is>
      </c>
      <c r="B193" t="inlineStr">
        <is>
          <t>avverkningsanmälan</t>
        </is>
      </c>
      <c r="C193" t="inlineStr">
        <is>
          <t>Föryngringsavverkning</t>
        </is>
      </c>
      <c r="D193" s="1" t="n">
        <v>46127</v>
      </c>
      <c r="E193" s="1" t="n">
        <v>46224</v>
      </c>
      <c r="F193" t="inlineStr">
        <is>
          <t>DALARNAS LÄN</t>
        </is>
      </c>
      <c r="G193" t="inlineStr">
        <is>
          <t>ÄLVDALEN</t>
        </is>
      </c>
      <c r="H193" t="inlineStr">
        <is>
          <t>Sveaskog</t>
        </is>
      </c>
      <c r="I193" t="n">
        <v>1.9</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18584-2026 artfynd.xlsx", "A 18584-2026")</f>
        <v/>
      </c>
      <c r="X193">
        <f>HYPERLINK("https://klasma.github.io/Logging_2039/kartor/A 18584-2026 karta.png", "A 18584-2026")</f>
        <v/>
      </c>
      <c r="Y193">
        <f>HYPERLINK("https://klasma.github.io/Logging_2039/kartor_geotiff/A 18584-2026 georefererad karta.tif", "A 18584-2026")</f>
        <v/>
      </c>
      <c r="AA193">
        <f>HYPERLINK("https://klasma.github.io/Logging_2039/klagomål/A 18584-2026 FSC-klagomål.docx", "A 18584-2026")</f>
        <v/>
      </c>
      <c r="AB193">
        <f>HYPERLINK("https://klasma.github.io/Logging_2039/klagomålsmail/A 18584-2026 FSC-klagomål mail.docx", "A 18584-2026")</f>
        <v/>
      </c>
      <c r="AC193">
        <f>HYPERLINK("https://klasma.github.io/Logging_2039/tillsyn/A 18584-2026 tillsynsbegäran.docx", "A 18584-2026")</f>
        <v/>
      </c>
      <c r="AD193">
        <f>HYPERLINK("https://klasma.github.io/Logging_2039/tillsynsmail/A 18584-2026 tillsynsbegäran mail.docx", "A 18584-2026")</f>
        <v/>
      </c>
    </row>
    <row r="194" ht="15" customHeight="1">
      <c r="A194" t="inlineStr">
        <is>
          <t>A 52249-2022</t>
        </is>
      </c>
      <c r="B194" t="inlineStr">
        <is>
          <t>avverkningsanmälan</t>
        </is>
      </c>
      <c r="C194" t="inlineStr">
        <is>
          <t>Avverkning för annat ändamål</t>
        </is>
      </c>
      <c r="D194" s="1" t="n">
        <v>44873</v>
      </c>
      <c r="E194" s="1" t="n">
        <v>46224</v>
      </c>
      <c r="F194" t="inlineStr">
        <is>
          <t>DALARNAS LÄN</t>
        </is>
      </c>
      <c r="G194" t="inlineStr">
        <is>
          <t>ÄLVDALEN</t>
        </is>
      </c>
      <c r="H194" t="inlineStr">
        <is>
          <t>Sveaskog</t>
        </is>
      </c>
      <c r="I194" t="n">
        <v>0.4</v>
      </c>
      <c r="J194" t="n">
        <v>0</v>
      </c>
      <c r="K194" t="n">
        <v>0</v>
      </c>
      <c r="L194" t="n">
        <v>1</v>
      </c>
      <c r="M194" t="n">
        <v>0</v>
      </c>
      <c r="N194" t="n">
        <v>0</v>
      </c>
      <c r="O194" t="n">
        <v>0</v>
      </c>
      <c r="P194" t="n">
        <v>0</v>
      </c>
      <c r="Q194" t="n">
        <v>1</v>
      </c>
      <c r="R194" t="n">
        <v>0</v>
      </c>
      <c r="S194" t="n">
        <v>1</v>
      </c>
      <c r="T194" t="n">
        <v>1</v>
      </c>
      <c r="U194" t="n">
        <v>0</v>
      </c>
      <c r="V194" s="2" t="inlineStr">
        <is>
          <t>Älg</t>
        </is>
      </c>
      <c r="W194">
        <f>HYPERLINK("https://klasma.github.io/Logging_2039/artfynd/A 52249-2022 artfynd.xlsx", "A 52249-2022")</f>
        <v/>
      </c>
      <c r="X194">
        <f>HYPERLINK("https://klasma.github.io/Logging_2039/kartor/A 52249-2022 karta.png", "A 52249-2022")</f>
        <v/>
      </c>
      <c r="Y194">
        <f>HYPERLINK("https://klasma.github.io/Logging_2039/kartor_geotiff/A 52249-2022 georefererad karta.tif", "A 52249-2022")</f>
        <v/>
      </c>
      <c r="AA194">
        <f>HYPERLINK("https://klasma.github.io/Logging_2039/klagomål/A 52249-2022 FSC-klagomål.docx", "A 52249-2022")</f>
        <v/>
      </c>
      <c r="AB194">
        <f>HYPERLINK("https://klasma.github.io/Logging_2039/klagomålsmail/A 52249-2022 FSC-klagomål mail.docx", "A 52249-2022")</f>
        <v/>
      </c>
      <c r="AC194">
        <f>HYPERLINK("https://klasma.github.io/Logging_2039/tillsyn/A 52249-2022 tillsynsbegäran.docx", "A 52249-2022")</f>
        <v/>
      </c>
      <c r="AD194">
        <f>HYPERLINK("https://klasma.github.io/Logging_2039/tillsynsmail/A 52249-2022 tillsynsbegäran mail.docx", "A 52249-2022")</f>
        <v/>
      </c>
    </row>
    <row r="195" ht="15" customHeight="1">
      <c r="A195" t="inlineStr">
        <is>
          <t>A 27734-2026</t>
        </is>
      </c>
      <c r="B195" t="inlineStr">
        <is>
          <t>avverkningsanmälan</t>
        </is>
      </c>
      <c r="C195" t="inlineStr">
        <is>
          <t>Föryngringsavverkning</t>
        </is>
      </c>
      <c r="D195" s="1" t="n">
        <v>46189</v>
      </c>
      <c r="E195" s="1" t="n">
        <v>46224</v>
      </c>
      <c r="F195" t="inlineStr">
        <is>
          <t>DALARNAS LÄN</t>
        </is>
      </c>
      <c r="G195" t="inlineStr">
        <is>
          <t>ÄLVDALEN</t>
        </is>
      </c>
      <c r="H195" t="inlineStr">
        <is>
          <t>Sveaskog</t>
        </is>
      </c>
      <c r="I195" t="n">
        <v>23.3</v>
      </c>
      <c r="J195" t="n">
        <v>0</v>
      </c>
      <c r="K195" t="n">
        <v>0</v>
      </c>
      <c r="L195" t="n">
        <v>1</v>
      </c>
      <c r="M195" t="n">
        <v>0</v>
      </c>
      <c r="N195" t="n">
        <v>0</v>
      </c>
      <c r="O195" t="n">
        <v>0</v>
      </c>
      <c r="P195" t="n">
        <v>0</v>
      </c>
      <c r="Q195" t="n">
        <v>1</v>
      </c>
      <c r="R195" t="n">
        <v>0</v>
      </c>
      <c r="S195" t="n">
        <v>1</v>
      </c>
      <c r="T195" t="n">
        <v>1</v>
      </c>
      <c r="U195" t="n">
        <v>0</v>
      </c>
      <c r="V195" s="2" t="inlineStr">
        <is>
          <t>Skrovellav</t>
        </is>
      </c>
      <c r="W195">
        <f>HYPERLINK("https://klasma.github.io/Logging_2039/artfynd/A 27734-2026 artfynd.xlsx", "A 27734-2026")</f>
        <v/>
      </c>
      <c r="X195">
        <f>HYPERLINK("https://klasma.github.io/Logging_2039/kartor/A 27734-2026 karta.png", "A 27734-2026")</f>
        <v/>
      </c>
      <c r="Y195">
        <f>HYPERLINK("https://klasma.github.io/Logging_2039/kartor_geotiff/A 27734-2026 georefererad karta.tif", "A 27734-2026")</f>
        <v/>
      </c>
      <c r="AA195">
        <f>HYPERLINK("https://klasma.github.io/Logging_2039/klagomål/A 27734-2026 FSC-klagomål.docx", "A 27734-2026")</f>
        <v/>
      </c>
      <c r="AB195">
        <f>HYPERLINK("https://klasma.github.io/Logging_2039/klagomålsmail/A 27734-2026 FSC-klagomål mail.docx", "A 27734-2026")</f>
        <v/>
      </c>
      <c r="AC195">
        <f>HYPERLINK("https://klasma.github.io/Logging_2039/tillsyn/A 27734-2026 tillsynsbegäran.docx", "A 27734-2026")</f>
        <v/>
      </c>
      <c r="AD195">
        <f>HYPERLINK("https://klasma.github.io/Logging_2039/tillsynsmail/A 27734-2026 tillsynsbegäran mail.docx", "A 27734-2026")</f>
        <v/>
      </c>
    </row>
    <row r="196" ht="15" customHeight="1">
      <c r="A196" t="inlineStr">
        <is>
          <t>A 23553-2025</t>
        </is>
      </c>
      <c r="B196" t="inlineStr">
        <is>
          <t>avverkningsanmälan</t>
        </is>
      </c>
      <c r="C196" t="inlineStr">
        <is>
          <t>Föryngringsavverkning</t>
        </is>
      </c>
      <c r="D196" s="1" t="n">
        <v>45792</v>
      </c>
      <c r="E196" s="1" t="n">
        <v>46224</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HYPERLINK("https://klasma.github.io/Logging_2039/artfynd/A 23553-2025 artfynd.xlsx", "A 23553-2025")</f>
        <v/>
      </c>
      <c r="X196">
        <f>HYPERLINK("https://klasma.github.io/Logging_2039/kartor/A 23553-2025 karta.png", "A 23553-2025")</f>
        <v/>
      </c>
      <c r="Y196">
        <f>HYPERLINK("https://klasma.github.io/Logging_2039/kartor_geotiff/A 23553-2025 georefererad karta.tif", "A 23553-2025")</f>
        <v/>
      </c>
      <c r="AA196">
        <f>HYPERLINK("https://klasma.github.io/Logging_2039/klagomål/A 23553-2025 FSC-klagomål.docx", "A 23553-2025")</f>
        <v/>
      </c>
      <c r="AB196">
        <f>HYPERLINK("https://klasma.github.io/Logging_2039/klagomålsmail/A 23553-2025 FSC-klagomål mail.docx", "A 23553-2025")</f>
        <v/>
      </c>
      <c r="AC196">
        <f>HYPERLINK("https://klasma.github.io/Logging_2039/tillsyn/A 23553-2025 tillsynsbegäran.docx", "A 23553-2025")</f>
        <v/>
      </c>
      <c r="AD196">
        <f>HYPERLINK("https://klasma.github.io/Logging_2039/tillsynsmail/A 23553-2025 tillsynsbegäran mail.docx", "A 23553-2025")</f>
        <v/>
      </c>
    </row>
    <row r="197" ht="15" customHeight="1">
      <c r="A197" t="inlineStr">
        <is>
          <t>A 32199-2024</t>
        </is>
      </c>
      <c r="B197" t="inlineStr">
        <is>
          <t>avverkningsanmälan</t>
        </is>
      </c>
      <c r="C197" t="inlineStr">
        <is>
          <t>Föryngringsavverkning</t>
        </is>
      </c>
      <c r="D197" s="1" t="n">
        <v>45511</v>
      </c>
      <c r="E197" s="1" t="n">
        <v>46224</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25526-2026</t>
        </is>
      </c>
      <c r="B198" t="inlineStr">
        <is>
          <t>avverkningsanmälan</t>
        </is>
      </c>
      <c r="C198" t="inlineStr">
        <is>
          <t>Föryngringsavverkning</t>
        </is>
      </c>
      <c r="D198" s="1" t="n">
        <v>46177</v>
      </c>
      <c r="E198" s="1" t="n">
        <v>46224</v>
      </c>
      <c r="F198" t="inlineStr">
        <is>
          <t>DALARNAS LÄN</t>
        </is>
      </c>
      <c r="G198" t="inlineStr">
        <is>
          <t>ÄLVDALEN</t>
        </is>
      </c>
      <c r="H198" t="inlineStr">
        <is>
          <t>Sveaskog</t>
        </is>
      </c>
      <c r="I198" t="n">
        <v>3.7</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HYPERLINK("https://klasma.github.io/Logging_2039/artfynd/A 25526-2026 artfynd.xlsx", "A 25526-2026")</f>
        <v/>
      </c>
      <c r="X198">
        <f>HYPERLINK("https://klasma.github.io/Logging_2039/kartor/A 25526-2026 karta.png", "A 25526-2026")</f>
        <v/>
      </c>
      <c r="Y198">
        <f>HYPERLINK("https://klasma.github.io/Logging_2039/kartor_geotiff/A 25526-2026 georefererad karta.tif", "A 25526-2026")</f>
        <v/>
      </c>
      <c r="AA198">
        <f>HYPERLINK("https://klasma.github.io/Logging_2039/klagomål/A 25526-2026 FSC-klagomål.docx", "A 25526-2026")</f>
        <v/>
      </c>
      <c r="AB198">
        <f>HYPERLINK("https://klasma.github.io/Logging_2039/klagomålsmail/A 25526-2026 FSC-klagomål mail.docx", "A 25526-2026")</f>
        <v/>
      </c>
      <c r="AC198">
        <f>HYPERLINK("https://klasma.github.io/Logging_2039/tillsyn/A 25526-2026 tillsynsbegäran.docx", "A 25526-2026")</f>
        <v/>
      </c>
      <c r="AD198">
        <f>HYPERLINK("https://klasma.github.io/Logging_2039/tillsynsmail/A 25526-2026 tillsynsbegäran mail.docx", "A 25526-2026")</f>
        <v/>
      </c>
    </row>
    <row r="199" ht="15" customHeight="1">
      <c r="A199" t="inlineStr">
        <is>
          <t>A 31488-2026</t>
        </is>
      </c>
      <c r="B199" t="inlineStr">
        <is>
          <t>avverkningsanmälan</t>
        </is>
      </c>
      <c r="C199" t="inlineStr">
        <is>
          <t>Föryngringsavverkning</t>
        </is>
      </c>
      <c r="D199" s="1" t="n">
        <v>46223</v>
      </c>
      <c r="E199" s="1" t="n">
        <v>46224</v>
      </c>
      <c r="F199" t="inlineStr">
        <is>
          <t>DALARNAS LÄN</t>
        </is>
      </c>
      <c r="G199" t="inlineStr">
        <is>
          <t>ÄLVDALEN</t>
        </is>
      </c>
      <c r="I199" t="n">
        <v>2.9</v>
      </c>
      <c r="J199" t="n">
        <v>1</v>
      </c>
      <c r="K199" t="n">
        <v>0</v>
      </c>
      <c r="L199" t="n">
        <v>1</v>
      </c>
      <c r="M199" t="n">
        <v>0</v>
      </c>
      <c r="N199" t="n">
        <v>0</v>
      </c>
      <c r="O199" t="n">
        <v>0</v>
      </c>
      <c r="P199" t="n">
        <v>0</v>
      </c>
      <c r="Q199" t="n">
        <v>1</v>
      </c>
      <c r="R199" t="n">
        <v>0</v>
      </c>
      <c r="S199" t="n">
        <v>1</v>
      </c>
      <c r="T199" t="n">
        <v>2</v>
      </c>
      <c r="U199" t="n">
        <v>0</v>
      </c>
      <c r="V199" s="2" t="inlineStr">
        <is>
          <t>Tretåig hackspett</t>
        </is>
      </c>
      <c r="W199">
        <f>HYPERLINK("https://klasma.github.io/Logging_2039/artfynd/A 31488-2026 artfynd.xlsx", "A 31488-2026")</f>
        <v/>
      </c>
      <c r="X199">
        <f>HYPERLINK("https://klasma.github.io/Logging_2039/kartor/A 31488-2026 karta.png", "A 31488-2026")</f>
        <v/>
      </c>
      <c r="Y199">
        <f>HYPERLINK("https://klasma.github.io/Logging_2039/kartor_geotiff/A 31488-2026 georefererad karta.tif", "A 31488-2026")</f>
        <v/>
      </c>
      <c r="AA199">
        <f>HYPERLINK("https://klasma.github.io/Logging_2039/klagomål/A 31488-2026 FSC-klagomål.docx", "A 31488-2026")</f>
        <v/>
      </c>
      <c r="AB199">
        <f>HYPERLINK("https://klasma.github.io/Logging_2039/klagomålsmail/A 31488-2026 FSC-klagomål mail.docx", "A 31488-2026")</f>
        <v/>
      </c>
      <c r="AC199">
        <f>HYPERLINK("https://klasma.github.io/Logging_2039/tillsyn/A 31488-2026 tillsynsbegäran.docx", "A 31488-2026")</f>
        <v/>
      </c>
      <c r="AD199">
        <f>HYPERLINK("https://klasma.github.io/Logging_2039/tillsynsmail/A 31488-2026 tillsynsbegäran mail.docx", "A 31488-2026")</f>
        <v/>
      </c>
      <c r="AE199">
        <f>HYPERLINK("https://klasma.github.io/Logging_2039/fåglar/A 31488-2026 prioriterade fågelarter.docx", "A 31488-2026")</f>
        <v/>
      </c>
    </row>
    <row r="200" ht="15" customHeight="1">
      <c r="A200" t="inlineStr">
        <is>
          <t>S 1344-2022</t>
        </is>
      </c>
      <c r="B200" t="inlineStr">
        <is>
          <t>samrådsanmälan</t>
        </is>
      </c>
      <c r="C200" t="inlineStr">
        <is>
          <t>Annan skogsbruksåtgärd</t>
        </is>
      </c>
      <c r="D200" s="1" t="n">
        <v>44629</v>
      </c>
      <c r="E200" s="1" t="n">
        <v>46224</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262-2025</t>
        </is>
      </c>
      <c r="B201" t="inlineStr">
        <is>
          <t>samrådsanmälan</t>
        </is>
      </c>
      <c r="C201" t="inlineStr">
        <is>
          <t>Skogsgödsling</t>
        </is>
      </c>
      <c r="D201" s="1" t="n">
        <v>45684</v>
      </c>
      <c r="E201" s="1" t="n">
        <v>46224</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268-2022</t>
        </is>
      </c>
      <c r="B202" t="inlineStr">
        <is>
          <t>samrådsanmälan</t>
        </is>
      </c>
      <c r="C202" t="inlineStr">
        <is>
          <t>Annan skogsbruksåtgärd</t>
        </is>
      </c>
      <c r="D202" s="1" t="n">
        <v>44575</v>
      </c>
      <c r="E202" s="1" t="n">
        <v>46224</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2480-2025</t>
        </is>
      </c>
      <c r="B203" t="inlineStr">
        <is>
          <t>samrådsanmälan</t>
        </is>
      </c>
      <c r="C203" t="inlineStr">
        <is>
          <t>Annan skogsbruksåtgärd</t>
        </is>
      </c>
      <c r="D203" s="1" t="n">
        <v>45903</v>
      </c>
      <c r="E203" s="1" t="n">
        <v>46224</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46224</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46224</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46224</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46224</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52124-2021</t>
        </is>
      </c>
      <c r="B208" t="inlineStr">
        <is>
          <t>avverkningsanmälan</t>
        </is>
      </c>
      <c r="C208" t="inlineStr">
        <is>
          <t>Föryngringsavverkning</t>
        </is>
      </c>
      <c r="D208" s="1" t="n">
        <v>44463</v>
      </c>
      <c r="E208" s="1" t="n">
        <v>46224</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46224</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46224</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46224</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46224</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46224</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46224</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46224</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46224</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46224</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41020-2021</t>
        </is>
      </c>
      <c r="B218" t="inlineStr">
        <is>
          <t>avverkningsanmälan</t>
        </is>
      </c>
      <c r="C218" t="inlineStr">
        <is>
          <t>Föryngringsavverkning</t>
        </is>
      </c>
      <c r="D218" s="1" t="n">
        <v>44421</v>
      </c>
      <c r="E218" s="1" t="n">
        <v>46224</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46224</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46224</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46224</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46224</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46224</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46224</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46224</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46224</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46224</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46224</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46224</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46224</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46224</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46224</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46224</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46224</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46224</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46224</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46224</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46224</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46224</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46224</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46224</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46224</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37490-2021</t>
        </is>
      </c>
      <c r="B243" t="inlineStr">
        <is>
          <t>avverkningsanmälan</t>
        </is>
      </c>
      <c r="C243" t="inlineStr">
        <is>
          <t>Avverkning för annat ändamål</t>
        </is>
      </c>
      <c r="D243" s="1" t="n">
        <v>44399</v>
      </c>
      <c r="E243" s="1" t="n">
        <v>46224</v>
      </c>
      <c r="F243" t="inlineStr">
        <is>
          <t>DALARNAS LÄN</t>
        </is>
      </c>
      <c r="G243" t="inlineStr">
        <is>
          <t>ÄLVDALEN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46224</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46224</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46224</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12066-2022</t>
        </is>
      </c>
      <c r="B247" t="inlineStr">
        <is>
          <t>avverkningsanmälan</t>
        </is>
      </c>
      <c r="C247" t="inlineStr">
        <is>
          <t>Föryngringsavverkning</t>
        </is>
      </c>
      <c r="D247" s="1" t="n">
        <v>44636</v>
      </c>
      <c r="E247" s="1" t="n">
        <v>46224</v>
      </c>
      <c r="F247" t="inlineStr">
        <is>
          <t>DALARNAS LÄN</t>
        </is>
      </c>
      <c r="G247" t="inlineStr">
        <is>
          <t>ÄLVDALEN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38957-2022</t>
        </is>
      </c>
      <c r="B248" t="inlineStr">
        <is>
          <t>avverkningsanmälan</t>
        </is>
      </c>
      <c r="C248" t="inlineStr">
        <is>
          <t>Föryngringsavverkning</t>
        </is>
      </c>
      <c r="D248" s="1" t="n">
        <v>44816</v>
      </c>
      <c r="E248" s="1" t="n">
        <v>46224</v>
      </c>
      <c r="F248" t="inlineStr">
        <is>
          <t>DALARNAS LÄN</t>
        </is>
      </c>
      <c r="G248" t="inlineStr">
        <is>
          <t>ÄLVDALEN</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72846-2021</t>
        </is>
      </c>
      <c r="B249" t="inlineStr">
        <is>
          <t>avverkningsanmälan</t>
        </is>
      </c>
      <c r="C249" t="inlineStr">
        <is>
          <t>Avverkning för annat ändamål</t>
        </is>
      </c>
      <c r="D249" s="1" t="n">
        <v>44547</v>
      </c>
      <c r="E249" s="1" t="n">
        <v>46224</v>
      </c>
      <c r="F249" t="inlineStr">
        <is>
          <t>DALARNAS LÄN</t>
        </is>
      </c>
      <c r="G249" t="inlineStr">
        <is>
          <t>ÄLVDALEN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24009-2024</t>
        </is>
      </c>
      <c r="B250" t="inlineStr">
        <is>
          <t>avverkningsanmälan</t>
        </is>
      </c>
      <c r="C250" t="inlineStr">
        <is>
          <t>Föryngringsavverkning</t>
        </is>
      </c>
      <c r="D250" s="1" t="n">
        <v>45456</v>
      </c>
      <c r="E250" s="1" t="n">
        <v>46224</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55778-2021</t>
        </is>
      </c>
      <c r="B251" t="inlineStr">
        <is>
          <t>avverkningsanmälan</t>
        </is>
      </c>
      <c r="C251" t="inlineStr">
        <is>
          <t>Föryngringsavverkning</t>
        </is>
      </c>
      <c r="D251" s="1" t="n">
        <v>44476</v>
      </c>
      <c r="E251" s="1" t="n">
        <v>46224</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46224</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27615-2023</t>
        </is>
      </c>
      <c r="B253" t="inlineStr">
        <is>
          <t>avverkningsanmälan</t>
        </is>
      </c>
      <c r="C253" t="inlineStr">
        <is>
          <t>Föryngringsavverkning</t>
        </is>
      </c>
      <c r="D253" s="1" t="n">
        <v>45097</v>
      </c>
      <c r="E253" s="1" t="n">
        <v>46224</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74324-2021</t>
        </is>
      </c>
      <c r="B254" t="inlineStr">
        <is>
          <t>avverkningsanmälan</t>
        </is>
      </c>
      <c r="C254" t="inlineStr">
        <is>
          <t>Föryngringsavverkning</t>
        </is>
      </c>
      <c r="D254" s="1" t="n">
        <v>44558</v>
      </c>
      <c r="E254" s="1" t="n">
        <v>46224</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68219-2021</t>
        </is>
      </c>
      <c r="B255" t="inlineStr">
        <is>
          <t>avverkningsanmälan</t>
        </is>
      </c>
      <c r="C255" t="inlineStr">
        <is>
          <t>Föryngringsavverkning</t>
        </is>
      </c>
      <c r="D255" s="1" t="n">
        <v>44526</v>
      </c>
      <c r="E255" s="1" t="n">
        <v>46224</v>
      </c>
      <c r="F255" t="inlineStr">
        <is>
          <t>DALARNAS LÄN</t>
        </is>
      </c>
      <c r="G255" t="inlineStr">
        <is>
          <t>ÄLVDALEN</t>
        </is>
      </c>
      <c r="H255" t="inlineStr">
        <is>
          <t>Kyrkan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1790-2024</t>
        </is>
      </c>
      <c r="B256" t="inlineStr">
        <is>
          <t>avverkningsanmälan</t>
        </is>
      </c>
      <c r="C256" t="inlineStr">
        <is>
          <t>Föryngringsavverkning</t>
        </is>
      </c>
      <c r="D256" s="1" t="n">
        <v>45307</v>
      </c>
      <c r="E256" s="1" t="n">
        <v>46224</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46224</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36285-2024</t>
        </is>
      </c>
      <c r="B258" t="inlineStr">
        <is>
          <t>avverkningsanmälan</t>
        </is>
      </c>
      <c r="C258" t="inlineStr">
        <is>
          <t>Föryngringsavverkning</t>
        </is>
      </c>
      <c r="D258" s="1" t="n">
        <v>45534</v>
      </c>
      <c r="E258" s="1" t="n">
        <v>46224</v>
      </c>
      <c r="F258" t="inlineStr">
        <is>
          <t>DALARNAS LÄN</t>
        </is>
      </c>
      <c r="G258" t="inlineStr">
        <is>
          <t>ÄLVDALEN</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1804-2024</t>
        </is>
      </c>
      <c r="B259" t="inlineStr">
        <is>
          <t>avverkningsanmälan</t>
        </is>
      </c>
      <c r="C259" t="inlineStr">
        <is>
          <t>Föryngringsavverkning</t>
        </is>
      </c>
      <c r="D259" s="1" t="n">
        <v>45307</v>
      </c>
      <c r="E259" s="1" t="n">
        <v>46224</v>
      </c>
      <c r="F259" t="inlineStr">
        <is>
          <t>DALARNAS LÄN</t>
        </is>
      </c>
      <c r="G259" t="inlineStr">
        <is>
          <t>ÄLVDALEN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61477-2025</t>
        </is>
      </c>
      <c r="B260" t="inlineStr">
        <is>
          <t>avverkningsanmälan</t>
        </is>
      </c>
      <c r="C260" t="inlineStr">
        <is>
          <t>Föryngringsavverkning</t>
        </is>
      </c>
      <c r="D260" s="1" t="n">
        <v>46001</v>
      </c>
      <c r="E260" s="1" t="n">
        <v>46224</v>
      </c>
      <c r="F260" t="inlineStr">
        <is>
          <t>DALARNAS LÄN</t>
        </is>
      </c>
      <c r="G260" t="inlineStr">
        <is>
          <t>ÄLVDALEN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68204-2021</t>
        </is>
      </c>
      <c r="B261" t="inlineStr">
        <is>
          <t>avverkningsanmälan</t>
        </is>
      </c>
      <c r="C261" t="inlineStr">
        <is>
          <t>Föryngringsavverkning</t>
        </is>
      </c>
      <c r="D261" s="1" t="n">
        <v>44526</v>
      </c>
      <c r="E261" s="1" t="n">
        <v>46224</v>
      </c>
      <c r="F261" t="inlineStr">
        <is>
          <t>DALARNAS LÄN</t>
        </is>
      </c>
      <c r="G261" t="inlineStr">
        <is>
          <t>ÄLVDALEN</t>
        </is>
      </c>
      <c r="H261" t="inlineStr">
        <is>
          <t>Kyrkan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38754-2025</t>
        </is>
      </c>
      <c r="B262" t="inlineStr">
        <is>
          <t>avverkningsanmälan</t>
        </is>
      </c>
      <c r="C262" t="inlineStr">
        <is>
          <t>Föryngringsavverkning</t>
        </is>
      </c>
      <c r="D262" s="1" t="n">
        <v>45887</v>
      </c>
      <c r="E262" s="1" t="n">
        <v>46224</v>
      </c>
      <c r="F262" t="inlineStr">
        <is>
          <t>DALARNAS LÄN</t>
        </is>
      </c>
      <c r="G262" t="inlineStr">
        <is>
          <t>ÄLVDALEN</t>
        </is>
      </c>
      <c r="H262" t="inlineStr">
        <is>
          <t>Bergvik skog väst AB</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46224</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9108-2024</t>
        </is>
      </c>
      <c r="B264" t="inlineStr">
        <is>
          <t>avverkningsanmälan</t>
        </is>
      </c>
      <c r="C264" t="inlineStr">
        <is>
          <t>Föryngringsavverkning</t>
        </is>
      </c>
      <c r="D264" s="1" t="n">
        <v>45357</v>
      </c>
      <c r="E264" s="1" t="n">
        <v>46224</v>
      </c>
      <c r="F264" t="inlineStr">
        <is>
          <t>DALARNAS LÄN</t>
        </is>
      </c>
      <c r="G264" t="inlineStr">
        <is>
          <t>ÄLVDALEN</t>
        </is>
      </c>
      <c r="H264" t="inlineStr">
        <is>
          <t>Övriga Aktiebolag</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61973-2025</t>
        </is>
      </c>
      <c r="B265" t="inlineStr">
        <is>
          <t>avverkningsanmälan</t>
        </is>
      </c>
      <c r="C265" t="inlineStr">
        <is>
          <t>Föryngringsavverkning</t>
        </is>
      </c>
      <c r="D265" s="1" t="n">
        <v>46003</v>
      </c>
      <c r="E265" s="1" t="n">
        <v>46224</v>
      </c>
      <c r="F265" t="inlineStr">
        <is>
          <t>DALARNAS LÄN</t>
        </is>
      </c>
      <c r="G265" t="inlineStr">
        <is>
          <t>ÄLVDALEN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51967-2023</t>
        </is>
      </c>
      <c r="B266" t="inlineStr">
        <is>
          <t>avverkningsanmälan</t>
        </is>
      </c>
      <c r="C266" t="inlineStr">
        <is>
          <t>Föryngringsavverkning</t>
        </is>
      </c>
      <c r="D266" s="1" t="n">
        <v>45223</v>
      </c>
      <c r="E266" s="1" t="n">
        <v>46224</v>
      </c>
      <c r="F266" t="inlineStr">
        <is>
          <t>DALARNAS LÄN</t>
        </is>
      </c>
      <c r="G266" t="inlineStr">
        <is>
          <t>ÄLVDALEN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30411-2024</t>
        </is>
      </c>
      <c r="B267" t="inlineStr">
        <is>
          <t>avverkningsanmälan</t>
        </is>
      </c>
      <c r="C267" t="inlineStr">
        <is>
          <t>Föryngringsavverkning</t>
        </is>
      </c>
      <c r="D267" s="1" t="n">
        <v>45491</v>
      </c>
      <c r="E267" s="1" t="n">
        <v>46224</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62106-2025</t>
        </is>
      </c>
      <c r="B268" t="inlineStr">
        <is>
          <t>avverkningsanmälan</t>
        </is>
      </c>
      <c r="C268" t="inlineStr">
        <is>
          <t>Föryngringsavverkning</t>
        </is>
      </c>
      <c r="D268" s="1" t="n">
        <v>46006</v>
      </c>
      <c r="E268" s="1" t="n">
        <v>46224</v>
      </c>
      <c r="F268" t="inlineStr">
        <is>
          <t>DALARNAS LÄN</t>
        </is>
      </c>
      <c r="G268" t="inlineStr">
        <is>
          <t>ÄLVDALEN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57817-2023</t>
        </is>
      </c>
      <c r="B269" t="inlineStr">
        <is>
          <t>avverkningsanmälan</t>
        </is>
      </c>
      <c r="C269" t="inlineStr">
        <is>
          <t>Föryngringsavverkning</t>
        </is>
      </c>
      <c r="D269" s="1" t="n">
        <v>45247</v>
      </c>
      <c r="E269" s="1" t="n">
        <v>46224</v>
      </c>
      <c r="F269" t="inlineStr">
        <is>
          <t>DALARNAS LÄN</t>
        </is>
      </c>
      <c r="G269" t="inlineStr">
        <is>
          <t>ÄLVDALEN</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47645-2024</t>
        </is>
      </c>
      <c r="B270" t="inlineStr">
        <is>
          <t>avverkningsanmälan</t>
        </is>
      </c>
      <c r="C270" t="inlineStr">
        <is>
          <t>Föryngringsavverkning</t>
        </is>
      </c>
      <c r="D270" s="1" t="n">
        <v>45588</v>
      </c>
      <c r="E270" s="1" t="n">
        <v>46224</v>
      </c>
      <c r="F270" t="inlineStr">
        <is>
          <t>DALARNAS LÄN</t>
        </is>
      </c>
      <c r="G270" t="inlineStr">
        <is>
          <t>ÄLVDALEN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23328-2024</t>
        </is>
      </c>
      <c r="B271" t="inlineStr">
        <is>
          <t>avverkningsanmälan</t>
        </is>
      </c>
      <c r="C271" t="inlineStr">
        <is>
          <t>Föryngringsavverkning</t>
        </is>
      </c>
      <c r="D271" s="1" t="n">
        <v>45453</v>
      </c>
      <c r="E271" s="1" t="n">
        <v>46224</v>
      </c>
      <c r="F271" t="inlineStr">
        <is>
          <t>DALARNAS LÄN</t>
        </is>
      </c>
      <c r="G271" t="inlineStr">
        <is>
          <t>ÄLVDALEN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63107-2025</t>
        </is>
      </c>
      <c r="B272" t="inlineStr">
        <is>
          <t>avverkningsanmälan</t>
        </is>
      </c>
      <c r="C272" t="inlineStr">
        <is>
          <t>Föryngringsavverkning</t>
        </is>
      </c>
      <c r="D272" s="1" t="n">
        <v>46009</v>
      </c>
      <c r="E272" s="1" t="n">
        <v>46224</v>
      </c>
      <c r="F272" t="inlineStr">
        <is>
          <t>DALARNAS LÄN</t>
        </is>
      </c>
      <c r="G272" t="inlineStr">
        <is>
          <t>ÄLVDALEN</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28473-2024</t>
        </is>
      </c>
      <c r="B273" t="inlineStr">
        <is>
          <t>avverkningsanmälan</t>
        </is>
      </c>
      <c r="C273" t="inlineStr">
        <is>
          <t>Föryngringsavverkning</t>
        </is>
      </c>
      <c r="D273" s="1" t="n">
        <v>45477</v>
      </c>
      <c r="E273" s="1" t="n">
        <v>46224</v>
      </c>
      <c r="F273" t="inlineStr">
        <is>
          <t>DALARNAS LÄN</t>
        </is>
      </c>
      <c r="G273" t="inlineStr">
        <is>
          <t>ÄLVDALEN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28479-2024</t>
        </is>
      </c>
      <c r="B274" t="inlineStr">
        <is>
          <t>avverkningsanmälan</t>
        </is>
      </c>
      <c r="C274" t="inlineStr">
        <is>
          <t>Föryngringsavverkning</t>
        </is>
      </c>
      <c r="D274" s="1" t="n">
        <v>45477</v>
      </c>
      <c r="E274" s="1" t="n">
        <v>46224</v>
      </c>
      <c r="F274" t="inlineStr">
        <is>
          <t>DALARNAS LÄN</t>
        </is>
      </c>
      <c r="G274" t="inlineStr">
        <is>
          <t>ÄLVDALEN</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713-2022</t>
        </is>
      </c>
      <c r="B275" t="inlineStr">
        <is>
          <t>avverkningsanmälan</t>
        </is>
      </c>
      <c r="C275" t="inlineStr">
        <is>
          <t>Avverkning för annat ändamål</t>
        </is>
      </c>
      <c r="D275" s="1" t="n">
        <v>44568</v>
      </c>
      <c r="E275" s="1" t="n">
        <v>46224</v>
      </c>
      <c r="F275" t="inlineStr">
        <is>
          <t>DALARNAS LÄN</t>
        </is>
      </c>
      <c r="G275" t="inlineStr">
        <is>
          <t>ÄLVDALEN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49203-2023</t>
        </is>
      </c>
      <c r="B276" t="inlineStr">
        <is>
          <t>avverkningsanmälan</t>
        </is>
      </c>
      <c r="C276" t="inlineStr">
        <is>
          <t>Föryngringsavverkning</t>
        </is>
      </c>
      <c r="D276" s="1" t="n">
        <v>45210</v>
      </c>
      <c r="E276" s="1" t="n">
        <v>46224</v>
      </c>
      <c r="F276" t="inlineStr">
        <is>
          <t>DALARNAS LÄN</t>
        </is>
      </c>
      <c r="G276" t="inlineStr">
        <is>
          <t>ÄLVDALEN</t>
        </is>
      </c>
      <c r="H276" t="inlineStr">
        <is>
          <t>Bergvik skog väst AB</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63525-2025</t>
        </is>
      </c>
      <c r="B277" t="inlineStr">
        <is>
          <t>avverkningsanmälan</t>
        </is>
      </c>
      <c r="C277" t="inlineStr">
        <is>
          <t>Föryngringsavverkning</t>
        </is>
      </c>
      <c r="D277" s="1" t="n">
        <v>46013</v>
      </c>
      <c r="E277" s="1" t="n">
        <v>46224</v>
      </c>
      <c r="F277" t="inlineStr">
        <is>
          <t>DALARNAS LÄN</t>
        </is>
      </c>
      <c r="G277" t="inlineStr">
        <is>
          <t>ÄLVDALEN</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24637-2025</t>
        </is>
      </c>
      <c r="B278" t="inlineStr">
        <is>
          <t>avverkningsanmälan</t>
        </is>
      </c>
      <c r="C278" t="inlineStr">
        <is>
          <t>Föryngringsavverkning</t>
        </is>
      </c>
      <c r="D278" s="1" t="n">
        <v>45798</v>
      </c>
      <c r="E278" s="1" t="n">
        <v>46224</v>
      </c>
      <c r="F278" t="inlineStr">
        <is>
          <t>DALARNAS LÄN</t>
        </is>
      </c>
      <c r="G278" t="inlineStr">
        <is>
          <t>ÄLVDALEN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25086-2025</t>
        </is>
      </c>
      <c r="B279" t="inlineStr">
        <is>
          <t>avverkningsanmälan</t>
        </is>
      </c>
      <c r="C279" t="inlineStr">
        <is>
          <t>Föryngringsavverkning</t>
        </is>
      </c>
      <c r="D279" s="1" t="n">
        <v>45800</v>
      </c>
      <c r="E279" s="1" t="n">
        <v>46224</v>
      </c>
      <c r="F279" t="inlineStr">
        <is>
          <t>DALARNAS LÄN</t>
        </is>
      </c>
      <c r="G279" t="inlineStr">
        <is>
          <t>ÄLVDALEN</t>
        </is>
      </c>
      <c r="H279" t="inlineStr">
        <is>
          <t>Sveaskog</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30147-2024</t>
        </is>
      </c>
      <c r="B280" t="inlineStr">
        <is>
          <t>avverkningsanmälan</t>
        </is>
      </c>
      <c r="C280" t="inlineStr">
        <is>
          <t>Föryngringsavverkning</t>
        </is>
      </c>
      <c r="D280" s="1" t="n">
        <v>45488</v>
      </c>
      <c r="E280" s="1" t="n">
        <v>46224</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50037-2022</t>
        </is>
      </c>
      <c r="B281" t="inlineStr">
        <is>
          <t>avverkningsanmälan</t>
        </is>
      </c>
      <c r="C281" t="inlineStr">
        <is>
          <t>Föryngringsavverkning</t>
        </is>
      </c>
      <c r="D281" s="1" t="n">
        <v>44865</v>
      </c>
      <c r="E281" s="1" t="n">
        <v>46224</v>
      </c>
      <c r="F281" t="inlineStr">
        <is>
          <t>DALARNAS LÄN</t>
        </is>
      </c>
      <c r="G281" t="inlineStr">
        <is>
          <t>ÄLVDALEN</t>
        </is>
      </c>
      <c r="H281" t="inlineStr">
        <is>
          <t>Allmännings- och besparingsskogar</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25879-2025</t>
        </is>
      </c>
      <c r="B282" t="inlineStr">
        <is>
          <t>avverkningsanmälan</t>
        </is>
      </c>
      <c r="C282" t="inlineStr">
        <is>
          <t>Avverkning för annat ändamål</t>
        </is>
      </c>
      <c r="D282" s="1" t="n">
        <v>45804</v>
      </c>
      <c r="E282" s="1" t="n">
        <v>46224</v>
      </c>
      <c r="F282" t="inlineStr">
        <is>
          <t>DALARNAS LÄN</t>
        </is>
      </c>
      <c r="G282" t="inlineStr">
        <is>
          <t>ÄLVDALEN</t>
        </is>
      </c>
      <c r="H282" t="inlineStr">
        <is>
          <t>Allmännings- och besparingsskogar</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41115-2025</t>
        </is>
      </c>
      <c r="B283" t="inlineStr">
        <is>
          <t>avverkningsanmälan</t>
        </is>
      </c>
      <c r="C283" t="inlineStr">
        <is>
          <t>Föryngringsavverkning</t>
        </is>
      </c>
      <c r="D283" s="1" t="n">
        <v>45898</v>
      </c>
      <c r="E283" s="1" t="n">
        <v>46224</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2546-2025</t>
        </is>
      </c>
      <c r="B284" t="inlineStr">
        <is>
          <t>avverkningsanmälan</t>
        </is>
      </c>
      <c r="C284" t="inlineStr">
        <is>
          <t>Föryngringsavverkning</t>
        </is>
      </c>
      <c r="D284" s="1" t="n">
        <v>45674</v>
      </c>
      <c r="E284" s="1" t="n">
        <v>46224</v>
      </c>
      <c r="F284" t="inlineStr">
        <is>
          <t>DALARNAS LÄN</t>
        </is>
      </c>
      <c r="G284" t="inlineStr">
        <is>
          <t>ÄLVDALEN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38277-2024</t>
        </is>
      </c>
      <c r="B285" t="inlineStr">
        <is>
          <t>avverkningsanmälan</t>
        </is>
      </c>
      <c r="C285" t="inlineStr">
        <is>
          <t>Föryngringsavverkning</t>
        </is>
      </c>
      <c r="D285" s="1" t="n">
        <v>45545</v>
      </c>
      <c r="E285" s="1" t="n">
        <v>46224</v>
      </c>
      <c r="F285" t="inlineStr">
        <is>
          <t>DALARNAS LÄN</t>
        </is>
      </c>
      <c r="G285" t="inlineStr">
        <is>
          <t>ÄLVDALEN</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5883-2024</t>
        </is>
      </c>
      <c r="B286" t="inlineStr">
        <is>
          <t>avverkningsanmälan</t>
        </is>
      </c>
      <c r="C286" t="inlineStr">
        <is>
          <t>Föryngringsavverkning</t>
        </is>
      </c>
      <c r="D286" s="1" t="n">
        <v>45335</v>
      </c>
      <c r="E286" s="1" t="n">
        <v>46224</v>
      </c>
      <c r="F286" t="inlineStr">
        <is>
          <t>DALARNAS LÄN</t>
        </is>
      </c>
      <c r="G286" t="inlineStr">
        <is>
          <t>ÄLVDALEN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63601-2025</t>
        </is>
      </c>
      <c r="B287" t="inlineStr">
        <is>
          <t>avverkningsanmälan</t>
        </is>
      </c>
      <c r="C287" t="inlineStr">
        <is>
          <t>Föryngringsavverkning</t>
        </is>
      </c>
      <c r="D287" s="1" t="n">
        <v>46014</v>
      </c>
      <c r="E287" s="1" t="n">
        <v>46224</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43602-2025</t>
        </is>
      </c>
      <c r="B288" t="inlineStr">
        <is>
          <t>avverkningsanmälan</t>
        </is>
      </c>
      <c r="C288" t="inlineStr">
        <is>
          <t>Föryngringsavverkning</t>
        </is>
      </c>
      <c r="D288" s="1" t="n">
        <v>45911</v>
      </c>
      <c r="E288" s="1" t="n">
        <v>46224</v>
      </c>
      <c r="F288" t="inlineStr">
        <is>
          <t>DALARNAS LÄN</t>
        </is>
      </c>
      <c r="G288" t="inlineStr">
        <is>
          <t>ÄLVDALEN</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59177-2023</t>
        </is>
      </c>
      <c r="B289" t="inlineStr">
        <is>
          <t>avverkningsanmälan</t>
        </is>
      </c>
      <c r="C289" t="inlineStr">
        <is>
          <t>Föryngringsavverkning</t>
        </is>
      </c>
      <c r="D289" s="1" t="n">
        <v>45253</v>
      </c>
      <c r="E289" s="1" t="n">
        <v>46224</v>
      </c>
      <c r="F289" t="inlineStr">
        <is>
          <t>DALARNAS LÄN</t>
        </is>
      </c>
      <c r="G289" t="inlineStr">
        <is>
          <t>ÄLVDALEN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27261-2025</t>
        </is>
      </c>
      <c r="B290" t="inlineStr">
        <is>
          <t>avverkningsanmälan</t>
        </is>
      </c>
      <c r="C290" t="inlineStr">
        <is>
          <t>Föryngringsavverkning</t>
        </is>
      </c>
      <c r="D290" s="1" t="n">
        <v>45812</v>
      </c>
      <c r="E290" s="1" t="n">
        <v>46224</v>
      </c>
      <c r="F290" t="inlineStr">
        <is>
          <t>DALARNAS LÄN</t>
        </is>
      </c>
      <c r="G290" t="inlineStr">
        <is>
          <t>ÄLVDALEN</t>
        </is>
      </c>
      <c r="H290" t="inlineStr">
        <is>
          <t>Bergvik skog väst AB</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43514-2025</t>
        </is>
      </c>
      <c r="B291" t="inlineStr">
        <is>
          <t>avverkningsanmälan</t>
        </is>
      </c>
      <c r="C291" t="inlineStr">
        <is>
          <t>Föryngringsavverkning</t>
        </is>
      </c>
      <c r="D291" s="1" t="n">
        <v>45911</v>
      </c>
      <c r="E291" s="1" t="n">
        <v>46224</v>
      </c>
      <c r="F291" t="inlineStr">
        <is>
          <t>DALARNAS LÄN</t>
        </is>
      </c>
      <c r="G291" t="inlineStr">
        <is>
          <t>ÄLVDALEN</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29710-2022</t>
        </is>
      </c>
      <c r="B292" t="inlineStr">
        <is>
          <t>avverkningsanmälan</t>
        </is>
      </c>
      <c r="C292" t="inlineStr">
        <is>
          <t>Föryngringsavverkning</t>
        </is>
      </c>
      <c r="D292" s="1" t="n">
        <v>44755</v>
      </c>
      <c r="E292" s="1" t="n">
        <v>46224</v>
      </c>
      <c r="F292" t="inlineStr">
        <is>
          <t>DALARNAS LÄN</t>
        </is>
      </c>
      <c r="G292" t="inlineStr">
        <is>
          <t>ÄLVDALEN</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7998-2024</t>
        </is>
      </c>
      <c r="B293" t="inlineStr">
        <is>
          <t>avverkningsanmälan</t>
        </is>
      </c>
      <c r="C293" t="inlineStr">
        <is>
          <t>Föryngringsavverkning</t>
        </is>
      </c>
      <c r="D293" s="1" t="n">
        <v>45350</v>
      </c>
      <c r="E293" s="1" t="n">
        <v>46224</v>
      </c>
      <c r="F293" t="inlineStr">
        <is>
          <t>DALARNAS LÄN</t>
        </is>
      </c>
      <c r="G293" t="inlineStr">
        <is>
          <t>ÄLVDALEN</t>
        </is>
      </c>
      <c r="H293" t="inlineStr">
        <is>
          <t>Kommuner</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43585-2025</t>
        </is>
      </c>
      <c r="B294" t="inlineStr">
        <is>
          <t>avverkningsanmälan</t>
        </is>
      </c>
      <c r="C294" t="inlineStr">
        <is>
          <t>Föryngringsavverkning</t>
        </is>
      </c>
      <c r="D294" s="1" t="n">
        <v>45911</v>
      </c>
      <c r="E294" s="1" t="n">
        <v>46224</v>
      </c>
      <c r="F294" t="inlineStr">
        <is>
          <t>DALARNAS LÄN</t>
        </is>
      </c>
      <c r="G294" t="inlineStr">
        <is>
          <t>ÄLVDALEN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46224</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3904-2024</t>
        </is>
      </c>
      <c r="B296" t="inlineStr">
        <is>
          <t>avverkningsanmälan</t>
        </is>
      </c>
      <c r="C296" t="inlineStr">
        <is>
          <t>Föryngringsavverkning</t>
        </is>
      </c>
      <c r="D296" s="1" t="n">
        <v>45322</v>
      </c>
      <c r="E296" s="1" t="n">
        <v>46224</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5583-2025</t>
        </is>
      </c>
      <c r="B297" t="inlineStr">
        <is>
          <t>avverkningsanmälan</t>
        </is>
      </c>
      <c r="C297" t="inlineStr">
        <is>
          <t>Föryngringsavverkning</t>
        </is>
      </c>
      <c r="D297" s="1" t="n">
        <v>45693</v>
      </c>
      <c r="E297" s="1" t="n">
        <v>46224</v>
      </c>
      <c r="F297" t="inlineStr">
        <is>
          <t>DALARNAS LÄN</t>
        </is>
      </c>
      <c r="G297" t="inlineStr">
        <is>
          <t>ÄLVDALEN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45156-2025</t>
        </is>
      </c>
      <c r="B298" t="inlineStr">
        <is>
          <t>avverkningsanmälan</t>
        </is>
      </c>
      <c r="C298" t="inlineStr">
        <is>
          <t>Föryngringsavverkning</t>
        </is>
      </c>
      <c r="D298" s="1" t="n">
        <v>45919</v>
      </c>
      <c r="E298" s="1" t="n">
        <v>46224</v>
      </c>
      <c r="F298" t="inlineStr">
        <is>
          <t>DALARNAS LÄN</t>
        </is>
      </c>
      <c r="G298" t="inlineStr">
        <is>
          <t>ÄLVDALEN</t>
        </is>
      </c>
      <c r="H298" t="inlineStr">
        <is>
          <t>Allmännings- och besparingsskogar</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44119-2022</t>
        </is>
      </c>
      <c r="B299" t="inlineStr">
        <is>
          <t>avverkningsanmälan</t>
        </is>
      </c>
      <c r="C299" t="inlineStr">
        <is>
          <t>Föryngringsavverkning</t>
        </is>
      </c>
      <c r="D299" s="1" t="n">
        <v>44839</v>
      </c>
      <c r="E299" s="1" t="n">
        <v>46224</v>
      </c>
      <c r="F299" t="inlineStr">
        <is>
          <t>DALARNAS LÄN</t>
        </is>
      </c>
      <c r="G299" t="inlineStr">
        <is>
          <t>ÄLVDALEN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39006-2024</t>
        </is>
      </c>
      <c r="B300" t="inlineStr">
        <is>
          <t>avverkningsanmälan</t>
        </is>
      </c>
      <c r="C300" t="inlineStr">
        <is>
          <t>Föryngringsavverkning</t>
        </is>
      </c>
      <c r="D300" s="1" t="n">
        <v>45548</v>
      </c>
      <c r="E300" s="1" t="n">
        <v>46224</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3900-2024</t>
        </is>
      </c>
      <c r="B301" t="inlineStr">
        <is>
          <t>avverkningsanmälan</t>
        </is>
      </c>
      <c r="C301" t="inlineStr">
        <is>
          <t>Föryngringsavverkning</t>
        </is>
      </c>
      <c r="D301" s="1" t="n">
        <v>45322</v>
      </c>
      <c r="E301" s="1" t="n">
        <v>46224</v>
      </c>
      <c r="F301" t="inlineStr">
        <is>
          <t>DALARNAS LÄN</t>
        </is>
      </c>
      <c r="G301" t="inlineStr">
        <is>
          <t>ÄLVDALEN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3903-2024</t>
        </is>
      </c>
      <c r="B302" t="inlineStr">
        <is>
          <t>avverkningsanmälan</t>
        </is>
      </c>
      <c r="C302" t="inlineStr">
        <is>
          <t>Föryngringsavverkning</t>
        </is>
      </c>
      <c r="D302" s="1" t="n">
        <v>45322</v>
      </c>
      <c r="E302" s="1" t="n">
        <v>46224</v>
      </c>
      <c r="F302" t="inlineStr">
        <is>
          <t>DALARNAS LÄN</t>
        </is>
      </c>
      <c r="G302" t="inlineStr">
        <is>
          <t>ÄLVDALEN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3914-2024</t>
        </is>
      </c>
      <c r="B303" t="inlineStr">
        <is>
          <t>avverkningsanmälan</t>
        </is>
      </c>
      <c r="C303" t="inlineStr">
        <is>
          <t>Föryngringsavverkning</t>
        </is>
      </c>
      <c r="D303" s="1" t="n">
        <v>45322</v>
      </c>
      <c r="E303" s="1" t="n">
        <v>46224</v>
      </c>
      <c r="F303" t="inlineStr">
        <is>
          <t>DALARNAS LÄN</t>
        </is>
      </c>
      <c r="G303" t="inlineStr">
        <is>
          <t>ÄLVDALEN</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30414-2024</t>
        </is>
      </c>
      <c r="B304" t="inlineStr">
        <is>
          <t>avverkningsanmälan</t>
        </is>
      </c>
      <c r="C304" t="inlineStr">
        <is>
          <t>Föryngringsavverkning</t>
        </is>
      </c>
      <c r="D304" s="1" t="n">
        <v>45491</v>
      </c>
      <c r="E304" s="1" t="n">
        <v>46224</v>
      </c>
      <c r="F304" t="inlineStr">
        <is>
          <t>DALARNAS LÄN</t>
        </is>
      </c>
      <c r="G304" t="inlineStr">
        <is>
          <t>ÄLVDALEN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47018-2025</t>
        </is>
      </c>
      <c r="B305" t="inlineStr">
        <is>
          <t>avverkningsanmälan</t>
        </is>
      </c>
      <c r="C305" t="inlineStr">
        <is>
          <t>Föryngringsavverkning</t>
        </is>
      </c>
      <c r="D305" s="1" t="n">
        <v>45929</v>
      </c>
      <c r="E305" s="1" t="n">
        <v>46224</v>
      </c>
      <c r="F305" t="inlineStr">
        <is>
          <t>DALARNAS LÄN</t>
        </is>
      </c>
      <c r="G305" t="inlineStr">
        <is>
          <t>ÄLVDALEN</t>
        </is>
      </c>
      <c r="H305" t="inlineStr">
        <is>
          <t>Allmännings- och besparingsskogar</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46582-2025</t>
        </is>
      </c>
      <c r="B306" t="inlineStr">
        <is>
          <t>avverkningsanmälan</t>
        </is>
      </c>
      <c r="C306" t="inlineStr">
        <is>
          <t>Föryngringsavverkning</t>
        </is>
      </c>
      <c r="D306" s="1" t="n">
        <v>45926</v>
      </c>
      <c r="E306" s="1" t="n">
        <v>46224</v>
      </c>
      <c r="F306" t="inlineStr">
        <is>
          <t>DALARNAS LÄN</t>
        </is>
      </c>
      <c r="G306" t="inlineStr">
        <is>
          <t>ÄLVDALEN</t>
        </is>
      </c>
      <c r="H306" t="inlineStr">
        <is>
          <t>Allmännings- och besparingsskogar</t>
        </is>
      </c>
      <c r="I306" t="n">
        <v>20.7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59108-2022</t>
        </is>
      </c>
      <c r="B307" t="inlineStr">
        <is>
          <t>avverkningsanmälan</t>
        </is>
      </c>
      <c r="C307" t="inlineStr">
        <is>
          <t>Föryngringsavverkning</t>
        </is>
      </c>
      <c r="D307" s="1" t="n">
        <v>44904</v>
      </c>
      <c r="E307" s="1" t="n">
        <v>46224</v>
      </c>
      <c r="F307" t="inlineStr">
        <is>
          <t>DALARNAS LÄN</t>
        </is>
      </c>
      <c r="G307" t="inlineStr">
        <is>
          <t>ÄLVDALEN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46882-2025</t>
        </is>
      </c>
      <c r="B308" t="inlineStr">
        <is>
          <t>avverkningsanmälan</t>
        </is>
      </c>
      <c r="C308" t="inlineStr">
        <is>
          <t>Föryngringsavverkning</t>
        </is>
      </c>
      <c r="D308" s="1" t="n">
        <v>45929</v>
      </c>
      <c r="E308" s="1" t="n">
        <v>46224</v>
      </c>
      <c r="F308" t="inlineStr">
        <is>
          <t>DALARNAS LÄN</t>
        </is>
      </c>
      <c r="G308" t="inlineStr">
        <is>
          <t>ÄLVDALEN</t>
        </is>
      </c>
      <c r="H308" t="inlineStr">
        <is>
          <t>Allmännings- och besparingsskogar</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3196-2025</t>
        </is>
      </c>
      <c r="B309" t="inlineStr">
        <is>
          <t>avverkningsanmälan</t>
        </is>
      </c>
      <c r="C309" t="inlineStr">
        <is>
          <t>Föryngringsavverkning</t>
        </is>
      </c>
      <c r="D309" s="1" t="n">
        <v>45679</v>
      </c>
      <c r="E309" s="1" t="n">
        <v>46224</v>
      </c>
      <c r="F309" t="inlineStr">
        <is>
          <t>DALARNAS LÄN</t>
        </is>
      </c>
      <c r="G309" t="inlineStr">
        <is>
          <t>ÄLVDALEN</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30502-2025</t>
        </is>
      </c>
      <c r="B310" t="inlineStr">
        <is>
          <t>avverkningsanmälan</t>
        </is>
      </c>
      <c r="C310" t="inlineStr">
        <is>
          <t>Föryngringsavverkning</t>
        </is>
      </c>
      <c r="D310" s="1" t="n">
        <v>45830</v>
      </c>
      <c r="E310" s="1" t="n">
        <v>46224</v>
      </c>
      <c r="F310" t="inlineStr">
        <is>
          <t>DALARNAS LÄN</t>
        </is>
      </c>
      <c r="G310" t="inlineStr">
        <is>
          <t>ÄLVDALEN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47707-2025</t>
        </is>
      </c>
      <c r="B311" t="inlineStr">
        <is>
          <t>avverkningsanmälan</t>
        </is>
      </c>
      <c r="C311" t="inlineStr">
        <is>
          <t>Föryngringsavverkning</t>
        </is>
      </c>
      <c r="D311" s="1" t="n">
        <v>45931</v>
      </c>
      <c r="E311" s="1" t="n">
        <v>46224</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47692-2025</t>
        </is>
      </c>
      <c r="B312" t="inlineStr">
        <is>
          <t>avverkningsanmälan</t>
        </is>
      </c>
      <c r="C312" t="inlineStr">
        <is>
          <t>Föryngringsavverkning</t>
        </is>
      </c>
      <c r="D312" s="1" t="n">
        <v>45931</v>
      </c>
      <c r="E312" s="1" t="n">
        <v>46224</v>
      </c>
      <c r="F312" t="inlineStr">
        <is>
          <t>DALARNAS LÄN</t>
        </is>
      </c>
      <c r="G312" t="inlineStr">
        <is>
          <t>ÄLVDALEN</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14938-2023</t>
        </is>
      </c>
      <c r="B313" t="inlineStr">
        <is>
          <t>avverkningsanmälan</t>
        </is>
      </c>
      <c r="C313" t="inlineStr">
        <is>
          <t>Föryngringsavverkning</t>
        </is>
      </c>
      <c r="D313" s="1" t="n">
        <v>45015</v>
      </c>
      <c r="E313" s="1" t="n">
        <v>46224</v>
      </c>
      <c r="F313" t="inlineStr">
        <is>
          <t>DALARNAS LÄN</t>
        </is>
      </c>
      <c r="G313" t="inlineStr">
        <is>
          <t>ÄLVDALEN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32063-2025</t>
        </is>
      </c>
      <c r="B314" t="inlineStr">
        <is>
          <t>avverkningsanmälan</t>
        </is>
      </c>
      <c r="C314" t="inlineStr">
        <is>
          <t>Föryngringsavverkning</t>
        </is>
      </c>
      <c r="D314" s="1" t="n">
        <v>45835</v>
      </c>
      <c r="E314" s="1" t="n">
        <v>46224</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48135-2025</t>
        </is>
      </c>
      <c r="B315" t="inlineStr">
        <is>
          <t>avverkningsanmälan</t>
        </is>
      </c>
      <c r="C315" t="inlineStr">
        <is>
          <t>Föryngringsavverkning</t>
        </is>
      </c>
      <c r="D315" s="1" t="n">
        <v>45933</v>
      </c>
      <c r="E315" s="1" t="n">
        <v>46224</v>
      </c>
      <c r="F315" t="inlineStr">
        <is>
          <t>DALARNAS LÄN</t>
        </is>
      </c>
      <c r="G315" t="inlineStr">
        <is>
          <t>ÄLVDALEN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32668-2025</t>
        </is>
      </c>
      <c r="B316" t="inlineStr">
        <is>
          <t>avverkningsanmälan</t>
        </is>
      </c>
      <c r="C316" t="inlineStr">
        <is>
          <t>Föryngringsavverkning</t>
        </is>
      </c>
      <c r="D316" s="1" t="n">
        <v>45838</v>
      </c>
      <c r="E316" s="1" t="n">
        <v>46224</v>
      </c>
      <c r="F316" t="inlineStr">
        <is>
          <t>DALARNAS LÄN</t>
        </is>
      </c>
      <c r="G316" t="inlineStr">
        <is>
          <t>ÄLVDALEN</t>
        </is>
      </c>
      <c r="H316" t="inlineStr">
        <is>
          <t>Övriga Aktiebolag</t>
        </is>
      </c>
      <c r="I316" t="n">
        <v>29.5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49906-2024</t>
        </is>
      </c>
      <c r="B317" t="inlineStr">
        <is>
          <t>avverkningsanmälan</t>
        </is>
      </c>
      <c r="C317" t="inlineStr">
        <is>
          <t>Föryngringsavverkning</t>
        </is>
      </c>
      <c r="D317" s="1" t="n">
        <v>45597</v>
      </c>
      <c r="E317" s="1" t="n">
        <v>46224</v>
      </c>
      <c r="F317" t="inlineStr">
        <is>
          <t>DALARNAS LÄN</t>
        </is>
      </c>
      <c r="G317" t="inlineStr">
        <is>
          <t>ÄLVDALEN</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5885-2024</t>
        </is>
      </c>
      <c r="B318" t="inlineStr">
        <is>
          <t>avverkningsanmälan</t>
        </is>
      </c>
      <c r="C318" t="inlineStr">
        <is>
          <t>Föryngringsavverkning</t>
        </is>
      </c>
      <c r="D318" s="1" t="n">
        <v>45335</v>
      </c>
      <c r="E318" s="1" t="n">
        <v>46224</v>
      </c>
      <c r="F318" t="inlineStr">
        <is>
          <t>DALARNAS LÄN</t>
        </is>
      </c>
      <c r="G318" t="inlineStr">
        <is>
          <t>ÄLVDALEN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241-2026</t>
        </is>
      </c>
      <c r="B319" t="inlineStr">
        <is>
          <t>avverkningsanmälan</t>
        </is>
      </c>
      <c r="C319" t="inlineStr">
        <is>
          <t>Föryngringsavverkning</t>
        </is>
      </c>
      <c r="D319" s="1" t="n">
        <v>46027</v>
      </c>
      <c r="E319" s="1" t="n">
        <v>46224</v>
      </c>
      <c r="F319" t="inlineStr">
        <is>
          <t>DALARNAS LÄN</t>
        </is>
      </c>
      <c r="G319" t="inlineStr">
        <is>
          <t>ÄLVDALEN</t>
        </is>
      </c>
      <c r="H319" t="inlineStr">
        <is>
          <t>Bergvik skog väst AB</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588-2026</t>
        </is>
      </c>
      <c r="B320" t="inlineStr">
        <is>
          <t>avverkningsanmälan</t>
        </is>
      </c>
      <c r="C320" t="inlineStr">
        <is>
          <t>Föryngringsavverkning</t>
        </is>
      </c>
      <c r="D320" s="1" t="n">
        <v>46029</v>
      </c>
      <c r="E320" s="1" t="n">
        <v>46224</v>
      </c>
      <c r="F320" t="inlineStr">
        <is>
          <t>DALARNAS LÄN</t>
        </is>
      </c>
      <c r="G320" t="inlineStr">
        <is>
          <t>ÄLVDALEN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52060-2022</t>
        </is>
      </c>
      <c r="B321" t="inlineStr">
        <is>
          <t>avverkningsanmälan</t>
        </is>
      </c>
      <c r="C321" t="inlineStr">
        <is>
          <t>Föryngringsavverkning</t>
        </is>
      </c>
      <c r="D321" s="1" t="n">
        <v>44873</v>
      </c>
      <c r="E321" s="1" t="n">
        <v>46224</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34778-2025</t>
        </is>
      </c>
      <c r="B322" t="inlineStr">
        <is>
          <t>avverkningsanmälan</t>
        </is>
      </c>
      <c r="C322" t="inlineStr">
        <is>
          <t>Föryngringsavverkning</t>
        </is>
      </c>
      <c r="D322" s="1" t="n">
        <v>45848</v>
      </c>
      <c r="E322" s="1" t="n">
        <v>46224</v>
      </c>
      <c r="F322" t="inlineStr">
        <is>
          <t>DALARNAS LÄN</t>
        </is>
      </c>
      <c r="G322" t="inlineStr">
        <is>
          <t>ÄLVDALEN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34739-2025</t>
        </is>
      </c>
      <c r="B323" t="inlineStr">
        <is>
          <t>avverkningsanmälan</t>
        </is>
      </c>
      <c r="C323" t="inlineStr">
        <is>
          <t>Föryngringsavverkning</t>
        </is>
      </c>
      <c r="D323" s="1" t="n">
        <v>45848</v>
      </c>
      <c r="E323" s="1" t="n">
        <v>46224</v>
      </c>
      <c r="F323" t="inlineStr">
        <is>
          <t>DALARNAS LÄN</t>
        </is>
      </c>
      <c r="G323" t="inlineStr">
        <is>
          <t>ÄLVDALEN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51442-2025</t>
        </is>
      </c>
      <c r="B324" t="inlineStr">
        <is>
          <t>avverkningsanmälan</t>
        </is>
      </c>
      <c r="C324" t="inlineStr">
        <is>
          <t>Föryngringsavverkning</t>
        </is>
      </c>
      <c r="D324" s="1" t="n">
        <v>45950</v>
      </c>
      <c r="E324" s="1" t="n">
        <v>46224</v>
      </c>
      <c r="F324" t="inlineStr">
        <is>
          <t>DALARNAS LÄN</t>
        </is>
      </c>
      <c r="G324" t="inlineStr">
        <is>
          <t>ÄLVDALEN</t>
        </is>
      </c>
      <c r="H324" t="inlineStr">
        <is>
          <t>Bergvik skog väst AB</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51381-2025</t>
        </is>
      </c>
      <c r="B325" t="inlineStr">
        <is>
          <t>avverkningsanmälan</t>
        </is>
      </c>
      <c r="C325" t="inlineStr">
        <is>
          <t>Föryngringsavverkning</t>
        </is>
      </c>
      <c r="D325" s="1" t="n">
        <v>45950</v>
      </c>
      <c r="E325" s="1" t="n">
        <v>46224</v>
      </c>
      <c r="F325" t="inlineStr">
        <is>
          <t>DALARNAS LÄN</t>
        </is>
      </c>
      <c r="G325" t="inlineStr">
        <is>
          <t>ÄLVDALEN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51392-2025</t>
        </is>
      </c>
      <c r="B326" t="inlineStr">
        <is>
          <t>avverkningsanmälan</t>
        </is>
      </c>
      <c r="C326" t="inlineStr">
        <is>
          <t>Föryngringsavverkning</t>
        </is>
      </c>
      <c r="D326" s="1" t="n">
        <v>45950</v>
      </c>
      <c r="E326" s="1" t="n">
        <v>46224</v>
      </c>
      <c r="F326" t="inlineStr">
        <is>
          <t>DALARNAS LÄN</t>
        </is>
      </c>
      <c r="G326" t="inlineStr">
        <is>
          <t>ÄLVDALEN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51461-2025</t>
        </is>
      </c>
      <c r="B327" t="inlineStr">
        <is>
          <t>avverkningsanmälan</t>
        </is>
      </c>
      <c r="C327" t="inlineStr">
        <is>
          <t>Föryngringsavverkning</t>
        </is>
      </c>
      <c r="D327" s="1" t="n">
        <v>45950</v>
      </c>
      <c r="E327" s="1" t="n">
        <v>46224</v>
      </c>
      <c r="F327" t="inlineStr">
        <is>
          <t>DALARNAS LÄN</t>
        </is>
      </c>
      <c r="G327" t="inlineStr">
        <is>
          <t>ÄLVDALEN</t>
        </is>
      </c>
      <c r="H327" t="inlineStr">
        <is>
          <t>Allmännings- och besparingsskogar</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52152-2025</t>
        </is>
      </c>
      <c r="B328" t="inlineStr">
        <is>
          <t>avverkningsanmälan</t>
        </is>
      </c>
      <c r="C328" t="inlineStr">
        <is>
          <t>Föryngringsavverkning</t>
        </is>
      </c>
      <c r="D328" s="1" t="n">
        <v>45953</v>
      </c>
      <c r="E328" s="1" t="n">
        <v>46224</v>
      </c>
      <c r="F328" t="inlineStr">
        <is>
          <t>DALARNAS LÄN</t>
        </is>
      </c>
      <c r="G328" t="inlineStr">
        <is>
          <t>ÄLVDALEN</t>
        </is>
      </c>
      <c r="H328" t="inlineStr">
        <is>
          <t>Allmännings- och besparingsskogar</t>
        </is>
      </c>
      <c r="I328" t="n">
        <v>22.3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52072-2025</t>
        </is>
      </c>
      <c r="B329" t="inlineStr">
        <is>
          <t>avverkningsanmälan</t>
        </is>
      </c>
      <c r="C329" t="inlineStr">
        <is>
          <t>Föryngringsavverkning</t>
        </is>
      </c>
      <c r="D329" s="1" t="n">
        <v>45952</v>
      </c>
      <c r="E329" s="1" t="n">
        <v>46224</v>
      </c>
      <c r="F329" t="inlineStr">
        <is>
          <t>DALARNAS LÄN</t>
        </is>
      </c>
      <c r="G329" t="inlineStr">
        <is>
          <t>ÄLVDALEN</t>
        </is>
      </c>
      <c r="H329" t="inlineStr">
        <is>
          <t>Allmännings- och besparingsskogar</t>
        </is>
      </c>
      <c r="I329" t="n">
        <v>54.2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35993-2025</t>
        </is>
      </c>
      <c r="B330" t="inlineStr">
        <is>
          <t>avverkningsanmälan</t>
        </is>
      </c>
      <c r="C330" t="inlineStr">
        <is>
          <t>Föryngringsavverkning</t>
        </is>
      </c>
      <c r="D330" s="1" t="n">
        <v>45863</v>
      </c>
      <c r="E330" s="1" t="n">
        <v>46224</v>
      </c>
      <c r="F330" t="inlineStr">
        <is>
          <t>DALARNAS LÄN</t>
        </is>
      </c>
      <c r="G330" t="inlineStr">
        <is>
          <t>ÄLVDALEN</t>
        </is>
      </c>
      <c r="H330" t="inlineStr">
        <is>
          <t>Bergvik skog öst AB</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51915-2025</t>
        </is>
      </c>
      <c r="B331" t="inlineStr">
        <is>
          <t>avverkningsanmälan</t>
        </is>
      </c>
      <c r="C331" t="inlineStr">
        <is>
          <t>Föryngringsavverkning</t>
        </is>
      </c>
      <c r="D331" s="1" t="n">
        <v>45952</v>
      </c>
      <c r="E331" s="1" t="n">
        <v>46224</v>
      </c>
      <c r="F331" t="inlineStr">
        <is>
          <t>DALARNAS LÄN</t>
        </is>
      </c>
      <c r="G331" t="inlineStr">
        <is>
          <t>ÄLVDALEN</t>
        </is>
      </c>
      <c r="H331" t="inlineStr">
        <is>
          <t>Allmännings- och besparingsskogar</t>
        </is>
      </c>
      <c r="I331" t="n">
        <v>66.7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51975-2025</t>
        </is>
      </c>
      <c r="B332" t="inlineStr">
        <is>
          <t>avverkningsanmälan</t>
        </is>
      </c>
      <c r="C332" t="inlineStr">
        <is>
          <t>Föryngringsavverkning</t>
        </is>
      </c>
      <c r="D332" s="1" t="n">
        <v>45952</v>
      </c>
      <c r="E332" s="1" t="n">
        <v>46224</v>
      </c>
      <c r="F332" t="inlineStr">
        <is>
          <t>DALARNAS LÄN</t>
        </is>
      </c>
      <c r="G332" t="inlineStr">
        <is>
          <t>ÄLVDALEN</t>
        </is>
      </c>
      <c r="H332" t="inlineStr">
        <is>
          <t>Allmännings- och besparingsskogar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52033-2025</t>
        </is>
      </c>
      <c r="B333" t="inlineStr">
        <is>
          <t>avverkningsanmälan</t>
        </is>
      </c>
      <c r="C333" t="inlineStr">
        <is>
          <t>Föryngringsavverkning</t>
        </is>
      </c>
      <c r="D333" s="1" t="n">
        <v>45952</v>
      </c>
      <c r="E333" s="1" t="n">
        <v>46224</v>
      </c>
      <c r="F333" t="inlineStr">
        <is>
          <t>DALARNAS LÄN</t>
        </is>
      </c>
      <c r="G333" t="inlineStr">
        <is>
          <t>ÄLVDALEN</t>
        </is>
      </c>
      <c r="H333" t="inlineStr">
        <is>
          <t>Allmännings- och besparingsskogar</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583-2026</t>
        </is>
      </c>
      <c r="B334" t="inlineStr">
        <is>
          <t>avverkningsanmälan</t>
        </is>
      </c>
      <c r="C334" t="inlineStr">
        <is>
          <t>Föryngringsavverkning</t>
        </is>
      </c>
      <c r="D334" s="1" t="n">
        <v>46029</v>
      </c>
      <c r="E334" s="1" t="n">
        <v>46224</v>
      </c>
      <c r="F334" t="inlineStr">
        <is>
          <t>DALARNAS LÄN</t>
        </is>
      </c>
      <c r="G334" t="inlineStr">
        <is>
          <t>ÄLVDALEN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17558-2024</t>
        </is>
      </c>
      <c r="B335" t="inlineStr">
        <is>
          <t>avverkningsanmälan</t>
        </is>
      </c>
      <c r="C335" t="inlineStr">
        <is>
          <t>Föryngringsavverkning</t>
        </is>
      </c>
      <c r="D335" s="1" t="n">
        <v>45415</v>
      </c>
      <c r="E335" s="1" t="n">
        <v>46224</v>
      </c>
      <c r="F335" t="inlineStr">
        <is>
          <t>DALARNAS LÄN</t>
        </is>
      </c>
      <c r="G335" t="inlineStr">
        <is>
          <t>ÄLVDALEN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575-2026</t>
        </is>
      </c>
      <c r="B336" t="inlineStr">
        <is>
          <t>avverkningsanmälan</t>
        </is>
      </c>
      <c r="C336" t="inlineStr">
        <is>
          <t>Föryngringsavverkning</t>
        </is>
      </c>
      <c r="D336" s="1" t="n">
        <v>46029</v>
      </c>
      <c r="E336" s="1" t="n">
        <v>46224</v>
      </c>
      <c r="F336" t="inlineStr">
        <is>
          <t>DALARNAS LÄN</t>
        </is>
      </c>
      <c r="G336" t="inlineStr">
        <is>
          <t>ÄLVDALEN</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40003-2022</t>
        </is>
      </c>
      <c r="B337" t="inlineStr">
        <is>
          <t>avverkningsanmälan</t>
        </is>
      </c>
      <c r="C337" t="inlineStr">
        <is>
          <t>Föryngringsavverkning</t>
        </is>
      </c>
      <c r="D337" s="1" t="n">
        <v>44820</v>
      </c>
      <c r="E337" s="1" t="n">
        <v>46224</v>
      </c>
      <c r="F337" t="inlineStr">
        <is>
          <t>DALARNAS LÄN</t>
        </is>
      </c>
      <c r="G337" t="inlineStr">
        <is>
          <t>ÄLVDALEN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42679-2024</t>
        </is>
      </c>
      <c r="B338" t="inlineStr">
        <is>
          <t>avverkningsanmälan</t>
        </is>
      </c>
      <c r="C338" t="inlineStr">
        <is>
          <t>Föryngringsavverkning</t>
        </is>
      </c>
      <c r="D338" s="1" t="n">
        <v>45566</v>
      </c>
      <c r="E338" s="1" t="n">
        <v>46224</v>
      </c>
      <c r="F338" t="inlineStr">
        <is>
          <t>DALARNAS LÄN</t>
        </is>
      </c>
      <c r="G338" t="inlineStr">
        <is>
          <t>ÄLVDALEN</t>
        </is>
      </c>
      <c r="H338" t="inlineStr">
        <is>
          <t>Bergvik skog väst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63079-2021</t>
        </is>
      </c>
      <c r="B339" t="inlineStr">
        <is>
          <t>avverkningsanmälan</t>
        </is>
      </c>
      <c r="C339" t="inlineStr">
        <is>
          <t>Föryngringsavverkning</t>
        </is>
      </c>
      <c r="D339" s="1" t="n">
        <v>44505</v>
      </c>
      <c r="E339" s="1" t="n">
        <v>46224</v>
      </c>
      <c r="F339" t="inlineStr">
        <is>
          <t>DALARNAS LÄN</t>
        </is>
      </c>
      <c r="G339" t="inlineStr">
        <is>
          <t>ÄLVDALEN</t>
        </is>
      </c>
      <c r="H339" t="inlineStr">
        <is>
          <t>Bergvik skog väst AB</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510-2024</t>
        </is>
      </c>
      <c r="B340" t="inlineStr">
        <is>
          <t>avverkningsanmälan</t>
        </is>
      </c>
      <c r="C340" t="inlineStr">
        <is>
          <t>Föryngringsavverkning</t>
        </is>
      </c>
      <c r="D340" s="1" t="n">
        <v>45299</v>
      </c>
      <c r="E340" s="1" t="n">
        <v>46224</v>
      </c>
      <c r="F340" t="inlineStr">
        <is>
          <t>DALARNAS LÄN</t>
        </is>
      </c>
      <c r="G340" t="inlineStr">
        <is>
          <t>ÄLVDALEN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54632-2021</t>
        </is>
      </c>
      <c r="B341" t="inlineStr">
        <is>
          <t>avverkningsanmälan</t>
        </is>
      </c>
      <c r="C341" t="inlineStr">
        <is>
          <t>Föryngringsavverkning</t>
        </is>
      </c>
      <c r="D341" s="1" t="n">
        <v>44473</v>
      </c>
      <c r="E341" s="1" t="n">
        <v>46224</v>
      </c>
      <c r="F341" t="inlineStr">
        <is>
          <t>DALARNAS LÄN</t>
        </is>
      </c>
      <c r="G341" t="inlineStr">
        <is>
          <t>ÄLVDALEN</t>
        </is>
      </c>
      <c r="I341" t="n">
        <v>0.5</v>
      </c>
      <c r="J341" t="n">
        <v>0</v>
      </c>
      <c r="K341" t="n">
        <v>0</v>
      </c>
      <c r="L341" t="n">
        <v>0</v>
      </c>
      <c r="M341" t="n">
        <v>0</v>
      </c>
      <c r="N341" t="n">
        <v>0</v>
      </c>
      <c r="O341" t="n">
        <v>0</v>
      </c>
      <c r="P341" t="n">
        <v>0</v>
      </c>
      <c r="Q341" t="n">
        <v>0</v>
      </c>
      <c r="R341" t="n">
        <v>0</v>
      </c>
      <c r="S341" t="n">
        <v>0</v>
      </c>
      <c r="T341" t="n">
        <v>0</v>
      </c>
      <c r="U341" t="n">
        <v>0</v>
      </c>
      <c r="V341" s="2" t="inlineStr"/>
      <c r="X341">
        <f>HYPERLINK("https://klasma.github.io/Logging_2039/kartor/A 54632-2021 karta.png", "A 54632-2021")</f>
        <v/>
      </c>
      <c r="Y341">
        <f>HYPERLINK("https://klasma.github.io/Logging_2039/kartor_geotiff/A 54632-2021 georefererad karta.tif", "A 54632-2021")</f>
        <v/>
      </c>
      <c r="AA341">
        <f>HYPERLINK("https://klasma.github.io/Logging_2039/klagomål/A 54632-2021 FSC-klagomål.docx", "A 54632-2021")</f>
        <v/>
      </c>
      <c r="AB341">
        <f>HYPERLINK("https://klasma.github.io/Logging_2039/klagomålsmail/A 54632-2021 FSC-klagomål mail.docx", "A 54632-2021")</f>
        <v/>
      </c>
      <c r="AC341">
        <f>HYPERLINK("https://klasma.github.io/Logging_2039/tillsyn/A 54632-2021 tillsynsbegäran.docx", "A 54632-2021")</f>
        <v/>
      </c>
      <c r="AD341">
        <f>HYPERLINK("https://klasma.github.io/Logging_2039/tillsynsmail/A 54632-2021 tillsynsbegäran mail.docx", "A 54632-2021")</f>
        <v/>
      </c>
    </row>
    <row r="342" ht="15" customHeight="1">
      <c r="A342" t="inlineStr">
        <is>
          <t>A 2377-2024</t>
        </is>
      </c>
      <c r="B342" t="inlineStr">
        <is>
          <t>avverkningsanmälan</t>
        </is>
      </c>
      <c r="C342" t="inlineStr">
        <is>
          <t>Föryngringsavverkning</t>
        </is>
      </c>
      <c r="D342" s="1" t="n">
        <v>45310</v>
      </c>
      <c r="E342" s="1" t="n">
        <v>46224</v>
      </c>
      <c r="F342" t="inlineStr">
        <is>
          <t>DALARNAS LÄN</t>
        </is>
      </c>
      <c r="G342" t="inlineStr">
        <is>
          <t>ÄLVDALEN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2384-2024</t>
        </is>
      </c>
      <c r="B343" t="inlineStr">
        <is>
          <t>avverkningsanmälan</t>
        </is>
      </c>
      <c r="C343" t="inlineStr">
        <is>
          <t>Föryngringsavverkning</t>
        </is>
      </c>
      <c r="D343" s="1" t="n">
        <v>45310</v>
      </c>
      <c r="E343" s="1" t="n">
        <v>46224</v>
      </c>
      <c r="F343" t="inlineStr">
        <is>
          <t>DALARNAS LÄN</t>
        </is>
      </c>
      <c r="G343" t="inlineStr">
        <is>
          <t>ÄLVDALEN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42426-2023</t>
        </is>
      </c>
      <c r="B344" t="inlineStr">
        <is>
          <t>avverkningsanmälan</t>
        </is>
      </c>
      <c r="C344" t="inlineStr">
        <is>
          <t>Föryngringsavverkning</t>
        </is>
      </c>
      <c r="D344" s="1" t="n">
        <v>45175</v>
      </c>
      <c r="E344" s="1" t="n">
        <v>46224</v>
      </c>
      <c r="F344" t="inlineStr">
        <is>
          <t>DALARNAS LÄN</t>
        </is>
      </c>
      <c r="G344" t="inlineStr">
        <is>
          <t>ÄLVDALEN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36830-2025</t>
        </is>
      </c>
      <c r="B345" t="inlineStr">
        <is>
          <t>avverkningsanmälan</t>
        </is>
      </c>
      <c r="C345" t="inlineStr">
        <is>
          <t>Föryngringsavverkning</t>
        </is>
      </c>
      <c r="D345" s="1" t="n">
        <v>45874</v>
      </c>
      <c r="E345" s="1" t="n">
        <v>46224</v>
      </c>
      <c r="F345" t="inlineStr">
        <is>
          <t>DALARNAS LÄN</t>
        </is>
      </c>
      <c r="G345" t="inlineStr">
        <is>
          <t>ÄLVDALEN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37186-2025</t>
        </is>
      </c>
      <c r="B346" t="inlineStr">
        <is>
          <t>avverkningsanmälan</t>
        </is>
      </c>
      <c r="C346" t="inlineStr">
        <is>
          <t>Avverkning för annat ändamål</t>
        </is>
      </c>
      <c r="D346" s="1" t="n">
        <v>45875</v>
      </c>
      <c r="E346" s="1" t="n">
        <v>46224</v>
      </c>
      <c r="F346" t="inlineStr">
        <is>
          <t>DALARNAS LÄN</t>
        </is>
      </c>
      <c r="G346" t="inlineStr">
        <is>
          <t>ÄLVDALEN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1011-2026</t>
        </is>
      </c>
      <c r="B347" t="inlineStr">
        <is>
          <t>avverkningsanmälan</t>
        </is>
      </c>
      <c r="C347" t="inlineStr">
        <is>
          <t>Föryngringsavverkning</t>
        </is>
      </c>
      <c r="D347" s="1" t="n">
        <v>46030</v>
      </c>
      <c r="E347" s="1" t="n">
        <v>46224</v>
      </c>
      <c r="F347" t="inlineStr">
        <is>
          <t>DALARNAS LÄN</t>
        </is>
      </c>
      <c r="G347" t="inlineStr">
        <is>
          <t>ÄLVDALEN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760-2025</t>
        </is>
      </c>
      <c r="B348" t="inlineStr">
        <is>
          <t>avverkningsanmälan</t>
        </is>
      </c>
      <c r="C348" t="inlineStr">
        <is>
          <t>Föryngringsavverkning</t>
        </is>
      </c>
      <c r="D348" s="1" t="n">
        <v>45665</v>
      </c>
      <c r="E348" s="1" t="n">
        <v>46224</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55589-2022</t>
        </is>
      </c>
      <c r="B349" t="inlineStr">
        <is>
          <t>avverkningsanmälan</t>
        </is>
      </c>
      <c r="C349" t="inlineStr">
        <is>
          <t>Föryngringsavverkning</t>
        </is>
      </c>
      <c r="D349" s="1" t="n">
        <v>44888</v>
      </c>
      <c r="E349" s="1" t="n">
        <v>46224</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54114-2025</t>
        </is>
      </c>
      <c r="B350" t="inlineStr">
        <is>
          <t>avverkningsanmälan</t>
        </is>
      </c>
      <c r="C350" t="inlineStr">
        <is>
          <t>Föryngringsavverkning</t>
        </is>
      </c>
      <c r="D350" s="1" t="n">
        <v>45964</v>
      </c>
      <c r="E350" s="1" t="n">
        <v>46224</v>
      </c>
      <c r="F350" t="inlineStr">
        <is>
          <t>DALARNAS LÄN</t>
        </is>
      </c>
      <c r="G350" t="inlineStr">
        <is>
          <t>ÄLVDALEN</t>
        </is>
      </c>
      <c r="H350" t="inlineStr">
        <is>
          <t>Bergvik skog väst AB</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33099-2023</t>
        </is>
      </c>
      <c r="B351" t="inlineStr">
        <is>
          <t>avverkningsanmälan</t>
        </is>
      </c>
      <c r="C351" t="inlineStr">
        <is>
          <t>Föryngringsavverkning</t>
        </is>
      </c>
      <c r="D351" s="1" t="n">
        <v>45114</v>
      </c>
      <c r="E351" s="1" t="n">
        <v>46224</v>
      </c>
      <c r="F351" t="inlineStr">
        <is>
          <t>DALARNAS LÄN</t>
        </is>
      </c>
      <c r="G351" t="inlineStr">
        <is>
          <t>ÄLVDALEN</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47071-2023</t>
        </is>
      </c>
      <c r="B352" t="inlineStr">
        <is>
          <t>avverkningsanmälan</t>
        </is>
      </c>
      <c r="C352" t="inlineStr">
        <is>
          <t>Föryngringsavverkning</t>
        </is>
      </c>
      <c r="D352" s="1" t="n">
        <v>45201</v>
      </c>
      <c r="E352" s="1" t="n">
        <v>46224</v>
      </c>
      <c r="F352" t="inlineStr">
        <is>
          <t>DALARNAS LÄN</t>
        </is>
      </c>
      <c r="G352" t="inlineStr">
        <is>
          <t>ÄLVDALEN</t>
        </is>
      </c>
      <c r="H352" t="inlineStr">
        <is>
          <t>Bergvik skog väst AB</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61575-2024</t>
        </is>
      </c>
      <c r="B353" t="inlineStr">
        <is>
          <t>avverkningsanmälan</t>
        </is>
      </c>
      <c r="C353" t="inlineStr">
        <is>
          <t>Föryngringsavverkning</t>
        </is>
      </c>
      <c r="D353" s="1" t="n">
        <v>45646</v>
      </c>
      <c r="E353" s="1" t="n">
        <v>46224</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55176-2025</t>
        </is>
      </c>
      <c r="B354" t="inlineStr">
        <is>
          <t>avverkningsanmälan</t>
        </is>
      </c>
      <c r="C354" t="inlineStr">
        <is>
          <t>Föryngringsavverkning</t>
        </is>
      </c>
      <c r="D354" s="1" t="n">
        <v>45968</v>
      </c>
      <c r="E354" s="1" t="n">
        <v>46224</v>
      </c>
      <c r="F354" t="inlineStr">
        <is>
          <t>DALARNAS LÄN</t>
        </is>
      </c>
      <c r="G354" t="inlineStr">
        <is>
          <t>ÄLVDALEN</t>
        </is>
      </c>
      <c r="H354" t="inlineStr">
        <is>
          <t>Bergvik skog väst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1934-2026</t>
        </is>
      </c>
      <c r="B355" t="inlineStr">
        <is>
          <t>avverkningsanmälan</t>
        </is>
      </c>
      <c r="C355" t="inlineStr">
        <is>
          <t>Föryngringsavverkning</t>
        </is>
      </c>
      <c r="D355" s="1" t="n">
        <v>46035</v>
      </c>
      <c r="E355" s="1" t="n">
        <v>46224</v>
      </c>
      <c r="F355" t="inlineStr">
        <is>
          <t>DALARNAS LÄN</t>
        </is>
      </c>
      <c r="G355" t="inlineStr">
        <is>
          <t>ÄLVDALEN</t>
        </is>
      </c>
      <c r="H355" t="inlineStr">
        <is>
          <t>Övriga statliga verk och myndigheter</t>
        </is>
      </c>
      <c r="I355" t="n">
        <v>22.9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6001-2024</t>
        </is>
      </c>
      <c r="B356" t="inlineStr">
        <is>
          <t>avverkningsanmälan</t>
        </is>
      </c>
      <c r="C356" t="inlineStr">
        <is>
          <t>Föryngringsavverkning</t>
        </is>
      </c>
      <c r="D356" s="1" t="n">
        <v>45336</v>
      </c>
      <c r="E356" s="1" t="n">
        <v>46224</v>
      </c>
      <c r="F356" t="inlineStr">
        <is>
          <t>DALARNAS LÄN</t>
        </is>
      </c>
      <c r="G356" t="inlineStr">
        <is>
          <t>ÄLVDALEN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505-2024</t>
        </is>
      </c>
      <c r="B357" t="inlineStr">
        <is>
          <t>avverkningsanmälan</t>
        </is>
      </c>
      <c r="C357" t="inlineStr">
        <is>
          <t>Föryngringsavverkning</t>
        </is>
      </c>
      <c r="D357" s="1" t="n">
        <v>45299</v>
      </c>
      <c r="E357" s="1" t="n">
        <v>46224</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54493-2023</t>
        </is>
      </c>
      <c r="B358" t="inlineStr">
        <is>
          <t>avverkningsanmälan</t>
        </is>
      </c>
      <c r="C358" t="inlineStr">
        <is>
          <t>Föryngringsavverkning</t>
        </is>
      </c>
      <c r="D358" s="1" t="n">
        <v>45233</v>
      </c>
      <c r="E358" s="1" t="n">
        <v>46224</v>
      </c>
      <c r="F358" t="inlineStr">
        <is>
          <t>DALARNAS LÄN</t>
        </is>
      </c>
      <c r="G358" t="inlineStr">
        <is>
          <t>ÄLVDALEN</t>
        </is>
      </c>
      <c r="H358" t="inlineStr">
        <is>
          <t>Allmännings- och besparingsskogar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2042-2026</t>
        </is>
      </c>
      <c r="B359" t="inlineStr">
        <is>
          <t>avverkningsanmälan</t>
        </is>
      </c>
      <c r="C359" t="inlineStr">
        <is>
          <t>Föryngringsavverkning</t>
        </is>
      </c>
      <c r="D359" s="1" t="n">
        <v>46031</v>
      </c>
      <c r="E359" s="1" t="n">
        <v>46224</v>
      </c>
      <c r="F359" t="inlineStr">
        <is>
          <t>DALARNAS LÄN</t>
        </is>
      </c>
      <c r="G359" t="inlineStr">
        <is>
          <t>ÄLVDALEN</t>
        </is>
      </c>
      <c r="H359" t="inlineStr">
        <is>
          <t>Sveaskog</t>
        </is>
      </c>
      <c r="I359" t="n">
        <v>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55924-2025</t>
        </is>
      </c>
      <c r="B360" t="inlineStr">
        <is>
          <t>avverkningsanmälan</t>
        </is>
      </c>
      <c r="C360" t="inlineStr">
        <is>
          <t>Föryngringsavverkning</t>
        </is>
      </c>
      <c r="D360" s="1" t="n">
        <v>45973</v>
      </c>
      <c r="E360" s="1" t="n">
        <v>46224</v>
      </c>
      <c r="F360" t="inlineStr">
        <is>
          <t>DALARNAS LÄN</t>
        </is>
      </c>
      <c r="G360" t="inlineStr">
        <is>
          <t>ÄLVDALEN</t>
        </is>
      </c>
      <c r="H360" t="inlineStr">
        <is>
          <t>Övriga statliga verk och myndigheter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55919-2025</t>
        </is>
      </c>
      <c r="B361" t="inlineStr">
        <is>
          <t>avverkningsanmälan</t>
        </is>
      </c>
      <c r="C361" t="inlineStr">
        <is>
          <t>Föryngringsavverkning</t>
        </is>
      </c>
      <c r="D361" s="1" t="n">
        <v>45973</v>
      </c>
      <c r="E361" s="1" t="n">
        <v>46224</v>
      </c>
      <c r="F361" t="inlineStr">
        <is>
          <t>DALARNAS LÄN</t>
        </is>
      </c>
      <c r="G361" t="inlineStr">
        <is>
          <t>ÄLVDALEN</t>
        </is>
      </c>
      <c r="H361" t="inlineStr">
        <is>
          <t>Övriga statliga verk och myndigheter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2375-2024</t>
        </is>
      </c>
      <c r="B362" t="inlineStr">
        <is>
          <t>avverkningsanmälan</t>
        </is>
      </c>
      <c r="C362" t="inlineStr">
        <is>
          <t>Föryngringsavverkning</t>
        </is>
      </c>
      <c r="D362" s="1" t="n">
        <v>45310</v>
      </c>
      <c r="E362" s="1" t="n">
        <v>46224</v>
      </c>
      <c r="F362" t="inlineStr">
        <is>
          <t>DALARNAS LÄN</t>
        </is>
      </c>
      <c r="G362" t="inlineStr">
        <is>
          <t>ÄLVDALEN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56252-2025</t>
        </is>
      </c>
      <c r="B363" t="inlineStr">
        <is>
          <t>avverkningsanmälan</t>
        </is>
      </c>
      <c r="C363" t="inlineStr">
        <is>
          <t>Föryngringsavverkning</t>
        </is>
      </c>
      <c r="D363" s="1" t="n">
        <v>45974</v>
      </c>
      <c r="E363" s="1" t="n">
        <v>46224</v>
      </c>
      <c r="F363" t="inlineStr">
        <is>
          <t>DALARNAS LÄN</t>
        </is>
      </c>
      <c r="G363" t="inlineStr">
        <is>
          <t>ÄLVDALEN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3120-2026</t>
        </is>
      </c>
      <c r="B364" t="inlineStr">
        <is>
          <t>avverkningsanmälan</t>
        </is>
      </c>
      <c r="C364" t="inlineStr">
        <is>
          <t>Föryngringsavverkning</t>
        </is>
      </c>
      <c r="D364" s="1" t="n">
        <v>46041</v>
      </c>
      <c r="E364" s="1" t="n">
        <v>46224</v>
      </c>
      <c r="F364" t="inlineStr">
        <is>
          <t>DALARNAS LÄN</t>
        </is>
      </c>
      <c r="G364" t="inlineStr">
        <is>
          <t>ÄLVDALEN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3124-2026</t>
        </is>
      </c>
      <c r="B365" t="inlineStr">
        <is>
          <t>avverkningsanmälan</t>
        </is>
      </c>
      <c r="C365" t="inlineStr">
        <is>
          <t>Föryngringsavverkning</t>
        </is>
      </c>
      <c r="D365" s="1" t="n">
        <v>46041</v>
      </c>
      <c r="E365" s="1" t="n">
        <v>46224</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2932-2026</t>
        </is>
      </c>
      <c r="B366" t="inlineStr">
        <is>
          <t>avverkningsanmälan</t>
        </is>
      </c>
      <c r="C366" t="inlineStr">
        <is>
          <t>Föryngringsavverkning</t>
        </is>
      </c>
      <c r="D366" s="1" t="n">
        <v>46038</v>
      </c>
      <c r="E366" s="1" t="n">
        <v>46224</v>
      </c>
      <c r="F366" t="inlineStr">
        <is>
          <t>DALARNAS LÄN</t>
        </is>
      </c>
      <c r="G366" t="inlineStr">
        <is>
          <t>ÄLVDALEN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6675-2025</t>
        </is>
      </c>
      <c r="B367" t="inlineStr">
        <is>
          <t>avverkningsanmälan</t>
        </is>
      </c>
      <c r="C367" t="inlineStr">
        <is>
          <t>Föryngringsavverkning</t>
        </is>
      </c>
      <c r="D367" s="1" t="n">
        <v>45700</v>
      </c>
      <c r="E367" s="1" t="n">
        <v>46224</v>
      </c>
      <c r="F367" t="inlineStr">
        <is>
          <t>DALARNAS LÄN</t>
        </is>
      </c>
      <c r="G367" t="inlineStr">
        <is>
          <t>ÄLVDALEN</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57510-2025</t>
        </is>
      </c>
      <c r="B368" t="inlineStr">
        <is>
          <t>avverkningsanmälan</t>
        </is>
      </c>
      <c r="C368" t="inlineStr">
        <is>
          <t>Föryngringsavverkning</t>
        </is>
      </c>
      <c r="D368" s="1" t="n">
        <v>45980</v>
      </c>
      <c r="E368" s="1" t="n">
        <v>46224</v>
      </c>
      <c r="F368" t="inlineStr">
        <is>
          <t>DALARNAS LÄN</t>
        </is>
      </c>
      <c r="G368" t="inlineStr">
        <is>
          <t>ÄLVDALEN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2921-2026</t>
        </is>
      </c>
      <c r="B369" t="inlineStr">
        <is>
          <t>avverkningsanmälan</t>
        </is>
      </c>
      <c r="C369" t="inlineStr">
        <is>
          <t>Föryngringsavverkning</t>
        </is>
      </c>
      <c r="D369" s="1" t="n">
        <v>46038</v>
      </c>
      <c r="E369" s="1" t="n">
        <v>46224</v>
      </c>
      <c r="F369" t="inlineStr">
        <is>
          <t>DALARNAS LÄN</t>
        </is>
      </c>
      <c r="G369" t="inlineStr">
        <is>
          <t>ÄLVDALEN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2788-2026</t>
        </is>
      </c>
      <c r="B370" t="inlineStr">
        <is>
          <t>avverkningsanmälan</t>
        </is>
      </c>
      <c r="C370" t="inlineStr">
        <is>
          <t>Föryngringsavverkning</t>
        </is>
      </c>
      <c r="D370" s="1" t="n">
        <v>46038</v>
      </c>
      <c r="E370" s="1" t="n">
        <v>46224</v>
      </c>
      <c r="F370" t="inlineStr">
        <is>
          <t>DALARNAS LÄN</t>
        </is>
      </c>
      <c r="G370" t="inlineStr">
        <is>
          <t>ÄLVDALEN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10817-2025</t>
        </is>
      </c>
      <c r="B371" t="inlineStr">
        <is>
          <t>avverkningsanmälan</t>
        </is>
      </c>
      <c r="C371" t="inlineStr">
        <is>
          <t>Föryngringsavverkning</t>
        </is>
      </c>
      <c r="D371" s="1" t="n">
        <v>45722</v>
      </c>
      <c r="E371" s="1" t="n">
        <v>46224</v>
      </c>
      <c r="F371" t="inlineStr">
        <is>
          <t>DALARNAS LÄN</t>
        </is>
      </c>
      <c r="G371" t="inlineStr">
        <is>
          <t>ÄLVDALEN</t>
        </is>
      </c>
      <c r="H371" t="inlineStr">
        <is>
          <t>Kommuner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10831-2025</t>
        </is>
      </c>
      <c r="B372" t="inlineStr">
        <is>
          <t>avverkningsanmälan</t>
        </is>
      </c>
      <c r="C372" t="inlineStr">
        <is>
          <t>Föryngringsavverkning</t>
        </is>
      </c>
      <c r="D372" s="1" t="n">
        <v>45722</v>
      </c>
      <c r="E372" s="1" t="n">
        <v>46224</v>
      </c>
      <c r="F372" t="inlineStr">
        <is>
          <t>DALARNAS LÄN</t>
        </is>
      </c>
      <c r="G372" t="inlineStr">
        <is>
          <t>ÄLVDALEN</t>
        </is>
      </c>
      <c r="H372" t="inlineStr">
        <is>
          <t>Kommuner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41446-2024</t>
        </is>
      </c>
      <c r="B373" t="inlineStr">
        <is>
          <t>avverkningsanmälan</t>
        </is>
      </c>
      <c r="C373" t="inlineStr">
        <is>
          <t>Avverkning för annat ändamål</t>
        </is>
      </c>
      <c r="D373" s="1" t="n">
        <v>45560</v>
      </c>
      <c r="E373" s="1" t="n">
        <v>46224</v>
      </c>
      <c r="F373" t="inlineStr">
        <is>
          <t>DALARNAS LÄN</t>
        </is>
      </c>
      <c r="G373" t="inlineStr">
        <is>
          <t>ÄLVDALEN</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2897-2026</t>
        </is>
      </c>
      <c r="B374" t="inlineStr">
        <is>
          <t>avverkningsanmälan</t>
        </is>
      </c>
      <c r="C374" t="inlineStr">
        <is>
          <t>Föryngringsavverkning</t>
        </is>
      </c>
      <c r="D374" s="1" t="n">
        <v>46038</v>
      </c>
      <c r="E374" s="1" t="n">
        <v>46224</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2914-2026</t>
        </is>
      </c>
      <c r="B375" t="inlineStr">
        <is>
          <t>avverkningsanmälan</t>
        </is>
      </c>
      <c r="C375" t="inlineStr">
        <is>
          <t>Föryngringsavverkning</t>
        </is>
      </c>
      <c r="D375" s="1" t="n">
        <v>46038</v>
      </c>
      <c r="E375" s="1" t="n">
        <v>46224</v>
      </c>
      <c r="F375" t="inlineStr">
        <is>
          <t>DALARNAS LÄN</t>
        </is>
      </c>
      <c r="G375" t="inlineStr">
        <is>
          <t>ÄLVDALEN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2906-2026</t>
        </is>
      </c>
      <c r="B376" t="inlineStr">
        <is>
          <t>avverkningsanmälan</t>
        </is>
      </c>
      <c r="C376" t="inlineStr">
        <is>
          <t>Föryngringsavverkning</t>
        </is>
      </c>
      <c r="D376" s="1" t="n">
        <v>46038</v>
      </c>
      <c r="E376" s="1" t="n">
        <v>46224</v>
      </c>
      <c r="F376" t="inlineStr">
        <is>
          <t>DALARNAS LÄN</t>
        </is>
      </c>
      <c r="G376" t="inlineStr">
        <is>
          <t>ÄLVDALEN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2927-2026</t>
        </is>
      </c>
      <c r="B377" t="inlineStr">
        <is>
          <t>avverkningsanmälan</t>
        </is>
      </c>
      <c r="C377" t="inlineStr">
        <is>
          <t>Föryngringsavverkning</t>
        </is>
      </c>
      <c r="D377" s="1" t="n">
        <v>46038</v>
      </c>
      <c r="E377" s="1" t="n">
        <v>46224</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60793-2022</t>
        </is>
      </c>
      <c r="B378" t="inlineStr">
        <is>
          <t>avverkningsanmälan</t>
        </is>
      </c>
      <c r="C378" t="inlineStr">
        <is>
          <t>Föryngringsavverkning</t>
        </is>
      </c>
      <c r="D378" s="1" t="n">
        <v>44911</v>
      </c>
      <c r="E378" s="1" t="n">
        <v>46224</v>
      </c>
      <c r="F378" t="inlineStr">
        <is>
          <t>DALARNAS LÄN</t>
        </is>
      </c>
      <c r="G378" t="inlineStr">
        <is>
          <t>ÄLVDALEN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2939-2026</t>
        </is>
      </c>
      <c r="B379" t="inlineStr">
        <is>
          <t>avverkningsanmälan</t>
        </is>
      </c>
      <c r="C379" t="inlineStr">
        <is>
          <t>Föryngringsavverkning</t>
        </is>
      </c>
      <c r="D379" s="1" t="n">
        <v>46038</v>
      </c>
      <c r="E379" s="1" t="n">
        <v>46224</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3645-2026</t>
        </is>
      </c>
      <c r="B380" t="inlineStr">
        <is>
          <t>avverkningsanmälan</t>
        </is>
      </c>
      <c r="C380" t="inlineStr">
        <is>
          <t>Föryngringsavverkning</t>
        </is>
      </c>
      <c r="D380" s="1" t="n">
        <v>46043</v>
      </c>
      <c r="E380" s="1" t="n">
        <v>46224</v>
      </c>
      <c r="F380" t="inlineStr">
        <is>
          <t>DALARNAS LÄN</t>
        </is>
      </c>
      <c r="G380" t="inlineStr">
        <is>
          <t>ÄLVDALEN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58739-2025</t>
        </is>
      </c>
      <c r="B381" t="inlineStr">
        <is>
          <t>avverkningsanmälan</t>
        </is>
      </c>
      <c r="C381" t="inlineStr">
        <is>
          <t>Föryngringsavverkning</t>
        </is>
      </c>
      <c r="D381" s="1" t="n">
        <v>45986</v>
      </c>
      <c r="E381" s="1" t="n">
        <v>46224</v>
      </c>
      <c r="F381" t="inlineStr">
        <is>
          <t>DALARNAS LÄN</t>
        </is>
      </c>
      <c r="G381" t="inlineStr">
        <is>
          <t>ÄLVDALEN</t>
        </is>
      </c>
      <c r="H381" t="inlineStr">
        <is>
          <t>Övriga statliga verk och myndigheter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3654-2026</t>
        </is>
      </c>
      <c r="B382" t="inlineStr">
        <is>
          <t>avverkningsanmälan</t>
        </is>
      </c>
      <c r="C382" t="inlineStr">
        <is>
          <t>Föryngringsavverkning</t>
        </is>
      </c>
      <c r="D382" s="1" t="n">
        <v>46043</v>
      </c>
      <c r="E382" s="1" t="n">
        <v>46224</v>
      </c>
      <c r="F382" t="inlineStr">
        <is>
          <t>DALARNAS LÄN</t>
        </is>
      </c>
      <c r="G382" t="inlineStr">
        <is>
          <t>ÄLVDALEN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32361-2024</t>
        </is>
      </c>
      <c r="B383" t="inlineStr">
        <is>
          <t>avverkningsanmälan</t>
        </is>
      </c>
      <c r="C383" t="inlineStr">
        <is>
          <t>Avverkning för annat ändamål</t>
        </is>
      </c>
      <c r="D383" s="1" t="n">
        <v>45512</v>
      </c>
      <c r="E383" s="1" t="n">
        <v>46224</v>
      </c>
      <c r="F383" t="inlineStr">
        <is>
          <t>DALARNAS LÄN</t>
        </is>
      </c>
      <c r="G383" t="inlineStr">
        <is>
          <t>ÄLVDALEN</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32363-2024</t>
        </is>
      </c>
      <c r="B384" t="inlineStr">
        <is>
          <t>avverkningsanmälan</t>
        </is>
      </c>
      <c r="C384" t="inlineStr">
        <is>
          <t>Avverkning för annat ändamål</t>
        </is>
      </c>
      <c r="D384" s="1" t="n">
        <v>45512</v>
      </c>
      <c r="E384" s="1" t="n">
        <v>46224</v>
      </c>
      <c r="F384" t="inlineStr">
        <is>
          <t>DALARNAS LÄN</t>
        </is>
      </c>
      <c r="G384" t="inlineStr">
        <is>
          <t>ÄLVDALEN</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37665-2023</t>
        </is>
      </c>
      <c r="B385" t="inlineStr">
        <is>
          <t>avverkningsanmälan</t>
        </is>
      </c>
      <c r="C385" t="inlineStr">
        <is>
          <t>Föryngringsavverkning</t>
        </is>
      </c>
      <c r="D385" s="1" t="n">
        <v>45159</v>
      </c>
      <c r="E385" s="1" t="n">
        <v>46224</v>
      </c>
      <c r="F385" t="inlineStr">
        <is>
          <t>DALARNAS LÄN</t>
        </is>
      </c>
      <c r="G385" t="inlineStr">
        <is>
          <t>ÄLVDALEN</t>
        </is>
      </c>
      <c r="H385" t="inlineStr">
        <is>
          <t>Allmännings- och besparingsskogar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59250-2025</t>
        </is>
      </c>
      <c r="B386" t="inlineStr">
        <is>
          <t>avverkningsanmälan</t>
        </is>
      </c>
      <c r="C386" t="inlineStr">
        <is>
          <t>Föryngringsavverkning</t>
        </is>
      </c>
      <c r="D386" s="1" t="n">
        <v>45988</v>
      </c>
      <c r="E386" s="1" t="n">
        <v>46224</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59234-2025</t>
        </is>
      </c>
      <c r="B387" t="inlineStr">
        <is>
          <t>avverkningsanmälan</t>
        </is>
      </c>
      <c r="C387" t="inlineStr">
        <is>
          <t>Föryngringsavverkning</t>
        </is>
      </c>
      <c r="D387" s="1" t="n">
        <v>45988</v>
      </c>
      <c r="E387" s="1" t="n">
        <v>46224</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59256-2025</t>
        </is>
      </c>
      <c r="B388" t="inlineStr">
        <is>
          <t>avverkningsanmälan</t>
        </is>
      </c>
      <c r="C388" t="inlineStr">
        <is>
          <t>Föryngringsavverkning</t>
        </is>
      </c>
      <c r="D388" s="1" t="n">
        <v>45988</v>
      </c>
      <c r="E388" s="1" t="n">
        <v>46224</v>
      </c>
      <c r="F388" t="inlineStr">
        <is>
          <t>DALARNAS LÄN</t>
        </is>
      </c>
      <c r="G388" t="inlineStr">
        <is>
          <t>ÄLVDALEN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3649-2026</t>
        </is>
      </c>
      <c r="B389" t="inlineStr">
        <is>
          <t>avverkningsanmälan</t>
        </is>
      </c>
      <c r="C389" t="inlineStr">
        <is>
          <t>Föryngringsavverkning</t>
        </is>
      </c>
      <c r="D389" s="1" t="n">
        <v>46043</v>
      </c>
      <c r="E389" s="1" t="n">
        <v>46224</v>
      </c>
      <c r="F389" t="inlineStr">
        <is>
          <t>DALARNAS LÄN</t>
        </is>
      </c>
      <c r="G389" t="inlineStr">
        <is>
          <t>ÄLVDALEN</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59590-2025</t>
        </is>
      </c>
      <c r="B390" t="inlineStr">
        <is>
          <t>avverkningsanmälan</t>
        </is>
      </c>
      <c r="C390" t="inlineStr">
        <is>
          <t>Föryngringsavverkning</t>
        </is>
      </c>
      <c r="D390" s="1" t="n">
        <v>45992</v>
      </c>
      <c r="E390" s="1" t="n">
        <v>46224</v>
      </c>
      <c r="F390" t="inlineStr">
        <is>
          <t>DALARNAS LÄN</t>
        </is>
      </c>
      <c r="G390" t="inlineStr">
        <is>
          <t>ÄLVDALEN</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59588-2025</t>
        </is>
      </c>
      <c r="B391" t="inlineStr">
        <is>
          <t>avverkningsanmälan</t>
        </is>
      </c>
      <c r="C391" t="inlineStr">
        <is>
          <t>Föryngringsavverkning</t>
        </is>
      </c>
      <c r="D391" s="1" t="n">
        <v>45992</v>
      </c>
      <c r="E391" s="1" t="n">
        <v>46224</v>
      </c>
      <c r="F391" t="inlineStr">
        <is>
          <t>DALARNAS LÄN</t>
        </is>
      </c>
      <c r="G391" t="inlineStr">
        <is>
          <t>ÄLVDALEN</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59591-2025</t>
        </is>
      </c>
      <c r="B392" t="inlineStr">
        <is>
          <t>avverkningsanmälan</t>
        </is>
      </c>
      <c r="C392" t="inlineStr">
        <is>
          <t>Föryngringsavverkning</t>
        </is>
      </c>
      <c r="D392" s="1" t="n">
        <v>45992</v>
      </c>
      <c r="E392" s="1" t="n">
        <v>46224</v>
      </c>
      <c r="F392" t="inlineStr">
        <is>
          <t>DALARNAS LÄN</t>
        </is>
      </c>
      <c r="G392" t="inlineStr">
        <is>
          <t>ÄLVDALEN</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60292-2025</t>
        </is>
      </c>
      <c r="B393" t="inlineStr">
        <is>
          <t>avverkningsanmälan</t>
        </is>
      </c>
      <c r="C393" t="inlineStr">
        <is>
          <t>Föryngringsavverkning</t>
        </is>
      </c>
      <c r="D393" s="1" t="n">
        <v>45994</v>
      </c>
      <c r="E393" s="1" t="n">
        <v>46224</v>
      </c>
      <c r="F393" t="inlineStr">
        <is>
          <t>DALARNAS LÄN</t>
        </is>
      </c>
      <c r="G393" t="inlineStr">
        <is>
          <t>ÄLVDALEN</t>
        </is>
      </c>
      <c r="H393" t="inlineStr">
        <is>
          <t>Allmännings- och besparingsskogar</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3887-2026</t>
        </is>
      </c>
      <c r="B394" t="inlineStr">
        <is>
          <t>avverkningsanmälan</t>
        </is>
      </c>
      <c r="C394" t="inlineStr">
        <is>
          <t>Föryngringsavverkning</t>
        </is>
      </c>
      <c r="D394" s="1" t="n">
        <v>46043</v>
      </c>
      <c r="E394" s="1" t="n">
        <v>46224</v>
      </c>
      <c r="F394" t="inlineStr">
        <is>
          <t>DALARNAS LÄN</t>
        </is>
      </c>
      <c r="G394" t="inlineStr">
        <is>
          <t>ÄLVDALEN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60672-2025</t>
        </is>
      </c>
      <c r="B395" t="inlineStr">
        <is>
          <t>avverkningsanmälan</t>
        </is>
      </c>
      <c r="C395" t="inlineStr">
        <is>
          <t>Föryngringsavverkning</t>
        </is>
      </c>
      <c r="D395" s="1" t="n">
        <v>45996</v>
      </c>
      <c r="E395" s="1" t="n">
        <v>46224</v>
      </c>
      <c r="F395" t="inlineStr">
        <is>
          <t>DALARNAS LÄN</t>
        </is>
      </c>
      <c r="G395" t="inlineStr">
        <is>
          <t>ÄLVDALEN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63329-2023</t>
        </is>
      </c>
      <c r="B396" t="inlineStr">
        <is>
          <t>avverkningsanmälan</t>
        </is>
      </c>
      <c r="C396" t="inlineStr">
        <is>
          <t>Föryngringsavverkning</t>
        </is>
      </c>
      <c r="D396" s="1" t="n">
        <v>45274</v>
      </c>
      <c r="E396" s="1" t="n">
        <v>46224</v>
      </c>
      <c r="F396" t="inlineStr">
        <is>
          <t>DALARNAS LÄN</t>
        </is>
      </c>
      <c r="G396" t="inlineStr">
        <is>
          <t>ÄLVDALEN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3390-2026</t>
        </is>
      </c>
      <c r="B397" t="inlineStr">
        <is>
          <t>avverkningsanmälan</t>
        </is>
      </c>
      <c r="C397" t="inlineStr">
        <is>
          <t>Föryngringsavverkning</t>
        </is>
      </c>
      <c r="D397" s="1" t="n">
        <v>46042</v>
      </c>
      <c r="E397" s="1" t="n">
        <v>46224</v>
      </c>
      <c r="F397" t="inlineStr">
        <is>
          <t>DALARNAS LÄN</t>
        </is>
      </c>
      <c r="G397" t="inlineStr">
        <is>
          <t>ÄLVDALEN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29610-2024</t>
        </is>
      </c>
      <c r="B398" t="inlineStr">
        <is>
          <t>avverkningsanmälan</t>
        </is>
      </c>
      <c r="C398" t="inlineStr">
        <is>
          <t>Föryngringsavverkning</t>
        </is>
      </c>
      <c r="D398" s="1" t="n">
        <v>45484</v>
      </c>
      <c r="E398" s="1" t="n">
        <v>46224</v>
      </c>
      <c r="F398" t="inlineStr">
        <is>
          <t>DALARNAS LÄN</t>
        </is>
      </c>
      <c r="G398" t="inlineStr">
        <is>
          <t>ÄLVDALEN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28467-2024</t>
        </is>
      </c>
      <c r="B399" t="inlineStr">
        <is>
          <t>avverkningsanmälan</t>
        </is>
      </c>
      <c r="C399" t="inlineStr">
        <is>
          <t>Föryngringsavverkning</t>
        </is>
      </c>
      <c r="D399" s="1" t="n">
        <v>45477</v>
      </c>
      <c r="E399" s="1" t="n">
        <v>46224</v>
      </c>
      <c r="F399" t="inlineStr">
        <is>
          <t>DALARNAS LÄN</t>
        </is>
      </c>
      <c r="G399" t="inlineStr">
        <is>
          <t>ÄLVDALEN</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46800-2025</t>
        </is>
      </c>
      <c r="B400" t="inlineStr">
        <is>
          <t>avverkningsanmälan</t>
        </is>
      </c>
      <c r="C400" t="inlineStr">
        <is>
          <t>Föryngringsavverkning</t>
        </is>
      </c>
      <c r="D400" s="1" t="n">
        <v>45926</v>
      </c>
      <c r="E400" s="1" t="n">
        <v>46224</v>
      </c>
      <c r="F400" t="inlineStr">
        <is>
          <t>DALARNAS LÄN</t>
        </is>
      </c>
      <c r="G400" t="inlineStr">
        <is>
          <t>ÄLVDALEN</t>
        </is>
      </c>
      <c r="H400" t="inlineStr">
        <is>
          <t>Allmännings- och besparingsskogar</t>
        </is>
      </c>
      <c r="I400" t="n">
        <v>0.8</v>
      </c>
      <c r="J400" t="n">
        <v>0</v>
      </c>
      <c r="K400" t="n">
        <v>0</v>
      </c>
      <c r="L400" t="n">
        <v>0</v>
      </c>
      <c r="M400" t="n">
        <v>0</v>
      </c>
      <c r="N400" t="n">
        <v>0</v>
      </c>
      <c r="O400" t="n">
        <v>0</v>
      </c>
      <c r="P400" t="n">
        <v>0</v>
      </c>
      <c r="Q400" t="n">
        <v>0</v>
      </c>
      <c r="R400" t="n">
        <v>0</v>
      </c>
      <c r="S400" t="n">
        <v>0</v>
      </c>
      <c r="T400" t="n">
        <v>0</v>
      </c>
      <c r="U400" t="n">
        <v>0</v>
      </c>
      <c r="V400" s="2" t="inlineStr"/>
      <c r="X400">
        <f>HYPERLINK("https://klasma.github.io/Logging_2039/kartor/A 46800-2025 karta.png", "A 46800-2025")</f>
        <v/>
      </c>
      <c r="Y400">
        <f>HYPERLINK("https://klasma.github.io/Logging_2039/kartor_geotiff/A 46800-2025 georefererad karta.tif", "A 46800-2025")</f>
        <v/>
      </c>
      <c r="AA400">
        <f>HYPERLINK("https://klasma.github.io/Logging_2039/klagomål/A 46800-2025 FSC-klagomål.docx", "A 46800-2025")</f>
        <v/>
      </c>
      <c r="AB400">
        <f>HYPERLINK("https://klasma.github.io/Logging_2039/klagomålsmail/A 46800-2025 FSC-klagomål mail.docx", "A 46800-2025")</f>
        <v/>
      </c>
      <c r="AC400">
        <f>HYPERLINK("https://klasma.github.io/Logging_2039/tillsyn/A 46800-2025 tillsynsbegäran.docx", "A 46800-2025")</f>
        <v/>
      </c>
      <c r="AD400">
        <f>HYPERLINK("https://klasma.github.io/Logging_2039/tillsynsmail/A 46800-2025 tillsynsbegäran mail.docx", "A 46800-2025")</f>
        <v/>
      </c>
      <c r="AE400">
        <f>HYPERLINK("https://klasma.github.io/Logging_2039/fåglar/A 46800-2025 prioriterade fågelarter.docx", "A 46800-2025")</f>
        <v/>
      </c>
    </row>
    <row r="401" ht="15" customHeight="1">
      <c r="A401" t="inlineStr">
        <is>
          <t>A 3191-2026</t>
        </is>
      </c>
      <c r="B401" t="inlineStr">
        <is>
          <t>avverkningsanmälan</t>
        </is>
      </c>
      <c r="C401" t="inlineStr">
        <is>
          <t>Föryngringsavverkning</t>
        </is>
      </c>
      <c r="D401" s="1" t="n">
        <v>46041</v>
      </c>
      <c r="E401" s="1" t="n">
        <v>46224</v>
      </c>
      <c r="F401" t="inlineStr">
        <is>
          <t>DALARNAS LÄN</t>
        </is>
      </c>
      <c r="G401" t="inlineStr">
        <is>
          <t>ÄLVDALEN</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19583-2025</t>
        </is>
      </c>
      <c r="B402" t="inlineStr">
        <is>
          <t>avverkningsanmälan</t>
        </is>
      </c>
      <c r="C402" t="inlineStr">
        <is>
          <t>Föryngringsavverkning</t>
        </is>
      </c>
      <c r="D402" s="1" t="n">
        <v>45770</v>
      </c>
      <c r="E402" s="1" t="n">
        <v>46224</v>
      </c>
      <c r="F402" t="inlineStr">
        <is>
          <t>DALARNAS LÄN</t>
        </is>
      </c>
      <c r="G402" t="inlineStr">
        <is>
          <t>ÄLVDALEN</t>
        </is>
      </c>
      <c r="H402" t="inlineStr">
        <is>
          <t>Sveaskog</t>
        </is>
      </c>
      <c r="I402" t="n">
        <v>24.1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4023-2026</t>
        </is>
      </c>
      <c r="B403" t="inlineStr">
        <is>
          <t>avverkningsanmälan</t>
        </is>
      </c>
      <c r="C403" t="inlineStr">
        <is>
          <t>Avverkning för att bevara och utveckla /försöksver</t>
        </is>
      </c>
      <c r="D403" s="1" t="n">
        <v>46044</v>
      </c>
      <c r="E403" s="1" t="n">
        <v>46224</v>
      </c>
      <c r="F403" t="inlineStr">
        <is>
          <t>DALARNAS LÄN</t>
        </is>
      </c>
      <c r="G403" t="inlineStr">
        <is>
          <t>ÄLVDALEN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3893-2024</t>
        </is>
      </c>
      <c r="B404" t="inlineStr">
        <is>
          <t>avverkningsanmälan</t>
        </is>
      </c>
      <c r="C404" t="inlineStr">
        <is>
          <t>Föryngringsavverkning</t>
        </is>
      </c>
      <c r="D404" s="1" t="n">
        <v>45322</v>
      </c>
      <c r="E404" s="1" t="n">
        <v>46224</v>
      </c>
      <c r="F404" t="inlineStr">
        <is>
          <t>DALARNAS LÄN</t>
        </is>
      </c>
      <c r="G404" t="inlineStr">
        <is>
          <t>ÄLVDALEN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5063-2025</t>
        </is>
      </c>
      <c r="B405" t="inlineStr">
        <is>
          <t>avverkningsanmälan</t>
        </is>
      </c>
      <c r="C405" t="inlineStr">
        <is>
          <t>Avverkning för att bevara och utveckla /försöksver</t>
        </is>
      </c>
      <c r="D405" s="1" t="n">
        <v>45691</v>
      </c>
      <c r="E405" s="1" t="n">
        <v>46224</v>
      </c>
      <c r="F405" t="inlineStr">
        <is>
          <t>DALARNAS LÄN</t>
        </is>
      </c>
      <c r="G405" t="inlineStr">
        <is>
          <t>ÄLVDALEN</t>
        </is>
      </c>
      <c r="H405" t="inlineStr">
        <is>
          <t>Bergvik skog väst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777-2025</t>
        </is>
      </c>
      <c r="B406" t="inlineStr">
        <is>
          <t>avverkningsanmälan</t>
        </is>
      </c>
      <c r="C406" t="inlineStr">
        <is>
          <t>Föryngringsavverkning</t>
        </is>
      </c>
      <c r="D406" s="1" t="n">
        <v>45665</v>
      </c>
      <c r="E406" s="1" t="n">
        <v>46224</v>
      </c>
      <c r="F406" t="inlineStr">
        <is>
          <t>DALARNAS LÄN</t>
        </is>
      </c>
      <c r="G406" t="inlineStr">
        <is>
          <t>ÄLVDALEN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6936-2026</t>
        </is>
      </c>
      <c r="B407" t="inlineStr">
        <is>
          <t>avverkningsanmälan</t>
        </is>
      </c>
      <c r="C407" t="inlineStr">
        <is>
          <t>Föryngringsavverkning</t>
        </is>
      </c>
      <c r="D407" s="1" t="n">
        <v>46057</v>
      </c>
      <c r="E407" s="1" t="n">
        <v>46224</v>
      </c>
      <c r="F407" t="inlineStr">
        <is>
          <t>DALARNAS LÄN</t>
        </is>
      </c>
      <c r="G407" t="inlineStr">
        <is>
          <t>ÄLVDALEN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7101-2026</t>
        </is>
      </c>
      <c r="B408" t="inlineStr">
        <is>
          <t>avverkningsanmälan</t>
        </is>
      </c>
      <c r="C408" t="inlineStr">
        <is>
          <t>Föryngringsavverkning</t>
        </is>
      </c>
      <c r="D408" s="1" t="n">
        <v>46058</v>
      </c>
      <c r="E408" s="1" t="n">
        <v>46224</v>
      </c>
      <c r="F408" t="inlineStr">
        <is>
          <t>DALARNAS LÄN</t>
        </is>
      </c>
      <c r="G408" t="inlineStr">
        <is>
          <t>ÄLVDALEN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7784-2026</t>
        </is>
      </c>
      <c r="B409" t="inlineStr">
        <is>
          <t>avverkningsanmälan</t>
        </is>
      </c>
      <c r="C409" t="inlineStr">
        <is>
          <t>Föryngringsavverkning</t>
        </is>
      </c>
      <c r="D409" s="1" t="n">
        <v>46062</v>
      </c>
      <c r="E409" s="1" t="n">
        <v>46224</v>
      </c>
      <c r="F409" t="inlineStr">
        <is>
          <t>DALARNAS LÄN</t>
        </is>
      </c>
      <c r="G409" t="inlineStr">
        <is>
          <t>ÄLVDALEN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7782-2026</t>
        </is>
      </c>
      <c r="B410" t="inlineStr">
        <is>
          <t>avverkningsanmälan</t>
        </is>
      </c>
      <c r="C410" t="inlineStr">
        <is>
          <t>Föryngringsavverkning</t>
        </is>
      </c>
      <c r="D410" s="1" t="n">
        <v>46062</v>
      </c>
      <c r="E410" s="1" t="n">
        <v>46224</v>
      </c>
      <c r="F410" t="inlineStr">
        <is>
          <t>DALARNAS LÄN</t>
        </is>
      </c>
      <c r="G410" t="inlineStr">
        <is>
          <t>ÄLVDALEN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7795-2026</t>
        </is>
      </c>
      <c r="B411" t="inlineStr">
        <is>
          <t>avverkningsanmälan</t>
        </is>
      </c>
      <c r="C411" t="inlineStr">
        <is>
          <t>Föryngringsavverkning</t>
        </is>
      </c>
      <c r="D411" s="1" t="n">
        <v>46062</v>
      </c>
      <c r="E411" s="1" t="n">
        <v>46224</v>
      </c>
      <c r="F411" t="inlineStr">
        <is>
          <t>DALARNAS LÄN</t>
        </is>
      </c>
      <c r="G411" t="inlineStr">
        <is>
          <t>ÄLVDALEN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7802-2026</t>
        </is>
      </c>
      <c r="B412" t="inlineStr">
        <is>
          <t>avverkningsanmälan</t>
        </is>
      </c>
      <c r="C412" t="inlineStr">
        <is>
          <t>Föryngringsavverkning</t>
        </is>
      </c>
      <c r="D412" s="1" t="n">
        <v>46062</v>
      </c>
      <c r="E412" s="1" t="n">
        <v>46224</v>
      </c>
      <c r="F412" t="inlineStr">
        <is>
          <t>DALARNAS LÄN</t>
        </is>
      </c>
      <c r="G412" t="inlineStr">
        <is>
          <t>ÄLVDALEN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7788-2026</t>
        </is>
      </c>
      <c r="B413" t="inlineStr">
        <is>
          <t>avverkningsanmälan</t>
        </is>
      </c>
      <c r="C413" t="inlineStr">
        <is>
          <t>Föryngringsavverkning</t>
        </is>
      </c>
      <c r="D413" s="1" t="n">
        <v>46062</v>
      </c>
      <c r="E413" s="1" t="n">
        <v>46224</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18075-2024</t>
        </is>
      </c>
      <c r="B414" t="inlineStr">
        <is>
          <t>avverkningsanmälan</t>
        </is>
      </c>
      <c r="C414" t="inlineStr">
        <is>
          <t>Föryngringsavverkning</t>
        </is>
      </c>
      <c r="D414" s="1" t="n">
        <v>45420</v>
      </c>
      <c r="E414" s="1" t="n">
        <v>46224</v>
      </c>
      <c r="F414" t="inlineStr">
        <is>
          <t>DALARNAS LÄN</t>
        </is>
      </c>
      <c r="G414" t="inlineStr">
        <is>
          <t>ÄLVDALEN</t>
        </is>
      </c>
      <c r="H414" t="inlineStr">
        <is>
          <t>Bergvik skog väst AB</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8644-2026</t>
        </is>
      </c>
      <c r="B415" t="inlineStr">
        <is>
          <t>avverkningsanmälan</t>
        </is>
      </c>
      <c r="C415" t="inlineStr">
        <is>
          <t>Föryngringsavverkning</t>
        </is>
      </c>
      <c r="D415" s="1" t="n">
        <v>46066</v>
      </c>
      <c r="E415" s="1" t="n">
        <v>46224</v>
      </c>
      <c r="F415" t="inlineStr">
        <is>
          <t>DALARNAS LÄN</t>
        </is>
      </c>
      <c r="G415" t="inlineStr">
        <is>
          <t>ÄLVDALEN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9492-2026</t>
        </is>
      </c>
      <c r="B416" t="inlineStr">
        <is>
          <t>avverkningsanmälan</t>
        </is>
      </c>
      <c r="C416" t="inlineStr">
        <is>
          <t>Föryngringsavverkning</t>
        </is>
      </c>
      <c r="D416" s="1" t="n">
        <v>46071</v>
      </c>
      <c r="E416" s="1" t="n">
        <v>46224</v>
      </c>
      <c r="F416" t="inlineStr">
        <is>
          <t>DALARNAS LÄN</t>
        </is>
      </c>
      <c r="G416" t="inlineStr">
        <is>
          <t>ÄLVDALEN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9498-2026</t>
        </is>
      </c>
      <c r="B417" t="inlineStr">
        <is>
          <t>avverkningsanmälan</t>
        </is>
      </c>
      <c r="C417" t="inlineStr">
        <is>
          <t>Föryngringsavverkning</t>
        </is>
      </c>
      <c r="D417" s="1" t="n">
        <v>46071</v>
      </c>
      <c r="E417" s="1" t="n">
        <v>46224</v>
      </c>
      <c r="F417" t="inlineStr">
        <is>
          <t>DALARNAS LÄN</t>
        </is>
      </c>
      <c r="G417" t="inlineStr">
        <is>
          <t>ÄLVDALEN</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9915-2026</t>
        </is>
      </c>
      <c r="B418" t="inlineStr">
        <is>
          <t>avverkningsanmälan</t>
        </is>
      </c>
      <c r="C418" t="inlineStr">
        <is>
          <t>Föryngringsavverkning</t>
        </is>
      </c>
      <c r="D418" s="1" t="n">
        <v>46073</v>
      </c>
      <c r="E418" s="1" t="n">
        <v>46224</v>
      </c>
      <c r="F418" t="inlineStr">
        <is>
          <t>DALARNAS LÄN</t>
        </is>
      </c>
      <c r="G418" t="inlineStr">
        <is>
          <t>ÄLVDALEN</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10704-2026</t>
        </is>
      </c>
      <c r="B419" t="inlineStr">
        <is>
          <t>avverkningsanmälan</t>
        </is>
      </c>
      <c r="C419" t="inlineStr">
        <is>
          <t>Föryngringsavverkning</t>
        </is>
      </c>
      <c r="D419" s="1" t="n">
        <v>46078</v>
      </c>
      <c r="E419" s="1" t="n">
        <v>46224</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59483-2024</t>
        </is>
      </c>
      <c r="B420" t="inlineStr">
        <is>
          <t>avverkningsanmälan</t>
        </is>
      </c>
      <c r="C420" t="inlineStr">
        <is>
          <t>Föryngringsavverkning</t>
        </is>
      </c>
      <c r="D420" s="1" t="n">
        <v>45638</v>
      </c>
      <c r="E420" s="1" t="n">
        <v>46224</v>
      </c>
      <c r="F420" t="inlineStr">
        <is>
          <t>DALARNAS LÄN</t>
        </is>
      </c>
      <c r="G420" t="inlineStr">
        <is>
          <t>ÄLVDALEN</t>
        </is>
      </c>
      <c r="H420" t="inlineStr">
        <is>
          <t>Allmännings- och besparingsskogar</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59547-2023</t>
        </is>
      </c>
      <c r="B421" t="inlineStr">
        <is>
          <t>avverkningsanmälan</t>
        </is>
      </c>
      <c r="C421" t="inlineStr">
        <is>
          <t>Föryngringsavverkning</t>
        </is>
      </c>
      <c r="D421" s="1" t="n">
        <v>45254</v>
      </c>
      <c r="E421" s="1" t="n">
        <v>46224</v>
      </c>
      <c r="F421" t="inlineStr">
        <is>
          <t>DALARNAS LÄN</t>
        </is>
      </c>
      <c r="G421" t="inlineStr">
        <is>
          <t>ÄLVDALEN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8538-2025</t>
        </is>
      </c>
      <c r="B422" t="inlineStr">
        <is>
          <t>avverkningsanmälan</t>
        </is>
      </c>
      <c r="C422" t="inlineStr">
        <is>
          <t>Föryngringsavverkning</t>
        </is>
      </c>
      <c r="D422" s="1" t="n">
        <v>45709</v>
      </c>
      <c r="E422" s="1" t="n">
        <v>46224</v>
      </c>
      <c r="F422" t="inlineStr">
        <is>
          <t>DALARNAS LÄN</t>
        </is>
      </c>
      <c r="G422" t="inlineStr">
        <is>
          <t>ÄLVDALEN</t>
        </is>
      </c>
      <c r="H422" t="inlineStr">
        <is>
          <t>Allmännings- och besparingsskogar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11506-2026</t>
        </is>
      </c>
      <c r="B423" t="inlineStr">
        <is>
          <t>avverkningsanmälan</t>
        </is>
      </c>
      <c r="C423" t="inlineStr">
        <is>
          <t>Föryngringsavverkning</t>
        </is>
      </c>
      <c r="D423" s="1" t="n">
        <v>46083</v>
      </c>
      <c r="E423" s="1" t="n">
        <v>46224</v>
      </c>
      <c r="F423" t="inlineStr">
        <is>
          <t>DALARNAS LÄN</t>
        </is>
      </c>
      <c r="G423" t="inlineStr">
        <is>
          <t>ÄLVDALEN</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11801-2026</t>
        </is>
      </c>
      <c r="B424" t="inlineStr">
        <is>
          <t>avverkningsanmälan</t>
        </is>
      </c>
      <c r="C424" t="inlineStr">
        <is>
          <t>Föryngringsavverkning</t>
        </is>
      </c>
      <c r="D424" s="1" t="n">
        <v>46085</v>
      </c>
      <c r="E424" s="1" t="n">
        <v>46224</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8784-2024</t>
        </is>
      </c>
      <c r="B425" t="inlineStr">
        <is>
          <t>avverkningsanmälan</t>
        </is>
      </c>
      <c r="C425" t="inlineStr">
        <is>
          <t>Föryngringsavverkning</t>
        </is>
      </c>
      <c r="D425" s="1" t="n">
        <v>45356</v>
      </c>
      <c r="E425" s="1" t="n">
        <v>46224</v>
      </c>
      <c r="F425" t="inlineStr">
        <is>
          <t>DALARNAS LÄN</t>
        </is>
      </c>
      <c r="G425" t="inlineStr">
        <is>
          <t>ÄLVDALEN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46224</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49723-2023</t>
        </is>
      </c>
      <c r="B427" t="inlineStr">
        <is>
          <t>avverkningsanmälan</t>
        </is>
      </c>
      <c r="C427" t="inlineStr">
        <is>
          <t>Föryngringsavverkning</t>
        </is>
      </c>
      <c r="D427" s="1" t="n">
        <v>45212</v>
      </c>
      <c r="E427" s="1" t="n">
        <v>46224</v>
      </c>
      <c r="F427" t="inlineStr">
        <is>
          <t>DALARNAS LÄN</t>
        </is>
      </c>
      <c r="G427" t="inlineStr">
        <is>
          <t>ÄLVDALEN</t>
        </is>
      </c>
      <c r="H427" t="inlineStr">
        <is>
          <t>Bergvik skog väst AB</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48954-2023</t>
        </is>
      </c>
      <c r="B428" t="inlineStr">
        <is>
          <t>avverkningsanmälan</t>
        </is>
      </c>
      <c r="C428" t="inlineStr">
        <is>
          <t>Föryngringsavverkning</t>
        </is>
      </c>
      <c r="D428" s="1" t="n">
        <v>45209</v>
      </c>
      <c r="E428" s="1" t="n">
        <v>46224</v>
      </c>
      <c r="F428" t="inlineStr">
        <is>
          <t>DALARNAS LÄN</t>
        </is>
      </c>
      <c r="G428" t="inlineStr">
        <is>
          <t>ÄLVDALEN</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34835-2023</t>
        </is>
      </c>
      <c r="B429" t="inlineStr">
        <is>
          <t>avverkningsanmälan</t>
        </is>
      </c>
      <c r="C429" t="inlineStr">
        <is>
          <t>Föryngringsavverkning</t>
        </is>
      </c>
      <c r="D429" s="1" t="n">
        <v>45141</v>
      </c>
      <c r="E429" s="1" t="n">
        <v>46224</v>
      </c>
      <c r="F429" t="inlineStr">
        <is>
          <t>DALARNAS LÄN</t>
        </is>
      </c>
      <c r="G429" t="inlineStr">
        <is>
          <t>ÄLVDALEN</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45245-2022</t>
        </is>
      </c>
      <c r="B430" t="inlineStr">
        <is>
          <t>avverkningsanmälan</t>
        </is>
      </c>
      <c r="C430" t="inlineStr">
        <is>
          <t>Föryngringsavverkning</t>
        </is>
      </c>
      <c r="D430" s="1" t="n">
        <v>44844</v>
      </c>
      <c r="E430" s="1" t="n">
        <v>46224</v>
      </c>
      <c r="F430" t="inlineStr">
        <is>
          <t>DALARNAS LÄN</t>
        </is>
      </c>
      <c r="G430" t="inlineStr">
        <is>
          <t>ÄLVDALEN</t>
        </is>
      </c>
      <c r="H430" t="inlineStr">
        <is>
          <t>Bergvik skog väst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31857-2023</t>
        </is>
      </c>
      <c r="B431" t="inlineStr">
        <is>
          <t>avverkningsanmälan</t>
        </is>
      </c>
      <c r="C431" t="inlineStr">
        <is>
          <t>Föryngringsavverkning</t>
        </is>
      </c>
      <c r="D431" s="1" t="n">
        <v>45106</v>
      </c>
      <c r="E431" s="1" t="n">
        <v>46224</v>
      </c>
      <c r="F431" t="inlineStr">
        <is>
          <t>DALARNAS LÄN</t>
        </is>
      </c>
      <c r="G431" t="inlineStr">
        <is>
          <t>ÄLVDALEN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14358-2026</t>
        </is>
      </c>
      <c r="B432" t="inlineStr">
        <is>
          <t>avverkningsanmälan</t>
        </is>
      </c>
      <c r="C432" t="inlineStr">
        <is>
          <t>Föryngringsavverkning</t>
        </is>
      </c>
      <c r="D432" s="1" t="n">
        <v>46100</v>
      </c>
      <c r="E432" s="1" t="n">
        <v>46224</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58848-2022</t>
        </is>
      </c>
      <c r="B433" t="inlineStr">
        <is>
          <t>avverkningsanmälan</t>
        </is>
      </c>
      <c r="C433" t="inlineStr">
        <is>
          <t>Avverkning för annat ändamål</t>
        </is>
      </c>
      <c r="D433" s="1" t="n">
        <v>44896</v>
      </c>
      <c r="E433" s="1" t="n">
        <v>46224</v>
      </c>
      <c r="F433" t="inlineStr">
        <is>
          <t>DALARNAS LÄN</t>
        </is>
      </c>
      <c r="G433" t="inlineStr">
        <is>
          <t>ÄLVDALEN</t>
        </is>
      </c>
      <c r="H433" t="inlineStr">
        <is>
          <t>Övriga statliga verk och myndigheter</t>
        </is>
      </c>
      <c r="I433" t="n">
        <v>18.1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23570-2023</t>
        </is>
      </c>
      <c r="B434" t="inlineStr">
        <is>
          <t>avverkningsanmälan</t>
        </is>
      </c>
      <c r="C434" t="inlineStr">
        <is>
          <t>Föryngringsavverkning</t>
        </is>
      </c>
      <c r="D434" s="1" t="n">
        <v>45077</v>
      </c>
      <c r="E434" s="1" t="n">
        <v>46224</v>
      </c>
      <c r="F434" t="inlineStr">
        <is>
          <t>DALARNAS LÄN</t>
        </is>
      </c>
      <c r="G434" t="inlineStr">
        <is>
          <t>ÄLVDALEN</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17346-2022</t>
        </is>
      </c>
      <c r="B435" t="inlineStr">
        <is>
          <t>avverkningsanmälan</t>
        </is>
      </c>
      <c r="C435" t="inlineStr">
        <is>
          <t>Föryngringsavverkning</t>
        </is>
      </c>
      <c r="D435" s="1" t="n">
        <v>44678</v>
      </c>
      <c r="E435" s="1" t="n">
        <v>46224</v>
      </c>
      <c r="F435" t="inlineStr">
        <is>
          <t>DALARNAS LÄN</t>
        </is>
      </c>
      <c r="G435" t="inlineStr">
        <is>
          <t>ÄLVDALEN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15841-2026</t>
        </is>
      </c>
      <c r="B436" t="inlineStr">
        <is>
          <t>avverkningsanmälan</t>
        </is>
      </c>
      <c r="C436" t="inlineStr">
        <is>
          <t>Avverkning för annat ändamål</t>
        </is>
      </c>
      <c r="D436" s="1" t="n">
        <v>46107</v>
      </c>
      <c r="E436" s="1" t="n">
        <v>46224</v>
      </c>
      <c r="F436" t="inlineStr">
        <is>
          <t>DALARNAS LÄN</t>
        </is>
      </c>
      <c r="G436" t="inlineStr">
        <is>
          <t>ÄLVDALEN</t>
        </is>
      </c>
      <c r="H436" t="inlineStr">
        <is>
          <t>Allmännings- och besparingsskogar</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16517-2026</t>
        </is>
      </c>
      <c r="B437" t="inlineStr">
        <is>
          <t>avverkningsanmälan</t>
        </is>
      </c>
      <c r="C437" t="inlineStr">
        <is>
          <t>Föryngringsavverkning</t>
        </is>
      </c>
      <c r="D437" s="1" t="n">
        <v>46112</v>
      </c>
      <c r="E437" s="1" t="n">
        <v>46224</v>
      </c>
      <c r="F437" t="inlineStr">
        <is>
          <t>DALARNAS LÄN</t>
        </is>
      </c>
      <c r="G437" t="inlineStr">
        <is>
          <t>ÄLVDALEN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23369-2023</t>
        </is>
      </c>
      <c r="B438" t="inlineStr">
        <is>
          <t>avverkningsanmälan</t>
        </is>
      </c>
      <c r="C438" t="inlineStr">
        <is>
          <t>Avverkning för annat ändamål</t>
        </is>
      </c>
      <c r="D438" s="1" t="n">
        <v>45076</v>
      </c>
      <c r="E438" s="1" t="n">
        <v>46224</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16425-2026</t>
        </is>
      </c>
      <c r="B439" t="inlineStr">
        <is>
          <t>avverkningsanmälan</t>
        </is>
      </c>
      <c r="C439" t="inlineStr">
        <is>
          <t>Föryngringsavverkning</t>
        </is>
      </c>
      <c r="D439" s="1" t="n">
        <v>46111</v>
      </c>
      <c r="E439" s="1" t="n">
        <v>46224</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16552-2026</t>
        </is>
      </c>
      <c r="B440" t="inlineStr">
        <is>
          <t>avverkningsanmälan</t>
        </is>
      </c>
      <c r="C440" t="inlineStr">
        <is>
          <t>Föryngringsavverkning</t>
        </is>
      </c>
      <c r="D440" s="1" t="n">
        <v>46112</v>
      </c>
      <c r="E440" s="1" t="n">
        <v>46224</v>
      </c>
      <c r="F440" t="inlineStr">
        <is>
          <t>DALARNAS LÄN</t>
        </is>
      </c>
      <c r="G440" t="inlineStr">
        <is>
          <t>ÄLVDALEN</t>
        </is>
      </c>
      <c r="I440" t="n">
        <v>17.2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16488-2026</t>
        </is>
      </c>
      <c r="B441" t="inlineStr">
        <is>
          <t>avverkningsanmälan</t>
        </is>
      </c>
      <c r="C441" t="inlineStr">
        <is>
          <t>Föryngringsavverkning</t>
        </is>
      </c>
      <c r="D441" s="1" t="n">
        <v>46112</v>
      </c>
      <c r="E441" s="1" t="n">
        <v>46224</v>
      </c>
      <c r="F441" t="inlineStr">
        <is>
          <t>DALARNAS LÄN</t>
        </is>
      </c>
      <c r="G441" t="inlineStr">
        <is>
          <t>ÄLVDALEN</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16489-2026</t>
        </is>
      </c>
      <c r="B442" t="inlineStr">
        <is>
          <t>avverkningsanmälan</t>
        </is>
      </c>
      <c r="C442" t="inlineStr">
        <is>
          <t>Avverkning för annat ändamål</t>
        </is>
      </c>
      <c r="D442" s="1" t="n">
        <v>46112</v>
      </c>
      <c r="E442" s="1" t="n">
        <v>46224</v>
      </c>
      <c r="F442" t="inlineStr">
        <is>
          <t>DALARNAS LÄN</t>
        </is>
      </c>
      <c r="G442" t="inlineStr">
        <is>
          <t>ÄLVDALEN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29819-2024</t>
        </is>
      </c>
      <c r="B443" t="inlineStr">
        <is>
          <t>avverkningsanmälan</t>
        </is>
      </c>
      <c r="C443" t="inlineStr">
        <is>
          <t>Föryngringsavverkning</t>
        </is>
      </c>
      <c r="D443" s="1" t="n">
        <v>45485</v>
      </c>
      <c r="E443" s="1" t="n">
        <v>46224</v>
      </c>
      <c r="F443" t="inlineStr">
        <is>
          <t>DALARNAS LÄN</t>
        </is>
      </c>
      <c r="G443" t="inlineStr">
        <is>
          <t>ÄLVDALEN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57467-2023</t>
        </is>
      </c>
      <c r="B444" t="inlineStr">
        <is>
          <t>avverkningsanmälan</t>
        </is>
      </c>
      <c r="C444" t="inlineStr">
        <is>
          <t>Föryngringsavverkning</t>
        </is>
      </c>
      <c r="D444" s="1" t="n">
        <v>45246</v>
      </c>
      <c r="E444" s="1" t="n">
        <v>46224</v>
      </c>
      <c r="F444" t="inlineStr">
        <is>
          <t>DALARNAS LÄN</t>
        </is>
      </c>
      <c r="G444" t="inlineStr">
        <is>
          <t>ÄLVDALEN</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32838-2023</t>
        </is>
      </c>
      <c r="B445" t="inlineStr">
        <is>
          <t>avverkningsanmälan</t>
        </is>
      </c>
      <c r="C445" t="inlineStr">
        <is>
          <t>Föryngringsavverkning</t>
        </is>
      </c>
      <c r="D445" s="1" t="n">
        <v>45124</v>
      </c>
      <c r="E445" s="1" t="n">
        <v>46224</v>
      </c>
      <c r="F445" t="inlineStr">
        <is>
          <t>DALARNAS LÄN</t>
        </is>
      </c>
      <c r="G445" t="inlineStr">
        <is>
          <t>ÄLVDALEN</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11125-2026</t>
        </is>
      </c>
      <c r="B446" t="inlineStr">
        <is>
          <t>avverkningsanmälan</t>
        </is>
      </c>
      <c r="C446" t="inlineStr">
        <is>
          <t>Föryngringsavverkning</t>
        </is>
      </c>
      <c r="D446" s="1" t="n">
        <v>46079</v>
      </c>
      <c r="E446" s="1" t="n">
        <v>46224</v>
      </c>
      <c r="F446" t="inlineStr">
        <is>
          <t>DALARNAS LÄN</t>
        </is>
      </c>
      <c r="G446" t="inlineStr">
        <is>
          <t>ÄLVDALEN</t>
        </is>
      </c>
      <c r="I446" t="n">
        <v>10.5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48849-2022</t>
        </is>
      </c>
      <c r="B447" t="inlineStr">
        <is>
          <t>avverkningsanmälan</t>
        </is>
      </c>
      <c r="C447" t="inlineStr">
        <is>
          <t>Avverkning för annat ändamål</t>
        </is>
      </c>
      <c r="D447" s="1" t="n">
        <v>44859</v>
      </c>
      <c r="E447" s="1" t="n">
        <v>46224</v>
      </c>
      <c r="F447" t="inlineStr">
        <is>
          <t>DALARNAS LÄN</t>
        </is>
      </c>
      <c r="G447" t="inlineStr">
        <is>
          <t>ÄLVDALEN</t>
        </is>
      </c>
      <c r="H447" t="inlineStr">
        <is>
          <t>Allmännings- och besparingsskogar</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39227-2024</t>
        </is>
      </c>
      <c r="B448" t="inlineStr">
        <is>
          <t>avverkningsanmälan</t>
        </is>
      </c>
      <c r="C448" t="inlineStr">
        <is>
          <t>Avverkning för annat ändamål</t>
        </is>
      </c>
      <c r="D448" s="1" t="n">
        <v>45550</v>
      </c>
      <c r="E448" s="1" t="n">
        <v>46224</v>
      </c>
      <c r="F448" t="inlineStr">
        <is>
          <t>DALARNAS LÄN</t>
        </is>
      </c>
      <c r="G448" t="inlineStr">
        <is>
          <t>ÄLVDALEN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18614-2026</t>
        </is>
      </c>
      <c r="B449" t="inlineStr">
        <is>
          <t>avverkningsanmälan</t>
        </is>
      </c>
      <c r="C449" t="inlineStr">
        <is>
          <t>Föryngringsavverkning</t>
        </is>
      </c>
      <c r="D449" s="1" t="n">
        <v>46127</v>
      </c>
      <c r="E449" s="1" t="n">
        <v>46224</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18619-2026</t>
        </is>
      </c>
      <c r="B450" t="inlineStr">
        <is>
          <t>avverkningsanmälan</t>
        </is>
      </c>
      <c r="C450" t="inlineStr">
        <is>
          <t>Föryngringsavverkning</t>
        </is>
      </c>
      <c r="D450" s="1" t="n">
        <v>46127</v>
      </c>
      <c r="E450" s="1" t="n">
        <v>46224</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54219-2025</t>
        </is>
      </c>
      <c r="B451" t="inlineStr">
        <is>
          <t>avverkningsanmälan</t>
        </is>
      </c>
      <c r="C451" t="inlineStr">
        <is>
          <t>Föryngringsavverkning</t>
        </is>
      </c>
      <c r="D451" s="1" t="n">
        <v>45964</v>
      </c>
      <c r="E451" s="1" t="n">
        <v>46224</v>
      </c>
      <c r="F451" t="inlineStr">
        <is>
          <t>DALARNAS LÄN</t>
        </is>
      </c>
      <c r="G451" t="inlineStr">
        <is>
          <t>ÄLVDALEN</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74322-2021</t>
        </is>
      </c>
      <c r="B452" t="inlineStr">
        <is>
          <t>avverkningsanmälan</t>
        </is>
      </c>
      <c r="C452" t="inlineStr">
        <is>
          <t>Föryngringsavverkning</t>
        </is>
      </c>
      <c r="D452" s="1" t="n">
        <v>44558</v>
      </c>
      <c r="E452" s="1" t="n">
        <v>46224</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60265-2021</t>
        </is>
      </c>
      <c r="B453" t="inlineStr">
        <is>
          <t>avverkningsanmälan</t>
        </is>
      </c>
      <c r="C453" t="inlineStr">
        <is>
          <t>Föryngringsavverkning</t>
        </is>
      </c>
      <c r="D453" s="1" t="n">
        <v>44495</v>
      </c>
      <c r="E453" s="1" t="n">
        <v>46224</v>
      </c>
      <c r="F453" t="inlineStr">
        <is>
          <t>DALARNAS LÄN</t>
        </is>
      </c>
      <c r="G453" t="inlineStr">
        <is>
          <t>ÄLVDALEN</t>
        </is>
      </c>
      <c r="H453" t="inlineStr">
        <is>
          <t>Allmännings- och besparingsskogar</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14089-2022</t>
        </is>
      </c>
      <c r="B454" t="inlineStr">
        <is>
          <t>avverkningsanmälan</t>
        </is>
      </c>
      <c r="C454" t="inlineStr">
        <is>
          <t>Avverkning för annat ändamål</t>
        </is>
      </c>
      <c r="D454" s="1" t="n">
        <v>44651</v>
      </c>
      <c r="E454" s="1" t="n">
        <v>46224</v>
      </c>
      <c r="F454" t="inlineStr">
        <is>
          <t>DALARNAS LÄN</t>
        </is>
      </c>
      <c r="G454" t="inlineStr">
        <is>
          <t>ÄLVDALEN</t>
        </is>
      </c>
      <c r="H454" t="inlineStr">
        <is>
          <t>Kommuner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46224</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46224</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4380-2024</t>
        </is>
      </c>
      <c r="B457" t="inlineStr">
        <is>
          <t>avverkningsanmälan</t>
        </is>
      </c>
      <c r="C457" t="inlineStr">
        <is>
          <t>Föryngringsavverkning</t>
        </is>
      </c>
      <c r="D457" s="1" t="n">
        <v>45327</v>
      </c>
      <c r="E457" s="1" t="n">
        <v>46224</v>
      </c>
      <c r="F457" t="inlineStr">
        <is>
          <t>DALARNAS LÄN</t>
        </is>
      </c>
      <c r="G457" t="inlineStr">
        <is>
          <t>ÄLVDALEN</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30225-2023</t>
        </is>
      </c>
      <c r="B458" t="inlineStr">
        <is>
          <t>avverkningsanmälan</t>
        </is>
      </c>
      <c r="C458" t="inlineStr">
        <is>
          <t>Föryngringsavverkning</t>
        </is>
      </c>
      <c r="D458" s="1" t="n">
        <v>45110</v>
      </c>
      <c r="E458" s="1" t="n">
        <v>46224</v>
      </c>
      <c r="F458" t="inlineStr">
        <is>
          <t>DALARNAS LÄN</t>
        </is>
      </c>
      <c r="G458" t="inlineStr">
        <is>
          <t>ÄLVDALEN</t>
        </is>
      </c>
      <c r="H458" t="inlineStr">
        <is>
          <t>Allmännings- och besparingsskogar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41566-2025</t>
        </is>
      </c>
      <c r="B459" t="inlineStr">
        <is>
          <t>avverkningsanmälan</t>
        </is>
      </c>
      <c r="C459" t="inlineStr">
        <is>
          <t>Föryngringsavverkning</t>
        </is>
      </c>
      <c r="D459" s="1" t="n">
        <v>45901</v>
      </c>
      <c r="E459" s="1" t="n">
        <v>46224</v>
      </c>
      <c r="F459" t="inlineStr">
        <is>
          <t>DALARNAS LÄN</t>
        </is>
      </c>
      <c r="G459" t="inlineStr">
        <is>
          <t>ÄLVDALEN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22847-2023</t>
        </is>
      </c>
      <c r="B460" t="inlineStr">
        <is>
          <t>avverkningsanmälan</t>
        </is>
      </c>
      <c r="C460" t="inlineStr">
        <is>
          <t>Föryngringsavverkning</t>
        </is>
      </c>
      <c r="D460" s="1" t="n">
        <v>45072</v>
      </c>
      <c r="E460" s="1" t="n">
        <v>46224</v>
      </c>
      <c r="F460" t="inlineStr">
        <is>
          <t>DALARNAS LÄN</t>
        </is>
      </c>
      <c r="G460" t="inlineStr">
        <is>
          <t>ÄLVDALEN</t>
        </is>
      </c>
      <c r="H460" t="inlineStr">
        <is>
          <t>Bergvik skog väst AB</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57560-2024</t>
        </is>
      </c>
      <c r="B461" t="inlineStr">
        <is>
          <t>avverkningsanmälan</t>
        </is>
      </c>
      <c r="C461" t="inlineStr">
        <is>
          <t>Föryngringsavverkning</t>
        </is>
      </c>
      <c r="D461" s="1" t="n">
        <v>45630</v>
      </c>
      <c r="E461" s="1" t="n">
        <v>46224</v>
      </c>
      <c r="F461" t="inlineStr">
        <is>
          <t>DALARNAS LÄN</t>
        </is>
      </c>
      <c r="G461" t="inlineStr">
        <is>
          <t>ÄLVDALEN</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59478-2024</t>
        </is>
      </c>
      <c r="B462" t="inlineStr">
        <is>
          <t>avverkningsanmälan</t>
        </is>
      </c>
      <c r="C462" t="inlineStr">
        <is>
          <t>Föryngringsavverkning</t>
        </is>
      </c>
      <c r="D462" s="1" t="n">
        <v>45638</v>
      </c>
      <c r="E462" s="1" t="n">
        <v>46224</v>
      </c>
      <c r="F462" t="inlineStr">
        <is>
          <t>DALARNAS LÄN</t>
        </is>
      </c>
      <c r="G462" t="inlineStr">
        <is>
          <t>ÄLVDALEN</t>
        </is>
      </c>
      <c r="H462" t="inlineStr">
        <is>
          <t>Allmännings- och besparingsskogar</t>
        </is>
      </c>
      <c r="I462" t="n">
        <v>6.9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771-2025</t>
        </is>
      </c>
      <c r="B463" t="inlineStr">
        <is>
          <t>avverkningsanmälan</t>
        </is>
      </c>
      <c r="C463" t="inlineStr">
        <is>
          <t>Föryngringsavverkning</t>
        </is>
      </c>
      <c r="D463" s="1" t="n">
        <v>45665</v>
      </c>
      <c r="E463" s="1" t="n">
        <v>46224</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6791-2025</t>
        </is>
      </c>
      <c r="B464" t="inlineStr">
        <is>
          <t>avverkningsanmälan</t>
        </is>
      </c>
      <c r="C464" t="inlineStr">
        <is>
          <t>Föryngringsavverkning</t>
        </is>
      </c>
      <c r="D464" s="1" t="n">
        <v>45700</v>
      </c>
      <c r="E464" s="1" t="n">
        <v>46224</v>
      </c>
      <c r="F464" t="inlineStr">
        <is>
          <t>DALARNAS LÄN</t>
        </is>
      </c>
      <c r="G464" t="inlineStr">
        <is>
          <t>ÄLVDALEN</t>
        </is>
      </c>
      <c r="I464" t="n">
        <v>30.2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46927-2024</t>
        </is>
      </c>
      <c r="B465" t="inlineStr">
        <is>
          <t>avverkningsanmälan</t>
        </is>
      </c>
      <c r="C465" t="inlineStr">
        <is>
          <t>Föryngringsavverkning</t>
        </is>
      </c>
      <c r="D465" s="1" t="n">
        <v>45584</v>
      </c>
      <c r="E465" s="1" t="n">
        <v>46224</v>
      </c>
      <c r="F465" t="inlineStr">
        <is>
          <t>DALARNAS LÄN</t>
        </is>
      </c>
      <c r="G465" t="inlineStr">
        <is>
          <t>ÄLVDALEN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29713-2022</t>
        </is>
      </c>
      <c r="B466" t="inlineStr">
        <is>
          <t>avverkningsanmälan</t>
        </is>
      </c>
      <c r="C466" t="inlineStr">
        <is>
          <t>Föryngringsavverkning</t>
        </is>
      </c>
      <c r="D466" s="1" t="n">
        <v>44755</v>
      </c>
      <c r="E466" s="1" t="n">
        <v>46224</v>
      </c>
      <c r="F466" t="inlineStr">
        <is>
          <t>DALARNAS LÄN</t>
        </is>
      </c>
      <c r="G466" t="inlineStr">
        <is>
          <t>ÄLVDALEN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52107-2022</t>
        </is>
      </c>
      <c r="B467" t="inlineStr">
        <is>
          <t>avverkningsanmälan</t>
        </is>
      </c>
      <c r="C467" t="inlineStr">
        <is>
          <t>Föryngringsavverkning</t>
        </is>
      </c>
      <c r="D467" s="1" t="n">
        <v>44873</v>
      </c>
      <c r="E467" s="1" t="n">
        <v>46224</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56222-2023</t>
        </is>
      </c>
      <c r="B468" t="inlineStr">
        <is>
          <t>avverkningsanmälan</t>
        </is>
      </c>
      <c r="C468" t="inlineStr">
        <is>
          <t>Föryngringsavverkning</t>
        </is>
      </c>
      <c r="D468" s="1" t="n">
        <v>45240</v>
      </c>
      <c r="E468" s="1" t="n">
        <v>46224</v>
      </c>
      <c r="F468" t="inlineStr">
        <is>
          <t>DALARNAS LÄN</t>
        </is>
      </c>
      <c r="G468" t="inlineStr">
        <is>
          <t>ÄLVDALEN</t>
        </is>
      </c>
      <c r="H468" t="inlineStr">
        <is>
          <t>Övriga Aktiebolag</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56224-2023</t>
        </is>
      </c>
      <c r="B469" t="inlineStr">
        <is>
          <t>avverkningsanmälan</t>
        </is>
      </c>
      <c r="C469" t="inlineStr">
        <is>
          <t>Föryngringsavverkning</t>
        </is>
      </c>
      <c r="D469" s="1" t="n">
        <v>45240</v>
      </c>
      <c r="E469" s="1" t="n">
        <v>46224</v>
      </c>
      <c r="F469" t="inlineStr">
        <is>
          <t>DALARNAS LÄN</t>
        </is>
      </c>
      <c r="G469" t="inlineStr">
        <is>
          <t>ÄLVDALEN</t>
        </is>
      </c>
      <c r="H469" t="inlineStr">
        <is>
          <t>Övriga Aktiebolag</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2674-2026</t>
        </is>
      </c>
      <c r="B470" t="inlineStr">
        <is>
          <t>avverkningsanmälan</t>
        </is>
      </c>
      <c r="C470" t="inlineStr">
        <is>
          <t>Föryngringsavverkning</t>
        </is>
      </c>
      <c r="D470" s="1" t="n">
        <v>46037</v>
      </c>
      <c r="E470" s="1" t="n">
        <v>46224</v>
      </c>
      <c r="F470" t="inlineStr">
        <is>
          <t>DALARNAS LÄN</t>
        </is>
      </c>
      <c r="G470" t="inlineStr">
        <is>
          <t>ÄLVDALEN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57821-2023</t>
        </is>
      </c>
      <c r="B471" t="inlineStr">
        <is>
          <t>avverkningsanmälan</t>
        </is>
      </c>
      <c r="C471" t="inlineStr">
        <is>
          <t>Föryngringsavverkning</t>
        </is>
      </c>
      <c r="D471" s="1" t="n">
        <v>45247</v>
      </c>
      <c r="E471" s="1" t="n">
        <v>46224</v>
      </c>
      <c r="F471" t="inlineStr">
        <is>
          <t>DALARNAS LÄN</t>
        </is>
      </c>
      <c r="G471" t="inlineStr">
        <is>
          <t>ÄLVDALEN</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45167-2022</t>
        </is>
      </c>
      <c r="B472" t="inlineStr">
        <is>
          <t>avverkningsanmälan</t>
        </is>
      </c>
      <c r="C472" t="inlineStr">
        <is>
          <t>Föryngringsavverkning</t>
        </is>
      </c>
      <c r="D472" s="1" t="n">
        <v>44844</v>
      </c>
      <c r="E472" s="1" t="n">
        <v>46224</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47936-2024</t>
        </is>
      </c>
      <c r="B473" t="inlineStr">
        <is>
          <t>avverkningsanmälan</t>
        </is>
      </c>
      <c r="C473" t="inlineStr">
        <is>
          <t>Föryngringsavverkning</t>
        </is>
      </c>
      <c r="D473" s="1" t="n">
        <v>45589</v>
      </c>
      <c r="E473" s="1" t="n">
        <v>46224</v>
      </c>
      <c r="F473" t="inlineStr">
        <is>
          <t>DALARNAS LÄN</t>
        </is>
      </c>
      <c r="G473" t="inlineStr">
        <is>
          <t>ÄLVDALEN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11084-2026</t>
        </is>
      </c>
      <c r="B474" t="inlineStr">
        <is>
          <t>avverkningsanmälan</t>
        </is>
      </c>
      <c r="C474" t="inlineStr">
        <is>
          <t>Föryngringsavverkning</t>
        </is>
      </c>
      <c r="D474" s="1" t="n">
        <v>46079</v>
      </c>
      <c r="E474" s="1" t="n">
        <v>46224</v>
      </c>
      <c r="F474" t="inlineStr">
        <is>
          <t>DALARNAS LÄN</t>
        </is>
      </c>
      <c r="G474" t="inlineStr">
        <is>
          <t>ÄLVDALEN</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47751-2024</t>
        </is>
      </c>
      <c r="B475" t="inlineStr">
        <is>
          <t>avverkningsanmälan</t>
        </is>
      </c>
      <c r="C475" t="inlineStr">
        <is>
          <t>Föryngringsavverkning</t>
        </is>
      </c>
      <c r="D475" s="1" t="n">
        <v>45588</v>
      </c>
      <c r="E475" s="1" t="n">
        <v>46224</v>
      </c>
      <c r="F475" t="inlineStr">
        <is>
          <t>DALARNAS LÄN</t>
        </is>
      </c>
      <c r="G475" t="inlineStr">
        <is>
          <t>ÄLVDALEN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3859-2026</t>
        </is>
      </c>
      <c r="B476" t="inlineStr">
        <is>
          <t>avverkningsanmälan</t>
        </is>
      </c>
      <c r="C476" t="inlineStr">
        <is>
          <t>Föryngringsavverkning</t>
        </is>
      </c>
      <c r="D476" s="1" t="n">
        <v>46043</v>
      </c>
      <c r="E476" s="1" t="n">
        <v>46224</v>
      </c>
      <c r="F476" t="inlineStr">
        <is>
          <t>DALARNAS LÄN</t>
        </is>
      </c>
      <c r="G476" t="inlineStr">
        <is>
          <t>ÄLVDALEN</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47873-2023</t>
        </is>
      </c>
      <c r="B477" t="inlineStr">
        <is>
          <t>avverkningsanmälan</t>
        </is>
      </c>
      <c r="C477" t="inlineStr">
        <is>
          <t>Föryngringsavverkning</t>
        </is>
      </c>
      <c r="D477" s="1" t="n">
        <v>45204</v>
      </c>
      <c r="E477" s="1" t="n">
        <v>46224</v>
      </c>
      <c r="F477" t="inlineStr">
        <is>
          <t>DALARNAS LÄN</t>
        </is>
      </c>
      <c r="G477" t="inlineStr">
        <is>
          <t>ÄLVDALEN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31690-2024</t>
        </is>
      </c>
      <c r="B478" t="inlineStr">
        <is>
          <t>avverkningsanmälan</t>
        </is>
      </c>
      <c r="C478" t="inlineStr">
        <is>
          <t>Föryngringsavverkning</t>
        </is>
      </c>
      <c r="D478" s="1" t="n">
        <v>45507</v>
      </c>
      <c r="E478" s="1" t="n">
        <v>46224</v>
      </c>
      <c r="F478" t="inlineStr">
        <is>
          <t>DALARNAS LÄN</t>
        </is>
      </c>
      <c r="G478" t="inlineStr">
        <is>
          <t>ÄLVDALEN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4662-2024</t>
        </is>
      </c>
      <c r="B479" t="inlineStr">
        <is>
          <t>avverkningsanmälan</t>
        </is>
      </c>
      <c r="C479" t="inlineStr">
        <is>
          <t>Föryngringsavverkning</t>
        </is>
      </c>
      <c r="D479" s="1" t="n">
        <v>45328</v>
      </c>
      <c r="E479" s="1" t="n">
        <v>46224</v>
      </c>
      <c r="F479" t="inlineStr">
        <is>
          <t>DALARNAS LÄN</t>
        </is>
      </c>
      <c r="G479" t="inlineStr">
        <is>
          <t>ÄLVDALEN</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9719-2023</t>
        </is>
      </c>
      <c r="B480" t="inlineStr">
        <is>
          <t>avverkningsanmälan</t>
        </is>
      </c>
      <c r="C480" t="inlineStr">
        <is>
          <t>Föryngringsavverkning</t>
        </is>
      </c>
      <c r="D480" s="1" t="n">
        <v>44978</v>
      </c>
      <c r="E480" s="1" t="n">
        <v>46224</v>
      </c>
      <c r="F480" t="inlineStr">
        <is>
          <t>DALARNAS LÄN</t>
        </is>
      </c>
      <c r="G480" t="inlineStr">
        <is>
          <t>ÄLVDALEN</t>
        </is>
      </c>
      <c r="I480" t="n">
        <v>20.2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52469-2022</t>
        </is>
      </c>
      <c r="B481" t="inlineStr">
        <is>
          <t>avverkningsanmälan</t>
        </is>
      </c>
      <c r="C481" t="inlineStr">
        <is>
          <t>Föryngringsavverkning</t>
        </is>
      </c>
      <c r="D481" s="1" t="n">
        <v>44874</v>
      </c>
      <c r="E481" s="1" t="n">
        <v>46224</v>
      </c>
      <c r="F481" t="inlineStr">
        <is>
          <t>DALARNAS LÄN</t>
        </is>
      </c>
      <c r="G481" t="inlineStr">
        <is>
          <t>ÄLVDALEN</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28884-2023</t>
        </is>
      </c>
      <c r="B482" t="inlineStr">
        <is>
          <t>avverkningsanmälan</t>
        </is>
      </c>
      <c r="C482" t="inlineStr">
        <is>
          <t>Föryngringsavverkning</t>
        </is>
      </c>
      <c r="D482" s="1" t="n">
        <v>45104</v>
      </c>
      <c r="E482" s="1" t="n">
        <v>46224</v>
      </c>
      <c r="F482" t="inlineStr">
        <is>
          <t>DALARNAS LÄN</t>
        </is>
      </c>
      <c r="G482" t="inlineStr">
        <is>
          <t>ÄLVDALEN</t>
        </is>
      </c>
      <c r="H482" t="inlineStr">
        <is>
          <t>Allmännings- och besparingsskogar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21433-2026</t>
        </is>
      </c>
      <c r="B483" t="inlineStr">
        <is>
          <t>avverkningsanmälan</t>
        </is>
      </c>
      <c r="C483" t="inlineStr">
        <is>
          <t>Föryngringsavverkning</t>
        </is>
      </c>
      <c r="D483" s="1" t="n">
        <v>46148</v>
      </c>
      <c r="E483" s="1" t="n">
        <v>46224</v>
      </c>
      <c r="F483" t="inlineStr">
        <is>
          <t>DALARNAS LÄN</t>
        </is>
      </c>
      <c r="G483" t="inlineStr">
        <is>
          <t>ÄLVDALEN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30987-2023</t>
        </is>
      </c>
      <c r="B484" t="inlineStr">
        <is>
          <t>avverkningsanmälan</t>
        </is>
      </c>
      <c r="C484" t="inlineStr">
        <is>
          <t>Föryngringsavverkning</t>
        </is>
      </c>
      <c r="D484" s="1" t="n">
        <v>45113</v>
      </c>
      <c r="E484" s="1" t="n">
        <v>46224</v>
      </c>
      <c r="F484" t="inlineStr">
        <is>
          <t>DALARNAS LÄN</t>
        </is>
      </c>
      <c r="G484" t="inlineStr">
        <is>
          <t>ÄLVDALEN</t>
        </is>
      </c>
      <c r="H484" t="inlineStr">
        <is>
          <t>Allmännings- och besparingsskogar</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33107-2023</t>
        </is>
      </c>
      <c r="B485" t="inlineStr">
        <is>
          <t>avverkningsanmälan</t>
        </is>
      </c>
      <c r="C485" t="inlineStr">
        <is>
          <t>Föryngringsavverkning</t>
        </is>
      </c>
      <c r="D485" s="1" t="n">
        <v>45114</v>
      </c>
      <c r="E485" s="1" t="n">
        <v>46224</v>
      </c>
      <c r="F485" t="inlineStr">
        <is>
          <t>DALARNAS LÄN</t>
        </is>
      </c>
      <c r="G485" t="inlineStr">
        <is>
          <t>ÄLVDALEN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21716-2026</t>
        </is>
      </c>
      <c r="B486" t="inlineStr">
        <is>
          <t>avverkningsanmälan</t>
        </is>
      </c>
      <c r="C486" t="inlineStr">
        <is>
          <t>Föryngringsavverkning</t>
        </is>
      </c>
      <c r="D486" s="1" t="n">
        <v>46149</v>
      </c>
      <c r="E486" s="1" t="n">
        <v>46224</v>
      </c>
      <c r="F486" t="inlineStr">
        <is>
          <t>DALARNAS LÄN</t>
        </is>
      </c>
      <c r="G486" t="inlineStr">
        <is>
          <t>ÄLVDALEN</t>
        </is>
      </c>
      <c r="H486" t="inlineStr">
        <is>
          <t>Bergvik skog väst AB</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21713-2026</t>
        </is>
      </c>
      <c r="B487" t="inlineStr">
        <is>
          <t>avverkningsanmälan</t>
        </is>
      </c>
      <c r="C487" t="inlineStr">
        <is>
          <t>Föryngringsavverkning</t>
        </is>
      </c>
      <c r="D487" s="1" t="n">
        <v>46149</v>
      </c>
      <c r="E487" s="1" t="n">
        <v>46224</v>
      </c>
      <c r="F487" t="inlineStr">
        <is>
          <t>DALARNAS LÄN</t>
        </is>
      </c>
      <c r="G487" t="inlineStr">
        <is>
          <t>ÄLVDALEN</t>
        </is>
      </c>
      <c r="H487" t="inlineStr">
        <is>
          <t>Bergvik skog väst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30985-2023</t>
        </is>
      </c>
      <c r="B488" t="inlineStr">
        <is>
          <t>avverkningsanmälan</t>
        </is>
      </c>
      <c r="C488" t="inlineStr">
        <is>
          <t>Föryngringsavverkning</t>
        </is>
      </c>
      <c r="D488" s="1" t="n">
        <v>45113</v>
      </c>
      <c r="E488" s="1" t="n">
        <v>46224</v>
      </c>
      <c r="F488" t="inlineStr">
        <is>
          <t>DALARNAS LÄN</t>
        </is>
      </c>
      <c r="G488" t="inlineStr">
        <is>
          <t>ÄLVDALEN</t>
        </is>
      </c>
      <c r="H488" t="inlineStr">
        <is>
          <t>Allmännings- och besparingsskogar</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21412-2026</t>
        </is>
      </c>
      <c r="B489" t="inlineStr">
        <is>
          <t>avverkningsanmälan</t>
        </is>
      </c>
      <c r="C489" t="inlineStr">
        <is>
          <t>Föryngringsavverkning</t>
        </is>
      </c>
      <c r="D489" s="1" t="n">
        <v>46148</v>
      </c>
      <c r="E489" s="1" t="n">
        <v>46224</v>
      </c>
      <c r="F489" t="inlineStr">
        <is>
          <t>DALARNAS LÄN</t>
        </is>
      </c>
      <c r="G489" t="inlineStr">
        <is>
          <t>ÄLVDALEN</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21456-2026</t>
        </is>
      </c>
      <c r="B490" t="inlineStr">
        <is>
          <t>avverkningsanmälan</t>
        </is>
      </c>
      <c r="C490" t="inlineStr">
        <is>
          <t>Föryngringsavverkning</t>
        </is>
      </c>
      <c r="D490" s="1" t="n">
        <v>46148</v>
      </c>
      <c r="E490" s="1" t="n">
        <v>46224</v>
      </c>
      <c r="F490" t="inlineStr">
        <is>
          <t>DALARNAS LÄN</t>
        </is>
      </c>
      <c r="G490" t="inlineStr">
        <is>
          <t>ÄLVDALEN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33100-2023</t>
        </is>
      </c>
      <c r="B491" t="inlineStr">
        <is>
          <t>avverkningsanmälan</t>
        </is>
      </c>
      <c r="C491" t="inlineStr">
        <is>
          <t>Föryngringsavverkning</t>
        </is>
      </c>
      <c r="D491" s="1" t="n">
        <v>45114</v>
      </c>
      <c r="E491" s="1" t="n">
        <v>46224</v>
      </c>
      <c r="F491" t="inlineStr">
        <is>
          <t>DALARNAS LÄN</t>
        </is>
      </c>
      <c r="G491" t="inlineStr">
        <is>
          <t>ÄLVDALEN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21724-2026</t>
        </is>
      </c>
      <c r="B492" t="inlineStr">
        <is>
          <t>avverkningsanmälan</t>
        </is>
      </c>
      <c r="C492" t="inlineStr">
        <is>
          <t>Föryngringsavverkning</t>
        </is>
      </c>
      <c r="D492" s="1" t="n">
        <v>46149</v>
      </c>
      <c r="E492" s="1" t="n">
        <v>46224</v>
      </c>
      <c r="F492" t="inlineStr">
        <is>
          <t>DALARNAS LÄN</t>
        </is>
      </c>
      <c r="G492" t="inlineStr">
        <is>
          <t>ÄLVDALEN</t>
        </is>
      </c>
      <c r="H492" t="inlineStr">
        <is>
          <t>Bergvik skog väst AB</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46224</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15759-2024</t>
        </is>
      </c>
      <c r="B494" t="inlineStr">
        <is>
          <t>avverkningsanmälan</t>
        </is>
      </c>
      <c r="C494" t="inlineStr">
        <is>
          <t>Föryngringsavverkning</t>
        </is>
      </c>
      <c r="D494" s="1" t="n">
        <v>45404</v>
      </c>
      <c r="E494" s="1" t="n">
        <v>46224</v>
      </c>
      <c r="F494" t="inlineStr">
        <is>
          <t>DALARNAS LÄN</t>
        </is>
      </c>
      <c r="G494" t="inlineStr">
        <is>
          <t>ÄLVDALEN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627-2025</t>
        </is>
      </c>
      <c r="B495" t="inlineStr">
        <is>
          <t>avverkningsanmälan</t>
        </is>
      </c>
      <c r="C495" t="inlineStr">
        <is>
          <t>Föryngringsavverkning</t>
        </is>
      </c>
      <c r="D495" s="1" t="n">
        <v>45660</v>
      </c>
      <c r="E495" s="1" t="n">
        <v>46224</v>
      </c>
      <c r="F495" t="inlineStr">
        <is>
          <t>DALARNAS LÄN</t>
        </is>
      </c>
      <c r="G495" t="inlineStr">
        <is>
          <t>ÄLVDALEN</t>
        </is>
      </c>
      <c r="H495" t="inlineStr">
        <is>
          <t>Allmännings- och besparingsskogar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22225-2026</t>
        </is>
      </c>
      <c r="B496" t="inlineStr">
        <is>
          <t>avverkningsanmälan</t>
        </is>
      </c>
      <c r="C496" t="inlineStr">
        <is>
          <t>Föryngringsavverkning</t>
        </is>
      </c>
      <c r="D496" s="1" t="n">
        <v>46153</v>
      </c>
      <c r="E496" s="1" t="n">
        <v>46224</v>
      </c>
      <c r="F496" t="inlineStr">
        <is>
          <t>DALARNAS LÄN</t>
        </is>
      </c>
      <c r="G496" t="inlineStr">
        <is>
          <t>ÄLVDALEN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32352-2023</t>
        </is>
      </c>
      <c r="B497" t="inlineStr">
        <is>
          <t>avverkningsanmälan</t>
        </is>
      </c>
      <c r="C497" t="inlineStr">
        <is>
          <t>Föryngringsavverkning</t>
        </is>
      </c>
      <c r="D497" s="1" t="n">
        <v>45120</v>
      </c>
      <c r="E497" s="1" t="n">
        <v>46224</v>
      </c>
      <c r="F497" t="inlineStr">
        <is>
          <t>DALARNAS LÄN</t>
        </is>
      </c>
      <c r="G497" t="inlineStr">
        <is>
          <t>ÄLVDALEN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22306-2026</t>
        </is>
      </c>
      <c r="B498" t="inlineStr">
        <is>
          <t>avverkningsanmälan</t>
        </is>
      </c>
      <c r="C498" t="inlineStr">
        <is>
          <t>Föryngringsavverkning</t>
        </is>
      </c>
      <c r="D498" s="1" t="n">
        <v>46154</v>
      </c>
      <c r="E498" s="1" t="n">
        <v>46224</v>
      </c>
      <c r="F498" t="inlineStr">
        <is>
          <t>DALARNAS LÄN</t>
        </is>
      </c>
      <c r="G498" t="inlineStr">
        <is>
          <t>ÄLVDALEN</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29565-2022</t>
        </is>
      </c>
      <c r="B499" t="inlineStr">
        <is>
          <t>avverkningsanmälan</t>
        </is>
      </c>
      <c r="C499" t="inlineStr">
        <is>
          <t>Föryngringsavverkning</t>
        </is>
      </c>
      <c r="D499" s="1" t="n">
        <v>44754</v>
      </c>
      <c r="E499" s="1" t="n">
        <v>46224</v>
      </c>
      <c r="F499" t="inlineStr">
        <is>
          <t>DALARNAS LÄN</t>
        </is>
      </c>
      <c r="G499" t="inlineStr">
        <is>
          <t>ÄLVDALEN</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47081-2023</t>
        </is>
      </c>
      <c r="B500" t="inlineStr">
        <is>
          <t>avverkningsanmälan</t>
        </is>
      </c>
      <c r="C500" t="inlineStr">
        <is>
          <t>Föryngringsavverkning</t>
        </is>
      </c>
      <c r="D500" s="1" t="n">
        <v>45201</v>
      </c>
      <c r="E500" s="1" t="n">
        <v>46224</v>
      </c>
      <c r="F500" t="inlineStr">
        <is>
          <t>DALARNAS LÄN</t>
        </is>
      </c>
      <c r="G500" t="inlineStr">
        <is>
          <t>ÄLVDALEN</t>
        </is>
      </c>
      <c r="H500" t="inlineStr">
        <is>
          <t>Bergvik skog väst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59209-2022</t>
        </is>
      </c>
      <c r="B501" t="inlineStr">
        <is>
          <t>avverkningsanmälan</t>
        </is>
      </c>
      <c r="C501" t="inlineStr">
        <is>
          <t>Föryngringsavverkning</t>
        </is>
      </c>
      <c r="D501" s="1" t="n">
        <v>44904</v>
      </c>
      <c r="E501" s="1" t="n">
        <v>46224</v>
      </c>
      <c r="F501" t="inlineStr">
        <is>
          <t>DALARNAS LÄN</t>
        </is>
      </c>
      <c r="G501" t="inlineStr">
        <is>
          <t>ÄLVDALEN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59138-2023</t>
        </is>
      </c>
      <c r="B502" t="inlineStr">
        <is>
          <t>avverkningsanmälan</t>
        </is>
      </c>
      <c r="C502" t="inlineStr">
        <is>
          <t>Föryngringsavverkning</t>
        </is>
      </c>
      <c r="D502" s="1" t="n">
        <v>45253</v>
      </c>
      <c r="E502" s="1" t="n">
        <v>46224</v>
      </c>
      <c r="F502" t="inlineStr">
        <is>
          <t>DALARNAS LÄN</t>
        </is>
      </c>
      <c r="G502" t="inlineStr">
        <is>
          <t>ÄLVDALEN</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33102-2023</t>
        </is>
      </c>
      <c r="B503" t="inlineStr">
        <is>
          <t>avverkningsanmälan</t>
        </is>
      </c>
      <c r="C503" t="inlineStr">
        <is>
          <t>Föryngringsavverkning</t>
        </is>
      </c>
      <c r="D503" s="1" t="n">
        <v>45114</v>
      </c>
      <c r="E503" s="1" t="n">
        <v>46224</v>
      </c>
      <c r="F503" t="inlineStr">
        <is>
          <t>DALARNAS LÄN</t>
        </is>
      </c>
      <c r="G503" t="inlineStr">
        <is>
          <t>ÄLVDALEN</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62315-2022</t>
        </is>
      </c>
      <c r="B504" t="inlineStr">
        <is>
          <t>avverkningsanmälan</t>
        </is>
      </c>
      <c r="C504" t="inlineStr">
        <is>
          <t>Föryngringsavverkning</t>
        </is>
      </c>
      <c r="D504" s="1" t="n">
        <v>44916</v>
      </c>
      <c r="E504" s="1" t="n">
        <v>46224</v>
      </c>
      <c r="F504" t="inlineStr">
        <is>
          <t>DALARNAS LÄN</t>
        </is>
      </c>
      <c r="G504" t="inlineStr">
        <is>
          <t>ÄLVDALEN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53168-2024</t>
        </is>
      </c>
      <c r="B505" t="inlineStr">
        <is>
          <t>avverkningsanmälan</t>
        </is>
      </c>
      <c r="C505" t="inlineStr">
        <is>
          <t>Föryngringsavverkning</t>
        </is>
      </c>
      <c r="D505" s="1" t="n">
        <v>45611</v>
      </c>
      <c r="E505" s="1" t="n">
        <v>46224</v>
      </c>
      <c r="F505" t="inlineStr">
        <is>
          <t>DALARNAS LÄN</t>
        </is>
      </c>
      <c r="G505" t="inlineStr">
        <is>
          <t>ÄLVDALEN</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6230-2024</t>
        </is>
      </c>
      <c r="B506" t="inlineStr">
        <is>
          <t>avverkningsanmälan</t>
        </is>
      </c>
      <c r="C506" t="inlineStr">
        <is>
          <t>Föryngringsavverkning</t>
        </is>
      </c>
      <c r="D506" s="1" t="n">
        <v>45337</v>
      </c>
      <c r="E506" s="1" t="n">
        <v>46224</v>
      </c>
      <c r="F506" t="inlineStr">
        <is>
          <t>DALARNAS LÄN</t>
        </is>
      </c>
      <c r="G506" t="inlineStr">
        <is>
          <t>ÄLVDALEN</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56882-2022</t>
        </is>
      </c>
      <c r="B507" t="inlineStr">
        <is>
          <t>avverkningsanmälan</t>
        </is>
      </c>
      <c r="C507" t="inlineStr">
        <is>
          <t>Föryngringsavverkning</t>
        </is>
      </c>
      <c r="D507" s="1" t="n">
        <v>44894</v>
      </c>
      <c r="E507" s="1" t="n">
        <v>46224</v>
      </c>
      <c r="F507" t="inlineStr">
        <is>
          <t>DALARNAS LÄN</t>
        </is>
      </c>
      <c r="G507" t="inlineStr">
        <is>
          <t>ÄLVDALEN</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47877-2023</t>
        </is>
      </c>
      <c r="B508" t="inlineStr">
        <is>
          <t>avverkningsanmälan</t>
        </is>
      </c>
      <c r="C508" t="inlineStr">
        <is>
          <t>Föryngringsavverkning</t>
        </is>
      </c>
      <c r="D508" s="1" t="n">
        <v>45204</v>
      </c>
      <c r="E508" s="1" t="n">
        <v>46224</v>
      </c>
      <c r="F508" t="inlineStr">
        <is>
          <t>DALARNAS LÄN</t>
        </is>
      </c>
      <c r="G508" t="inlineStr">
        <is>
          <t>ÄLVDALEN</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5826-2023</t>
        </is>
      </c>
      <c r="B509" t="inlineStr">
        <is>
          <t>avverkningsanmälan</t>
        </is>
      </c>
      <c r="C509" t="inlineStr">
        <is>
          <t>Föryngringsavverkning</t>
        </is>
      </c>
      <c r="D509" s="1" t="n">
        <v>44963</v>
      </c>
      <c r="E509" s="1" t="n">
        <v>46224</v>
      </c>
      <c r="F509" t="inlineStr">
        <is>
          <t>DALARNAS LÄN</t>
        </is>
      </c>
      <c r="G509" t="inlineStr">
        <is>
          <t>ÄLVDALEN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45203-2024</t>
        </is>
      </c>
      <c r="B510" t="inlineStr">
        <is>
          <t>avverkningsanmälan</t>
        </is>
      </c>
      <c r="C510" t="inlineStr">
        <is>
          <t>Föryngringsavverkning</t>
        </is>
      </c>
      <c r="D510" s="1" t="n">
        <v>45575</v>
      </c>
      <c r="E510" s="1" t="n">
        <v>46224</v>
      </c>
      <c r="F510" t="inlineStr">
        <is>
          <t>DALARNAS LÄN</t>
        </is>
      </c>
      <c r="G510" t="inlineStr">
        <is>
          <t>ÄLVDALEN</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53408-2023</t>
        </is>
      </c>
      <c r="B511" t="inlineStr">
        <is>
          <t>avverkningsanmälan</t>
        </is>
      </c>
      <c r="C511" t="inlineStr">
        <is>
          <t>Föryngringsavverkning</t>
        </is>
      </c>
      <c r="D511" s="1" t="n">
        <v>45229</v>
      </c>
      <c r="E511" s="1" t="n">
        <v>46224</v>
      </c>
      <c r="F511" t="inlineStr">
        <is>
          <t>DALARNAS LÄN</t>
        </is>
      </c>
      <c r="G511" t="inlineStr">
        <is>
          <t>ÄLVDALEN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30749-2026</t>
        </is>
      </c>
      <c r="B512" t="inlineStr">
        <is>
          <t>avverkningsanmälan</t>
        </is>
      </c>
      <c r="C512" t="inlineStr">
        <is>
          <t>Föryngringsavverkning</t>
        </is>
      </c>
      <c r="D512" s="1" t="n">
        <v>46211</v>
      </c>
      <c r="E512" s="1" t="n">
        <v>46224</v>
      </c>
      <c r="F512" t="inlineStr">
        <is>
          <t>DALARNAS LÄN</t>
        </is>
      </c>
      <c r="G512" t="inlineStr">
        <is>
          <t>ÄLVDALEN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24203-2026</t>
        </is>
      </c>
      <c r="B513" t="inlineStr">
        <is>
          <t>avverkningsanmälan</t>
        </is>
      </c>
      <c r="C513" t="inlineStr">
        <is>
          <t>Föryngringsavverkning</t>
        </is>
      </c>
      <c r="D513" s="1" t="n">
        <v>46168</v>
      </c>
      <c r="E513" s="1" t="n">
        <v>46224</v>
      </c>
      <c r="F513" t="inlineStr">
        <is>
          <t>DALARNAS LÄN</t>
        </is>
      </c>
      <c r="G513" t="inlineStr">
        <is>
          <t>ÄLVDALEN</t>
        </is>
      </c>
      <c r="H513" t="inlineStr">
        <is>
          <t>Bergvik skog väst AB</t>
        </is>
      </c>
      <c r="I513" t="n">
        <v>22.4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70140-2021</t>
        </is>
      </c>
      <c r="B514" t="inlineStr">
        <is>
          <t>avverkningsanmälan</t>
        </is>
      </c>
      <c r="C514" t="inlineStr">
        <is>
          <t>Föryngringsavverkning</t>
        </is>
      </c>
      <c r="D514" s="1" t="n">
        <v>44533</v>
      </c>
      <c r="E514" s="1" t="n">
        <v>46224</v>
      </c>
      <c r="F514" t="inlineStr">
        <is>
          <t>DALARNAS LÄN</t>
        </is>
      </c>
      <c r="G514" t="inlineStr">
        <is>
          <t>ÄLVDALEN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31332-2023</t>
        </is>
      </c>
      <c r="B515" t="inlineStr">
        <is>
          <t>avverkningsanmälan</t>
        </is>
      </c>
      <c r="C515" t="inlineStr">
        <is>
          <t>Föryngringsavverkning</t>
        </is>
      </c>
      <c r="D515" s="1" t="n">
        <v>45114</v>
      </c>
      <c r="E515" s="1" t="n">
        <v>46224</v>
      </c>
      <c r="F515" t="inlineStr">
        <is>
          <t>DALARNAS LÄN</t>
        </is>
      </c>
      <c r="G515" t="inlineStr">
        <is>
          <t>ÄLVDALEN</t>
        </is>
      </c>
      <c r="H515" t="inlineStr">
        <is>
          <t>Övriga statliga verk och myndigheter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1310-2024</t>
        </is>
      </c>
      <c r="B516" t="inlineStr">
        <is>
          <t>avverkningsanmälan</t>
        </is>
      </c>
      <c r="C516" t="inlineStr">
        <is>
          <t>Föryngringsavverkning</t>
        </is>
      </c>
      <c r="D516" s="1" t="n">
        <v>45303</v>
      </c>
      <c r="E516" s="1" t="n">
        <v>46224</v>
      </c>
      <c r="F516" t="inlineStr">
        <is>
          <t>DALARNAS LÄN</t>
        </is>
      </c>
      <c r="G516" t="inlineStr">
        <is>
          <t>ÄLVDALEN</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62314-2022</t>
        </is>
      </c>
      <c r="B517" t="inlineStr">
        <is>
          <t>avverkningsanmälan</t>
        </is>
      </c>
      <c r="C517" t="inlineStr">
        <is>
          <t>Föryngringsavverkning</t>
        </is>
      </c>
      <c r="D517" s="1" t="n">
        <v>44916</v>
      </c>
      <c r="E517" s="1" t="n">
        <v>46224</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47869-2023</t>
        </is>
      </c>
      <c r="B518" t="inlineStr">
        <is>
          <t>avverkningsanmälan</t>
        </is>
      </c>
      <c r="C518" t="inlineStr">
        <is>
          <t>Föryngringsavverkning</t>
        </is>
      </c>
      <c r="D518" s="1" t="n">
        <v>45204</v>
      </c>
      <c r="E518" s="1" t="n">
        <v>46224</v>
      </c>
      <c r="F518" t="inlineStr">
        <is>
          <t>DALARNAS LÄN</t>
        </is>
      </c>
      <c r="G518" t="inlineStr">
        <is>
          <t>ÄLVDALEN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5170-2024</t>
        </is>
      </c>
      <c r="B519" t="inlineStr">
        <is>
          <t>avverkningsanmälan</t>
        </is>
      </c>
      <c r="C519" t="inlineStr">
        <is>
          <t>Föryngringsavverkning</t>
        </is>
      </c>
      <c r="D519" s="1" t="n">
        <v>45330</v>
      </c>
      <c r="E519" s="1" t="n">
        <v>46224</v>
      </c>
      <c r="F519" t="inlineStr">
        <is>
          <t>DALARNAS LÄN</t>
        </is>
      </c>
      <c r="G519" t="inlineStr">
        <is>
          <t>ÄLVDALEN</t>
        </is>
      </c>
      <c r="I519" t="n">
        <v>15.8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5925-2026</t>
        </is>
      </c>
      <c r="B520" t="inlineStr">
        <is>
          <t>avverkningsanmälan</t>
        </is>
      </c>
      <c r="C520" t="inlineStr">
        <is>
          <t>Föryngringsavverkning</t>
        </is>
      </c>
      <c r="D520" s="1" t="n">
        <v>46052</v>
      </c>
      <c r="E520" s="1" t="n">
        <v>46224</v>
      </c>
      <c r="F520" t="inlineStr">
        <is>
          <t>DALARNAS LÄN</t>
        </is>
      </c>
      <c r="G520" t="inlineStr">
        <is>
          <t>ÄLVDALEN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25053-2026</t>
        </is>
      </c>
      <c r="B521" t="inlineStr">
        <is>
          <t>avverkningsanmälan</t>
        </is>
      </c>
      <c r="C521" t="inlineStr">
        <is>
          <t>Föryngringsavverkning</t>
        </is>
      </c>
      <c r="D521" s="1" t="n">
        <v>46174</v>
      </c>
      <c r="E521" s="1" t="n">
        <v>46224</v>
      </c>
      <c r="F521" t="inlineStr">
        <is>
          <t>DALARNAS LÄN</t>
        </is>
      </c>
      <c r="G521" t="inlineStr">
        <is>
          <t>ÄLVDALEN</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25056-2026</t>
        </is>
      </c>
      <c r="B522" t="inlineStr">
        <is>
          <t>avverkningsanmälan</t>
        </is>
      </c>
      <c r="C522" t="inlineStr">
        <is>
          <t>Föryngringsavverkning</t>
        </is>
      </c>
      <c r="D522" s="1" t="n">
        <v>46174</v>
      </c>
      <c r="E522" s="1" t="n">
        <v>46224</v>
      </c>
      <c r="F522" t="inlineStr">
        <is>
          <t>DALARNAS LÄN</t>
        </is>
      </c>
      <c r="G522" t="inlineStr">
        <is>
          <t>ÄLVDALEN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7232-2025</t>
        </is>
      </c>
      <c r="B523" t="inlineStr">
        <is>
          <t>avverkningsanmälan</t>
        </is>
      </c>
      <c r="C523" t="inlineStr">
        <is>
          <t>Avverkning för annat ändamål</t>
        </is>
      </c>
      <c r="D523" s="1" t="n">
        <v>45702</v>
      </c>
      <c r="E523" s="1" t="n">
        <v>46224</v>
      </c>
      <c r="F523" t="inlineStr">
        <is>
          <t>DALARNAS LÄN</t>
        </is>
      </c>
      <c r="G523" t="inlineStr">
        <is>
          <t>ÄLVDALEN</t>
        </is>
      </c>
      <c r="H523" t="inlineStr">
        <is>
          <t>Allmännings- och besparingsskogar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24971-2026</t>
        </is>
      </c>
      <c r="B524" t="inlineStr">
        <is>
          <t>avverkningsanmälan</t>
        </is>
      </c>
      <c r="C524" t="inlineStr">
        <is>
          <t>Föryngringsavverkning</t>
        </is>
      </c>
      <c r="D524" s="1" t="n">
        <v>46174</v>
      </c>
      <c r="E524" s="1" t="n">
        <v>46224</v>
      </c>
      <c r="F524" t="inlineStr">
        <is>
          <t>DALARNAS LÄN</t>
        </is>
      </c>
      <c r="G524" t="inlineStr">
        <is>
          <t>ÄLVDALEN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36462-2024</t>
        </is>
      </c>
      <c r="B525" t="inlineStr">
        <is>
          <t>avverkningsanmälan</t>
        </is>
      </c>
      <c r="C525" t="inlineStr">
        <is>
          <t>Föryngringsavverkning</t>
        </is>
      </c>
      <c r="D525" s="1" t="n">
        <v>45537</v>
      </c>
      <c r="E525" s="1" t="n">
        <v>46224</v>
      </c>
      <c r="F525" t="inlineStr">
        <is>
          <t>DALARNAS LÄN</t>
        </is>
      </c>
      <c r="G525" t="inlineStr">
        <is>
          <t>ÄLVDALEN</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24988-2026</t>
        </is>
      </c>
      <c r="B526" t="inlineStr">
        <is>
          <t>avverkningsanmälan</t>
        </is>
      </c>
      <c r="C526" t="inlineStr">
        <is>
          <t>Föryngringsavverkning</t>
        </is>
      </c>
      <c r="D526" s="1" t="n">
        <v>46174</v>
      </c>
      <c r="E526" s="1" t="n">
        <v>46224</v>
      </c>
      <c r="F526" t="inlineStr">
        <is>
          <t>DALARNAS LÄN</t>
        </is>
      </c>
      <c r="G526" t="inlineStr">
        <is>
          <t>ÄLVDALEN</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32740-2024</t>
        </is>
      </c>
      <c r="B527" t="inlineStr">
        <is>
          <t>avverkningsanmälan</t>
        </is>
      </c>
      <c r="C527" t="inlineStr">
        <is>
          <t>Föryngringsavverkning</t>
        </is>
      </c>
      <c r="D527" s="1" t="n">
        <v>45516</v>
      </c>
      <c r="E527" s="1" t="n">
        <v>46224</v>
      </c>
      <c r="F527" t="inlineStr">
        <is>
          <t>DALARNAS LÄN</t>
        </is>
      </c>
      <c r="G527" t="inlineStr">
        <is>
          <t>ÄLVDALEN</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46409-2025</t>
        </is>
      </c>
      <c r="B528" t="inlineStr">
        <is>
          <t>avverkningsanmälan</t>
        </is>
      </c>
      <c r="C528" t="inlineStr">
        <is>
          <t>Föryngringsavverkning</t>
        </is>
      </c>
      <c r="D528" s="1" t="n">
        <v>45925</v>
      </c>
      <c r="E528" s="1" t="n">
        <v>46224</v>
      </c>
      <c r="F528" t="inlineStr">
        <is>
          <t>DALARNAS LÄN</t>
        </is>
      </c>
      <c r="G528" t="inlineStr">
        <is>
          <t>ÄLVDALEN</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46926-2024</t>
        </is>
      </c>
      <c r="B529" t="inlineStr">
        <is>
          <t>avverkningsanmälan</t>
        </is>
      </c>
      <c r="C529" t="inlineStr">
        <is>
          <t>Föryngringsavverkning</t>
        </is>
      </c>
      <c r="D529" s="1" t="n">
        <v>45584</v>
      </c>
      <c r="E529" s="1" t="n">
        <v>46224</v>
      </c>
      <c r="F529" t="inlineStr">
        <is>
          <t>DALARNAS LÄN</t>
        </is>
      </c>
      <c r="G529" t="inlineStr">
        <is>
          <t>ÄLVDALEN</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31281-2026</t>
        </is>
      </c>
      <c r="B530" t="inlineStr">
        <is>
          <t>avverkningsanmälan</t>
        </is>
      </c>
      <c r="C530" t="inlineStr">
        <is>
          <t>Föryngringsavverkning</t>
        </is>
      </c>
      <c r="D530" s="1" t="n">
        <v>46211</v>
      </c>
      <c r="E530" s="1" t="n">
        <v>46224</v>
      </c>
      <c r="F530" t="inlineStr">
        <is>
          <t>DALARNAS LÄN</t>
        </is>
      </c>
      <c r="G530" t="inlineStr">
        <is>
          <t>ÄLVDALEN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31339-2026</t>
        </is>
      </c>
      <c r="B531" t="inlineStr">
        <is>
          <t>avverkningsanmälan</t>
        </is>
      </c>
      <c r="C531" t="inlineStr">
        <is>
          <t>Föryngringsavverkning</t>
        </is>
      </c>
      <c r="D531" s="1" t="n">
        <v>46212</v>
      </c>
      <c r="E531" s="1" t="n">
        <v>46224</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31341-2026</t>
        </is>
      </c>
      <c r="B532" t="inlineStr">
        <is>
          <t>avverkningsanmälan</t>
        </is>
      </c>
      <c r="C532" t="inlineStr">
        <is>
          <t>Föryngringsavverkning</t>
        </is>
      </c>
      <c r="D532" s="1" t="n">
        <v>46212</v>
      </c>
      <c r="E532" s="1" t="n">
        <v>46224</v>
      </c>
      <c r="F532" t="inlineStr">
        <is>
          <t>DALARNAS LÄN</t>
        </is>
      </c>
      <c r="G532" t="inlineStr">
        <is>
          <t>ÄLVDALEN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30143-2024</t>
        </is>
      </c>
      <c r="B533" t="inlineStr">
        <is>
          <t>avverkningsanmälan</t>
        </is>
      </c>
      <c r="C533" t="inlineStr">
        <is>
          <t>Föryngringsavverkning</t>
        </is>
      </c>
      <c r="D533" s="1" t="n">
        <v>45488</v>
      </c>
      <c r="E533" s="1" t="n">
        <v>46224</v>
      </c>
      <c r="F533" t="inlineStr">
        <is>
          <t>DALARNAS LÄN</t>
        </is>
      </c>
      <c r="G533" t="inlineStr">
        <is>
          <t>ÄLVDALEN</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42332-2023</t>
        </is>
      </c>
      <c r="B534" t="inlineStr">
        <is>
          <t>avverkningsanmälan</t>
        </is>
      </c>
      <c r="C534" t="inlineStr">
        <is>
          <t>Föryngringsavverkning</t>
        </is>
      </c>
      <c r="D534" s="1" t="n">
        <v>45175</v>
      </c>
      <c r="E534" s="1" t="n">
        <v>46224</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36640-2023</t>
        </is>
      </c>
      <c r="B535" t="inlineStr">
        <is>
          <t>avverkningsanmälan</t>
        </is>
      </c>
      <c r="C535" t="inlineStr">
        <is>
          <t>Föryngringsavverkning</t>
        </is>
      </c>
      <c r="D535" s="1" t="n">
        <v>45153</v>
      </c>
      <c r="E535" s="1" t="n">
        <v>46224</v>
      </c>
      <c r="F535" t="inlineStr">
        <is>
          <t>DALARNAS LÄN</t>
        </is>
      </c>
      <c r="G535" t="inlineStr">
        <is>
          <t>ÄLVDALEN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19182-2023</t>
        </is>
      </c>
      <c r="B536" t="inlineStr">
        <is>
          <t>avverkningsanmälan</t>
        </is>
      </c>
      <c r="C536" t="inlineStr">
        <is>
          <t>Föryngringsavverkning</t>
        </is>
      </c>
      <c r="D536" s="1" t="n">
        <v>45048</v>
      </c>
      <c r="E536" s="1" t="n">
        <v>46224</v>
      </c>
      <c r="F536" t="inlineStr">
        <is>
          <t>DALARNAS LÄN</t>
        </is>
      </c>
      <c r="G536" t="inlineStr">
        <is>
          <t>ÄLVDALEN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13000-2022</t>
        </is>
      </c>
      <c r="B537" t="inlineStr">
        <is>
          <t>avverkningsanmälan</t>
        </is>
      </c>
      <c r="C537" t="inlineStr">
        <is>
          <t>Föryngringsavverkning</t>
        </is>
      </c>
      <c r="D537" s="1" t="n">
        <v>44643</v>
      </c>
      <c r="E537" s="1" t="n">
        <v>46224</v>
      </c>
      <c r="F537" t="inlineStr">
        <is>
          <t>DALARNAS LÄN</t>
        </is>
      </c>
      <c r="G537" t="inlineStr">
        <is>
          <t>ÄLVDALEN</t>
        </is>
      </c>
      <c r="H537" t="inlineStr">
        <is>
          <t>Sveaskog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43900-2024</t>
        </is>
      </c>
      <c r="B538" t="inlineStr">
        <is>
          <t>avverkningsanmälan</t>
        </is>
      </c>
      <c r="C538" t="inlineStr">
        <is>
          <t>Föryngringsavverkning</t>
        </is>
      </c>
      <c r="D538" s="1" t="n">
        <v>45572</v>
      </c>
      <c r="E538" s="1" t="n">
        <v>46224</v>
      </c>
      <c r="F538" t="inlineStr">
        <is>
          <t>DALARNAS LÄN</t>
        </is>
      </c>
      <c r="G538" t="inlineStr">
        <is>
          <t>ÄLVDALEN</t>
        </is>
      </c>
      <c r="H538" t="inlineStr">
        <is>
          <t>Bergvik skog väst AB</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1138-2026</t>
        </is>
      </c>
      <c r="B539" t="inlineStr">
        <is>
          <t>avverkningsanmälan</t>
        </is>
      </c>
      <c r="C539" t="inlineStr">
        <is>
          <t>Föryngringsavverkning</t>
        </is>
      </c>
      <c r="D539" s="1" t="n">
        <v>46030</v>
      </c>
      <c r="E539" s="1" t="n">
        <v>46224</v>
      </c>
      <c r="F539" t="inlineStr">
        <is>
          <t>DALARNAS LÄN</t>
        </is>
      </c>
      <c r="G539" t="inlineStr">
        <is>
          <t>ÄLVDALEN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61450-2022</t>
        </is>
      </c>
      <c r="B540" t="inlineStr">
        <is>
          <t>avverkningsanmälan</t>
        </is>
      </c>
      <c r="C540" t="inlineStr">
        <is>
          <t>Föryngringsavverkning</t>
        </is>
      </c>
      <c r="D540" s="1" t="n">
        <v>44910</v>
      </c>
      <c r="E540" s="1" t="n">
        <v>46224</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25606-2026</t>
        </is>
      </c>
      <c r="B541" t="inlineStr">
        <is>
          <t>avverkningsanmälan</t>
        </is>
      </c>
      <c r="C541" t="inlineStr">
        <is>
          <t>Föryngringsavverkning</t>
        </is>
      </c>
      <c r="D541" s="1" t="n">
        <v>46177</v>
      </c>
      <c r="E541" s="1" t="n">
        <v>46224</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8492-2025</t>
        </is>
      </c>
      <c r="B542" t="inlineStr">
        <is>
          <t>avverkningsanmälan</t>
        </is>
      </c>
      <c r="C542" t="inlineStr">
        <is>
          <t>Föryngringsavverkning</t>
        </is>
      </c>
      <c r="D542" s="1" t="n">
        <v>45709</v>
      </c>
      <c r="E542" s="1" t="n">
        <v>46224</v>
      </c>
      <c r="F542" t="inlineStr">
        <is>
          <t>DALARNAS LÄN</t>
        </is>
      </c>
      <c r="G542" t="inlineStr">
        <is>
          <t>ÄLVDALEN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8496-2025</t>
        </is>
      </c>
      <c r="B543" t="inlineStr">
        <is>
          <t>avverkningsanmälan</t>
        </is>
      </c>
      <c r="C543" t="inlineStr">
        <is>
          <t>Föryngringsavverkning</t>
        </is>
      </c>
      <c r="D543" s="1" t="n">
        <v>45709</v>
      </c>
      <c r="E543" s="1" t="n">
        <v>46224</v>
      </c>
      <c r="F543" t="inlineStr">
        <is>
          <t>DALARNAS LÄN</t>
        </is>
      </c>
      <c r="G543" t="inlineStr">
        <is>
          <t>ÄLVDALEN</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39064-2021</t>
        </is>
      </c>
      <c r="B544" t="inlineStr">
        <is>
          <t>avverkningsanmälan</t>
        </is>
      </c>
      <c r="C544" t="inlineStr">
        <is>
          <t>Föryngringsavverkning</t>
        </is>
      </c>
      <c r="D544" s="1" t="n">
        <v>44411</v>
      </c>
      <c r="E544" s="1" t="n">
        <v>46224</v>
      </c>
      <c r="F544" t="inlineStr">
        <is>
          <t>DALARNAS LÄN</t>
        </is>
      </c>
      <c r="G544" t="inlineStr">
        <is>
          <t>ÄLVDALEN</t>
        </is>
      </c>
      <c r="H544" t="inlineStr">
        <is>
          <t>Övriga statliga verk och myndigheter</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27480-2022</t>
        </is>
      </c>
      <c r="B545" t="inlineStr">
        <is>
          <t>avverkningsanmälan</t>
        </is>
      </c>
      <c r="C545" t="inlineStr">
        <is>
          <t>Föryngringsavverkning</t>
        </is>
      </c>
      <c r="D545" s="1" t="n">
        <v>44742</v>
      </c>
      <c r="E545" s="1" t="n">
        <v>46224</v>
      </c>
      <c r="F545" t="inlineStr">
        <is>
          <t>DALARNAS LÄN</t>
        </is>
      </c>
      <c r="G545" t="inlineStr">
        <is>
          <t>ÄLVDALEN</t>
        </is>
      </c>
      <c r="H545" t="inlineStr">
        <is>
          <t>Bergvik skog väst AB</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32031-2023</t>
        </is>
      </c>
      <c r="B546" t="inlineStr">
        <is>
          <t>avverkningsanmälan</t>
        </is>
      </c>
      <c r="C546" t="inlineStr">
        <is>
          <t>Avverkning för annat ändamål</t>
        </is>
      </c>
      <c r="D546" s="1" t="n">
        <v>45107</v>
      </c>
      <c r="E546" s="1" t="n">
        <v>46224</v>
      </c>
      <c r="F546" t="inlineStr">
        <is>
          <t>DALARNAS LÄN</t>
        </is>
      </c>
      <c r="G546" t="inlineStr">
        <is>
          <t>ÄLVDALEN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17051-2023</t>
        </is>
      </c>
      <c r="B547" t="inlineStr">
        <is>
          <t>avverkningsanmälan</t>
        </is>
      </c>
      <c r="C547" t="inlineStr">
        <is>
          <t>Föryngringsavverkning</t>
        </is>
      </c>
      <c r="D547" s="1" t="n">
        <v>45034</v>
      </c>
      <c r="E547" s="1" t="n">
        <v>46224</v>
      </c>
      <c r="F547" t="inlineStr">
        <is>
          <t>DALARNAS LÄN</t>
        </is>
      </c>
      <c r="G547" t="inlineStr">
        <is>
          <t>ÄLVDALEN</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7576-2024</t>
        </is>
      </c>
      <c r="B548" t="inlineStr">
        <is>
          <t>avverkningsanmälan</t>
        </is>
      </c>
      <c r="C548" t="inlineStr">
        <is>
          <t>Föryngringsavverkning</t>
        </is>
      </c>
      <c r="D548" s="1" t="n">
        <v>45348</v>
      </c>
      <c r="E548" s="1" t="n">
        <v>46224</v>
      </c>
      <c r="F548" t="inlineStr">
        <is>
          <t>DALARNAS LÄN</t>
        </is>
      </c>
      <c r="G548" t="inlineStr">
        <is>
          <t>ÄLVDALEN</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2381-2024</t>
        </is>
      </c>
      <c r="B549" t="inlineStr">
        <is>
          <t>avverkningsanmälan</t>
        </is>
      </c>
      <c r="C549" t="inlineStr">
        <is>
          <t>Föryngringsavverkning</t>
        </is>
      </c>
      <c r="D549" s="1" t="n">
        <v>45310</v>
      </c>
      <c r="E549" s="1" t="n">
        <v>46224</v>
      </c>
      <c r="F549" t="inlineStr">
        <is>
          <t>DALARNAS LÄN</t>
        </is>
      </c>
      <c r="G549" t="inlineStr">
        <is>
          <t>ÄLVDALEN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60642-2021</t>
        </is>
      </c>
      <c r="B550" t="inlineStr">
        <is>
          <t>avverkningsanmälan</t>
        </is>
      </c>
      <c r="C550" t="inlineStr">
        <is>
          <t>Föryngringsavverkning</t>
        </is>
      </c>
      <c r="D550" s="1" t="n">
        <v>44496</v>
      </c>
      <c r="E550" s="1" t="n">
        <v>46224</v>
      </c>
      <c r="F550" t="inlineStr">
        <is>
          <t>DALARNAS LÄN</t>
        </is>
      </c>
      <c r="G550" t="inlineStr">
        <is>
          <t>ÄLVDALEN</t>
        </is>
      </c>
      <c r="H550" t="inlineStr">
        <is>
          <t>Allmännings- och besparingsskogar</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21613-2025</t>
        </is>
      </c>
      <c r="B551" t="inlineStr">
        <is>
          <t>avverkningsanmälan</t>
        </is>
      </c>
      <c r="C551" t="inlineStr">
        <is>
          <t>Föryngringsavverkning</t>
        </is>
      </c>
      <c r="D551" s="1" t="n">
        <v>45783</v>
      </c>
      <c r="E551" s="1" t="n">
        <v>46224</v>
      </c>
      <c r="F551" t="inlineStr">
        <is>
          <t>DALARNAS LÄN</t>
        </is>
      </c>
      <c r="G551" t="inlineStr">
        <is>
          <t>ÄLVDALEN</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21629-2025</t>
        </is>
      </c>
      <c r="B552" t="inlineStr">
        <is>
          <t>avverkningsanmälan</t>
        </is>
      </c>
      <c r="C552" t="inlineStr">
        <is>
          <t>Föryngringsavverkning</t>
        </is>
      </c>
      <c r="D552" s="1" t="n">
        <v>45783</v>
      </c>
      <c r="E552" s="1" t="n">
        <v>46224</v>
      </c>
      <c r="F552" t="inlineStr">
        <is>
          <t>DALARNAS LÄN</t>
        </is>
      </c>
      <c r="G552" t="inlineStr">
        <is>
          <t>ÄLVDALEN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37061-2024</t>
        </is>
      </c>
      <c r="B553" t="inlineStr">
        <is>
          <t>avverkningsanmälan</t>
        </is>
      </c>
      <c r="C553" t="inlineStr">
        <is>
          <t>Föryngringsavverkning</t>
        </is>
      </c>
      <c r="D553" s="1" t="n">
        <v>45539</v>
      </c>
      <c r="E553" s="1" t="n">
        <v>46224</v>
      </c>
      <c r="F553" t="inlineStr">
        <is>
          <t>DALARNAS LÄN</t>
        </is>
      </c>
      <c r="G553" t="inlineStr">
        <is>
          <t>ÄLVDALEN</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22189-2025</t>
        </is>
      </c>
      <c r="B554" t="inlineStr">
        <is>
          <t>avverkningsanmälan</t>
        </is>
      </c>
      <c r="C554" t="inlineStr">
        <is>
          <t>Föryngringsavverkning</t>
        </is>
      </c>
      <c r="D554" s="1" t="n">
        <v>45785</v>
      </c>
      <c r="E554" s="1" t="n">
        <v>46224</v>
      </c>
      <c r="F554" t="inlineStr">
        <is>
          <t>DALARNAS LÄN</t>
        </is>
      </c>
      <c r="G554" t="inlineStr">
        <is>
          <t>ÄLVDALEN</t>
        </is>
      </c>
      <c r="H554" t="inlineStr">
        <is>
          <t>Sveaskog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19708-2024</t>
        </is>
      </c>
      <c r="B555" t="inlineStr">
        <is>
          <t>avverkningsanmälan</t>
        </is>
      </c>
      <c r="C555" t="inlineStr">
        <is>
          <t>Föryngringsavverkning</t>
        </is>
      </c>
      <c r="D555" s="1" t="n">
        <v>45432</v>
      </c>
      <c r="E555" s="1" t="n">
        <v>46224</v>
      </c>
      <c r="F555" t="inlineStr">
        <is>
          <t>DALARNAS LÄN</t>
        </is>
      </c>
      <c r="G555" t="inlineStr">
        <is>
          <t>ÄLVDALEN</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21469-2024</t>
        </is>
      </c>
      <c r="B556" t="inlineStr">
        <is>
          <t>avverkningsanmälan</t>
        </is>
      </c>
      <c r="C556" t="inlineStr">
        <is>
          <t>Föryngringsavverkning</t>
        </is>
      </c>
      <c r="D556" s="1" t="n">
        <v>45441</v>
      </c>
      <c r="E556" s="1" t="n">
        <v>46224</v>
      </c>
      <c r="F556" t="inlineStr">
        <is>
          <t>DALARNAS LÄN</t>
        </is>
      </c>
      <c r="G556" t="inlineStr">
        <is>
          <t>ÄLVDALEN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32594-2023</t>
        </is>
      </c>
      <c r="B557" t="inlineStr">
        <is>
          <t>avverkningsanmälan</t>
        </is>
      </c>
      <c r="C557" t="inlineStr">
        <is>
          <t>Föryngringsavverkning</t>
        </is>
      </c>
      <c r="D557" s="1" t="n">
        <v>45121</v>
      </c>
      <c r="E557" s="1" t="n">
        <v>46224</v>
      </c>
      <c r="F557" t="inlineStr">
        <is>
          <t>DALARNAS LÄN</t>
        </is>
      </c>
      <c r="G557" t="inlineStr">
        <is>
          <t>ÄLVDALEN</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7581-2024</t>
        </is>
      </c>
      <c r="B558" t="inlineStr">
        <is>
          <t>avverkningsanmälan</t>
        </is>
      </c>
      <c r="C558" t="inlineStr">
        <is>
          <t>Föryngringsavverkning</t>
        </is>
      </c>
      <c r="D558" s="1" t="n">
        <v>45348</v>
      </c>
      <c r="E558" s="1" t="n">
        <v>46224</v>
      </c>
      <c r="F558" t="inlineStr">
        <is>
          <t>DALARNAS LÄN</t>
        </is>
      </c>
      <c r="G558" t="inlineStr">
        <is>
          <t>ÄLVDALEN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1787-2022</t>
        </is>
      </c>
      <c r="B559" t="inlineStr">
        <is>
          <t>samrådsanmälan</t>
        </is>
      </c>
      <c r="C559" t="inlineStr">
        <is>
          <t>Annan skogsbruksåtgärd</t>
        </is>
      </c>
      <c r="D559" s="1" t="n">
        <v>44637</v>
      </c>
      <c r="E559" s="1" t="n">
        <v>46224</v>
      </c>
      <c r="F559" t="inlineStr">
        <is>
          <t>DALARNAS LÄN</t>
        </is>
      </c>
      <c r="G559" t="inlineStr">
        <is>
          <t>ÄLVDALEN</t>
        </is>
      </c>
      <c r="H559" t="inlineStr">
        <is>
          <t>Övriga statliga verk och myndigheter</t>
        </is>
      </c>
      <c r="I559" t="n">
        <v>85.8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1933-2020</t>
        </is>
      </c>
      <c r="B560" t="inlineStr">
        <is>
          <t>samrådsanmälan</t>
        </is>
      </c>
      <c r="C560" t="inlineStr">
        <is>
          <t>Åtgärd i nyckelbiotop</t>
        </is>
      </c>
      <c r="D560" s="1" t="n">
        <v>44083</v>
      </c>
      <c r="E560" s="1" t="n">
        <v>46224</v>
      </c>
      <c r="F560" t="inlineStr">
        <is>
          <t>DALARNAS LÄN</t>
        </is>
      </c>
      <c r="G560" t="inlineStr">
        <is>
          <t>ÄLVDALEN</t>
        </is>
      </c>
      <c r="H560" t="inlineStr">
        <is>
          <t>Allmännings- och besparingsskogar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675-2024</t>
        </is>
      </c>
      <c r="B561" t="inlineStr">
        <is>
          <t>samrådsanmälan</t>
        </is>
      </c>
      <c r="C561" t="inlineStr">
        <is>
          <t>Skogsgödsling</t>
        </is>
      </c>
      <c r="D561" s="1" t="n">
        <v>45357</v>
      </c>
      <c r="E561" s="1" t="n">
        <v>46224</v>
      </c>
      <c r="F561" t="inlineStr">
        <is>
          <t>DALARNAS LÄN</t>
        </is>
      </c>
      <c r="G561" t="inlineStr">
        <is>
          <t>ÄLVDALEN</t>
        </is>
      </c>
      <c r="H561" t="inlineStr">
        <is>
          <t>Allmännings- och besparingsskogar</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2469-2022</t>
        </is>
      </c>
      <c r="B562" t="inlineStr">
        <is>
          <t>samrådsanmälan</t>
        </is>
      </c>
      <c r="C562" t="inlineStr">
        <is>
          <t>Skogsgödsling</t>
        </is>
      </c>
      <c r="D562" s="1" t="n">
        <v>44692</v>
      </c>
      <c r="E562" s="1" t="n">
        <v>46224</v>
      </c>
      <c r="F562" t="inlineStr">
        <is>
          <t>DALARNAS LÄN</t>
        </is>
      </c>
      <c r="G562" t="inlineStr">
        <is>
          <t>ÄLVDALEN</t>
        </is>
      </c>
      <c r="H562" t="inlineStr">
        <is>
          <t>Allmännings- och besparingsskogar</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2476-2022</t>
        </is>
      </c>
      <c r="B563" t="inlineStr">
        <is>
          <t>samrådsanmälan</t>
        </is>
      </c>
      <c r="C563" t="inlineStr">
        <is>
          <t>Skogsgödsling</t>
        </is>
      </c>
      <c r="D563" s="1" t="n">
        <v>44692</v>
      </c>
      <c r="E563" s="1" t="n">
        <v>46224</v>
      </c>
      <c r="F563" t="inlineStr">
        <is>
          <t>DALARNAS LÄN</t>
        </is>
      </c>
      <c r="G563" t="inlineStr">
        <is>
          <t>ÄLVDALEN</t>
        </is>
      </c>
      <c r="H563" t="inlineStr">
        <is>
          <t>Allmännings- och besparingsskogar</t>
        </is>
      </c>
      <c r="I563" t="n">
        <v>83.59999999999999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629-2024</t>
        </is>
      </c>
      <c r="B564" t="inlineStr">
        <is>
          <t>samrådsanmälan</t>
        </is>
      </c>
      <c r="C564" t="inlineStr">
        <is>
          <t>Skogsgödsling</t>
        </is>
      </c>
      <c r="D564" s="1" t="n">
        <v>45355</v>
      </c>
      <c r="E564" s="1" t="n">
        <v>46224</v>
      </c>
      <c r="F564" t="inlineStr">
        <is>
          <t>DALARNAS LÄN</t>
        </is>
      </c>
      <c r="G564" t="inlineStr">
        <is>
          <t>ÄLVDALEN</t>
        </is>
      </c>
      <c r="H564" t="inlineStr">
        <is>
          <t>Allmännings- och besparingsskogar</t>
        </is>
      </c>
      <c r="I564" t="n">
        <v>36.7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653-2024</t>
        </is>
      </c>
      <c r="B565" t="inlineStr">
        <is>
          <t>samrådsanmälan</t>
        </is>
      </c>
      <c r="C565" t="inlineStr">
        <is>
          <t>Skogsgödsling</t>
        </is>
      </c>
      <c r="D565" s="1" t="n">
        <v>45356</v>
      </c>
      <c r="E565" s="1" t="n">
        <v>46224</v>
      </c>
      <c r="F565" t="inlineStr">
        <is>
          <t>DALARNAS LÄN</t>
        </is>
      </c>
      <c r="G565" t="inlineStr">
        <is>
          <t>ÄLVDALEN</t>
        </is>
      </c>
      <c r="H565" t="inlineStr">
        <is>
          <t>Allmännings- och besparingsskogar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264-2025</t>
        </is>
      </c>
      <c r="B566" t="inlineStr">
        <is>
          <t>samrådsanmälan</t>
        </is>
      </c>
      <c r="C566" t="inlineStr">
        <is>
          <t>Skogsgödsling</t>
        </is>
      </c>
      <c r="D566" s="1" t="n">
        <v>45684</v>
      </c>
      <c r="E566" s="1" t="n">
        <v>46224</v>
      </c>
      <c r="F566" t="inlineStr">
        <is>
          <t>DALARNAS LÄN</t>
        </is>
      </c>
      <c r="G566" t="inlineStr">
        <is>
          <t>ÄLVDALEN</t>
        </is>
      </c>
      <c r="H566" t="inlineStr">
        <is>
          <t>Bergvik skog väst AB</t>
        </is>
      </c>
      <c r="I566" t="n">
        <v>53.3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2475-2022</t>
        </is>
      </c>
      <c r="B567" t="inlineStr">
        <is>
          <t>samrådsanmälan</t>
        </is>
      </c>
      <c r="C567" t="inlineStr">
        <is>
          <t>Skogsgödsling</t>
        </is>
      </c>
      <c r="D567" s="1" t="n">
        <v>44692</v>
      </c>
      <c r="E567" s="1" t="n">
        <v>46224</v>
      </c>
      <c r="F567" t="inlineStr">
        <is>
          <t>DALARNAS LÄN</t>
        </is>
      </c>
      <c r="G567" t="inlineStr">
        <is>
          <t>ÄLVDALEN</t>
        </is>
      </c>
      <c r="H567" t="inlineStr">
        <is>
          <t>Allmännings- och besparingsskogar</t>
        </is>
      </c>
      <c r="I567" t="n">
        <v>79.8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3034-2022</t>
        </is>
      </c>
      <c r="B568" t="inlineStr">
        <is>
          <t>samrådsanmälan</t>
        </is>
      </c>
      <c r="C568" t="inlineStr">
        <is>
          <t>Skogsgödsling</t>
        </is>
      </c>
      <c r="D568" s="1" t="n">
        <v>44715</v>
      </c>
      <c r="E568" s="1" t="n">
        <v>46224</v>
      </c>
      <c r="F568" t="inlineStr">
        <is>
          <t>DALARNAS LÄN</t>
        </is>
      </c>
      <c r="G568" t="inlineStr">
        <is>
          <t>ÄLVDALEN</t>
        </is>
      </c>
      <c r="H568" t="inlineStr">
        <is>
          <t>Allmännings- och besparingsskogar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655-2024</t>
        </is>
      </c>
      <c r="B569" t="inlineStr">
        <is>
          <t>samrådsanmälan</t>
        </is>
      </c>
      <c r="C569" t="inlineStr">
        <is>
          <t>Skogsgödsling</t>
        </is>
      </c>
      <c r="D569" s="1" t="n">
        <v>45356</v>
      </c>
      <c r="E569" s="1" t="n">
        <v>46224</v>
      </c>
      <c r="F569" t="inlineStr">
        <is>
          <t>DALARNAS LÄN</t>
        </is>
      </c>
      <c r="G569" t="inlineStr">
        <is>
          <t>ÄLVDALEN</t>
        </is>
      </c>
      <c r="H569" t="inlineStr">
        <is>
          <t>Allmännings- och besparingsskogar</t>
        </is>
      </c>
      <c r="I569" t="n">
        <v>15.6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685-2024</t>
        </is>
      </c>
      <c r="B570" t="inlineStr">
        <is>
          <t>samrådsanmälan</t>
        </is>
      </c>
      <c r="C570" t="inlineStr">
        <is>
          <t>Skogsgödsling</t>
        </is>
      </c>
      <c r="D570" s="1" t="n">
        <v>45359</v>
      </c>
      <c r="E570" s="1" t="n">
        <v>46224</v>
      </c>
      <c r="F570" t="inlineStr">
        <is>
          <t>DALARNAS LÄN</t>
        </is>
      </c>
      <c r="G570" t="inlineStr">
        <is>
          <t>ÄLVDALEN</t>
        </is>
      </c>
      <c r="H570" t="inlineStr">
        <is>
          <t>Allmännings- och besparingsskogar</t>
        </is>
      </c>
      <c r="I570" t="n">
        <v>26.5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686-2024</t>
        </is>
      </c>
      <c r="B571" t="inlineStr">
        <is>
          <t>samrådsanmälan</t>
        </is>
      </c>
      <c r="C571" t="inlineStr">
        <is>
          <t>Skogsgödsling</t>
        </is>
      </c>
      <c r="D571" s="1" t="n">
        <v>45359</v>
      </c>
      <c r="E571" s="1" t="n">
        <v>46224</v>
      </c>
      <c r="F571" t="inlineStr">
        <is>
          <t>DALARNAS LÄN</t>
        </is>
      </c>
      <c r="G571" t="inlineStr">
        <is>
          <t>ÄLVDALEN</t>
        </is>
      </c>
      <c r="H571" t="inlineStr">
        <is>
          <t>Allmännings- och besparingsskogar</t>
        </is>
      </c>
      <c r="I571" t="n">
        <v>27.5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2585-2022</t>
        </is>
      </c>
      <c r="B572" t="inlineStr">
        <is>
          <t>samrådsanmälan</t>
        </is>
      </c>
      <c r="C572" t="inlineStr">
        <is>
          <t>Skogsgödsling</t>
        </is>
      </c>
      <c r="D572" s="1" t="n">
        <v>44698</v>
      </c>
      <c r="E572" s="1" t="n">
        <v>46224</v>
      </c>
      <c r="F572" t="inlineStr">
        <is>
          <t>DALARNAS LÄN</t>
        </is>
      </c>
      <c r="G572" t="inlineStr">
        <is>
          <t>ÄLVDALEN</t>
        </is>
      </c>
      <c r="H572" t="inlineStr">
        <is>
          <t>Allmännings- och besparingsskogar</t>
        </is>
      </c>
      <c r="I572" t="n">
        <v>43.1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624-2024</t>
        </is>
      </c>
      <c r="B573" t="inlineStr">
        <is>
          <t>samrådsanmälan</t>
        </is>
      </c>
      <c r="C573" t="inlineStr">
        <is>
          <t>Skogsgödsling</t>
        </is>
      </c>
      <c r="D573" s="1" t="n">
        <v>45355</v>
      </c>
      <c r="E573" s="1" t="n">
        <v>46224</v>
      </c>
      <c r="F573" t="inlineStr">
        <is>
          <t>DALARNAS LÄN</t>
        </is>
      </c>
      <c r="G573" t="inlineStr">
        <is>
          <t>ÄLVDALEN</t>
        </is>
      </c>
      <c r="H573" t="inlineStr">
        <is>
          <t>Allmännings- och besparingsskogar</t>
        </is>
      </c>
      <c r="I573" t="n">
        <v>24.3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826-2022</t>
        </is>
      </c>
      <c r="B574" t="inlineStr">
        <is>
          <t>samrådsanmälan</t>
        </is>
      </c>
      <c r="C574" t="inlineStr">
        <is>
          <t>Skogsgödsling</t>
        </is>
      </c>
      <c r="D574" s="1" t="n">
        <v>44602</v>
      </c>
      <c r="E574" s="1" t="n">
        <v>46224</v>
      </c>
      <c r="F574" t="inlineStr">
        <is>
          <t>DALARNAS LÄN</t>
        </is>
      </c>
      <c r="G574" t="inlineStr">
        <is>
          <t>ÄLVDALEN</t>
        </is>
      </c>
      <c r="H574" t="inlineStr">
        <is>
          <t>Bergvik skog väst AB</t>
        </is>
      </c>
      <c r="I574" t="n">
        <v>61.8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632-2024</t>
        </is>
      </c>
      <c r="B575" t="inlineStr">
        <is>
          <t>samrådsanmälan</t>
        </is>
      </c>
      <c r="C575" t="inlineStr">
        <is>
          <t>Skogsgödsling</t>
        </is>
      </c>
      <c r="D575" s="1" t="n">
        <v>45355</v>
      </c>
      <c r="E575" s="1" t="n">
        <v>46224</v>
      </c>
      <c r="F575" t="inlineStr">
        <is>
          <t>DALARNAS LÄN</t>
        </is>
      </c>
      <c r="G575" t="inlineStr">
        <is>
          <t>ÄLVDALEN</t>
        </is>
      </c>
      <c r="H575" t="inlineStr">
        <is>
          <t>Allmännings- och besparingsskogar</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261-2025</t>
        </is>
      </c>
      <c r="B576" t="inlineStr">
        <is>
          <t>samrådsanmälan</t>
        </is>
      </c>
      <c r="C576" t="inlineStr">
        <is>
          <t>Skogsgödsling</t>
        </is>
      </c>
      <c r="D576" s="1" t="n">
        <v>45684</v>
      </c>
      <c r="E576" s="1" t="n">
        <v>46224</v>
      </c>
      <c r="F576" t="inlineStr">
        <is>
          <t>DALARNAS LÄN</t>
        </is>
      </c>
      <c r="G576" t="inlineStr">
        <is>
          <t>ÄLVDALEN</t>
        </is>
      </c>
      <c r="H576" t="inlineStr">
        <is>
          <t>Bergvik skog väst AB</t>
        </is>
      </c>
      <c r="I576" t="n">
        <v>23.5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4879-2022</t>
        </is>
      </c>
      <c r="B577" t="inlineStr">
        <is>
          <t>samrådsanmälan</t>
        </is>
      </c>
      <c r="C577" t="inlineStr">
        <is>
          <t>Annan skogsbruksåtgärd</t>
        </is>
      </c>
      <c r="D577" s="1" t="n">
        <v>44806</v>
      </c>
      <c r="E577" s="1" t="n">
        <v>46224</v>
      </c>
      <c r="F577" t="inlineStr">
        <is>
          <t>DALARNAS LÄN</t>
        </is>
      </c>
      <c r="G577" t="inlineStr">
        <is>
          <t>ÄLVDALEN</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652-2024</t>
        </is>
      </c>
      <c r="B578" t="inlineStr">
        <is>
          <t>samrådsanmälan</t>
        </is>
      </c>
      <c r="C578" t="inlineStr">
        <is>
          <t>Skogsgödsling</t>
        </is>
      </c>
      <c r="D578" s="1" t="n">
        <v>45356</v>
      </c>
      <c r="E578" s="1" t="n">
        <v>46224</v>
      </c>
      <c r="F578" t="inlineStr">
        <is>
          <t>DALARNAS LÄN</t>
        </is>
      </c>
      <c r="G578" t="inlineStr">
        <is>
          <t>ÄLVDALEN</t>
        </is>
      </c>
      <c r="H578" t="inlineStr">
        <is>
          <t>Allmännings- och besparingsskogar</t>
        </is>
      </c>
      <c r="I578" t="n">
        <v>44.8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688-2024</t>
        </is>
      </c>
      <c r="B579" t="inlineStr">
        <is>
          <t>samrådsanmälan</t>
        </is>
      </c>
      <c r="C579" t="inlineStr">
        <is>
          <t>Skogsgödsling</t>
        </is>
      </c>
      <c r="D579" s="1" t="n">
        <v>45359</v>
      </c>
      <c r="E579" s="1" t="n">
        <v>46224</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817-2022</t>
        </is>
      </c>
      <c r="B580" t="inlineStr">
        <is>
          <t>samrådsanmälan</t>
        </is>
      </c>
      <c r="C580" t="inlineStr">
        <is>
          <t>Skogsgödsling</t>
        </is>
      </c>
      <c r="D580" s="1" t="n">
        <v>44602</v>
      </c>
      <c r="E580" s="1" t="n">
        <v>46224</v>
      </c>
      <c r="F580" t="inlineStr">
        <is>
          <t>DALARNAS LÄN</t>
        </is>
      </c>
      <c r="G580" t="inlineStr">
        <is>
          <t>ÄLVDALEN</t>
        </is>
      </c>
      <c r="H580" t="inlineStr">
        <is>
          <t>Bergvik skog väst AB</t>
        </is>
      </c>
      <c r="I580" t="n">
        <v>252.3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674-2024</t>
        </is>
      </c>
      <c r="B581" t="inlineStr">
        <is>
          <t>samrådsanmälan</t>
        </is>
      </c>
      <c r="C581" t="inlineStr">
        <is>
          <t>Skogsgödsling</t>
        </is>
      </c>
      <c r="D581" s="1" t="n">
        <v>45357</v>
      </c>
      <c r="E581" s="1" t="n">
        <v>46224</v>
      </c>
      <c r="F581" t="inlineStr">
        <is>
          <t>DALARNAS LÄN</t>
        </is>
      </c>
      <c r="G581" t="inlineStr">
        <is>
          <t>ÄLVDALEN</t>
        </is>
      </c>
      <c r="H581" t="inlineStr">
        <is>
          <t>Allmännings- och besparingsskogar</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676-2024</t>
        </is>
      </c>
      <c r="B582" t="inlineStr">
        <is>
          <t>samrådsanmälan</t>
        </is>
      </c>
      <c r="C582" t="inlineStr">
        <is>
          <t>Skogsgödsling</t>
        </is>
      </c>
      <c r="D582" s="1" t="n">
        <v>45357</v>
      </c>
      <c r="E582" s="1" t="n">
        <v>46224</v>
      </c>
      <c r="F582" t="inlineStr">
        <is>
          <t>DALARNAS LÄN</t>
        </is>
      </c>
      <c r="G582" t="inlineStr">
        <is>
          <t>ÄLVDALEN</t>
        </is>
      </c>
      <c r="H582" t="inlineStr">
        <is>
          <t>Allmännings- och besparingsskogar</t>
        </is>
      </c>
      <c r="I582" t="n">
        <v>63.5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825-2022</t>
        </is>
      </c>
      <c r="B583" t="inlineStr">
        <is>
          <t>samrådsanmälan</t>
        </is>
      </c>
      <c r="C583" t="inlineStr">
        <is>
          <t>Skogsgödsling</t>
        </is>
      </c>
      <c r="D583" s="1" t="n">
        <v>44602</v>
      </c>
      <c r="E583" s="1" t="n">
        <v>46224</v>
      </c>
      <c r="F583" t="inlineStr">
        <is>
          <t>DALARNAS LÄN</t>
        </is>
      </c>
      <c r="G583" t="inlineStr">
        <is>
          <t>ÄLVDALEN</t>
        </is>
      </c>
      <c r="H583" t="inlineStr">
        <is>
          <t>Bergvik skog väst AB</t>
        </is>
      </c>
      <c r="I583" t="n">
        <v>50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650-2024</t>
        </is>
      </c>
      <c r="B584" t="inlineStr">
        <is>
          <t>samrådsanmälan</t>
        </is>
      </c>
      <c r="C584" t="inlineStr">
        <is>
          <t>Skogsgödsling</t>
        </is>
      </c>
      <c r="D584" s="1" t="n">
        <v>45356</v>
      </c>
      <c r="E584" s="1" t="n">
        <v>46224</v>
      </c>
      <c r="F584" t="inlineStr">
        <is>
          <t>DALARNAS LÄN</t>
        </is>
      </c>
      <c r="G584" t="inlineStr">
        <is>
          <t>ÄLVDALEN</t>
        </is>
      </c>
      <c r="H584" t="inlineStr">
        <is>
          <t>Allmännings- och besparingsskogar</t>
        </is>
      </c>
      <c r="I584" t="n">
        <v>10.5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654-2024</t>
        </is>
      </c>
      <c r="B585" t="inlineStr">
        <is>
          <t>samrådsanmälan</t>
        </is>
      </c>
      <c r="C585" t="inlineStr">
        <is>
          <t>Skogsgödsling</t>
        </is>
      </c>
      <c r="D585" s="1" t="n">
        <v>45356</v>
      </c>
      <c r="E585" s="1" t="n">
        <v>46224</v>
      </c>
      <c r="F585" t="inlineStr">
        <is>
          <t>DALARNAS LÄN</t>
        </is>
      </c>
      <c r="G585" t="inlineStr">
        <is>
          <t>ÄLVDALEN</t>
        </is>
      </c>
      <c r="H585" t="inlineStr">
        <is>
          <t>Allmännings- och besparingsskogar</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1885-2022</t>
        </is>
      </c>
      <c r="B586" t="inlineStr">
        <is>
          <t>samrådsanmälan</t>
        </is>
      </c>
      <c r="C586" t="inlineStr">
        <is>
          <t>Dikesrensning</t>
        </is>
      </c>
      <c r="D586" s="1" t="n">
        <v>44662</v>
      </c>
      <c r="E586" s="1" t="n">
        <v>46224</v>
      </c>
      <c r="F586" t="inlineStr">
        <is>
          <t>DALARNAS LÄN</t>
        </is>
      </c>
      <c r="G586" t="inlineStr">
        <is>
          <t>ÄLVDALEN</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633-2024</t>
        </is>
      </c>
      <c r="B587" t="inlineStr">
        <is>
          <t>samrådsanmälan</t>
        </is>
      </c>
      <c r="C587" t="inlineStr">
        <is>
          <t>Skogsgödsling</t>
        </is>
      </c>
      <c r="D587" s="1" t="n">
        <v>45355</v>
      </c>
      <c r="E587" s="1" t="n">
        <v>46224</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2878-2022</t>
        </is>
      </c>
      <c r="B588" t="inlineStr">
        <is>
          <t>samrådsanmälan</t>
        </is>
      </c>
      <c r="C588" t="inlineStr">
        <is>
          <t>Skogsgödsling</t>
        </is>
      </c>
      <c r="D588" s="1" t="n">
        <v>44708</v>
      </c>
      <c r="E588" s="1" t="n">
        <v>46224</v>
      </c>
      <c r="F588" t="inlineStr">
        <is>
          <t>DALARNAS LÄN</t>
        </is>
      </c>
      <c r="G588" t="inlineStr">
        <is>
          <t>ÄLVDALEN</t>
        </is>
      </c>
      <c r="H588" t="inlineStr">
        <is>
          <t>Allmännings- och besparingsskogar</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246-2025</t>
        </is>
      </c>
      <c r="B589" t="inlineStr">
        <is>
          <t>samrådsanmälan</t>
        </is>
      </c>
      <c r="C589" t="inlineStr">
        <is>
          <t>Skogsgödsling</t>
        </is>
      </c>
      <c r="D589" s="1" t="n">
        <v>45684</v>
      </c>
      <c r="E589" s="1" t="n">
        <v>46224</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651-2025</t>
        </is>
      </c>
      <c r="B590" t="inlineStr">
        <is>
          <t>samrådsanmälan</t>
        </is>
      </c>
      <c r="C590" t="inlineStr">
        <is>
          <t>Skogsgödsling</t>
        </is>
      </c>
      <c r="D590" s="1" t="n">
        <v>45715</v>
      </c>
      <c r="E590" s="1" t="n">
        <v>46224</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256-2025</t>
        </is>
      </c>
      <c r="B591" t="inlineStr">
        <is>
          <t>samrådsanmälan</t>
        </is>
      </c>
      <c r="C591" t="inlineStr">
        <is>
          <t>Skogsgödsling</t>
        </is>
      </c>
      <c r="D591" s="1" t="n">
        <v>45684</v>
      </c>
      <c r="E591" s="1" t="n">
        <v>46224</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612-2025</t>
        </is>
      </c>
      <c r="B592" t="inlineStr">
        <is>
          <t>samrådsanmälan</t>
        </is>
      </c>
      <c r="C592" t="inlineStr">
        <is>
          <t>Skogsgödsling</t>
        </is>
      </c>
      <c r="D592" s="1" t="n">
        <v>45713</v>
      </c>
      <c r="E592" s="1" t="n">
        <v>46224</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636-2025</t>
        </is>
      </c>
      <c r="B593" t="inlineStr">
        <is>
          <t>samrådsanmälan</t>
        </is>
      </c>
      <c r="C593" t="inlineStr">
        <is>
          <t>Skogsgödsling</t>
        </is>
      </c>
      <c r="D593" s="1" t="n">
        <v>45714</v>
      </c>
      <c r="E593" s="1" t="n">
        <v>46224</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1197-2025</t>
        </is>
      </c>
      <c r="B594" t="inlineStr">
        <is>
          <t>samrådsanmälan</t>
        </is>
      </c>
      <c r="C594" t="inlineStr">
        <is>
          <t>Skogsgödsling</t>
        </is>
      </c>
      <c r="D594" s="1" t="n">
        <v>45757</v>
      </c>
      <c r="E594" s="1" t="n">
        <v>46224</v>
      </c>
      <c r="F594" t="inlineStr">
        <is>
          <t>DALARNAS LÄN</t>
        </is>
      </c>
      <c r="G594" t="inlineStr">
        <is>
          <t>ÄLVDALEN</t>
        </is>
      </c>
      <c r="H594" t="inlineStr">
        <is>
          <t>Allmännings- och besparingsskogar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1198-2025</t>
        </is>
      </c>
      <c r="B595" t="inlineStr">
        <is>
          <t>samrådsanmälan</t>
        </is>
      </c>
      <c r="C595" t="inlineStr">
        <is>
          <t>Skogsgödsling</t>
        </is>
      </c>
      <c r="D595" s="1" t="n">
        <v>45757</v>
      </c>
      <c r="E595" s="1" t="n">
        <v>46224</v>
      </c>
      <c r="F595" t="inlineStr">
        <is>
          <t>DALARNAS LÄN</t>
        </is>
      </c>
      <c r="G595" t="inlineStr">
        <is>
          <t>ÄLVDALEN</t>
        </is>
      </c>
      <c r="H595" t="inlineStr">
        <is>
          <t>Allmännings- och besparingsskogar</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1202-2025</t>
        </is>
      </c>
      <c r="B596" t="inlineStr">
        <is>
          <t>samrådsanmälan</t>
        </is>
      </c>
      <c r="C596" t="inlineStr">
        <is>
          <t>Skogsgödsling</t>
        </is>
      </c>
      <c r="D596" s="1" t="n">
        <v>45757</v>
      </c>
      <c r="E596" s="1" t="n">
        <v>46224</v>
      </c>
      <c r="F596" t="inlineStr">
        <is>
          <t>DALARNAS LÄN</t>
        </is>
      </c>
      <c r="G596" t="inlineStr">
        <is>
          <t>ÄLVDALEN</t>
        </is>
      </c>
      <c r="H596" t="inlineStr">
        <is>
          <t>Allmännings- och besparingsskogar</t>
        </is>
      </c>
      <c r="I596" t="n">
        <v>36.5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1200-2025</t>
        </is>
      </c>
      <c r="B597" t="inlineStr">
        <is>
          <t>samrådsanmälan</t>
        </is>
      </c>
      <c r="C597" t="inlineStr">
        <is>
          <t>Skogsgödsling</t>
        </is>
      </c>
      <c r="D597" s="1" t="n">
        <v>45757</v>
      </c>
      <c r="E597" s="1" t="n">
        <v>46224</v>
      </c>
      <c r="F597" t="inlineStr">
        <is>
          <t>DALARNAS LÄN</t>
        </is>
      </c>
      <c r="G597" t="inlineStr">
        <is>
          <t>ÄLVDALEN</t>
        </is>
      </c>
      <c r="H597" t="inlineStr">
        <is>
          <t>Allmännings- och besparingsskogar</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1199-2025</t>
        </is>
      </c>
      <c r="B598" t="inlineStr">
        <is>
          <t>samrådsanmälan</t>
        </is>
      </c>
      <c r="C598" t="inlineStr">
        <is>
          <t>Skogsgödsling</t>
        </is>
      </c>
      <c r="D598" s="1" t="n">
        <v>45758</v>
      </c>
      <c r="E598" s="1" t="n">
        <v>46224</v>
      </c>
      <c r="F598" t="inlineStr">
        <is>
          <t>DALARNAS LÄN</t>
        </is>
      </c>
      <c r="G598" t="inlineStr">
        <is>
          <t>ÄLVDALEN</t>
        </is>
      </c>
      <c r="H598" t="inlineStr">
        <is>
          <t>Allmännings- och besparingsskogar</t>
        </is>
      </c>
      <c r="I598" t="n">
        <v>50.7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4145-2024</t>
        </is>
      </c>
      <c r="B599" t="inlineStr">
        <is>
          <t>samrådsanmälan</t>
        </is>
      </c>
      <c r="C599" t="inlineStr">
        <is>
          <t>Annan skogsbruksåtgärd</t>
        </is>
      </c>
      <c r="D599" s="1" t="n">
        <v>45575</v>
      </c>
      <c r="E599" s="1" t="n">
        <v>46224</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257-2025</t>
        </is>
      </c>
      <c r="B600" t="inlineStr">
        <is>
          <t>samrådsanmälan</t>
        </is>
      </c>
      <c r="C600" t="inlineStr">
        <is>
          <t>Skogsgödsling</t>
        </is>
      </c>
      <c r="D600" s="1" t="n">
        <v>45684</v>
      </c>
      <c r="E600" s="1" t="n">
        <v>46224</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748-2026</t>
        </is>
      </c>
      <c r="B601" t="inlineStr">
        <is>
          <t>samrådsanmälan</t>
        </is>
      </c>
      <c r="C601" t="inlineStr">
        <is>
          <t>Skogsgödsling</t>
        </is>
      </c>
      <c r="D601" s="1" t="n">
        <v>46089</v>
      </c>
      <c r="E601" s="1" t="n">
        <v>46224</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749-2026</t>
        </is>
      </c>
      <c r="B602" t="inlineStr">
        <is>
          <t>samrådsanmälan</t>
        </is>
      </c>
      <c r="C602" t="inlineStr">
        <is>
          <t>Skogsgödsling</t>
        </is>
      </c>
      <c r="D602" s="1" t="n">
        <v>46089</v>
      </c>
      <c r="E602" s="1" t="n">
        <v>46224</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827-2026</t>
        </is>
      </c>
      <c r="B603" t="inlineStr">
        <is>
          <t>samrådsanmälan</t>
        </is>
      </c>
      <c r="C603" t="inlineStr">
        <is>
          <t>Skogsgödsling</t>
        </is>
      </c>
      <c r="D603" s="1" t="n">
        <v>46104</v>
      </c>
      <c r="E603" s="1" t="n">
        <v>46224</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824-2026</t>
        </is>
      </c>
      <c r="B604" t="inlineStr">
        <is>
          <t>samrådsanmälan</t>
        </is>
      </c>
      <c r="C604" t="inlineStr">
        <is>
          <t>Skogsgödsling</t>
        </is>
      </c>
      <c r="D604" s="1" t="n">
        <v>46104</v>
      </c>
      <c r="E604" s="1" t="n">
        <v>46224</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826-2026</t>
        </is>
      </c>
      <c r="B605" t="inlineStr">
        <is>
          <t>samrådsanmälan</t>
        </is>
      </c>
      <c r="C605" t="inlineStr">
        <is>
          <t>Skogsgödsling</t>
        </is>
      </c>
      <c r="D605" s="1" t="n">
        <v>46104</v>
      </c>
      <c r="E605" s="1" t="n">
        <v>46224</v>
      </c>
      <c r="F605" t="inlineStr">
        <is>
          <t>DALARNAS LÄN</t>
        </is>
      </c>
      <c r="G605" t="inlineStr">
        <is>
          <t>ÄLVDALEN</t>
        </is>
      </c>
      <c r="H605" t="inlineStr">
        <is>
          <t>Allmännings- och besparingsskogar</t>
        </is>
      </c>
      <c r="I605" t="n">
        <v>72.5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828-2026</t>
        </is>
      </c>
      <c r="B606" t="inlineStr">
        <is>
          <t>samrådsanmälan</t>
        </is>
      </c>
      <c r="C606" t="inlineStr">
        <is>
          <t>Skogsgödsling</t>
        </is>
      </c>
      <c r="D606" s="1" t="n">
        <v>46104</v>
      </c>
      <c r="E606" s="1" t="n">
        <v>46224</v>
      </c>
      <c r="F606" t="inlineStr">
        <is>
          <t>DALARNAS LÄN</t>
        </is>
      </c>
      <c r="G606" t="inlineStr">
        <is>
          <t>ÄLVDALEN</t>
        </is>
      </c>
      <c r="H606" t="inlineStr">
        <is>
          <t>Allmännings- och besparingsskogar</t>
        </is>
      </c>
      <c r="I606" t="n">
        <v>20.1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829-2026</t>
        </is>
      </c>
      <c r="B607" t="inlineStr">
        <is>
          <t>samrådsanmälan</t>
        </is>
      </c>
      <c r="C607" t="inlineStr">
        <is>
          <t>Skogsgödsling</t>
        </is>
      </c>
      <c r="D607" s="1" t="n">
        <v>46104</v>
      </c>
      <c r="E607" s="1" t="n">
        <v>46224</v>
      </c>
      <c r="F607" t="inlineStr">
        <is>
          <t>DALARNAS LÄN</t>
        </is>
      </c>
      <c r="G607" t="inlineStr">
        <is>
          <t>ÄLVDALEN</t>
        </is>
      </c>
      <c r="H607" t="inlineStr">
        <is>
          <t>Allmännings- och besparingsskogar</t>
        </is>
      </c>
      <c r="I607" t="n">
        <v>24.5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844-2026</t>
        </is>
      </c>
      <c r="B608" t="inlineStr">
        <is>
          <t>samrådsanmälan</t>
        </is>
      </c>
      <c r="C608" t="inlineStr">
        <is>
          <t>Skogsgödsling</t>
        </is>
      </c>
      <c r="D608" s="1" t="n">
        <v>46105</v>
      </c>
      <c r="E608" s="1" t="n">
        <v>46224</v>
      </c>
      <c r="F608" t="inlineStr">
        <is>
          <t>DALARNAS LÄN</t>
        </is>
      </c>
      <c r="G608" t="inlineStr">
        <is>
          <t>ÄLVDALEN</t>
        </is>
      </c>
      <c r="H608" t="inlineStr">
        <is>
          <t>Allmännings- och besparingsskogar</t>
        </is>
      </c>
      <c r="I608" t="n">
        <v>66.40000000000001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1014-2026</t>
        </is>
      </c>
      <c r="B609" t="inlineStr">
        <is>
          <t>samrådsanmälan</t>
        </is>
      </c>
      <c r="C609" t="inlineStr">
        <is>
          <t>Skogsgödsling</t>
        </is>
      </c>
      <c r="D609" s="1" t="n">
        <v>46121</v>
      </c>
      <c r="E609" s="1" t="n">
        <v>46224</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t="n">
        <v>0</v>
      </c>
      <c r="V609" s="2" t="inlineStr"/>
    </row>
    <row r="610">
      <c r="A610" t="inlineStr">
        <is>
          <t>S 1365-2026</t>
        </is>
      </c>
      <c r="B610" t="inlineStr">
        <is>
          <t>samrådsanmälan</t>
        </is>
      </c>
      <c r="C610" t="inlineStr">
        <is>
          <t>Annan skogsbruksåtgärd</t>
        </is>
      </c>
      <c r="D610" s="1" t="n">
        <v>46150</v>
      </c>
      <c r="E610" s="1" t="n">
        <v>46224</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2026-07-21T01:39:06Z</dcterms:created>
  <dcterms:modified xmlns:dcterms="http://purl.org/dc/terms/" xmlns:xsi="http://www.w3.org/2001/XMLSchema-instance" xsi:type="dcterms:W3CDTF">2026-07-21T01:39:07Z</dcterms:modified>
</cp:coreProperties>
</file>