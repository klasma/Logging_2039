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45626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45626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45626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45626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45626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45626</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45626</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45626</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45626</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45626</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45626</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45626</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45626</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45626</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45626</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45626</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45626</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45626</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45626</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45626</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45626</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45626</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45626</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45626</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45626</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45626</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45626</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45626</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45626</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45626</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45626</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45626</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45626</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45626</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45626</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45626</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45626</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45626</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45626</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45626</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45626</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45626</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45626</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45626</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45626</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45626</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45626</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45626</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45626</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45626</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45626</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45626</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45626</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45626</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45626</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45626</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45626</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45626</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45626</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45626</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45626</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45626</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45626</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45626</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45626</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45626</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45626</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45626</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45626</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45626</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45626</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45626</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45626</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45626</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45626</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45626</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45626</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45626</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45626</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45626</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45626</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45626</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45626</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45626</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45626</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45626</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45626</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45626</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45626</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45626</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45626</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45626</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45626</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45626</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45626</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45626</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45626</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45626</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45626</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45626</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45626</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45626</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45626</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45626</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45626</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45626</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45626</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45626</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45626</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45626</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45626</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45626</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45626</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45626</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45626</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45626</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45626</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45626</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45626</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45626</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45626</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45626</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45626</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45626</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45626</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45626</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45626</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45626</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45626</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45626</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45626</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45626</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45626</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45626</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45626</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45626</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45626</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45626</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45626</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45626</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45626</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45626</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45626</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45626</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45626</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45626</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45626</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45626</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45626</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45626</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45626</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45626</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45626</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45626</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45626</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33553-2023</t>
        </is>
      </c>
      <c r="B157" s="1" t="n">
        <v>45118</v>
      </c>
      <c r="C157" s="1" t="n">
        <v>45626</v>
      </c>
      <c r="D157" t="inlineStr">
        <is>
          <t>DALARNAS LÄN</t>
        </is>
      </c>
      <c r="E157" t="inlineStr">
        <is>
          <t>ÄLVDALEN</t>
        </is>
      </c>
      <c r="G157" t="n">
        <v>1.3</v>
      </c>
      <c r="H157" t="n">
        <v>0</v>
      </c>
      <c r="I157" t="n">
        <v>0</v>
      </c>
      <c r="J157" t="n">
        <v>1</v>
      </c>
      <c r="K157" t="n">
        <v>0</v>
      </c>
      <c r="L157" t="n">
        <v>0</v>
      </c>
      <c r="M157" t="n">
        <v>0</v>
      </c>
      <c r="N157" t="n">
        <v>0</v>
      </c>
      <c r="O157" t="n">
        <v>1</v>
      </c>
      <c r="P157" t="n">
        <v>0</v>
      </c>
      <c r="Q157" t="n">
        <v>1</v>
      </c>
      <c r="R157" s="2" t="inlineStr">
        <is>
          <t>Lunglav</t>
        </is>
      </c>
      <c r="S157">
        <f>HYPERLINK("https://klasma.github.io/Logging_2039/artfynd/A 33553-2023 artfynd.xlsx", "A 33553-2023")</f>
        <v/>
      </c>
      <c r="T157">
        <f>HYPERLINK("https://klasma.github.io/Logging_2039/kartor/A 33553-2023 karta.png", "A 33553-2023")</f>
        <v/>
      </c>
      <c r="V157">
        <f>HYPERLINK("https://klasma.github.io/Logging_2039/klagomål/A 33553-2023 FSC-klagomål.docx", "A 33553-2023")</f>
        <v/>
      </c>
      <c r="W157">
        <f>HYPERLINK("https://klasma.github.io/Logging_2039/klagomålsmail/A 33553-2023 FSC-klagomål mail.docx", "A 33553-2023")</f>
        <v/>
      </c>
      <c r="X157">
        <f>HYPERLINK("https://klasma.github.io/Logging_2039/tillsyn/A 33553-2023 tillsynsbegäran.docx", "A 33553-2023")</f>
        <v/>
      </c>
      <c r="Y157">
        <f>HYPERLINK("https://klasma.github.io/Logging_2039/tillsynsmail/A 33553-2023 tillsynsbegäran mail.docx", "A 33553-2023")</f>
        <v/>
      </c>
    </row>
    <row r="158" ht="15" customHeight="1">
      <c r="A158" t="inlineStr">
        <is>
          <t>A 35185-2023</t>
        </is>
      </c>
      <c r="B158" s="1" t="n">
        <v>45145</v>
      </c>
      <c r="C158" s="1" t="n">
        <v>45626</v>
      </c>
      <c r="D158" t="inlineStr">
        <is>
          <t>DALARNAS LÄN</t>
        </is>
      </c>
      <c r="E158" t="inlineStr">
        <is>
          <t>ÄLVDALEN</t>
        </is>
      </c>
      <c r="F158" t="inlineStr">
        <is>
          <t>Sveaskog</t>
        </is>
      </c>
      <c r="G158" t="n">
        <v>1.4</v>
      </c>
      <c r="H158" t="n">
        <v>0</v>
      </c>
      <c r="I158" t="n">
        <v>0</v>
      </c>
      <c r="J158" t="n">
        <v>1</v>
      </c>
      <c r="K158" t="n">
        <v>0</v>
      </c>
      <c r="L158" t="n">
        <v>0</v>
      </c>
      <c r="M158" t="n">
        <v>0</v>
      </c>
      <c r="N158" t="n">
        <v>0</v>
      </c>
      <c r="O158" t="n">
        <v>1</v>
      </c>
      <c r="P158" t="n">
        <v>0</v>
      </c>
      <c r="Q158" t="n">
        <v>1</v>
      </c>
      <c r="R158" s="2" t="inlineStr">
        <is>
          <t>Kolflarnlav</t>
        </is>
      </c>
      <c r="S158">
        <f>HYPERLINK("https://klasma.github.io/Logging_2039/artfynd/A 35185-2023 artfynd.xlsx", "A 35185-2023")</f>
        <v/>
      </c>
      <c r="T158">
        <f>HYPERLINK("https://klasma.github.io/Logging_2039/kartor/A 35185-2023 karta.png", "A 35185-2023")</f>
        <v/>
      </c>
      <c r="V158">
        <f>HYPERLINK("https://klasma.github.io/Logging_2039/klagomål/A 35185-2023 FSC-klagomål.docx", "A 35185-2023")</f>
        <v/>
      </c>
      <c r="W158">
        <f>HYPERLINK("https://klasma.github.io/Logging_2039/klagomålsmail/A 35185-2023 FSC-klagomål mail.docx", "A 35185-2023")</f>
        <v/>
      </c>
      <c r="X158">
        <f>HYPERLINK("https://klasma.github.io/Logging_2039/tillsyn/A 35185-2023 tillsynsbegäran.docx", "A 35185-2023")</f>
        <v/>
      </c>
      <c r="Y158">
        <f>HYPERLINK("https://klasma.github.io/Logging_2039/tillsynsmail/A 35185-2023 tillsynsbegäran mail.docx", "A 35185-2023")</f>
        <v/>
      </c>
    </row>
    <row r="159" ht="15" customHeight="1">
      <c r="A159" t="inlineStr">
        <is>
          <t>A 43473-2023</t>
        </is>
      </c>
      <c r="B159" s="1" t="n">
        <v>45184</v>
      </c>
      <c r="C159" s="1" t="n">
        <v>45626</v>
      </c>
      <c r="D159" t="inlineStr">
        <is>
          <t>DALARNAS LÄN</t>
        </is>
      </c>
      <c r="E159" t="inlineStr">
        <is>
          <t>ÄLVDALEN</t>
        </is>
      </c>
      <c r="G159" t="n">
        <v>33.5</v>
      </c>
      <c r="H159" t="n">
        <v>0</v>
      </c>
      <c r="I159" t="n">
        <v>0</v>
      </c>
      <c r="J159" t="n">
        <v>1</v>
      </c>
      <c r="K159" t="n">
        <v>0</v>
      </c>
      <c r="L159" t="n">
        <v>0</v>
      </c>
      <c r="M159" t="n">
        <v>0</v>
      </c>
      <c r="N159" t="n">
        <v>0</v>
      </c>
      <c r="O159" t="n">
        <v>1</v>
      </c>
      <c r="P159" t="n">
        <v>0</v>
      </c>
      <c r="Q159" t="n">
        <v>1</v>
      </c>
      <c r="R159" s="2" t="inlineStr">
        <is>
          <t>Vedflamlav</t>
        </is>
      </c>
      <c r="S159">
        <f>HYPERLINK("https://klasma.github.io/Logging_2039/artfynd/A 43473-2023 artfynd.xlsx", "A 43473-2023")</f>
        <v/>
      </c>
      <c r="T159">
        <f>HYPERLINK("https://klasma.github.io/Logging_2039/kartor/A 43473-2023 karta.png", "A 43473-2023")</f>
        <v/>
      </c>
      <c r="V159">
        <f>HYPERLINK("https://klasma.github.io/Logging_2039/klagomål/A 43473-2023 FSC-klagomål.docx", "A 43473-2023")</f>
        <v/>
      </c>
      <c r="W159">
        <f>HYPERLINK("https://klasma.github.io/Logging_2039/klagomålsmail/A 43473-2023 FSC-klagomål mail.docx", "A 43473-2023")</f>
        <v/>
      </c>
      <c r="X159">
        <f>HYPERLINK("https://klasma.github.io/Logging_2039/tillsyn/A 43473-2023 tillsynsbegäran.docx", "A 43473-2023")</f>
        <v/>
      </c>
      <c r="Y159">
        <f>HYPERLINK("https://klasma.github.io/Logging_2039/tillsynsmail/A 43473-2023 tillsynsbegäran mail.docx", "A 43473-2023")</f>
        <v/>
      </c>
    </row>
    <row r="160" ht="15" customHeight="1">
      <c r="A160" t="inlineStr">
        <is>
          <t>A 53966-2023</t>
        </is>
      </c>
      <c r="B160" s="1" t="n">
        <v>45231</v>
      </c>
      <c r="C160" s="1" t="n">
        <v>45626</v>
      </c>
      <c r="D160" t="inlineStr">
        <is>
          <t>DALARNAS LÄN</t>
        </is>
      </c>
      <c r="E160" t="inlineStr">
        <is>
          <t>ÄLVDALEN</t>
        </is>
      </c>
      <c r="F160" t="inlineStr">
        <is>
          <t>Bergvik skog öst AB</t>
        </is>
      </c>
      <c r="G160" t="n">
        <v>14.7</v>
      </c>
      <c r="H160" t="n">
        <v>1</v>
      </c>
      <c r="I160" t="n">
        <v>0</v>
      </c>
      <c r="J160" t="n">
        <v>0</v>
      </c>
      <c r="K160" t="n">
        <v>1</v>
      </c>
      <c r="L160" t="n">
        <v>0</v>
      </c>
      <c r="M160" t="n">
        <v>0</v>
      </c>
      <c r="N160" t="n">
        <v>0</v>
      </c>
      <c r="O160" t="n">
        <v>1</v>
      </c>
      <c r="P160" t="n">
        <v>1</v>
      </c>
      <c r="Q160" t="n">
        <v>1</v>
      </c>
      <c r="R160" s="2" t="inlineStr">
        <is>
          <t>Lappuggla</t>
        </is>
      </c>
      <c r="S160">
        <f>HYPERLINK("https://klasma.github.io/Logging_2039/artfynd/A 53966-2023 artfynd.xlsx", "A 53966-2023")</f>
        <v/>
      </c>
      <c r="T160">
        <f>HYPERLINK("https://klasma.github.io/Logging_2039/kartor/A 53966-2023 karta.png", "A 53966-2023")</f>
        <v/>
      </c>
      <c r="V160">
        <f>HYPERLINK("https://klasma.github.io/Logging_2039/klagomål/A 53966-2023 FSC-klagomål.docx", "A 53966-2023")</f>
        <v/>
      </c>
      <c r="W160">
        <f>HYPERLINK("https://klasma.github.io/Logging_2039/klagomålsmail/A 53966-2023 FSC-klagomål mail.docx", "A 53966-2023")</f>
        <v/>
      </c>
      <c r="X160">
        <f>HYPERLINK("https://klasma.github.io/Logging_2039/tillsyn/A 53966-2023 tillsynsbegäran.docx", "A 53966-2023")</f>
        <v/>
      </c>
      <c r="Y160">
        <f>HYPERLINK("https://klasma.github.io/Logging_2039/tillsynsmail/A 53966-2023 tillsynsbegäran mail.docx", "A 53966-2023")</f>
        <v/>
      </c>
      <c r="Z160">
        <f>HYPERLINK("https://klasma.github.io/Logging_2039/fåglar/A 53966-2023 prioriterade fågelarter.docx", "A 53966-2023")</f>
        <v/>
      </c>
    </row>
    <row r="161" ht="15" customHeight="1">
      <c r="A161" t="inlineStr">
        <is>
          <t>A 9094-2024</t>
        </is>
      </c>
      <c r="B161" s="1" t="n">
        <v>45357</v>
      </c>
      <c r="C161" s="1" t="n">
        <v>45626</v>
      </c>
      <c r="D161" t="inlineStr">
        <is>
          <t>DALARNAS LÄN</t>
        </is>
      </c>
      <c r="E161" t="inlineStr">
        <is>
          <t>ÄLVDALEN</t>
        </is>
      </c>
      <c r="G161" t="n">
        <v>4.6</v>
      </c>
      <c r="H161" t="n">
        <v>0</v>
      </c>
      <c r="I161" t="n">
        <v>0</v>
      </c>
      <c r="J161" t="n">
        <v>1</v>
      </c>
      <c r="K161" t="n">
        <v>0</v>
      </c>
      <c r="L161" t="n">
        <v>0</v>
      </c>
      <c r="M161" t="n">
        <v>0</v>
      </c>
      <c r="N161" t="n">
        <v>0</v>
      </c>
      <c r="O161" t="n">
        <v>1</v>
      </c>
      <c r="P161" t="n">
        <v>0</v>
      </c>
      <c r="Q161" t="n">
        <v>1</v>
      </c>
      <c r="R161" s="2" t="inlineStr">
        <is>
          <t>Nordtagging</t>
        </is>
      </c>
      <c r="S161">
        <f>HYPERLINK("https://klasma.github.io/Logging_2039/artfynd/A 9094-2024 artfynd.xlsx", "A 9094-2024")</f>
        <v/>
      </c>
      <c r="T161">
        <f>HYPERLINK("https://klasma.github.io/Logging_2039/kartor/A 9094-2024 karta.png", "A 9094-2024")</f>
        <v/>
      </c>
      <c r="V161">
        <f>HYPERLINK("https://klasma.github.io/Logging_2039/klagomål/A 9094-2024 FSC-klagomål.docx", "A 9094-2024")</f>
        <v/>
      </c>
      <c r="W161">
        <f>HYPERLINK("https://klasma.github.io/Logging_2039/klagomålsmail/A 9094-2024 FSC-klagomål mail.docx", "A 9094-2024")</f>
        <v/>
      </c>
      <c r="X161">
        <f>HYPERLINK("https://klasma.github.io/Logging_2039/tillsyn/A 9094-2024 tillsynsbegäran.docx", "A 9094-2024")</f>
        <v/>
      </c>
      <c r="Y161">
        <f>HYPERLINK("https://klasma.github.io/Logging_2039/tillsynsmail/A 9094-2024 tillsynsbegäran mail.docx", "A 9094-2024")</f>
        <v/>
      </c>
    </row>
    <row r="162" ht="15" customHeight="1">
      <c r="A162" t="inlineStr">
        <is>
          <t>A 14277-2024</t>
        </is>
      </c>
      <c r="B162" s="1" t="n">
        <v>45393</v>
      </c>
      <c r="C162" s="1" t="n">
        <v>45626</v>
      </c>
      <c r="D162" t="inlineStr">
        <is>
          <t>DALARNAS LÄN</t>
        </is>
      </c>
      <c r="E162" t="inlineStr">
        <is>
          <t>ÄLVDALEN</t>
        </is>
      </c>
      <c r="F162" t="inlineStr">
        <is>
          <t>Allmännings- och besparingsskogar</t>
        </is>
      </c>
      <c r="G162" t="n">
        <v>2.8</v>
      </c>
      <c r="H162" t="n">
        <v>1</v>
      </c>
      <c r="I162" t="n">
        <v>0</v>
      </c>
      <c r="J162" t="n">
        <v>1</v>
      </c>
      <c r="K162" t="n">
        <v>0</v>
      </c>
      <c r="L162" t="n">
        <v>0</v>
      </c>
      <c r="M162" t="n">
        <v>0</v>
      </c>
      <c r="N162" t="n">
        <v>0</v>
      </c>
      <c r="O162" t="n">
        <v>1</v>
      </c>
      <c r="P162" t="n">
        <v>0</v>
      </c>
      <c r="Q162" t="n">
        <v>1</v>
      </c>
      <c r="R162" s="2" t="inlineStr">
        <is>
          <t>Talltita</t>
        </is>
      </c>
      <c r="S162">
        <f>HYPERLINK("https://klasma.github.io/Logging_2039/artfynd/A 14277-2024 artfynd.xlsx", "A 14277-2024")</f>
        <v/>
      </c>
      <c r="T162">
        <f>HYPERLINK("https://klasma.github.io/Logging_2039/kartor/A 14277-2024 karta.png", "A 14277-2024")</f>
        <v/>
      </c>
      <c r="V162">
        <f>HYPERLINK("https://klasma.github.io/Logging_2039/klagomål/A 14277-2024 FSC-klagomål.docx", "A 14277-2024")</f>
        <v/>
      </c>
      <c r="W162">
        <f>HYPERLINK("https://klasma.github.io/Logging_2039/klagomålsmail/A 14277-2024 FSC-klagomål mail.docx", "A 14277-2024")</f>
        <v/>
      </c>
      <c r="X162">
        <f>HYPERLINK("https://klasma.github.io/Logging_2039/tillsyn/A 14277-2024 tillsynsbegäran.docx", "A 14277-2024")</f>
        <v/>
      </c>
      <c r="Y162">
        <f>HYPERLINK("https://klasma.github.io/Logging_2039/tillsynsmail/A 14277-2024 tillsynsbegäran mail.docx", "A 14277-2024")</f>
        <v/>
      </c>
      <c r="Z162">
        <f>HYPERLINK("https://klasma.github.io/Logging_2039/fåglar/A 14277-2024 prioriterade fågelarter.docx", "A 14277-2024")</f>
        <v/>
      </c>
    </row>
    <row r="163" ht="15" customHeight="1">
      <c r="A163" t="inlineStr">
        <is>
          <t>A 17784-2024</t>
        </is>
      </c>
      <c r="B163" s="1" t="n">
        <v>45415</v>
      </c>
      <c r="C163" s="1" t="n">
        <v>45626</v>
      </c>
      <c r="D163" t="inlineStr">
        <is>
          <t>DALARNAS LÄN</t>
        </is>
      </c>
      <c r="E163" t="inlineStr">
        <is>
          <t>ÄLVDALEN</t>
        </is>
      </c>
      <c r="F163" t="inlineStr">
        <is>
          <t>Övriga statliga verk och myndigheter</t>
        </is>
      </c>
      <c r="G163" t="n">
        <v>20.4</v>
      </c>
      <c r="H163" t="n">
        <v>1</v>
      </c>
      <c r="I163" t="n">
        <v>1</v>
      </c>
      <c r="J163" t="n">
        <v>0</v>
      </c>
      <c r="K163" t="n">
        <v>0</v>
      </c>
      <c r="L163" t="n">
        <v>0</v>
      </c>
      <c r="M163" t="n">
        <v>0</v>
      </c>
      <c r="N163" t="n">
        <v>0</v>
      </c>
      <c r="O163" t="n">
        <v>0</v>
      </c>
      <c r="P163" t="n">
        <v>0</v>
      </c>
      <c r="Q163" t="n">
        <v>1</v>
      </c>
      <c r="R163" s="2" t="inlineStr">
        <is>
          <t>Plattlummer</t>
        </is>
      </c>
      <c r="S163">
        <f>HYPERLINK("https://klasma.github.io/Logging_2039/artfynd/A 17784-2024 artfynd.xlsx", "A 17784-2024")</f>
        <v/>
      </c>
      <c r="T163">
        <f>HYPERLINK("https://klasma.github.io/Logging_2039/kartor/A 17784-2024 karta.png", "A 17784-2024")</f>
        <v/>
      </c>
      <c r="V163">
        <f>HYPERLINK("https://klasma.github.io/Logging_2039/klagomål/A 17784-2024 FSC-klagomål.docx", "A 17784-2024")</f>
        <v/>
      </c>
      <c r="W163">
        <f>HYPERLINK("https://klasma.github.io/Logging_2039/klagomålsmail/A 17784-2024 FSC-klagomål mail.docx", "A 17784-2024")</f>
        <v/>
      </c>
      <c r="X163">
        <f>HYPERLINK("https://klasma.github.io/Logging_2039/tillsyn/A 17784-2024 tillsynsbegäran.docx", "A 17784-2024")</f>
        <v/>
      </c>
      <c r="Y163">
        <f>HYPERLINK("https://klasma.github.io/Logging_2039/tillsynsmail/A 17784-2024 tillsynsbegäran mail.docx", "A 17784-2024")</f>
        <v/>
      </c>
    </row>
    <row r="164" ht="15" customHeight="1">
      <c r="A164" t="inlineStr">
        <is>
          <t>A 19614-2024</t>
        </is>
      </c>
      <c r="B164" s="1" t="n">
        <v>45432</v>
      </c>
      <c r="C164" s="1" t="n">
        <v>45626</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21658-2024</t>
        </is>
      </c>
      <c r="B165" s="1" t="n">
        <v>45442</v>
      </c>
      <c r="C165" s="1" t="n">
        <v>45626</v>
      </c>
      <c r="D165" t="inlineStr">
        <is>
          <t>DALARNAS LÄN</t>
        </is>
      </c>
      <c r="E165" t="inlineStr">
        <is>
          <t>ÄLVDALEN</t>
        </is>
      </c>
      <c r="F165" t="inlineStr">
        <is>
          <t>Sveaskog</t>
        </is>
      </c>
      <c r="G165" t="n">
        <v>4.2</v>
      </c>
      <c r="H165" t="n">
        <v>1</v>
      </c>
      <c r="I165" t="n">
        <v>0</v>
      </c>
      <c r="J165" t="n">
        <v>1</v>
      </c>
      <c r="K165" t="n">
        <v>0</v>
      </c>
      <c r="L165" t="n">
        <v>0</v>
      </c>
      <c r="M165" t="n">
        <v>0</v>
      </c>
      <c r="N165" t="n">
        <v>0</v>
      </c>
      <c r="O165" t="n">
        <v>1</v>
      </c>
      <c r="P165" t="n">
        <v>0</v>
      </c>
      <c r="Q165" t="n">
        <v>1</v>
      </c>
      <c r="R165" s="2" t="inlineStr">
        <is>
          <t>Varglav</t>
        </is>
      </c>
      <c r="S165">
        <f>HYPERLINK("https://klasma.github.io/Logging_2039/artfynd/A 21658-2024 artfynd.xlsx", "A 21658-2024")</f>
        <v/>
      </c>
      <c r="T165">
        <f>HYPERLINK("https://klasma.github.io/Logging_2039/kartor/A 21658-2024 karta.png", "A 21658-2024")</f>
        <v/>
      </c>
      <c r="V165">
        <f>HYPERLINK("https://klasma.github.io/Logging_2039/klagomål/A 21658-2024 FSC-klagomål.docx", "A 21658-2024")</f>
        <v/>
      </c>
      <c r="W165">
        <f>HYPERLINK("https://klasma.github.io/Logging_2039/klagomålsmail/A 21658-2024 FSC-klagomål mail.docx", "A 21658-2024")</f>
        <v/>
      </c>
      <c r="X165">
        <f>HYPERLINK("https://klasma.github.io/Logging_2039/tillsyn/A 21658-2024 tillsynsbegäran.docx", "A 21658-2024")</f>
        <v/>
      </c>
      <c r="Y165">
        <f>HYPERLINK("https://klasma.github.io/Logging_2039/tillsynsmail/A 21658-2024 tillsynsbegäran mail.docx", "A 21658-2024")</f>
        <v/>
      </c>
    </row>
    <row r="166" ht="15" customHeight="1">
      <c r="A166" t="inlineStr">
        <is>
          <t>A 30691-2024</t>
        </is>
      </c>
      <c r="B166" s="1" t="n">
        <v>45496</v>
      </c>
      <c r="C166" s="1" t="n">
        <v>45626</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31771-2024</t>
        </is>
      </c>
      <c r="B167" s="1" t="n">
        <v>45509</v>
      </c>
      <c r="C167" s="1" t="n">
        <v>45626</v>
      </c>
      <c r="D167" t="inlineStr">
        <is>
          <t>DALARNAS LÄN</t>
        </is>
      </c>
      <c r="E167" t="inlineStr">
        <is>
          <t>ÄLVDALEN</t>
        </is>
      </c>
      <c r="F167" t="inlineStr">
        <is>
          <t>Allmännings- och besparingsskogar</t>
        </is>
      </c>
      <c r="G167" t="n">
        <v>17.8</v>
      </c>
      <c r="H167" t="n">
        <v>1</v>
      </c>
      <c r="I167" t="n">
        <v>0</v>
      </c>
      <c r="J167" t="n">
        <v>0</v>
      </c>
      <c r="K167" t="n">
        <v>0</v>
      </c>
      <c r="L167" t="n">
        <v>1</v>
      </c>
      <c r="M167" t="n">
        <v>0</v>
      </c>
      <c r="N167" t="n">
        <v>0</v>
      </c>
      <c r="O167" t="n">
        <v>1</v>
      </c>
      <c r="P167" t="n">
        <v>1</v>
      </c>
      <c r="Q167" t="n">
        <v>1</v>
      </c>
      <c r="R167" s="2" t="inlineStr">
        <is>
          <t>Mosippa</t>
        </is>
      </c>
      <c r="S167">
        <f>HYPERLINK("https://klasma.github.io/Logging_2039/artfynd/A 31771-2024 artfynd.xlsx", "A 31771-2024")</f>
        <v/>
      </c>
      <c r="T167">
        <f>HYPERLINK("https://klasma.github.io/Logging_2039/kartor/A 31771-2024 karta.png", "A 31771-2024")</f>
        <v/>
      </c>
      <c r="V167">
        <f>HYPERLINK("https://klasma.github.io/Logging_2039/klagomål/A 31771-2024 FSC-klagomål.docx", "A 31771-2024")</f>
        <v/>
      </c>
      <c r="W167">
        <f>HYPERLINK("https://klasma.github.io/Logging_2039/klagomålsmail/A 31771-2024 FSC-klagomål mail.docx", "A 31771-2024")</f>
        <v/>
      </c>
      <c r="X167">
        <f>HYPERLINK("https://klasma.github.io/Logging_2039/tillsyn/A 31771-2024 tillsynsbegäran.docx", "A 31771-2024")</f>
        <v/>
      </c>
      <c r="Y167">
        <f>HYPERLINK("https://klasma.github.io/Logging_2039/tillsynsmail/A 31771-2024 tillsynsbegäran mail.docx", "A 31771-2024")</f>
        <v/>
      </c>
    </row>
    <row r="168" ht="15" customHeight="1">
      <c r="A168" t="inlineStr">
        <is>
          <t>A 32199-2024</t>
        </is>
      </c>
      <c r="B168" s="1" t="n">
        <v>45511</v>
      </c>
      <c r="C168" s="1" t="n">
        <v>45626</v>
      </c>
      <c r="D168" t="inlineStr">
        <is>
          <t>DALARNAS LÄN</t>
        </is>
      </c>
      <c r="E168" t="inlineStr">
        <is>
          <t>ÄLVDALEN</t>
        </is>
      </c>
      <c r="F168" t="inlineStr">
        <is>
          <t>Sveaskog</t>
        </is>
      </c>
      <c r="G168" t="n">
        <v>4.6</v>
      </c>
      <c r="H168" t="n">
        <v>1</v>
      </c>
      <c r="I168" t="n">
        <v>0</v>
      </c>
      <c r="J168" t="n">
        <v>1</v>
      </c>
      <c r="K168" t="n">
        <v>0</v>
      </c>
      <c r="L168" t="n">
        <v>0</v>
      </c>
      <c r="M168" t="n">
        <v>0</v>
      </c>
      <c r="N168" t="n">
        <v>0</v>
      </c>
      <c r="O168" t="n">
        <v>1</v>
      </c>
      <c r="P168" t="n">
        <v>0</v>
      </c>
      <c r="Q168" t="n">
        <v>1</v>
      </c>
      <c r="R168" s="2" t="inlineStr">
        <is>
          <t>Varglav</t>
        </is>
      </c>
      <c r="S168">
        <f>HYPERLINK("https://klasma.github.io/Logging_2039/artfynd/A 32199-2024 artfynd.xlsx", "A 32199-2024")</f>
        <v/>
      </c>
      <c r="T168">
        <f>HYPERLINK("https://klasma.github.io/Logging_2039/kartor/A 32199-2024 karta.png", "A 32199-2024")</f>
        <v/>
      </c>
      <c r="V168">
        <f>HYPERLINK("https://klasma.github.io/Logging_2039/klagomål/A 32199-2024 FSC-klagomål.docx", "A 32199-2024")</f>
        <v/>
      </c>
      <c r="W168">
        <f>HYPERLINK("https://klasma.github.io/Logging_2039/klagomålsmail/A 32199-2024 FSC-klagomål mail.docx", "A 32199-2024")</f>
        <v/>
      </c>
      <c r="X168">
        <f>HYPERLINK("https://klasma.github.io/Logging_2039/tillsyn/A 32199-2024 tillsynsbegäran.docx", "A 32199-2024")</f>
        <v/>
      </c>
      <c r="Y168">
        <f>HYPERLINK("https://klasma.github.io/Logging_2039/tillsynsmail/A 32199-2024 tillsynsbegäran mail.docx", "A 32199-2024")</f>
        <v/>
      </c>
    </row>
    <row r="169" ht="15" customHeight="1">
      <c r="A169" t="inlineStr">
        <is>
          <t>A 45201-2024</t>
        </is>
      </c>
      <c r="B169" s="1" t="n">
        <v>45575</v>
      </c>
      <c r="C169" s="1" t="n">
        <v>45626</v>
      </c>
      <c r="D169" t="inlineStr">
        <is>
          <t>DALARNAS LÄN</t>
        </is>
      </c>
      <c r="E169" t="inlineStr">
        <is>
          <t>ÄLVDALEN</t>
        </is>
      </c>
      <c r="G169" t="n">
        <v>24.6</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50981-2024</t>
        </is>
      </c>
      <c r="B170" s="1" t="n">
        <v>45603</v>
      </c>
      <c r="C170" s="1" t="n">
        <v>45626</v>
      </c>
      <c r="D170" t="inlineStr">
        <is>
          <t>DALARNAS LÄN</t>
        </is>
      </c>
      <c r="E170" t="inlineStr">
        <is>
          <t>ÄLVDALEN</t>
        </is>
      </c>
      <c r="G170" t="n">
        <v>5.1</v>
      </c>
      <c r="H170" t="n">
        <v>0</v>
      </c>
      <c r="I170" t="n">
        <v>0</v>
      </c>
      <c r="J170" t="n">
        <v>1</v>
      </c>
      <c r="K170" t="n">
        <v>0</v>
      </c>
      <c r="L170" t="n">
        <v>0</v>
      </c>
      <c r="M170" t="n">
        <v>0</v>
      </c>
      <c r="N170" t="n">
        <v>0</v>
      </c>
      <c r="O170" t="n">
        <v>1</v>
      </c>
      <c r="P170" t="n">
        <v>0</v>
      </c>
      <c r="Q170" t="n">
        <v>1</v>
      </c>
      <c r="R170" s="2" t="inlineStr">
        <is>
          <t>Vedskivlav</t>
        </is>
      </c>
      <c r="S170">
        <f>HYPERLINK("https://klasma.github.io/Logging_2039/artfynd/A 50981-2024 artfynd.xlsx", "A 50981-2024")</f>
        <v/>
      </c>
      <c r="T170">
        <f>HYPERLINK("https://klasma.github.io/Logging_2039/kartor/A 50981-2024 karta.png", "A 50981-2024")</f>
        <v/>
      </c>
      <c r="V170">
        <f>HYPERLINK("https://klasma.github.io/Logging_2039/klagomål/A 50981-2024 FSC-klagomål.docx", "A 50981-2024")</f>
        <v/>
      </c>
      <c r="W170">
        <f>HYPERLINK("https://klasma.github.io/Logging_2039/klagomålsmail/A 50981-2024 FSC-klagomål mail.docx", "A 50981-2024")</f>
        <v/>
      </c>
      <c r="X170">
        <f>HYPERLINK("https://klasma.github.io/Logging_2039/tillsyn/A 50981-2024 tillsynsbegäran.docx", "A 50981-2024")</f>
        <v/>
      </c>
      <c r="Y170">
        <f>HYPERLINK("https://klasma.github.io/Logging_2039/tillsynsmail/A 50981-2024 tillsynsbegäran mail.docx", "A 50981-2024")</f>
        <v/>
      </c>
    </row>
    <row r="171" ht="15" customHeight="1">
      <c r="A171" t="inlineStr">
        <is>
          <t>A 17751-2019</t>
        </is>
      </c>
      <c r="B171" s="1" t="n">
        <v>43556</v>
      </c>
      <c r="C171" s="1" t="n">
        <v>45626</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17741-2019</t>
        </is>
      </c>
      <c r="B172" s="1" t="n">
        <v>43556</v>
      </c>
      <c r="C172" s="1" t="n">
        <v>45626</v>
      </c>
      <c r="D172" t="inlineStr">
        <is>
          <t>DALARNAS LÄN</t>
        </is>
      </c>
      <c r="E172" t="inlineStr">
        <is>
          <t>ÄLVDALEN</t>
        </is>
      </c>
      <c r="G172" t="n">
        <v>2.3</v>
      </c>
      <c r="H172" t="n">
        <v>0</v>
      </c>
      <c r="I172" t="n">
        <v>0</v>
      </c>
      <c r="J172" t="n">
        <v>0</v>
      </c>
      <c r="K172" t="n">
        <v>0</v>
      </c>
      <c r="L172" t="n">
        <v>0</v>
      </c>
      <c r="M172" t="n">
        <v>0</v>
      </c>
      <c r="N172" t="n">
        <v>0</v>
      </c>
      <c r="O172" t="n">
        <v>0</v>
      </c>
      <c r="P172" t="n">
        <v>0</v>
      </c>
      <c r="Q172" t="n">
        <v>0</v>
      </c>
      <c r="R172" s="2" t="inlineStr"/>
    </row>
    <row r="173" ht="15" customHeight="1">
      <c r="A173" t="inlineStr">
        <is>
          <t>A 20104-2019</t>
        </is>
      </c>
      <c r="B173" s="1" t="n">
        <v>43570</v>
      </c>
      <c r="C173" s="1" t="n">
        <v>45626</v>
      </c>
      <c r="D173" t="inlineStr">
        <is>
          <t>DALARNAS LÄN</t>
        </is>
      </c>
      <c r="E173" t="inlineStr">
        <is>
          <t>ÄLVDALEN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20004-2019</t>
        </is>
      </c>
      <c r="B174" s="1" t="n">
        <v>43570</v>
      </c>
      <c r="C174" s="1" t="n">
        <v>45626</v>
      </c>
      <c r="D174" t="inlineStr">
        <is>
          <t>DALARNAS LÄN</t>
        </is>
      </c>
      <c r="E174" t="inlineStr">
        <is>
          <t>ÄLVDALEN</t>
        </is>
      </c>
      <c r="G174" t="n">
        <v>2.2</v>
      </c>
      <c r="H174" t="n">
        <v>0</v>
      </c>
      <c r="I174" t="n">
        <v>0</v>
      </c>
      <c r="J174" t="n">
        <v>0</v>
      </c>
      <c r="K174" t="n">
        <v>0</v>
      </c>
      <c r="L174" t="n">
        <v>0</v>
      </c>
      <c r="M174" t="n">
        <v>0</v>
      </c>
      <c r="N174" t="n">
        <v>0</v>
      </c>
      <c r="O174" t="n">
        <v>0</v>
      </c>
      <c r="P174" t="n">
        <v>0</v>
      </c>
      <c r="Q174" t="n">
        <v>0</v>
      </c>
      <c r="R174" s="2" t="inlineStr"/>
    </row>
    <row r="175" ht="15" customHeight="1">
      <c r="A175" t="inlineStr">
        <is>
          <t>A 20948-2019</t>
        </is>
      </c>
      <c r="B175" s="1" t="n">
        <v>43578</v>
      </c>
      <c r="C175" s="1" t="n">
        <v>45626</v>
      </c>
      <c r="D175" t="inlineStr">
        <is>
          <t>DALARNAS LÄN</t>
        </is>
      </c>
      <c r="E175" t="inlineStr">
        <is>
          <t>ÄLVDALEN</t>
        </is>
      </c>
      <c r="G175" t="n">
        <v>1.2</v>
      </c>
      <c r="H175" t="n">
        <v>0</v>
      </c>
      <c r="I175" t="n">
        <v>0</v>
      </c>
      <c r="J175" t="n">
        <v>0</v>
      </c>
      <c r="K175" t="n">
        <v>0</v>
      </c>
      <c r="L175" t="n">
        <v>0</v>
      </c>
      <c r="M175" t="n">
        <v>0</v>
      </c>
      <c r="N175" t="n">
        <v>0</v>
      </c>
      <c r="O175" t="n">
        <v>0</v>
      </c>
      <c r="P175" t="n">
        <v>0</v>
      </c>
      <c r="Q175" t="n">
        <v>0</v>
      </c>
      <c r="R175" s="2" t="inlineStr"/>
    </row>
    <row r="176" ht="15" customHeight="1">
      <c r="A176" t="inlineStr">
        <is>
          <t>A 20962-2019</t>
        </is>
      </c>
      <c r="B176" s="1" t="n">
        <v>43578</v>
      </c>
      <c r="C176" s="1" t="n">
        <v>45626</v>
      </c>
      <c r="D176" t="inlineStr">
        <is>
          <t>DALARNAS LÄN</t>
        </is>
      </c>
      <c r="E176" t="inlineStr">
        <is>
          <t>ÄLVDALEN</t>
        </is>
      </c>
      <c r="G176" t="n">
        <v>1.4</v>
      </c>
      <c r="H176" t="n">
        <v>0</v>
      </c>
      <c r="I176" t="n">
        <v>0</v>
      </c>
      <c r="J176" t="n">
        <v>0</v>
      </c>
      <c r="K176" t="n">
        <v>0</v>
      </c>
      <c r="L176" t="n">
        <v>0</v>
      </c>
      <c r="M176" t="n">
        <v>0</v>
      </c>
      <c r="N176" t="n">
        <v>0</v>
      </c>
      <c r="O176" t="n">
        <v>0</v>
      </c>
      <c r="P176" t="n">
        <v>0</v>
      </c>
      <c r="Q176" t="n">
        <v>0</v>
      </c>
      <c r="R176" s="2" t="inlineStr"/>
    </row>
    <row r="177" ht="15" customHeight="1">
      <c r="A177" t="inlineStr">
        <is>
          <t>A 21717-2019</t>
        </is>
      </c>
      <c r="B177" s="1" t="n">
        <v>43581</v>
      </c>
      <c r="C177" s="1" t="n">
        <v>45626</v>
      </c>
      <c r="D177" t="inlineStr">
        <is>
          <t>DALARNAS LÄN</t>
        </is>
      </c>
      <c r="E177" t="inlineStr">
        <is>
          <t>ÄLVDALEN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21969-2019</t>
        </is>
      </c>
      <c r="B178" s="1" t="n">
        <v>43584</v>
      </c>
      <c r="C178" s="1" t="n">
        <v>45626</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23360-2019</t>
        </is>
      </c>
      <c r="B179" s="1" t="n">
        <v>43593</v>
      </c>
      <c r="C179" s="1" t="n">
        <v>45626</v>
      </c>
      <c r="D179" t="inlineStr">
        <is>
          <t>DALARNAS LÄN</t>
        </is>
      </c>
      <c r="E179" t="inlineStr">
        <is>
          <t>ÄLVDALEN</t>
        </is>
      </c>
      <c r="G179" t="n">
        <v>1.5</v>
      </c>
      <c r="H179" t="n">
        <v>0</v>
      </c>
      <c r="I179" t="n">
        <v>0</v>
      </c>
      <c r="J179" t="n">
        <v>0</v>
      </c>
      <c r="K179" t="n">
        <v>0</v>
      </c>
      <c r="L179" t="n">
        <v>0</v>
      </c>
      <c r="M179" t="n">
        <v>0</v>
      </c>
      <c r="N179" t="n">
        <v>0</v>
      </c>
      <c r="O179" t="n">
        <v>0</v>
      </c>
      <c r="P179" t="n">
        <v>0</v>
      </c>
      <c r="Q179" t="n">
        <v>0</v>
      </c>
      <c r="R179" s="2" t="inlineStr"/>
    </row>
    <row r="180" ht="15" customHeight="1">
      <c r="A180" t="inlineStr">
        <is>
          <t>A 23946-2019</t>
        </is>
      </c>
      <c r="B180" s="1" t="n">
        <v>43596</v>
      </c>
      <c r="C180" s="1" t="n">
        <v>45626</v>
      </c>
      <c r="D180" t="inlineStr">
        <is>
          <t>DALARNAS LÄN</t>
        </is>
      </c>
      <c r="E180" t="inlineStr">
        <is>
          <t>ÄLVDALEN</t>
        </is>
      </c>
      <c r="G180" t="n">
        <v>3.6</v>
      </c>
      <c r="H180" t="n">
        <v>0</v>
      </c>
      <c r="I180" t="n">
        <v>0</v>
      </c>
      <c r="J180" t="n">
        <v>0</v>
      </c>
      <c r="K180" t="n">
        <v>0</v>
      </c>
      <c r="L180" t="n">
        <v>0</v>
      </c>
      <c r="M180" t="n">
        <v>0</v>
      </c>
      <c r="N180" t="n">
        <v>0</v>
      </c>
      <c r="O180" t="n">
        <v>0</v>
      </c>
      <c r="P180" t="n">
        <v>0</v>
      </c>
      <c r="Q180" t="n">
        <v>0</v>
      </c>
      <c r="R180" s="2" t="inlineStr"/>
    </row>
    <row r="181" ht="15" customHeight="1">
      <c r="A181" t="inlineStr">
        <is>
          <t>A 24651-2019</t>
        </is>
      </c>
      <c r="B181" s="1" t="n">
        <v>43601</v>
      </c>
      <c r="C181" s="1" t="n">
        <v>45626</v>
      </c>
      <c r="D181" t="inlineStr">
        <is>
          <t>DALARNAS LÄN</t>
        </is>
      </c>
      <c r="E181" t="inlineStr">
        <is>
          <t>ÄLVDALEN</t>
        </is>
      </c>
      <c r="G181" t="n">
        <v>10.1</v>
      </c>
      <c r="H181" t="n">
        <v>0</v>
      </c>
      <c r="I181" t="n">
        <v>0</v>
      </c>
      <c r="J181" t="n">
        <v>0</v>
      </c>
      <c r="K181" t="n">
        <v>0</v>
      </c>
      <c r="L181" t="n">
        <v>0</v>
      </c>
      <c r="M181" t="n">
        <v>0</v>
      </c>
      <c r="N181" t="n">
        <v>0</v>
      </c>
      <c r="O181" t="n">
        <v>0</v>
      </c>
      <c r="P181" t="n">
        <v>0</v>
      </c>
      <c r="Q181" t="n">
        <v>0</v>
      </c>
      <c r="R181" s="2" t="inlineStr"/>
    </row>
    <row r="182" ht="15" customHeight="1">
      <c r="A182" t="inlineStr">
        <is>
          <t>A 25001-2019</t>
        </is>
      </c>
      <c r="B182" s="1" t="n">
        <v>43602</v>
      </c>
      <c r="C182" s="1" t="n">
        <v>45626</v>
      </c>
      <c r="D182" t="inlineStr">
        <is>
          <t>DALARNAS LÄN</t>
        </is>
      </c>
      <c r="E182" t="inlineStr">
        <is>
          <t>ÄLVDALEN</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26164-2019</t>
        </is>
      </c>
      <c r="B183" s="1" t="n">
        <v>43609</v>
      </c>
      <c r="C183" s="1" t="n">
        <v>45626</v>
      </c>
      <c r="D183" t="inlineStr">
        <is>
          <t>DALARNAS LÄN</t>
        </is>
      </c>
      <c r="E183" t="inlineStr">
        <is>
          <t>ÄLVDALEN</t>
        </is>
      </c>
      <c r="F183" t="inlineStr">
        <is>
          <t>Kommuner</t>
        </is>
      </c>
      <c r="G183" t="n">
        <v>2</v>
      </c>
      <c r="H183" t="n">
        <v>0</v>
      </c>
      <c r="I183" t="n">
        <v>0</v>
      </c>
      <c r="J183" t="n">
        <v>0</v>
      </c>
      <c r="K183" t="n">
        <v>0</v>
      </c>
      <c r="L183" t="n">
        <v>0</v>
      </c>
      <c r="M183" t="n">
        <v>0</v>
      </c>
      <c r="N183" t="n">
        <v>0</v>
      </c>
      <c r="O183" t="n">
        <v>0</v>
      </c>
      <c r="P183" t="n">
        <v>0</v>
      </c>
      <c r="Q183" t="n">
        <v>0</v>
      </c>
      <c r="R183" s="2" t="inlineStr"/>
    </row>
    <row r="184" ht="15" customHeight="1">
      <c r="A184" t="inlineStr">
        <is>
          <t>A 26127-2019</t>
        </is>
      </c>
      <c r="B184" s="1" t="n">
        <v>43609</v>
      </c>
      <c r="C184" s="1" t="n">
        <v>45626</v>
      </c>
      <c r="D184" t="inlineStr">
        <is>
          <t>DALARNAS LÄN</t>
        </is>
      </c>
      <c r="E184" t="inlineStr">
        <is>
          <t>ÄLVDALEN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27077-2019</t>
        </is>
      </c>
      <c r="B185" s="1" t="n">
        <v>43609</v>
      </c>
      <c r="C185" s="1" t="n">
        <v>45626</v>
      </c>
      <c r="D185" t="inlineStr">
        <is>
          <t>DALARNAS LÄN</t>
        </is>
      </c>
      <c r="E185" t="inlineStr">
        <is>
          <t>ÄLVDALEN</t>
        </is>
      </c>
      <c r="G185" t="n">
        <v>7.4</v>
      </c>
      <c r="H185" t="n">
        <v>0</v>
      </c>
      <c r="I185" t="n">
        <v>0</v>
      </c>
      <c r="J185" t="n">
        <v>0</v>
      </c>
      <c r="K185" t="n">
        <v>0</v>
      </c>
      <c r="L185" t="n">
        <v>0</v>
      </c>
      <c r="M185" t="n">
        <v>0</v>
      </c>
      <c r="N185" t="n">
        <v>0</v>
      </c>
      <c r="O185" t="n">
        <v>0</v>
      </c>
      <c r="P185" t="n">
        <v>0</v>
      </c>
      <c r="Q185" t="n">
        <v>0</v>
      </c>
      <c r="R185" s="2" t="inlineStr"/>
    </row>
    <row r="186" ht="15" customHeight="1">
      <c r="A186" t="inlineStr">
        <is>
          <t>A 26103-2019</t>
        </is>
      </c>
      <c r="B186" s="1" t="n">
        <v>43609</v>
      </c>
      <c r="C186" s="1" t="n">
        <v>45626</v>
      </c>
      <c r="D186" t="inlineStr">
        <is>
          <t>DALARNAS LÄN</t>
        </is>
      </c>
      <c r="E186" t="inlineStr">
        <is>
          <t>ÄLVDALEN</t>
        </is>
      </c>
      <c r="G186" t="n">
        <v>12.7</v>
      </c>
      <c r="H186" t="n">
        <v>0</v>
      </c>
      <c r="I186" t="n">
        <v>0</v>
      </c>
      <c r="J186" t="n">
        <v>0</v>
      </c>
      <c r="K186" t="n">
        <v>0</v>
      </c>
      <c r="L186" t="n">
        <v>0</v>
      </c>
      <c r="M186" t="n">
        <v>0</v>
      </c>
      <c r="N186" t="n">
        <v>0</v>
      </c>
      <c r="O186" t="n">
        <v>0</v>
      </c>
      <c r="P186" t="n">
        <v>0</v>
      </c>
      <c r="Q186" t="n">
        <v>0</v>
      </c>
      <c r="R186" s="2" t="inlineStr"/>
    </row>
    <row r="187" ht="15" customHeight="1">
      <c r="A187" t="inlineStr">
        <is>
          <t>A 26910-2019</t>
        </is>
      </c>
      <c r="B187" s="1" t="n">
        <v>43613</v>
      </c>
      <c r="C187" s="1" t="n">
        <v>45626</v>
      </c>
      <c r="D187" t="inlineStr">
        <is>
          <t>DALARNAS LÄN</t>
        </is>
      </c>
      <c r="E187" t="inlineStr">
        <is>
          <t>ÄLVDALEN</t>
        </is>
      </c>
      <c r="G187" t="n">
        <v>4.1</v>
      </c>
      <c r="H187" t="n">
        <v>0</v>
      </c>
      <c r="I187" t="n">
        <v>0</v>
      </c>
      <c r="J187" t="n">
        <v>0</v>
      </c>
      <c r="K187" t="n">
        <v>0</v>
      </c>
      <c r="L187" t="n">
        <v>0</v>
      </c>
      <c r="M187" t="n">
        <v>0</v>
      </c>
      <c r="N187" t="n">
        <v>0</v>
      </c>
      <c r="O187" t="n">
        <v>0</v>
      </c>
      <c r="P187" t="n">
        <v>0</v>
      </c>
      <c r="Q187" t="n">
        <v>0</v>
      </c>
      <c r="R187" s="2" t="inlineStr"/>
    </row>
    <row r="188" ht="15" customHeight="1">
      <c r="A188" t="inlineStr">
        <is>
          <t>A 27720-2019</t>
        </is>
      </c>
      <c r="B188" s="1" t="n">
        <v>43619</v>
      </c>
      <c r="C188" s="1" t="n">
        <v>45626</v>
      </c>
      <c r="D188" t="inlineStr">
        <is>
          <t>DALARNAS LÄN</t>
        </is>
      </c>
      <c r="E188" t="inlineStr">
        <is>
          <t>ÄLVDALEN</t>
        </is>
      </c>
      <c r="F188" t="inlineStr">
        <is>
          <t>Bergvik skog väst AB</t>
        </is>
      </c>
      <c r="G188" t="n">
        <v>12.4</v>
      </c>
      <c r="H188" t="n">
        <v>0</v>
      </c>
      <c r="I188" t="n">
        <v>0</v>
      </c>
      <c r="J188" t="n">
        <v>0</v>
      </c>
      <c r="K188" t="n">
        <v>0</v>
      </c>
      <c r="L188" t="n">
        <v>0</v>
      </c>
      <c r="M188" t="n">
        <v>0</v>
      </c>
      <c r="N188" t="n">
        <v>0</v>
      </c>
      <c r="O188" t="n">
        <v>0</v>
      </c>
      <c r="P188" t="n">
        <v>0</v>
      </c>
      <c r="Q188" t="n">
        <v>0</v>
      </c>
      <c r="R188" s="2" t="inlineStr"/>
    </row>
    <row r="189" ht="15" customHeight="1">
      <c r="A189" t="inlineStr">
        <is>
          <t>A 27691-2019</t>
        </is>
      </c>
      <c r="B189" s="1" t="n">
        <v>43619</v>
      </c>
      <c r="C189" s="1" t="n">
        <v>45626</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28350-2019</t>
        </is>
      </c>
      <c r="B190" s="1" t="n">
        <v>43624</v>
      </c>
      <c r="C190" s="1" t="n">
        <v>45626</v>
      </c>
      <c r="D190" t="inlineStr">
        <is>
          <t>DALARNAS LÄN</t>
        </is>
      </c>
      <c r="E190" t="inlineStr">
        <is>
          <t>ÄLVDALEN</t>
        </is>
      </c>
      <c r="G190" t="n">
        <v>18.2</v>
      </c>
      <c r="H190" t="n">
        <v>0</v>
      </c>
      <c r="I190" t="n">
        <v>0</v>
      </c>
      <c r="J190" t="n">
        <v>0</v>
      </c>
      <c r="K190" t="n">
        <v>0</v>
      </c>
      <c r="L190" t="n">
        <v>0</v>
      </c>
      <c r="M190" t="n">
        <v>0</v>
      </c>
      <c r="N190" t="n">
        <v>0</v>
      </c>
      <c r="O190" t="n">
        <v>0</v>
      </c>
      <c r="P190" t="n">
        <v>0</v>
      </c>
      <c r="Q190" t="n">
        <v>0</v>
      </c>
      <c r="R190" s="2" t="inlineStr"/>
    </row>
    <row r="191" ht="15" customHeight="1">
      <c r="A191" t="inlineStr">
        <is>
          <t>A 28536-2019</t>
        </is>
      </c>
      <c r="B191" s="1" t="n">
        <v>43626</v>
      </c>
      <c r="C191" s="1" t="n">
        <v>45626</v>
      </c>
      <c r="D191" t="inlineStr">
        <is>
          <t>DALARNAS LÄN</t>
        </is>
      </c>
      <c r="E191" t="inlineStr">
        <is>
          <t>ÄLVDALEN</t>
        </is>
      </c>
      <c r="G191" t="n">
        <v>6.4</v>
      </c>
      <c r="H191" t="n">
        <v>0</v>
      </c>
      <c r="I191" t="n">
        <v>0</v>
      </c>
      <c r="J191" t="n">
        <v>0</v>
      </c>
      <c r="K191" t="n">
        <v>0</v>
      </c>
      <c r="L191" t="n">
        <v>0</v>
      </c>
      <c r="M191" t="n">
        <v>0</v>
      </c>
      <c r="N191" t="n">
        <v>0</v>
      </c>
      <c r="O191" t="n">
        <v>0</v>
      </c>
      <c r="P191" t="n">
        <v>0</v>
      </c>
      <c r="Q191" t="n">
        <v>0</v>
      </c>
      <c r="R191" s="2" t="inlineStr"/>
    </row>
    <row r="192" ht="15" customHeight="1">
      <c r="A192" t="inlineStr">
        <is>
          <t>A 28544-2019</t>
        </is>
      </c>
      <c r="B192" s="1" t="n">
        <v>43626</v>
      </c>
      <c r="C192" s="1" t="n">
        <v>45626</v>
      </c>
      <c r="D192" t="inlineStr">
        <is>
          <t>DALARNAS LÄN</t>
        </is>
      </c>
      <c r="E192" t="inlineStr">
        <is>
          <t>ÄLVDALEN</t>
        </is>
      </c>
      <c r="G192" t="n">
        <v>4.3</v>
      </c>
      <c r="H192" t="n">
        <v>0</v>
      </c>
      <c r="I192" t="n">
        <v>0</v>
      </c>
      <c r="J192" t="n">
        <v>0</v>
      </c>
      <c r="K192" t="n">
        <v>0</v>
      </c>
      <c r="L192" t="n">
        <v>0</v>
      </c>
      <c r="M192" t="n">
        <v>0</v>
      </c>
      <c r="N192" t="n">
        <v>0</v>
      </c>
      <c r="O192" t="n">
        <v>0</v>
      </c>
      <c r="P192" t="n">
        <v>0</v>
      </c>
      <c r="Q192" t="n">
        <v>0</v>
      </c>
      <c r="R192" s="2" t="inlineStr"/>
    </row>
    <row r="193" ht="15" customHeight="1">
      <c r="A193" t="inlineStr">
        <is>
          <t>A 28527-2019</t>
        </is>
      </c>
      <c r="B193" s="1" t="n">
        <v>43626</v>
      </c>
      <c r="C193" s="1" t="n">
        <v>45626</v>
      </c>
      <c r="D193" t="inlineStr">
        <is>
          <t>DALARNAS LÄN</t>
        </is>
      </c>
      <c r="E193" t="inlineStr">
        <is>
          <t>ÄLVDALEN</t>
        </is>
      </c>
      <c r="G193" t="n">
        <v>1.6</v>
      </c>
      <c r="H193" t="n">
        <v>0</v>
      </c>
      <c r="I193" t="n">
        <v>0</v>
      </c>
      <c r="J193" t="n">
        <v>0</v>
      </c>
      <c r="K193" t="n">
        <v>0</v>
      </c>
      <c r="L193" t="n">
        <v>0</v>
      </c>
      <c r="M193" t="n">
        <v>0</v>
      </c>
      <c r="N193" t="n">
        <v>0</v>
      </c>
      <c r="O193" t="n">
        <v>0</v>
      </c>
      <c r="P193" t="n">
        <v>0</v>
      </c>
      <c r="Q193" t="n">
        <v>0</v>
      </c>
      <c r="R193" s="2" t="inlineStr"/>
    </row>
    <row r="194" ht="15" customHeight="1">
      <c r="A194" t="inlineStr">
        <is>
          <t>A 28549-2019</t>
        </is>
      </c>
      <c r="B194" s="1" t="n">
        <v>43626</v>
      </c>
      <c r="C194" s="1" t="n">
        <v>45626</v>
      </c>
      <c r="D194" t="inlineStr">
        <is>
          <t>DALARNAS LÄN</t>
        </is>
      </c>
      <c r="E194" t="inlineStr">
        <is>
          <t>ÄLVDALEN</t>
        </is>
      </c>
      <c r="G194" t="n">
        <v>10.5</v>
      </c>
      <c r="H194" t="n">
        <v>0</v>
      </c>
      <c r="I194" t="n">
        <v>0</v>
      </c>
      <c r="J194" t="n">
        <v>0</v>
      </c>
      <c r="K194" t="n">
        <v>0</v>
      </c>
      <c r="L194" t="n">
        <v>0</v>
      </c>
      <c r="M194" t="n">
        <v>0</v>
      </c>
      <c r="N194" t="n">
        <v>0</v>
      </c>
      <c r="O194" t="n">
        <v>0</v>
      </c>
      <c r="P194" t="n">
        <v>0</v>
      </c>
      <c r="Q194" t="n">
        <v>0</v>
      </c>
      <c r="R194" s="2" t="inlineStr"/>
    </row>
    <row r="195" ht="15" customHeight="1">
      <c r="A195" t="inlineStr">
        <is>
          <t>A 28965-2019</t>
        </is>
      </c>
      <c r="B195" s="1" t="n">
        <v>43628</v>
      </c>
      <c r="C195" s="1" t="n">
        <v>45626</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30506-2019</t>
        </is>
      </c>
      <c r="B196" s="1" t="n">
        <v>43635</v>
      </c>
      <c r="C196" s="1" t="n">
        <v>45626</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32347-2019</t>
        </is>
      </c>
      <c r="B197" s="1" t="n">
        <v>43644</v>
      </c>
      <c r="C197" s="1" t="n">
        <v>45626</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32357-2019</t>
        </is>
      </c>
      <c r="B198" s="1" t="n">
        <v>43644</v>
      </c>
      <c r="C198" s="1" t="n">
        <v>45626</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32359-2019</t>
        </is>
      </c>
      <c r="B199" s="1" t="n">
        <v>43644</v>
      </c>
      <c r="C199" s="1" t="n">
        <v>45626</v>
      </c>
      <c r="D199" t="inlineStr">
        <is>
          <t>DALARNAS LÄN</t>
        </is>
      </c>
      <c r="E199" t="inlineStr">
        <is>
          <t>ÄLVDALEN</t>
        </is>
      </c>
      <c r="G199" t="n">
        <v>0.7</v>
      </c>
      <c r="H199" t="n">
        <v>0</v>
      </c>
      <c r="I199" t="n">
        <v>0</v>
      </c>
      <c r="J199" t="n">
        <v>0</v>
      </c>
      <c r="K199" t="n">
        <v>0</v>
      </c>
      <c r="L199" t="n">
        <v>0</v>
      </c>
      <c r="M199" t="n">
        <v>0</v>
      </c>
      <c r="N199" t="n">
        <v>0</v>
      </c>
      <c r="O199" t="n">
        <v>0</v>
      </c>
      <c r="P199" t="n">
        <v>0</v>
      </c>
      <c r="Q199" t="n">
        <v>0</v>
      </c>
      <c r="R199" s="2" t="inlineStr"/>
    </row>
    <row r="200" ht="15" customHeight="1">
      <c r="A200" t="inlineStr">
        <is>
          <t>A 32670-2019</t>
        </is>
      </c>
      <c r="B200" s="1" t="n">
        <v>43647</v>
      </c>
      <c r="C200" s="1" t="n">
        <v>45626</v>
      </c>
      <c r="D200" t="inlineStr">
        <is>
          <t>DALARNAS LÄN</t>
        </is>
      </c>
      <c r="E200" t="inlineStr">
        <is>
          <t>ÄLVDALEN</t>
        </is>
      </c>
      <c r="G200" t="n">
        <v>0.4</v>
      </c>
      <c r="H200" t="n">
        <v>0</v>
      </c>
      <c r="I200" t="n">
        <v>0</v>
      </c>
      <c r="J200" t="n">
        <v>0</v>
      </c>
      <c r="K200" t="n">
        <v>0</v>
      </c>
      <c r="L200" t="n">
        <v>0</v>
      </c>
      <c r="M200" t="n">
        <v>0</v>
      </c>
      <c r="N200" t="n">
        <v>0</v>
      </c>
      <c r="O200" t="n">
        <v>0</v>
      </c>
      <c r="P200" t="n">
        <v>0</v>
      </c>
      <c r="Q200" t="n">
        <v>0</v>
      </c>
      <c r="R200" s="2" t="inlineStr"/>
    </row>
    <row r="201" ht="15" customHeight="1">
      <c r="A201" t="inlineStr">
        <is>
          <t>A 35529-2019</t>
        </is>
      </c>
      <c r="B201" s="1" t="n">
        <v>43654</v>
      </c>
      <c r="C201" s="1" t="n">
        <v>45626</v>
      </c>
      <c r="D201" t="inlineStr">
        <is>
          <t>DALARNAS LÄN</t>
        </is>
      </c>
      <c r="E201" t="inlineStr">
        <is>
          <t>ÄLVDALEN</t>
        </is>
      </c>
      <c r="G201" t="n">
        <v>1.3</v>
      </c>
      <c r="H201" t="n">
        <v>0</v>
      </c>
      <c r="I201" t="n">
        <v>0</v>
      </c>
      <c r="J201" t="n">
        <v>0</v>
      </c>
      <c r="K201" t="n">
        <v>0</v>
      </c>
      <c r="L201" t="n">
        <v>0</v>
      </c>
      <c r="M201" t="n">
        <v>0</v>
      </c>
      <c r="N201" t="n">
        <v>0</v>
      </c>
      <c r="O201" t="n">
        <v>0</v>
      </c>
      <c r="P201" t="n">
        <v>0</v>
      </c>
      <c r="Q201" t="n">
        <v>0</v>
      </c>
      <c r="R201" s="2" t="inlineStr"/>
    </row>
    <row r="202" ht="15" customHeight="1">
      <c r="A202" t="inlineStr">
        <is>
          <t>A 34550-2019</t>
        </is>
      </c>
      <c r="B202" s="1" t="n">
        <v>43657</v>
      </c>
      <c r="C202" s="1" t="n">
        <v>45626</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36080-2019</t>
        </is>
      </c>
      <c r="B203" s="1" t="n">
        <v>43657</v>
      </c>
      <c r="C203" s="1" t="n">
        <v>45626</v>
      </c>
      <c r="D203" t="inlineStr">
        <is>
          <t>DALARNAS LÄN</t>
        </is>
      </c>
      <c r="E203" t="inlineStr">
        <is>
          <t>ÄLVDALEN</t>
        </is>
      </c>
      <c r="G203" t="n">
        <v>1.7</v>
      </c>
      <c r="H203" t="n">
        <v>0</v>
      </c>
      <c r="I203" t="n">
        <v>0</v>
      </c>
      <c r="J203" t="n">
        <v>0</v>
      </c>
      <c r="K203" t="n">
        <v>0</v>
      </c>
      <c r="L203" t="n">
        <v>0</v>
      </c>
      <c r="M203" t="n">
        <v>0</v>
      </c>
      <c r="N203" t="n">
        <v>0</v>
      </c>
      <c r="O203" t="n">
        <v>0</v>
      </c>
      <c r="P203" t="n">
        <v>0</v>
      </c>
      <c r="Q203" t="n">
        <v>0</v>
      </c>
      <c r="R203" s="2" t="inlineStr"/>
    </row>
    <row r="204" ht="15" customHeight="1">
      <c r="A204" t="inlineStr">
        <is>
          <t>A 35136-2019</t>
        </is>
      </c>
      <c r="B204" s="1" t="n">
        <v>43661</v>
      </c>
      <c r="C204" s="1" t="n">
        <v>45626</v>
      </c>
      <c r="D204" t="inlineStr">
        <is>
          <t>DALARNAS LÄN</t>
        </is>
      </c>
      <c r="E204" t="inlineStr">
        <is>
          <t>ÄLVDALEN</t>
        </is>
      </c>
      <c r="G204" t="n">
        <v>0.8</v>
      </c>
      <c r="H204" t="n">
        <v>0</v>
      </c>
      <c r="I204" t="n">
        <v>0</v>
      </c>
      <c r="J204" t="n">
        <v>0</v>
      </c>
      <c r="K204" t="n">
        <v>0</v>
      </c>
      <c r="L204" t="n">
        <v>0</v>
      </c>
      <c r="M204" t="n">
        <v>0</v>
      </c>
      <c r="N204" t="n">
        <v>0</v>
      </c>
      <c r="O204" t="n">
        <v>0</v>
      </c>
      <c r="P204" t="n">
        <v>0</v>
      </c>
      <c r="Q204" t="n">
        <v>0</v>
      </c>
      <c r="R204" s="2" t="inlineStr"/>
    </row>
    <row r="205" ht="15" customHeight="1">
      <c r="A205" t="inlineStr">
        <is>
          <t>A 35463-2019</t>
        </is>
      </c>
      <c r="B205" s="1" t="n">
        <v>43663</v>
      </c>
      <c r="C205" s="1" t="n">
        <v>45626</v>
      </c>
      <c r="D205" t="inlineStr">
        <is>
          <t>DALARNAS LÄN</t>
        </is>
      </c>
      <c r="E205" t="inlineStr">
        <is>
          <t>ÄLVDALEN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35457-2019</t>
        </is>
      </c>
      <c r="B206" s="1" t="n">
        <v>43663</v>
      </c>
      <c r="C206" s="1" t="n">
        <v>45626</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35458-2019</t>
        </is>
      </c>
      <c r="B207" s="1" t="n">
        <v>43663</v>
      </c>
      <c r="C207" s="1" t="n">
        <v>45626</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35609-2019</t>
        </is>
      </c>
      <c r="B208" s="1" t="n">
        <v>43664</v>
      </c>
      <c r="C208" s="1" t="n">
        <v>45626</v>
      </c>
      <c r="D208" t="inlineStr">
        <is>
          <t>DALARNAS LÄN</t>
        </is>
      </c>
      <c r="E208" t="inlineStr">
        <is>
          <t>ÄLVDALEN</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35708-2019</t>
        </is>
      </c>
      <c r="B209" s="1" t="n">
        <v>43664</v>
      </c>
      <c r="C209" s="1" t="n">
        <v>45626</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35707-2019</t>
        </is>
      </c>
      <c r="B210" s="1" t="n">
        <v>43664</v>
      </c>
      <c r="C210" s="1" t="n">
        <v>45626</v>
      </c>
      <c r="D210" t="inlineStr">
        <is>
          <t>DALARNAS LÄN</t>
        </is>
      </c>
      <c r="E210" t="inlineStr">
        <is>
          <t>ÄLVDALEN</t>
        </is>
      </c>
      <c r="G210" t="n">
        <v>4.8</v>
      </c>
      <c r="H210" t="n">
        <v>0</v>
      </c>
      <c r="I210" t="n">
        <v>0</v>
      </c>
      <c r="J210" t="n">
        <v>0</v>
      </c>
      <c r="K210" t="n">
        <v>0</v>
      </c>
      <c r="L210" t="n">
        <v>0</v>
      </c>
      <c r="M210" t="n">
        <v>0</v>
      </c>
      <c r="N210" t="n">
        <v>0</v>
      </c>
      <c r="O210" t="n">
        <v>0</v>
      </c>
      <c r="P210" t="n">
        <v>0</v>
      </c>
      <c r="Q210" t="n">
        <v>0</v>
      </c>
      <c r="R210" s="2" t="inlineStr"/>
    </row>
    <row r="211" ht="15" customHeight="1">
      <c r="A211" t="inlineStr">
        <is>
          <t>A 36482-2019</t>
        </is>
      </c>
      <c r="B211" s="1" t="n">
        <v>43668</v>
      </c>
      <c r="C211" s="1" t="n">
        <v>45626</v>
      </c>
      <c r="D211" t="inlineStr">
        <is>
          <t>DALARNAS LÄN</t>
        </is>
      </c>
      <c r="E211" t="inlineStr">
        <is>
          <t>ÄLVDALEN</t>
        </is>
      </c>
      <c r="G211" t="n">
        <v>3</v>
      </c>
      <c r="H211" t="n">
        <v>0</v>
      </c>
      <c r="I211" t="n">
        <v>0</v>
      </c>
      <c r="J211" t="n">
        <v>0</v>
      </c>
      <c r="K211" t="n">
        <v>0</v>
      </c>
      <c r="L211" t="n">
        <v>0</v>
      </c>
      <c r="M211" t="n">
        <v>0</v>
      </c>
      <c r="N211" t="n">
        <v>0</v>
      </c>
      <c r="O211" t="n">
        <v>0</v>
      </c>
      <c r="P211" t="n">
        <v>0</v>
      </c>
      <c r="Q211" t="n">
        <v>0</v>
      </c>
      <c r="R211" s="2" t="inlineStr"/>
    </row>
    <row r="212" ht="15" customHeight="1">
      <c r="A212" t="inlineStr">
        <is>
          <t>A 36063-2019</t>
        </is>
      </c>
      <c r="B212" s="1" t="n">
        <v>43668</v>
      </c>
      <c r="C212" s="1" t="n">
        <v>45626</v>
      </c>
      <c r="D212" t="inlineStr">
        <is>
          <t>DALARNAS LÄN</t>
        </is>
      </c>
      <c r="E212" t="inlineStr">
        <is>
          <t>ÄLVDALEN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37645-2019</t>
        </is>
      </c>
      <c r="B213" s="1" t="n">
        <v>43682</v>
      </c>
      <c r="C213" s="1" t="n">
        <v>45626</v>
      </c>
      <c r="D213" t="inlineStr">
        <is>
          <t>DALARNAS LÄN</t>
        </is>
      </c>
      <c r="E213" t="inlineStr">
        <is>
          <t>ÄLVDALEN</t>
        </is>
      </c>
      <c r="G213" t="n">
        <v>2</v>
      </c>
      <c r="H213" t="n">
        <v>0</v>
      </c>
      <c r="I213" t="n">
        <v>0</v>
      </c>
      <c r="J213" t="n">
        <v>0</v>
      </c>
      <c r="K213" t="n">
        <v>0</v>
      </c>
      <c r="L213" t="n">
        <v>0</v>
      </c>
      <c r="M213" t="n">
        <v>0</v>
      </c>
      <c r="N213" t="n">
        <v>0</v>
      </c>
      <c r="O213" t="n">
        <v>0</v>
      </c>
      <c r="P213" t="n">
        <v>0</v>
      </c>
      <c r="Q213" t="n">
        <v>0</v>
      </c>
      <c r="R213" s="2" t="inlineStr"/>
    </row>
    <row r="214" ht="15" customHeight="1">
      <c r="A214" t="inlineStr">
        <is>
          <t>A 37939-2019</t>
        </is>
      </c>
      <c r="B214" s="1" t="n">
        <v>43683</v>
      </c>
      <c r="C214" s="1" t="n">
        <v>45626</v>
      </c>
      <c r="D214" t="inlineStr">
        <is>
          <t>DALARNAS LÄN</t>
        </is>
      </c>
      <c r="E214" t="inlineStr">
        <is>
          <t>ÄLVDALEN</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37991-2019</t>
        </is>
      </c>
      <c r="B215" s="1" t="n">
        <v>43683</v>
      </c>
      <c r="C215" s="1" t="n">
        <v>45626</v>
      </c>
      <c r="D215" t="inlineStr">
        <is>
          <t>DALARNAS LÄN</t>
        </is>
      </c>
      <c r="E215" t="inlineStr">
        <is>
          <t>ÄLVDALEN</t>
        </is>
      </c>
      <c r="G215" t="n">
        <v>5.8</v>
      </c>
      <c r="H215" t="n">
        <v>0</v>
      </c>
      <c r="I215" t="n">
        <v>0</v>
      </c>
      <c r="J215" t="n">
        <v>0</v>
      </c>
      <c r="K215" t="n">
        <v>0</v>
      </c>
      <c r="L215" t="n">
        <v>0</v>
      </c>
      <c r="M215" t="n">
        <v>0</v>
      </c>
      <c r="N215" t="n">
        <v>0</v>
      </c>
      <c r="O215" t="n">
        <v>0</v>
      </c>
      <c r="P215" t="n">
        <v>0</v>
      </c>
      <c r="Q215" t="n">
        <v>0</v>
      </c>
      <c r="R215" s="2" t="inlineStr"/>
    </row>
    <row r="216" ht="15" customHeight="1">
      <c r="A216" t="inlineStr">
        <is>
          <t>A 38039-2019</t>
        </is>
      </c>
      <c r="B216" s="1" t="n">
        <v>43683</v>
      </c>
      <c r="C216" s="1" t="n">
        <v>45626</v>
      </c>
      <c r="D216" t="inlineStr">
        <is>
          <t>DALARNAS LÄN</t>
        </is>
      </c>
      <c r="E216" t="inlineStr">
        <is>
          <t>ÄLVDALEN</t>
        </is>
      </c>
      <c r="F216" t="inlineStr">
        <is>
          <t>Övriga statliga verk och myndigheter</t>
        </is>
      </c>
      <c r="G216" t="n">
        <v>3.6</v>
      </c>
      <c r="H216" t="n">
        <v>0</v>
      </c>
      <c r="I216" t="n">
        <v>0</v>
      </c>
      <c r="J216" t="n">
        <v>0</v>
      </c>
      <c r="K216" t="n">
        <v>0</v>
      </c>
      <c r="L216" t="n">
        <v>0</v>
      </c>
      <c r="M216" t="n">
        <v>0</v>
      </c>
      <c r="N216" t="n">
        <v>0</v>
      </c>
      <c r="O216" t="n">
        <v>0</v>
      </c>
      <c r="P216" t="n">
        <v>0</v>
      </c>
      <c r="Q216" t="n">
        <v>0</v>
      </c>
      <c r="R216" s="2" t="inlineStr"/>
    </row>
    <row r="217" ht="15" customHeight="1">
      <c r="A217" t="inlineStr">
        <is>
          <t>A 38021-2019</t>
        </is>
      </c>
      <c r="B217" s="1" t="n">
        <v>43683</v>
      </c>
      <c r="C217" s="1" t="n">
        <v>45626</v>
      </c>
      <c r="D217" t="inlineStr">
        <is>
          <t>DALARNAS LÄN</t>
        </is>
      </c>
      <c r="E217" t="inlineStr">
        <is>
          <t>ÄLVDALEN</t>
        </is>
      </c>
      <c r="F217" t="inlineStr">
        <is>
          <t>Övriga statliga verk och myndigheter</t>
        </is>
      </c>
      <c r="G217" t="n">
        <v>4.7</v>
      </c>
      <c r="H217" t="n">
        <v>0</v>
      </c>
      <c r="I217" t="n">
        <v>0</v>
      </c>
      <c r="J217" t="n">
        <v>0</v>
      </c>
      <c r="K217" t="n">
        <v>0</v>
      </c>
      <c r="L217" t="n">
        <v>0</v>
      </c>
      <c r="M217" t="n">
        <v>0</v>
      </c>
      <c r="N217" t="n">
        <v>0</v>
      </c>
      <c r="O217" t="n">
        <v>0</v>
      </c>
      <c r="P217" t="n">
        <v>0</v>
      </c>
      <c r="Q217" t="n">
        <v>0</v>
      </c>
      <c r="R217" s="2" t="inlineStr"/>
    </row>
    <row r="218" ht="15" customHeight="1">
      <c r="A218" t="inlineStr">
        <is>
          <t>A 38864-2019</t>
        </is>
      </c>
      <c r="B218" s="1" t="n">
        <v>43689</v>
      </c>
      <c r="C218" s="1" t="n">
        <v>45626</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41242-2019</t>
        </is>
      </c>
      <c r="B219" s="1" t="n">
        <v>43698</v>
      </c>
      <c r="C219" s="1" t="n">
        <v>45626</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43540-2019</t>
        </is>
      </c>
      <c r="B220" s="1" t="n">
        <v>43706</v>
      </c>
      <c r="C220" s="1" t="n">
        <v>45626</v>
      </c>
      <c r="D220" t="inlineStr">
        <is>
          <t>DALARNAS LÄN</t>
        </is>
      </c>
      <c r="E220" t="inlineStr">
        <is>
          <t>ÄLVDALEN</t>
        </is>
      </c>
      <c r="G220" t="n">
        <v>1</v>
      </c>
      <c r="H220" t="n">
        <v>0</v>
      </c>
      <c r="I220" t="n">
        <v>0</v>
      </c>
      <c r="J220" t="n">
        <v>0</v>
      </c>
      <c r="K220" t="n">
        <v>0</v>
      </c>
      <c r="L220" t="n">
        <v>0</v>
      </c>
      <c r="M220" t="n">
        <v>0</v>
      </c>
      <c r="N220" t="n">
        <v>0</v>
      </c>
      <c r="O220" t="n">
        <v>0</v>
      </c>
      <c r="P220" t="n">
        <v>0</v>
      </c>
      <c r="Q220" t="n">
        <v>0</v>
      </c>
      <c r="R220" s="2" t="inlineStr"/>
    </row>
    <row r="221" ht="15" customHeight="1">
      <c r="A221" t="inlineStr">
        <is>
          <t>A 43543-2019</t>
        </is>
      </c>
      <c r="B221" s="1" t="n">
        <v>43706</v>
      </c>
      <c r="C221" s="1" t="n">
        <v>45626</v>
      </c>
      <c r="D221" t="inlineStr">
        <is>
          <t>DALARNAS LÄN</t>
        </is>
      </c>
      <c r="E221" t="inlineStr">
        <is>
          <t>ÄLVDALEN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46240-2019</t>
        </is>
      </c>
      <c r="B222" s="1" t="n">
        <v>43714</v>
      </c>
      <c r="C222" s="1" t="n">
        <v>45626</v>
      </c>
      <c r="D222" t="inlineStr">
        <is>
          <t>DALARNAS LÄN</t>
        </is>
      </c>
      <c r="E222" t="inlineStr">
        <is>
          <t>ÄLVDALEN</t>
        </is>
      </c>
      <c r="G222" t="n">
        <v>19.4</v>
      </c>
      <c r="H222" t="n">
        <v>0</v>
      </c>
      <c r="I222" t="n">
        <v>0</v>
      </c>
      <c r="J222" t="n">
        <v>0</v>
      </c>
      <c r="K222" t="n">
        <v>0</v>
      </c>
      <c r="L222" t="n">
        <v>0</v>
      </c>
      <c r="M222" t="n">
        <v>0</v>
      </c>
      <c r="N222" t="n">
        <v>0</v>
      </c>
      <c r="O222" t="n">
        <v>0</v>
      </c>
      <c r="P222" t="n">
        <v>0</v>
      </c>
      <c r="Q222" t="n">
        <v>0</v>
      </c>
      <c r="R222" s="2" t="inlineStr"/>
    </row>
    <row r="223" ht="15" customHeight="1">
      <c r="A223" t="inlineStr">
        <is>
          <t>A 49014-2019</t>
        </is>
      </c>
      <c r="B223" s="1" t="n">
        <v>43731</v>
      </c>
      <c r="C223" s="1" t="n">
        <v>45626</v>
      </c>
      <c r="D223" t="inlineStr">
        <is>
          <t>DALARNAS LÄN</t>
        </is>
      </c>
      <c r="E223" t="inlineStr">
        <is>
          <t>ÄLVDALEN</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49230-2019</t>
        </is>
      </c>
      <c r="B224" s="1" t="n">
        <v>43731</v>
      </c>
      <c r="C224" s="1" t="n">
        <v>45626</v>
      </c>
      <c r="D224" t="inlineStr">
        <is>
          <t>DALARNAS LÄN</t>
        </is>
      </c>
      <c r="E224" t="inlineStr">
        <is>
          <t>ÄLVDALEN</t>
        </is>
      </c>
      <c r="F224" t="inlineStr">
        <is>
          <t>Allmännings- och besparingsskogar</t>
        </is>
      </c>
      <c r="G224" t="n">
        <v>11.9</v>
      </c>
      <c r="H224" t="n">
        <v>0</v>
      </c>
      <c r="I224" t="n">
        <v>0</v>
      </c>
      <c r="J224" t="n">
        <v>0</v>
      </c>
      <c r="K224" t="n">
        <v>0</v>
      </c>
      <c r="L224" t="n">
        <v>0</v>
      </c>
      <c r="M224" t="n">
        <v>0</v>
      </c>
      <c r="N224" t="n">
        <v>0</v>
      </c>
      <c r="O224" t="n">
        <v>0</v>
      </c>
      <c r="P224" t="n">
        <v>0</v>
      </c>
      <c r="Q224" t="n">
        <v>0</v>
      </c>
      <c r="R224" s="2" t="inlineStr"/>
    </row>
    <row r="225" ht="15" customHeight="1">
      <c r="A225" t="inlineStr">
        <is>
          <t>A 50431-2019</t>
        </is>
      </c>
      <c r="B225" s="1" t="n">
        <v>43735</v>
      </c>
      <c r="C225" s="1" t="n">
        <v>45626</v>
      </c>
      <c r="D225" t="inlineStr">
        <is>
          <t>DALARNAS LÄN</t>
        </is>
      </c>
      <c r="E225" t="inlineStr">
        <is>
          <t>ÄLVDALEN</t>
        </is>
      </c>
      <c r="G225" t="n">
        <v>2.5</v>
      </c>
      <c r="H225" t="n">
        <v>0</v>
      </c>
      <c r="I225" t="n">
        <v>0</v>
      </c>
      <c r="J225" t="n">
        <v>0</v>
      </c>
      <c r="K225" t="n">
        <v>0</v>
      </c>
      <c r="L225" t="n">
        <v>0</v>
      </c>
      <c r="M225" t="n">
        <v>0</v>
      </c>
      <c r="N225" t="n">
        <v>0</v>
      </c>
      <c r="O225" t="n">
        <v>0</v>
      </c>
      <c r="P225" t="n">
        <v>0</v>
      </c>
      <c r="Q225" t="n">
        <v>0</v>
      </c>
      <c r="R225" s="2" t="inlineStr"/>
    </row>
    <row r="226" ht="15" customHeight="1">
      <c r="A226" t="inlineStr">
        <is>
          <t>A 50669-2019</t>
        </is>
      </c>
      <c r="B226" s="1" t="n">
        <v>43737</v>
      </c>
      <c r="C226" s="1" t="n">
        <v>45626</v>
      </c>
      <c r="D226" t="inlineStr">
        <is>
          <t>DALARNAS LÄN</t>
        </is>
      </c>
      <c r="E226" t="inlineStr">
        <is>
          <t>ÄLVDALEN</t>
        </is>
      </c>
      <c r="G226" t="n">
        <v>6.1</v>
      </c>
      <c r="H226" t="n">
        <v>0</v>
      </c>
      <c r="I226" t="n">
        <v>0</v>
      </c>
      <c r="J226" t="n">
        <v>0</v>
      </c>
      <c r="K226" t="n">
        <v>0</v>
      </c>
      <c r="L226" t="n">
        <v>0</v>
      </c>
      <c r="M226" t="n">
        <v>0</v>
      </c>
      <c r="N226" t="n">
        <v>0</v>
      </c>
      <c r="O226" t="n">
        <v>0</v>
      </c>
      <c r="P226" t="n">
        <v>0</v>
      </c>
      <c r="Q226" t="n">
        <v>0</v>
      </c>
      <c r="R226" s="2" t="inlineStr"/>
    </row>
    <row r="227" ht="15" customHeight="1">
      <c r="A227" t="inlineStr">
        <is>
          <t>A 50670-2019</t>
        </is>
      </c>
      <c r="B227" s="1" t="n">
        <v>43738</v>
      </c>
      <c r="C227" s="1" t="n">
        <v>45626</v>
      </c>
      <c r="D227" t="inlineStr">
        <is>
          <t>DALARNAS LÄN</t>
        </is>
      </c>
      <c r="E227" t="inlineStr">
        <is>
          <t>ÄLVDALEN</t>
        </is>
      </c>
      <c r="G227" t="n">
        <v>8.1</v>
      </c>
      <c r="H227" t="n">
        <v>0</v>
      </c>
      <c r="I227" t="n">
        <v>0</v>
      </c>
      <c r="J227" t="n">
        <v>0</v>
      </c>
      <c r="K227" t="n">
        <v>0</v>
      </c>
      <c r="L227" t="n">
        <v>0</v>
      </c>
      <c r="M227" t="n">
        <v>0</v>
      </c>
      <c r="N227" t="n">
        <v>0</v>
      </c>
      <c r="O227" t="n">
        <v>0</v>
      </c>
      <c r="P227" t="n">
        <v>0</v>
      </c>
      <c r="Q227" t="n">
        <v>0</v>
      </c>
      <c r="R227" s="2" t="inlineStr"/>
    </row>
    <row r="228" ht="15" customHeight="1">
      <c r="A228" t="inlineStr">
        <is>
          <t>A 51354-2019</t>
        </is>
      </c>
      <c r="B228" s="1" t="n">
        <v>43740</v>
      </c>
      <c r="C228" s="1" t="n">
        <v>45626</v>
      </c>
      <c r="D228" t="inlineStr">
        <is>
          <t>DALARNAS LÄN</t>
        </is>
      </c>
      <c r="E228" t="inlineStr">
        <is>
          <t>ÄLVDALEN</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51798-2019</t>
        </is>
      </c>
      <c r="B229" s="1" t="n">
        <v>43741</v>
      </c>
      <c r="C229" s="1" t="n">
        <v>45626</v>
      </c>
      <c r="D229" t="inlineStr">
        <is>
          <t>DALARNAS LÄN</t>
        </is>
      </c>
      <c r="E229" t="inlineStr">
        <is>
          <t>ÄLVDALEN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52131-2019</t>
        </is>
      </c>
      <c r="B230" s="1" t="n">
        <v>43742</v>
      </c>
      <c r="C230" s="1" t="n">
        <v>45626</v>
      </c>
      <c r="D230" t="inlineStr">
        <is>
          <t>DALARNAS LÄN</t>
        </is>
      </c>
      <c r="E230" t="inlineStr">
        <is>
          <t>ÄLVDALEN</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52466-2019</t>
        </is>
      </c>
      <c r="B231" s="1" t="n">
        <v>43745</v>
      </c>
      <c r="C231" s="1" t="n">
        <v>45626</v>
      </c>
      <c r="D231" t="inlineStr">
        <is>
          <t>DALARNAS LÄN</t>
        </is>
      </c>
      <c r="E231" t="inlineStr">
        <is>
          <t>ÄLVDALEN</t>
        </is>
      </c>
      <c r="G231" t="n">
        <v>2.8</v>
      </c>
      <c r="H231" t="n">
        <v>0</v>
      </c>
      <c r="I231" t="n">
        <v>0</v>
      </c>
      <c r="J231" t="n">
        <v>0</v>
      </c>
      <c r="K231" t="n">
        <v>0</v>
      </c>
      <c r="L231" t="n">
        <v>0</v>
      </c>
      <c r="M231" t="n">
        <v>0</v>
      </c>
      <c r="N231" t="n">
        <v>0</v>
      </c>
      <c r="O231" t="n">
        <v>0</v>
      </c>
      <c r="P231" t="n">
        <v>0</v>
      </c>
      <c r="Q231" t="n">
        <v>0</v>
      </c>
      <c r="R231" s="2" t="inlineStr"/>
    </row>
    <row r="232" ht="15" customHeight="1">
      <c r="A232" t="inlineStr">
        <is>
          <t>A 55649-2019</t>
        </is>
      </c>
      <c r="B232" s="1" t="n">
        <v>43760</v>
      </c>
      <c r="C232" s="1" t="n">
        <v>45626</v>
      </c>
      <c r="D232" t="inlineStr">
        <is>
          <t>DALARNAS LÄN</t>
        </is>
      </c>
      <c r="E232" t="inlineStr">
        <is>
          <t>ÄLVDALEN</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59488-2019</t>
        </is>
      </c>
      <c r="B233" s="1" t="n">
        <v>43776</v>
      </c>
      <c r="C233" s="1" t="n">
        <v>45626</v>
      </c>
      <c r="D233" t="inlineStr">
        <is>
          <t>DALARNAS LÄN</t>
        </is>
      </c>
      <c r="E233" t="inlineStr">
        <is>
          <t>ÄLVDALEN</t>
        </is>
      </c>
      <c r="F233" t="inlineStr">
        <is>
          <t>Bergvik skog väst AB</t>
        </is>
      </c>
      <c r="G233" t="n">
        <v>7.2</v>
      </c>
      <c r="H233" t="n">
        <v>0</v>
      </c>
      <c r="I233" t="n">
        <v>0</v>
      </c>
      <c r="J233" t="n">
        <v>0</v>
      </c>
      <c r="K233" t="n">
        <v>0</v>
      </c>
      <c r="L233" t="n">
        <v>0</v>
      </c>
      <c r="M233" t="n">
        <v>0</v>
      </c>
      <c r="N233" t="n">
        <v>0</v>
      </c>
      <c r="O233" t="n">
        <v>0</v>
      </c>
      <c r="P233" t="n">
        <v>0</v>
      </c>
      <c r="Q233" t="n">
        <v>0</v>
      </c>
      <c r="R233" s="2" t="inlineStr"/>
    </row>
    <row r="234" ht="15" customHeight="1">
      <c r="A234" t="inlineStr">
        <is>
          <t>A 59846-2019</t>
        </is>
      </c>
      <c r="B234" s="1" t="n">
        <v>43777</v>
      </c>
      <c r="C234" s="1" t="n">
        <v>45626</v>
      </c>
      <c r="D234" t="inlineStr">
        <is>
          <t>DALARNAS LÄN</t>
        </is>
      </c>
      <c r="E234" t="inlineStr">
        <is>
          <t>ÄLVDALEN</t>
        </is>
      </c>
      <c r="G234" t="n">
        <v>3.4</v>
      </c>
      <c r="H234" t="n">
        <v>0</v>
      </c>
      <c r="I234" t="n">
        <v>0</v>
      </c>
      <c r="J234" t="n">
        <v>0</v>
      </c>
      <c r="K234" t="n">
        <v>0</v>
      </c>
      <c r="L234" t="n">
        <v>0</v>
      </c>
      <c r="M234" t="n">
        <v>0</v>
      </c>
      <c r="N234" t="n">
        <v>0</v>
      </c>
      <c r="O234" t="n">
        <v>0</v>
      </c>
      <c r="P234" t="n">
        <v>0</v>
      </c>
      <c r="Q234" t="n">
        <v>0</v>
      </c>
      <c r="R234" s="2" t="inlineStr"/>
    </row>
    <row r="235" ht="15" customHeight="1">
      <c r="A235" t="inlineStr">
        <is>
          <t>A 59959-2019</t>
        </is>
      </c>
      <c r="B235" s="1" t="n">
        <v>43777</v>
      </c>
      <c r="C235" s="1" t="n">
        <v>45626</v>
      </c>
      <c r="D235" t="inlineStr">
        <is>
          <t>DALARNAS LÄN</t>
        </is>
      </c>
      <c r="E235" t="inlineStr">
        <is>
          <t>ÄLVDALEN</t>
        </is>
      </c>
      <c r="F235" t="inlineStr">
        <is>
          <t>Allmännings- och besparingsskogar</t>
        </is>
      </c>
      <c r="G235" t="n">
        <v>3.1</v>
      </c>
      <c r="H235" t="n">
        <v>0</v>
      </c>
      <c r="I235" t="n">
        <v>0</v>
      </c>
      <c r="J235" t="n">
        <v>0</v>
      </c>
      <c r="K235" t="n">
        <v>0</v>
      </c>
      <c r="L235" t="n">
        <v>0</v>
      </c>
      <c r="M235" t="n">
        <v>0</v>
      </c>
      <c r="N235" t="n">
        <v>0</v>
      </c>
      <c r="O235" t="n">
        <v>0</v>
      </c>
      <c r="P235" t="n">
        <v>0</v>
      </c>
      <c r="Q235" t="n">
        <v>0</v>
      </c>
      <c r="R235" s="2" t="inlineStr"/>
    </row>
    <row r="236" ht="15" customHeight="1">
      <c r="A236" t="inlineStr">
        <is>
          <t>A 59947-2019</t>
        </is>
      </c>
      <c r="B236" s="1" t="n">
        <v>43777</v>
      </c>
      <c r="C236" s="1" t="n">
        <v>45626</v>
      </c>
      <c r="D236" t="inlineStr">
        <is>
          <t>DALARNAS LÄN</t>
        </is>
      </c>
      <c r="E236" t="inlineStr">
        <is>
          <t>ÄLVDALEN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59957-2019</t>
        </is>
      </c>
      <c r="B237" s="1" t="n">
        <v>43777</v>
      </c>
      <c r="C237" s="1" t="n">
        <v>45626</v>
      </c>
      <c r="D237" t="inlineStr">
        <is>
          <t>DALARNAS LÄN</t>
        </is>
      </c>
      <c r="E237" t="inlineStr">
        <is>
          <t>ÄLVDALEN</t>
        </is>
      </c>
      <c r="G237" t="n">
        <v>4.5</v>
      </c>
      <c r="H237" t="n">
        <v>0</v>
      </c>
      <c r="I237" t="n">
        <v>0</v>
      </c>
      <c r="J237" t="n">
        <v>0</v>
      </c>
      <c r="K237" t="n">
        <v>0</v>
      </c>
      <c r="L237" t="n">
        <v>0</v>
      </c>
      <c r="M237" t="n">
        <v>0</v>
      </c>
      <c r="N237" t="n">
        <v>0</v>
      </c>
      <c r="O237" t="n">
        <v>0</v>
      </c>
      <c r="P237" t="n">
        <v>0</v>
      </c>
      <c r="Q237" t="n">
        <v>0</v>
      </c>
      <c r="R237" s="2" t="inlineStr"/>
    </row>
    <row r="238" ht="15" customHeight="1">
      <c r="A238" t="inlineStr">
        <is>
          <t>A 60345-2019</t>
        </is>
      </c>
      <c r="B238" s="1" t="n">
        <v>43780</v>
      </c>
      <c r="C238" s="1" t="n">
        <v>45626</v>
      </c>
      <c r="D238" t="inlineStr">
        <is>
          <t>DALARNAS LÄN</t>
        </is>
      </c>
      <c r="E238" t="inlineStr">
        <is>
          <t>ÄLVDALEN</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61262-2019</t>
        </is>
      </c>
      <c r="B239" s="1" t="n">
        <v>43783</v>
      </c>
      <c r="C239" s="1" t="n">
        <v>45626</v>
      </c>
      <c r="D239" t="inlineStr">
        <is>
          <t>DALARNAS LÄN</t>
        </is>
      </c>
      <c r="E239" t="inlineStr">
        <is>
          <t>ÄLVDALEN</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61235-2019</t>
        </is>
      </c>
      <c r="B240" s="1" t="n">
        <v>43783</v>
      </c>
      <c r="C240" s="1" t="n">
        <v>45626</v>
      </c>
      <c r="D240" t="inlineStr">
        <is>
          <t>DALARNAS LÄN</t>
        </is>
      </c>
      <c r="E240" t="inlineStr">
        <is>
          <t>ÄLVDALEN</t>
        </is>
      </c>
      <c r="F240" t="inlineStr">
        <is>
          <t>Bergvik skog väst AB</t>
        </is>
      </c>
      <c r="G240" t="n">
        <v>9</v>
      </c>
      <c r="H240" t="n">
        <v>0</v>
      </c>
      <c r="I240" t="n">
        <v>0</v>
      </c>
      <c r="J240" t="n">
        <v>0</v>
      </c>
      <c r="K240" t="n">
        <v>0</v>
      </c>
      <c r="L240" t="n">
        <v>0</v>
      </c>
      <c r="M240" t="n">
        <v>0</v>
      </c>
      <c r="N240" t="n">
        <v>0</v>
      </c>
      <c r="O240" t="n">
        <v>0</v>
      </c>
      <c r="P240" t="n">
        <v>0</v>
      </c>
      <c r="Q240" t="n">
        <v>0</v>
      </c>
      <c r="R240" s="2" t="inlineStr"/>
    </row>
    <row r="241" ht="15" customHeight="1">
      <c r="A241" t="inlineStr">
        <is>
          <t>A 61312-2019</t>
        </is>
      </c>
      <c r="B241" s="1" t="n">
        <v>43783</v>
      </c>
      <c r="C241" s="1" t="n">
        <v>45626</v>
      </c>
      <c r="D241" t="inlineStr">
        <is>
          <t>DALARNAS LÄN</t>
        </is>
      </c>
      <c r="E241" t="inlineStr">
        <is>
          <t>ÄLVDALEN</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61303-2019</t>
        </is>
      </c>
      <c r="B242" s="1" t="n">
        <v>43783</v>
      </c>
      <c r="C242" s="1" t="n">
        <v>45626</v>
      </c>
      <c r="D242" t="inlineStr">
        <is>
          <t>DALARNAS LÄN</t>
        </is>
      </c>
      <c r="E242" t="inlineStr">
        <is>
          <t>ÄLVDALEN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62630-2019</t>
        </is>
      </c>
      <c r="B243" s="1" t="n">
        <v>43789</v>
      </c>
      <c r="C243" s="1" t="n">
        <v>45626</v>
      </c>
      <c r="D243" t="inlineStr">
        <is>
          <t>DALARNAS LÄN</t>
        </is>
      </c>
      <c r="E243" t="inlineStr">
        <is>
          <t>ÄLVDALEN</t>
        </is>
      </c>
      <c r="G243" t="n">
        <v>7.2</v>
      </c>
      <c r="H243" t="n">
        <v>0</v>
      </c>
      <c r="I243" t="n">
        <v>0</v>
      </c>
      <c r="J243" t="n">
        <v>0</v>
      </c>
      <c r="K243" t="n">
        <v>0</v>
      </c>
      <c r="L243" t="n">
        <v>0</v>
      </c>
      <c r="M243" t="n">
        <v>0</v>
      </c>
      <c r="N243" t="n">
        <v>0</v>
      </c>
      <c r="O243" t="n">
        <v>0</v>
      </c>
      <c r="P243" t="n">
        <v>0</v>
      </c>
      <c r="Q243" t="n">
        <v>0</v>
      </c>
      <c r="R243" s="2" t="inlineStr"/>
    </row>
    <row r="244" ht="15" customHeight="1">
      <c r="A244" t="inlineStr">
        <is>
          <t>A 62691-2019</t>
        </is>
      </c>
      <c r="B244" s="1" t="n">
        <v>43789</v>
      </c>
      <c r="C244" s="1" t="n">
        <v>45626</v>
      </c>
      <c r="D244" t="inlineStr">
        <is>
          <t>DALARNAS LÄN</t>
        </is>
      </c>
      <c r="E244" t="inlineStr">
        <is>
          <t>ÄLVDALEN</t>
        </is>
      </c>
      <c r="G244" t="n">
        <v>1.4</v>
      </c>
      <c r="H244" t="n">
        <v>0</v>
      </c>
      <c r="I244" t="n">
        <v>0</v>
      </c>
      <c r="J244" t="n">
        <v>0</v>
      </c>
      <c r="K244" t="n">
        <v>0</v>
      </c>
      <c r="L244" t="n">
        <v>0</v>
      </c>
      <c r="M244" t="n">
        <v>0</v>
      </c>
      <c r="N244" t="n">
        <v>0</v>
      </c>
      <c r="O244" t="n">
        <v>0</v>
      </c>
      <c r="P244" t="n">
        <v>0</v>
      </c>
      <c r="Q244" t="n">
        <v>0</v>
      </c>
      <c r="R244" s="2" t="inlineStr"/>
    </row>
    <row r="245" ht="15" customHeight="1">
      <c r="A245" t="inlineStr">
        <is>
          <t>A 63161-2019</t>
        </is>
      </c>
      <c r="B245" s="1" t="n">
        <v>43791</v>
      </c>
      <c r="C245" s="1" t="n">
        <v>45626</v>
      </c>
      <c r="D245" t="inlineStr">
        <is>
          <t>DALARNAS LÄN</t>
        </is>
      </c>
      <c r="E245" t="inlineStr">
        <is>
          <t>ÄLVDALEN</t>
        </is>
      </c>
      <c r="G245" t="n">
        <v>2.6</v>
      </c>
      <c r="H245" t="n">
        <v>0</v>
      </c>
      <c r="I245" t="n">
        <v>0</v>
      </c>
      <c r="J245" t="n">
        <v>0</v>
      </c>
      <c r="K245" t="n">
        <v>0</v>
      </c>
      <c r="L245" t="n">
        <v>0</v>
      </c>
      <c r="M245" t="n">
        <v>0</v>
      </c>
      <c r="N245" t="n">
        <v>0</v>
      </c>
      <c r="O245" t="n">
        <v>0</v>
      </c>
      <c r="P245" t="n">
        <v>0</v>
      </c>
      <c r="Q245" t="n">
        <v>0</v>
      </c>
      <c r="R245" s="2" t="inlineStr"/>
    </row>
    <row r="246" ht="15" customHeight="1">
      <c r="A246" t="inlineStr">
        <is>
          <t>A 63242-2019</t>
        </is>
      </c>
      <c r="B246" s="1" t="n">
        <v>43792</v>
      </c>
      <c r="C246" s="1" t="n">
        <v>45626</v>
      </c>
      <c r="D246" t="inlineStr">
        <is>
          <t>DALARNAS LÄN</t>
        </is>
      </c>
      <c r="E246" t="inlineStr">
        <is>
          <t>ÄLVDALEN</t>
        </is>
      </c>
      <c r="G246" t="n">
        <v>2.1</v>
      </c>
      <c r="H246" t="n">
        <v>0</v>
      </c>
      <c r="I246" t="n">
        <v>0</v>
      </c>
      <c r="J246" t="n">
        <v>0</v>
      </c>
      <c r="K246" t="n">
        <v>0</v>
      </c>
      <c r="L246" t="n">
        <v>0</v>
      </c>
      <c r="M246" t="n">
        <v>0</v>
      </c>
      <c r="N246" t="n">
        <v>0</v>
      </c>
      <c r="O246" t="n">
        <v>0</v>
      </c>
      <c r="P246" t="n">
        <v>0</v>
      </c>
      <c r="Q246" t="n">
        <v>0</v>
      </c>
      <c r="R246" s="2" t="inlineStr"/>
    </row>
    <row r="247" ht="15" customHeight="1">
      <c r="A247" t="inlineStr">
        <is>
          <t>A 63470-2019</t>
        </is>
      </c>
      <c r="B247" s="1" t="n">
        <v>43794</v>
      </c>
      <c r="C247" s="1" t="n">
        <v>45626</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63536-2019</t>
        </is>
      </c>
      <c r="B248" s="1" t="n">
        <v>43794</v>
      </c>
      <c r="C248" s="1" t="n">
        <v>45626</v>
      </c>
      <c r="D248" t="inlineStr">
        <is>
          <t>DALARNAS LÄN</t>
        </is>
      </c>
      <c r="E248" t="inlineStr">
        <is>
          <t>ÄLVDALEN</t>
        </is>
      </c>
      <c r="G248" t="n">
        <v>10.5</v>
      </c>
      <c r="H248" t="n">
        <v>0</v>
      </c>
      <c r="I248" t="n">
        <v>0</v>
      </c>
      <c r="J248" t="n">
        <v>0</v>
      </c>
      <c r="K248" t="n">
        <v>0</v>
      </c>
      <c r="L248" t="n">
        <v>0</v>
      </c>
      <c r="M248" t="n">
        <v>0</v>
      </c>
      <c r="N248" t="n">
        <v>0</v>
      </c>
      <c r="O248" t="n">
        <v>0</v>
      </c>
      <c r="P248" t="n">
        <v>0</v>
      </c>
      <c r="Q248" t="n">
        <v>0</v>
      </c>
      <c r="R248" s="2" t="inlineStr"/>
    </row>
    <row r="249" ht="15" customHeight="1">
      <c r="A249" t="inlineStr">
        <is>
          <t>A 63787-2019</t>
        </is>
      </c>
      <c r="B249" s="1" t="n">
        <v>43795</v>
      </c>
      <c r="C249" s="1" t="n">
        <v>45626</v>
      </c>
      <c r="D249" t="inlineStr">
        <is>
          <t>DALARNAS LÄN</t>
        </is>
      </c>
      <c r="E249" t="inlineStr">
        <is>
          <t>ÄLVDALEN</t>
        </is>
      </c>
      <c r="F249" t="inlineStr">
        <is>
          <t>Sveaskog</t>
        </is>
      </c>
      <c r="G249" t="n">
        <v>14.1</v>
      </c>
      <c r="H249" t="n">
        <v>0</v>
      </c>
      <c r="I249" t="n">
        <v>0</v>
      </c>
      <c r="J249" t="n">
        <v>0</v>
      </c>
      <c r="K249" t="n">
        <v>0</v>
      </c>
      <c r="L249" t="n">
        <v>0</v>
      </c>
      <c r="M249" t="n">
        <v>0</v>
      </c>
      <c r="N249" t="n">
        <v>0</v>
      </c>
      <c r="O249" t="n">
        <v>0</v>
      </c>
      <c r="P249" t="n">
        <v>0</v>
      </c>
      <c r="Q249" t="n">
        <v>0</v>
      </c>
      <c r="R249" s="2" t="inlineStr"/>
    </row>
    <row r="250" ht="15" customHeight="1">
      <c r="A250" t="inlineStr">
        <is>
          <t>A 65980-2019</t>
        </is>
      </c>
      <c r="B250" s="1" t="n">
        <v>43805</v>
      </c>
      <c r="C250" s="1" t="n">
        <v>45626</v>
      </c>
      <c r="D250" t="inlineStr">
        <is>
          <t>DALARNAS LÄN</t>
        </is>
      </c>
      <c r="E250" t="inlineStr">
        <is>
          <t>ÄLVDALEN</t>
        </is>
      </c>
      <c r="G250" t="n">
        <v>0.4</v>
      </c>
      <c r="H250" t="n">
        <v>0</v>
      </c>
      <c r="I250" t="n">
        <v>0</v>
      </c>
      <c r="J250" t="n">
        <v>0</v>
      </c>
      <c r="K250" t="n">
        <v>0</v>
      </c>
      <c r="L250" t="n">
        <v>0</v>
      </c>
      <c r="M250" t="n">
        <v>0</v>
      </c>
      <c r="N250" t="n">
        <v>0</v>
      </c>
      <c r="O250" t="n">
        <v>0</v>
      </c>
      <c r="P250" t="n">
        <v>0</v>
      </c>
      <c r="Q250" t="n">
        <v>0</v>
      </c>
      <c r="R250" s="2" t="inlineStr"/>
    </row>
    <row r="251" ht="15" customHeight="1">
      <c r="A251" t="inlineStr">
        <is>
          <t>A 68854-2019</t>
        </is>
      </c>
      <c r="B251" s="1" t="n">
        <v>43820</v>
      </c>
      <c r="C251" s="1" t="n">
        <v>45626</v>
      </c>
      <c r="D251" t="inlineStr">
        <is>
          <t>DALARNAS LÄN</t>
        </is>
      </c>
      <c r="E251" t="inlineStr">
        <is>
          <t>ÄLVDALEN</t>
        </is>
      </c>
      <c r="G251" t="n">
        <v>1.6</v>
      </c>
      <c r="H251" t="n">
        <v>0</v>
      </c>
      <c r="I251" t="n">
        <v>0</v>
      </c>
      <c r="J251" t="n">
        <v>0</v>
      </c>
      <c r="K251" t="n">
        <v>0</v>
      </c>
      <c r="L251" t="n">
        <v>0</v>
      </c>
      <c r="M251" t="n">
        <v>0</v>
      </c>
      <c r="N251" t="n">
        <v>0</v>
      </c>
      <c r="O251" t="n">
        <v>0</v>
      </c>
      <c r="P251" t="n">
        <v>0</v>
      </c>
      <c r="Q251" t="n">
        <v>0</v>
      </c>
      <c r="R251" s="2" t="inlineStr"/>
    </row>
    <row r="252" ht="15" customHeight="1">
      <c r="A252" t="inlineStr">
        <is>
          <t>A 68936-2019</t>
        </is>
      </c>
      <c r="B252" s="1" t="n">
        <v>43822</v>
      </c>
      <c r="C252" s="1" t="n">
        <v>45626</v>
      </c>
      <c r="D252" t="inlineStr">
        <is>
          <t>DALARNAS LÄN</t>
        </is>
      </c>
      <c r="E252" t="inlineStr">
        <is>
          <t>ÄLVDALEN</t>
        </is>
      </c>
      <c r="G252" t="n">
        <v>3.5</v>
      </c>
      <c r="H252" t="n">
        <v>0</v>
      </c>
      <c r="I252" t="n">
        <v>0</v>
      </c>
      <c r="J252" t="n">
        <v>0</v>
      </c>
      <c r="K252" t="n">
        <v>0</v>
      </c>
      <c r="L252" t="n">
        <v>0</v>
      </c>
      <c r="M252" t="n">
        <v>0</v>
      </c>
      <c r="N252" t="n">
        <v>0</v>
      </c>
      <c r="O252" t="n">
        <v>0</v>
      </c>
      <c r="P252" t="n">
        <v>0</v>
      </c>
      <c r="Q252" t="n">
        <v>0</v>
      </c>
      <c r="R252" s="2" t="inlineStr"/>
    </row>
    <row r="253" ht="15" customHeight="1">
      <c r="A253" t="inlineStr">
        <is>
          <t>A 2050-2020</t>
        </is>
      </c>
      <c r="B253" s="1" t="n">
        <v>43845</v>
      </c>
      <c r="C253" s="1" t="n">
        <v>45626</v>
      </c>
      <c r="D253" t="inlineStr">
        <is>
          <t>DALARNAS LÄN</t>
        </is>
      </c>
      <c r="E253" t="inlineStr">
        <is>
          <t>ÄLVDALEN</t>
        </is>
      </c>
      <c r="G253" t="n">
        <v>9.5</v>
      </c>
      <c r="H253" t="n">
        <v>0</v>
      </c>
      <c r="I253" t="n">
        <v>0</v>
      </c>
      <c r="J253" t="n">
        <v>0</v>
      </c>
      <c r="K253" t="n">
        <v>0</v>
      </c>
      <c r="L253" t="n">
        <v>0</v>
      </c>
      <c r="M253" t="n">
        <v>0</v>
      </c>
      <c r="N253" t="n">
        <v>0</v>
      </c>
      <c r="O253" t="n">
        <v>0</v>
      </c>
      <c r="P253" t="n">
        <v>0</v>
      </c>
      <c r="Q253" t="n">
        <v>0</v>
      </c>
      <c r="R253" s="2" t="inlineStr"/>
    </row>
    <row r="254" ht="15" customHeight="1">
      <c r="A254" t="inlineStr">
        <is>
          <t>A 3301-2020</t>
        </is>
      </c>
      <c r="B254" s="1" t="n">
        <v>43852</v>
      </c>
      <c r="C254" s="1" t="n">
        <v>45626</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3917-2020</t>
        </is>
      </c>
      <c r="B255" s="1" t="n">
        <v>43854</v>
      </c>
      <c r="C255" s="1" t="n">
        <v>45626</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6317-2020</t>
        </is>
      </c>
      <c r="B256" s="1" t="n">
        <v>43866</v>
      </c>
      <c r="C256" s="1" t="n">
        <v>45626</v>
      </c>
      <c r="D256" t="inlineStr">
        <is>
          <t>DALARNAS LÄN</t>
        </is>
      </c>
      <c r="E256" t="inlineStr">
        <is>
          <t>ÄLVDALEN</t>
        </is>
      </c>
      <c r="G256" t="n">
        <v>2.8</v>
      </c>
      <c r="H256" t="n">
        <v>0</v>
      </c>
      <c r="I256" t="n">
        <v>0</v>
      </c>
      <c r="J256" t="n">
        <v>0</v>
      </c>
      <c r="K256" t="n">
        <v>0</v>
      </c>
      <c r="L256" t="n">
        <v>0</v>
      </c>
      <c r="M256" t="n">
        <v>0</v>
      </c>
      <c r="N256" t="n">
        <v>0</v>
      </c>
      <c r="O256" t="n">
        <v>0</v>
      </c>
      <c r="P256" t="n">
        <v>0</v>
      </c>
      <c r="Q256" t="n">
        <v>0</v>
      </c>
      <c r="R256" s="2" t="inlineStr"/>
    </row>
    <row r="257" ht="15" customHeight="1">
      <c r="A257" t="inlineStr">
        <is>
          <t>A 6319-2020</t>
        </is>
      </c>
      <c r="B257" s="1" t="n">
        <v>43866</v>
      </c>
      <c r="C257" s="1" t="n">
        <v>45626</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8751-2020</t>
        </is>
      </c>
      <c r="B258" s="1" t="n">
        <v>43878</v>
      </c>
      <c r="C258" s="1" t="n">
        <v>45626</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8864-2020</t>
        </is>
      </c>
      <c r="B259" s="1" t="n">
        <v>43878</v>
      </c>
      <c r="C259" s="1" t="n">
        <v>45626</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10047-2020</t>
        </is>
      </c>
      <c r="B260" s="1" t="n">
        <v>43882</v>
      </c>
      <c r="C260" s="1" t="n">
        <v>45626</v>
      </c>
      <c r="D260" t="inlineStr">
        <is>
          <t>DALARNAS LÄN</t>
        </is>
      </c>
      <c r="E260" t="inlineStr">
        <is>
          <t>ÄLVDALEN</t>
        </is>
      </c>
      <c r="G260" t="n">
        <v>5.7</v>
      </c>
      <c r="H260" t="n">
        <v>0</v>
      </c>
      <c r="I260" t="n">
        <v>0</v>
      </c>
      <c r="J260" t="n">
        <v>0</v>
      </c>
      <c r="K260" t="n">
        <v>0</v>
      </c>
      <c r="L260" t="n">
        <v>0</v>
      </c>
      <c r="M260" t="n">
        <v>0</v>
      </c>
      <c r="N260" t="n">
        <v>0</v>
      </c>
      <c r="O260" t="n">
        <v>0</v>
      </c>
      <c r="P260" t="n">
        <v>0</v>
      </c>
      <c r="Q260" t="n">
        <v>0</v>
      </c>
      <c r="R260" s="2" t="inlineStr"/>
    </row>
    <row r="261" ht="15" customHeight="1">
      <c r="A261" t="inlineStr">
        <is>
          <t>A 12540-2020</t>
        </is>
      </c>
      <c r="B261" s="1" t="n">
        <v>43897</v>
      </c>
      <c r="C261" s="1" t="n">
        <v>45626</v>
      </c>
      <c r="D261" t="inlineStr">
        <is>
          <t>DALARNAS LÄN</t>
        </is>
      </c>
      <c r="E261" t="inlineStr">
        <is>
          <t>ÄLVDALEN</t>
        </is>
      </c>
      <c r="G261" t="n">
        <v>3.7</v>
      </c>
      <c r="H261" t="n">
        <v>0</v>
      </c>
      <c r="I261" t="n">
        <v>0</v>
      </c>
      <c r="J261" t="n">
        <v>0</v>
      </c>
      <c r="K261" t="n">
        <v>0</v>
      </c>
      <c r="L261" t="n">
        <v>0</v>
      </c>
      <c r="M261" t="n">
        <v>0</v>
      </c>
      <c r="N261" t="n">
        <v>0</v>
      </c>
      <c r="O261" t="n">
        <v>0</v>
      </c>
      <c r="P261" t="n">
        <v>0</v>
      </c>
      <c r="Q261" t="n">
        <v>0</v>
      </c>
      <c r="R261" s="2" t="inlineStr"/>
    </row>
    <row r="262" ht="15" customHeight="1">
      <c r="A262" t="inlineStr">
        <is>
          <t>A 15596-2020</t>
        </is>
      </c>
      <c r="B262" s="1" t="n">
        <v>43914</v>
      </c>
      <c r="C262" s="1" t="n">
        <v>45626</v>
      </c>
      <c r="D262" t="inlineStr">
        <is>
          <t>DALARNAS LÄN</t>
        </is>
      </c>
      <c r="E262" t="inlineStr">
        <is>
          <t>ÄLVDALEN</t>
        </is>
      </c>
      <c r="F262" t="inlineStr">
        <is>
          <t>Allmännings- och besparingsskogar</t>
        </is>
      </c>
      <c r="G262" t="n">
        <v>19.5</v>
      </c>
      <c r="H262" t="n">
        <v>0</v>
      </c>
      <c r="I262" t="n">
        <v>0</v>
      </c>
      <c r="J262" t="n">
        <v>0</v>
      </c>
      <c r="K262" t="n">
        <v>0</v>
      </c>
      <c r="L262" t="n">
        <v>0</v>
      </c>
      <c r="M262" t="n">
        <v>0</v>
      </c>
      <c r="N262" t="n">
        <v>0</v>
      </c>
      <c r="O262" t="n">
        <v>0</v>
      </c>
      <c r="P262" t="n">
        <v>0</v>
      </c>
      <c r="Q262" t="n">
        <v>0</v>
      </c>
      <c r="R262" s="2" t="inlineStr"/>
    </row>
    <row r="263" ht="15" customHeight="1">
      <c r="A263" t="inlineStr">
        <is>
          <t>A 16308-2020</t>
        </is>
      </c>
      <c r="B263" s="1" t="n">
        <v>43917</v>
      </c>
      <c r="C263" s="1" t="n">
        <v>45626</v>
      </c>
      <c r="D263" t="inlineStr">
        <is>
          <t>DALARNAS LÄN</t>
        </is>
      </c>
      <c r="E263" t="inlineStr">
        <is>
          <t>ÄLVDALEN</t>
        </is>
      </c>
      <c r="F263" t="inlineStr">
        <is>
          <t>Allmännings- och besparingsskogar</t>
        </is>
      </c>
      <c r="G263" t="n">
        <v>29.7</v>
      </c>
      <c r="H263" t="n">
        <v>0</v>
      </c>
      <c r="I263" t="n">
        <v>0</v>
      </c>
      <c r="J263" t="n">
        <v>0</v>
      </c>
      <c r="K263" t="n">
        <v>0</v>
      </c>
      <c r="L263" t="n">
        <v>0</v>
      </c>
      <c r="M263" t="n">
        <v>0</v>
      </c>
      <c r="N263" t="n">
        <v>0</v>
      </c>
      <c r="O263" t="n">
        <v>0</v>
      </c>
      <c r="P263" t="n">
        <v>0</v>
      </c>
      <c r="Q263" t="n">
        <v>0</v>
      </c>
      <c r="R263" s="2" t="inlineStr"/>
    </row>
    <row r="264" ht="15" customHeight="1">
      <c r="A264" t="inlineStr">
        <is>
          <t>A 16911-2020</t>
        </is>
      </c>
      <c r="B264" s="1" t="n">
        <v>43921</v>
      </c>
      <c r="C264" s="1" t="n">
        <v>45626</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17096-2020</t>
        </is>
      </c>
      <c r="B265" s="1" t="n">
        <v>43922</v>
      </c>
      <c r="C265" s="1" t="n">
        <v>45626</v>
      </c>
      <c r="D265" t="inlineStr">
        <is>
          <t>DALARNAS LÄN</t>
        </is>
      </c>
      <c r="E265" t="inlineStr">
        <is>
          <t>ÄLVDALEN</t>
        </is>
      </c>
      <c r="F265" t="inlineStr">
        <is>
          <t>Allmännings- och besparingsskogar</t>
        </is>
      </c>
      <c r="G265" t="n">
        <v>66.7</v>
      </c>
      <c r="H265" t="n">
        <v>0</v>
      </c>
      <c r="I265" t="n">
        <v>0</v>
      </c>
      <c r="J265" t="n">
        <v>0</v>
      </c>
      <c r="K265" t="n">
        <v>0</v>
      </c>
      <c r="L265" t="n">
        <v>0</v>
      </c>
      <c r="M265" t="n">
        <v>0</v>
      </c>
      <c r="N265" t="n">
        <v>0</v>
      </c>
      <c r="O265" t="n">
        <v>0</v>
      </c>
      <c r="P265" t="n">
        <v>0</v>
      </c>
      <c r="Q265" t="n">
        <v>0</v>
      </c>
      <c r="R265" s="2" t="inlineStr"/>
    </row>
    <row r="266" ht="15" customHeight="1">
      <c r="A266" t="inlineStr">
        <is>
          <t>A 17109-2020</t>
        </is>
      </c>
      <c r="B266" s="1" t="n">
        <v>43922</v>
      </c>
      <c r="C266" s="1" t="n">
        <v>45626</v>
      </c>
      <c r="D266" t="inlineStr">
        <is>
          <t>DALARNAS LÄN</t>
        </is>
      </c>
      <c r="E266" t="inlineStr">
        <is>
          <t>ÄLVDALEN</t>
        </is>
      </c>
      <c r="F266" t="inlineStr">
        <is>
          <t>Allmännings- och besparingsskogar</t>
        </is>
      </c>
      <c r="G266" t="n">
        <v>22.3</v>
      </c>
      <c r="H266" t="n">
        <v>0</v>
      </c>
      <c r="I266" t="n">
        <v>0</v>
      </c>
      <c r="J266" t="n">
        <v>0</v>
      </c>
      <c r="K266" t="n">
        <v>0</v>
      </c>
      <c r="L266" t="n">
        <v>0</v>
      </c>
      <c r="M266" t="n">
        <v>0</v>
      </c>
      <c r="N266" t="n">
        <v>0</v>
      </c>
      <c r="O266" t="n">
        <v>0</v>
      </c>
      <c r="P266" t="n">
        <v>0</v>
      </c>
      <c r="Q266" t="n">
        <v>0</v>
      </c>
      <c r="R266" s="2" t="inlineStr"/>
    </row>
    <row r="267" ht="15" customHeight="1">
      <c r="A267" t="inlineStr">
        <is>
          <t>A 17099-2020</t>
        </is>
      </c>
      <c r="B267" s="1" t="n">
        <v>43922</v>
      </c>
      <c r="C267" s="1" t="n">
        <v>45626</v>
      </c>
      <c r="D267" t="inlineStr">
        <is>
          <t>DALARNAS LÄN</t>
        </is>
      </c>
      <c r="E267" t="inlineStr">
        <is>
          <t>ÄLVDALEN</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17103-2020</t>
        </is>
      </c>
      <c r="B268" s="1" t="n">
        <v>43922</v>
      </c>
      <c r="C268" s="1" t="n">
        <v>45626</v>
      </c>
      <c r="D268" t="inlineStr">
        <is>
          <t>DALARNAS LÄN</t>
        </is>
      </c>
      <c r="E268" t="inlineStr">
        <is>
          <t>ÄLVDALEN</t>
        </is>
      </c>
      <c r="F268" t="inlineStr">
        <is>
          <t>Allmännings- och besparingsskogar</t>
        </is>
      </c>
      <c r="G268" t="n">
        <v>54.1</v>
      </c>
      <c r="H268" t="n">
        <v>0</v>
      </c>
      <c r="I268" t="n">
        <v>0</v>
      </c>
      <c r="J268" t="n">
        <v>0</v>
      </c>
      <c r="K268" t="n">
        <v>0</v>
      </c>
      <c r="L268" t="n">
        <v>0</v>
      </c>
      <c r="M268" t="n">
        <v>0</v>
      </c>
      <c r="N268" t="n">
        <v>0</v>
      </c>
      <c r="O268" t="n">
        <v>0</v>
      </c>
      <c r="P268" t="n">
        <v>0</v>
      </c>
      <c r="Q268" t="n">
        <v>0</v>
      </c>
      <c r="R268" s="2" t="inlineStr"/>
    </row>
    <row r="269" ht="15" customHeight="1">
      <c r="A269" t="inlineStr">
        <is>
          <t>A 17430-2020</t>
        </is>
      </c>
      <c r="B269" s="1" t="n">
        <v>43923</v>
      </c>
      <c r="C269" s="1" t="n">
        <v>45626</v>
      </c>
      <c r="D269" t="inlineStr">
        <is>
          <t>DALARNAS LÄN</t>
        </is>
      </c>
      <c r="E269" t="inlineStr">
        <is>
          <t>ÄLVDALEN</t>
        </is>
      </c>
      <c r="G269" t="n">
        <v>1.8</v>
      </c>
      <c r="H269" t="n">
        <v>0</v>
      </c>
      <c r="I269" t="n">
        <v>0</v>
      </c>
      <c r="J269" t="n">
        <v>0</v>
      </c>
      <c r="K269" t="n">
        <v>0</v>
      </c>
      <c r="L269" t="n">
        <v>0</v>
      </c>
      <c r="M269" t="n">
        <v>0</v>
      </c>
      <c r="N269" t="n">
        <v>0</v>
      </c>
      <c r="O269" t="n">
        <v>0</v>
      </c>
      <c r="P269" t="n">
        <v>0</v>
      </c>
      <c r="Q269" t="n">
        <v>0</v>
      </c>
      <c r="R269" s="2" t="inlineStr"/>
    </row>
    <row r="270" ht="15" customHeight="1">
      <c r="A270" t="inlineStr">
        <is>
          <t>A 18378-2020</t>
        </is>
      </c>
      <c r="B270" s="1" t="n">
        <v>43928</v>
      </c>
      <c r="C270" s="1" t="n">
        <v>45626</v>
      </c>
      <c r="D270" t="inlineStr">
        <is>
          <t>DALARNAS LÄN</t>
        </is>
      </c>
      <c r="E270" t="inlineStr">
        <is>
          <t>ÄLVDALEN</t>
        </is>
      </c>
      <c r="F270" t="inlineStr">
        <is>
          <t>Allmännings- och besparingsskogar</t>
        </is>
      </c>
      <c r="G270" t="n">
        <v>48.4</v>
      </c>
      <c r="H270" t="n">
        <v>0</v>
      </c>
      <c r="I270" t="n">
        <v>0</v>
      </c>
      <c r="J270" t="n">
        <v>0</v>
      </c>
      <c r="K270" t="n">
        <v>0</v>
      </c>
      <c r="L270" t="n">
        <v>0</v>
      </c>
      <c r="M270" t="n">
        <v>0</v>
      </c>
      <c r="N270" t="n">
        <v>0</v>
      </c>
      <c r="O270" t="n">
        <v>0</v>
      </c>
      <c r="P270" t="n">
        <v>0</v>
      </c>
      <c r="Q270" t="n">
        <v>0</v>
      </c>
      <c r="R270" s="2" t="inlineStr"/>
    </row>
    <row r="271" ht="15" customHeight="1">
      <c r="A271" t="inlineStr">
        <is>
          <t>A 23179-2020</t>
        </is>
      </c>
      <c r="B271" s="1" t="n">
        <v>43937</v>
      </c>
      <c r="C271" s="1" t="n">
        <v>45626</v>
      </c>
      <c r="D271" t="inlineStr">
        <is>
          <t>DALARNAS LÄN</t>
        </is>
      </c>
      <c r="E271" t="inlineStr">
        <is>
          <t>ÄLVDALEN</t>
        </is>
      </c>
      <c r="F271" t="inlineStr">
        <is>
          <t>Sveaskog</t>
        </is>
      </c>
      <c r="G271" t="n">
        <v>75.09999999999999</v>
      </c>
      <c r="H271" t="n">
        <v>0</v>
      </c>
      <c r="I271" t="n">
        <v>0</v>
      </c>
      <c r="J271" t="n">
        <v>0</v>
      </c>
      <c r="K271" t="n">
        <v>0</v>
      </c>
      <c r="L271" t="n">
        <v>0</v>
      </c>
      <c r="M271" t="n">
        <v>0</v>
      </c>
      <c r="N271" t="n">
        <v>0</v>
      </c>
      <c r="O271" t="n">
        <v>0</v>
      </c>
      <c r="P271" t="n">
        <v>0</v>
      </c>
      <c r="Q271" t="n">
        <v>0</v>
      </c>
      <c r="R271" s="2" t="inlineStr"/>
    </row>
    <row r="272" ht="15" customHeight="1">
      <c r="A272" t="inlineStr">
        <is>
          <t>A 20189-2020</t>
        </is>
      </c>
      <c r="B272" s="1" t="n">
        <v>43944</v>
      </c>
      <c r="C272" s="1" t="n">
        <v>45626</v>
      </c>
      <c r="D272" t="inlineStr">
        <is>
          <t>DALARNAS LÄN</t>
        </is>
      </c>
      <c r="E272" t="inlineStr">
        <is>
          <t>ÄLVDALEN</t>
        </is>
      </c>
      <c r="G272" t="n">
        <v>0.7</v>
      </c>
      <c r="H272" t="n">
        <v>0</v>
      </c>
      <c r="I272" t="n">
        <v>0</v>
      </c>
      <c r="J272" t="n">
        <v>0</v>
      </c>
      <c r="K272" t="n">
        <v>0</v>
      </c>
      <c r="L272" t="n">
        <v>0</v>
      </c>
      <c r="M272" t="n">
        <v>0</v>
      </c>
      <c r="N272" t="n">
        <v>0</v>
      </c>
      <c r="O272" t="n">
        <v>0</v>
      </c>
      <c r="P272" t="n">
        <v>0</v>
      </c>
      <c r="Q272" t="n">
        <v>0</v>
      </c>
      <c r="R272" s="2" t="inlineStr"/>
    </row>
    <row r="273" ht="15" customHeight="1">
      <c r="A273" t="inlineStr">
        <is>
          <t>A 20290-2020</t>
        </is>
      </c>
      <c r="B273" s="1" t="n">
        <v>43944</v>
      </c>
      <c r="C273" s="1" t="n">
        <v>45626</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21120-2020</t>
        </is>
      </c>
      <c r="B274" s="1" t="n">
        <v>43951</v>
      </c>
      <c r="C274" s="1" t="n">
        <v>45626</v>
      </c>
      <c r="D274" t="inlineStr">
        <is>
          <t>DALARNAS LÄN</t>
        </is>
      </c>
      <c r="E274" t="inlineStr">
        <is>
          <t>ÄLVDALEN</t>
        </is>
      </c>
      <c r="G274" t="n">
        <v>0.9</v>
      </c>
      <c r="H274" t="n">
        <v>0</v>
      </c>
      <c r="I274" t="n">
        <v>0</v>
      </c>
      <c r="J274" t="n">
        <v>0</v>
      </c>
      <c r="K274" t="n">
        <v>0</v>
      </c>
      <c r="L274" t="n">
        <v>0</v>
      </c>
      <c r="M274" t="n">
        <v>0</v>
      </c>
      <c r="N274" t="n">
        <v>0</v>
      </c>
      <c r="O274" t="n">
        <v>0</v>
      </c>
      <c r="P274" t="n">
        <v>0</v>
      </c>
      <c r="Q274" t="n">
        <v>0</v>
      </c>
      <c r="R274" s="2" t="inlineStr"/>
    </row>
    <row r="275" ht="15" customHeight="1">
      <c r="A275" t="inlineStr">
        <is>
          <t>A 21128-2020</t>
        </is>
      </c>
      <c r="B275" s="1" t="n">
        <v>43951</v>
      </c>
      <c r="C275" s="1" t="n">
        <v>45626</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21367-2020</t>
        </is>
      </c>
      <c r="B276" s="1" t="n">
        <v>43955</v>
      </c>
      <c r="C276" s="1" t="n">
        <v>45626</v>
      </c>
      <c r="D276" t="inlineStr">
        <is>
          <t>DALARNAS LÄN</t>
        </is>
      </c>
      <c r="E276" t="inlineStr">
        <is>
          <t>ÄLVDALEN</t>
        </is>
      </c>
      <c r="G276" t="n">
        <v>4</v>
      </c>
      <c r="H276" t="n">
        <v>0</v>
      </c>
      <c r="I276" t="n">
        <v>0</v>
      </c>
      <c r="J276" t="n">
        <v>0</v>
      </c>
      <c r="K276" t="n">
        <v>0</v>
      </c>
      <c r="L276" t="n">
        <v>0</v>
      </c>
      <c r="M276" t="n">
        <v>0</v>
      </c>
      <c r="N276" t="n">
        <v>0</v>
      </c>
      <c r="O276" t="n">
        <v>0</v>
      </c>
      <c r="P276" t="n">
        <v>0</v>
      </c>
      <c r="Q276" t="n">
        <v>0</v>
      </c>
      <c r="R276" s="2" t="inlineStr"/>
    </row>
    <row r="277" ht="15" customHeight="1">
      <c r="A277" t="inlineStr">
        <is>
          <t>A 21927-2020</t>
        </is>
      </c>
      <c r="B277" s="1" t="n">
        <v>43955</v>
      </c>
      <c r="C277" s="1" t="n">
        <v>45626</v>
      </c>
      <c r="D277" t="inlineStr">
        <is>
          <t>DALARNAS LÄN</t>
        </is>
      </c>
      <c r="E277" t="inlineStr">
        <is>
          <t>ÄLVDALEN</t>
        </is>
      </c>
      <c r="G277" t="n">
        <v>3.3</v>
      </c>
      <c r="H277" t="n">
        <v>0</v>
      </c>
      <c r="I277" t="n">
        <v>0</v>
      </c>
      <c r="J277" t="n">
        <v>0</v>
      </c>
      <c r="K277" t="n">
        <v>0</v>
      </c>
      <c r="L277" t="n">
        <v>0</v>
      </c>
      <c r="M277" t="n">
        <v>0</v>
      </c>
      <c r="N277" t="n">
        <v>0</v>
      </c>
      <c r="O277" t="n">
        <v>0</v>
      </c>
      <c r="P277" t="n">
        <v>0</v>
      </c>
      <c r="Q277" t="n">
        <v>0</v>
      </c>
      <c r="R277" s="2" t="inlineStr"/>
    </row>
    <row r="278" ht="15" customHeight="1">
      <c r="A278" t="inlineStr">
        <is>
          <t>A 23448-2020</t>
        </is>
      </c>
      <c r="B278" s="1" t="n">
        <v>43969</v>
      </c>
      <c r="C278" s="1" t="n">
        <v>45626</v>
      </c>
      <c r="D278" t="inlineStr">
        <is>
          <t>DALARNAS LÄN</t>
        </is>
      </c>
      <c r="E278" t="inlineStr">
        <is>
          <t>ÄLVDALEN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25966-2020</t>
        </is>
      </c>
      <c r="B279" s="1" t="n">
        <v>43985</v>
      </c>
      <c r="C279" s="1" t="n">
        <v>45626</v>
      </c>
      <c r="D279" t="inlineStr">
        <is>
          <t>DALARNAS LÄN</t>
        </is>
      </c>
      <c r="E279" t="inlineStr">
        <is>
          <t>ÄLVDALEN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26792-2020</t>
        </is>
      </c>
      <c r="B280" s="1" t="n">
        <v>43990</v>
      </c>
      <c r="C280" s="1" t="n">
        <v>45626</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26808-2020</t>
        </is>
      </c>
      <c r="B281" s="1" t="n">
        <v>43990</v>
      </c>
      <c r="C281" s="1" t="n">
        <v>45626</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26788-2020</t>
        </is>
      </c>
      <c r="B282" s="1" t="n">
        <v>43990</v>
      </c>
      <c r="C282" s="1" t="n">
        <v>45626</v>
      </c>
      <c r="D282" t="inlineStr">
        <is>
          <t>DALARNAS LÄN</t>
        </is>
      </c>
      <c r="E282" t="inlineStr">
        <is>
          <t>ÄLVDALEN</t>
        </is>
      </c>
      <c r="G282" t="n">
        <v>0.2</v>
      </c>
      <c r="H282" t="n">
        <v>0</v>
      </c>
      <c r="I282" t="n">
        <v>0</v>
      </c>
      <c r="J282" t="n">
        <v>0</v>
      </c>
      <c r="K282" t="n">
        <v>0</v>
      </c>
      <c r="L282" t="n">
        <v>0</v>
      </c>
      <c r="M282" t="n">
        <v>0</v>
      </c>
      <c r="N282" t="n">
        <v>0</v>
      </c>
      <c r="O282" t="n">
        <v>0</v>
      </c>
      <c r="P282" t="n">
        <v>0</v>
      </c>
      <c r="Q282" t="n">
        <v>0</v>
      </c>
      <c r="R282" s="2" t="inlineStr"/>
    </row>
    <row r="283" ht="15" customHeight="1">
      <c r="A283" t="inlineStr">
        <is>
          <t>A 26801-2020</t>
        </is>
      </c>
      <c r="B283" s="1" t="n">
        <v>43990</v>
      </c>
      <c r="C283" s="1" t="n">
        <v>45626</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27040-2020</t>
        </is>
      </c>
      <c r="B284" s="1" t="n">
        <v>43991</v>
      </c>
      <c r="C284" s="1" t="n">
        <v>45626</v>
      </c>
      <c r="D284" t="inlineStr">
        <is>
          <t>DALARNAS LÄN</t>
        </is>
      </c>
      <c r="E284" t="inlineStr">
        <is>
          <t>ÄLVDALEN</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27038-2020</t>
        </is>
      </c>
      <c r="B285" s="1" t="n">
        <v>43991</v>
      </c>
      <c r="C285" s="1" t="n">
        <v>45626</v>
      </c>
      <c r="D285" t="inlineStr">
        <is>
          <t>DALARNAS LÄN</t>
        </is>
      </c>
      <c r="E285" t="inlineStr">
        <is>
          <t>ÄLVDALEN</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27041-2020</t>
        </is>
      </c>
      <c r="B286" s="1" t="n">
        <v>43991</v>
      </c>
      <c r="C286" s="1" t="n">
        <v>45626</v>
      </c>
      <c r="D286" t="inlineStr">
        <is>
          <t>DALARNAS LÄN</t>
        </is>
      </c>
      <c r="E286" t="inlineStr">
        <is>
          <t>ÄLVDALEN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29545-2020</t>
        </is>
      </c>
      <c r="B287" s="1" t="n">
        <v>44005</v>
      </c>
      <c r="C287" s="1" t="n">
        <v>45626</v>
      </c>
      <c r="D287" t="inlineStr">
        <is>
          <t>DALARNAS LÄN</t>
        </is>
      </c>
      <c r="E287" t="inlineStr">
        <is>
          <t>ÄLVDALEN</t>
        </is>
      </c>
      <c r="F287" t="inlineStr">
        <is>
          <t>Bergvik skog väst AB</t>
        </is>
      </c>
      <c r="G287" t="n">
        <v>7.2</v>
      </c>
      <c r="H287" t="n">
        <v>0</v>
      </c>
      <c r="I287" t="n">
        <v>0</v>
      </c>
      <c r="J287" t="n">
        <v>0</v>
      </c>
      <c r="K287" t="n">
        <v>0</v>
      </c>
      <c r="L287" t="n">
        <v>0</v>
      </c>
      <c r="M287" t="n">
        <v>0</v>
      </c>
      <c r="N287" t="n">
        <v>0</v>
      </c>
      <c r="O287" t="n">
        <v>0</v>
      </c>
      <c r="P287" t="n">
        <v>0</v>
      </c>
      <c r="Q287" t="n">
        <v>0</v>
      </c>
      <c r="R287" s="2" t="inlineStr"/>
    </row>
    <row r="288" ht="15" customHeight="1">
      <c r="A288" t="inlineStr">
        <is>
          <t>A 29703-2020</t>
        </is>
      </c>
      <c r="B288" s="1" t="n">
        <v>44005</v>
      </c>
      <c r="C288" s="1" t="n">
        <v>45626</v>
      </c>
      <c r="D288" t="inlineStr">
        <is>
          <t>DALARNAS LÄN</t>
        </is>
      </c>
      <c r="E288" t="inlineStr">
        <is>
          <t>ÄLVDALEN</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32286-2020</t>
        </is>
      </c>
      <c r="B289" s="1" t="n">
        <v>44015</v>
      </c>
      <c r="C289" s="1" t="n">
        <v>45626</v>
      </c>
      <c r="D289" t="inlineStr">
        <is>
          <t>DALARNAS LÄN</t>
        </is>
      </c>
      <c r="E289" t="inlineStr">
        <is>
          <t>ÄLVDALEN</t>
        </is>
      </c>
      <c r="F289" t="inlineStr">
        <is>
          <t>Sveaskog</t>
        </is>
      </c>
      <c r="G289" t="n">
        <v>10.5</v>
      </c>
      <c r="H289" t="n">
        <v>0</v>
      </c>
      <c r="I289" t="n">
        <v>0</v>
      </c>
      <c r="J289" t="n">
        <v>0</v>
      </c>
      <c r="K289" t="n">
        <v>0</v>
      </c>
      <c r="L289" t="n">
        <v>0</v>
      </c>
      <c r="M289" t="n">
        <v>0</v>
      </c>
      <c r="N289" t="n">
        <v>0</v>
      </c>
      <c r="O289" t="n">
        <v>0</v>
      </c>
      <c r="P289" t="n">
        <v>0</v>
      </c>
      <c r="Q289" t="n">
        <v>0</v>
      </c>
      <c r="R289" s="2" t="inlineStr"/>
    </row>
    <row r="290" ht="15" customHeight="1">
      <c r="A290" t="inlineStr">
        <is>
          <t>A 32282-2020</t>
        </is>
      </c>
      <c r="B290" s="1" t="n">
        <v>44015</v>
      </c>
      <c r="C290" s="1" t="n">
        <v>45626</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32285-2020</t>
        </is>
      </c>
      <c r="B291" s="1" t="n">
        <v>44015</v>
      </c>
      <c r="C291" s="1" t="n">
        <v>45626</v>
      </c>
      <c r="D291" t="inlineStr">
        <is>
          <t>DALARNAS LÄN</t>
        </is>
      </c>
      <c r="E291" t="inlineStr">
        <is>
          <t>ÄLVDALEN</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33816-2020</t>
        </is>
      </c>
      <c r="B292" s="1" t="n">
        <v>44027</v>
      </c>
      <c r="C292" s="1" t="n">
        <v>45626</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35833-2020</t>
        </is>
      </c>
      <c r="B293" s="1" t="n">
        <v>44047</v>
      </c>
      <c r="C293" s="1" t="n">
        <v>45626</v>
      </c>
      <c r="D293" t="inlineStr">
        <is>
          <t>DALARNAS LÄN</t>
        </is>
      </c>
      <c r="E293" t="inlineStr">
        <is>
          <t>ÄLVDALEN</t>
        </is>
      </c>
      <c r="G293" t="n">
        <v>5.8</v>
      </c>
      <c r="H293" t="n">
        <v>0</v>
      </c>
      <c r="I293" t="n">
        <v>0</v>
      </c>
      <c r="J293" t="n">
        <v>0</v>
      </c>
      <c r="K293" t="n">
        <v>0</v>
      </c>
      <c r="L293" t="n">
        <v>0</v>
      </c>
      <c r="M293" t="n">
        <v>0</v>
      </c>
      <c r="N293" t="n">
        <v>0</v>
      </c>
      <c r="O293" t="n">
        <v>0</v>
      </c>
      <c r="P293" t="n">
        <v>0</v>
      </c>
      <c r="Q293" t="n">
        <v>0</v>
      </c>
      <c r="R293" s="2" t="inlineStr"/>
    </row>
    <row r="294" ht="15" customHeight="1">
      <c r="A294" t="inlineStr">
        <is>
          <t>A 36741-2020</t>
        </is>
      </c>
      <c r="B294" s="1" t="n">
        <v>44053</v>
      </c>
      <c r="C294" s="1" t="n">
        <v>45626</v>
      </c>
      <c r="D294" t="inlineStr">
        <is>
          <t>DALARNAS LÄN</t>
        </is>
      </c>
      <c r="E294" t="inlineStr">
        <is>
          <t>ÄLVDALEN</t>
        </is>
      </c>
      <c r="G294" t="n">
        <v>2.1</v>
      </c>
      <c r="H294" t="n">
        <v>0</v>
      </c>
      <c r="I294" t="n">
        <v>0</v>
      </c>
      <c r="J294" t="n">
        <v>0</v>
      </c>
      <c r="K294" t="n">
        <v>0</v>
      </c>
      <c r="L294" t="n">
        <v>0</v>
      </c>
      <c r="M294" t="n">
        <v>0</v>
      </c>
      <c r="N294" t="n">
        <v>0</v>
      </c>
      <c r="O294" t="n">
        <v>0</v>
      </c>
      <c r="P294" t="n">
        <v>0</v>
      </c>
      <c r="Q294" t="n">
        <v>0</v>
      </c>
      <c r="R294" s="2" t="inlineStr"/>
    </row>
    <row r="295" ht="15" customHeight="1">
      <c r="A295" t="inlineStr">
        <is>
          <t>A 37580-2020</t>
        </is>
      </c>
      <c r="B295" s="1" t="n">
        <v>44056</v>
      </c>
      <c r="C295" s="1" t="n">
        <v>45626</v>
      </c>
      <c r="D295" t="inlineStr">
        <is>
          <t>DALARNAS LÄN</t>
        </is>
      </c>
      <c r="E295" t="inlineStr">
        <is>
          <t>ÄLVDALEN</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39203-2020</t>
        </is>
      </c>
      <c r="B296" s="1" t="n">
        <v>44063</v>
      </c>
      <c r="C296" s="1" t="n">
        <v>45626</v>
      </c>
      <c r="D296" t="inlineStr">
        <is>
          <t>DALARNAS LÄN</t>
        </is>
      </c>
      <c r="E296" t="inlineStr">
        <is>
          <t>ÄLVDALEN</t>
        </is>
      </c>
      <c r="G296" t="n">
        <v>1.4</v>
      </c>
      <c r="H296" t="n">
        <v>0</v>
      </c>
      <c r="I296" t="n">
        <v>0</v>
      </c>
      <c r="J296" t="n">
        <v>0</v>
      </c>
      <c r="K296" t="n">
        <v>0</v>
      </c>
      <c r="L296" t="n">
        <v>0</v>
      </c>
      <c r="M296" t="n">
        <v>0</v>
      </c>
      <c r="N296" t="n">
        <v>0</v>
      </c>
      <c r="O296" t="n">
        <v>0</v>
      </c>
      <c r="P296" t="n">
        <v>0</v>
      </c>
      <c r="Q296" t="n">
        <v>0</v>
      </c>
      <c r="R296" s="2" t="inlineStr"/>
    </row>
    <row r="297" ht="15" customHeight="1">
      <c r="A297" t="inlineStr">
        <is>
          <t>A 41831-2020</t>
        </is>
      </c>
      <c r="B297" s="1" t="n">
        <v>44074</v>
      </c>
      <c r="C297" s="1" t="n">
        <v>45626</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41814-2020</t>
        </is>
      </c>
      <c r="B298" s="1" t="n">
        <v>44074</v>
      </c>
      <c r="C298" s="1" t="n">
        <v>45626</v>
      </c>
      <c r="D298" t="inlineStr">
        <is>
          <t>DALARNAS LÄN</t>
        </is>
      </c>
      <c r="E298" t="inlineStr">
        <is>
          <t>ÄLVDALEN</t>
        </is>
      </c>
      <c r="G298" t="n">
        <v>0.3</v>
      </c>
      <c r="H298" t="n">
        <v>0</v>
      </c>
      <c r="I298" t="n">
        <v>0</v>
      </c>
      <c r="J298" t="n">
        <v>0</v>
      </c>
      <c r="K298" t="n">
        <v>0</v>
      </c>
      <c r="L298" t="n">
        <v>0</v>
      </c>
      <c r="M298" t="n">
        <v>0</v>
      </c>
      <c r="N298" t="n">
        <v>0</v>
      </c>
      <c r="O298" t="n">
        <v>0</v>
      </c>
      <c r="P298" t="n">
        <v>0</v>
      </c>
      <c r="Q298" t="n">
        <v>0</v>
      </c>
      <c r="R298" s="2" t="inlineStr"/>
    </row>
    <row r="299" ht="15" customHeight="1">
      <c r="A299" t="inlineStr">
        <is>
          <t>A 42861-2020</t>
        </is>
      </c>
      <c r="B299" s="1" t="n">
        <v>44078</v>
      </c>
      <c r="C299" s="1" t="n">
        <v>45626</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46881-2020</t>
        </is>
      </c>
      <c r="B300" s="1" t="n">
        <v>44096</v>
      </c>
      <c r="C300" s="1" t="n">
        <v>45626</v>
      </c>
      <c r="D300" t="inlineStr">
        <is>
          <t>DALARNAS LÄN</t>
        </is>
      </c>
      <c r="E300" t="inlineStr">
        <is>
          <t>ÄLVDALEN</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46893-2020</t>
        </is>
      </c>
      <c r="B301" s="1" t="n">
        <v>44096</v>
      </c>
      <c r="C301" s="1" t="n">
        <v>45626</v>
      </c>
      <c r="D301" t="inlineStr">
        <is>
          <t>DALARNAS LÄN</t>
        </is>
      </c>
      <c r="E301" t="inlineStr">
        <is>
          <t>ÄLVDALEN</t>
        </is>
      </c>
      <c r="F301" t="inlineStr">
        <is>
          <t>Bergvik skog öst AB</t>
        </is>
      </c>
      <c r="G301" t="n">
        <v>4.2</v>
      </c>
      <c r="H301" t="n">
        <v>0</v>
      </c>
      <c r="I301" t="n">
        <v>0</v>
      </c>
      <c r="J301" t="n">
        <v>0</v>
      </c>
      <c r="K301" t="n">
        <v>0</v>
      </c>
      <c r="L301" t="n">
        <v>0</v>
      </c>
      <c r="M301" t="n">
        <v>0</v>
      </c>
      <c r="N301" t="n">
        <v>0</v>
      </c>
      <c r="O301" t="n">
        <v>0</v>
      </c>
      <c r="P301" t="n">
        <v>0</v>
      </c>
      <c r="Q301" t="n">
        <v>0</v>
      </c>
      <c r="R301" s="2" t="inlineStr"/>
    </row>
    <row r="302" ht="15" customHeight="1">
      <c r="A302" t="inlineStr">
        <is>
          <t>A 49737-2020</t>
        </is>
      </c>
      <c r="B302" s="1" t="n">
        <v>44106</v>
      </c>
      <c r="C302" s="1" t="n">
        <v>45626</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49587-2020</t>
        </is>
      </c>
      <c r="B303" s="1" t="n">
        <v>44106</v>
      </c>
      <c r="C303" s="1" t="n">
        <v>45626</v>
      </c>
      <c r="D303" t="inlineStr">
        <is>
          <t>DALARNAS LÄN</t>
        </is>
      </c>
      <c r="E303" t="inlineStr">
        <is>
          <t>ÄLVDALEN</t>
        </is>
      </c>
      <c r="G303" t="n">
        <v>0.9</v>
      </c>
      <c r="H303" t="n">
        <v>0</v>
      </c>
      <c r="I303" t="n">
        <v>0</v>
      </c>
      <c r="J303" t="n">
        <v>0</v>
      </c>
      <c r="K303" t="n">
        <v>0</v>
      </c>
      <c r="L303" t="n">
        <v>0</v>
      </c>
      <c r="M303" t="n">
        <v>0</v>
      </c>
      <c r="N303" t="n">
        <v>0</v>
      </c>
      <c r="O303" t="n">
        <v>0</v>
      </c>
      <c r="P303" t="n">
        <v>0</v>
      </c>
      <c r="Q303" t="n">
        <v>0</v>
      </c>
      <c r="R303" s="2" t="inlineStr"/>
    </row>
    <row r="304" ht="15" customHeight="1">
      <c r="A304" t="inlineStr">
        <is>
          <t>A 49734-2020</t>
        </is>
      </c>
      <c r="B304" s="1" t="n">
        <v>44106</v>
      </c>
      <c r="C304" s="1" t="n">
        <v>45626</v>
      </c>
      <c r="D304" t="inlineStr">
        <is>
          <t>DALARNAS LÄN</t>
        </is>
      </c>
      <c r="E304" t="inlineStr">
        <is>
          <t>ÄLVDALEN</t>
        </is>
      </c>
      <c r="G304" t="n">
        <v>2.3</v>
      </c>
      <c r="H304" t="n">
        <v>0</v>
      </c>
      <c r="I304" t="n">
        <v>0</v>
      </c>
      <c r="J304" t="n">
        <v>0</v>
      </c>
      <c r="K304" t="n">
        <v>0</v>
      </c>
      <c r="L304" t="n">
        <v>0</v>
      </c>
      <c r="M304" t="n">
        <v>0</v>
      </c>
      <c r="N304" t="n">
        <v>0</v>
      </c>
      <c r="O304" t="n">
        <v>0</v>
      </c>
      <c r="P304" t="n">
        <v>0</v>
      </c>
      <c r="Q304" t="n">
        <v>0</v>
      </c>
      <c r="R304" s="2" t="inlineStr"/>
    </row>
    <row r="305" ht="15" customHeight="1">
      <c r="A305" t="inlineStr">
        <is>
          <t>A 49956-2020</t>
        </is>
      </c>
      <c r="B305" s="1" t="n">
        <v>44109</v>
      </c>
      <c r="C305" s="1" t="n">
        <v>45626</v>
      </c>
      <c r="D305" t="inlineStr">
        <is>
          <t>DALARNAS LÄN</t>
        </is>
      </c>
      <c r="E305" t="inlineStr">
        <is>
          <t>ÄLVDALEN</t>
        </is>
      </c>
      <c r="F305" t="inlineStr">
        <is>
          <t>Övriga Aktiebolag</t>
        </is>
      </c>
      <c r="G305" t="n">
        <v>25.8</v>
      </c>
      <c r="H305" t="n">
        <v>0</v>
      </c>
      <c r="I305" t="n">
        <v>0</v>
      </c>
      <c r="J305" t="n">
        <v>0</v>
      </c>
      <c r="K305" t="n">
        <v>0</v>
      </c>
      <c r="L305" t="n">
        <v>0</v>
      </c>
      <c r="M305" t="n">
        <v>0</v>
      </c>
      <c r="N305" t="n">
        <v>0</v>
      </c>
      <c r="O305" t="n">
        <v>0</v>
      </c>
      <c r="P305" t="n">
        <v>0</v>
      </c>
      <c r="Q305" t="n">
        <v>0</v>
      </c>
      <c r="R305" s="2" t="inlineStr"/>
    </row>
    <row r="306" ht="15" customHeight="1">
      <c r="A306" t="inlineStr">
        <is>
          <t>A 49968-2020</t>
        </is>
      </c>
      <c r="B306" s="1" t="n">
        <v>44109</v>
      </c>
      <c r="C306" s="1" t="n">
        <v>45626</v>
      </c>
      <c r="D306" t="inlineStr">
        <is>
          <t>DALARNAS LÄN</t>
        </is>
      </c>
      <c r="E306" t="inlineStr">
        <is>
          <t>ÄLVDALEN</t>
        </is>
      </c>
      <c r="F306" t="inlineStr">
        <is>
          <t>Övriga Aktiebolag</t>
        </is>
      </c>
      <c r="G306" t="n">
        <v>11.8</v>
      </c>
      <c r="H306" t="n">
        <v>0</v>
      </c>
      <c r="I306" t="n">
        <v>0</v>
      </c>
      <c r="J306" t="n">
        <v>0</v>
      </c>
      <c r="K306" t="n">
        <v>0</v>
      </c>
      <c r="L306" t="n">
        <v>0</v>
      </c>
      <c r="M306" t="n">
        <v>0</v>
      </c>
      <c r="N306" t="n">
        <v>0</v>
      </c>
      <c r="O306" t="n">
        <v>0</v>
      </c>
      <c r="P306" t="n">
        <v>0</v>
      </c>
      <c r="Q306" t="n">
        <v>0</v>
      </c>
      <c r="R306" s="2" t="inlineStr"/>
    </row>
    <row r="307" ht="15" customHeight="1">
      <c r="A307" t="inlineStr">
        <is>
          <t>A 51519-2020</t>
        </is>
      </c>
      <c r="B307" s="1" t="n">
        <v>44113</v>
      </c>
      <c r="C307" s="1" t="n">
        <v>45626</v>
      </c>
      <c r="D307" t="inlineStr">
        <is>
          <t>DALARNAS LÄN</t>
        </is>
      </c>
      <c r="E307" t="inlineStr">
        <is>
          <t>ÄLVDALEN</t>
        </is>
      </c>
      <c r="G307" t="n">
        <v>0.8</v>
      </c>
      <c r="H307" t="n">
        <v>0</v>
      </c>
      <c r="I307" t="n">
        <v>0</v>
      </c>
      <c r="J307" t="n">
        <v>0</v>
      </c>
      <c r="K307" t="n">
        <v>0</v>
      </c>
      <c r="L307" t="n">
        <v>0</v>
      </c>
      <c r="M307" t="n">
        <v>0</v>
      </c>
      <c r="N307" t="n">
        <v>0</v>
      </c>
      <c r="O307" t="n">
        <v>0</v>
      </c>
      <c r="P307" t="n">
        <v>0</v>
      </c>
      <c r="Q307" t="n">
        <v>0</v>
      </c>
      <c r="R307" s="2" t="inlineStr"/>
    </row>
    <row r="308" ht="15" customHeight="1">
      <c r="A308" t="inlineStr">
        <is>
          <t>A 52401-2020</t>
        </is>
      </c>
      <c r="B308" s="1" t="n">
        <v>44113</v>
      </c>
      <c r="C308" s="1" t="n">
        <v>45626</v>
      </c>
      <c r="D308" t="inlineStr">
        <is>
          <t>DALARNAS LÄN</t>
        </is>
      </c>
      <c r="E308" t="inlineStr">
        <is>
          <t>ÄLVDALEN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54138-2020</t>
        </is>
      </c>
      <c r="B309" s="1" t="n">
        <v>44125</v>
      </c>
      <c r="C309" s="1" t="n">
        <v>45626</v>
      </c>
      <c r="D309" t="inlineStr">
        <is>
          <t>DALARNAS LÄN</t>
        </is>
      </c>
      <c r="E309" t="inlineStr">
        <is>
          <t>ÄLVDALEN</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54338-2020</t>
        </is>
      </c>
      <c r="B310" s="1" t="n">
        <v>44126</v>
      </c>
      <c r="C310" s="1" t="n">
        <v>45626</v>
      </c>
      <c r="D310" t="inlineStr">
        <is>
          <t>DALARNAS LÄN</t>
        </is>
      </c>
      <c r="E310" t="inlineStr">
        <is>
          <t>ÄLVDALEN</t>
        </is>
      </c>
      <c r="G310" t="n">
        <v>3.4</v>
      </c>
      <c r="H310" t="n">
        <v>0</v>
      </c>
      <c r="I310" t="n">
        <v>0</v>
      </c>
      <c r="J310" t="n">
        <v>0</v>
      </c>
      <c r="K310" t="n">
        <v>0</v>
      </c>
      <c r="L310" t="n">
        <v>0</v>
      </c>
      <c r="M310" t="n">
        <v>0</v>
      </c>
      <c r="N310" t="n">
        <v>0</v>
      </c>
      <c r="O310" t="n">
        <v>0</v>
      </c>
      <c r="P310" t="n">
        <v>0</v>
      </c>
      <c r="Q310" t="n">
        <v>0</v>
      </c>
      <c r="R310" s="2" t="inlineStr"/>
    </row>
    <row r="311" ht="15" customHeight="1">
      <c r="A311" t="inlineStr">
        <is>
          <t>A 58004-2020</t>
        </is>
      </c>
      <c r="B311" s="1" t="n">
        <v>44140</v>
      </c>
      <c r="C311" s="1" t="n">
        <v>45626</v>
      </c>
      <c r="D311" t="inlineStr">
        <is>
          <t>DALARNAS LÄN</t>
        </is>
      </c>
      <c r="E311" t="inlineStr">
        <is>
          <t>ÄLVDALEN</t>
        </is>
      </c>
      <c r="G311" t="n">
        <v>2.9</v>
      </c>
      <c r="H311" t="n">
        <v>0</v>
      </c>
      <c r="I311" t="n">
        <v>0</v>
      </c>
      <c r="J311" t="n">
        <v>0</v>
      </c>
      <c r="K311" t="n">
        <v>0</v>
      </c>
      <c r="L311" t="n">
        <v>0</v>
      </c>
      <c r="M311" t="n">
        <v>0</v>
      </c>
      <c r="N311" t="n">
        <v>0</v>
      </c>
      <c r="O311" t="n">
        <v>0</v>
      </c>
      <c r="P311" t="n">
        <v>0</v>
      </c>
      <c r="Q311" t="n">
        <v>0</v>
      </c>
      <c r="R311" s="2" t="inlineStr"/>
    </row>
    <row r="312" ht="15" customHeight="1">
      <c r="A312" t="inlineStr">
        <is>
          <t>A 58571-2020</t>
        </is>
      </c>
      <c r="B312" s="1" t="n">
        <v>44145</v>
      </c>
      <c r="C312" s="1" t="n">
        <v>45626</v>
      </c>
      <c r="D312" t="inlineStr">
        <is>
          <t>DALARNAS LÄN</t>
        </is>
      </c>
      <c r="E312" t="inlineStr">
        <is>
          <t>ÄLVDALEN</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58573-2020</t>
        </is>
      </c>
      <c r="B313" s="1" t="n">
        <v>44145</v>
      </c>
      <c r="C313" s="1" t="n">
        <v>45626</v>
      </c>
      <c r="D313" t="inlineStr">
        <is>
          <t>DALARNAS LÄN</t>
        </is>
      </c>
      <c r="E313" t="inlineStr">
        <is>
          <t>ÄLVDALEN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58719-2020</t>
        </is>
      </c>
      <c r="B314" s="1" t="n">
        <v>44146</v>
      </c>
      <c r="C314" s="1" t="n">
        <v>45626</v>
      </c>
      <c r="D314" t="inlineStr">
        <is>
          <t>DALARNAS LÄN</t>
        </is>
      </c>
      <c r="E314" t="inlineStr">
        <is>
          <t>ÄLVDALEN</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58718-2020</t>
        </is>
      </c>
      <c r="B315" s="1" t="n">
        <v>44146</v>
      </c>
      <c r="C315" s="1" t="n">
        <v>45626</v>
      </c>
      <c r="D315" t="inlineStr">
        <is>
          <t>DALARNAS LÄN</t>
        </is>
      </c>
      <c r="E315" t="inlineStr">
        <is>
          <t>ÄLVDALEN</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61160-2020</t>
        </is>
      </c>
      <c r="B316" s="1" t="n">
        <v>44153</v>
      </c>
      <c r="C316" s="1" t="n">
        <v>45626</v>
      </c>
      <c r="D316" t="inlineStr">
        <is>
          <t>DALARNAS LÄN</t>
        </is>
      </c>
      <c r="E316" t="inlineStr">
        <is>
          <t>ÄLVDALEN</t>
        </is>
      </c>
      <c r="F316" t="inlineStr">
        <is>
          <t>Allmännings- och besparingsskogar</t>
        </is>
      </c>
      <c r="G316" t="n">
        <v>1.7</v>
      </c>
      <c r="H316" t="n">
        <v>0</v>
      </c>
      <c r="I316" t="n">
        <v>0</v>
      </c>
      <c r="J316" t="n">
        <v>0</v>
      </c>
      <c r="K316" t="n">
        <v>0</v>
      </c>
      <c r="L316" t="n">
        <v>0</v>
      </c>
      <c r="M316" t="n">
        <v>0</v>
      </c>
      <c r="N316" t="n">
        <v>0</v>
      </c>
      <c r="O316" t="n">
        <v>0</v>
      </c>
      <c r="P316" t="n">
        <v>0</v>
      </c>
      <c r="Q316" t="n">
        <v>0</v>
      </c>
      <c r="R316" s="2" t="inlineStr"/>
    </row>
    <row r="317" ht="15" customHeight="1">
      <c r="A317" t="inlineStr">
        <is>
          <t>A 63296-2020</t>
        </is>
      </c>
      <c r="B317" s="1" t="n">
        <v>44165</v>
      </c>
      <c r="C317" s="1" t="n">
        <v>45626</v>
      </c>
      <c r="D317" t="inlineStr">
        <is>
          <t>DALARNAS LÄN</t>
        </is>
      </c>
      <c r="E317" t="inlineStr">
        <is>
          <t>ÄLVDALEN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66589-2020</t>
        </is>
      </c>
      <c r="B318" s="1" t="n">
        <v>44179</v>
      </c>
      <c r="C318" s="1" t="n">
        <v>45626</v>
      </c>
      <c r="D318" t="inlineStr">
        <is>
          <t>DALARNAS LÄN</t>
        </is>
      </c>
      <c r="E318" t="inlineStr">
        <is>
          <t>ÄLVDALEN</t>
        </is>
      </c>
      <c r="G318" t="n">
        <v>3.3</v>
      </c>
      <c r="H318" t="n">
        <v>0</v>
      </c>
      <c r="I318" t="n">
        <v>0</v>
      </c>
      <c r="J318" t="n">
        <v>0</v>
      </c>
      <c r="K318" t="n">
        <v>0</v>
      </c>
      <c r="L318" t="n">
        <v>0</v>
      </c>
      <c r="M318" t="n">
        <v>0</v>
      </c>
      <c r="N318" t="n">
        <v>0</v>
      </c>
      <c r="O318" t="n">
        <v>0</v>
      </c>
      <c r="P318" t="n">
        <v>0</v>
      </c>
      <c r="Q318" t="n">
        <v>0</v>
      </c>
      <c r="R318" s="2" t="inlineStr"/>
    </row>
    <row r="319" ht="15" customHeight="1">
      <c r="A319" t="inlineStr">
        <is>
          <t>A 33-2021</t>
        </is>
      </c>
      <c r="B319" s="1" t="n">
        <v>44198</v>
      </c>
      <c r="C319" s="1" t="n">
        <v>45626</v>
      </c>
      <c r="D319" t="inlineStr">
        <is>
          <t>DALARNAS LÄN</t>
        </is>
      </c>
      <c r="E319" t="inlineStr">
        <is>
          <t>ÄLVDALEN</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203-2021</t>
        </is>
      </c>
      <c r="B320" s="1" t="n">
        <v>44200</v>
      </c>
      <c r="C320" s="1" t="n">
        <v>45626</v>
      </c>
      <c r="D320" t="inlineStr">
        <is>
          <t>DALARNAS LÄN</t>
        </is>
      </c>
      <c r="E320" t="inlineStr">
        <is>
          <t>ÄLVDALEN</t>
        </is>
      </c>
      <c r="F320" t="inlineStr">
        <is>
          <t>Övriga statliga verk och myndigheter</t>
        </is>
      </c>
      <c r="G320" t="n">
        <v>19.1</v>
      </c>
      <c r="H320" t="n">
        <v>0</v>
      </c>
      <c r="I320" t="n">
        <v>0</v>
      </c>
      <c r="J320" t="n">
        <v>0</v>
      </c>
      <c r="K320" t="n">
        <v>0</v>
      </c>
      <c r="L320" t="n">
        <v>0</v>
      </c>
      <c r="M320" t="n">
        <v>0</v>
      </c>
      <c r="N320" t="n">
        <v>0</v>
      </c>
      <c r="O320" t="n">
        <v>0</v>
      </c>
      <c r="P320" t="n">
        <v>0</v>
      </c>
      <c r="Q320" t="n">
        <v>0</v>
      </c>
      <c r="R320" s="2" t="inlineStr"/>
    </row>
    <row r="321" ht="15" customHeight="1">
      <c r="A321" t="inlineStr">
        <is>
          <t>A 257-2021</t>
        </is>
      </c>
      <c r="B321" s="1" t="n">
        <v>44200</v>
      </c>
      <c r="C321" s="1" t="n">
        <v>45626</v>
      </c>
      <c r="D321" t="inlineStr">
        <is>
          <t>DALARNAS LÄN</t>
        </is>
      </c>
      <c r="E321" t="inlineStr">
        <is>
          <t>ÄLVDALEN</t>
        </is>
      </c>
      <c r="F321" t="inlineStr">
        <is>
          <t>Övriga statliga verk och myndigheter</t>
        </is>
      </c>
      <c r="G321" t="n">
        <v>6.1</v>
      </c>
      <c r="H321" t="n">
        <v>0</v>
      </c>
      <c r="I321" t="n">
        <v>0</v>
      </c>
      <c r="J321" t="n">
        <v>0</v>
      </c>
      <c r="K321" t="n">
        <v>0</v>
      </c>
      <c r="L321" t="n">
        <v>0</v>
      </c>
      <c r="M321" t="n">
        <v>0</v>
      </c>
      <c r="N321" t="n">
        <v>0</v>
      </c>
      <c r="O321" t="n">
        <v>0</v>
      </c>
      <c r="P321" t="n">
        <v>0</v>
      </c>
      <c r="Q321" t="n">
        <v>0</v>
      </c>
      <c r="R321" s="2" t="inlineStr"/>
    </row>
    <row r="322" ht="15" customHeight="1">
      <c r="A322" t="inlineStr">
        <is>
          <t>A 333-2021</t>
        </is>
      </c>
      <c r="B322" s="1" t="n">
        <v>44201</v>
      </c>
      <c r="C322" s="1" t="n">
        <v>45626</v>
      </c>
      <c r="D322" t="inlineStr">
        <is>
          <t>DALARNAS LÄN</t>
        </is>
      </c>
      <c r="E322" t="inlineStr">
        <is>
          <t>ÄLVDALEN</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435-2021</t>
        </is>
      </c>
      <c r="B323" s="1" t="n">
        <v>44201</v>
      </c>
      <c r="C323" s="1" t="n">
        <v>45626</v>
      </c>
      <c r="D323" t="inlineStr">
        <is>
          <t>DALARNAS LÄN</t>
        </is>
      </c>
      <c r="E323" t="inlineStr">
        <is>
          <t>ÄLVDALEN</t>
        </is>
      </c>
      <c r="F323" t="inlineStr">
        <is>
          <t>Övriga statliga verk och myndigheter</t>
        </is>
      </c>
      <c r="G323" t="n">
        <v>1.7</v>
      </c>
      <c r="H323" t="n">
        <v>0</v>
      </c>
      <c r="I323" t="n">
        <v>0</v>
      </c>
      <c r="J323" t="n">
        <v>0</v>
      </c>
      <c r="K323" t="n">
        <v>0</v>
      </c>
      <c r="L323" t="n">
        <v>0</v>
      </c>
      <c r="M323" t="n">
        <v>0</v>
      </c>
      <c r="N323" t="n">
        <v>0</v>
      </c>
      <c r="O323" t="n">
        <v>0</v>
      </c>
      <c r="P323" t="n">
        <v>0</v>
      </c>
      <c r="Q323" t="n">
        <v>0</v>
      </c>
      <c r="R323" s="2" t="inlineStr"/>
    </row>
    <row r="324" ht="15" customHeight="1">
      <c r="A324" t="inlineStr">
        <is>
          <t>A 1871-2021</t>
        </is>
      </c>
      <c r="B324" s="1" t="n">
        <v>44210</v>
      </c>
      <c r="C324" s="1" t="n">
        <v>45626</v>
      </c>
      <c r="D324" t="inlineStr">
        <is>
          <t>DALARNAS LÄN</t>
        </is>
      </c>
      <c r="E324" t="inlineStr">
        <is>
          <t>ÄLVDALEN</t>
        </is>
      </c>
      <c r="F324" t="inlineStr">
        <is>
          <t>Övriga statliga verk och myndigheter</t>
        </is>
      </c>
      <c r="G324" t="n">
        <v>4.8</v>
      </c>
      <c r="H324" t="n">
        <v>0</v>
      </c>
      <c r="I324" t="n">
        <v>0</v>
      </c>
      <c r="J324" t="n">
        <v>0</v>
      </c>
      <c r="K324" t="n">
        <v>0</v>
      </c>
      <c r="L324" t="n">
        <v>0</v>
      </c>
      <c r="M324" t="n">
        <v>0</v>
      </c>
      <c r="N324" t="n">
        <v>0</v>
      </c>
      <c r="O324" t="n">
        <v>0</v>
      </c>
      <c r="P324" t="n">
        <v>0</v>
      </c>
      <c r="Q324" t="n">
        <v>0</v>
      </c>
      <c r="R324" s="2" t="inlineStr"/>
    </row>
    <row r="325" ht="15" customHeight="1">
      <c r="A325" t="inlineStr">
        <is>
          <t>A 1872-2021</t>
        </is>
      </c>
      <c r="B325" s="1" t="n">
        <v>44210</v>
      </c>
      <c r="C325" s="1" t="n">
        <v>45626</v>
      </c>
      <c r="D325" t="inlineStr">
        <is>
          <t>DALARNAS LÄN</t>
        </is>
      </c>
      <c r="E325" t="inlineStr">
        <is>
          <t>ÄLVDALEN</t>
        </is>
      </c>
      <c r="F325" t="inlineStr">
        <is>
          <t>Övriga statliga verk och myndigheter</t>
        </is>
      </c>
      <c r="G325" t="n">
        <v>19.6</v>
      </c>
      <c r="H325" t="n">
        <v>0</v>
      </c>
      <c r="I325" t="n">
        <v>0</v>
      </c>
      <c r="J325" t="n">
        <v>0</v>
      </c>
      <c r="K325" t="n">
        <v>0</v>
      </c>
      <c r="L325" t="n">
        <v>0</v>
      </c>
      <c r="M325" t="n">
        <v>0</v>
      </c>
      <c r="N325" t="n">
        <v>0</v>
      </c>
      <c r="O325" t="n">
        <v>0</v>
      </c>
      <c r="P325" t="n">
        <v>0</v>
      </c>
      <c r="Q325" t="n">
        <v>0</v>
      </c>
      <c r="R325" s="2" t="inlineStr"/>
    </row>
    <row r="326" ht="15" customHeight="1">
      <c r="A326" t="inlineStr">
        <is>
          <t>A 2219-2021</t>
        </is>
      </c>
      <c r="B326" s="1" t="n">
        <v>44210</v>
      </c>
      <c r="C326" s="1" t="n">
        <v>45626</v>
      </c>
      <c r="D326" t="inlineStr">
        <is>
          <t>DALARNAS LÄN</t>
        </is>
      </c>
      <c r="E326" t="inlineStr">
        <is>
          <t>ÄLVDALEN</t>
        </is>
      </c>
      <c r="F326" t="inlineStr">
        <is>
          <t>Övriga statliga verk och myndigheter</t>
        </is>
      </c>
      <c r="G326" t="n">
        <v>1.3</v>
      </c>
      <c r="H326" t="n">
        <v>0</v>
      </c>
      <c r="I326" t="n">
        <v>0</v>
      </c>
      <c r="J326" t="n">
        <v>0</v>
      </c>
      <c r="K326" t="n">
        <v>0</v>
      </c>
      <c r="L326" t="n">
        <v>0</v>
      </c>
      <c r="M326" t="n">
        <v>0</v>
      </c>
      <c r="N326" t="n">
        <v>0</v>
      </c>
      <c r="O326" t="n">
        <v>0</v>
      </c>
      <c r="P326" t="n">
        <v>0</v>
      </c>
      <c r="Q326" t="n">
        <v>0</v>
      </c>
      <c r="R326" s="2" t="inlineStr"/>
    </row>
    <row r="327" ht="15" customHeight="1">
      <c r="A327" t="inlineStr">
        <is>
          <t>A 2690-2021</t>
        </is>
      </c>
      <c r="B327" s="1" t="n">
        <v>44214</v>
      </c>
      <c r="C327" s="1" t="n">
        <v>45626</v>
      </c>
      <c r="D327" t="inlineStr">
        <is>
          <t>DALARNAS LÄN</t>
        </is>
      </c>
      <c r="E327" t="inlineStr">
        <is>
          <t>ÄLVDALEN</t>
        </is>
      </c>
      <c r="F327" t="inlineStr">
        <is>
          <t>Allmännings- och besparingsskogar</t>
        </is>
      </c>
      <c r="G327" t="n">
        <v>70.3</v>
      </c>
      <c r="H327" t="n">
        <v>0</v>
      </c>
      <c r="I327" t="n">
        <v>0</v>
      </c>
      <c r="J327" t="n">
        <v>0</v>
      </c>
      <c r="K327" t="n">
        <v>0</v>
      </c>
      <c r="L327" t="n">
        <v>0</v>
      </c>
      <c r="M327" t="n">
        <v>0</v>
      </c>
      <c r="N327" t="n">
        <v>0</v>
      </c>
      <c r="O327" t="n">
        <v>0</v>
      </c>
      <c r="P327" t="n">
        <v>0</v>
      </c>
      <c r="Q327" t="n">
        <v>0</v>
      </c>
      <c r="R327" s="2" t="inlineStr"/>
    </row>
    <row r="328" ht="15" customHeight="1">
      <c r="A328" t="inlineStr">
        <is>
          <t>A 2746-2021</t>
        </is>
      </c>
      <c r="B328" s="1" t="n">
        <v>44215</v>
      </c>
      <c r="C328" s="1" t="n">
        <v>45626</v>
      </c>
      <c r="D328" t="inlineStr">
        <is>
          <t>DALARNAS LÄN</t>
        </is>
      </c>
      <c r="E328" t="inlineStr">
        <is>
          <t>ÄLVDALEN</t>
        </is>
      </c>
      <c r="F328" t="inlineStr">
        <is>
          <t>Kommuner</t>
        </is>
      </c>
      <c r="G328" t="n">
        <v>14.7</v>
      </c>
      <c r="H328" t="n">
        <v>0</v>
      </c>
      <c r="I328" t="n">
        <v>0</v>
      </c>
      <c r="J328" t="n">
        <v>0</v>
      </c>
      <c r="K328" t="n">
        <v>0</v>
      </c>
      <c r="L328" t="n">
        <v>0</v>
      </c>
      <c r="M328" t="n">
        <v>0</v>
      </c>
      <c r="N328" t="n">
        <v>0</v>
      </c>
      <c r="O328" t="n">
        <v>0</v>
      </c>
      <c r="P328" t="n">
        <v>0</v>
      </c>
      <c r="Q328" t="n">
        <v>0</v>
      </c>
      <c r="R328" s="2" t="inlineStr"/>
    </row>
    <row r="329" ht="15" customHeight="1">
      <c r="A329" t="inlineStr">
        <is>
          <t>A 4034-2021</t>
        </is>
      </c>
      <c r="B329" s="1" t="n">
        <v>44222</v>
      </c>
      <c r="C329" s="1" t="n">
        <v>45626</v>
      </c>
      <c r="D329" t="inlineStr">
        <is>
          <t>DALARNAS LÄN</t>
        </is>
      </c>
      <c r="E329" t="inlineStr">
        <is>
          <t>ÄLVDALEN</t>
        </is>
      </c>
      <c r="G329" t="n">
        <v>0.9</v>
      </c>
      <c r="H329" t="n">
        <v>0</v>
      </c>
      <c r="I329" t="n">
        <v>0</v>
      </c>
      <c r="J329" t="n">
        <v>0</v>
      </c>
      <c r="K329" t="n">
        <v>0</v>
      </c>
      <c r="L329" t="n">
        <v>0</v>
      </c>
      <c r="M329" t="n">
        <v>0</v>
      </c>
      <c r="N329" t="n">
        <v>0</v>
      </c>
      <c r="O329" t="n">
        <v>0</v>
      </c>
      <c r="P329" t="n">
        <v>0</v>
      </c>
      <c r="Q329" t="n">
        <v>0</v>
      </c>
      <c r="R329" s="2" t="inlineStr"/>
    </row>
    <row r="330" ht="15" customHeight="1">
      <c r="A330" t="inlineStr">
        <is>
          <t>A 4589-2021</t>
        </is>
      </c>
      <c r="B330" s="1" t="n">
        <v>44224</v>
      </c>
      <c r="C330" s="1" t="n">
        <v>45626</v>
      </c>
      <c r="D330" t="inlineStr">
        <is>
          <t>DALARNAS LÄN</t>
        </is>
      </c>
      <c r="E330" t="inlineStr">
        <is>
          <t>ÄLVDALEN</t>
        </is>
      </c>
      <c r="G330" t="n">
        <v>4.9</v>
      </c>
      <c r="H330" t="n">
        <v>0</v>
      </c>
      <c r="I330" t="n">
        <v>0</v>
      </c>
      <c r="J330" t="n">
        <v>0</v>
      </c>
      <c r="K330" t="n">
        <v>0</v>
      </c>
      <c r="L330" t="n">
        <v>0</v>
      </c>
      <c r="M330" t="n">
        <v>0</v>
      </c>
      <c r="N330" t="n">
        <v>0</v>
      </c>
      <c r="O330" t="n">
        <v>0</v>
      </c>
      <c r="P330" t="n">
        <v>0</v>
      </c>
      <c r="Q330" t="n">
        <v>0</v>
      </c>
      <c r="R330" s="2" t="inlineStr"/>
    </row>
    <row r="331" ht="15" customHeight="1">
      <c r="A331" t="inlineStr">
        <is>
          <t>A 5319-2021</t>
        </is>
      </c>
      <c r="B331" s="1" t="n">
        <v>44229</v>
      </c>
      <c r="C331" s="1" t="n">
        <v>45626</v>
      </c>
      <c r="D331" t="inlineStr">
        <is>
          <t>DALARNAS LÄN</t>
        </is>
      </c>
      <c r="E331" t="inlineStr">
        <is>
          <t>ÄLVDALEN</t>
        </is>
      </c>
      <c r="F331" t="inlineStr">
        <is>
          <t>Kommuner</t>
        </is>
      </c>
      <c r="G331" t="n">
        <v>15.3</v>
      </c>
      <c r="H331" t="n">
        <v>0</v>
      </c>
      <c r="I331" t="n">
        <v>0</v>
      </c>
      <c r="J331" t="n">
        <v>0</v>
      </c>
      <c r="K331" t="n">
        <v>0</v>
      </c>
      <c r="L331" t="n">
        <v>0</v>
      </c>
      <c r="M331" t="n">
        <v>0</v>
      </c>
      <c r="N331" t="n">
        <v>0</v>
      </c>
      <c r="O331" t="n">
        <v>0</v>
      </c>
      <c r="P331" t="n">
        <v>0</v>
      </c>
      <c r="Q331" t="n">
        <v>0</v>
      </c>
      <c r="R331" s="2" t="inlineStr"/>
    </row>
    <row r="332" ht="15" customHeight="1">
      <c r="A332" t="inlineStr">
        <is>
          <t>A 5567-2021</t>
        </is>
      </c>
      <c r="B332" s="1" t="n">
        <v>44230</v>
      </c>
      <c r="C332" s="1" t="n">
        <v>45626</v>
      </c>
      <c r="D332" t="inlineStr">
        <is>
          <t>DALARNAS LÄN</t>
        </is>
      </c>
      <c r="E332" t="inlineStr">
        <is>
          <t>ÄLVDALEN</t>
        </is>
      </c>
      <c r="F332" t="inlineStr">
        <is>
          <t>Övriga statliga verk och myndigheter</t>
        </is>
      </c>
      <c r="G332" t="n">
        <v>29.1</v>
      </c>
      <c r="H332" t="n">
        <v>0</v>
      </c>
      <c r="I332" t="n">
        <v>0</v>
      </c>
      <c r="J332" t="n">
        <v>0</v>
      </c>
      <c r="K332" t="n">
        <v>0</v>
      </c>
      <c r="L332" t="n">
        <v>0</v>
      </c>
      <c r="M332" t="n">
        <v>0</v>
      </c>
      <c r="N332" t="n">
        <v>0</v>
      </c>
      <c r="O332" t="n">
        <v>0</v>
      </c>
      <c r="P332" t="n">
        <v>0</v>
      </c>
      <c r="Q332" t="n">
        <v>0</v>
      </c>
      <c r="R332" s="2" t="inlineStr"/>
    </row>
    <row r="333" ht="15" customHeight="1">
      <c r="A333" t="inlineStr">
        <is>
          <t>A 7164-2021</t>
        </is>
      </c>
      <c r="B333" s="1" t="n">
        <v>44238</v>
      </c>
      <c r="C333" s="1" t="n">
        <v>45626</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7232-2021</t>
        </is>
      </c>
      <c r="B334" s="1" t="n">
        <v>44238</v>
      </c>
      <c r="C334" s="1" t="n">
        <v>45626</v>
      </c>
      <c r="D334" t="inlineStr">
        <is>
          <t>DALARNAS LÄN</t>
        </is>
      </c>
      <c r="E334" t="inlineStr">
        <is>
          <t>ÄLVDALEN</t>
        </is>
      </c>
      <c r="G334" t="n">
        <v>1.3</v>
      </c>
      <c r="H334" t="n">
        <v>0</v>
      </c>
      <c r="I334" t="n">
        <v>0</v>
      </c>
      <c r="J334" t="n">
        <v>0</v>
      </c>
      <c r="K334" t="n">
        <v>0</v>
      </c>
      <c r="L334" t="n">
        <v>0</v>
      </c>
      <c r="M334" t="n">
        <v>0</v>
      </c>
      <c r="N334" t="n">
        <v>0</v>
      </c>
      <c r="O334" t="n">
        <v>0</v>
      </c>
      <c r="P334" t="n">
        <v>0</v>
      </c>
      <c r="Q334" t="n">
        <v>0</v>
      </c>
      <c r="R334" s="2" t="inlineStr"/>
    </row>
    <row r="335" ht="15" customHeight="1">
      <c r="A335" t="inlineStr">
        <is>
          <t>A 11032-2021</t>
        </is>
      </c>
      <c r="B335" s="1" t="n">
        <v>44260</v>
      </c>
      <c r="C335" s="1" t="n">
        <v>45626</v>
      </c>
      <c r="D335" t="inlineStr">
        <is>
          <t>DALARNAS LÄN</t>
        </is>
      </c>
      <c r="E335" t="inlineStr">
        <is>
          <t>ÄLVDALEN</t>
        </is>
      </c>
      <c r="F335" t="inlineStr">
        <is>
          <t>Övriga statliga verk och myndigheter</t>
        </is>
      </c>
      <c r="G335" t="n">
        <v>35.9</v>
      </c>
      <c r="H335" t="n">
        <v>0</v>
      </c>
      <c r="I335" t="n">
        <v>0</v>
      </c>
      <c r="J335" t="n">
        <v>0</v>
      </c>
      <c r="K335" t="n">
        <v>0</v>
      </c>
      <c r="L335" t="n">
        <v>0</v>
      </c>
      <c r="M335" t="n">
        <v>0</v>
      </c>
      <c r="N335" t="n">
        <v>0</v>
      </c>
      <c r="O335" t="n">
        <v>0</v>
      </c>
      <c r="P335" t="n">
        <v>0</v>
      </c>
      <c r="Q335" t="n">
        <v>0</v>
      </c>
      <c r="R335" s="2" t="inlineStr"/>
    </row>
    <row r="336" ht="15" customHeight="1">
      <c r="A336" t="inlineStr">
        <is>
          <t>A 14290-2021</t>
        </is>
      </c>
      <c r="B336" s="1" t="n">
        <v>44278</v>
      </c>
      <c r="C336" s="1" t="n">
        <v>45626</v>
      </c>
      <c r="D336" t="inlineStr">
        <is>
          <t>DALARNAS LÄN</t>
        </is>
      </c>
      <c r="E336" t="inlineStr">
        <is>
          <t>ÄLVDALEN</t>
        </is>
      </c>
      <c r="G336" t="n">
        <v>1.9</v>
      </c>
      <c r="H336" t="n">
        <v>0</v>
      </c>
      <c r="I336" t="n">
        <v>0</v>
      </c>
      <c r="J336" t="n">
        <v>0</v>
      </c>
      <c r="K336" t="n">
        <v>0</v>
      </c>
      <c r="L336" t="n">
        <v>0</v>
      </c>
      <c r="M336" t="n">
        <v>0</v>
      </c>
      <c r="N336" t="n">
        <v>0</v>
      </c>
      <c r="O336" t="n">
        <v>0</v>
      </c>
      <c r="P336" t="n">
        <v>0</v>
      </c>
      <c r="Q336" t="n">
        <v>0</v>
      </c>
      <c r="R336" s="2" t="inlineStr"/>
    </row>
    <row r="337" ht="15" customHeight="1">
      <c r="A337" t="inlineStr">
        <is>
          <t>A 14548-2021</t>
        </is>
      </c>
      <c r="B337" s="1" t="n">
        <v>44279</v>
      </c>
      <c r="C337" s="1" t="n">
        <v>45626</v>
      </c>
      <c r="D337" t="inlineStr">
        <is>
          <t>DALARNAS LÄN</t>
        </is>
      </c>
      <c r="E337" t="inlineStr">
        <is>
          <t>ÄLVDALEN</t>
        </is>
      </c>
      <c r="G337" t="n">
        <v>6</v>
      </c>
      <c r="H337" t="n">
        <v>0</v>
      </c>
      <c r="I337" t="n">
        <v>0</v>
      </c>
      <c r="J337" t="n">
        <v>0</v>
      </c>
      <c r="K337" t="n">
        <v>0</v>
      </c>
      <c r="L337" t="n">
        <v>0</v>
      </c>
      <c r="M337" t="n">
        <v>0</v>
      </c>
      <c r="N337" t="n">
        <v>0</v>
      </c>
      <c r="O337" t="n">
        <v>0</v>
      </c>
      <c r="P337" t="n">
        <v>0</v>
      </c>
      <c r="Q337" t="n">
        <v>0</v>
      </c>
      <c r="R337" s="2" t="inlineStr"/>
    </row>
    <row r="338" ht="15" customHeight="1">
      <c r="A338" t="inlineStr">
        <is>
          <t>A 15045-2021</t>
        </is>
      </c>
      <c r="B338" s="1" t="n">
        <v>44281</v>
      </c>
      <c r="C338" s="1" t="n">
        <v>45626</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14995-2021</t>
        </is>
      </c>
      <c r="B339" s="1" t="n">
        <v>44281</v>
      </c>
      <c r="C339" s="1" t="n">
        <v>45626</v>
      </c>
      <c r="D339" t="inlineStr">
        <is>
          <t>DALARNAS LÄN</t>
        </is>
      </c>
      <c r="E339" t="inlineStr">
        <is>
          <t>ÄLVDALEN</t>
        </is>
      </c>
      <c r="G339" t="n">
        <v>17.8</v>
      </c>
      <c r="H339" t="n">
        <v>0</v>
      </c>
      <c r="I339" t="n">
        <v>0</v>
      </c>
      <c r="J339" t="n">
        <v>0</v>
      </c>
      <c r="K339" t="n">
        <v>0</v>
      </c>
      <c r="L339" t="n">
        <v>0</v>
      </c>
      <c r="M339" t="n">
        <v>0</v>
      </c>
      <c r="N339" t="n">
        <v>0</v>
      </c>
      <c r="O339" t="n">
        <v>0</v>
      </c>
      <c r="P339" t="n">
        <v>0</v>
      </c>
      <c r="Q339" t="n">
        <v>0</v>
      </c>
      <c r="R339" s="2" t="inlineStr"/>
    </row>
    <row r="340" ht="15" customHeight="1">
      <c r="A340" t="inlineStr">
        <is>
          <t>A 15251-2021</t>
        </is>
      </c>
      <c r="B340" s="1" t="n">
        <v>44284</v>
      </c>
      <c r="C340" s="1" t="n">
        <v>45626</v>
      </c>
      <c r="D340" t="inlineStr">
        <is>
          <t>DALARNAS LÄN</t>
        </is>
      </c>
      <c r="E340" t="inlineStr">
        <is>
          <t>ÄLVDALEN</t>
        </is>
      </c>
      <c r="G340" t="n">
        <v>6.1</v>
      </c>
      <c r="H340" t="n">
        <v>0</v>
      </c>
      <c r="I340" t="n">
        <v>0</v>
      </c>
      <c r="J340" t="n">
        <v>0</v>
      </c>
      <c r="K340" t="n">
        <v>0</v>
      </c>
      <c r="L340" t="n">
        <v>0</v>
      </c>
      <c r="M340" t="n">
        <v>0</v>
      </c>
      <c r="N340" t="n">
        <v>0</v>
      </c>
      <c r="O340" t="n">
        <v>0</v>
      </c>
      <c r="P340" t="n">
        <v>0</v>
      </c>
      <c r="Q340" t="n">
        <v>0</v>
      </c>
      <c r="R340" s="2" t="inlineStr"/>
    </row>
    <row r="341" ht="15" customHeight="1">
      <c r="A341" t="inlineStr">
        <is>
          <t>A 15952-2021</t>
        </is>
      </c>
      <c r="B341" s="1" t="n">
        <v>44286</v>
      </c>
      <c r="C341" s="1" t="n">
        <v>45626</v>
      </c>
      <c r="D341" t="inlineStr">
        <is>
          <t>DALARNAS LÄN</t>
        </is>
      </c>
      <c r="E341" t="inlineStr">
        <is>
          <t>ÄLVDALEN</t>
        </is>
      </c>
      <c r="F341" t="inlineStr">
        <is>
          <t>Övriga statliga verk och myndigheter</t>
        </is>
      </c>
      <c r="G341" t="n">
        <v>6.6</v>
      </c>
      <c r="H341" t="n">
        <v>0</v>
      </c>
      <c r="I341" t="n">
        <v>0</v>
      </c>
      <c r="J341" t="n">
        <v>0</v>
      </c>
      <c r="K341" t="n">
        <v>0</v>
      </c>
      <c r="L341" t="n">
        <v>0</v>
      </c>
      <c r="M341" t="n">
        <v>0</v>
      </c>
      <c r="N341" t="n">
        <v>0</v>
      </c>
      <c r="O341" t="n">
        <v>0</v>
      </c>
      <c r="P341" t="n">
        <v>0</v>
      </c>
      <c r="Q341" t="n">
        <v>0</v>
      </c>
      <c r="R341" s="2" t="inlineStr"/>
    </row>
    <row r="342" ht="15" customHeight="1">
      <c r="A342" t="inlineStr">
        <is>
          <t>A 16262-2021</t>
        </is>
      </c>
      <c r="B342" s="1" t="n">
        <v>44292</v>
      </c>
      <c r="C342" s="1" t="n">
        <v>45626</v>
      </c>
      <c r="D342" t="inlineStr">
        <is>
          <t>DALARNAS LÄN</t>
        </is>
      </c>
      <c r="E342" t="inlineStr">
        <is>
          <t>ÄLVDALEN</t>
        </is>
      </c>
      <c r="G342" t="n">
        <v>2.2</v>
      </c>
      <c r="H342" t="n">
        <v>0</v>
      </c>
      <c r="I342" t="n">
        <v>0</v>
      </c>
      <c r="J342" t="n">
        <v>0</v>
      </c>
      <c r="K342" t="n">
        <v>0</v>
      </c>
      <c r="L342" t="n">
        <v>0</v>
      </c>
      <c r="M342" t="n">
        <v>0</v>
      </c>
      <c r="N342" t="n">
        <v>0</v>
      </c>
      <c r="O342" t="n">
        <v>0</v>
      </c>
      <c r="P342" t="n">
        <v>0</v>
      </c>
      <c r="Q342" t="n">
        <v>0</v>
      </c>
      <c r="R342" s="2" t="inlineStr"/>
    </row>
    <row r="343" ht="15" customHeight="1">
      <c r="A343" t="inlineStr">
        <is>
          <t>A 18961-2021</t>
        </is>
      </c>
      <c r="B343" s="1" t="n">
        <v>44308</v>
      </c>
      <c r="C343" s="1" t="n">
        <v>45626</v>
      </c>
      <c r="D343" t="inlineStr">
        <is>
          <t>DALARNAS LÄN</t>
        </is>
      </c>
      <c r="E343" t="inlineStr">
        <is>
          <t>ÄLVDALEN</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19766-2021</t>
        </is>
      </c>
      <c r="B344" s="1" t="n">
        <v>44309</v>
      </c>
      <c r="C344" s="1" t="n">
        <v>45626</v>
      </c>
      <c r="D344" t="inlineStr">
        <is>
          <t>DALARNAS LÄN</t>
        </is>
      </c>
      <c r="E344" t="inlineStr">
        <is>
          <t>ÄLVDALEN</t>
        </is>
      </c>
      <c r="G344" t="n">
        <v>8.9</v>
      </c>
      <c r="H344" t="n">
        <v>0</v>
      </c>
      <c r="I344" t="n">
        <v>0</v>
      </c>
      <c r="J344" t="n">
        <v>0</v>
      </c>
      <c r="K344" t="n">
        <v>0</v>
      </c>
      <c r="L344" t="n">
        <v>0</v>
      </c>
      <c r="M344" t="n">
        <v>0</v>
      </c>
      <c r="N344" t="n">
        <v>0</v>
      </c>
      <c r="O344" t="n">
        <v>0</v>
      </c>
      <c r="P344" t="n">
        <v>0</v>
      </c>
      <c r="Q344" t="n">
        <v>0</v>
      </c>
      <c r="R344" s="2" t="inlineStr"/>
    </row>
    <row r="345" ht="15" customHeight="1">
      <c r="A345" t="inlineStr">
        <is>
          <t>A 19763-2021</t>
        </is>
      </c>
      <c r="B345" s="1" t="n">
        <v>44309</v>
      </c>
      <c r="C345" s="1" t="n">
        <v>45626</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19313-2021</t>
        </is>
      </c>
      <c r="B346" s="1" t="n">
        <v>44309</v>
      </c>
      <c r="C346" s="1" t="n">
        <v>45626</v>
      </c>
      <c r="D346" t="inlineStr">
        <is>
          <t>DALARNAS LÄN</t>
        </is>
      </c>
      <c r="E346" t="inlineStr">
        <is>
          <t>ÄLVDALEN</t>
        </is>
      </c>
      <c r="G346" t="n">
        <v>0.2</v>
      </c>
      <c r="H346" t="n">
        <v>0</v>
      </c>
      <c r="I346" t="n">
        <v>0</v>
      </c>
      <c r="J346" t="n">
        <v>0</v>
      </c>
      <c r="K346" t="n">
        <v>0</v>
      </c>
      <c r="L346" t="n">
        <v>0</v>
      </c>
      <c r="M346" t="n">
        <v>0</v>
      </c>
      <c r="N346" t="n">
        <v>0</v>
      </c>
      <c r="O346" t="n">
        <v>0</v>
      </c>
      <c r="P346" t="n">
        <v>0</v>
      </c>
      <c r="Q346" t="n">
        <v>0</v>
      </c>
      <c r="R346" s="2" t="inlineStr"/>
    </row>
    <row r="347" ht="15" customHeight="1">
      <c r="A347" t="inlineStr">
        <is>
          <t>A 19312-2021</t>
        </is>
      </c>
      <c r="B347" s="1" t="n">
        <v>44309</v>
      </c>
      <c r="C347" s="1" t="n">
        <v>45626</v>
      </c>
      <c r="D347" t="inlineStr">
        <is>
          <t>DALARNAS LÄN</t>
        </is>
      </c>
      <c r="E347" t="inlineStr">
        <is>
          <t>ÄLVDALEN</t>
        </is>
      </c>
      <c r="G347" t="n">
        <v>0.4</v>
      </c>
      <c r="H347" t="n">
        <v>0</v>
      </c>
      <c r="I347" t="n">
        <v>0</v>
      </c>
      <c r="J347" t="n">
        <v>0</v>
      </c>
      <c r="K347" t="n">
        <v>0</v>
      </c>
      <c r="L347" t="n">
        <v>0</v>
      </c>
      <c r="M347" t="n">
        <v>0</v>
      </c>
      <c r="N347" t="n">
        <v>0</v>
      </c>
      <c r="O347" t="n">
        <v>0</v>
      </c>
      <c r="P347" t="n">
        <v>0</v>
      </c>
      <c r="Q347" t="n">
        <v>0</v>
      </c>
      <c r="R347" s="2" t="inlineStr"/>
    </row>
    <row r="348" ht="15" customHeight="1">
      <c r="A348" t="inlineStr">
        <is>
          <t>A 19761-2021</t>
        </is>
      </c>
      <c r="B348" s="1" t="n">
        <v>44309</v>
      </c>
      <c r="C348" s="1" t="n">
        <v>45626</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19759-2021</t>
        </is>
      </c>
      <c r="B349" s="1" t="n">
        <v>44309</v>
      </c>
      <c r="C349" s="1" t="n">
        <v>45626</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20050-2021</t>
        </is>
      </c>
      <c r="B350" s="1" t="n">
        <v>44314</v>
      </c>
      <c r="C350" s="1" t="n">
        <v>45626</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20162-2021</t>
        </is>
      </c>
      <c r="B351" s="1" t="n">
        <v>44314</v>
      </c>
      <c r="C351" s="1" t="n">
        <v>45626</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21832-2021</t>
        </is>
      </c>
      <c r="B352" s="1" t="n">
        <v>44322</v>
      </c>
      <c r="C352" s="1" t="n">
        <v>45626</v>
      </c>
      <c r="D352" t="inlineStr">
        <is>
          <t>DALARNAS LÄN</t>
        </is>
      </c>
      <c r="E352" t="inlineStr">
        <is>
          <t>ÄLVDALEN</t>
        </is>
      </c>
      <c r="F352" t="inlineStr">
        <is>
          <t>Allmännings- och besparingsskogar</t>
        </is>
      </c>
      <c r="G352" t="n">
        <v>2.5</v>
      </c>
      <c r="H352" t="n">
        <v>0</v>
      </c>
      <c r="I352" t="n">
        <v>0</v>
      </c>
      <c r="J352" t="n">
        <v>0</v>
      </c>
      <c r="K352" t="n">
        <v>0</v>
      </c>
      <c r="L352" t="n">
        <v>0</v>
      </c>
      <c r="M352" t="n">
        <v>0</v>
      </c>
      <c r="N352" t="n">
        <v>0</v>
      </c>
      <c r="O352" t="n">
        <v>0</v>
      </c>
      <c r="P352" t="n">
        <v>0</v>
      </c>
      <c r="Q352" t="n">
        <v>0</v>
      </c>
      <c r="R352" s="2" t="inlineStr"/>
    </row>
    <row r="353" ht="15" customHeight="1">
      <c r="A353" t="inlineStr">
        <is>
          <t>A 22454-2021</t>
        </is>
      </c>
      <c r="B353" s="1" t="n">
        <v>44326</v>
      </c>
      <c r="C353" s="1" t="n">
        <v>45626</v>
      </c>
      <c r="D353" t="inlineStr">
        <is>
          <t>DALARNAS LÄN</t>
        </is>
      </c>
      <c r="E353" t="inlineStr">
        <is>
          <t>ÄLVDALEN</t>
        </is>
      </c>
      <c r="F353" t="inlineStr">
        <is>
          <t>Allmännings- och besparingsskogar</t>
        </is>
      </c>
      <c r="G353" t="n">
        <v>4.3</v>
      </c>
      <c r="H353" t="n">
        <v>0</v>
      </c>
      <c r="I353" t="n">
        <v>0</v>
      </c>
      <c r="J353" t="n">
        <v>0</v>
      </c>
      <c r="K353" t="n">
        <v>0</v>
      </c>
      <c r="L353" t="n">
        <v>0</v>
      </c>
      <c r="M353" t="n">
        <v>0</v>
      </c>
      <c r="N353" t="n">
        <v>0</v>
      </c>
      <c r="O353" t="n">
        <v>0</v>
      </c>
      <c r="P353" t="n">
        <v>0</v>
      </c>
      <c r="Q353" t="n">
        <v>0</v>
      </c>
      <c r="R353" s="2" t="inlineStr"/>
    </row>
    <row r="354" ht="15" customHeight="1">
      <c r="A354" t="inlineStr">
        <is>
          <t>A 22761-2021</t>
        </is>
      </c>
      <c r="B354" s="1" t="n">
        <v>44327</v>
      </c>
      <c r="C354" s="1" t="n">
        <v>45626</v>
      </c>
      <c r="D354" t="inlineStr">
        <is>
          <t>DALARNAS LÄN</t>
        </is>
      </c>
      <c r="E354" t="inlineStr">
        <is>
          <t>ÄLVDALEN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22760-2021</t>
        </is>
      </c>
      <c r="B355" s="1" t="n">
        <v>44327</v>
      </c>
      <c r="C355" s="1" t="n">
        <v>45626</v>
      </c>
      <c r="D355" t="inlineStr">
        <is>
          <t>DALARNAS LÄN</t>
        </is>
      </c>
      <c r="E355" t="inlineStr">
        <is>
          <t>ÄLVDALEN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22651-2021</t>
        </is>
      </c>
      <c r="B356" s="1" t="n">
        <v>44327</v>
      </c>
      <c r="C356" s="1" t="n">
        <v>45626</v>
      </c>
      <c r="D356" t="inlineStr">
        <is>
          <t>DALARNAS LÄN</t>
        </is>
      </c>
      <c r="E356" t="inlineStr">
        <is>
          <t>ÄLVDALEN</t>
        </is>
      </c>
      <c r="G356" t="n">
        <v>5.9</v>
      </c>
      <c r="H356" t="n">
        <v>0</v>
      </c>
      <c r="I356" t="n">
        <v>0</v>
      </c>
      <c r="J356" t="n">
        <v>0</v>
      </c>
      <c r="K356" t="n">
        <v>0</v>
      </c>
      <c r="L356" t="n">
        <v>0</v>
      </c>
      <c r="M356" t="n">
        <v>0</v>
      </c>
      <c r="N356" t="n">
        <v>0</v>
      </c>
      <c r="O356" t="n">
        <v>0</v>
      </c>
      <c r="P356" t="n">
        <v>0</v>
      </c>
      <c r="Q356" t="n">
        <v>0</v>
      </c>
      <c r="R356" s="2" t="inlineStr"/>
    </row>
    <row r="357" ht="15" customHeight="1">
      <c r="A357" t="inlineStr">
        <is>
          <t>A 24849-2021</t>
        </is>
      </c>
      <c r="B357" s="1" t="n">
        <v>44340</v>
      </c>
      <c r="C357" s="1" t="n">
        <v>45626</v>
      </c>
      <c r="D357" t="inlineStr">
        <is>
          <t>DALARNAS LÄN</t>
        </is>
      </c>
      <c r="E357" t="inlineStr">
        <is>
          <t>ÄLVDALEN</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26080-2021</t>
        </is>
      </c>
      <c r="B358" s="1" t="n">
        <v>44344</v>
      </c>
      <c r="C358" s="1" t="n">
        <v>45626</v>
      </c>
      <c r="D358" t="inlineStr">
        <is>
          <t>DALARNAS LÄN</t>
        </is>
      </c>
      <c r="E358" t="inlineStr">
        <is>
          <t>ÄLVDALEN</t>
        </is>
      </c>
      <c r="G358" t="n">
        <v>2.3</v>
      </c>
      <c r="H358" t="n">
        <v>0</v>
      </c>
      <c r="I358" t="n">
        <v>0</v>
      </c>
      <c r="J358" t="n">
        <v>0</v>
      </c>
      <c r="K358" t="n">
        <v>0</v>
      </c>
      <c r="L358" t="n">
        <v>0</v>
      </c>
      <c r="M358" t="n">
        <v>0</v>
      </c>
      <c r="N358" t="n">
        <v>0</v>
      </c>
      <c r="O358" t="n">
        <v>0</v>
      </c>
      <c r="P358" t="n">
        <v>0</v>
      </c>
      <c r="Q358" t="n">
        <v>0</v>
      </c>
      <c r="R358" s="2" t="inlineStr"/>
    </row>
    <row r="359" ht="15" customHeight="1">
      <c r="A359" t="inlineStr">
        <is>
          <t>A 26249-2021</t>
        </is>
      </c>
      <c r="B359" s="1" t="n">
        <v>44347</v>
      </c>
      <c r="C359" s="1" t="n">
        <v>45626</v>
      </c>
      <c r="D359" t="inlineStr">
        <is>
          <t>DALARNAS LÄN</t>
        </is>
      </c>
      <c r="E359" t="inlineStr">
        <is>
          <t>ÄLVDALEN</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26734-2021</t>
        </is>
      </c>
      <c r="B360" s="1" t="n">
        <v>44349</v>
      </c>
      <c r="C360" s="1" t="n">
        <v>45626</v>
      </c>
      <c r="D360" t="inlineStr">
        <is>
          <t>DALARNAS LÄN</t>
        </is>
      </c>
      <c r="E360" t="inlineStr">
        <is>
          <t>ÄLVDALEN</t>
        </is>
      </c>
      <c r="F360" t="inlineStr">
        <is>
          <t>Bergvik skog väst AB</t>
        </is>
      </c>
      <c r="G360" t="n">
        <v>0.8</v>
      </c>
      <c r="H360" t="n">
        <v>0</v>
      </c>
      <c r="I360" t="n">
        <v>0</v>
      </c>
      <c r="J360" t="n">
        <v>0</v>
      </c>
      <c r="K360" t="n">
        <v>0</v>
      </c>
      <c r="L360" t="n">
        <v>0</v>
      </c>
      <c r="M360" t="n">
        <v>0</v>
      </c>
      <c r="N360" t="n">
        <v>0</v>
      </c>
      <c r="O360" t="n">
        <v>0</v>
      </c>
      <c r="P360" t="n">
        <v>0</v>
      </c>
      <c r="Q360" t="n">
        <v>0</v>
      </c>
      <c r="R360" s="2" t="inlineStr"/>
    </row>
    <row r="361" ht="15" customHeight="1">
      <c r="A361" t="inlineStr">
        <is>
          <t>A 26726-2021</t>
        </is>
      </c>
      <c r="B361" s="1" t="n">
        <v>44349</v>
      </c>
      <c r="C361" s="1" t="n">
        <v>45626</v>
      </c>
      <c r="D361" t="inlineStr">
        <is>
          <t>DALARNAS LÄN</t>
        </is>
      </c>
      <c r="E361" t="inlineStr">
        <is>
          <t>ÄLVDALEN</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26874-2021</t>
        </is>
      </c>
      <c r="B362" s="1" t="n">
        <v>44349</v>
      </c>
      <c r="C362" s="1" t="n">
        <v>45626</v>
      </c>
      <c r="D362" t="inlineStr">
        <is>
          <t>DALARNAS LÄN</t>
        </is>
      </c>
      <c r="E362" t="inlineStr">
        <is>
          <t>ÄLVDALEN</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27022-2021</t>
        </is>
      </c>
      <c r="B363" s="1" t="n">
        <v>44350</v>
      </c>
      <c r="C363" s="1" t="n">
        <v>45626</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28011-2021</t>
        </is>
      </c>
      <c r="B364" s="1" t="n">
        <v>44355</v>
      </c>
      <c r="C364" s="1" t="n">
        <v>45626</v>
      </c>
      <c r="D364" t="inlineStr">
        <is>
          <t>DALARNAS LÄN</t>
        </is>
      </c>
      <c r="E364" t="inlineStr">
        <is>
          <t>ÄLVDALEN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28712-2021</t>
        </is>
      </c>
      <c r="B365" s="1" t="n">
        <v>44357</v>
      </c>
      <c r="C365" s="1" t="n">
        <v>45626</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30255-2021</t>
        </is>
      </c>
      <c r="B366" s="1" t="n">
        <v>44363</v>
      </c>
      <c r="C366" s="1" t="n">
        <v>45626</v>
      </c>
      <c r="D366" t="inlineStr">
        <is>
          <t>DALARNAS LÄN</t>
        </is>
      </c>
      <c r="E366" t="inlineStr">
        <is>
          <t>ÄLVDALEN</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30254-2021</t>
        </is>
      </c>
      <c r="B367" s="1" t="n">
        <v>44363</v>
      </c>
      <c r="C367" s="1" t="n">
        <v>45626</v>
      </c>
      <c r="D367" t="inlineStr">
        <is>
          <t>DALARNAS LÄN</t>
        </is>
      </c>
      <c r="E367" t="inlineStr">
        <is>
          <t>ÄLVDALEN</t>
        </is>
      </c>
      <c r="F367" t="inlineStr">
        <is>
          <t>Sveaskog</t>
        </is>
      </c>
      <c r="G367" t="n">
        <v>8.1</v>
      </c>
      <c r="H367" t="n">
        <v>0</v>
      </c>
      <c r="I367" t="n">
        <v>0</v>
      </c>
      <c r="J367" t="n">
        <v>0</v>
      </c>
      <c r="K367" t="n">
        <v>0</v>
      </c>
      <c r="L367" t="n">
        <v>0</v>
      </c>
      <c r="M367" t="n">
        <v>0</v>
      </c>
      <c r="N367" t="n">
        <v>0</v>
      </c>
      <c r="O367" t="n">
        <v>0</v>
      </c>
      <c r="P367" t="n">
        <v>0</v>
      </c>
      <c r="Q367" t="n">
        <v>0</v>
      </c>
      <c r="R367" s="2" t="inlineStr"/>
    </row>
    <row r="368" ht="15" customHeight="1">
      <c r="A368" t="inlineStr">
        <is>
          <t>A 30249-2021</t>
        </is>
      </c>
      <c r="B368" s="1" t="n">
        <v>44363</v>
      </c>
      <c r="C368" s="1" t="n">
        <v>45626</v>
      </c>
      <c r="D368" t="inlineStr">
        <is>
          <t>DALARNAS LÄN</t>
        </is>
      </c>
      <c r="E368" t="inlineStr">
        <is>
          <t>ÄLVDALEN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30355-2021</t>
        </is>
      </c>
      <c r="B369" s="1" t="n">
        <v>44364</v>
      </c>
      <c r="C369" s="1" t="n">
        <v>45626</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30797-2021</t>
        </is>
      </c>
      <c r="B370" s="1" t="n">
        <v>44365</v>
      </c>
      <c r="C370" s="1" t="n">
        <v>45626</v>
      </c>
      <c r="D370" t="inlineStr">
        <is>
          <t>DALARNAS LÄN</t>
        </is>
      </c>
      <c r="E370" t="inlineStr">
        <is>
          <t>ÄLVDALEN</t>
        </is>
      </c>
      <c r="G370" t="n">
        <v>2.1</v>
      </c>
      <c r="H370" t="n">
        <v>0</v>
      </c>
      <c r="I370" t="n">
        <v>0</v>
      </c>
      <c r="J370" t="n">
        <v>0</v>
      </c>
      <c r="K370" t="n">
        <v>0</v>
      </c>
      <c r="L370" t="n">
        <v>0</v>
      </c>
      <c r="M370" t="n">
        <v>0</v>
      </c>
      <c r="N370" t="n">
        <v>0</v>
      </c>
      <c r="O370" t="n">
        <v>0</v>
      </c>
      <c r="P370" t="n">
        <v>0</v>
      </c>
      <c r="Q370" t="n">
        <v>0</v>
      </c>
      <c r="R370" s="2" t="inlineStr"/>
    </row>
    <row r="371" ht="15" customHeight="1">
      <c r="A371" t="inlineStr">
        <is>
          <t>A 30799-2021</t>
        </is>
      </c>
      <c r="B371" s="1" t="n">
        <v>44365</v>
      </c>
      <c r="C371" s="1" t="n">
        <v>45626</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30972-2021</t>
        </is>
      </c>
      <c r="B372" s="1" t="n">
        <v>44365</v>
      </c>
      <c r="C372" s="1" t="n">
        <v>45626</v>
      </c>
      <c r="D372" t="inlineStr">
        <is>
          <t>DALARNAS LÄN</t>
        </is>
      </c>
      <c r="E372" t="inlineStr">
        <is>
          <t>ÄLVDALEN</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30969-2021</t>
        </is>
      </c>
      <c r="B373" s="1" t="n">
        <v>44365</v>
      </c>
      <c r="C373" s="1" t="n">
        <v>45626</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31167-2021</t>
        </is>
      </c>
      <c r="B374" s="1" t="n">
        <v>44368</v>
      </c>
      <c r="C374" s="1" t="n">
        <v>45626</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31714-2021</t>
        </is>
      </c>
      <c r="B375" s="1" t="n">
        <v>44369</v>
      </c>
      <c r="C375" s="1" t="n">
        <v>45626</v>
      </c>
      <c r="D375" t="inlineStr">
        <is>
          <t>DALARNAS LÄN</t>
        </is>
      </c>
      <c r="E375" t="inlineStr">
        <is>
          <t>ÄLVDALEN</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32009-2021</t>
        </is>
      </c>
      <c r="B376" s="1" t="n">
        <v>44370</v>
      </c>
      <c r="C376" s="1" t="n">
        <v>45626</v>
      </c>
      <c r="D376" t="inlineStr">
        <is>
          <t>DALARNAS LÄN</t>
        </is>
      </c>
      <c r="E376" t="inlineStr">
        <is>
          <t>ÄLVDALEN</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32362-2021</t>
        </is>
      </c>
      <c r="B377" s="1" t="n">
        <v>44371</v>
      </c>
      <c r="C377" s="1" t="n">
        <v>45626</v>
      </c>
      <c r="D377" t="inlineStr">
        <is>
          <t>DALARNAS LÄN</t>
        </is>
      </c>
      <c r="E377" t="inlineStr">
        <is>
          <t>ÄLVDALEN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33690-2021</t>
        </is>
      </c>
      <c r="B378" s="1" t="n">
        <v>44378</v>
      </c>
      <c r="C378" s="1" t="n">
        <v>45626</v>
      </c>
      <c r="D378" t="inlineStr">
        <is>
          <t>DALARNAS LÄN</t>
        </is>
      </c>
      <c r="E378" t="inlineStr">
        <is>
          <t>ÄLVDALEN</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33689-2021</t>
        </is>
      </c>
      <c r="B379" s="1" t="n">
        <v>44378</v>
      </c>
      <c r="C379" s="1" t="n">
        <v>45626</v>
      </c>
      <c r="D379" t="inlineStr">
        <is>
          <t>DALARNAS LÄN</t>
        </is>
      </c>
      <c r="E379" t="inlineStr">
        <is>
          <t>ÄLVDALEN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36134-2021</t>
        </is>
      </c>
      <c r="B380" s="1" t="n">
        <v>44389</v>
      </c>
      <c r="C380" s="1" t="n">
        <v>45626</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36574-2021</t>
        </is>
      </c>
      <c r="B381" s="1" t="n">
        <v>44391</v>
      </c>
      <c r="C381" s="1" t="n">
        <v>45626</v>
      </c>
      <c r="D381" t="inlineStr">
        <is>
          <t>DALARNAS LÄN</t>
        </is>
      </c>
      <c r="E381" t="inlineStr">
        <is>
          <t>ÄLVDALEN</t>
        </is>
      </c>
      <c r="F381" t="inlineStr">
        <is>
          <t>Sveaskog</t>
        </is>
      </c>
      <c r="G381" t="n">
        <v>26.2</v>
      </c>
      <c r="H381" t="n">
        <v>0</v>
      </c>
      <c r="I381" t="n">
        <v>0</v>
      </c>
      <c r="J381" t="n">
        <v>0</v>
      </c>
      <c r="K381" t="n">
        <v>0</v>
      </c>
      <c r="L381" t="n">
        <v>0</v>
      </c>
      <c r="M381" t="n">
        <v>0</v>
      </c>
      <c r="N381" t="n">
        <v>0</v>
      </c>
      <c r="O381" t="n">
        <v>0</v>
      </c>
      <c r="P381" t="n">
        <v>0</v>
      </c>
      <c r="Q381" t="n">
        <v>0</v>
      </c>
      <c r="R381" s="2" t="inlineStr"/>
    </row>
    <row r="382" ht="15" customHeight="1">
      <c r="A382" t="inlineStr">
        <is>
          <t>A 36825-2021</t>
        </is>
      </c>
      <c r="B382" s="1" t="n">
        <v>44393</v>
      </c>
      <c r="C382" s="1" t="n">
        <v>45626</v>
      </c>
      <c r="D382" t="inlineStr">
        <is>
          <t>DALARNAS LÄN</t>
        </is>
      </c>
      <c r="E382" t="inlineStr">
        <is>
          <t>ÄLVDALEN</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36846-2021</t>
        </is>
      </c>
      <c r="B383" s="1" t="n">
        <v>44393</v>
      </c>
      <c r="C383" s="1" t="n">
        <v>45626</v>
      </c>
      <c r="D383" t="inlineStr">
        <is>
          <t>DALARNAS LÄN</t>
        </is>
      </c>
      <c r="E383" t="inlineStr">
        <is>
          <t>ÄLVDALEN</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36826-2021</t>
        </is>
      </c>
      <c r="B384" s="1" t="n">
        <v>44393</v>
      </c>
      <c r="C384" s="1" t="n">
        <v>45626</v>
      </c>
      <c r="D384" t="inlineStr">
        <is>
          <t>DALARNAS LÄN</t>
        </is>
      </c>
      <c r="E384" t="inlineStr">
        <is>
          <t>ÄLVDALEN</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36824-2021</t>
        </is>
      </c>
      <c r="B385" s="1" t="n">
        <v>44393</v>
      </c>
      <c r="C385" s="1" t="n">
        <v>45626</v>
      </c>
      <c r="D385" t="inlineStr">
        <is>
          <t>DALARNAS LÄN</t>
        </is>
      </c>
      <c r="E385" t="inlineStr">
        <is>
          <t>ÄLVDALEN</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37009-2021</t>
        </is>
      </c>
      <c r="B386" s="1" t="n">
        <v>44393</v>
      </c>
      <c r="C386" s="1" t="n">
        <v>45626</v>
      </c>
      <c r="D386" t="inlineStr">
        <is>
          <t>DALARNAS LÄN</t>
        </is>
      </c>
      <c r="E386" t="inlineStr">
        <is>
          <t>ÄLVDALEN</t>
        </is>
      </c>
      <c r="F386" t="inlineStr">
        <is>
          <t>Bergvik skog öst AB</t>
        </is>
      </c>
      <c r="G386" t="n">
        <v>3.3</v>
      </c>
      <c r="H386" t="n">
        <v>0</v>
      </c>
      <c r="I386" t="n">
        <v>0</v>
      </c>
      <c r="J386" t="n">
        <v>0</v>
      </c>
      <c r="K386" t="n">
        <v>0</v>
      </c>
      <c r="L386" t="n">
        <v>0</v>
      </c>
      <c r="M386" t="n">
        <v>0</v>
      </c>
      <c r="N386" t="n">
        <v>0</v>
      </c>
      <c r="O386" t="n">
        <v>0</v>
      </c>
      <c r="P386" t="n">
        <v>0</v>
      </c>
      <c r="Q386" t="n">
        <v>0</v>
      </c>
      <c r="R386" s="2" t="inlineStr"/>
    </row>
    <row r="387" ht="15" customHeight="1">
      <c r="A387" t="inlineStr">
        <is>
          <t>A 37490-2021</t>
        </is>
      </c>
      <c r="B387" s="1" t="n">
        <v>44399</v>
      </c>
      <c r="C387" s="1" t="n">
        <v>45626</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45626</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38957-2021</t>
        </is>
      </c>
      <c r="B389" s="1" t="n">
        <v>44411</v>
      </c>
      <c r="C389" s="1" t="n">
        <v>45626</v>
      </c>
      <c r="D389" t="inlineStr">
        <is>
          <t>DALARNAS LÄN</t>
        </is>
      </c>
      <c r="E389" t="inlineStr">
        <is>
          <t>ÄLVDALEN</t>
        </is>
      </c>
      <c r="G389" t="n">
        <v>4.6</v>
      </c>
      <c r="H389" t="n">
        <v>0</v>
      </c>
      <c r="I389" t="n">
        <v>0</v>
      </c>
      <c r="J389" t="n">
        <v>0</v>
      </c>
      <c r="K389" t="n">
        <v>0</v>
      </c>
      <c r="L389" t="n">
        <v>0</v>
      </c>
      <c r="M389" t="n">
        <v>0</v>
      </c>
      <c r="N389" t="n">
        <v>0</v>
      </c>
      <c r="O389" t="n">
        <v>0</v>
      </c>
      <c r="P389" t="n">
        <v>0</v>
      </c>
      <c r="Q389" t="n">
        <v>0</v>
      </c>
      <c r="R389" s="2" t="inlineStr"/>
    </row>
    <row r="390" ht="15" customHeight="1">
      <c r="A390" t="inlineStr">
        <is>
          <t>A 39199-2021</t>
        </is>
      </c>
      <c r="B390" s="1" t="n">
        <v>44412</v>
      </c>
      <c r="C390" s="1" t="n">
        <v>45626</v>
      </c>
      <c r="D390" t="inlineStr">
        <is>
          <t>DALARNAS LÄN</t>
        </is>
      </c>
      <c r="E390" t="inlineStr">
        <is>
          <t>ÄLVDALEN</t>
        </is>
      </c>
      <c r="F390" t="inlineStr">
        <is>
          <t>Övriga statliga verk och myndigheter</t>
        </is>
      </c>
      <c r="G390" t="n">
        <v>5.2</v>
      </c>
      <c r="H390" t="n">
        <v>0</v>
      </c>
      <c r="I390" t="n">
        <v>0</v>
      </c>
      <c r="J390" t="n">
        <v>0</v>
      </c>
      <c r="K390" t="n">
        <v>0</v>
      </c>
      <c r="L390" t="n">
        <v>0</v>
      </c>
      <c r="M390" t="n">
        <v>0</v>
      </c>
      <c r="N390" t="n">
        <v>0</v>
      </c>
      <c r="O390" t="n">
        <v>0</v>
      </c>
      <c r="P390" t="n">
        <v>0</v>
      </c>
      <c r="Q390" t="n">
        <v>0</v>
      </c>
      <c r="R390" s="2" t="inlineStr"/>
    </row>
    <row r="391" ht="15" customHeight="1">
      <c r="A391" t="inlineStr">
        <is>
          <t>A 39267-2021</t>
        </is>
      </c>
      <c r="B391" s="1" t="n">
        <v>44413</v>
      </c>
      <c r="C391" s="1" t="n">
        <v>45626</v>
      </c>
      <c r="D391" t="inlineStr">
        <is>
          <t>DALARNAS LÄN</t>
        </is>
      </c>
      <c r="E391" t="inlineStr">
        <is>
          <t>ÄLVDALEN</t>
        </is>
      </c>
      <c r="G391" t="n">
        <v>2.4</v>
      </c>
      <c r="H391" t="n">
        <v>0</v>
      </c>
      <c r="I391" t="n">
        <v>0</v>
      </c>
      <c r="J391" t="n">
        <v>0</v>
      </c>
      <c r="K391" t="n">
        <v>0</v>
      </c>
      <c r="L391" t="n">
        <v>0</v>
      </c>
      <c r="M391" t="n">
        <v>0</v>
      </c>
      <c r="N391" t="n">
        <v>0</v>
      </c>
      <c r="O391" t="n">
        <v>0</v>
      </c>
      <c r="P391" t="n">
        <v>0</v>
      </c>
      <c r="Q391" t="n">
        <v>0</v>
      </c>
      <c r="R391" s="2" t="inlineStr"/>
    </row>
    <row r="392" ht="15" customHeight="1">
      <c r="A392" t="inlineStr">
        <is>
          <t>A 40234-2021</t>
        </is>
      </c>
      <c r="B392" s="1" t="n">
        <v>44419</v>
      </c>
      <c r="C392" s="1" t="n">
        <v>45626</v>
      </c>
      <c r="D392" t="inlineStr">
        <is>
          <t>DALARNAS LÄN</t>
        </is>
      </c>
      <c r="E392" t="inlineStr">
        <is>
          <t>ÄLVDALEN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40235-2021</t>
        </is>
      </c>
      <c r="B393" s="1" t="n">
        <v>44419</v>
      </c>
      <c r="C393" s="1" t="n">
        <v>45626</v>
      </c>
      <c r="D393" t="inlineStr">
        <is>
          <t>DALARNAS LÄN</t>
        </is>
      </c>
      <c r="E393" t="inlineStr">
        <is>
          <t>ÄLVDALEN</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40919-2021</t>
        </is>
      </c>
      <c r="B394" s="1" t="n">
        <v>44421</v>
      </c>
      <c r="C394" s="1" t="n">
        <v>45626</v>
      </c>
      <c r="D394" t="inlineStr">
        <is>
          <t>DALARNAS LÄN</t>
        </is>
      </c>
      <c r="E394" t="inlineStr">
        <is>
          <t>ÄLVDALEN</t>
        </is>
      </c>
      <c r="F394" t="inlineStr">
        <is>
          <t>Kyrkan</t>
        </is>
      </c>
      <c r="G394" t="n">
        <v>3.4</v>
      </c>
      <c r="H394" t="n">
        <v>0</v>
      </c>
      <c r="I394" t="n">
        <v>0</v>
      </c>
      <c r="J394" t="n">
        <v>0</v>
      </c>
      <c r="K394" t="n">
        <v>0</v>
      </c>
      <c r="L394" t="n">
        <v>0</v>
      </c>
      <c r="M394" t="n">
        <v>0</v>
      </c>
      <c r="N394" t="n">
        <v>0</v>
      </c>
      <c r="O394" t="n">
        <v>0</v>
      </c>
      <c r="P394" t="n">
        <v>0</v>
      </c>
      <c r="Q394" t="n">
        <v>0</v>
      </c>
      <c r="R394" s="2" t="inlineStr"/>
    </row>
    <row r="395" ht="15" customHeight="1">
      <c r="A395" t="inlineStr">
        <is>
          <t>A 41020-2021</t>
        </is>
      </c>
      <c r="B395" s="1" t="n">
        <v>44421</v>
      </c>
      <c r="C395" s="1" t="n">
        <v>45626</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43972-2021</t>
        </is>
      </c>
      <c r="B396" s="1" t="n">
        <v>44434</v>
      </c>
      <c r="C396" s="1" t="n">
        <v>45626</v>
      </c>
      <c r="D396" t="inlineStr">
        <is>
          <t>DALARNAS LÄN</t>
        </is>
      </c>
      <c r="E396" t="inlineStr">
        <is>
          <t>ÄLVDALEN</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44386-2021</t>
        </is>
      </c>
      <c r="B397" s="1" t="n">
        <v>44435</v>
      </c>
      <c r="C397" s="1" t="n">
        <v>45626</v>
      </c>
      <c r="D397" t="inlineStr">
        <is>
          <t>DALARNAS LÄN</t>
        </is>
      </c>
      <c r="E397" t="inlineStr">
        <is>
          <t>ÄLVDALEN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44413-2021</t>
        </is>
      </c>
      <c r="B398" s="1" t="n">
        <v>44435</v>
      </c>
      <c r="C398" s="1" t="n">
        <v>45626</v>
      </c>
      <c r="D398" t="inlineStr">
        <is>
          <t>DALARNAS LÄN</t>
        </is>
      </c>
      <c r="E398" t="inlineStr">
        <is>
          <t>ÄLVDALEN</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48558-2021</t>
        </is>
      </c>
      <c r="B399" s="1" t="n">
        <v>44452</v>
      </c>
      <c r="C399" s="1" t="n">
        <v>45626</v>
      </c>
      <c r="D399" t="inlineStr">
        <is>
          <t>DALARNAS LÄN</t>
        </is>
      </c>
      <c r="E399" t="inlineStr">
        <is>
          <t>ÄLVDALEN</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48608-2021</t>
        </is>
      </c>
      <c r="B400" s="1" t="n">
        <v>44452</v>
      </c>
      <c r="C400" s="1" t="n">
        <v>45626</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48772-2021</t>
        </is>
      </c>
      <c r="B401" s="1" t="n">
        <v>44452</v>
      </c>
      <c r="C401" s="1" t="n">
        <v>45626</v>
      </c>
      <c r="D401" t="inlineStr">
        <is>
          <t>DALARNAS LÄN</t>
        </is>
      </c>
      <c r="E401" t="inlineStr">
        <is>
          <t>ÄLVDALEN</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49495-2021</t>
        </is>
      </c>
      <c r="B402" s="1" t="n">
        <v>44455</v>
      </c>
      <c r="C402" s="1" t="n">
        <v>45626</v>
      </c>
      <c r="D402" t="inlineStr">
        <is>
          <t>DALARNAS LÄN</t>
        </is>
      </c>
      <c r="E402" t="inlineStr">
        <is>
          <t>ÄLVDALEN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49862-2021</t>
        </is>
      </c>
      <c r="B403" s="1" t="n">
        <v>44455</v>
      </c>
      <c r="C403" s="1" t="n">
        <v>45626</v>
      </c>
      <c r="D403" t="inlineStr">
        <is>
          <t>DALARNAS LÄN</t>
        </is>
      </c>
      <c r="E403" t="inlineStr">
        <is>
          <t>ÄLVDALEN</t>
        </is>
      </c>
      <c r="F403" t="inlineStr">
        <is>
          <t>Allmännings- och besparingsskogar</t>
        </is>
      </c>
      <c r="G403" t="n">
        <v>51.2</v>
      </c>
      <c r="H403" t="n">
        <v>0</v>
      </c>
      <c r="I403" t="n">
        <v>0</v>
      </c>
      <c r="J403" t="n">
        <v>0</v>
      </c>
      <c r="K403" t="n">
        <v>0</v>
      </c>
      <c r="L403" t="n">
        <v>0</v>
      </c>
      <c r="M403" t="n">
        <v>0</v>
      </c>
      <c r="N403" t="n">
        <v>0</v>
      </c>
      <c r="O403" t="n">
        <v>0</v>
      </c>
      <c r="P403" t="n">
        <v>0</v>
      </c>
      <c r="Q403" t="n">
        <v>0</v>
      </c>
      <c r="R403" s="2" t="inlineStr"/>
    </row>
    <row r="404" ht="15" customHeight="1">
      <c r="A404" t="inlineStr">
        <is>
          <t>A 50265-2021</t>
        </is>
      </c>
      <c r="B404" s="1" t="n">
        <v>44459</v>
      </c>
      <c r="C404" s="1" t="n">
        <v>45626</v>
      </c>
      <c r="D404" t="inlineStr">
        <is>
          <t>DALARNAS LÄN</t>
        </is>
      </c>
      <c r="E404" t="inlineStr">
        <is>
          <t>ÄLVDALEN</t>
        </is>
      </c>
      <c r="F404" t="inlineStr">
        <is>
          <t>Sveaskog</t>
        </is>
      </c>
      <c r="G404" t="n">
        <v>9.5</v>
      </c>
      <c r="H404" t="n">
        <v>0</v>
      </c>
      <c r="I404" t="n">
        <v>0</v>
      </c>
      <c r="J404" t="n">
        <v>0</v>
      </c>
      <c r="K404" t="n">
        <v>0</v>
      </c>
      <c r="L404" t="n">
        <v>0</v>
      </c>
      <c r="M404" t="n">
        <v>0</v>
      </c>
      <c r="N404" t="n">
        <v>0</v>
      </c>
      <c r="O404" t="n">
        <v>0</v>
      </c>
      <c r="P404" t="n">
        <v>0</v>
      </c>
      <c r="Q404" t="n">
        <v>0</v>
      </c>
      <c r="R404" s="2" t="inlineStr"/>
    </row>
    <row r="405" ht="15" customHeight="1">
      <c r="A405" t="inlineStr">
        <is>
          <t>A 50341-2021</t>
        </is>
      </c>
      <c r="B405" s="1" t="n">
        <v>44459</v>
      </c>
      <c r="C405" s="1" t="n">
        <v>45626</v>
      </c>
      <c r="D405" t="inlineStr">
        <is>
          <t>DALARNAS LÄN</t>
        </is>
      </c>
      <c r="E405" t="inlineStr">
        <is>
          <t>ÄLVDALEN</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50349-2021</t>
        </is>
      </c>
      <c r="B406" s="1" t="n">
        <v>44459</v>
      </c>
      <c r="C406" s="1" t="n">
        <v>45626</v>
      </c>
      <c r="D406" t="inlineStr">
        <is>
          <t>DALARNAS LÄN</t>
        </is>
      </c>
      <c r="E406" t="inlineStr">
        <is>
          <t>ÄLVDALEN</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50708-2021</t>
        </is>
      </c>
      <c r="B407" s="1" t="n">
        <v>44459</v>
      </c>
      <c r="C407" s="1" t="n">
        <v>45626</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51161-2021</t>
        </is>
      </c>
      <c r="B408" s="1" t="n">
        <v>44461</v>
      </c>
      <c r="C408" s="1" t="n">
        <v>45626</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51844-2021</t>
        </is>
      </c>
      <c r="B409" s="1" t="n">
        <v>44462</v>
      </c>
      <c r="C409" s="1" t="n">
        <v>45626</v>
      </c>
      <c r="D409" t="inlineStr">
        <is>
          <t>DALARNAS LÄN</t>
        </is>
      </c>
      <c r="E409" t="inlineStr">
        <is>
          <t>ÄLVDALEN</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52124-2021</t>
        </is>
      </c>
      <c r="B410" s="1" t="n">
        <v>44463</v>
      </c>
      <c r="C410" s="1" t="n">
        <v>45626</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52877-2021</t>
        </is>
      </c>
      <c r="B411" s="1" t="n">
        <v>44467</v>
      </c>
      <c r="C411" s="1" t="n">
        <v>45626</v>
      </c>
      <c r="D411" t="inlineStr">
        <is>
          <t>DALARNAS LÄN</t>
        </is>
      </c>
      <c r="E411" t="inlineStr">
        <is>
          <t>ÄLVDALEN</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52866-2021</t>
        </is>
      </c>
      <c r="B412" s="1" t="n">
        <v>44467</v>
      </c>
      <c r="C412" s="1" t="n">
        <v>45626</v>
      </c>
      <c r="D412" t="inlineStr">
        <is>
          <t>DALARNAS LÄN</t>
        </is>
      </c>
      <c r="E412" t="inlineStr">
        <is>
          <t>ÄLVDALEN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52873-2021</t>
        </is>
      </c>
      <c r="B413" s="1" t="n">
        <v>44467</v>
      </c>
      <c r="C413" s="1" t="n">
        <v>45626</v>
      </c>
      <c r="D413" t="inlineStr">
        <is>
          <t>DALARNAS LÄN</t>
        </is>
      </c>
      <c r="E413" t="inlineStr">
        <is>
          <t>ÄLVDALEN</t>
        </is>
      </c>
      <c r="F413" t="inlineStr">
        <is>
          <t>Sveaskog</t>
        </is>
      </c>
      <c r="G413" t="n">
        <v>14.2</v>
      </c>
      <c r="H413" t="n">
        <v>0</v>
      </c>
      <c r="I413" t="n">
        <v>0</v>
      </c>
      <c r="J413" t="n">
        <v>0</v>
      </c>
      <c r="K413" t="n">
        <v>0</v>
      </c>
      <c r="L413" t="n">
        <v>0</v>
      </c>
      <c r="M413" t="n">
        <v>0</v>
      </c>
      <c r="N413" t="n">
        <v>0</v>
      </c>
      <c r="O413" t="n">
        <v>0</v>
      </c>
      <c r="P413" t="n">
        <v>0</v>
      </c>
      <c r="Q413" t="n">
        <v>0</v>
      </c>
      <c r="R413" s="2" t="inlineStr"/>
    </row>
    <row r="414" ht="15" customHeight="1">
      <c r="A414" t="inlineStr">
        <is>
          <t>A 54292-2021</t>
        </is>
      </c>
      <c r="B414" s="1" t="n">
        <v>44471</v>
      </c>
      <c r="C414" s="1" t="n">
        <v>45626</v>
      </c>
      <c r="D414" t="inlineStr">
        <is>
          <t>DALARNAS LÄN</t>
        </is>
      </c>
      <c r="E414" t="inlineStr">
        <is>
          <t>ÄLVDALEN</t>
        </is>
      </c>
      <c r="G414" t="n">
        <v>3.1</v>
      </c>
      <c r="H414" t="n">
        <v>0</v>
      </c>
      <c r="I414" t="n">
        <v>0</v>
      </c>
      <c r="J414" t="n">
        <v>0</v>
      </c>
      <c r="K414" t="n">
        <v>0</v>
      </c>
      <c r="L414" t="n">
        <v>0</v>
      </c>
      <c r="M414" t="n">
        <v>0</v>
      </c>
      <c r="N414" t="n">
        <v>0</v>
      </c>
      <c r="O414" t="n">
        <v>0</v>
      </c>
      <c r="P414" t="n">
        <v>0</v>
      </c>
      <c r="Q414" t="n">
        <v>0</v>
      </c>
      <c r="R414" s="2" t="inlineStr"/>
    </row>
    <row r="415" ht="15" customHeight="1">
      <c r="A415" t="inlineStr">
        <is>
          <t>A 54387-2021</t>
        </is>
      </c>
      <c r="B415" s="1" t="n">
        <v>44473</v>
      </c>
      <c r="C415" s="1" t="n">
        <v>45626</v>
      </c>
      <c r="D415" t="inlineStr">
        <is>
          <t>DALARNAS LÄN</t>
        </is>
      </c>
      <c r="E415" t="inlineStr">
        <is>
          <t>ÄLVDALEN</t>
        </is>
      </c>
      <c r="F415" t="inlineStr">
        <is>
          <t>Bergvik skog öst AB</t>
        </is>
      </c>
      <c r="G415" t="n">
        <v>2.9</v>
      </c>
      <c r="H415" t="n">
        <v>0</v>
      </c>
      <c r="I415" t="n">
        <v>0</v>
      </c>
      <c r="J415" t="n">
        <v>0</v>
      </c>
      <c r="K415" t="n">
        <v>0</v>
      </c>
      <c r="L415" t="n">
        <v>0</v>
      </c>
      <c r="M415" t="n">
        <v>0</v>
      </c>
      <c r="N415" t="n">
        <v>0</v>
      </c>
      <c r="O415" t="n">
        <v>0</v>
      </c>
      <c r="P415" t="n">
        <v>0</v>
      </c>
      <c r="Q415" t="n">
        <v>0</v>
      </c>
      <c r="R415" s="2" t="inlineStr"/>
    </row>
    <row r="416" ht="15" customHeight="1">
      <c r="A416" t="inlineStr">
        <is>
          <t>A 55778-2021</t>
        </is>
      </c>
      <c r="B416" s="1" t="n">
        <v>44476</v>
      </c>
      <c r="C416" s="1" t="n">
        <v>45626</v>
      </c>
      <c r="D416" t="inlineStr">
        <is>
          <t>DALARNAS LÄN</t>
        </is>
      </c>
      <c r="E416" t="inlineStr">
        <is>
          <t>ÄLVDALEN</t>
        </is>
      </c>
      <c r="G416" t="n">
        <v>3.2</v>
      </c>
      <c r="H416" t="n">
        <v>0</v>
      </c>
      <c r="I416" t="n">
        <v>0</v>
      </c>
      <c r="J416" t="n">
        <v>0</v>
      </c>
      <c r="K416" t="n">
        <v>0</v>
      </c>
      <c r="L416" t="n">
        <v>0</v>
      </c>
      <c r="M416" t="n">
        <v>0</v>
      </c>
      <c r="N416" t="n">
        <v>0</v>
      </c>
      <c r="O416" t="n">
        <v>0</v>
      </c>
      <c r="P416" t="n">
        <v>0</v>
      </c>
      <c r="Q416" t="n">
        <v>0</v>
      </c>
      <c r="R416" s="2" t="inlineStr"/>
    </row>
    <row r="417" ht="15" customHeight="1">
      <c r="A417" t="inlineStr">
        <is>
          <t>A 55990-2021</t>
        </is>
      </c>
      <c r="B417" s="1" t="n">
        <v>44477</v>
      </c>
      <c r="C417" s="1" t="n">
        <v>45626</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56041-2021</t>
        </is>
      </c>
      <c r="B418" s="1" t="n">
        <v>44477</v>
      </c>
      <c r="C418" s="1" t="n">
        <v>45626</v>
      </c>
      <c r="D418" t="inlineStr">
        <is>
          <t>DALARNAS LÄN</t>
        </is>
      </c>
      <c r="E418" t="inlineStr">
        <is>
          <t>ÄLVDALEN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56047-2021</t>
        </is>
      </c>
      <c r="B419" s="1" t="n">
        <v>44477</v>
      </c>
      <c r="C419" s="1" t="n">
        <v>45626</v>
      </c>
      <c r="D419" t="inlineStr">
        <is>
          <t>DALARNAS LÄN</t>
        </is>
      </c>
      <c r="E419" t="inlineStr">
        <is>
          <t>ÄLVDALEN</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56045-2021</t>
        </is>
      </c>
      <c r="B420" s="1" t="n">
        <v>44477</v>
      </c>
      <c r="C420" s="1" t="n">
        <v>45626</v>
      </c>
      <c r="D420" t="inlineStr">
        <is>
          <t>DALARNAS LÄN</t>
        </is>
      </c>
      <c r="E420" t="inlineStr">
        <is>
          <t>ÄLVDALEN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56691-2021</t>
        </is>
      </c>
      <c r="B421" s="1" t="n">
        <v>44481</v>
      </c>
      <c r="C421" s="1" t="n">
        <v>45626</v>
      </c>
      <c r="D421" t="inlineStr">
        <is>
          <t>DALARNAS LÄN</t>
        </is>
      </c>
      <c r="E421" t="inlineStr">
        <is>
          <t>ÄLVDALEN</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57783-2021</t>
        </is>
      </c>
      <c r="B422" s="1" t="n">
        <v>44484</v>
      </c>
      <c r="C422" s="1" t="n">
        <v>45626</v>
      </c>
      <c r="D422" t="inlineStr">
        <is>
          <t>DALARNAS LÄN</t>
        </is>
      </c>
      <c r="E422" t="inlineStr">
        <is>
          <t>ÄLVDALEN</t>
        </is>
      </c>
      <c r="G422" t="n">
        <v>6.9</v>
      </c>
      <c r="H422" t="n">
        <v>0</v>
      </c>
      <c r="I422" t="n">
        <v>0</v>
      </c>
      <c r="J422" t="n">
        <v>0</v>
      </c>
      <c r="K422" t="n">
        <v>0</v>
      </c>
      <c r="L422" t="n">
        <v>0</v>
      </c>
      <c r="M422" t="n">
        <v>0</v>
      </c>
      <c r="N422" t="n">
        <v>0</v>
      </c>
      <c r="O422" t="n">
        <v>0</v>
      </c>
      <c r="P422" t="n">
        <v>0</v>
      </c>
      <c r="Q422" t="n">
        <v>0</v>
      </c>
      <c r="R422" s="2" t="inlineStr"/>
    </row>
    <row r="423" ht="15" customHeight="1">
      <c r="A423" t="inlineStr">
        <is>
          <t>A 57799-2021</t>
        </is>
      </c>
      <c r="B423" s="1" t="n">
        <v>44484</v>
      </c>
      <c r="C423" s="1" t="n">
        <v>45626</v>
      </c>
      <c r="D423" t="inlineStr">
        <is>
          <t>DALARNAS LÄN</t>
        </is>
      </c>
      <c r="E423" t="inlineStr">
        <is>
          <t>ÄLVDALEN</t>
        </is>
      </c>
      <c r="F423" t="inlineStr">
        <is>
          <t>Allmännings- och besparingsskogar</t>
        </is>
      </c>
      <c r="G423" t="n">
        <v>18.7</v>
      </c>
      <c r="H423" t="n">
        <v>0</v>
      </c>
      <c r="I423" t="n">
        <v>0</v>
      </c>
      <c r="J423" t="n">
        <v>0</v>
      </c>
      <c r="K423" t="n">
        <v>0</v>
      </c>
      <c r="L423" t="n">
        <v>0</v>
      </c>
      <c r="M423" t="n">
        <v>0</v>
      </c>
      <c r="N423" t="n">
        <v>0</v>
      </c>
      <c r="O423" t="n">
        <v>0</v>
      </c>
      <c r="P423" t="n">
        <v>0</v>
      </c>
      <c r="Q423" t="n">
        <v>0</v>
      </c>
      <c r="R423" s="2" t="inlineStr"/>
    </row>
    <row r="424" ht="15" customHeight="1">
      <c r="A424" t="inlineStr">
        <is>
          <t>A 58509-2021</t>
        </is>
      </c>
      <c r="B424" s="1" t="n">
        <v>44488</v>
      </c>
      <c r="C424" s="1" t="n">
        <v>45626</v>
      </c>
      <c r="D424" t="inlineStr">
        <is>
          <t>DALARNAS LÄN</t>
        </is>
      </c>
      <c r="E424" t="inlineStr">
        <is>
          <t>ÄLVDALEN</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59658-2021</t>
        </is>
      </c>
      <c r="B425" s="1" t="n">
        <v>44494</v>
      </c>
      <c r="C425" s="1" t="n">
        <v>45626</v>
      </c>
      <c r="D425" t="inlineStr">
        <is>
          <t>DALARNAS LÄN</t>
        </is>
      </c>
      <c r="E425" t="inlineStr">
        <is>
          <t>ÄLVDALEN</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60258-2021</t>
        </is>
      </c>
      <c r="B426" s="1" t="n">
        <v>44495</v>
      </c>
      <c r="C426" s="1" t="n">
        <v>45626</v>
      </c>
      <c r="D426" t="inlineStr">
        <is>
          <t>DALARNAS LÄN</t>
        </is>
      </c>
      <c r="E426" t="inlineStr">
        <is>
          <t>ÄLVDALEN</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60265-2021</t>
        </is>
      </c>
      <c r="B427" s="1" t="n">
        <v>44495</v>
      </c>
      <c r="C427" s="1" t="n">
        <v>45626</v>
      </c>
      <c r="D427" t="inlineStr">
        <is>
          <t>DALARNAS LÄN</t>
        </is>
      </c>
      <c r="E427" t="inlineStr">
        <is>
          <t>ÄLVDALEN</t>
        </is>
      </c>
      <c r="F427" t="inlineStr">
        <is>
          <t>Allmännings- och besparingsskogar</t>
        </is>
      </c>
      <c r="G427" t="n">
        <v>10</v>
      </c>
      <c r="H427" t="n">
        <v>0</v>
      </c>
      <c r="I427" t="n">
        <v>0</v>
      </c>
      <c r="J427" t="n">
        <v>0</v>
      </c>
      <c r="K427" t="n">
        <v>0</v>
      </c>
      <c r="L427" t="n">
        <v>0</v>
      </c>
      <c r="M427" t="n">
        <v>0</v>
      </c>
      <c r="N427" t="n">
        <v>0</v>
      </c>
      <c r="O427" t="n">
        <v>0</v>
      </c>
      <c r="P427" t="n">
        <v>0</v>
      </c>
      <c r="Q427" t="n">
        <v>0</v>
      </c>
      <c r="R427" s="2" t="inlineStr"/>
    </row>
    <row r="428" ht="15" customHeight="1">
      <c r="A428" t="inlineStr">
        <is>
          <t>A 60642-2021</t>
        </is>
      </c>
      <c r="B428" s="1" t="n">
        <v>44496</v>
      </c>
      <c r="C428" s="1" t="n">
        <v>45626</v>
      </c>
      <c r="D428" t="inlineStr">
        <is>
          <t>DALARNAS LÄN</t>
        </is>
      </c>
      <c r="E428" t="inlineStr">
        <is>
          <t>ÄLVDALEN</t>
        </is>
      </c>
      <c r="F428" t="inlineStr">
        <is>
          <t>Allmännings- och besparingsskogar</t>
        </is>
      </c>
      <c r="G428" t="n">
        <v>0.9</v>
      </c>
      <c r="H428" t="n">
        <v>0</v>
      </c>
      <c r="I428" t="n">
        <v>0</v>
      </c>
      <c r="J428" t="n">
        <v>0</v>
      </c>
      <c r="K428" t="n">
        <v>0</v>
      </c>
      <c r="L428" t="n">
        <v>0</v>
      </c>
      <c r="M428" t="n">
        <v>0</v>
      </c>
      <c r="N428" t="n">
        <v>0</v>
      </c>
      <c r="O428" t="n">
        <v>0</v>
      </c>
      <c r="P428" t="n">
        <v>0</v>
      </c>
      <c r="Q428" t="n">
        <v>0</v>
      </c>
      <c r="R428" s="2" t="inlineStr"/>
    </row>
    <row r="429" ht="15" customHeight="1">
      <c r="A429" t="inlineStr">
        <is>
          <t>A 61315-2021</t>
        </is>
      </c>
      <c r="B429" s="1" t="n">
        <v>44498</v>
      </c>
      <c r="C429" s="1" t="n">
        <v>45626</v>
      </c>
      <c r="D429" t="inlineStr">
        <is>
          <t>DALARNAS LÄN</t>
        </is>
      </c>
      <c r="E429" t="inlineStr">
        <is>
          <t>ÄLVDALEN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61563-2021</t>
        </is>
      </c>
      <c r="B430" s="1" t="n">
        <v>44501</v>
      </c>
      <c r="C430" s="1" t="n">
        <v>45626</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62024-2021</t>
        </is>
      </c>
      <c r="B431" s="1" t="n">
        <v>44502</v>
      </c>
      <c r="C431" s="1" t="n">
        <v>45626</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62643-2021</t>
        </is>
      </c>
      <c r="B432" s="1" t="n">
        <v>44503</v>
      </c>
      <c r="C432" s="1" t="n">
        <v>45626</v>
      </c>
      <c r="D432" t="inlineStr">
        <is>
          <t>DALARNAS LÄN</t>
        </is>
      </c>
      <c r="E432" t="inlineStr">
        <is>
          <t>ÄLVDALEN</t>
        </is>
      </c>
      <c r="F432" t="inlineStr">
        <is>
          <t>Sveaskog</t>
        </is>
      </c>
      <c r="G432" t="n">
        <v>48.7</v>
      </c>
      <c r="H432" t="n">
        <v>0</v>
      </c>
      <c r="I432" t="n">
        <v>0</v>
      </c>
      <c r="J432" t="n">
        <v>0</v>
      </c>
      <c r="K432" t="n">
        <v>0</v>
      </c>
      <c r="L432" t="n">
        <v>0</v>
      </c>
      <c r="M432" t="n">
        <v>0</v>
      </c>
      <c r="N432" t="n">
        <v>0</v>
      </c>
      <c r="O432" t="n">
        <v>0</v>
      </c>
      <c r="P432" t="n">
        <v>0</v>
      </c>
      <c r="Q432" t="n">
        <v>0</v>
      </c>
      <c r="R432" s="2" t="inlineStr"/>
    </row>
    <row r="433" ht="15" customHeight="1">
      <c r="A433" t="inlineStr">
        <is>
          <t>A 62680-2021</t>
        </is>
      </c>
      <c r="B433" s="1" t="n">
        <v>44504</v>
      </c>
      <c r="C433" s="1" t="n">
        <v>45626</v>
      </c>
      <c r="D433" t="inlineStr">
        <is>
          <t>DALARNAS LÄN</t>
        </is>
      </c>
      <c r="E433" t="inlineStr">
        <is>
          <t>ÄLVDALEN</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63079-2021</t>
        </is>
      </c>
      <c r="B434" s="1" t="n">
        <v>44505</v>
      </c>
      <c r="C434" s="1" t="n">
        <v>45626</v>
      </c>
      <c r="D434" t="inlineStr">
        <is>
          <t>DALARNAS LÄN</t>
        </is>
      </c>
      <c r="E434" t="inlineStr">
        <is>
          <t>ÄLVDALEN</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63114-2021</t>
        </is>
      </c>
      <c r="B435" s="1" t="n">
        <v>44505</v>
      </c>
      <c r="C435" s="1" t="n">
        <v>45626</v>
      </c>
      <c r="D435" t="inlineStr">
        <is>
          <t>DALARNAS LÄN</t>
        </is>
      </c>
      <c r="E435" t="inlineStr">
        <is>
          <t>ÄLVDALEN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63120-2021</t>
        </is>
      </c>
      <c r="B436" s="1" t="n">
        <v>44505</v>
      </c>
      <c r="C436" s="1" t="n">
        <v>45626</v>
      </c>
      <c r="D436" t="inlineStr">
        <is>
          <t>DALARNAS LÄN</t>
        </is>
      </c>
      <c r="E436" t="inlineStr">
        <is>
          <t>ÄLVDALEN</t>
        </is>
      </c>
      <c r="F436" t="inlineStr">
        <is>
          <t>Bergvik skog väst AB</t>
        </is>
      </c>
      <c r="G436" t="n">
        <v>18.6</v>
      </c>
      <c r="H436" t="n">
        <v>0</v>
      </c>
      <c r="I436" t="n">
        <v>0</v>
      </c>
      <c r="J436" t="n">
        <v>0</v>
      </c>
      <c r="K436" t="n">
        <v>0</v>
      </c>
      <c r="L436" t="n">
        <v>0</v>
      </c>
      <c r="M436" t="n">
        <v>0</v>
      </c>
      <c r="N436" t="n">
        <v>0</v>
      </c>
      <c r="O436" t="n">
        <v>0</v>
      </c>
      <c r="P436" t="n">
        <v>0</v>
      </c>
      <c r="Q436" t="n">
        <v>0</v>
      </c>
      <c r="R436" s="2" t="inlineStr"/>
    </row>
    <row r="437" ht="15" customHeight="1">
      <c r="A437" t="inlineStr">
        <is>
          <t>A 63273-2021</t>
        </is>
      </c>
      <c r="B437" s="1" t="n">
        <v>44508</v>
      </c>
      <c r="C437" s="1" t="n">
        <v>45626</v>
      </c>
      <c r="D437" t="inlineStr">
        <is>
          <t>DALARNAS LÄN</t>
        </is>
      </c>
      <c r="E437" t="inlineStr">
        <is>
          <t>ÄLVDALEN</t>
        </is>
      </c>
      <c r="F437" t="inlineStr">
        <is>
          <t>Bergvik skog väst AB</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63242-2021</t>
        </is>
      </c>
      <c r="B438" s="1" t="n">
        <v>44508</v>
      </c>
      <c r="C438" s="1" t="n">
        <v>45626</v>
      </c>
      <c r="D438" t="inlineStr">
        <is>
          <t>DALARNAS LÄN</t>
        </is>
      </c>
      <c r="E438" t="inlineStr">
        <is>
          <t>ÄLVDALEN</t>
        </is>
      </c>
      <c r="G438" t="n">
        <v>1.8</v>
      </c>
      <c r="H438" t="n">
        <v>0</v>
      </c>
      <c r="I438" t="n">
        <v>0</v>
      </c>
      <c r="J438" t="n">
        <v>0</v>
      </c>
      <c r="K438" t="n">
        <v>0</v>
      </c>
      <c r="L438" t="n">
        <v>0</v>
      </c>
      <c r="M438" t="n">
        <v>0</v>
      </c>
      <c r="N438" t="n">
        <v>0</v>
      </c>
      <c r="O438" t="n">
        <v>0</v>
      </c>
      <c r="P438" t="n">
        <v>0</v>
      </c>
      <c r="Q438" t="n">
        <v>0</v>
      </c>
      <c r="R438" s="2" t="inlineStr"/>
    </row>
    <row r="439" ht="15" customHeight="1">
      <c r="A439" t="inlineStr">
        <is>
          <t>A 63250-2021</t>
        </is>
      </c>
      <c r="B439" s="1" t="n">
        <v>44508</v>
      </c>
      <c r="C439" s="1" t="n">
        <v>45626</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63325-2021</t>
        </is>
      </c>
      <c r="B440" s="1" t="n">
        <v>44508</v>
      </c>
      <c r="C440" s="1" t="n">
        <v>45626</v>
      </c>
      <c r="D440" t="inlineStr">
        <is>
          <t>DALARNAS LÄN</t>
        </is>
      </c>
      <c r="E440" t="inlineStr">
        <is>
          <t>ÄLVDALEN</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66634-2021</t>
        </is>
      </c>
      <c r="B441" s="1" t="n">
        <v>44519</v>
      </c>
      <c r="C441" s="1" t="n">
        <v>45626</v>
      </c>
      <c r="D441" t="inlineStr">
        <is>
          <t>DALARNAS LÄN</t>
        </is>
      </c>
      <c r="E441" t="inlineStr">
        <is>
          <t>ÄLVDALEN</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66887-2021</t>
        </is>
      </c>
      <c r="B442" s="1" t="n">
        <v>44522</v>
      </c>
      <c r="C442" s="1" t="n">
        <v>45626</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68204-2021</t>
        </is>
      </c>
      <c r="B443" s="1" t="n">
        <v>44526</v>
      </c>
      <c r="C443" s="1" t="n">
        <v>45626</v>
      </c>
      <c r="D443" t="inlineStr">
        <is>
          <t>DALARNAS LÄN</t>
        </is>
      </c>
      <c r="E443" t="inlineStr">
        <is>
          <t>ÄLVDALEN</t>
        </is>
      </c>
      <c r="F443" t="inlineStr">
        <is>
          <t>Kyrkan</t>
        </is>
      </c>
      <c r="G443" t="n">
        <v>5</v>
      </c>
      <c r="H443" t="n">
        <v>0</v>
      </c>
      <c r="I443" t="n">
        <v>0</v>
      </c>
      <c r="J443" t="n">
        <v>0</v>
      </c>
      <c r="K443" t="n">
        <v>0</v>
      </c>
      <c r="L443" t="n">
        <v>0</v>
      </c>
      <c r="M443" t="n">
        <v>0</v>
      </c>
      <c r="N443" t="n">
        <v>0</v>
      </c>
      <c r="O443" t="n">
        <v>0</v>
      </c>
      <c r="P443" t="n">
        <v>0</v>
      </c>
      <c r="Q443" t="n">
        <v>0</v>
      </c>
      <c r="R443" s="2" t="inlineStr"/>
    </row>
    <row r="444" ht="15" customHeight="1">
      <c r="A444" t="inlineStr">
        <is>
          <t>A 68219-2021</t>
        </is>
      </c>
      <c r="B444" s="1" t="n">
        <v>44526</v>
      </c>
      <c r="C444" s="1" t="n">
        <v>45626</v>
      </c>
      <c r="D444" t="inlineStr">
        <is>
          <t>DALARNAS LÄN</t>
        </is>
      </c>
      <c r="E444" t="inlineStr">
        <is>
          <t>ÄLVDALEN</t>
        </is>
      </c>
      <c r="F444" t="inlineStr">
        <is>
          <t>Kyrkan</t>
        </is>
      </c>
      <c r="G444" t="n">
        <v>2.7</v>
      </c>
      <c r="H444" t="n">
        <v>0</v>
      </c>
      <c r="I444" t="n">
        <v>0</v>
      </c>
      <c r="J444" t="n">
        <v>0</v>
      </c>
      <c r="K444" t="n">
        <v>0</v>
      </c>
      <c r="L444" t="n">
        <v>0</v>
      </c>
      <c r="M444" t="n">
        <v>0</v>
      </c>
      <c r="N444" t="n">
        <v>0</v>
      </c>
      <c r="O444" t="n">
        <v>0</v>
      </c>
      <c r="P444" t="n">
        <v>0</v>
      </c>
      <c r="Q444" t="n">
        <v>0</v>
      </c>
      <c r="R444" s="2" t="inlineStr"/>
    </row>
    <row r="445" ht="15" customHeight="1">
      <c r="A445" t="inlineStr">
        <is>
          <t>A 68383-2021</t>
        </is>
      </c>
      <c r="B445" s="1" t="n">
        <v>44529</v>
      </c>
      <c r="C445" s="1" t="n">
        <v>45626</v>
      </c>
      <c r="D445" t="inlineStr">
        <is>
          <t>DALARNAS LÄN</t>
        </is>
      </c>
      <c r="E445" t="inlineStr">
        <is>
          <t>ÄLVDALEN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70140-2021</t>
        </is>
      </c>
      <c r="B446" s="1" t="n">
        <v>44533</v>
      </c>
      <c r="C446" s="1" t="n">
        <v>45626</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70252-2021</t>
        </is>
      </c>
      <c r="B447" s="1" t="n">
        <v>44536</v>
      </c>
      <c r="C447" s="1" t="n">
        <v>45626</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70990-2021</t>
        </is>
      </c>
      <c r="B448" s="1" t="n">
        <v>44538</v>
      </c>
      <c r="C448" s="1" t="n">
        <v>45626</v>
      </c>
      <c r="D448" t="inlineStr">
        <is>
          <t>DALARNAS LÄN</t>
        </is>
      </c>
      <c r="E448" t="inlineStr">
        <is>
          <t>ÄLVDALEN</t>
        </is>
      </c>
      <c r="F448" t="inlineStr">
        <is>
          <t>Kyrkan</t>
        </is>
      </c>
      <c r="G448" t="n">
        <v>3.5</v>
      </c>
      <c r="H448" t="n">
        <v>0</v>
      </c>
      <c r="I448" t="n">
        <v>0</v>
      </c>
      <c r="J448" t="n">
        <v>0</v>
      </c>
      <c r="K448" t="n">
        <v>0</v>
      </c>
      <c r="L448" t="n">
        <v>0</v>
      </c>
      <c r="M448" t="n">
        <v>0</v>
      </c>
      <c r="N448" t="n">
        <v>0</v>
      </c>
      <c r="O448" t="n">
        <v>0</v>
      </c>
      <c r="P448" t="n">
        <v>0</v>
      </c>
      <c r="Q448" t="n">
        <v>0</v>
      </c>
      <c r="R448" s="2" t="inlineStr"/>
    </row>
    <row r="449" ht="15" customHeight="1">
      <c r="A449" t="inlineStr">
        <is>
          <t>A 71282-2021</t>
        </is>
      </c>
      <c r="B449" s="1" t="n">
        <v>44539</v>
      </c>
      <c r="C449" s="1" t="n">
        <v>45626</v>
      </c>
      <c r="D449" t="inlineStr">
        <is>
          <t>DALARNAS LÄN</t>
        </is>
      </c>
      <c r="E449" t="inlineStr">
        <is>
          <t>ÄLVDALEN</t>
        </is>
      </c>
      <c r="G449" t="n">
        <v>1.3</v>
      </c>
      <c r="H449" t="n">
        <v>0</v>
      </c>
      <c r="I449" t="n">
        <v>0</v>
      </c>
      <c r="J449" t="n">
        <v>0</v>
      </c>
      <c r="K449" t="n">
        <v>0</v>
      </c>
      <c r="L449" t="n">
        <v>0</v>
      </c>
      <c r="M449" t="n">
        <v>0</v>
      </c>
      <c r="N449" t="n">
        <v>0</v>
      </c>
      <c r="O449" t="n">
        <v>0</v>
      </c>
      <c r="P449" t="n">
        <v>0</v>
      </c>
      <c r="Q449" t="n">
        <v>0</v>
      </c>
      <c r="R449" s="2" t="inlineStr"/>
    </row>
    <row r="450" ht="15" customHeight="1">
      <c r="A450" t="inlineStr">
        <is>
          <t>A 72813-2021</t>
        </is>
      </c>
      <c r="B450" s="1" t="n">
        <v>44546</v>
      </c>
      <c r="C450" s="1" t="n">
        <v>45626</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72846-2021</t>
        </is>
      </c>
      <c r="B451" s="1" t="n">
        <v>44547</v>
      </c>
      <c r="C451" s="1" t="n">
        <v>45626</v>
      </c>
      <c r="D451" t="inlineStr">
        <is>
          <t>DALARNAS LÄN</t>
        </is>
      </c>
      <c r="E451" t="inlineStr">
        <is>
          <t>ÄLVDALEN</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73691-2021</t>
        </is>
      </c>
      <c r="B452" s="1" t="n">
        <v>44552</v>
      </c>
      <c r="C452" s="1" t="n">
        <v>45626</v>
      </c>
      <c r="D452" t="inlineStr">
        <is>
          <t>DALARNAS LÄN</t>
        </is>
      </c>
      <c r="E452" t="inlineStr">
        <is>
          <t>ÄLVDALEN</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73676-2021</t>
        </is>
      </c>
      <c r="B453" s="1" t="n">
        <v>44552</v>
      </c>
      <c r="C453" s="1" t="n">
        <v>45626</v>
      </c>
      <c r="D453" t="inlineStr">
        <is>
          <t>DALARNAS LÄN</t>
        </is>
      </c>
      <c r="E453" t="inlineStr">
        <is>
          <t>ÄLVDALEN</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74322-2021</t>
        </is>
      </c>
      <c r="B454" s="1" t="n">
        <v>44558</v>
      </c>
      <c r="C454" s="1" t="n">
        <v>45626</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74324-2021</t>
        </is>
      </c>
      <c r="B455" s="1" t="n">
        <v>44558</v>
      </c>
      <c r="C455" s="1" t="n">
        <v>45626</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713-2022</t>
        </is>
      </c>
      <c r="B456" s="1" t="n">
        <v>44568</v>
      </c>
      <c r="C456" s="1" t="n">
        <v>45626</v>
      </c>
      <c r="D456" t="inlineStr">
        <is>
          <t>DALARNAS LÄN</t>
        </is>
      </c>
      <c r="E456" t="inlineStr">
        <is>
          <t>ÄLVDALEN</t>
        </is>
      </c>
      <c r="G456" t="n">
        <v>1.6</v>
      </c>
      <c r="H456" t="n">
        <v>0</v>
      </c>
      <c r="I456" t="n">
        <v>0</v>
      </c>
      <c r="J456" t="n">
        <v>0</v>
      </c>
      <c r="K456" t="n">
        <v>0</v>
      </c>
      <c r="L456" t="n">
        <v>0</v>
      </c>
      <c r="M456" t="n">
        <v>0</v>
      </c>
      <c r="N456" t="n">
        <v>0</v>
      </c>
      <c r="O456" t="n">
        <v>0</v>
      </c>
      <c r="P456" t="n">
        <v>0</v>
      </c>
      <c r="Q456" t="n">
        <v>0</v>
      </c>
      <c r="R456" s="2" t="inlineStr"/>
    </row>
    <row r="457" ht="15" customHeight="1">
      <c r="A457" t="inlineStr">
        <is>
          <t>A 5422-2022</t>
        </is>
      </c>
      <c r="B457" s="1" t="n">
        <v>44595</v>
      </c>
      <c r="C457" s="1" t="n">
        <v>45626</v>
      </c>
      <c r="D457" t="inlineStr">
        <is>
          <t>DALARNAS LÄN</t>
        </is>
      </c>
      <c r="E457" t="inlineStr">
        <is>
          <t>ÄLVDALEN</t>
        </is>
      </c>
      <c r="F457" t="inlineStr">
        <is>
          <t>Allmännings- och besparingsskogar</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5549-2022</t>
        </is>
      </c>
      <c r="B458" s="1" t="n">
        <v>44595</v>
      </c>
      <c r="C458" s="1" t="n">
        <v>45626</v>
      </c>
      <c r="D458" t="inlineStr">
        <is>
          <t>DALARNAS LÄN</t>
        </is>
      </c>
      <c r="E458" t="inlineStr">
        <is>
          <t>ÄLVDALEN</t>
        </is>
      </c>
      <c r="F458" t="inlineStr">
        <is>
          <t>Allmännings- och besparingsskogar</t>
        </is>
      </c>
      <c r="G458" t="n">
        <v>3.2</v>
      </c>
      <c r="H458" t="n">
        <v>0</v>
      </c>
      <c r="I458" t="n">
        <v>0</v>
      </c>
      <c r="J458" t="n">
        <v>0</v>
      </c>
      <c r="K458" t="n">
        <v>0</v>
      </c>
      <c r="L458" t="n">
        <v>0</v>
      </c>
      <c r="M458" t="n">
        <v>0</v>
      </c>
      <c r="N458" t="n">
        <v>0</v>
      </c>
      <c r="O458" t="n">
        <v>0</v>
      </c>
      <c r="P458" t="n">
        <v>0</v>
      </c>
      <c r="Q458" t="n">
        <v>0</v>
      </c>
      <c r="R458" s="2" t="inlineStr"/>
    </row>
    <row r="459" ht="15" customHeight="1">
      <c r="A459" t="inlineStr">
        <is>
          <t>A 5981-2022</t>
        </is>
      </c>
      <c r="B459" s="1" t="n">
        <v>44599</v>
      </c>
      <c r="C459" s="1" t="n">
        <v>45626</v>
      </c>
      <c r="D459" t="inlineStr">
        <is>
          <t>DALARNAS LÄN</t>
        </is>
      </c>
      <c r="E459" t="inlineStr">
        <is>
          <t>ÄLVDALEN</t>
        </is>
      </c>
      <c r="F459" t="inlineStr">
        <is>
          <t>Allmännings- och besparingsskogar</t>
        </is>
      </c>
      <c r="G459" t="n">
        <v>9.1</v>
      </c>
      <c r="H459" t="n">
        <v>0</v>
      </c>
      <c r="I459" t="n">
        <v>0</v>
      </c>
      <c r="J459" t="n">
        <v>0</v>
      </c>
      <c r="K459" t="n">
        <v>0</v>
      </c>
      <c r="L459" t="n">
        <v>0</v>
      </c>
      <c r="M459" t="n">
        <v>0</v>
      </c>
      <c r="N459" t="n">
        <v>0</v>
      </c>
      <c r="O459" t="n">
        <v>0</v>
      </c>
      <c r="P459" t="n">
        <v>0</v>
      </c>
      <c r="Q459" t="n">
        <v>0</v>
      </c>
      <c r="R459" s="2" t="inlineStr"/>
    </row>
    <row r="460" ht="15" customHeight="1">
      <c r="A460" t="inlineStr">
        <is>
          <t>A 6270-2022</t>
        </is>
      </c>
      <c r="B460" s="1" t="n">
        <v>44600</v>
      </c>
      <c r="C460" s="1" t="n">
        <v>45626</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7530-2022</t>
        </is>
      </c>
      <c r="B461" s="1" t="n">
        <v>44607</v>
      </c>
      <c r="C461" s="1" t="n">
        <v>45626</v>
      </c>
      <c r="D461" t="inlineStr">
        <is>
          <t>DALARNAS LÄN</t>
        </is>
      </c>
      <c r="E461" t="inlineStr">
        <is>
          <t>ÄLVDALEN</t>
        </is>
      </c>
      <c r="G461" t="n">
        <v>1.1</v>
      </c>
      <c r="H461" t="n">
        <v>0</v>
      </c>
      <c r="I461" t="n">
        <v>0</v>
      </c>
      <c r="J461" t="n">
        <v>0</v>
      </c>
      <c r="K461" t="n">
        <v>0</v>
      </c>
      <c r="L461" t="n">
        <v>0</v>
      </c>
      <c r="M461" t="n">
        <v>0</v>
      </c>
      <c r="N461" t="n">
        <v>0</v>
      </c>
      <c r="O461" t="n">
        <v>0</v>
      </c>
      <c r="P461" t="n">
        <v>0</v>
      </c>
      <c r="Q461" t="n">
        <v>0</v>
      </c>
      <c r="R461" s="2" t="inlineStr"/>
    </row>
    <row r="462" ht="15" customHeight="1">
      <c r="A462" t="inlineStr">
        <is>
          <t>A 11180-2022</t>
        </is>
      </c>
      <c r="B462" s="1" t="n">
        <v>44629</v>
      </c>
      <c r="C462" s="1" t="n">
        <v>45626</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12066-2022</t>
        </is>
      </c>
      <c r="B463" s="1" t="n">
        <v>44636</v>
      </c>
      <c r="C463" s="1" t="n">
        <v>45626</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12995-2022</t>
        </is>
      </c>
      <c r="B464" s="1" t="n">
        <v>44643</v>
      </c>
      <c r="C464" s="1" t="n">
        <v>45626</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13000-2022</t>
        </is>
      </c>
      <c r="B465" s="1" t="n">
        <v>44643</v>
      </c>
      <c r="C465" s="1" t="n">
        <v>45626</v>
      </c>
      <c r="D465" t="inlineStr">
        <is>
          <t>DALARNAS LÄN</t>
        </is>
      </c>
      <c r="E465" t="inlineStr">
        <is>
          <t>ÄLVDALEN</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14089-2022</t>
        </is>
      </c>
      <c r="B466" s="1" t="n">
        <v>44651</v>
      </c>
      <c r="C466" s="1" t="n">
        <v>45626</v>
      </c>
      <c r="D466" t="inlineStr">
        <is>
          <t>DALARNAS LÄN</t>
        </is>
      </c>
      <c r="E466" t="inlineStr">
        <is>
          <t>ÄLVDALEN</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14235-2022</t>
        </is>
      </c>
      <c r="B467" s="1" t="n">
        <v>44651</v>
      </c>
      <c r="C467" s="1" t="n">
        <v>45626</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14795-2022</t>
        </is>
      </c>
      <c r="B468" s="1" t="n">
        <v>44656</v>
      </c>
      <c r="C468" s="1" t="n">
        <v>45626</v>
      </c>
      <c r="D468" t="inlineStr">
        <is>
          <t>DALARNAS LÄN</t>
        </is>
      </c>
      <c r="E468" t="inlineStr">
        <is>
          <t>ÄLVDALEN</t>
        </is>
      </c>
      <c r="F468" t="inlineStr">
        <is>
          <t>Övriga statliga verk och myndigheter</t>
        </is>
      </c>
      <c r="G468" t="n">
        <v>15.9</v>
      </c>
      <c r="H468" t="n">
        <v>0</v>
      </c>
      <c r="I468" t="n">
        <v>0</v>
      </c>
      <c r="J468" t="n">
        <v>0</v>
      </c>
      <c r="K468" t="n">
        <v>0</v>
      </c>
      <c r="L468" t="n">
        <v>0</v>
      </c>
      <c r="M468" t="n">
        <v>0</v>
      </c>
      <c r="N468" t="n">
        <v>0</v>
      </c>
      <c r="O468" t="n">
        <v>0</v>
      </c>
      <c r="P468" t="n">
        <v>0</v>
      </c>
      <c r="Q468" t="n">
        <v>0</v>
      </c>
      <c r="R468" s="2" t="inlineStr"/>
    </row>
    <row r="469" ht="15" customHeight="1">
      <c r="A469" t="inlineStr">
        <is>
          <t>A 15603-2022</t>
        </is>
      </c>
      <c r="B469" s="1" t="n">
        <v>44662</v>
      </c>
      <c r="C469" s="1" t="n">
        <v>45626</v>
      </c>
      <c r="D469" t="inlineStr">
        <is>
          <t>DALARNAS LÄN</t>
        </is>
      </c>
      <c r="E469" t="inlineStr">
        <is>
          <t>ÄLVDALEN</t>
        </is>
      </c>
      <c r="G469" t="n">
        <v>2.6</v>
      </c>
      <c r="H469" t="n">
        <v>0</v>
      </c>
      <c r="I469" t="n">
        <v>0</v>
      </c>
      <c r="J469" t="n">
        <v>0</v>
      </c>
      <c r="K469" t="n">
        <v>0</v>
      </c>
      <c r="L469" t="n">
        <v>0</v>
      </c>
      <c r="M469" t="n">
        <v>0</v>
      </c>
      <c r="N469" t="n">
        <v>0</v>
      </c>
      <c r="O469" t="n">
        <v>0</v>
      </c>
      <c r="P469" t="n">
        <v>0</v>
      </c>
      <c r="Q469" t="n">
        <v>0</v>
      </c>
      <c r="R469" s="2" t="inlineStr"/>
    </row>
    <row r="470" ht="15" customHeight="1">
      <c r="A470" t="inlineStr">
        <is>
          <t>A 17346-2022</t>
        </is>
      </c>
      <c r="B470" s="1" t="n">
        <v>44678</v>
      </c>
      <c r="C470" s="1" t="n">
        <v>45626</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17627-2022</t>
        </is>
      </c>
      <c r="B471" s="1" t="n">
        <v>44680</v>
      </c>
      <c r="C471" s="1" t="n">
        <v>45626</v>
      </c>
      <c r="D471" t="inlineStr">
        <is>
          <t>DALARNAS LÄN</t>
        </is>
      </c>
      <c r="E471" t="inlineStr">
        <is>
          <t>ÄLVDALEN</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18436-2022</t>
        </is>
      </c>
      <c r="B472" s="1" t="n">
        <v>44686</v>
      </c>
      <c r="C472" s="1" t="n">
        <v>45626</v>
      </c>
      <c r="D472" t="inlineStr">
        <is>
          <t>DALARNAS LÄN</t>
        </is>
      </c>
      <c r="E472" t="inlineStr">
        <is>
          <t>ÄLVDALEN</t>
        </is>
      </c>
      <c r="G472" t="n">
        <v>6.4</v>
      </c>
      <c r="H472" t="n">
        <v>0</v>
      </c>
      <c r="I472" t="n">
        <v>0</v>
      </c>
      <c r="J472" t="n">
        <v>0</v>
      </c>
      <c r="K472" t="n">
        <v>0</v>
      </c>
      <c r="L472" t="n">
        <v>0</v>
      </c>
      <c r="M472" t="n">
        <v>0</v>
      </c>
      <c r="N472" t="n">
        <v>0</v>
      </c>
      <c r="O472" t="n">
        <v>0</v>
      </c>
      <c r="P472" t="n">
        <v>0</v>
      </c>
      <c r="Q472" t="n">
        <v>0</v>
      </c>
      <c r="R472" s="2" t="inlineStr"/>
    </row>
    <row r="473" ht="15" customHeight="1">
      <c r="A473" t="inlineStr">
        <is>
          <t>A 18911-2022</t>
        </is>
      </c>
      <c r="B473" s="1" t="n">
        <v>44690</v>
      </c>
      <c r="C473" s="1" t="n">
        <v>45626</v>
      </c>
      <c r="D473" t="inlineStr">
        <is>
          <t>DALARNAS LÄN</t>
        </is>
      </c>
      <c r="E473" t="inlineStr">
        <is>
          <t>ÄLVDALEN</t>
        </is>
      </c>
      <c r="G473" t="n">
        <v>4.8</v>
      </c>
      <c r="H473" t="n">
        <v>0</v>
      </c>
      <c r="I473" t="n">
        <v>0</v>
      </c>
      <c r="J473" t="n">
        <v>0</v>
      </c>
      <c r="K473" t="n">
        <v>0</v>
      </c>
      <c r="L473" t="n">
        <v>0</v>
      </c>
      <c r="M473" t="n">
        <v>0</v>
      </c>
      <c r="N473" t="n">
        <v>0</v>
      </c>
      <c r="O473" t="n">
        <v>0</v>
      </c>
      <c r="P473" t="n">
        <v>0</v>
      </c>
      <c r="Q473" t="n">
        <v>0</v>
      </c>
      <c r="R473" s="2" t="inlineStr"/>
    </row>
    <row r="474" ht="15" customHeight="1">
      <c r="A474" t="inlineStr">
        <is>
          <t>A 19192-2022</t>
        </is>
      </c>
      <c r="B474" s="1" t="n">
        <v>44691</v>
      </c>
      <c r="C474" s="1" t="n">
        <v>45626</v>
      </c>
      <c r="D474" t="inlineStr">
        <is>
          <t>DALARNAS LÄN</t>
        </is>
      </c>
      <c r="E474" t="inlineStr">
        <is>
          <t>ÄLVDALEN</t>
        </is>
      </c>
      <c r="F474" t="inlineStr">
        <is>
          <t>Allmännings- och besparingsskogar</t>
        </is>
      </c>
      <c r="G474" t="n">
        <v>47.7</v>
      </c>
      <c r="H474" t="n">
        <v>0</v>
      </c>
      <c r="I474" t="n">
        <v>0</v>
      </c>
      <c r="J474" t="n">
        <v>0</v>
      </c>
      <c r="K474" t="n">
        <v>0</v>
      </c>
      <c r="L474" t="n">
        <v>0</v>
      </c>
      <c r="M474" t="n">
        <v>0</v>
      </c>
      <c r="N474" t="n">
        <v>0</v>
      </c>
      <c r="O474" t="n">
        <v>0</v>
      </c>
      <c r="P474" t="n">
        <v>0</v>
      </c>
      <c r="Q474" t="n">
        <v>0</v>
      </c>
      <c r="R474" s="2" t="inlineStr"/>
    </row>
    <row r="475" ht="15" customHeight="1">
      <c r="A475" t="inlineStr">
        <is>
          <t>A 19933-2022</t>
        </is>
      </c>
      <c r="B475" s="1" t="n">
        <v>44697</v>
      </c>
      <c r="C475" s="1" t="n">
        <v>45626</v>
      </c>
      <c r="D475" t="inlineStr">
        <is>
          <t>DALARNAS LÄN</t>
        </is>
      </c>
      <c r="E475" t="inlineStr">
        <is>
          <t>ÄLVDALEN</t>
        </is>
      </c>
      <c r="G475" t="n">
        <v>1.2</v>
      </c>
      <c r="H475" t="n">
        <v>0</v>
      </c>
      <c r="I475" t="n">
        <v>0</v>
      </c>
      <c r="J475" t="n">
        <v>0</v>
      </c>
      <c r="K475" t="n">
        <v>0</v>
      </c>
      <c r="L475" t="n">
        <v>0</v>
      </c>
      <c r="M475" t="n">
        <v>0</v>
      </c>
      <c r="N475" t="n">
        <v>0</v>
      </c>
      <c r="O475" t="n">
        <v>0</v>
      </c>
      <c r="P475" t="n">
        <v>0</v>
      </c>
      <c r="Q475" t="n">
        <v>0</v>
      </c>
      <c r="R475" s="2" t="inlineStr"/>
    </row>
    <row r="476" ht="15" customHeight="1">
      <c r="A476" t="inlineStr">
        <is>
          <t>A 19939-2022</t>
        </is>
      </c>
      <c r="B476" s="1" t="n">
        <v>44697</v>
      </c>
      <c r="C476" s="1" t="n">
        <v>45626</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19918-2022</t>
        </is>
      </c>
      <c r="B477" s="1" t="n">
        <v>44697</v>
      </c>
      <c r="C477" s="1" t="n">
        <v>45626</v>
      </c>
      <c r="D477" t="inlineStr">
        <is>
          <t>DALARNAS LÄN</t>
        </is>
      </c>
      <c r="E477" t="inlineStr">
        <is>
          <t>ÄLVDALEN</t>
        </is>
      </c>
      <c r="F477" t="inlineStr">
        <is>
          <t>Sveaskog</t>
        </is>
      </c>
      <c r="G477" t="n">
        <v>20.8</v>
      </c>
      <c r="H477" t="n">
        <v>0</v>
      </c>
      <c r="I477" t="n">
        <v>0</v>
      </c>
      <c r="J477" t="n">
        <v>0</v>
      </c>
      <c r="K477" t="n">
        <v>0</v>
      </c>
      <c r="L477" t="n">
        <v>0</v>
      </c>
      <c r="M477" t="n">
        <v>0</v>
      </c>
      <c r="N477" t="n">
        <v>0</v>
      </c>
      <c r="O477" t="n">
        <v>0</v>
      </c>
      <c r="P477" t="n">
        <v>0</v>
      </c>
      <c r="Q477" t="n">
        <v>0</v>
      </c>
      <c r="R477" s="2" t="inlineStr"/>
    </row>
    <row r="478" ht="15" customHeight="1">
      <c r="A478" t="inlineStr">
        <is>
          <t>A 20561-2022</t>
        </is>
      </c>
      <c r="B478" s="1" t="n">
        <v>44700</v>
      </c>
      <c r="C478" s="1" t="n">
        <v>45626</v>
      </c>
      <c r="D478" t="inlineStr">
        <is>
          <t>DALARNAS LÄN</t>
        </is>
      </c>
      <c r="E478" t="inlineStr">
        <is>
          <t>ÄLVDALEN</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21280-2022</t>
        </is>
      </c>
      <c r="B479" s="1" t="n">
        <v>44705</v>
      </c>
      <c r="C479" s="1" t="n">
        <v>45626</v>
      </c>
      <c r="D479" t="inlineStr">
        <is>
          <t>DALARNAS LÄN</t>
        </is>
      </c>
      <c r="E479" t="inlineStr">
        <is>
          <t>ÄLVDALEN</t>
        </is>
      </c>
      <c r="G479" t="n">
        <v>4.5</v>
      </c>
      <c r="H479" t="n">
        <v>0</v>
      </c>
      <c r="I479" t="n">
        <v>0</v>
      </c>
      <c r="J479" t="n">
        <v>0</v>
      </c>
      <c r="K479" t="n">
        <v>0</v>
      </c>
      <c r="L479" t="n">
        <v>0</v>
      </c>
      <c r="M479" t="n">
        <v>0</v>
      </c>
      <c r="N479" t="n">
        <v>0</v>
      </c>
      <c r="O479" t="n">
        <v>0</v>
      </c>
      <c r="P479" t="n">
        <v>0</v>
      </c>
      <c r="Q479" t="n">
        <v>0</v>
      </c>
      <c r="R479" s="2" t="inlineStr"/>
    </row>
    <row r="480" ht="15" customHeight="1">
      <c r="A480" t="inlineStr">
        <is>
          <t>A 21279-2022</t>
        </is>
      </c>
      <c r="B480" s="1" t="n">
        <v>44705</v>
      </c>
      <c r="C480" s="1" t="n">
        <v>45626</v>
      </c>
      <c r="D480" t="inlineStr">
        <is>
          <t>DALARNAS LÄN</t>
        </is>
      </c>
      <c r="E480" t="inlineStr">
        <is>
          <t>ÄLVDALEN</t>
        </is>
      </c>
      <c r="G480" t="n">
        <v>4.6</v>
      </c>
      <c r="H480" t="n">
        <v>0</v>
      </c>
      <c r="I480" t="n">
        <v>0</v>
      </c>
      <c r="J480" t="n">
        <v>0</v>
      </c>
      <c r="K480" t="n">
        <v>0</v>
      </c>
      <c r="L480" t="n">
        <v>0</v>
      </c>
      <c r="M480" t="n">
        <v>0</v>
      </c>
      <c r="N480" t="n">
        <v>0</v>
      </c>
      <c r="O480" t="n">
        <v>0</v>
      </c>
      <c r="P480" t="n">
        <v>0</v>
      </c>
      <c r="Q480" t="n">
        <v>0</v>
      </c>
      <c r="R480" s="2" t="inlineStr"/>
    </row>
    <row r="481" ht="15" customHeight="1">
      <c r="A481" t="inlineStr">
        <is>
          <t>A 21630-2022</t>
        </is>
      </c>
      <c r="B481" s="1" t="n">
        <v>44706</v>
      </c>
      <c r="C481" s="1" t="n">
        <v>45626</v>
      </c>
      <c r="D481" t="inlineStr">
        <is>
          <t>DALARNAS LÄN</t>
        </is>
      </c>
      <c r="E481" t="inlineStr">
        <is>
          <t>ÄLVDALEN</t>
        </is>
      </c>
      <c r="F481" t="inlineStr">
        <is>
          <t>Övriga statliga verk och myndigheter</t>
        </is>
      </c>
      <c r="G481" t="n">
        <v>5.2</v>
      </c>
      <c r="H481" t="n">
        <v>0</v>
      </c>
      <c r="I481" t="n">
        <v>0</v>
      </c>
      <c r="J481" t="n">
        <v>0</v>
      </c>
      <c r="K481" t="n">
        <v>0</v>
      </c>
      <c r="L481" t="n">
        <v>0</v>
      </c>
      <c r="M481" t="n">
        <v>0</v>
      </c>
      <c r="N481" t="n">
        <v>0</v>
      </c>
      <c r="O481" t="n">
        <v>0</v>
      </c>
      <c r="P481" t="n">
        <v>0</v>
      </c>
      <c r="Q481" t="n">
        <v>0</v>
      </c>
      <c r="R481" s="2" t="inlineStr"/>
    </row>
    <row r="482" ht="15" customHeight="1">
      <c r="A482" t="inlineStr">
        <is>
          <t>A 22063-2022</t>
        </is>
      </c>
      <c r="B482" s="1" t="n">
        <v>44711</v>
      </c>
      <c r="C482" s="1" t="n">
        <v>45626</v>
      </c>
      <c r="D482" t="inlineStr">
        <is>
          <t>DALARNAS LÄN</t>
        </is>
      </c>
      <c r="E482" t="inlineStr">
        <is>
          <t>ÄLVDALEN</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22062-2022</t>
        </is>
      </c>
      <c r="B483" s="1" t="n">
        <v>44711</v>
      </c>
      <c r="C483" s="1" t="n">
        <v>45626</v>
      </c>
      <c r="D483" t="inlineStr">
        <is>
          <t>DALARNAS LÄN</t>
        </is>
      </c>
      <c r="E483" t="inlineStr">
        <is>
          <t>ÄLVDALEN</t>
        </is>
      </c>
      <c r="F483" t="inlineStr">
        <is>
          <t>Bergvik skog väst AB</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25162-2022</t>
        </is>
      </c>
      <c r="B484" s="1" t="n">
        <v>44729</v>
      </c>
      <c r="C484" s="1" t="n">
        <v>45626</v>
      </c>
      <c r="D484" t="inlineStr">
        <is>
          <t>DALARNAS LÄN</t>
        </is>
      </c>
      <c r="E484" t="inlineStr">
        <is>
          <t>ÄLVDALEN</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25121-2022</t>
        </is>
      </c>
      <c r="B485" s="1" t="n">
        <v>44729</v>
      </c>
      <c r="C485" s="1" t="n">
        <v>45626</v>
      </c>
      <c r="D485" t="inlineStr">
        <is>
          <t>DALARNAS LÄN</t>
        </is>
      </c>
      <c r="E485" t="inlineStr">
        <is>
          <t>ÄLVDALEN</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25602-2022</t>
        </is>
      </c>
      <c r="B486" s="1" t="n">
        <v>44732</v>
      </c>
      <c r="C486" s="1" t="n">
        <v>45626</v>
      </c>
      <c r="D486" t="inlineStr">
        <is>
          <t>DALARNAS LÄN</t>
        </is>
      </c>
      <c r="E486" t="inlineStr">
        <is>
          <t>ÄLVDALEN</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26622-2022</t>
        </is>
      </c>
      <c r="B487" s="1" t="n">
        <v>44739</v>
      </c>
      <c r="C487" s="1" t="n">
        <v>45626</v>
      </c>
      <c r="D487" t="inlineStr">
        <is>
          <t>DALARNAS LÄN</t>
        </is>
      </c>
      <c r="E487" t="inlineStr">
        <is>
          <t>ÄLVDALEN</t>
        </is>
      </c>
      <c r="F487" t="inlineStr">
        <is>
          <t>Allmännings- och besparingsskogar</t>
        </is>
      </c>
      <c r="G487" t="n">
        <v>10</v>
      </c>
      <c r="H487" t="n">
        <v>0</v>
      </c>
      <c r="I487" t="n">
        <v>0</v>
      </c>
      <c r="J487" t="n">
        <v>0</v>
      </c>
      <c r="K487" t="n">
        <v>0</v>
      </c>
      <c r="L487" t="n">
        <v>0</v>
      </c>
      <c r="M487" t="n">
        <v>0</v>
      </c>
      <c r="N487" t="n">
        <v>0</v>
      </c>
      <c r="O487" t="n">
        <v>0</v>
      </c>
      <c r="P487" t="n">
        <v>0</v>
      </c>
      <c r="Q487" t="n">
        <v>0</v>
      </c>
      <c r="R487" s="2" t="inlineStr"/>
    </row>
    <row r="488" ht="15" customHeight="1">
      <c r="A488" t="inlineStr">
        <is>
          <t>A 27480-2022</t>
        </is>
      </c>
      <c r="B488" s="1" t="n">
        <v>44742</v>
      </c>
      <c r="C488" s="1" t="n">
        <v>45626</v>
      </c>
      <c r="D488" t="inlineStr">
        <is>
          <t>DALARNAS LÄN</t>
        </is>
      </c>
      <c r="E488" t="inlineStr">
        <is>
          <t>ÄLVDALEN</t>
        </is>
      </c>
      <c r="F488" t="inlineStr">
        <is>
          <t>Bergvik skog väst AB</t>
        </is>
      </c>
      <c r="G488" t="n">
        <v>4.1</v>
      </c>
      <c r="H488" t="n">
        <v>0</v>
      </c>
      <c r="I488" t="n">
        <v>0</v>
      </c>
      <c r="J488" t="n">
        <v>0</v>
      </c>
      <c r="K488" t="n">
        <v>0</v>
      </c>
      <c r="L488" t="n">
        <v>0</v>
      </c>
      <c r="M488" t="n">
        <v>0</v>
      </c>
      <c r="N488" t="n">
        <v>0</v>
      </c>
      <c r="O488" t="n">
        <v>0</v>
      </c>
      <c r="P488" t="n">
        <v>0</v>
      </c>
      <c r="Q488" t="n">
        <v>0</v>
      </c>
      <c r="R488" s="2" t="inlineStr"/>
    </row>
    <row r="489" ht="15" customHeight="1">
      <c r="A489" t="inlineStr">
        <is>
          <t>A 27488-2022</t>
        </is>
      </c>
      <c r="B489" s="1" t="n">
        <v>44742</v>
      </c>
      <c r="C489" s="1" t="n">
        <v>45626</v>
      </c>
      <c r="D489" t="inlineStr">
        <is>
          <t>DALARNAS LÄN</t>
        </is>
      </c>
      <c r="E489" t="inlineStr">
        <is>
          <t>ÄLVDALEN</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29561-2022</t>
        </is>
      </c>
      <c r="B490" s="1" t="n">
        <v>44754</v>
      </c>
      <c r="C490" s="1" t="n">
        <v>45626</v>
      </c>
      <c r="D490" t="inlineStr">
        <is>
          <t>DALARNAS LÄN</t>
        </is>
      </c>
      <c r="E490" t="inlineStr">
        <is>
          <t>ÄLVDALEN</t>
        </is>
      </c>
      <c r="G490" t="n">
        <v>6.6</v>
      </c>
      <c r="H490" t="n">
        <v>0</v>
      </c>
      <c r="I490" t="n">
        <v>0</v>
      </c>
      <c r="J490" t="n">
        <v>0</v>
      </c>
      <c r="K490" t="n">
        <v>0</v>
      </c>
      <c r="L490" t="n">
        <v>0</v>
      </c>
      <c r="M490" t="n">
        <v>0</v>
      </c>
      <c r="N490" t="n">
        <v>0</v>
      </c>
      <c r="O490" t="n">
        <v>0</v>
      </c>
      <c r="P490" t="n">
        <v>0</v>
      </c>
      <c r="Q490" t="n">
        <v>0</v>
      </c>
      <c r="R490" s="2" t="inlineStr"/>
    </row>
    <row r="491" ht="15" customHeight="1">
      <c r="A491" t="inlineStr">
        <is>
          <t>A 29558-2022</t>
        </is>
      </c>
      <c r="B491" s="1" t="n">
        <v>44754</v>
      </c>
      <c r="C491" s="1" t="n">
        <v>45626</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29565-2022</t>
        </is>
      </c>
      <c r="B492" s="1" t="n">
        <v>44754</v>
      </c>
      <c r="C492" s="1" t="n">
        <v>45626</v>
      </c>
      <c r="D492" t="inlineStr">
        <is>
          <t>DALARNAS LÄN</t>
        </is>
      </c>
      <c r="E492" t="inlineStr">
        <is>
          <t>ÄLVDALEN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29566-2022</t>
        </is>
      </c>
      <c r="B493" s="1" t="n">
        <v>44754</v>
      </c>
      <c r="C493" s="1" t="n">
        <v>45626</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29711-2022</t>
        </is>
      </c>
      <c r="B494" s="1" t="n">
        <v>44755</v>
      </c>
      <c r="C494" s="1" t="n">
        <v>45626</v>
      </c>
      <c r="D494" t="inlineStr">
        <is>
          <t>DALARNAS LÄN</t>
        </is>
      </c>
      <c r="E494" t="inlineStr">
        <is>
          <t>ÄLVDALEN</t>
        </is>
      </c>
      <c r="G494" t="n">
        <v>8</v>
      </c>
      <c r="H494" t="n">
        <v>0</v>
      </c>
      <c r="I494" t="n">
        <v>0</v>
      </c>
      <c r="J494" t="n">
        <v>0</v>
      </c>
      <c r="K494" t="n">
        <v>0</v>
      </c>
      <c r="L494" t="n">
        <v>0</v>
      </c>
      <c r="M494" t="n">
        <v>0</v>
      </c>
      <c r="N494" t="n">
        <v>0</v>
      </c>
      <c r="O494" t="n">
        <v>0</v>
      </c>
      <c r="P494" t="n">
        <v>0</v>
      </c>
      <c r="Q494" t="n">
        <v>0</v>
      </c>
      <c r="R494" s="2" t="inlineStr"/>
    </row>
    <row r="495" ht="15" customHeight="1">
      <c r="A495" t="inlineStr">
        <is>
          <t>A 29713-2022</t>
        </is>
      </c>
      <c r="B495" s="1" t="n">
        <v>44755</v>
      </c>
      <c r="C495" s="1" t="n">
        <v>45626</v>
      </c>
      <c r="D495" t="inlineStr">
        <is>
          <t>DALARNAS LÄN</t>
        </is>
      </c>
      <c r="E495" t="inlineStr">
        <is>
          <t>ÄLVDALEN</t>
        </is>
      </c>
      <c r="G495" t="n">
        <v>2.8</v>
      </c>
      <c r="H495" t="n">
        <v>0</v>
      </c>
      <c r="I495" t="n">
        <v>0</v>
      </c>
      <c r="J495" t="n">
        <v>0</v>
      </c>
      <c r="K495" t="n">
        <v>0</v>
      </c>
      <c r="L495" t="n">
        <v>0</v>
      </c>
      <c r="M495" t="n">
        <v>0</v>
      </c>
      <c r="N495" t="n">
        <v>0</v>
      </c>
      <c r="O495" t="n">
        <v>0</v>
      </c>
      <c r="P495" t="n">
        <v>0</v>
      </c>
      <c r="Q495" t="n">
        <v>0</v>
      </c>
      <c r="R495" s="2" t="inlineStr"/>
    </row>
    <row r="496" ht="15" customHeight="1">
      <c r="A496" t="inlineStr">
        <is>
          <t>A 29804-2022</t>
        </is>
      </c>
      <c r="B496" s="1" t="n">
        <v>44755</v>
      </c>
      <c r="C496" s="1" t="n">
        <v>45626</v>
      </c>
      <c r="D496" t="inlineStr">
        <is>
          <t>DALARNAS LÄN</t>
        </is>
      </c>
      <c r="E496" t="inlineStr">
        <is>
          <t>ÄLVDALEN</t>
        </is>
      </c>
      <c r="F496" t="inlineStr">
        <is>
          <t>Allmännings- och besparingsskogar</t>
        </is>
      </c>
      <c r="G496" t="n">
        <v>11.4</v>
      </c>
      <c r="H496" t="n">
        <v>0</v>
      </c>
      <c r="I496" t="n">
        <v>0</v>
      </c>
      <c r="J496" t="n">
        <v>0</v>
      </c>
      <c r="K496" t="n">
        <v>0</v>
      </c>
      <c r="L496" t="n">
        <v>0</v>
      </c>
      <c r="M496" t="n">
        <v>0</v>
      </c>
      <c r="N496" t="n">
        <v>0</v>
      </c>
      <c r="O496" t="n">
        <v>0</v>
      </c>
      <c r="P496" t="n">
        <v>0</v>
      </c>
      <c r="Q496" t="n">
        <v>0</v>
      </c>
      <c r="R496" s="2" t="inlineStr"/>
    </row>
    <row r="497" ht="15" customHeight="1">
      <c r="A497" t="inlineStr">
        <is>
          <t>A 29710-2022</t>
        </is>
      </c>
      <c r="B497" s="1" t="n">
        <v>44755</v>
      </c>
      <c r="C497" s="1" t="n">
        <v>45626</v>
      </c>
      <c r="D497" t="inlineStr">
        <is>
          <t>DALARNAS LÄN</t>
        </is>
      </c>
      <c r="E497" t="inlineStr">
        <is>
          <t>ÄLVDALEN</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29806-2022</t>
        </is>
      </c>
      <c r="B498" s="1" t="n">
        <v>44755</v>
      </c>
      <c r="C498" s="1" t="n">
        <v>45626</v>
      </c>
      <c r="D498" t="inlineStr">
        <is>
          <t>DALARNAS LÄN</t>
        </is>
      </c>
      <c r="E498" t="inlineStr">
        <is>
          <t>ÄLVDALEN</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29716-2022</t>
        </is>
      </c>
      <c r="B499" s="1" t="n">
        <v>44755</v>
      </c>
      <c r="C499" s="1" t="n">
        <v>45626</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29849-2022</t>
        </is>
      </c>
      <c r="B500" s="1" t="n">
        <v>44756</v>
      </c>
      <c r="C500" s="1" t="n">
        <v>45626</v>
      </c>
      <c r="D500" t="inlineStr">
        <is>
          <t>DALARNAS LÄN</t>
        </is>
      </c>
      <c r="E500" t="inlineStr">
        <is>
          <t>ÄLVDALEN</t>
        </is>
      </c>
      <c r="F500" t="inlineStr">
        <is>
          <t>Allmännings- och besparingsskogar</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29974-2022</t>
        </is>
      </c>
      <c r="B501" s="1" t="n">
        <v>44756</v>
      </c>
      <c r="C501" s="1" t="n">
        <v>45626</v>
      </c>
      <c r="D501" t="inlineStr">
        <is>
          <t>DALARNAS LÄN</t>
        </is>
      </c>
      <c r="E501" t="inlineStr">
        <is>
          <t>ÄLVDALEN</t>
        </is>
      </c>
      <c r="F501" t="inlineStr">
        <is>
          <t>Allmännings- och besparingsskogar</t>
        </is>
      </c>
      <c r="G501" t="n">
        <v>30</v>
      </c>
      <c r="H501" t="n">
        <v>0</v>
      </c>
      <c r="I501" t="n">
        <v>0</v>
      </c>
      <c r="J501" t="n">
        <v>0</v>
      </c>
      <c r="K501" t="n">
        <v>0</v>
      </c>
      <c r="L501" t="n">
        <v>0</v>
      </c>
      <c r="M501" t="n">
        <v>0</v>
      </c>
      <c r="N501" t="n">
        <v>0</v>
      </c>
      <c r="O501" t="n">
        <v>0</v>
      </c>
      <c r="P501" t="n">
        <v>0</v>
      </c>
      <c r="Q501" t="n">
        <v>0</v>
      </c>
      <c r="R501" s="2" t="inlineStr"/>
    </row>
    <row r="502" ht="15" customHeight="1">
      <c r="A502" t="inlineStr">
        <is>
          <t>A 30831-2022</t>
        </is>
      </c>
      <c r="B502" s="1" t="n">
        <v>44767</v>
      </c>
      <c r="C502" s="1" t="n">
        <v>45626</v>
      </c>
      <c r="D502" t="inlineStr">
        <is>
          <t>DALARNAS LÄN</t>
        </is>
      </c>
      <c r="E502" t="inlineStr">
        <is>
          <t>ÄLVDALEN</t>
        </is>
      </c>
      <c r="F502" t="inlineStr">
        <is>
          <t>Allmännings- och besparingsskogar</t>
        </is>
      </c>
      <c r="G502" t="n">
        <v>22.7</v>
      </c>
      <c r="H502" t="n">
        <v>0</v>
      </c>
      <c r="I502" t="n">
        <v>0</v>
      </c>
      <c r="J502" t="n">
        <v>0</v>
      </c>
      <c r="K502" t="n">
        <v>0</v>
      </c>
      <c r="L502" t="n">
        <v>0</v>
      </c>
      <c r="M502" t="n">
        <v>0</v>
      </c>
      <c r="N502" t="n">
        <v>0</v>
      </c>
      <c r="O502" t="n">
        <v>0</v>
      </c>
      <c r="P502" t="n">
        <v>0</v>
      </c>
      <c r="Q502" t="n">
        <v>0</v>
      </c>
      <c r="R502" s="2" t="inlineStr"/>
    </row>
    <row r="503" ht="15" customHeight="1">
      <c r="A503" t="inlineStr">
        <is>
          <t>A 31266-2022</t>
        </is>
      </c>
      <c r="B503" s="1" t="n">
        <v>44771</v>
      </c>
      <c r="C503" s="1" t="n">
        <v>45626</v>
      </c>
      <c r="D503" t="inlineStr">
        <is>
          <t>DALARNAS LÄN</t>
        </is>
      </c>
      <c r="E503" t="inlineStr">
        <is>
          <t>ÄLVDALEN</t>
        </is>
      </c>
      <c r="F503" t="inlineStr">
        <is>
          <t>Allmännings- och besparingsskogar</t>
        </is>
      </c>
      <c r="G503" t="n">
        <v>20.8</v>
      </c>
      <c r="H503" t="n">
        <v>0</v>
      </c>
      <c r="I503" t="n">
        <v>0</v>
      </c>
      <c r="J503" t="n">
        <v>0</v>
      </c>
      <c r="K503" t="n">
        <v>0</v>
      </c>
      <c r="L503" t="n">
        <v>0</v>
      </c>
      <c r="M503" t="n">
        <v>0</v>
      </c>
      <c r="N503" t="n">
        <v>0</v>
      </c>
      <c r="O503" t="n">
        <v>0</v>
      </c>
      <c r="P503" t="n">
        <v>0</v>
      </c>
      <c r="Q503" t="n">
        <v>0</v>
      </c>
      <c r="R503" s="2" t="inlineStr"/>
    </row>
    <row r="504" ht="15" customHeight="1">
      <c r="A504" t="inlineStr">
        <is>
          <t>A 32385-2022</t>
        </is>
      </c>
      <c r="B504" s="1" t="n">
        <v>44782</v>
      </c>
      <c r="C504" s="1" t="n">
        <v>45626</v>
      </c>
      <c r="D504" t="inlineStr">
        <is>
          <t>DALARNAS LÄN</t>
        </is>
      </c>
      <c r="E504" t="inlineStr">
        <is>
          <t>ÄLVDALEN</t>
        </is>
      </c>
      <c r="F504" t="inlineStr">
        <is>
          <t>Övriga statliga verk och myndigheter</t>
        </is>
      </c>
      <c r="G504" t="n">
        <v>9</v>
      </c>
      <c r="H504" t="n">
        <v>0</v>
      </c>
      <c r="I504" t="n">
        <v>0</v>
      </c>
      <c r="J504" t="n">
        <v>0</v>
      </c>
      <c r="K504" t="n">
        <v>0</v>
      </c>
      <c r="L504" t="n">
        <v>0</v>
      </c>
      <c r="M504" t="n">
        <v>0</v>
      </c>
      <c r="N504" t="n">
        <v>0</v>
      </c>
      <c r="O504" t="n">
        <v>0</v>
      </c>
      <c r="P504" t="n">
        <v>0</v>
      </c>
      <c r="Q504" t="n">
        <v>0</v>
      </c>
      <c r="R504" s="2" t="inlineStr"/>
    </row>
    <row r="505" ht="15" customHeight="1">
      <c r="A505" t="inlineStr">
        <is>
          <t>A 32467-2022</t>
        </is>
      </c>
      <c r="B505" s="1" t="n">
        <v>44782</v>
      </c>
      <c r="C505" s="1" t="n">
        <v>45626</v>
      </c>
      <c r="D505" t="inlineStr">
        <is>
          <t>DALARNAS LÄN</t>
        </is>
      </c>
      <c r="E505" t="inlineStr">
        <is>
          <t>ÄLVDALEN</t>
        </is>
      </c>
      <c r="F505" t="inlineStr">
        <is>
          <t>Bergvik skog väst AB</t>
        </is>
      </c>
      <c r="G505" t="n">
        <v>4.5</v>
      </c>
      <c r="H505" t="n">
        <v>0</v>
      </c>
      <c r="I505" t="n">
        <v>0</v>
      </c>
      <c r="J505" t="n">
        <v>0</v>
      </c>
      <c r="K505" t="n">
        <v>0</v>
      </c>
      <c r="L505" t="n">
        <v>0</v>
      </c>
      <c r="M505" t="n">
        <v>0</v>
      </c>
      <c r="N505" t="n">
        <v>0</v>
      </c>
      <c r="O505" t="n">
        <v>0</v>
      </c>
      <c r="P505" t="n">
        <v>0</v>
      </c>
      <c r="Q505" t="n">
        <v>0</v>
      </c>
      <c r="R505" s="2" t="inlineStr"/>
    </row>
    <row r="506" ht="15" customHeight="1">
      <c r="A506" t="inlineStr">
        <is>
          <t>A 32468-2022</t>
        </is>
      </c>
      <c r="B506" s="1" t="n">
        <v>44782</v>
      </c>
      <c r="C506" s="1" t="n">
        <v>45626</v>
      </c>
      <c r="D506" t="inlineStr">
        <is>
          <t>DALARNAS LÄN</t>
        </is>
      </c>
      <c r="E506" t="inlineStr">
        <is>
          <t>ÄLVDALEN</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32848-2022</t>
        </is>
      </c>
      <c r="B507" s="1" t="n">
        <v>44784</v>
      </c>
      <c r="C507" s="1" t="n">
        <v>45626</v>
      </c>
      <c r="D507" t="inlineStr">
        <is>
          <t>DALARNAS LÄN</t>
        </is>
      </c>
      <c r="E507" t="inlineStr">
        <is>
          <t>ÄLVDALEN</t>
        </is>
      </c>
      <c r="F507" t="inlineStr">
        <is>
          <t>Bergvik skog väst AB</t>
        </is>
      </c>
      <c r="G507" t="n">
        <v>3.1</v>
      </c>
      <c r="H507" t="n">
        <v>0</v>
      </c>
      <c r="I507" t="n">
        <v>0</v>
      </c>
      <c r="J507" t="n">
        <v>0</v>
      </c>
      <c r="K507" t="n">
        <v>0</v>
      </c>
      <c r="L507" t="n">
        <v>0</v>
      </c>
      <c r="M507" t="n">
        <v>0</v>
      </c>
      <c r="N507" t="n">
        <v>0</v>
      </c>
      <c r="O507" t="n">
        <v>0</v>
      </c>
      <c r="P507" t="n">
        <v>0</v>
      </c>
      <c r="Q507" t="n">
        <v>0</v>
      </c>
      <c r="R507" s="2" t="inlineStr"/>
    </row>
    <row r="508" ht="15" customHeight="1">
      <c r="A508" t="inlineStr">
        <is>
          <t>A 32894-2022</t>
        </is>
      </c>
      <c r="B508" s="1" t="n">
        <v>44784</v>
      </c>
      <c r="C508" s="1" t="n">
        <v>45626</v>
      </c>
      <c r="D508" t="inlineStr">
        <is>
          <t>DALARNAS LÄN</t>
        </is>
      </c>
      <c r="E508" t="inlineStr">
        <is>
          <t>ÄLVDALEN</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33425-2022</t>
        </is>
      </c>
      <c r="B509" s="1" t="n">
        <v>44788</v>
      </c>
      <c r="C509" s="1" t="n">
        <v>45626</v>
      </c>
      <c r="D509" t="inlineStr">
        <is>
          <t>DALARNAS LÄN</t>
        </is>
      </c>
      <c r="E509" t="inlineStr">
        <is>
          <t>ÄLVDALEN</t>
        </is>
      </c>
      <c r="F509" t="inlineStr">
        <is>
          <t>Bergvik skog öst AB</t>
        </is>
      </c>
      <c r="G509" t="n">
        <v>21.2</v>
      </c>
      <c r="H509" t="n">
        <v>0</v>
      </c>
      <c r="I509" t="n">
        <v>0</v>
      </c>
      <c r="J509" t="n">
        <v>0</v>
      </c>
      <c r="K509" t="n">
        <v>0</v>
      </c>
      <c r="L509" t="n">
        <v>0</v>
      </c>
      <c r="M509" t="n">
        <v>0</v>
      </c>
      <c r="N509" t="n">
        <v>0</v>
      </c>
      <c r="O509" t="n">
        <v>0</v>
      </c>
      <c r="P509" t="n">
        <v>0</v>
      </c>
      <c r="Q509" t="n">
        <v>0</v>
      </c>
      <c r="R509" s="2" t="inlineStr"/>
    </row>
    <row r="510" ht="15" customHeight="1">
      <c r="A510" t="inlineStr">
        <is>
          <t>A 36161-2022</t>
        </is>
      </c>
      <c r="B510" s="1" t="n">
        <v>44803</v>
      </c>
      <c r="C510" s="1" t="n">
        <v>45626</v>
      </c>
      <c r="D510" t="inlineStr">
        <is>
          <t>DALARNAS LÄN</t>
        </is>
      </c>
      <c r="E510" t="inlineStr">
        <is>
          <t>ÄLVDALEN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36513-2022</t>
        </is>
      </c>
      <c r="B511" s="1" t="n">
        <v>44804</v>
      </c>
      <c r="C511" s="1" t="n">
        <v>45626</v>
      </c>
      <c r="D511" t="inlineStr">
        <is>
          <t>DALARNAS LÄN</t>
        </is>
      </c>
      <c r="E511" t="inlineStr">
        <is>
          <t>ÄLVDALEN</t>
        </is>
      </c>
      <c r="G511" t="n">
        <v>3.1</v>
      </c>
      <c r="H511" t="n">
        <v>0</v>
      </c>
      <c r="I511" t="n">
        <v>0</v>
      </c>
      <c r="J511" t="n">
        <v>0</v>
      </c>
      <c r="K511" t="n">
        <v>0</v>
      </c>
      <c r="L511" t="n">
        <v>0</v>
      </c>
      <c r="M511" t="n">
        <v>0</v>
      </c>
      <c r="N511" t="n">
        <v>0</v>
      </c>
      <c r="O511" t="n">
        <v>0</v>
      </c>
      <c r="P511" t="n">
        <v>0</v>
      </c>
      <c r="Q511" t="n">
        <v>0</v>
      </c>
      <c r="R511" s="2" t="inlineStr"/>
    </row>
    <row r="512" ht="15" customHeight="1">
      <c r="A512" t="inlineStr">
        <is>
          <t>A 37399-2022</t>
        </is>
      </c>
      <c r="B512" s="1" t="n">
        <v>44809</v>
      </c>
      <c r="C512" s="1" t="n">
        <v>45626</v>
      </c>
      <c r="D512" t="inlineStr">
        <is>
          <t>DALARNAS LÄN</t>
        </is>
      </c>
      <c r="E512" t="inlineStr">
        <is>
          <t>ÄLVDALEN</t>
        </is>
      </c>
      <c r="F512" t="inlineStr">
        <is>
          <t>Allmännings- och besparingsskogar</t>
        </is>
      </c>
      <c r="G512" t="n">
        <v>0.9</v>
      </c>
      <c r="H512" t="n">
        <v>0</v>
      </c>
      <c r="I512" t="n">
        <v>0</v>
      </c>
      <c r="J512" t="n">
        <v>0</v>
      </c>
      <c r="K512" t="n">
        <v>0</v>
      </c>
      <c r="L512" t="n">
        <v>0</v>
      </c>
      <c r="M512" t="n">
        <v>0</v>
      </c>
      <c r="N512" t="n">
        <v>0</v>
      </c>
      <c r="O512" t="n">
        <v>0</v>
      </c>
      <c r="P512" t="n">
        <v>0</v>
      </c>
      <c r="Q512" t="n">
        <v>0</v>
      </c>
      <c r="R512" s="2" t="inlineStr"/>
    </row>
    <row r="513" ht="15" customHeight="1">
      <c r="A513" t="inlineStr">
        <is>
          <t>A 37740-2022</t>
        </is>
      </c>
      <c r="B513" s="1" t="n">
        <v>44810</v>
      </c>
      <c r="C513" s="1" t="n">
        <v>45626</v>
      </c>
      <c r="D513" t="inlineStr">
        <is>
          <t>DALARNAS LÄN</t>
        </is>
      </c>
      <c r="E513" t="inlineStr">
        <is>
          <t>ÄLVDALEN</t>
        </is>
      </c>
      <c r="F513" t="inlineStr">
        <is>
          <t>Bergvik skog väst AB</t>
        </is>
      </c>
      <c r="G513" t="n">
        <v>4</v>
      </c>
      <c r="H513" t="n">
        <v>0</v>
      </c>
      <c r="I513" t="n">
        <v>0</v>
      </c>
      <c r="J513" t="n">
        <v>0</v>
      </c>
      <c r="K513" t="n">
        <v>0</v>
      </c>
      <c r="L513" t="n">
        <v>0</v>
      </c>
      <c r="M513" t="n">
        <v>0</v>
      </c>
      <c r="N513" t="n">
        <v>0</v>
      </c>
      <c r="O513" t="n">
        <v>0</v>
      </c>
      <c r="P513" t="n">
        <v>0</v>
      </c>
      <c r="Q513" t="n">
        <v>0</v>
      </c>
      <c r="R513" s="2" t="inlineStr"/>
    </row>
    <row r="514" ht="15" customHeight="1">
      <c r="A514" t="inlineStr">
        <is>
          <t>A 37957-2022</t>
        </is>
      </c>
      <c r="B514" s="1" t="n">
        <v>44811</v>
      </c>
      <c r="C514" s="1" t="n">
        <v>45626</v>
      </c>
      <c r="D514" t="inlineStr">
        <is>
          <t>DALARNAS LÄN</t>
        </is>
      </c>
      <c r="E514" t="inlineStr">
        <is>
          <t>ÄLVDALEN</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37959-2022</t>
        </is>
      </c>
      <c r="B515" s="1" t="n">
        <v>44811</v>
      </c>
      <c r="C515" s="1" t="n">
        <v>45626</v>
      </c>
      <c r="D515" t="inlineStr">
        <is>
          <t>DALARNAS LÄN</t>
        </is>
      </c>
      <c r="E515" t="inlineStr">
        <is>
          <t>ÄLVDALEN</t>
        </is>
      </c>
      <c r="F515" t="inlineStr">
        <is>
          <t>Bergvik skog väst AB</t>
        </is>
      </c>
      <c r="G515" t="n">
        <v>3.2</v>
      </c>
      <c r="H515" t="n">
        <v>0</v>
      </c>
      <c r="I515" t="n">
        <v>0</v>
      </c>
      <c r="J515" t="n">
        <v>0</v>
      </c>
      <c r="K515" t="n">
        <v>0</v>
      </c>
      <c r="L515" t="n">
        <v>0</v>
      </c>
      <c r="M515" t="n">
        <v>0</v>
      </c>
      <c r="N515" t="n">
        <v>0</v>
      </c>
      <c r="O515" t="n">
        <v>0</v>
      </c>
      <c r="P515" t="n">
        <v>0</v>
      </c>
      <c r="Q515" t="n">
        <v>0</v>
      </c>
      <c r="R515" s="2" t="inlineStr"/>
    </row>
    <row r="516" ht="15" customHeight="1">
      <c r="A516" t="inlineStr">
        <is>
          <t>A 38957-2022</t>
        </is>
      </c>
      <c r="B516" s="1" t="n">
        <v>44816</v>
      </c>
      <c r="C516" s="1" t="n">
        <v>45626</v>
      </c>
      <c r="D516" t="inlineStr">
        <is>
          <t>DALARNAS LÄN</t>
        </is>
      </c>
      <c r="E516" t="inlineStr">
        <is>
          <t>ÄLVDALEN</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39308-2022</t>
        </is>
      </c>
      <c r="B517" s="1" t="n">
        <v>44817</v>
      </c>
      <c r="C517" s="1" t="n">
        <v>45626</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39311-2022</t>
        </is>
      </c>
      <c r="B518" s="1" t="n">
        <v>44817</v>
      </c>
      <c r="C518" s="1" t="n">
        <v>45626</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40003-2022</t>
        </is>
      </c>
      <c r="B519" s="1" t="n">
        <v>44820</v>
      </c>
      <c r="C519" s="1" t="n">
        <v>45626</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40726-2022</t>
        </is>
      </c>
      <c r="B520" s="1" t="n">
        <v>44824</v>
      </c>
      <c r="C520" s="1" t="n">
        <v>45626</v>
      </c>
      <c r="D520" t="inlineStr">
        <is>
          <t>DALARNAS LÄN</t>
        </is>
      </c>
      <c r="E520" t="inlineStr">
        <is>
          <t>ÄLVDALEN</t>
        </is>
      </c>
      <c r="F520" t="inlineStr">
        <is>
          <t>Övriga statliga verk och myndigheter</t>
        </is>
      </c>
      <c r="G520" t="n">
        <v>12.5</v>
      </c>
      <c r="H520" t="n">
        <v>0</v>
      </c>
      <c r="I520" t="n">
        <v>0</v>
      </c>
      <c r="J520" t="n">
        <v>0</v>
      </c>
      <c r="K520" t="n">
        <v>0</v>
      </c>
      <c r="L520" t="n">
        <v>0</v>
      </c>
      <c r="M520" t="n">
        <v>0</v>
      </c>
      <c r="N520" t="n">
        <v>0</v>
      </c>
      <c r="O520" t="n">
        <v>0</v>
      </c>
      <c r="P520" t="n">
        <v>0</v>
      </c>
      <c r="Q520" t="n">
        <v>0</v>
      </c>
      <c r="R520" s="2" t="inlineStr"/>
    </row>
    <row r="521" ht="15" customHeight="1">
      <c r="A521" t="inlineStr">
        <is>
          <t>A 40723-2022</t>
        </is>
      </c>
      <c r="B521" s="1" t="n">
        <v>44824</v>
      </c>
      <c r="C521" s="1" t="n">
        <v>45626</v>
      </c>
      <c r="D521" t="inlineStr">
        <is>
          <t>DALARNAS LÄN</t>
        </is>
      </c>
      <c r="E521" t="inlineStr">
        <is>
          <t>ÄLVDALEN</t>
        </is>
      </c>
      <c r="F521" t="inlineStr">
        <is>
          <t>Övriga statliga verk och myndigheter</t>
        </is>
      </c>
      <c r="G521" t="n">
        <v>14.7</v>
      </c>
      <c r="H521" t="n">
        <v>0</v>
      </c>
      <c r="I521" t="n">
        <v>0</v>
      </c>
      <c r="J521" t="n">
        <v>0</v>
      </c>
      <c r="K521" t="n">
        <v>0</v>
      </c>
      <c r="L521" t="n">
        <v>0</v>
      </c>
      <c r="M521" t="n">
        <v>0</v>
      </c>
      <c r="N521" t="n">
        <v>0</v>
      </c>
      <c r="O521" t="n">
        <v>0</v>
      </c>
      <c r="P521" t="n">
        <v>0</v>
      </c>
      <c r="Q521" t="n">
        <v>0</v>
      </c>
      <c r="R521" s="2" t="inlineStr"/>
    </row>
    <row r="522" ht="15" customHeight="1">
      <c r="A522" t="inlineStr">
        <is>
          <t>A 41856-2022</t>
        </is>
      </c>
      <c r="B522" s="1" t="n">
        <v>44829</v>
      </c>
      <c r="C522" s="1" t="n">
        <v>45626</v>
      </c>
      <c r="D522" t="inlineStr">
        <is>
          <t>DALARNAS LÄN</t>
        </is>
      </c>
      <c r="E522" t="inlineStr">
        <is>
          <t>ÄLVDALEN</t>
        </is>
      </c>
      <c r="G522" t="n">
        <v>9.1</v>
      </c>
      <c r="H522" t="n">
        <v>0</v>
      </c>
      <c r="I522" t="n">
        <v>0</v>
      </c>
      <c r="J522" t="n">
        <v>0</v>
      </c>
      <c r="K522" t="n">
        <v>0</v>
      </c>
      <c r="L522" t="n">
        <v>0</v>
      </c>
      <c r="M522" t="n">
        <v>0</v>
      </c>
      <c r="N522" t="n">
        <v>0</v>
      </c>
      <c r="O522" t="n">
        <v>0</v>
      </c>
      <c r="P522" t="n">
        <v>0</v>
      </c>
      <c r="Q522" t="n">
        <v>0</v>
      </c>
      <c r="R522" s="2" t="inlineStr"/>
    </row>
    <row r="523" ht="15" customHeight="1">
      <c r="A523" t="inlineStr">
        <is>
          <t>A 41855-2022</t>
        </is>
      </c>
      <c r="B523" s="1" t="n">
        <v>44829</v>
      </c>
      <c r="C523" s="1" t="n">
        <v>45626</v>
      </c>
      <c r="D523" t="inlineStr">
        <is>
          <t>DALARNAS LÄN</t>
        </is>
      </c>
      <c r="E523" t="inlineStr">
        <is>
          <t>ÄLVDALEN</t>
        </is>
      </c>
      <c r="G523" t="n">
        <v>19.3</v>
      </c>
      <c r="H523" t="n">
        <v>0</v>
      </c>
      <c r="I523" t="n">
        <v>0</v>
      </c>
      <c r="J523" t="n">
        <v>0</v>
      </c>
      <c r="K523" t="n">
        <v>0</v>
      </c>
      <c r="L523" t="n">
        <v>0</v>
      </c>
      <c r="M523" t="n">
        <v>0</v>
      </c>
      <c r="N523" t="n">
        <v>0</v>
      </c>
      <c r="O523" t="n">
        <v>0</v>
      </c>
      <c r="P523" t="n">
        <v>0</v>
      </c>
      <c r="Q523" t="n">
        <v>0</v>
      </c>
      <c r="R523" s="2" t="inlineStr"/>
    </row>
    <row r="524" ht="15" customHeight="1">
      <c r="A524" t="inlineStr">
        <is>
          <t>A 43191-2022</t>
        </is>
      </c>
      <c r="B524" s="1" t="n">
        <v>44834</v>
      </c>
      <c r="C524" s="1" t="n">
        <v>45626</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43649-2022</t>
        </is>
      </c>
      <c r="B525" s="1" t="n">
        <v>44837</v>
      </c>
      <c r="C525" s="1" t="n">
        <v>45626</v>
      </c>
      <c r="D525" t="inlineStr">
        <is>
          <t>DALARNAS LÄN</t>
        </is>
      </c>
      <c r="E525" t="inlineStr">
        <is>
          <t>ÄLVDALEN</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43628-2022</t>
        </is>
      </c>
      <c r="B526" s="1" t="n">
        <v>44837</v>
      </c>
      <c r="C526" s="1" t="n">
        <v>45626</v>
      </c>
      <c r="D526" t="inlineStr">
        <is>
          <t>DALARNAS LÄN</t>
        </is>
      </c>
      <c r="E526" t="inlineStr">
        <is>
          <t>ÄLVDALEN</t>
        </is>
      </c>
      <c r="G526" t="n">
        <v>5.8</v>
      </c>
      <c r="H526" t="n">
        <v>0</v>
      </c>
      <c r="I526" t="n">
        <v>0</v>
      </c>
      <c r="J526" t="n">
        <v>0</v>
      </c>
      <c r="K526" t="n">
        <v>0</v>
      </c>
      <c r="L526" t="n">
        <v>0</v>
      </c>
      <c r="M526" t="n">
        <v>0</v>
      </c>
      <c r="N526" t="n">
        <v>0</v>
      </c>
      <c r="O526" t="n">
        <v>0</v>
      </c>
      <c r="P526" t="n">
        <v>0</v>
      </c>
      <c r="Q526" t="n">
        <v>0</v>
      </c>
      <c r="R526" s="2" t="inlineStr"/>
    </row>
    <row r="527" ht="15" customHeight="1">
      <c r="A527" t="inlineStr">
        <is>
          <t>A 43647-2022</t>
        </is>
      </c>
      <c r="B527" s="1" t="n">
        <v>44837</v>
      </c>
      <c r="C527" s="1" t="n">
        <v>45626</v>
      </c>
      <c r="D527" t="inlineStr">
        <is>
          <t>DALARNAS LÄN</t>
        </is>
      </c>
      <c r="E527" t="inlineStr">
        <is>
          <t>ÄLVDALEN</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43616-2022</t>
        </is>
      </c>
      <c r="B528" s="1" t="n">
        <v>44837</v>
      </c>
      <c r="C528" s="1" t="n">
        <v>45626</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44119-2022</t>
        </is>
      </c>
      <c r="B529" s="1" t="n">
        <v>44839</v>
      </c>
      <c r="C529" s="1" t="n">
        <v>45626</v>
      </c>
      <c r="D529" t="inlineStr">
        <is>
          <t>DALARNAS LÄN</t>
        </is>
      </c>
      <c r="E529" t="inlineStr">
        <is>
          <t>ÄLVDALEN</t>
        </is>
      </c>
      <c r="G529" t="n">
        <v>3.2</v>
      </c>
      <c r="H529" t="n">
        <v>0</v>
      </c>
      <c r="I529" t="n">
        <v>0</v>
      </c>
      <c r="J529" t="n">
        <v>0</v>
      </c>
      <c r="K529" t="n">
        <v>0</v>
      </c>
      <c r="L529" t="n">
        <v>0</v>
      </c>
      <c r="M529" t="n">
        <v>0</v>
      </c>
      <c r="N529" t="n">
        <v>0</v>
      </c>
      <c r="O529" t="n">
        <v>0</v>
      </c>
      <c r="P529" t="n">
        <v>0</v>
      </c>
      <c r="Q529" t="n">
        <v>0</v>
      </c>
      <c r="R529" s="2" t="inlineStr"/>
    </row>
    <row r="530" ht="15" customHeight="1">
      <c r="A530" t="inlineStr">
        <is>
          <t>A 45044-2022</t>
        </is>
      </c>
      <c r="B530" s="1" t="n">
        <v>44841</v>
      </c>
      <c r="C530" s="1" t="n">
        <v>45626</v>
      </c>
      <c r="D530" t="inlineStr">
        <is>
          <t>DALARNAS LÄN</t>
        </is>
      </c>
      <c r="E530" t="inlineStr">
        <is>
          <t>ÄLVDALEN</t>
        </is>
      </c>
      <c r="F530" t="inlineStr">
        <is>
          <t>Bergvik skog väst AB</t>
        </is>
      </c>
      <c r="G530" t="n">
        <v>8.9</v>
      </c>
      <c r="H530" t="n">
        <v>0</v>
      </c>
      <c r="I530" t="n">
        <v>0</v>
      </c>
      <c r="J530" t="n">
        <v>0</v>
      </c>
      <c r="K530" t="n">
        <v>0</v>
      </c>
      <c r="L530" t="n">
        <v>0</v>
      </c>
      <c r="M530" t="n">
        <v>0</v>
      </c>
      <c r="N530" t="n">
        <v>0</v>
      </c>
      <c r="O530" t="n">
        <v>0</v>
      </c>
      <c r="P530" t="n">
        <v>0</v>
      </c>
      <c r="Q530" t="n">
        <v>0</v>
      </c>
      <c r="R530" s="2" t="inlineStr"/>
    </row>
    <row r="531" ht="15" customHeight="1">
      <c r="A531" t="inlineStr">
        <is>
          <t>A 45050-2022</t>
        </is>
      </c>
      <c r="B531" s="1" t="n">
        <v>44841</v>
      </c>
      <c r="C531" s="1" t="n">
        <v>45626</v>
      </c>
      <c r="D531" t="inlineStr">
        <is>
          <t>DALARNAS LÄN</t>
        </is>
      </c>
      <c r="E531" t="inlineStr">
        <is>
          <t>ÄLVDALEN</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45049-2022</t>
        </is>
      </c>
      <c r="B532" s="1" t="n">
        <v>44841</v>
      </c>
      <c r="C532" s="1" t="n">
        <v>45626</v>
      </c>
      <c r="D532" t="inlineStr">
        <is>
          <t>DALARNAS LÄN</t>
        </is>
      </c>
      <c r="E532" t="inlineStr">
        <is>
          <t>ÄLVDALEN</t>
        </is>
      </c>
      <c r="F532" t="inlineStr">
        <is>
          <t>Bergvik skog väst AB</t>
        </is>
      </c>
      <c r="G532" t="n">
        <v>19.8</v>
      </c>
      <c r="H532" t="n">
        <v>0</v>
      </c>
      <c r="I532" t="n">
        <v>0</v>
      </c>
      <c r="J532" t="n">
        <v>0</v>
      </c>
      <c r="K532" t="n">
        <v>0</v>
      </c>
      <c r="L532" t="n">
        <v>0</v>
      </c>
      <c r="M532" t="n">
        <v>0</v>
      </c>
      <c r="N532" t="n">
        <v>0</v>
      </c>
      <c r="O532" t="n">
        <v>0</v>
      </c>
      <c r="P532" t="n">
        <v>0</v>
      </c>
      <c r="Q532" t="n">
        <v>0</v>
      </c>
      <c r="R532" s="2" t="inlineStr"/>
    </row>
    <row r="533" ht="15" customHeight="1">
      <c r="A533" t="inlineStr">
        <is>
          <t>A 45167-2022</t>
        </is>
      </c>
      <c r="B533" s="1" t="n">
        <v>44844</v>
      </c>
      <c r="C533" s="1" t="n">
        <v>45626</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45228-2022</t>
        </is>
      </c>
      <c r="B534" s="1" t="n">
        <v>44844</v>
      </c>
      <c r="C534" s="1" t="n">
        <v>45626</v>
      </c>
      <c r="D534" t="inlineStr">
        <is>
          <t>DALARNAS LÄN</t>
        </is>
      </c>
      <c r="E534" t="inlineStr">
        <is>
          <t>ÄLVDALEN</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45227-2022</t>
        </is>
      </c>
      <c r="B535" s="1" t="n">
        <v>44844</v>
      </c>
      <c r="C535" s="1" t="n">
        <v>45626</v>
      </c>
      <c r="D535" t="inlineStr">
        <is>
          <t>DALARNAS LÄN</t>
        </is>
      </c>
      <c r="E535" t="inlineStr">
        <is>
          <t>ÄLVDALEN</t>
        </is>
      </c>
      <c r="F535" t="inlineStr">
        <is>
          <t>Bergvik skog väst AB</t>
        </is>
      </c>
      <c r="G535" t="n">
        <v>22.3</v>
      </c>
      <c r="H535" t="n">
        <v>0</v>
      </c>
      <c r="I535" t="n">
        <v>0</v>
      </c>
      <c r="J535" t="n">
        <v>0</v>
      </c>
      <c r="K535" t="n">
        <v>0</v>
      </c>
      <c r="L535" t="n">
        <v>0</v>
      </c>
      <c r="M535" t="n">
        <v>0</v>
      </c>
      <c r="N535" t="n">
        <v>0</v>
      </c>
      <c r="O535" t="n">
        <v>0</v>
      </c>
      <c r="P535" t="n">
        <v>0</v>
      </c>
      <c r="Q535" t="n">
        <v>0</v>
      </c>
      <c r="R535" s="2" t="inlineStr"/>
    </row>
    <row r="536" ht="15" customHeight="1">
      <c r="A536" t="inlineStr">
        <is>
          <t>A 45245-2022</t>
        </is>
      </c>
      <c r="B536" s="1" t="n">
        <v>44844</v>
      </c>
      <c r="C536" s="1" t="n">
        <v>45626</v>
      </c>
      <c r="D536" t="inlineStr">
        <is>
          <t>DALARNAS LÄN</t>
        </is>
      </c>
      <c r="E536" t="inlineStr">
        <is>
          <t>ÄLVDALEN</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45157-2022</t>
        </is>
      </c>
      <c r="B537" s="1" t="n">
        <v>44844</v>
      </c>
      <c r="C537" s="1" t="n">
        <v>45626</v>
      </c>
      <c r="D537" t="inlineStr">
        <is>
          <t>DALARNAS LÄN</t>
        </is>
      </c>
      <c r="E537" t="inlineStr">
        <is>
          <t>ÄLVDALEN</t>
        </is>
      </c>
      <c r="G537" t="n">
        <v>7.9</v>
      </c>
      <c r="H537" t="n">
        <v>0</v>
      </c>
      <c r="I537" t="n">
        <v>0</v>
      </c>
      <c r="J537" t="n">
        <v>0</v>
      </c>
      <c r="K537" t="n">
        <v>0</v>
      </c>
      <c r="L537" t="n">
        <v>0</v>
      </c>
      <c r="M537" t="n">
        <v>0</v>
      </c>
      <c r="N537" t="n">
        <v>0</v>
      </c>
      <c r="O537" t="n">
        <v>0</v>
      </c>
      <c r="P537" t="n">
        <v>0</v>
      </c>
      <c r="Q537" t="n">
        <v>0</v>
      </c>
      <c r="R537" s="2" t="inlineStr"/>
    </row>
    <row r="538" ht="15" customHeight="1">
      <c r="A538" t="inlineStr">
        <is>
          <t>A 45165-2022</t>
        </is>
      </c>
      <c r="B538" s="1" t="n">
        <v>44844</v>
      </c>
      <c r="C538" s="1" t="n">
        <v>45626</v>
      </c>
      <c r="D538" t="inlineStr">
        <is>
          <t>DALARNAS LÄN</t>
        </is>
      </c>
      <c r="E538" t="inlineStr">
        <is>
          <t>ÄLVDALEN</t>
        </is>
      </c>
      <c r="G538" t="n">
        <v>5.2</v>
      </c>
      <c r="H538" t="n">
        <v>0</v>
      </c>
      <c r="I538" t="n">
        <v>0</v>
      </c>
      <c r="J538" t="n">
        <v>0</v>
      </c>
      <c r="K538" t="n">
        <v>0</v>
      </c>
      <c r="L538" t="n">
        <v>0</v>
      </c>
      <c r="M538" t="n">
        <v>0</v>
      </c>
      <c r="N538" t="n">
        <v>0</v>
      </c>
      <c r="O538" t="n">
        <v>0</v>
      </c>
      <c r="P538" t="n">
        <v>0</v>
      </c>
      <c r="Q538" t="n">
        <v>0</v>
      </c>
      <c r="R538" s="2" t="inlineStr"/>
    </row>
    <row r="539" ht="15" customHeight="1">
      <c r="A539" t="inlineStr">
        <is>
          <t>A 45233-2022</t>
        </is>
      </c>
      <c r="B539" s="1" t="n">
        <v>44844</v>
      </c>
      <c r="C539" s="1" t="n">
        <v>45626</v>
      </c>
      <c r="D539" t="inlineStr">
        <is>
          <t>DALARNAS LÄN</t>
        </is>
      </c>
      <c r="E539" t="inlineStr">
        <is>
          <t>ÄLVDALEN</t>
        </is>
      </c>
      <c r="F539" t="inlineStr">
        <is>
          <t>Bergvik skog väst AB</t>
        </is>
      </c>
      <c r="G539" t="n">
        <v>3.2</v>
      </c>
      <c r="H539" t="n">
        <v>0</v>
      </c>
      <c r="I539" t="n">
        <v>0</v>
      </c>
      <c r="J539" t="n">
        <v>0</v>
      </c>
      <c r="K539" t="n">
        <v>0</v>
      </c>
      <c r="L539" t="n">
        <v>0</v>
      </c>
      <c r="M539" t="n">
        <v>0</v>
      </c>
      <c r="N539" t="n">
        <v>0</v>
      </c>
      <c r="O539" t="n">
        <v>0</v>
      </c>
      <c r="P539" t="n">
        <v>0</v>
      </c>
      <c r="Q539" t="n">
        <v>0</v>
      </c>
      <c r="R539" s="2" t="inlineStr"/>
    </row>
    <row r="540" ht="15" customHeight="1">
      <c r="A540" t="inlineStr">
        <is>
          <t>A 45783-2022</t>
        </is>
      </c>
      <c r="B540" s="1" t="n">
        <v>44846</v>
      </c>
      <c r="C540" s="1" t="n">
        <v>45626</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45785-2022</t>
        </is>
      </c>
      <c r="B541" s="1" t="n">
        <v>44846</v>
      </c>
      <c r="C541" s="1" t="n">
        <v>45626</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47878-2022</t>
        </is>
      </c>
      <c r="B542" s="1" t="n">
        <v>44855</v>
      </c>
      <c r="C542" s="1" t="n">
        <v>45626</v>
      </c>
      <c r="D542" t="inlineStr">
        <is>
          <t>DALARNAS LÄN</t>
        </is>
      </c>
      <c r="E542" t="inlineStr">
        <is>
          <t>ÄLVDALEN</t>
        </is>
      </c>
      <c r="G542" t="n">
        <v>10.2</v>
      </c>
      <c r="H542" t="n">
        <v>0</v>
      </c>
      <c r="I542" t="n">
        <v>0</v>
      </c>
      <c r="J542" t="n">
        <v>0</v>
      </c>
      <c r="K542" t="n">
        <v>0</v>
      </c>
      <c r="L542" t="n">
        <v>0</v>
      </c>
      <c r="M542" t="n">
        <v>0</v>
      </c>
      <c r="N542" t="n">
        <v>0</v>
      </c>
      <c r="O542" t="n">
        <v>0</v>
      </c>
      <c r="P542" t="n">
        <v>0</v>
      </c>
      <c r="Q542" t="n">
        <v>0</v>
      </c>
      <c r="R542" s="2" t="inlineStr"/>
    </row>
    <row r="543" ht="15" customHeight="1">
      <c r="A543" t="inlineStr">
        <is>
          <t>A 48849-2022</t>
        </is>
      </c>
      <c r="B543" s="1" t="n">
        <v>44859</v>
      </c>
      <c r="C543" s="1" t="n">
        <v>45626</v>
      </c>
      <c r="D543" t="inlineStr">
        <is>
          <t>DALARNAS LÄN</t>
        </is>
      </c>
      <c r="E543" t="inlineStr">
        <is>
          <t>ÄLVDALEN</t>
        </is>
      </c>
      <c r="F543" t="inlineStr">
        <is>
          <t>Allmännings- och besparingsskogar</t>
        </is>
      </c>
      <c r="G543" t="n">
        <v>2.4</v>
      </c>
      <c r="H543" t="n">
        <v>0</v>
      </c>
      <c r="I543" t="n">
        <v>0</v>
      </c>
      <c r="J543" t="n">
        <v>0</v>
      </c>
      <c r="K543" t="n">
        <v>0</v>
      </c>
      <c r="L543" t="n">
        <v>0</v>
      </c>
      <c r="M543" t="n">
        <v>0</v>
      </c>
      <c r="N543" t="n">
        <v>0</v>
      </c>
      <c r="O543" t="n">
        <v>0</v>
      </c>
      <c r="P543" t="n">
        <v>0</v>
      </c>
      <c r="Q543" t="n">
        <v>0</v>
      </c>
      <c r="R543" s="2" t="inlineStr"/>
    </row>
    <row r="544" ht="15" customHeight="1">
      <c r="A544" t="inlineStr">
        <is>
          <t>A 50037-2022</t>
        </is>
      </c>
      <c r="B544" s="1" t="n">
        <v>44865</v>
      </c>
      <c r="C544" s="1" t="n">
        <v>45626</v>
      </c>
      <c r="D544" t="inlineStr">
        <is>
          <t>DALARNAS LÄN</t>
        </is>
      </c>
      <c r="E544" t="inlineStr">
        <is>
          <t>ÄLVDALEN</t>
        </is>
      </c>
      <c r="F544" t="inlineStr">
        <is>
          <t>Allmännings- och besparingsskogar</t>
        </is>
      </c>
      <c r="G544" t="n">
        <v>5.8</v>
      </c>
      <c r="H544" t="n">
        <v>0</v>
      </c>
      <c r="I544" t="n">
        <v>0</v>
      </c>
      <c r="J544" t="n">
        <v>0</v>
      </c>
      <c r="K544" t="n">
        <v>0</v>
      </c>
      <c r="L544" t="n">
        <v>0</v>
      </c>
      <c r="M544" t="n">
        <v>0</v>
      </c>
      <c r="N544" t="n">
        <v>0</v>
      </c>
      <c r="O544" t="n">
        <v>0</v>
      </c>
      <c r="P544" t="n">
        <v>0</v>
      </c>
      <c r="Q544" t="n">
        <v>0</v>
      </c>
      <c r="R544" s="2" t="inlineStr"/>
    </row>
    <row r="545" ht="15" customHeight="1">
      <c r="A545" t="inlineStr">
        <is>
          <t>A 50209-2022</t>
        </is>
      </c>
      <c r="B545" s="1" t="n">
        <v>44865</v>
      </c>
      <c r="C545" s="1" t="n">
        <v>45626</v>
      </c>
      <c r="D545" t="inlineStr">
        <is>
          <t>DALARNAS LÄN</t>
        </is>
      </c>
      <c r="E545" t="inlineStr">
        <is>
          <t>ÄLVDALEN</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50464-2022</t>
        </is>
      </c>
      <c r="B546" s="1" t="n">
        <v>44866</v>
      </c>
      <c r="C546" s="1" t="n">
        <v>45626</v>
      </c>
      <c r="D546" t="inlineStr">
        <is>
          <t>DALARNAS LÄN</t>
        </is>
      </c>
      <c r="E546" t="inlineStr">
        <is>
          <t>ÄLVDALEN</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50885-2022</t>
        </is>
      </c>
      <c r="B547" s="1" t="n">
        <v>44867</v>
      </c>
      <c r="C547" s="1" t="n">
        <v>45626</v>
      </c>
      <c r="D547" t="inlineStr">
        <is>
          <t>DALARNAS LÄN</t>
        </is>
      </c>
      <c r="E547" t="inlineStr">
        <is>
          <t>ÄLVDALEN</t>
        </is>
      </c>
      <c r="F547" t="inlineStr">
        <is>
          <t>Bergvik skog väst AB</t>
        </is>
      </c>
      <c r="G547" t="n">
        <v>5</v>
      </c>
      <c r="H547" t="n">
        <v>0</v>
      </c>
      <c r="I547" t="n">
        <v>0</v>
      </c>
      <c r="J547" t="n">
        <v>0</v>
      </c>
      <c r="K547" t="n">
        <v>0</v>
      </c>
      <c r="L547" t="n">
        <v>0</v>
      </c>
      <c r="M547" t="n">
        <v>0</v>
      </c>
      <c r="N547" t="n">
        <v>0</v>
      </c>
      <c r="O547" t="n">
        <v>0</v>
      </c>
      <c r="P547" t="n">
        <v>0</v>
      </c>
      <c r="Q547" t="n">
        <v>0</v>
      </c>
      <c r="R547" s="2" t="inlineStr"/>
    </row>
    <row r="548" ht="15" customHeight="1">
      <c r="A548" t="inlineStr">
        <is>
          <t>A 50774-2022</t>
        </is>
      </c>
      <c r="B548" s="1" t="n">
        <v>44867</v>
      </c>
      <c r="C548" s="1" t="n">
        <v>45626</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51259-2022</t>
        </is>
      </c>
      <c r="B549" s="1" t="n">
        <v>44868</v>
      </c>
      <c r="C549" s="1" t="n">
        <v>45626</v>
      </c>
      <c r="D549" t="inlineStr">
        <is>
          <t>DALARNAS LÄN</t>
        </is>
      </c>
      <c r="E549" t="inlineStr">
        <is>
          <t>ÄLVDALEN</t>
        </is>
      </c>
      <c r="F549" t="inlineStr">
        <is>
          <t>Övriga statliga verk och myndigheter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51193-2022</t>
        </is>
      </c>
      <c r="B550" s="1" t="n">
        <v>44868</v>
      </c>
      <c r="C550" s="1" t="n">
        <v>45626</v>
      </c>
      <c r="D550" t="inlineStr">
        <is>
          <t>DALARNAS LÄN</t>
        </is>
      </c>
      <c r="E550" t="inlineStr">
        <is>
          <t>ÄLVDALEN</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51484-2022</t>
        </is>
      </c>
      <c r="B551" s="1" t="n">
        <v>44869</v>
      </c>
      <c r="C551" s="1" t="n">
        <v>45626</v>
      </c>
      <c r="D551" t="inlineStr">
        <is>
          <t>DALARNAS LÄN</t>
        </is>
      </c>
      <c r="E551" t="inlineStr">
        <is>
          <t>ÄLVDALEN</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51504-2022</t>
        </is>
      </c>
      <c r="B552" s="1" t="n">
        <v>44869</v>
      </c>
      <c r="C552" s="1" t="n">
        <v>45626</v>
      </c>
      <c r="D552" t="inlineStr">
        <is>
          <t>DALARNAS LÄN</t>
        </is>
      </c>
      <c r="E552" t="inlineStr">
        <is>
          <t>ÄLVDALEN</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51483-2022</t>
        </is>
      </c>
      <c r="B553" s="1" t="n">
        <v>44869</v>
      </c>
      <c r="C553" s="1" t="n">
        <v>45626</v>
      </c>
      <c r="D553" t="inlineStr">
        <is>
          <t>DALARNAS LÄN</t>
        </is>
      </c>
      <c r="E553" t="inlineStr">
        <is>
          <t>ÄLVDALEN</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52107-2022</t>
        </is>
      </c>
      <c r="B554" s="1" t="n">
        <v>44873</v>
      </c>
      <c r="C554" s="1" t="n">
        <v>45626</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52064-2022</t>
        </is>
      </c>
      <c r="B555" s="1" t="n">
        <v>44873</v>
      </c>
      <c r="C555" s="1" t="n">
        <v>45626</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52060-2022</t>
        </is>
      </c>
      <c r="B556" s="1" t="n">
        <v>44873</v>
      </c>
      <c r="C556" s="1" t="n">
        <v>45626</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52249-2022</t>
        </is>
      </c>
      <c r="B557" s="1" t="n">
        <v>44873</v>
      </c>
      <c r="C557" s="1" t="n">
        <v>45626</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52503-2022</t>
        </is>
      </c>
      <c r="B558" s="1" t="n">
        <v>44874</v>
      </c>
      <c r="C558" s="1" t="n">
        <v>45626</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52477-2022</t>
        </is>
      </c>
      <c r="B559" s="1" t="n">
        <v>44874</v>
      </c>
      <c r="C559" s="1" t="n">
        <v>45626</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52469-2022</t>
        </is>
      </c>
      <c r="B560" s="1" t="n">
        <v>44874</v>
      </c>
      <c r="C560" s="1" t="n">
        <v>45626</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52965-2022</t>
        </is>
      </c>
      <c r="B561" s="1" t="n">
        <v>44875</v>
      </c>
      <c r="C561" s="1" t="n">
        <v>45626</v>
      </c>
      <c r="D561" t="inlineStr">
        <is>
          <t>DALARNAS LÄN</t>
        </is>
      </c>
      <c r="E561" t="inlineStr">
        <is>
          <t>ÄLVDALEN</t>
        </is>
      </c>
      <c r="F561" t="inlineStr">
        <is>
          <t>Övriga statliga verk och myndigheter</t>
        </is>
      </c>
      <c r="G561" t="n">
        <v>8.4</v>
      </c>
      <c r="H561" t="n">
        <v>0</v>
      </c>
      <c r="I561" t="n">
        <v>0</v>
      </c>
      <c r="J561" t="n">
        <v>0</v>
      </c>
      <c r="K561" t="n">
        <v>0</v>
      </c>
      <c r="L561" t="n">
        <v>0</v>
      </c>
      <c r="M561" t="n">
        <v>0</v>
      </c>
      <c r="N561" t="n">
        <v>0</v>
      </c>
      <c r="O561" t="n">
        <v>0</v>
      </c>
      <c r="P561" t="n">
        <v>0</v>
      </c>
      <c r="Q561" t="n">
        <v>0</v>
      </c>
      <c r="R561" s="2" t="inlineStr"/>
    </row>
    <row r="562" ht="15" customHeight="1">
      <c r="A562" t="inlineStr">
        <is>
          <t>A 53345-2022</t>
        </is>
      </c>
      <c r="B562" s="1" t="n">
        <v>44879</v>
      </c>
      <c r="C562" s="1" t="n">
        <v>45626</v>
      </c>
      <c r="D562" t="inlineStr">
        <is>
          <t>DALARNAS LÄN</t>
        </is>
      </c>
      <c r="E562" t="inlineStr">
        <is>
          <t>ÄLVDALEN</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54407-2022</t>
        </is>
      </c>
      <c r="B563" s="1" t="n">
        <v>44882</v>
      </c>
      <c r="C563" s="1" t="n">
        <v>45626</v>
      </c>
      <c r="D563" t="inlineStr">
        <is>
          <t>DALARNAS LÄN</t>
        </is>
      </c>
      <c r="E563" t="inlineStr">
        <is>
          <t>ÄLVDALEN</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55015-2022</t>
        </is>
      </c>
      <c r="B564" s="1" t="n">
        <v>44886</v>
      </c>
      <c r="C564" s="1" t="n">
        <v>45626</v>
      </c>
      <c r="D564" t="inlineStr">
        <is>
          <t>DALARNAS LÄN</t>
        </is>
      </c>
      <c r="E564" t="inlineStr">
        <is>
          <t>ÄLVDALEN</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56207-2022</t>
        </is>
      </c>
      <c r="B565" s="1" t="n">
        <v>44890</v>
      </c>
      <c r="C565" s="1" t="n">
        <v>45626</v>
      </c>
      <c r="D565" t="inlineStr">
        <is>
          <t>DALARNAS LÄN</t>
        </is>
      </c>
      <c r="E565" t="inlineStr">
        <is>
          <t>ÄLVDALEN</t>
        </is>
      </c>
      <c r="G565" t="n">
        <v>5.2</v>
      </c>
      <c r="H565" t="n">
        <v>0</v>
      </c>
      <c r="I565" t="n">
        <v>0</v>
      </c>
      <c r="J565" t="n">
        <v>0</v>
      </c>
      <c r="K565" t="n">
        <v>0</v>
      </c>
      <c r="L565" t="n">
        <v>0</v>
      </c>
      <c r="M565" t="n">
        <v>0</v>
      </c>
      <c r="N565" t="n">
        <v>0</v>
      </c>
      <c r="O565" t="n">
        <v>0</v>
      </c>
      <c r="P565" t="n">
        <v>0</v>
      </c>
      <c r="Q565" t="n">
        <v>0</v>
      </c>
      <c r="R565" s="2" t="inlineStr"/>
    </row>
    <row r="566" ht="15" customHeight="1">
      <c r="A566" t="inlineStr">
        <is>
          <t>A 56206-2022</t>
        </is>
      </c>
      <c r="B566" s="1" t="n">
        <v>44890</v>
      </c>
      <c r="C566" s="1" t="n">
        <v>45626</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56882-2022</t>
        </is>
      </c>
      <c r="B567" s="1" t="n">
        <v>44894</v>
      </c>
      <c r="C567" s="1" t="n">
        <v>45626</v>
      </c>
      <c r="D567" t="inlineStr">
        <is>
          <t>DALARNAS LÄN</t>
        </is>
      </c>
      <c r="E567" t="inlineStr">
        <is>
          <t>ÄLVDALEN</t>
        </is>
      </c>
      <c r="G567" t="n">
        <v>7.4</v>
      </c>
      <c r="H567" t="n">
        <v>0</v>
      </c>
      <c r="I567" t="n">
        <v>0</v>
      </c>
      <c r="J567" t="n">
        <v>0</v>
      </c>
      <c r="K567" t="n">
        <v>0</v>
      </c>
      <c r="L567" t="n">
        <v>0</v>
      </c>
      <c r="M567" t="n">
        <v>0</v>
      </c>
      <c r="N567" t="n">
        <v>0</v>
      </c>
      <c r="O567" t="n">
        <v>0</v>
      </c>
      <c r="P567" t="n">
        <v>0</v>
      </c>
      <c r="Q567" t="n">
        <v>0</v>
      </c>
      <c r="R567" s="2" t="inlineStr"/>
    </row>
    <row r="568" ht="15" customHeight="1">
      <c r="A568" t="inlineStr">
        <is>
          <t>A 57148-2022</t>
        </is>
      </c>
      <c r="B568" s="1" t="n">
        <v>44895</v>
      </c>
      <c r="C568" s="1" t="n">
        <v>45626</v>
      </c>
      <c r="D568" t="inlineStr">
        <is>
          <t>DALARNAS LÄN</t>
        </is>
      </c>
      <c r="E568" t="inlineStr">
        <is>
          <t>ÄLVDALEN</t>
        </is>
      </c>
      <c r="F568" t="inlineStr">
        <is>
          <t>Allmännings- och besparingsskogar</t>
        </is>
      </c>
      <c r="G568" t="n">
        <v>13.3</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45626</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58355-2022</t>
        </is>
      </c>
      <c r="B570" s="1" t="n">
        <v>44901</v>
      </c>
      <c r="C570" s="1" t="n">
        <v>45626</v>
      </c>
      <c r="D570" t="inlineStr">
        <is>
          <t>DALARNAS LÄN</t>
        </is>
      </c>
      <c r="E570" t="inlineStr">
        <is>
          <t>ÄLVDALEN</t>
        </is>
      </c>
      <c r="F570" t="inlineStr">
        <is>
          <t>Allmännings- och besparingsskogar</t>
        </is>
      </c>
      <c r="G570" t="n">
        <v>23.8</v>
      </c>
      <c r="H570" t="n">
        <v>0</v>
      </c>
      <c r="I570" t="n">
        <v>0</v>
      </c>
      <c r="J570" t="n">
        <v>0</v>
      </c>
      <c r="K570" t="n">
        <v>0</v>
      </c>
      <c r="L570" t="n">
        <v>0</v>
      </c>
      <c r="M570" t="n">
        <v>0</v>
      </c>
      <c r="N570" t="n">
        <v>0</v>
      </c>
      <c r="O570" t="n">
        <v>0</v>
      </c>
      <c r="P570" t="n">
        <v>0</v>
      </c>
      <c r="Q570" t="n">
        <v>0</v>
      </c>
      <c r="R570" s="2" t="inlineStr"/>
    </row>
    <row r="571" ht="15" customHeight="1">
      <c r="A571" t="inlineStr">
        <is>
          <t>A 58569-2022</t>
        </is>
      </c>
      <c r="B571" s="1" t="n">
        <v>44902</v>
      </c>
      <c r="C571" s="1" t="n">
        <v>45626</v>
      </c>
      <c r="D571" t="inlineStr">
        <is>
          <t>DALARNAS LÄN</t>
        </is>
      </c>
      <c r="E571" t="inlineStr">
        <is>
          <t>ÄLVDALEN</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58904-2022</t>
        </is>
      </c>
      <c r="B572" s="1" t="n">
        <v>44903</v>
      </c>
      <c r="C572" s="1" t="n">
        <v>45626</v>
      </c>
      <c r="D572" t="inlineStr">
        <is>
          <t>DALARNAS LÄN</t>
        </is>
      </c>
      <c r="E572" t="inlineStr">
        <is>
          <t>ÄLVDALEN</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59108-2022</t>
        </is>
      </c>
      <c r="B573" s="1" t="n">
        <v>44904</v>
      </c>
      <c r="C573" s="1" t="n">
        <v>45626</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59207-2022</t>
        </is>
      </c>
      <c r="B574" s="1" t="n">
        <v>44904</v>
      </c>
      <c r="C574" s="1" t="n">
        <v>45626</v>
      </c>
      <c r="D574" t="inlineStr">
        <is>
          <t>DALARNAS LÄN</t>
        </is>
      </c>
      <c r="E574" t="inlineStr">
        <is>
          <t>ÄLVDALEN</t>
        </is>
      </c>
      <c r="G574" t="n">
        <v>4.7</v>
      </c>
      <c r="H574" t="n">
        <v>0</v>
      </c>
      <c r="I574" t="n">
        <v>0</v>
      </c>
      <c r="J574" t="n">
        <v>0</v>
      </c>
      <c r="K574" t="n">
        <v>0</v>
      </c>
      <c r="L574" t="n">
        <v>0</v>
      </c>
      <c r="M574" t="n">
        <v>0</v>
      </c>
      <c r="N574" t="n">
        <v>0</v>
      </c>
      <c r="O574" t="n">
        <v>0</v>
      </c>
      <c r="P574" t="n">
        <v>0</v>
      </c>
      <c r="Q574" t="n">
        <v>0</v>
      </c>
      <c r="R574" s="2" t="inlineStr"/>
    </row>
    <row r="575" ht="15" customHeight="1">
      <c r="A575" t="inlineStr">
        <is>
          <t>A 59209-2022</t>
        </is>
      </c>
      <c r="B575" s="1" t="n">
        <v>44904</v>
      </c>
      <c r="C575" s="1" t="n">
        <v>45626</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59464-2022</t>
        </is>
      </c>
      <c r="B576" s="1" t="n">
        <v>44907</v>
      </c>
      <c r="C576" s="1" t="n">
        <v>45626</v>
      </c>
      <c r="D576" t="inlineStr">
        <is>
          <t>DALARNAS LÄN</t>
        </is>
      </c>
      <c r="E576" t="inlineStr">
        <is>
          <t>ÄLVDALEN</t>
        </is>
      </c>
      <c r="F576" t="inlineStr">
        <is>
          <t>Allmännings- och besparingsskogar</t>
        </is>
      </c>
      <c r="G576" t="n">
        <v>29.7</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45626</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61466-2022</t>
        </is>
      </c>
      <c r="B578" s="1" t="n">
        <v>44910</v>
      </c>
      <c r="C578" s="1" t="n">
        <v>45626</v>
      </c>
      <c r="D578" t="inlineStr">
        <is>
          <t>DALARNAS LÄN</t>
        </is>
      </c>
      <c r="E578" t="inlineStr">
        <is>
          <t>ÄLVDALEN</t>
        </is>
      </c>
      <c r="G578" t="n">
        <v>0.8</v>
      </c>
      <c r="H578" t="n">
        <v>0</v>
      </c>
      <c r="I578" t="n">
        <v>0</v>
      </c>
      <c r="J578" t="n">
        <v>0</v>
      </c>
      <c r="K578" t="n">
        <v>0</v>
      </c>
      <c r="L578" t="n">
        <v>0</v>
      </c>
      <c r="M578" t="n">
        <v>0</v>
      </c>
      <c r="N578" t="n">
        <v>0</v>
      </c>
      <c r="O578" t="n">
        <v>0</v>
      </c>
      <c r="P578" t="n">
        <v>0</v>
      </c>
      <c r="Q578" t="n">
        <v>0</v>
      </c>
      <c r="R578" s="2" t="inlineStr"/>
    </row>
    <row r="579" ht="15" customHeight="1">
      <c r="A579" t="inlineStr">
        <is>
          <t>A 60447-2022</t>
        </is>
      </c>
      <c r="B579" s="1" t="n">
        <v>44911</v>
      </c>
      <c r="C579" s="1" t="n">
        <v>45626</v>
      </c>
      <c r="D579" t="inlineStr">
        <is>
          <t>DALARNAS LÄN</t>
        </is>
      </c>
      <c r="E579" t="inlineStr">
        <is>
          <t>ÄLVDALEN</t>
        </is>
      </c>
      <c r="F579" t="inlineStr">
        <is>
          <t>Allmännings- och besparingsskogar</t>
        </is>
      </c>
      <c r="G579" t="n">
        <v>11.4</v>
      </c>
      <c r="H579" t="n">
        <v>0</v>
      </c>
      <c r="I579" t="n">
        <v>0</v>
      </c>
      <c r="J579" t="n">
        <v>0</v>
      </c>
      <c r="K579" t="n">
        <v>0</v>
      </c>
      <c r="L579" t="n">
        <v>0</v>
      </c>
      <c r="M579" t="n">
        <v>0</v>
      </c>
      <c r="N579" t="n">
        <v>0</v>
      </c>
      <c r="O579" t="n">
        <v>0</v>
      </c>
      <c r="P579" t="n">
        <v>0</v>
      </c>
      <c r="Q579" t="n">
        <v>0</v>
      </c>
      <c r="R579" s="2" t="inlineStr"/>
    </row>
    <row r="580" ht="15" customHeight="1">
      <c r="A580" t="inlineStr">
        <is>
          <t>A 60793-2022</t>
        </is>
      </c>
      <c r="B580" s="1" t="n">
        <v>44911</v>
      </c>
      <c r="C580" s="1" t="n">
        <v>45626</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61264-2022</t>
        </is>
      </c>
      <c r="B581" s="1" t="n">
        <v>44915</v>
      </c>
      <c r="C581" s="1" t="n">
        <v>45626</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62315-2022</t>
        </is>
      </c>
      <c r="B582" s="1" t="n">
        <v>44916</v>
      </c>
      <c r="C582" s="1" t="n">
        <v>45626</v>
      </c>
      <c r="D582" t="inlineStr">
        <is>
          <t>DALARNAS LÄN</t>
        </is>
      </c>
      <c r="E582" t="inlineStr">
        <is>
          <t>ÄLVDALEN</t>
        </is>
      </c>
      <c r="G582" t="n">
        <v>2.1</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45626</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61888-2022</t>
        </is>
      </c>
      <c r="B584" s="1" t="n">
        <v>44917</v>
      </c>
      <c r="C584" s="1" t="n">
        <v>45626</v>
      </c>
      <c r="D584" t="inlineStr">
        <is>
          <t>DALARNAS LÄN</t>
        </is>
      </c>
      <c r="E584" t="inlineStr">
        <is>
          <t>ÄLVDALEN</t>
        </is>
      </c>
      <c r="F584" t="inlineStr">
        <is>
          <t>Allmännings- och besparingsskogar</t>
        </is>
      </c>
      <c r="G584" t="n">
        <v>17.7</v>
      </c>
      <c r="H584" t="n">
        <v>0</v>
      </c>
      <c r="I584" t="n">
        <v>0</v>
      </c>
      <c r="J584" t="n">
        <v>0</v>
      </c>
      <c r="K584" t="n">
        <v>0</v>
      </c>
      <c r="L584" t="n">
        <v>0</v>
      </c>
      <c r="M584" t="n">
        <v>0</v>
      </c>
      <c r="N584" t="n">
        <v>0</v>
      </c>
      <c r="O584" t="n">
        <v>0</v>
      </c>
      <c r="P584" t="n">
        <v>0</v>
      </c>
      <c r="Q584" t="n">
        <v>0</v>
      </c>
      <c r="R584" s="2" t="inlineStr"/>
    </row>
    <row r="585" ht="15" customHeight="1">
      <c r="A585" t="inlineStr">
        <is>
          <t>A 62355-2022</t>
        </is>
      </c>
      <c r="B585" s="1" t="n">
        <v>44923</v>
      </c>
      <c r="C585" s="1" t="n">
        <v>45626</v>
      </c>
      <c r="D585" t="inlineStr">
        <is>
          <t>DALARNAS LÄN</t>
        </is>
      </c>
      <c r="E585" t="inlineStr">
        <is>
          <t>ÄLVDALEN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431-2023</t>
        </is>
      </c>
      <c r="B586" s="1" t="n">
        <v>44923</v>
      </c>
      <c r="C586" s="1" t="n">
        <v>45626</v>
      </c>
      <c r="D586" t="inlineStr">
        <is>
          <t>DALARNAS LÄN</t>
        </is>
      </c>
      <c r="E586" t="inlineStr">
        <is>
          <t>ÄLVDALEN</t>
        </is>
      </c>
      <c r="G586" t="n">
        <v>2.9</v>
      </c>
      <c r="H586" t="n">
        <v>0</v>
      </c>
      <c r="I586" t="n">
        <v>0</v>
      </c>
      <c r="J586" t="n">
        <v>0</v>
      </c>
      <c r="K586" t="n">
        <v>0</v>
      </c>
      <c r="L586" t="n">
        <v>0</v>
      </c>
      <c r="M586" t="n">
        <v>0</v>
      </c>
      <c r="N586" t="n">
        <v>0</v>
      </c>
      <c r="O586" t="n">
        <v>0</v>
      </c>
      <c r="P586" t="n">
        <v>0</v>
      </c>
      <c r="Q586" t="n">
        <v>0</v>
      </c>
      <c r="R586" s="2" t="inlineStr"/>
    </row>
    <row r="587" ht="15" customHeight="1">
      <c r="A587" t="inlineStr">
        <is>
          <t>A 62512-2022</t>
        </is>
      </c>
      <c r="B587" s="1" t="n">
        <v>44924</v>
      </c>
      <c r="C587" s="1" t="n">
        <v>45626</v>
      </c>
      <c r="D587" t="inlineStr">
        <is>
          <t>DALARNAS LÄN</t>
        </is>
      </c>
      <c r="E587" t="inlineStr">
        <is>
          <t>ÄLVDALEN</t>
        </is>
      </c>
      <c r="F587" t="inlineStr">
        <is>
          <t>Övriga statliga verk och myndigheter</t>
        </is>
      </c>
      <c r="G587" t="n">
        <v>15.1</v>
      </c>
      <c r="H587" t="n">
        <v>0</v>
      </c>
      <c r="I587" t="n">
        <v>0</v>
      </c>
      <c r="J587" t="n">
        <v>0</v>
      </c>
      <c r="K587" t="n">
        <v>0</v>
      </c>
      <c r="L587" t="n">
        <v>0</v>
      </c>
      <c r="M587" t="n">
        <v>0</v>
      </c>
      <c r="N587" t="n">
        <v>0</v>
      </c>
      <c r="O587" t="n">
        <v>0</v>
      </c>
      <c r="P587" t="n">
        <v>0</v>
      </c>
      <c r="Q587" t="n">
        <v>0</v>
      </c>
      <c r="R587" s="2" t="inlineStr"/>
    </row>
    <row r="588" ht="15" customHeight="1">
      <c r="A588" t="inlineStr">
        <is>
          <t>A 416-2023</t>
        </is>
      </c>
      <c r="B588" s="1" t="n">
        <v>44929</v>
      </c>
      <c r="C588" s="1" t="n">
        <v>45626</v>
      </c>
      <c r="D588" t="inlineStr">
        <is>
          <t>DALARNAS LÄN</t>
        </is>
      </c>
      <c r="E588" t="inlineStr">
        <is>
          <t>ÄLVDALEN</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642-2023</t>
        </is>
      </c>
      <c r="B589" s="1" t="n">
        <v>44930</v>
      </c>
      <c r="C589" s="1" t="n">
        <v>45626</v>
      </c>
      <c r="D589" t="inlineStr">
        <is>
          <t>DALARNAS LÄN</t>
        </is>
      </c>
      <c r="E589" t="inlineStr">
        <is>
          <t>ÄLVDALEN</t>
        </is>
      </c>
      <c r="F589" t="inlineStr">
        <is>
          <t>Allmännings- och besparingsskogar</t>
        </is>
      </c>
      <c r="G589" t="n">
        <v>0.9</v>
      </c>
      <c r="H589" t="n">
        <v>0</v>
      </c>
      <c r="I589" t="n">
        <v>0</v>
      </c>
      <c r="J589" t="n">
        <v>0</v>
      </c>
      <c r="K589" t="n">
        <v>0</v>
      </c>
      <c r="L589" t="n">
        <v>0</v>
      </c>
      <c r="M589" t="n">
        <v>0</v>
      </c>
      <c r="N589" t="n">
        <v>0</v>
      </c>
      <c r="O589" t="n">
        <v>0</v>
      </c>
      <c r="P589" t="n">
        <v>0</v>
      </c>
      <c r="Q589" t="n">
        <v>0</v>
      </c>
      <c r="R589" s="2" t="inlineStr"/>
    </row>
    <row r="590" ht="15" customHeight="1">
      <c r="A590" t="inlineStr">
        <is>
          <t>A 558-2023</t>
        </is>
      </c>
      <c r="B590" s="1" t="n">
        <v>44930</v>
      </c>
      <c r="C590" s="1" t="n">
        <v>45626</v>
      </c>
      <c r="D590" t="inlineStr">
        <is>
          <t>DALARNAS LÄN</t>
        </is>
      </c>
      <c r="E590" t="inlineStr">
        <is>
          <t>ÄLVDALEN</t>
        </is>
      </c>
      <c r="F590" t="inlineStr">
        <is>
          <t>Allmännings- och besparingsskogar</t>
        </is>
      </c>
      <c r="G590" t="n">
        <v>1.5</v>
      </c>
      <c r="H590" t="n">
        <v>0</v>
      </c>
      <c r="I590" t="n">
        <v>0</v>
      </c>
      <c r="J590" t="n">
        <v>0</v>
      </c>
      <c r="K590" t="n">
        <v>0</v>
      </c>
      <c r="L590" t="n">
        <v>0</v>
      </c>
      <c r="M590" t="n">
        <v>0</v>
      </c>
      <c r="N590" t="n">
        <v>0</v>
      </c>
      <c r="O590" t="n">
        <v>0</v>
      </c>
      <c r="P590" t="n">
        <v>0</v>
      </c>
      <c r="Q590" t="n">
        <v>0</v>
      </c>
      <c r="R590" s="2" t="inlineStr"/>
    </row>
    <row r="591" ht="15" customHeight="1">
      <c r="A591" t="inlineStr">
        <is>
          <t>A 621-2023</t>
        </is>
      </c>
      <c r="B591" s="1" t="n">
        <v>44930</v>
      </c>
      <c r="C591" s="1" t="n">
        <v>45626</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786-2023</t>
        </is>
      </c>
      <c r="B592" s="1" t="n">
        <v>44931</v>
      </c>
      <c r="C592" s="1" t="n">
        <v>45626</v>
      </c>
      <c r="D592" t="inlineStr">
        <is>
          <t>DALARNAS LÄN</t>
        </is>
      </c>
      <c r="E592" t="inlineStr">
        <is>
          <t>ÄLVDALEN</t>
        </is>
      </c>
      <c r="F592" t="inlineStr">
        <is>
          <t>Allmännings- och besparingsskogar</t>
        </is>
      </c>
      <c r="G592" t="n">
        <v>5.3</v>
      </c>
      <c r="H592" t="n">
        <v>0</v>
      </c>
      <c r="I592" t="n">
        <v>0</v>
      </c>
      <c r="J592" t="n">
        <v>0</v>
      </c>
      <c r="K592" t="n">
        <v>0</v>
      </c>
      <c r="L592" t="n">
        <v>0</v>
      </c>
      <c r="M592" t="n">
        <v>0</v>
      </c>
      <c r="N592" t="n">
        <v>0</v>
      </c>
      <c r="O592" t="n">
        <v>0</v>
      </c>
      <c r="P592" t="n">
        <v>0</v>
      </c>
      <c r="Q592" t="n">
        <v>0</v>
      </c>
      <c r="R592" s="2" t="inlineStr"/>
    </row>
    <row r="593" ht="15" customHeight="1">
      <c r="A593" t="inlineStr">
        <is>
          <t>A 785-2023</t>
        </is>
      </c>
      <c r="B593" s="1" t="n">
        <v>44931</v>
      </c>
      <c r="C593" s="1" t="n">
        <v>45626</v>
      </c>
      <c r="D593" t="inlineStr">
        <is>
          <t>DALARNAS LÄN</t>
        </is>
      </c>
      <c r="E593" t="inlineStr">
        <is>
          <t>ÄLVDALEN</t>
        </is>
      </c>
      <c r="G593" t="n">
        <v>9.1</v>
      </c>
      <c r="H593" t="n">
        <v>0</v>
      </c>
      <c r="I593" t="n">
        <v>0</v>
      </c>
      <c r="J593" t="n">
        <v>0</v>
      </c>
      <c r="K593" t="n">
        <v>0</v>
      </c>
      <c r="L593" t="n">
        <v>0</v>
      </c>
      <c r="M593" t="n">
        <v>0</v>
      </c>
      <c r="N593" t="n">
        <v>0</v>
      </c>
      <c r="O593" t="n">
        <v>0</v>
      </c>
      <c r="P593" t="n">
        <v>0</v>
      </c>
      <c r="Q593" t="n">
        <v>0</v>
      </c>
      <c r="R593" s="2" t="inlineStr"/>
    </row>
    <row r="594" ht="15" customHeight="1">
      <c r="A594" t="inlineStr">
        <is>
          <t>A 1523-2023</t>
        </is>
      </c>
      <c r="B594" s="1" t="n">
        <v>44937</v>
      </c>
      <c r="C594" s="1" t="n">
        <v>45626</v>
      </c>
      <c r="D594" t="inlineStr">
        <is>
          <t>DALARNAS LÄN</t>
        </is>
      </c>
      <c r="E594" t="inlineStr">
        <is>
          <t>ÄLVDALEN</t>
        </is>
      </c>
      <c r="F594" t="inlineStr">
        <is>
          <t>Allmännings- och besparingsskogar</t>
        </is>
      </c>
      <c r="G594" t="n">
        <v>32.9</v>
      </c>
      <c r="H594" t="n">
        <v>0</v>
      </c>
      <c r="I594" t="n">
        <v>0</v>
      </c>
      <c r="J594" t="n">
        <v>0</v>
      </c>
      <c r="K594" t="n">
        <v>0</v>
      </c>
      <c r="L594" t="n">
        <v>0</v>
      </c>
      <c r="M594" t="n">
        <v>0</v>
      </c>
      <c r="N594" t="n">
        <v>0</v>
      </c>
      <c r="O594" t="n">
        <v>0</v>
      </c>
      <c r="P594" t="n">
        <v>0</v>
      </c>
      <c r="Q594" t="n">
        <v>0</v>
      </c>
      <c r="R594" s="2" t="inlineStr"/>
    </row>
    <row r="595" ht="15" customHeight="1">
      <c r="A595" t="inlineStr">
        <is>
          <t>A 2306-2023</t>
        </is>
      </c>
      <c r="B595" s="1" t="n">
        <v>44942</v>
      </c>
      <c r="C595" s="1" t="n">
        <v>45626</v>
      </c>
      <c r="D595" t="inlineStr">
        <is>
          <t>DALARNAS LÄN</t>
        </is>
      </c>
      <c r="E595" t="inlineStr">
        <is>
          <t>ÄLVDALEN</t>
        </is>
      </c>
      <c r="G595" t="n">
        <v>9.4</v>
      </c>
      <c r="H595" t="n">
        <v>0</v>
      </c>
      <c r="I595" t="n">
        <v>0</v>
      </c>
      <c r="J595" t="n">
        <v>0</v>
      </c>
      <c r="K595" t="n">
        <v>0</v>
      </c>
      <c r="L595" t="n">
        <v>0</v>
      </c>
      <c r="M595" t="n">
        <v>0</v>
      </c>
      <c r="N595" t="n">
        <v>0</v>
      </c>
      <c r="O595" t="n">
        <v>0</v>
      </c>
      <c r="P595" t="n">
        <v>0</v>
      </c>
      <c r="Q595" t="n">
        <v>0</v>
      </c>
      <c r="R595" s="2" t="inlineStr"/>
    </row>
    <row r="596" ht="15" customHeight="1">
      <c r="A596" t="inlineStr">
        <is>
          <t>A 2311-2023</t>
        </is>
      </c>
      <c r="B596" s="1" t="n">
        <v>44942</v>
      </c>
      <c r="C596" s="1" t="n">
        <v>45626</v>
      </c>
      <c r="D596" t="inlineStr">
        <is>
          <t>DALARNAS LÄN</t>
        </is>
      </c>
      <c r="E596" t="inlineStr">
        <is>
          <t>ÄLVDALEN</t>
        </is>
      </c>
      <c r="G596" t="n">
        <v>5.4</v>
      </c>
      <c r="H596" t="n">
        <v>0</v>
      </c>
      <c r="I596" t="n">
        <v>0</v>
      </c>
      <c r="J596" t="n">
        <v>0</v>
      </c>
      <c r="K596" t="n">
        <v>0</v>
      </c>
      <c r="L596" t="n">
        <v>0</v>
      </c>
      <c r="M596" t="n">
        <v>0</v>
      </c>
      <c r="N596" t="n">
        <v>0</v>
      </c>
      <c r="O596" t="n">
        <v>0</v>
      </c>
      <c r="P596" t="n">
        <v>0</v>
      </c>
      <c r="Q596" t="n">
        <v>0</v>
      </c>
      <c r="R596" s="2" t="inlineStr"/>
    </row>
    <row r="597" ht="15" customHeight="1">
      <c r="A597" t="inlineStr">
        <is>
          <t>A 3937-2023</t>
        </is>
      </c>
      <c r="B597" s="1" t="n">
        <v>44952</v>
      </c>
      <c r="C597" s="1" t="n">
        <v>45626</v>
      </c>
      <c r="D597" t="inlineStr">
        <is>
          <t>DALARNAS LÄN</t>
        </is>
      </c>
      <c r="E597" t="inlineStr">
        <is>
          <t>ÄLVDALEN</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4190-2023</t>
        </is>
      </c>
      <c r="B598" s="1" t="n">
        <v>44953</v>
      </c>
      <c r="C598" s="1" t="n">
        <v>45626</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4674-2023</t>
        </is>
      </c>
      <c r="B599" s="1" t="n">
        <v>44957</v>
      </c>
      <c r="C599" s="1" t="n">
        <v>45626</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5476-2023</t>
        </is>
      </c>
      <c r="B600" s="1" t="n">
        <v>44960</v>
      </c>
      <c r="C600" s="1" t="n">
        <v>45626</v>
      </c>
      <c r="D600" t="inlineStr">
        <is>
          <t>DALARNAS LÄN</t>
        </is>
      </c>
      <c r="E600" t="inlineStr">
        <is>
          <t>ÄLVDALEN</t>
        </is>
      </c>
      <c r="F600" t="inlineStr">
        <is>
          <t>Allmännings- och besparingsskogar</t>
        </is>
      </c>
      <c r="G600" t="n">
        <v>2.2</v>
      </c>
      <c r="H600" t="n">
        <v>0</v>
      </c>
      <c r="I600" t="n">
        <v>0</v>
      </c>
      <c r="J600" t="n">
        <v>0</v>
      </c>
      <c r="K600" t="n">
        <v>0</v>
      </c>
      <c r="L600" t="n">
        <v>0</v>
      </c>
      <c r="M600" t="n">
        <v>0</v>
      </c>
      <c r="N600" t="n">
        <v>0</v>
      </c>
      <c r="O600" t="n">
        <v>0</v>
      </c>
      <c r="P600" t="n">
        <v>0</v>
      </c>
      <c r="Q600" t="n">
        <v>0</v>
      </c>
      <c r="R600" s="2" t="inlineStr"/>
    </row>
    <row r="601" ht="15" customHeight="1">
      <c r="A601" t="inlineStr">
        <is>
          <t>A 5826-2023</t>
        </is>
      </c>
      <c r="B601" s="1" t="n">
        <v>44963</v>
      </c>
      <c r="C601" s="1" t="n">
        <v>45626</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6072-2023</t>
        </is>
      </c>
      <c r="B602" s="1" t="n">
        <v>44964</v>
      </c>
      <c r="C602" s="1" t="n">
        <v>45626</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7836-2023</t>
        </is>
      </c>
      <c r="B603" s="1" t="n">
        <v>44973</v>
      </c>
      <c r="C603" s="1" t="n">
        <v>45626</v>
      </c>
      <c r="D603" t="inlineStr">
        <is>
          <t>DALARNAS LÄN</t>
        </is>
      </c>
      <c r="E603" t="inlineStr">
        <is>
          <t>ÄLVDALEN</t>
        </is>
      </c>
      <c r="G603" t="n">
        <v>6.1</v>
      </c>
      <c r="H603" t="n">
        <v>0</v>
      </c>
      <c r="I603" t="n">
        <v>0</v>
      </c>
      <c r="J603" t="n">
        <v>0</v>
      </c>
      <c r="K603" t="n">
        <v>0</v>
      </c>
      <c r="L603" t="n">
        <v>0</v>
      </c>
      <c r="M603" t="n">
        <v>0</v>
      </c>
      <c r="N603" t="n">
        <v>0</v>
      </c>
      <c r="O603" t="n">
        <v>0</v>
      </c>
      <c r="P603" t="n">
        <v>0</v>
      </c>
      <c r="Q603" t="n">
        <v>0</v>
      </c>
      <c r="R603" s="2" t="inlineStr"/>
    </row>
    <row r="604" ht="15" customHeight="1">
      <c r="A604" t="inlineStr">
        <is>
          <t>A 9801-2023</t>
        </is>
      </c>
      <c r="B604" s="1" t="n">
        <v>44978</v>
      </c>
      <c r="C604" s="1" t="n">
        <v>45626</v>
      </c>
      <c r="D604" t="inlineStr">
        <is>
          <t>DALARNAS LÄN</t>
        </is>
      </c>
      <c r="E604" t="inlineStr">
        <is>
          <t>ÄLVDALEN</t>
        </is>
      </c>
      <c r="G604" t="n">
        <v>7</v>
      </c>
      <c r="H604" t="n">
        <v>0</v>
      </c>
      <c r="I604" t="n">
        <v>0</v>
      </c>
      <c r="J604" t="n">
        <v>0</v>
      </c>
      <c r="K604" t="n">
        <v>0</v>
      </c>
      <c r="L604" t="n">
        <v>0</v>
      </c>
      <c r="M604" t="n">
        <v>0</v>
      </c>
      <c r="N604" t="n">
        <v>0</v>
      </c>
      <c r="O604" t="n">
        <v>0</v>
      </c>
      <c r="P604" t="n">
        <v>0</v>
      </c>
      <c r="Q604" t="n">
        <v>0</v>
      </c>
      <c r="R604" s="2" t="inlineStr"/>
    </row>
    <row r="605" ht="15" customHeight="1">
      <c r="A605" t="inlineStr">
        <is>
          <t>A 9719-2023</t>
        </is>
      </c>
      <c r="B605" s="1" t="n">
        <v>44978</v>
      </c>
      <c r="C605" s="1" t="n">
        <v>45626</v>
      </c>
      <c r="D605" t="inlineStr">
        <is>
          <t>DALARNAS LÄN</t>
        </is>
      </c>
      <c r="E605" t="inlineStr">
        <is>
          <t>ÄLVDALEN</t>
        </is>
      </c>
      <c r="G605" t="n">
        <v>20.2</v>
      </c>
      <c r="H605" t="n">
        <v>0</v>
      </c>
      <c r="I605" t="n">
        <v>0</v>
      </c>
      <c r="J605" t="n">
        <v>0</v>
      </c>
      <c r="K605" t="n">
        <v>0</v>
      </c>
      <c r="L605" t="n">
        <v>0</v>
      </c>
      <c r="M605" t="n">
        <v>0</v>
      </c>
      <c r="N605" t="n">
        <v>0</v>
      </c>
      <c r="O605" t="n">
        <v>0</v>
      </c>
      <c r="P605" t="n">
        <v>0</v>
      </c>
      <c r="Q605" t="n">
        <v>0</v>
      </c>
      <c r="R605" s="2" t="inlineStr"/>
    </row>
    <row r="606" ht="15" customHeight="1">
      <c r="A606" t="inlineStr">
        <is>
          <t>A 13124-2023</t>
        </is>
      </c>
      <c r="B606" s="1" t="n">
        <v>45002</v>
      </c>
      <c r="C606" s="1" t="n">
        <v>45626</v>
      </c>
      <c r="D606" t="inlineStr">
        <is>
          <t>DALARNAS LÄN</t>
        </is>
      </c>
      <c r="E606" t="inlineStr">
        <is>
          <t>ÄLVDALEN</t>
        </is>
      </c>
      <c r="G606" t="n">
        <v>4.5</v>
      </c>
      <c r="H606" t="n">
        <v>0</v>
      </c>
      <c r="I606" t="n">
        <v>0</v>
      </c>
      <c r="J606" t="n">
        <v>0</v>
      </c>
      <c r="K606" t="n">
        <v>0</v>
      </c>
      <c r="L606" t="n">
        <v>0</v>
      </c>
      <c r="M606" t="n">
        <v>0</v>
      </c>
      <c r="N606" t="n">
        <v>0</v>
      </c>
      <c r="O606" t="n">
        <v>0</v>
      </c>
      <c r="P606" t="n">
        <v>0</v>
      </c>
      <c r="Q606" t="n">
        <v>0</v>
      </c>
      <c r="R606" s="2" t="inlineStr"/>
    </row>
    <row r="607" ht="15" customHeight="1">
      <c r="A607" t="inlineStr">
        <is>
          <t>A 14938-2023</t>
        </is>
      </c>
      <c r="B607" s="1" t="n">
        <v>45015</v>
      </c>
      <c r="C607" s="1" t="n">
        <v>45626</v>
      </c>
      <c r="D607" t="inlineStr">
        <is>
          <t>DALARNAS LÄN</t>
        </is>
      </c>
      <c r="E607" t="inlineStr">
        <is>
          <t>ÄLVDALEN</t>
        </is>
      </c>
      <c r="G607" t="n">
        <v>1.8</v>
      </c>
      <c r="H607" t="n">
        <v>0</v>
      </c>
      <c r="I607" t="n">
        <v>0</v>
      </c>
      <c r="J607" t="n">
        <v>0</v>
      </c>
      <c r="K607" t="n">
        <v>0</v>
      </c>
      <c r="L607" t="n">
        <v>0</v>
      </c>
      <c r="M607" t="n">
        <v>0</v>
      </c>
      <c r="N607" t="n">
        <v>0</v>
      </c>
      <c r="O607" t="n">
        <v>0</v>
      </c>
      <c r="P607" t="n">
        <v>0</v>
      </c>
      <c r="Q607" t="n">
        <v>0</v>
      </c>
      <c r="R607" s="2" t="inlineStr"/>
    </row>
    <row r="608" ht="15" customHeight="1">
      <c r="A608" t="inlineStr">
        <is>
          <t>A 17051-2023</t>
        </is>
      </c>
      <c r="B608" s="1" t="n">
        <v>45034</v>
      </c>
      <c r="C608" s="1" t="n">
        <v>45626</v>
      </c>
      <c r="D608" t="inlineStr">
        <is>
          <t>DALARNAS LÄN</t>
        </is>
      </c>
      <c r="E608" t="inlineStr">
        <is>
          <t>ÄLVDALEN</t>
        </is>
      </c>
      <c r="G608" t="n">
        <v>4.2</v>
      </c>
      <c r="H608" t="n">
        <v>0</v>
      </c>
      <c r="I608" t="n">
        <v>0</v>
      </c>
      <c r="J608" t="n">
        <v>0</v>
      </c>
      <c r="K608" t="n">
        <v>0</v>
      </c>
      <c r="L608" t="n">
        <v>0</v>
      </c>
      <c r="M608" t="n">
        <v>0</v>
      </c>
      <c r="N608" t="n">
        <v>0</v>
      </c>
      <c r="O608" t="n">
        <v>0</v>
      </c>
      <c r="P608" t="n">
        <v>0</v>
      </c>
      <c r="Q608" t="n">
        <v>0</v>
      </c>
      <c r="R608" s="2" t="inlineStr"/>
    </row>
    <row r="609" ht="15" customHeight="1">
      <c r="A609" t="inlineStr">
        <is>
          <t>A 19182-2023</t>
        </is>
      </c>
      <c r="B609" s="1" t="n">
        <v>45048</v>
      </c>
      <c r="C609" s="1" t="n">
        <v>45626</v>
      </c>
      <c r="D609" t="inlineStr">
        <is>
          <t>DALARNAS LÄN</t>
        </is>
      </c>
      <c r="E609" t="inlineStr">
        <is>
          <t>ÄLVDALEN</t>
        </is>
      </c>
      <c r="G609" t="n">
        <v>0.6</v>
      </c>
      <c r="H609" t="n">
        <v>0</v>
      </c>
      <c r="I609" t="n">
        <v>0</v>
      </c>
      <c r="J609" t="n">
        <v>0</v>
      </c>
      <c r="K609" t="n">
        <v>0</v>
      </c>
      <c r="L609" t="n">
        <v>0</v>
      </c>
      <c r="M609" t="n">
        <v>0</v>
      </c>
      <c r="N609" t="n">
        <v>0</v>
      </c>
      <c r="O609" t="n">
        <v>0</v>
      </c>
      <c r="P609" t="n">
        <v>0</v>
      </c>
      <c r="Q609" t="n">
        <v>0</v>
      </c>
      <c r="R609" s="2" t="inlineStr"/>
    </row>
    <row r="610" ht="15" customHeight="1">
      <c r="A610" t="inlineStr">
        <is>
          <t>A 19546-2023</t>
        </is>
      </c>
      <c r="B610" s="1" t="n">
        <v>45050</v>
      </c>
      <c r="C610" s="1" t="n">
        <v>45626</v>
      </c>
      <c r="D610" t="inlineStr">
        <is>
          <t>DALARNAS LÄN</t>
        </is>
      </c>
      <c r="E610" t="inlineStr">
        <is>
          <t>ÄLVDALEN</t>
        </is>
      </c>
      <c r="G610" t="n">
        <v>5.9</v>
      </c>
      <c r="H610" t="n">
        <v>0</v>
      </c>
      <c r="I610" t="n">
        <v>0</v>
      </c>
      <c r="J610" t="n">
        <v>0</v>
      </c>
      <c r="K610" t="n">
        <v>0</v>
      </c>
      <c r="L610" t="n">
        <v>0</v>
      </c>
      <c r="M610" t="n">
        <v>0</v>
      </c>
      <c r="N610" t="n">
        <v>0</v>
      </c>
      <c r="O610" t="n">
        <v>0</v>
      </c>
      <c r="P610" t="n">
        <v>0</v>
      </c>
      <c r="Q610" t="n">
        <v>0</v>
      </c>
      <c r="R610" s="2" t="inlineStr"/>
    </row>
    <row r="611" ht="15" customHeight="1">
      <c r="A611" t="inlineStr">
        <is>
          <t>A 19992-2023</t>
        </is>
      </c>
      <c r="B611" s="1" t="n">
        <v>45054</v>
      </c>
      <c r="C611" s="1" t="n">
        <v>45626</v>
      </c>
      <c r="D611" t="inlineStr">
        <is>
          <t>DALARNAS LÄN</t>
        </is>
      </c>
      <c r="E611" t="inlineStr">
        <is>
          <t>ÄLVDALEN</t>
        </is>
      </c>
      <c r="G611" t="n">
        <v>3.9</v>
      </c>
      <c r="H611" t="n">
        <v>0</v>
      </c>
      <c r="I611" t="n">
        <v>0</v>
      </c>
      <c r="J611" t="n">
        <v>0</v>
      </c>
      <c r="K611" t="n">
        <v>0</v>
      </c>
      <c r="L611" t="n">
        <v>0</v>
      </c>
      <c r="M611" t="n">
        <v>0</v>
      </c>
      <c r="N611" t="n">
        <v>0</v>
      </c>
      <c r="O611" t="n">
        <v>0</v>
      </c>
      <c r="P611" t="n">
        <v>0</v>
      </c>
      <c r="Q611" t="n">
        <v>0</v>
      </c>
      <c r="R611" s="2" t="inlineStr"/>
    </row>
    <row r="612" ht="15" customHeight="1">
      <c r="A612" t="inlineStr">
        <is>
          <t>A 20551-2023</t>
        </is>
      </c>
      <c r="B612" s="1" t="n">
        <v>45057</v>
      </c>
      <c r="C612" s="1" t="n">
        <v>45626</v>
      </c>
      <c r="D612" t="inlineStr">
        <is>
          <t>DALARNAS LÄN</t>
        </is>
      </c>
      <c r="E612" t="inlineStr">
        <is>
          <t>ÄLVDALEN</t>
        </is>
      </c>
      <c r="G612" t="n">
        <v>29.8</v>
      </c>
      <c r="H612" t="n">
        <v>0</v>
      </c>
      <c r="I612" t="n">
        <v>0</v>
      </c>
      <c r="J612" t="n">
        <v>0</v>
      </c>
      <c r="K612" t="n">
        <v>0</v>
      </c>
      <c r="L612" t="n">
        <v>0</v>
      </c>
      <c r="M612" t="n">
        <v>0</v>
      </c>
      <c r="N612" t="n">
        <v>0</v>
      </c>
      <c r="O612" t="n">
        <v>0</v>
      </c>
      <c r="P612" t="n">
        <v>0</v>
      </c>
      <c r="Q612" t="n">
        <v>0</v>
      </c>
      <c r="R612" s="2" t="inlineStr"/>
    </row>
    <row r="613" ht="15" customHeight="1">
      <c r="A613" t="inlineStr">
        <is>
          <t>A 21936-2023</t>
        </is>
      </c>
      <c r="B613" s="1" t="n">
        <v>45068</v>
      </c>
      <c r="C613" s="1" t="n">
        <v>45626</v>
      </c>
      <c r="D613" t="inlineStr">
        <is>
          <t>DALARNAS LÄN</t>
        </is>
      </c>
      <c r="E613" t="inlineStr">
        <is>
          <t>ÄLVDALEN</t>
        </is>
      </c>
      <c r="F613" t="inlineStr">
        <is>
          <t>Bergvik skog väst AB</t>
        </is>
      </c>
      <c r="G613" t="n">
        <v>7.5</v>
      </c>
      <c r="H613" t="n">
        <v>0</v>
      </c>
      <c r="I613" t="n">
        <v>0</v>
      </c>
      <c r="J613" t="n">
        <v>0</v>
      </c>
      <c r="K613" t="n">
        <v>0</v>
      </c>
      <c r="L613" t="n">
        <v>0</v>
      </c>
      <c r="M613" t="n">
        <v>0</v>
      </c>
      <c r="N613" t="n">
        <v>0</v>
      </c>
      <c r="O613" t="n">
        <v>0</v>
      </c>
      <c r="P613" t="n">
        <v>0</v>
      </c>
      <c r="Q613" t="n">
        <v>0</v>
      </c>
      <c r="R613" s="2" t="inlineStr"/>
    </row>
    <row r="614" ht="15" customHeight="1">
      <c r="A614" t="inlineStr">
        <is>
          <t>A 22792-2023</t>
        </is>
      </c>
      <c r="B614" s="1" t="n">
        <v>45072</v>
      </c>
      <c r="C614" s="1" t="n">
        <v>45626</v>
      </c>
      <c r="D614" t="inlineStr">
        <is>
          <t>DALARNAS LÄN</t>
        </is>
      </c>
      <c r="E614" t="inlineStr">
        <is>
          <t>ÄLVDALEN</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22847-2023</t>
        </is>
      </c>
      <c r="B615" s="1" t="n">
        <v>45072</v>
      </c>
      <c r="C615" s="1" t="n">
        <v>45626</v>
      </c>
      <c r="D615" t="inlineStr">
        <is>
          <t>DALARNAS LÄN</t>
        </is>
      </c>
      <c r="E615" t="inlineStr">
        <is>
          <t>ÄLVDALEN</t>
        </is>
      </c>
      <c r="F615" t="inlineStr">
        <is>
          <t>Bergvik skog väst AB</t>
        </is>
      </c>
      <c r="G615" t="n">
        <v>8.1</v>
      </c>
      <c r="H615" t="n">
        <v>0</v>
      </c>
      <c r="I615" t="n">
        <v>0</v>
      </c>
      <c r="J615" t="n">
        <v>0</v>
      </c>
      <c r="K615" t="n">
        <v>0</v>
      </c>
      <c r="L615" t="n">
        <v>0</v>
      </c>
      <c r="M615" t="n">
        <v>0</v>
      </c>
      <c r="N615" t="n">
        <v>0</v>
      </c>
      <c r="O615" t="n">
        <v>0</v>
      </c>
      <c r="P615" t="n">
        <v>0</v>
      </c>
      <c r="Q615" t="n">
        <v>0</v>
      </c>
      <c r="R615" s="2" t="inlineStr"/>
    </row>
    <row r="616" ht="15" customHeight="1">
      <c r="A616" t="inlineStr">
        <is>
          <t>A 23129-2023</t>
        </is>
      </c>
      <c r="B616" s="1" t="n">
        <v>45075</v>
      </c>
      <c r="C616" s="1" t="n">
        <v>45626</v>
      </c>
      <c r="D616" t="inlineStr">
        <is>
          <t>DALARNAS LÄN</t>
        </is>
      </c>
      <c r="E616" t="inlineStr">
        <is>
          <t>ÄLVDALEN</t>
        </is>
      </c>
      <c r="G616" t="n">
        <v>0.8</v>
      </c>
      <c r="H616" t="n">
        <v>0</v>
      </c>
      <c r="I616" t="n">
        <v>0</v>
      </c>
      <c r="J616" t="n">
        <v>0</v>
      </c>
      <c r="K616" t="n">
        <v>0</v>
      </c>
      <c r="L616" t="n">
        <v>0</v>
      </c>
      <c r="M616" t="n">
        <v>0</v>
      </c>
      <c r="N616" t="n">
        <v>0</v>
      </c>
      <c r="O616" t="n">
        <v>0</v>
      </c>
      <c r="P616" t="n">
        <v>0</v>
      </c>
      <c r="Q616" t="n">
        <v>0</v>
      </c>
      <c r="R616" s="2" t="inlineStr"/>
    </row>
    <row r="617" ht="15" customHeight="1">
      <c r="A617" t="inlineStr">
        <is>
          <t>A 23369-2023</t>
        </is>
      </c>
      <c r="B617" s="1" t="n">
        <v>45076</v>
      </c>
      <c r="C617" s="1" t="n">
        <v>45626</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23570-2023</t>
        </is>
      </c>
      <c r="B618" s="1" t="n">
        <v>45077</v>
      </c>
      <c r="C618" s="1" t="n">
        <v>45626</v>
      </c>
      <c r="D618" t="inlineStr">
        <is>
          <t>DALARNAS LÄN</t>
        </is>
      </c>
      <c r="E618" t="inlineStr">
        <is>
          <t>ÄLVDALEN</t>
        </is>
      </c>
      <c r="G618" t="n">
        <v>4.9</v>
      </c>
      <c r="H618" t="n">
        <v>0</v>
      </c>
      <c r="I618" t="n">
        <v>0</v>
      </c>
      <c r="J618" t="n">
        <v>0</v>
      </c>
      <c r="K618" t="n">
        <v>0</v>
      </c>
      <c r="L618" t="n">
        <v>0</v>
      </c>
      <c r="M618" t="n">
        <v>0</v>
      </c>
      <c r="N618" t="n">
        <v>0</v>
      </c>
      <c r="O618" t="n">
        <v>0</v>
      </c>
      <c r="P618" t="n">
        <v>0</v>
      </c>
      <c r="Q618" t="n">
        <v>0</v>
      </c>
      <c r="R618" s="2" t="inlineStr"/>
    </row>
    <row r="619" ht="15" customHeight="1">
      <c r="A619" t="inlineStr">
        <is>
          <t>A 23565-2023</t>
        </is>
      </c>
      <c r="B619" s="1" t="n">
        <v>45077</v>
      </c>
      <c r="C619" s="1" t="n">
        <v>45626</v>
      </c>
      <c r="D619" t="inlineStr">
        <is>
          <t>DALARNAS LÄN</t>
        </is>
      </c>
      <c r="E619" t="inlineStr">
        <is>
          <t>ÄLVDALEN</t>
        </is>
      </c>
      <c r="G619" t="n">
        <v>3.6</v>
      </c>
      <c r="H619" t="n">
        <v>0</v>
      </c>
      <c r="I619" t="n">
        <v>0</v>
      </c>
      <c r="J619" t="n">
        <v>0</v>
      </c>
      <c r="K619" t="n">
        <v>0</v>
      </c>
      <c r="L619" t="n">
        <v>0</v>
      </c>
      <c r="M619" t="n">
        <v>0</v>
      </c>
      <c r="N619" t="n">
        <v>0</v>
      </c>
      <c r="O619" t="n">
        <v>0</v>
      </c>
      <c r="P619" t="n">
        <v>0</v>
      </c>
      <c r="Q619" t="n">
        <v>0</v>
      </c>
      <c r="R619" s="2" t="inlineStr"/>
    </row>
    <row r="620" ht="15" customHeight="1">
      <c r="A620" t="inlineStr">
        <is>
          <t>A 23872-2023</t>
        </is>
      </c>
      <c r="B620" s="1" t="n">
        <v>45078</v>
      </c>
      <c r="C620" s="1" t="n">
        <v>45626</v>
      </c>
      <c r="D620" t="inlineStr">
        <is>
          <t>DALARNAS LÄN</t>
        </is>
      </c>
      <c r="E620" t="inlineStr">
        <is>
          <t>ÄLVDALEN</t>
        </is>
      </c>
      <c r="F620" t="inlineStr">
        <is>
          <t>Allmännings- och besparingsskogar</t>
        </is>
      </c>
      <c r="G620" t="n">
        <v>79.5</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45626</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45626</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45626</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45626</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45626</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45626</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45626</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45626</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45626</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45626</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45626</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45626</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45626</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45626</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45626</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45626</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45626</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45626</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45626</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45626</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45626</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45626</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45626</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45626</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45626</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45626</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45626</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45626</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45626</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45626</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45626</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45626</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45626</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45626</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45626</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45626</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45626</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45626</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45626</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45626</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45626</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45626</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45626</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45626</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45626</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45626</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45626</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45626</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45626</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45626</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45626</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45626</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45626</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45626</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45626</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45626</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45626</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45626</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45626</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45626</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45626</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45626</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45626</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45626</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45626</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45626</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45626</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45626</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45626</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45626</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45626</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45626</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45626</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45626</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45626</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45626</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45626</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45626</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45626</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45626</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45626</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45626</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45626</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45626</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45626</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45626</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45626</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45626</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45626</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45626</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45626</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45626</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45626</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45626</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45626</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45626</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45626</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45626</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45626</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45626</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45626</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45626</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45626</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45626</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45626</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45626</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45626</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45626</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45626</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45626</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45626</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45626</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45626</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45626</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45626</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45626</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45626</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45626</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45626</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45626</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45626</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45626</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45626</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45626</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45626</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45626</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45626</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45626</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45626</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45626</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45626</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45626</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45626</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45626</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45626</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45626</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45626</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45626</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45626</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45626</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45626</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45626</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45626</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45626</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45626</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45626</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45626</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45626</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45626</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45626</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45626</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45626</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45626</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45626</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45626</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45626</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45626</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45626</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45626</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45626</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45626</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45626</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45626</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45626</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45626</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45626</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45626</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45626</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45626</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45626</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45626</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45626</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45626</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45626</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45626</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45626</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45626</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45626</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45626</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45626</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45626</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45626</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45626</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45626</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45626</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45626</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45626</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45626</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45626</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45626</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45626</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45626</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45626</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45626</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45626</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45626</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45626</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45626</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45626</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45626</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45626</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45626</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45626</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45626</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45626</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45626</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45626</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45626</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45626</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45626</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45626</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45626</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45626</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45626</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45626</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45626</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45626</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45626</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45626</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45626</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45626</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45626</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45626</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45626</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45626</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45626</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45626</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45626</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45626</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45626</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45626</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45626</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45626</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45626</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45626</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45626</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45626</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45626</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45626</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45626</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45626</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45626</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45626</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45626</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45626</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45626</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45626</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45626</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45626</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45626</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45626</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45626</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45626</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45626</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45626</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45626</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45626</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45626</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45626</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45626</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45626</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45626</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45626</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45626</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45626</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45626</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45626</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45626</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45626</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45626</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45626</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45626</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45626</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45626</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45626</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45626</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45626</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45626</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45626</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45626</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45626</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45626</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45626</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45626</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45626</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45626</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45626</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45626</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45626</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45626</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45626</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45626</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45626</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45626</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45626</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45626</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45626</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45626</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45626</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45626</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45626</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45626</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45626</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45626</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45626</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45626</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45626</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45626</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45626</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45626</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45626</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45626</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45626</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45626</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45626</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45626</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45626</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45626</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45626</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45626</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45626</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45626</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45626</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45626</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45626</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45626</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45626</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45626</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45626</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45626</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45626</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45626</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45626</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45626</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45626</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45626</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45626</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45626</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45626</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45626</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45626</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45626</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45626</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45626</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45626</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45626</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45626</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50057-2024</t>
        </is>
      </c>
      <c r="B968" s="1" t="n">
        <v>45600</v>
      </c>
      <c r="C968" s="1" t="n">
        <v>45626</v>
      </c>
      <c r="D968" t="inlineStr">
        <is>
          <t>DALARNAS LÄN</t>
        </is>
      </c>
      <c r="E968" t="inlineStr">
        <is>
          <t>ÄLVDALEN</t>
        </is>
      </c>
      <c r="G968" t="n">
        <v>3.9</v>
      </c>
      <c r="H968" t="n">
        <v>0</v>
      </c>
      <c r="I968" t="n">
        <v>0</v>
      </c>
      <c r="J968" t="n">
        <v>0</v>
      </c>
      <c r="K968" t="n">
        <v>0</v>
      </c>
      <c r="L968" t="n">
        <v>0</v>
      </c>
      <c r="M968" t="n">
        <v>0</v>
      </c>
      <c r="N968" t="n">
        <v>0</v>
      </c>
      <c r="O968" t="n">
        <v>0</v>
      </c>
      <c r="P968" t="n">
        <v>0</v>
      </c>
      <c r="Q968" t="n">
        <v>0</v>
      </c>
      <c r="R968" s="2" t="inlineStr"/>
    </row>
    <row r="969" ht="15" customHeight="1">
      <c r="A969" t="inlineStr">
        <is>
          <t>A 50056-2024</t>
        </is>
      </c>
      <c r="B969" s="1" t="n">
        <v>45600</v>
      </c>
      <c r="C969" s="1" t="n">
        <v>45626</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52077-2024</t>
        </is>
      </c>
      <c r="B970" s="1" t="n">
        <v>45608</v>
      </c>
      <c r="C970" s="1" t="n">
        <v>45626</v>
      </c>
      <c r="D970" t="inlineStr">
        <is>
          <t>DALARNAS LÄN</t>
        </is>
      </c>
      <c r="E970" t="inlineStr">
        <is>
          <t>ÄLVDALEN</t>
        </is>
      </c>
      <c r="F970" t="inlineStr">
        <is>
          <t>Sveaskog</t>
        </is>
      </c>
      <c r="G970" t="n">
        <v>19.5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45626</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52163-2024</t>
        </is>
      </c>
      <c r="B972" s="1" t="n">
        <v>45608</v>
      </c>
      <c r="C972" s="1" t="n">
        <v>45626</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45626</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45626</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45626</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45626</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45626</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45626</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ht="15" customHeight="1">
      <c r="A979" t="inlineStr">
        <is>
          <t>A 55879-2024</t>
        </is>
      </c>
      <c r="B979" s="1" t="n">
        <v>45623</v>
      </c>
      <c r="C979" s="1" t="n">
        <v>45626</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56405-2024</t>
        </is>
      </c>
      <c r="B980" s="1" t="n">
        <v>45625</v>
      </c>
      <c r="C980" s="1" t="n">
        <v>45626</v>
      </c>
      <c r="D980" t="inlineStr">
        <is>
          <t>DALARNAS LÄN</t>
        </is>
      </c>
      <c r="E980" t="inlineStr">
        <is>
          <t>ÄLVDALEN</t>
        </is>
      </c>
      <c r="F980" t="inlineStr">
        <is>
          <t>Allmännings- och besparingsskogar</t>
        </is>
      </c>
      <c r="G980" t="n">
        <v>29.8</v>
      </c>
      <c r="H980" t="n">
        <v>0</v>
      </c>
      <c r="I980" t="n">
        <v>0</v>
      </c>
      <c r="J980" t="n">
        <v>0</v>
      </c>
      <c r="K980" t="n">
        <v>0</v>
      </c>
      <c r="L980" t="n">
        <v>0</v>
      </c>
      <c r="M980" t="n">
        <v>0</v>
      </c>
      <c r="N980" t="n">
        <v>0</v>
      </c>
      <c r="O980" t="n">
        <v>0</v>
      </c>
      <c r="P980" t="n">
        <v>0</v>
      </c>
      <c r="Q980" t="n">
        <v>0</v>
      </c>
      <c r="R980" s="2" t="inlineStr"/>
    </row>
    <row r="981">
      <c r="A981" t="inlineStr">
        <is>
          <t>A 56487-2024</t>
        </is>
      </c>
      <c r="B981" s="1" t="n">
        <v>45625</v>
      </c>
      <c r="C981" s="1" t="n">
        <v>45626</v>
      </c>
      <c r="D981" t="inlineStr">
        <is>
          <t>DALARNAS LÄN</t>
        </is>
      </c>
      <c r="E981" t="inlineStr">
        <is>
          <t>ÄLVDALEN</t>
        </is>
      </c>
      <c r="F981" t="inlineStr">
        <is>
          <t>Allmännings- och besparingsskogar</t>
        </is>
      </c>
      <c r="G981" t="n">
        <v>5.6</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2024-11-30T18:44:53Z</dcterms:created>
  <dcterms:modified xmlns:dcterms="http://purl.org/dc/terms/" xmlns:xsi="http://www.w3.org/2001/XMLSchema-instance" xsi:type="dcterms:W3CDTF">2024-11-30T18:44:54Z</dcterms:modified>
</cp:coreProperties>
</file>