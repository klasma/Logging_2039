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45900</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45900</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45900</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45900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45900</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45900</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45900</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45900</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45900</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45900</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45900</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45900</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45900</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33285-2025</t>
        </is>
      </c>
      <c r="B15" s="1" t="n">
        <v>45840</v>
      </c>
      <c r="C15" s="1" t="n">
        <v>45900</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45900</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28823-2023</t>
        </is>
      </c>
      <c r="B17" s="1" t="n">
        <v>45104.38712962963</v>
      </c>
      <c r="C17" s="1" t="n">
        <v>45900</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31037-2023</t>
        </is>
      </c>
      <c r="B18" s="1" t="n">
        <v>45113</v>
      </c>
      <c r="C18" s="1" t="n">
        <v>45900</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45900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45900</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45900</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45900</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45900</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45900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45900</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45900</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31658-2025</t>
        </is>
      </c>
      <c r="B27" s="1" t="n">
        <v>45834.34892361111</v>
      </c>
      <c r="C27" s="1" t="n">
        <v>45900</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30220-2023</t>
        </is>
      </c>
      <c r="B28" s="1" t="n">
        <v>45110.64706018518</v>
      </c>
      <c r="C28" s="1" t="n">
        <v>45900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45900</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45900</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45900</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36371-2025</t>
        </is>
      </c>
      <c r="B32" s="1" t="n">
        <v>45868</v>
      </c>
      <c r="C32" s="1" t="n">
        <v>45900</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33487-2025</t>
        </is>
      </c>
      <c r="B33" s="1" t="n">
        <v>45841.50515046297</v>
      </c>
      <c r="C33" s="1" t="n">
        <v>45900</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45900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45900</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45900</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45900</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45900</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45900</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45900</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22701-2024</t>
        </is>
      </c>
      <c r="B41" s="1" t="n">
        <v>45448</v>
      </c>
      <c r="C41" s="1" t="n">
        <v>45900</v>
      </c>
      <c r="D41" t="inlineStr">
        <is>
          <t>DALARNAS LÄN</t>
        </is>
      </c>
      <c r="E41" t="inlineStr">
        <is>
          <t>ÄLVDALEN</t>
        </is>
      </c>
      <c r="F41" t="inlineStr">
        <is>
          <t>Sveaskog</t>
        </is>
      </c>
      <c r="G41" t="n">
        <v>2.7</v>
      </c>
      <c r="H41" t="n">
        <v>0</v>
      </c>
      <c r="I41" t="n">
        <v>2</v>
      </c>
      <c r="J41" t="n">
        <v>1</v>
      </c>
      <c r="K41" t="n">
        <v>3</v>
      </c>
      <c r="L41" t="n">
        <v>0</v>
      </c>
      <c r="M41" t="n">
        <v>0</v>
      </c>
      <c r="N41" t="n">
        <v>0</v>
      </c>
      <c r="O41" t="n">
        <v>4</v>
      </c>
      <c r="P41" t="n">
        <v>3</v>
      </c>
      <c r="Q41" t="n">
        <v>6</v>
      </c>
      <c r="R41" s="2" t="inlineStr">
        <is>
          <t>Smalfotad taggsvamp
Tajgataggsvamp
Tallstocksticka
Dvärgbägarlav
Dropptaggsvamp
Skarp dropptaggsvamp</t>
        </is>
      </c>
      <c r="S41">
        <f>HYPERLINK("https://klasma.github.io/Logging_2039/artfynd/A 22701-2024 artfynd.xlsx", "A 22701-2024")</f>
        <v/>
      </c>
      <c r="T41">
        <f>HYPERLINK("https://klasma.github.io/Logging_2039/kartor/A 22701-2024 karta.png", "A 22701-2024")</f>
        <v/>
      </c>
      <c r="V41">
        <f>HYPERLINK("https://klasma.github.io/Logging_2039/klagomål/A 22701-2024 FSC-klagomål.docx", "A 22701-2024")</f>
        <v/>
      </c>
      <c r="W41">
        <f>HYPERLINK("https://klasma.github.io/Logging_2039/klagomålsmail/A 22701-2024 FSC-klagomål mail.docx", "A 22701-2024")</f>
        <v/>
      </c>
      <c r="X41">
        <f>HYPERLINK("https://klasma.github.io/Logging_2039/tillsyn/A 22701-2024 tillsynsbegäran.docx", "A 22701-2024")</f>
        <v/>
      </c>
      <c r="Y41">
        <f>HYPERLINK("https://klasma.github.io/Logging_2039/tillsynsmail/A 22701-2024 tillsynsbegäran mail.docx", "A 22701-2024")</f>
        <v/>
      </c>
    </row>
    <row r="42" ht="15" customHeight="1">
      <c r="A42" t="inlineStr">
        <is>
          <t>A 19262-2025</t>
        </is>
      </c>
      <c r="B42" s="1" t="n">
        <v>45769.51054398148</v>
      </c>
      <c r="C42" s="1" t="n">
        <v>45900</v>
      </c>
      <c r="D42" t="inlineStr">
        <is>
          <t>DALARNAS LÄN</t>
        </is>
      </c>
      <c r="E42" t="inlineStr">
        <is>
          <t>ÄLVDALEN</t>
        </is>
      </c>
      <c r="F42" t="inlineStr">
        <is>
          <t>Allmännings- och besparingsskogar</t>
        </is>
      </c>
      <c r="G42" t="n">
        <v>8.800000000000001</v>
      </c>
      <c r="H42" t="n">
        <v>0</v>
      </c>
      <c r="I42" t="n">
        <v>1</v>
      </c>
      <c r="J42" t="n">
        <v>3</v>
      </c>
      <c r="K42" t="n">
        <v>1</v>
      </c>
      <c r="L42" t="n">
        <v>1</v>
      </c>
      <c r="M42" t="n">
        <v>0</v>
      </c>
      <c r="N42" t="n">
        <v>0</v>
      </c>
      <c r="O42" t="n">
        <v>5</v>
      </c>
      <c r="P42" t="n">
        <v>2</v>
      </c>
      <c r="Q42" t="n">
        <v>6</v>
      </c>
      <c r="R42" s="2" t="inlineStr">
        <is>
          <t>Broktagel
Gräddporing
Dvärgbägarlav
Garnlav
Nordtagging
Skuggblåslav</t>
        </is>
      </c>
      <c r="S42">
        <f>HYPERLINK("https://klasma.github.io/Logging_2039/artfynd/A 19262-2025 artfynd.xlsx", "A 19262-2025")</f>
        <v/>
      </c>
      <c r="T42">
        <f>HYPERLINK("https://klasma.github.io/Logging_2039/kartor/A 19262-2025 karta.png", "A 19262-2025")</f>
        <v/>
      </c>
      <c r="V42">
        <f>HYPERLINK("https://klasma.github.io/Logging_2039/klagomål/A 19262-2025 FSC-klagomål.docx", "A 19262-2025")</f>
        <v/>
      </c>
      <c r="W42">
        <f>HYPERLINK("https://klasma.github.io/Logging_2039/klagomålsmail/A 19262-2025 FSC-klagomål mail.docx", "A 19262-2025")</f>
        <v/>
      </c>
      <c r="X42">
        <f>HYPERLINK("https://klasma.github.io/Logging_2039/tillsyn/A 19262-2025 tillsynsbegäran.docx", "A 19262-2025")</f>
        <v/>
      </c>
      <c r="Y42">
        <f>HYPERLINK("https://klasma.github.io/Logging_2039/tillsynsmail/A 19262-2025 tillsynsbegäran mail.docx", "A 19262-2025")</f>
        <v/>
      </c>
    </row>
    <row r="43" ht="15" customHeight="1">
      <c r="A43" t="inlineStr">
        <is>
          <t>A 31821-2025</t>
        </is>
      </c>
      <c r="B43" s="1" t="n">
        <v>45834.57958333333</v>
      </c>
      <c r="C43" s="1" t="n">
        <v>45900</v>
      </c>
      <c r="D43" t="inlineStr">
        <is>
          <t>DALARNAS LÄN</t>
        </is>
      </c>
      <c r="E43" t="inlineStr">
        <is>
          <t>ÄLVDALEN</t>
        </is>
      </c>
      <c r="F43" t="inlineStr">
        <is>
          <t>Allmännings- och besparingsskogar</t>
        </is>
      </c>
      <c r="G43" t="n">
        <v>1.2</v>
      </c>
      <c r="H43" t="n">
        <v>1</v>
      </c>
      <c r="I43" t="n">
        <v>1</v>
      </c>
      <c r="J43" t="n">
        <v>4</v>
      </c>
      <c r="K43" t="n">
        <v>1</v>
      </c>
      <c r="L43" t="n">
        <v>0</v>
      </c>
      <c r="M43" t="n">
        <v>0</v>
      </c>
      <c r="N43" t="n">
        <v>0</v>
      </c>
      <c r="O43" t="n">
        <v>5</v>
      </c>
      <c r="P43" t="n">
        <v>1</v>
      </c>
      <c r="Q43" t="n">
        <v>6</v>
      </c>
      <c r="R43" s="2" t="inlineStr">
        <is>
          <t>Fläckporing
Blanksvart spiklav
Varglav
Vedflamlav
Vedskivlav
Mindre märgborre</t>
        </is>
      </c>
      <c r="S43">
        <f>HYPERLINK("https://klasma.github.io/Logging_2039/artfynd/A 31821-2025 artfynd.xlsx", "A 31821-2025")</f>
        <v/>
      </c>
      <c r="T43">
        <f>HYPERLINK("https://klasma.github.io/Logging_2039/kartor/A 31821-2025 karta.png", "A 31821-2025")</f>
        <v/>
      </c>
      <c r="V43">
        <f>HYPERLINK("https://klasma.github.io/Logging_2039/klagomål/A 31821-2025 FSC-klagomål.docx", "A 31821-2025")</f>
        <v/>
      </c>
      <c r="W43">
        <f>HYPERLINK("https://klasma.github.io/Logging_2039/klagomålsmail/A 31821-2025 FSC-klagomål mail.docx", "A 31821-2025")</f>
        <v/>
      </c>
      <c r="X43">
        <f>HYPERLINK("https://klasma.github.io/Logging_2039/tillsyn/A 31821-2025 tillsynsbegäran.docx", "A 31821-2025")</f>
        <v/>
      </c>
      <c r="Y43">
        <f>HYPERLINK("https://klasma.github.io/Logging_2039/tillsynsmail/A 31821-2025 tillsynsbegäran mail.docx", "A 31821-2025")</f>
        <v/>
      </c>
    </row>
    <row r="44" ht="15" customHeight="1">
      <c r="A44" t="inlineStr">
        <is>
          <t>A 31631-2025</t>
        </is>
      </c>
      <c r="B44" s="1" t="n">
        <v>45834</v>
      </c>
      <c r="C44" s="1" t="n">
        <v>45900</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33638-2025</t>
        </is>
      </c>
      <c r="B45" s="1" t="n">
        <v>45841.64807870371</v>
      </c>
      <c r="C45" s="1" t="n">
        <v>45900</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45900</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39278-2022</t>
        </is>
      </c>
      <c r="B47" s="1" t="n">
        <v>44817</v>
      </c>
      <c r="C47" s="1" t="n">
        <v>45900</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45900</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45900</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45900</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49053-2023</t>
        </is>
      </c>
      <c r="B51" s="1" t="n">
        <v>45210</v>
      </c>
      <c r="C51" s="1" t="n">
        <v>45900</v>
      </c>
      <c r="D51" t="inlineStr">
        <is>
          <t>DALARNAS LÄN</t>
        </is>
      </c>
      <c r="E51" t="inlineStr">
        <is>
          <t>ÄLVDALEN</t>
        </is>
      </c>
      <c r="F51" t="inlineStr">
        <is>
          <t>Sveaskog</t>
        </is>
      </c>
      <c r="G51" t="n">
        <v>3.6</v>
      </c>
      <c r="H51" t="n">
        <v>0</v>
      </c>
      <c r="I51" t="n">
        <v>2</v>
      </c>
      <c r="J51" t="n">
        <v>3</v>
      </c>
      <c r="K51" t="n">
        <v>0</v>
      </c>
      <c r="L51" t="n">
        <v>0</v>
      </c>
      <c r="M51" t="n">
        <v>0</v>
      </c>
      <c r="N51" t="n">
        <v>0</v>
      </c>
      <c r="O51" t="n">
        <v>3</v>
      </c>
      <c r="P51" t="n">
        <v>0</v>
      </c>
      <c r="Q51" t="n">
        <v>5</v>
      </c>
      <c r="R51" s="2" t="inlineStr">
        <is>
          <t>Kolflarnlav
Nordtagging
Vedflamlav
Dropptaggsvamp
Skarp dropptaggsvamp</t>
        </is>
      </c>
      <c r="S51">
        <f>HYPERLINK("https://klasma.github.io/Logging_2039/artfynd/A 49053-2023 artfynd.xlsx", "A 49053-2023")</f>
        <v/>
      </c>
      <c r="T51">
        <f>HYPERLINK("https://klasma.github.io/Logging_2039/kartor/A 49053-2023 karta.png", "A 49053-2023")</f>
        <v/>
      </c>
      <c r="V51">
        <f>HYPERLINK("https://klasma.github.io/Logging_2039/klagomål/A 49053-2023 FSC-klagomål.docx", "A 49053-2023")</f>
        <v/>
      </c>
      <c r="W51">
        <f>HYPERLINK("https://klasma.github.io/Logging_2039/klagomålsmail/A 49053-2023 FSC-klagomål mail.docx", "A 49053-2023")</f>
        <v/>
      </c>
      <c r="X51">
        <f>HYPERLINK("https://klasma.github.io/Logging_2039/tillsyn/A 49053-2023 tillsynsbegäran.docx", "A 49053-2023")</f>
        <v/>
      </c>
      <c r="Y51">
        <f>HYPERLINK("https://klasma.github.io/Logging_2039/tillsynsmail/A 49053-2023 tillsynsbegäran mail.docx", "A 49053-2023")</f>
        <v/>
      </c>
    </row>
    <row r="52" ht="15" customHeight="1">
      <c r="A52" t="inlineStr">
        <is>
          <t>A 36327-2025</t>
        </is>
      </c>
      <c r="B52" s="1" t="n">
        <v>45868.42211805555</v>
      </c>
      <c r="C52" s="1" t="n">
        <v>45900</v>
      </c>
      <c r="D52" t="inlineStr">
        <is>
          <t>DALARNAS LÄN</t>
        </is>
      </c>
      <c r="E52" t="inlineStr">
        <is>
          <t>ÄLVDALEN</t>
        </is>
      </c>
      <c r="F52" t="inlineStr">
        <is>
          <t>Allmännings- och besparingsskogar</t>
        </is>
      </c>
      <c r="G52" t="n">
        <v>16.9</v>
      </c>
      <c r="H52" t="n">
        <v>2</v>
      </c>
      <c r="I52" t="n">
        <v>0</v>
      </c>
      <c r="J52" t="n">
        <v>3</v>
      </c>
      <c r="K52" t="n">
        <v>0</v>
      </c>
      <c r="L52" t="n">
        <v>0</v>
      </c>
      <c r="M52" t="n">
        <v>0</v>
      </c>
      <c r="N52" t="n">
        <v>0</v>
      </c>
      <c r="O52" t="n">
        <v>3</v>
      </c>
      <c r="P52" t="n">
        <v>0</v>
      </c>
      <c r="Q52" t="n">
        <v>5</v>
      </c>
      <c r="R52" s="2" t="inlineStr">
        <is>
          <t>Garnlav
Kolflarnlav
Vedskivlav
Kungsfågel
Tjäder</t>
        </is>
      </c>
      <c r="S52">
        <f>HYPERLINK("https://klasma.github.io/Logging_2039/artfynd/A 36327-2025 artfynd.xlsx", "A 36327-2025")</f>
        <v/>
      </c>
      <c r="T52">
        <f>HYPERLINK("https://klasma.github.io/Logging_2039/kartor/A 36327-2025 karta.png", "A 36327-2025")</f>
        <v/>
      </c>
      <c r="V52">
        <f>HYPERLINK("https://klasma.github.io/Logging_2039/klagomål/A 36327-2025 FSC-klagomål.docx", "A 36327-2025")</f>
        <v/>
      </c>
      <c r="W52">
        <f>HYPERLINK("https://klasma.github.io/Logging_2039/klagomålsmail/A 36327-2025 FSC-klagomål mail.docx", "A 36327-2025")</f>
        <v/>
      </c>
      <c r="X52">
        <f>HYPERLINK("https://klasma.github.io/Logging_2039/tillsyn/A 36327-2025 tillsynsbegäran.docx", "A 36327-2025")</f>
        <v/>
      </c>
      <c r="Y52">
        <f>HYPERLINK("https://klasma.github.io/Logging_2039/tillsynsmail/A 36327-2025 tillsynsbegäran mail.docx", "A 36327-2025")</f>
        <v/>
      </c>
      <c r="Z52">
        <f>HYPERLINK("https://klasma.github.io/Logging_2039/fåglar/A 36327-2025 prioriterade fågelarter.docx", "A 36327-2025")</f>
        <v/>
      </c>
    </row>
    <row r="53" ht="15" customHeight="1">
      <c r="A53" t="inlineStr">
        <is>
          <t>A 16894-2025</t>
        </is>
      </c>
      <c r="B53" s="1" t="n">
        <v>45755.33045138889</v>
      </c>
      <c r="C53" s="1" t="n">
        <v>45900</v>
      </c>
      <c r="D53" t="inlineStr">
        <is>
          <t>DALARNAS LÄN</t>
        </is>
      </c>
      <c r="E53" t="inlineStr">
        <is>
          <t>ÄLVDALEN</t>
        </is>
      </c>
      <c r="F53" t="inlineStr">
        <is>
          <t>Sveaskog</t>
        </is>
      </c>
      <c r="G53" t="n">
        <v>17.3</v>
      </c>
      <c r="H53" t="n">
        <v>0</v>
      </c>
      <c r="I53" t="n">
        <v>1</v>
      </c>
      <c r="J53" t="n">
        <v>4</v>
      </c>
      <c r="K53" t="n">
        <v>0</v>
      </c>
      <c r="L53" t="n">
        <v>0</v>
      </c>
      <c r="M53" t="n">
        <v>0</v>
      </c>
      <c r="N53" t="n">
        <v>0</v>
      </c>
      <c r="O53" t="n">
        <v>4</v>
      </c>
      <c r="P53" t="n">
        <v>0</v>
      </c>
      <c r="Q53" t="n">
        <v>5</v>
      </c>
      <c r="R53" s="2" t="inlineStr">
        <is>
          <t>Dvärgbägarlav
Kolflarnlav
Mörk kolflarnlav
Vedflamlav
Dropptaggsvamp</t>
        </is>
      </c>
      <c r="S53">
        <f>HYPERLINK("https://klasma.github.io/Logging_2039/artfynd/A 16894-2025 artfynd.xlsx", "A 16894-2025")</f>
        <v/>
      </c>
      <c r="T53">
        <f>HYPERLINK("https://klasma.github.io/Logging_2039/kartor/A 16894-2025 karta.png", "A 16894-2025")</f>
        <v/>
      </c>
      <c r="V53">
        <f>HYPERLINK("https://klasma.github.io/Logging_2039/klagomål/A 16894-2025 FSC-klagomål.docx", "A 16894-2025")</f>
        <v/>
      </c>
      <c r="W53">
        <f>HYPERLINK("https://klasma.github.io/Logging_2039/klagomålsmail/A 16894-2025 FSC-klagomål mail.docx", "A 16894-2025")</f>
        <v/>
      </c>
      <c r="X53">
        <f>HYPERLINK("https://klasma.github.io/Logging_2039/tillsyn/A 16894-2025 tillsynsbegäran.docx", "A 16894-2025")</f>
        <v/>
      </c>
      <c r="Y53">
        <f>HYPERLINK("https://klasma.github.io/Logging_2039/tillsynsmail/A 16894-2025 tillsynsbegäran mail.docx", "A 16894-2025")</f>
        <v/>
      </c>
    </row>
    <row r="54" ht="15" customHeight="1">
      <c r="A54" t="inlineStr">
        <is>
          <t>A 19616-2024</t>
        </is>
      </c>
      <c r="B54" s="1" t="n">
        <v>45432.31541666666</v>
      </c>
      <c r="C54" s="1" t="n">
        <v>45900</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25089-2024</t>
        </is>
      </c>
      <c r="B55" s="1" t="n">
        <v>45462.39879629629</v>
      </c>
      <c r="C55" s="1" t="n">
        <v>45900</v>
      </c>
      <c r="D55" t="inlineStr">
        <is>
          <t>DALARNAS LÄN</t>
        </is>
      </c>
      <c r="E55" t="inlineStr">
        <is>
          <t>ÄLVDALEN</t>
        </is>
      </c>
      <c r="F55" t="inlineStr">
        <is>
          <t>Sveaskog</t>
        </is>
      </c>
      <c r="G55" t="n">
        <v>3.9</v>
      </c>
      <c r="H55" t="n">
        <v>0</v>
      </c>
      <c r="I55" t="n">
        <v>1</v>
      </c>
      <c r="J55" t="n">
        <v>4</v>
      </c>
      <c r="K55" t="n">
        <v>0</v>
      </c>
      <c r="L55" t="n">
        <v>0</v>
      </c>
      <c r="M55" t="n">
        <v>0</v>
      </c>
      <c r="N55" t="n">
        <v>0</v>
      </c>
      <c r="O55" t="n">
        <v>4</v>
      </c>
      <c r="P55" t="n">
        <v>0</v>
      </c>
      <c r="Q55" t="n">
        <v>5</v>
      </c>
      <c r="R55" s="2" t="inlineStr">
        <is>
          <t>Blanksvart spiklav
Kolflarnlav
Mörk kolflarnlav
Vedflamlav
Skarp dropptaggsvamp</t>
        </is>
      </c>
      <c r="S55">
        <f>HYPERLINK("https://klasma.github.io/Logging_2039/artfynd/A 25089-2024 artfynd.xlsx", "A 25089-2024")</f>
        <v/>
      </c>
      <c r="T55">
        <f>HYPERLINK("https://klasma.github.io/Logging_2039/kartor/A 25089-2024 karta.png", "A 25089-2024")</f>
        <v/>
      </c>
      <c r="V55">
        <f>HYPERLINK("https://klasma.github.io/Logging_2039/klagomål/A 25089-2024 FSC-klagomål.docx", "A 25089-2024")</f>
        <v/>
      </c>
      <c r="W55">
        <f>HYPERLINK("https://klasma.github.io/Logging_2039/klagomålsmail/A 25089-2024 FSC-klagomål mail.docx", "A 25089-2024")</f>
        <v/>
      </c>
      <c r="X55">
        <f>HYPERLINK("https://klasma.github.io/Logging_2039/tillsyn/A 25089-2024 tillsynsbegäran.docx", "A 25089-2024")</f>
        <v/>
      </c>
      <c r="Y55">
        <f>HYPERLINK("https://klasma.github.io/Logging_2039/tillsynsmail/A 25089-2024 tillsynsbegäran mail.docx", "A 25089-2024")</f>
        <v/>
      </c>
    </row>
    <row r="56" ht="15" customHeight="1">
      <c r="A56" t="inlineStr">
        <is>
          <t>A 32204-2024</t>
        </is>
      </c>
      <c r="B56" s="1" t="n">
        <v>45511.67277777778</v>
      </c>
      <c r="C56" s="1" t="n">
        <v>45900</v>
      </c>
      <c r="D56" t="inlineStr">
        <is>
          <t>DALARNAS LÄN</t>
        </is>
      </c>
      <c r="E56" t="inlineStr">
        <is>
          <t>ÄLVDALEN</t>
        </is>
      </c>
      <c r="F56" t="inlineStr">
        <is>
          <t>Sveaskog</t>
        </is>
      </c>
      <c r="G56" t="n">
        <v>2.9</v>
      </c>
      <c r="H56" t="n">
        <v>0</v>
      </c>
      <c r="I56" t="n">
        <v>0</v>
      </c>
      <c r="J56" t="n">
        <v>4</v>
      </c>
      <c r="K56" t="n">
        <v>0</v>
      </c>
      <c r="L56" t="n">
        <v>0</v>
      </c>
      <c r="M56" t="n">
        <v>0</v>
      </c>
      <c r="N56" t="n">
        <v>0</v>
      </c>
      <c r="O56" t="n">
        <v>4</v>
      </c>
      <c r="P56" t="n">
        <v>0</v>
      </c>
      <c r="Q56" t="n">
        <v>4</v>
      </c>
      <c r="R56" s="2" t="inlineStr">
        <is>
          <t>Blanksvart spiklav
Kolflarnlav
Mörk kolflarnlav
Vedflamlav</t>
        </is>
      </c>
      <c r="S56">
        <f>HYPERLINK("https://klasma.github.io/Logging_2039/artfynd/A 32204-2024 artfynd.xlsx", "A 32204-2024")</f>
        <v/>
      </c>
      <c r="T56">
        <f>HYPERLINK("https://klasma.github.io/Logging_2039/kartor/A 32204-2024 karta.png", "A 32204-2024")</f>
        <v/>
      </c>
      <c r="V56">
        <f>HYPERLINK("https://klasma.github.io/Logging_2039/klagomål/A 32204-2024 FSC-klagomål.docx", "A 32204-2024")</f>
        <v/>
      </c>
      <c r="W56">
        <f>HYPERLINK("https://klasma.github.io/Logging_2039/klagomålsmail/A 32204-2024 FSC-klagomål mail.docx", "A 32204-2024")</f>
        <v/>
      </c>
      <c r="X56">
        <f>HYPERLINK("https://klasma.github.io/Logging_2039/tillsyn/A 32204-2024 tillsynsbegäran.docx", "A 32204-2024")</f>
        <v/>
      </c>
      <c r="Y56">
        <f>HYPERLINK("https://klasma.github.io/Logging_2039/tillsynsmail/A 32204-2024 tillsynsbegäran mail.docx", "A 32204-2024")</f>
        <v/>
      </c>
    </row>
    <row r="57" ht="15" customHeight="1">
      <c r="A57" t="inlineStr">
        <is>
          <t>A 36580-2024</t>
        </is>
      </c>
      <c r="B57" s="1" t="n">
        <v>45537.50400462963</v>
      </c>
      <c r="C57" s="1" t="n">
        <v>45900</v>
      </c>
      <c r="D57" t="inlineStr">
        <is>
          <t>DALARNAS LÄN</t>
        </is>
      </c>
      <c r="E57" t="inlineStr">
        <is>
          <t>ÄLVDALEN</t>
        </is>
      </c>
      <c r="F57" t="inlineStr">
        <is>
          <t>Sveaskog</t>
        </is>
      </c>
      <c r="G57" t="n">
        <v>4.2</v>
      </c>
      <c r="H57" t="n">
        <v>0</v>
      </c>
      <c r="I57" t="n">
        <v>0</v>
      </c>
      <c r="J57" t="n">
        <v>4</v>
      </c>
      <c r="K57" t="n">
        <v>0</v>
      </c>
      <c r="L57" t="n">
        <v>0</v>
      </c>
      <c r="M57" t="n">
        <v>0</v>
      </c>
      <c r="N57" t="n">
        <v>0</v>
      </c>
      <c r="O57" t="n">
        <v>4</v>
      </c>
      <c r="P57" t="n">
        <v>0</v>
      </c>
      <c r="Q57" t="n">
        <v>4</v>
      </c>
      <c r="R57" s="2" t="inlineStr">
        <is>
          <t>Garnlav
Kolflarnlav
Mörk kolflarnlav
Vedflamlav</t>
        </is>
      </c>
      <c r="S57">
        <f>HYPERLINK("https://klasma.github.io/Logging_2039/artfynd/A 36580-2024 artfynd.xlsx", "A 36580-2024")</f>
        <v/>
      </c>
      <c r="T57">
        <f>HYPERLINK("https://klasma.github.io/Logging_2039/kartor/A 36580-2024 karta.png", "A 36580-2024")</f>
        <v/>
      </c>
      <c r="V57">
        <f>HYPERLINK("https://klasma.github.io/Logging_2039/klagomål/A 36580-2024 FSC-klagomål.docx", "A 36580-2024")</f>
        <v/>
      </c>
      <c r="W57">
        <f>HYPERLINK("https://klasma.github.io/Logging_2039/klagomålsmail/A 36580-2024 FSC-klagomål mail.docx", "A 36580-2024")</f>
        <v/>
      </c>
      <c r="X57">
        <f>HYPERLINK("https://klasma.github.io/Logging_2039/tillsyn/A 36580-2024 tillsynsbegäran.docx", "A 36580-2024")</f>
        <v/>
      </c>
      <c r="Y57">
        <f>HYPERLINK("https://klasma.github.io/Logging_2039/tillsynsmail/A 36580-2024 tillsynsbegäran mail.docx", "A 36580-2024")</f>
        <v/>
      </c>
    </row>
    <row r="58" ht="15" customHeight="1">
      <c r="A58" t="inlineStr">
        <is>
          <t>A 25090-2025</t>
        </is>
      </c>
      <c r="B58" s="1" t="n">
        <v>45800.31733796297</v>
      </c>
      <c r="C58" s="1" t="n">
        <v>45900</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49052-2023</t>
        </is>
      </c>
      <c r="B59" s="1" t="n">
        <v>45210</v>
      </c>
      <c r="C59" s="1" t="n">
        <v>45900</v>
      </c>
      <c r="D59" t="inlineStr">
        <is>
          <t>DALARNAS LÄN</t>
        </is>
      </c>
      <c r="E59" t="inlineStr">
        <is>
          <t>ÄLVDALEN</t>
        </is>
      </c>
      <c r="F59" t="inlineStr">
        <is>
          <t>Sveaskog</t>
        </is>
      </c>
      <c r="G59" t="n">
        <v>4.4</v>
      </c>
      <c r="H59" t="n">
        <v>1</v>
      </c>
      <c r="I59" t="n">
        <v>0</v>
      </c>
      <c r="J59" t="n">
        <v>4</v>
      </c>
      <c r="K59" t="n">
        <v>0</v>
      </c>
      <c r="L59" t="n">
        <v>0</v>
      </c>
      <c r="M59" t="n">
        <v>0</v>
      </c>
      <c r="N59" t="n">
        <v>0</v>
      </c>
      <c r="O59" t="n">
        <v>4</v>
      </c>
      <c r="P59" t="n">
        <v>0</v>
      </c>
      <c r="Q59" t="n">
        <v>4</v>
      </c>
      <c r="R59" s="2" t="inlineStr">
        <is>
          <t>Kolflarnlav
Mörk kolflarnlav
Varglav
Vedflamlav</t>
        </is>
      </c>
      <c r="S59">
        <f>HYPERLINK("https://klasma.github.io/Logging_2039/artfynd/A 49052-2023 artfynd.xlsx", "A 49052-2023")</f>
        <v/>
      </c>
      <c r="T59">
        <f>HYPERLINK("https://klasma.github.io/Logging_2039/kartor/A 49052-2023 karta.png", "A 49052-2023")</f>
        <v/>
      </c>
      <c r="V59">
        <f>HYPERLINK("https://klasma.github.io/Logging_2039/klagomål/A 49052-2023 FSC-klagomål.docx", "A 49052-2023")</f>
        <v/>
      </c>
      <c r="W59">
        <f>HYPERLINK("https://klasma.github.io/Logging_2039/klagomålsmail/A 49052-2023 FSC-klagomål mail.docx", "A 49052-2023")</f>
        <v/>
      </c>
      <c r="X59">
        <f>HYPERLINK("https://klasma.github.io/Logging_2039/tillsyn/A 49052-2023 tillsynsbegäran.docx", "A 49052-2023")</f>
        <v/>
      </c>
      <c r="Y59">
        <f>HYPERLINK("https://klasma.github.io/Logging_2039/tillsynsmail/A 49052-2023 tillsynsbegäran mail.docx", "A 49052-2023")</f>
        <v/>
      </c>
    </row>
    <row r="60" ht="15" customHeight="1">
      <c r="A60" t="inlineStr">
        <is>
          <t>A 26765-2025</t>
        </is>
      </c>
      <c r="B60" s="1" t="n">
        <v>45810</v>
      </c>
      <c r="C60" s="1" t="n">
        <v>45900</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38819-2024</t>
        </is>
      </c>
      <c r="B61" s="1" t="n">
        <v>45547.5541087963</v>
      </c>
      <c r="C61" s="1" t="n">
        <v>45900</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38819-2024 artfynd.xlsx", "A 38819-2024")</f>
        <v/>
      </c>
      <c r="T61">
        <f>HYPERLINK("https://klasma.github.io/Logging_2039/kartor/A 38819-2024 karta.png", "A 38819-2024")</f>
        <v/>
      </c>
      <c r="V61">
        <f>HYPERLINK("https://klasma.github.io/Logging_2039/klagomål/A 38819-2024 FSC-klagomål.docx", "A 38819-2024")</f>
        <v/>
      </c>
      <c r="W61">
        <f>HYPERLINK("https://klasma.github.io/Logging_2039/klagomålsmail/A 38819-2024 FSC-klagomål mail.docx", "A 38819-2024")</f>
        <v/>
      </c>
      <c r="X61">
        <f>HYPERLINK("https://klasma.github.io/Logging_2039/tillsyn/A 38819-2024 tillsynsbegäran.docx", "A 38819-2024")</f>
        <v/>
      </c>
      <c r="Y61">
        <f>HYPERLINK("https://klasma.github.io/Logging_2039/tillsynsmail/A 38819-2024 tillsynsbegäran mail.docx", "A 38819-2024")</f>
        <v/>
      </c>
    </row>
    <row r="62" ht="15" customHeight="1">
      <c r="A62" t="inlineStr">
        <is>
          <t>A 32207-2024</t>
        </is>
      </c>
      <c r="B62" s="1" t="n">
        <v>45511.67440972223</v>
      </c>
      <c r="C62" s="1" t="n">
        <v>45900</v>
      </c>
      <c r="D62" t="inlineStr">
        <is>
          <t>DALARNAS LÄN</t>
        </is>
      </c>
      <c r="E62" t="inlineStr">
        <is>
          <t>ÄLVDALEN</t>
        </is>
      </c>
      <c r="F62" t="inlineStr">
        <is>
          <t>Sveaskog</t>
        </is>
      </c>
      <c r="G62" t="n">
        <v>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32207-2024 artfynd.xlsx", "A 32207-2024")</f>
        <v/>
      </c>
      <c r="T62">
        <f>HYPERLINK("https://klasma.github.io/Logging_2039/kartor/A 32207-2024 karta.png", "A 32207-2024")</f>
        <v/>
      </c>
      <c r="V62">
        <f>HYPERLINK("https://klasma.github.io/Logging_2039/klagomål/A 32207-2024 FSC-klagomål.docx", "A 32207-2024")</f>
        <v/>
      </c>
      <c r="W62">
        <f>HYPERLINK("https://klasma.github.io/Logging_2039/klagomålsmail/A 32207-2024 FSC-klagomål mail.docx", "A 32207-2024")</f>
        <v/>
      </c>
      <c r="X62">
        <f>HYPERLINK("https://klasma.github.io/Logging_2039/tillsyn/A 32207-2024 tillsynsbegäran.docx", "A 32207-2024")</f>
        <v/>
      </c>
      <c r="Y62">
        <f>HYPERLINK("https://klasma.github.io/Logging_2039/tillsynsmail/A 32207-2024 tillsynsbegäran mail.docx", "A 32207-2024")</f>
        <v/>
      </c>
    </row>
    <row r="63" ht="15" customHeight="1">
      <c r="A63" t="inlineStr">
        <is>
          <t>A 29252-2023</t>
        </is>
      </c>
      <c r="B63" s="1" t="n">
        <v>45105</v>
      </c>
      <c r="C63" s="1" t="n">
        <v>45900</v>
      </c>
      <c r="D63" t="inlineStr">
        <is>
          <t>DALARNAS LÄN</t>
        </is>
      </c>
      <c r="E63" t="inlineStr">
        <is>
          <t>ÄLVDALEN</t>
        </is>
      </c>
      <c r="F63" t="inlineStr">
        <is>
          <t>Allmännings- och besparingsskogar</t>
        </is>
      </c>
      <c r="G63" t="n">
        <v>3.5</v>
      </c>
      <c r="H63" t="n">
        <v>1</v>
      </c>
      <c r="I63" t="n">
        <v>0</v>
      </c>
      <c r="J63" t="n">
        <v>4</v>
      </c>
      <c r="K63" t="n">
        <v>0</v>
      </c>
      <c r="L63" t="n">
        <v>0</v>
      </c>
      <c r="M63" t="n">
        <v>0</v>
      </c>
      <c r="N63" t="n">
        <v>0</v>
      </c>
      <c r="O63" t="n">
        <v>4</v>
      </c>
      <c r="P63" t="n">
        <v>0</v>
      </c>
      <c r="Q63" t="n">
        <v>4</v>
      </c>
      <c r="R63" s="2" t="inlineStr">
        <is>
          <t>Knottrig blåslav
Kolflarnlav
Varglav
Vedflamlav</t>
        </is>
      </c>
      <c r="S63">
        <f>HYPERLINK("https://klasma.github.io/Logging_2039/artfynd/A 29252-2023 artfynd.xlsx", "A 29252-2023")</f>
        <v/>
      </c>
      <c r="T63">
        <f>HYPERLINK("https://klasma.github.io/Logging_2039/kartor/A 29252-2023 karta.png", "A 29252-2023")</f>
        <v/>
      </c>
      <c r="V63">
        <f>HYPERLINK("https://klasma.github.io/Logging_2039/klagomål/A 29252-2023 FSC-klagomål.docx", "A 29252-2023")</f>
        <v/>
      </c>
      <c r="W63">
        <f>HYPERLINK("https://klasma.github.io/Logging_2039/klagomålsmail/A 29252-2023 FSC-klagomål mail.docx", "A 29252-2023")</f>
        <v/>
      </c>
      <c r="X63">
        <f>HYPERLINK("https://klasma.github.io/Logging_2039/tillsyn/A 29252-2023 tillsynsbegäran.docx", "A 29252-2023")</f>
        <v/>
      </c>
      <c r="Y63">
        <f>HYPERLINK("https://klasma.github.io/Logging_2039/tillsynsmail/A 29252-2023 tillsynsbegäran mail.docx", "A 29252-2023")</f>
        <v/>
      </c>
    </row>
    <row r="64" ht="15" customHeight="1">
      <c r="A64" t="inlineStr">
        <is>
          <t>A 57505-2024</t>
        </is>
      </c>
      <c r="B64" s="1" t="n">
        <v>45630</v>
      </c>
      <c r="C64" s="1" t="n">
        <v>45900</v>
      </c>
      <c r="D64" t="inlineStr">
        <is>
          <t>DALARNAS LÄN</t>
        </is>
      </c>
      <c r="E64" t="inlineStr">
        <is>
          <t>ÄLVDALEN</t>
        </is>
      </c>
      <c r="F64" t="inlineStr">
        <is>
          <t>Allmännings- och besparingsskogar</t>
        </is>
      </c>
      <c r="G64" t="n">
        <v>2.3</v>
      </c>
      <c r="H64" t="n">
        <v>0</v>
      </c>
      <c r="I64" t="n">
        <v>2</v>
      </c>
      <c r="J64" t="n">
        <v>2</v>
      </c>
      <c r="K64" t="n">
        <v>0</v>
      </c>
      <c r="L64" t="n">
        <v>0</v>
      </c>
      <c r="M64" t="n">
        <v>0</v>
      </c>
      <c r="N64" t="n">
        <v>0</v>
      </c>
      <c r="O64" t="n">
        <v>2</v>
      </c>
      <c r="P64" t="n">
        <v>0</v>
      </c>
      <c r="Q64" t="n">
        <v>4</v>
      </c>
      <c r="R64" s="2" t="inlineStr">
        <is>
          <t>Skrovellav
Vedskivlav
Bronshjon
Vågbandad barkbock</t>
        </is>
      </c>
      <c r="S64">
        <f>HYPERLINK("https://klasma.github.io/Logging_2039/artfynd/A 57505-2024 artfynd.xlsx", "A 57505-2024")</f>
        <v/>
      </c>
      <c r="T64">
        <f>HYPERLINK("https://klasma.github.io/Logging_2039/kartor/A 57505-2024 karta.png", "A 57505-2024")</f>
        <v/>
      </c>
      <c r="V64">
        <f>HYPERLINK("https://klasma.github.io/Logging_2039/klagomål/A 57505-2024 FSC-klagomål.docx", "A 57505-2024")</f>
        <v/>
      </c>
      <c r="W64">
        <f>HYPERLINK("https://klasma.github.io/Logging_2039/klagomålsmail/A 57505-2024 FSC-klagomål mail.docx", "A 57505-2024")</f>
        <v/>
      </c>
      <c r="X64">
        <f>HYPERLINK("https://klasma.github.io/Logging_2039/tillsyn/A 57505-2024 tillsynsbegäran.docx", "A 57505-2024")</f>
        <v/>
      </c>
      <c r="Y64">
        <f>HYPERLINK("https://klasma.github.io/Logging_2039/tillsynsmail/A 57505-2024 tillsynsbegäran mail.docx", "A 57505-2024")</f>
        <v/>
      </c>
    </row>
    <row r="65" ht="15" customHeight="1">
      <c r="A65" t="inlineStr">
        <is>
          <t>A 58570-2020</t>
        </is>
      </c>
      <c r="B65" s="1" t="n">
        <v>44145</v>
      </c>
      <c r="C65" s="1" t="n">
        <v>45900</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41921-2022</t>
        </is>
      </c>
      <c r="B66" s="1" t="n">
        <v>44830</v>
      </c>
      <c r="C66" s="1" t="n">
        <v>45900</v>
      </c>
      <c r="D66" t="inlineStr">
        <is>
          <t>DALARNAS LÄN</t>
        </is>
      </c>
      <c r="E66" t="inlineStr">
        <is>
          <t>ÄLVDALEN</t>
        </is>
      </c>
      <c r="F66" t="inlineStr">
        <is>
          <t>Sveaskog</t>
        </is>
      </c>
      <c r="G66" t="n">
        <v>5.4</v>
      </c>
      <c r="H66" t="n">
        <v>1</v>
      </c>
      <c r="I66" t="n">
        <v>0</v>
      </c>
      <c r="J66" t="n">
        <v>3</v>
      </c>
      <c r="K66" t="n">
        <v>0</v>
      </c>
      <c r="L66" t="n">
        <v>0</v>
      </c>
      <c r="M66" t="n">
        <v>0</v>
      </c>
      <c r="N66" t="n">
        <v>0</v>
      </c>
      <c r="O66" t="n">
        <v>3</v>
      </c>
      <c r="P66" t="n">
        <v>0</v>
      </c>
      <c r="Q66" t="n">
        <v>3</v>
      </c>
      <c r="R66" s="2" t="inlineStr">
        <is>
          <t>Blågrå svartspik
Tretåig hackspett
Vedskivlav</t>
        </is>
      </c>
      <c r="S66">
        <f>HYPERLINK("https://klasma.github.io/Logging_2039/artfynd/A 41921-2022 artfynd.xlsx", "A 41921-2022")</f>
        <v/>
      </c>
      <c r="T66">
        <f>HYPERLINK("https://klasma.github.io/Logging_2039/kartor/A 41921-2022 karta.png", "A 41921-2022")</f>
        <v/>
      </c>
      <c r="V66">
        <f>HYPERLINK("https://klasma.github.io/Logging_2039/klagomål/A 41921-2022 FSC-klagomål.docx", "A 41921-2022")</f>
        <v/>
      </c>
      <c r="W66">
        <f>HYPERLINK("https://klasma.github.io/Logging_2039/klagomålsmail/A 41921-2022 FSC-klagomål mail.docx", "A 41921-2022")</f>
        <v/>
      </c>
      <c r="X66">
        <f>HYPERLINK("https://klasma.github.io/Logging_2039/tillsyn/A 41921-2022 tillsynsbegäran.docx", "A 41921-2022")</f>
        <v/>
      </c>
      <c r="Y66">
        <f>HYPERLINK("https://klasma.github.io/Logging_2039/tillsynsmail/A 41921-2022 tillsynsbegäran mail.docx", "A 41921-2022")</f>
        <v/>
      </c>
      <c r="Z66">
        <f>HYPERLINK("https://klasma.github.io/Logging_2039/fåglar/A 41921-2022 prioriterade fågelarter.docx", "A 41921-2022")</f>
        <v/>
      </c>
    </row>
    <row r="67" ht="15" customHeight="1">
      <c r="A67" t="inlineStr">
        <is>
          <t>A 35141-2023</t>
        </is>
      </c>
      <c r="B67" s="1" t="n">
        <v>45145</v>
      </c>
      <c r="C67" s="1" t="n">
        <v>45900</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22191-2025</t>
        </is>
      </c>
      <c r="B68" s="1" t="n">
        <v>45785.62809027778</v>
      </c>
      <c r="C68" s="1" t="n">
        <v>45900</v>
      </c>
      <c r="D68" t="inlineStr">
        <is>
          <t>DALARNAS LÄN</t>
        </is>
      </c>
      <c r="E68" t="inlineStr">
        <is>
          <t>ÄLVDALEN</t>
        </is>
      </c>
      <c r="F68" t="inlineStr">
        <is>
          <t>Sveaskog</t>
        </is>
      </c>
      <c r="G68" t="n">
        <v>1.7</v>
      </c>
      <c r="H68" t="n">
        <v>0</v>
      </c>
      <c r="I68" t="n">
        <v>0</v>
      </c>
      <c r="J68" t="n">
        <v>3</v>
      </c>
      <c r="K68" t="n">
        <v>0</v>
      </c>
      <c r="L68" t="n">
        <v>0</v>
      </c>
      <c r="M68" t="n">
        <v>0</v>
      </c>
      <c r="N68" t="n">
        <v>0</v>
      </c>
      <c r="O68" t="n">
        <v>3</v>
      </c>
      <c r="P68" t="n">
        <v>0</v>
      </c>
      <c r="Q68" t="n">
        <v>3</v>
      </c>
      <c r="R68" s="2" t="inlineStr">
        <is>
          <t>Kolflarnlav
Tallticka
Vedflamlav</t>
        </is>
      </c>
      <c r="S68">
        <f>HYPERLINK("https://klasma.github.io/Logging_2039/artfynd/A 22191-2025 artfynd.xlsx", "A 22191-2025")</f>
        <v/>
      </c>
      <c r="T68">
        <f>HYPERLINK("https://klasma.github.io/Logging_2039/kartor/A 22191-2025 karta.png", "A 22191-2025")</f>
        <v/>
      </c>
      <c r="V68">
        <f>HYPERLINK("https://klasma.github.io/Logging_2039/klagomål/A 22191-2025 FSC-klagomål.docx", "A 22191-2025")</f>
        <v/>
      </c>
      <c r="W68">
        <f>HYPERLINK("https://klasma.github.io/Logging_2039/klagomålsmail/A 22191-2025 FSC-klagomål mail.docx", "A 22191-2025")</f>
        <v/>
      </c>
      <c r="X68">
        <f>HYPERLINK("https://klasma.github.io/Logging_2039/tillsyn/A 22191-2025 tillsynsbegäran.docx", "A 22191-2025")</f>
        <v/>
      </c>
      <c r="Y68">
        <f>HYPERLINK("https://klasma.github.io/Logging_2039/tillsynsmail/A 22191-2025 tillsynsbegäran mail.docx", "A 22191-2025")</f>
        <v/>
      </c>
    </row>
    <row r="69" ht="15" customHeight="1">
      <c r="A69" t="inlineStr">
        <is>
          <t>A 22291-2025</t>
        </is>
      </c>
      <c r="B69" s="1" t="n">
        <v>45786.34568287037</v>
      </c>
      <c r="C69" s="1" t="n">
        <v>45900</v>
      </c>
      <c r="D69" t="inlineStr">
        <is>
          <t>DALARNAS LÄN</t>
        </is>
      </c>
      <c r="E69" t="inlineStr">
        <is>
          <t>ÄLVDALEN</t>
        </is>
      </c>
      <c r="F69" t="inlineStr">
        <is>
          <t>Sveaskog</t>
        </is>
      </c>
      <c r="G69" t="n">
        <v>3.7</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22291-2025 artfynd.xlsx", "A 22291-2025")</f>
        <v/>
      </c>
      <c r="T69">
        <f>HYPERLINK("https://klasma.github.io/Logging_2039/kartor/A 22291-2025 karta.png", "A 22291-2025")</f>
        <v/>
      </c>
      <c r="V69">
        <f>HYPERLINK("https://klasma.github.io/Logging_2039/klagomål/A 22291-2025 FSC-klagomål.docx", "A 22291-2025")</f>
        <v/>
      </c>
      <c r="W69">
        <f>HYPERLINK("https://klasma.github.io/Logging_2039/klagomålsmail/A 22291-2025 FSC-klagomål mail.docx", "A 22291-2025")</f>
        <v/>
      </c>
      <c r="X69">
        <f>HYPERLINK("https://klasma.github.io/Logging_2039/tillsyn/A 22291-2025 tillsynsbegäran.docx", "A 22291-2025")</f>
        <v/>
      </c>
      <c r="Y69">
        <f>HYPERLINK("https://klasma.github.io/Logging_2039/tillsynsmail/A 22291-2025 tillsynsbegäran mail.docx", "A 22291-2025")</f>
        <v/>
      </c>
    </row>
    <row r="70" ht="15" customHeight="1">
      <c r="A70" t="inlineStr">
        <is>
          <t>A 7024-2024</t>
        </is>
      </c>
      <c r="B70" s="1" t="n">
        <v>45343.57924768519</v>
      </c>
      <c r="C70" s="1" t="n">
        <v>45900</v>
      </c>
      <c r="D70" t="inlineStr">
        <is>
          <t>DALARNAS LÄN</t>
        </is>
      </c>
      <c r="E70" t="inlineStr">
        <is>
          <t>ÄLVDALEN</t>
        </is>
      </c>
      <c r="F70" t="inlineStr">
        <is>
          <t>Sveaskog</t>
        </is>
      </c>
      <c r="G70" t="n">
        <v>30.1</v>
      </c>
      <c r="H70" t="n">
        <v>0</v>
      </c>
      <c r="I70" t="n">
        <v>0</v>
      </c>
      <c r="J70" t="n">
        <v>2</v>
      </c>
      <c r="K70" t="n">
        <v>1</v>
      </c>
      <c r="L70" t="n">
        <v>0</v>
      </c>
      <c r="M70" t="n">
        <v>0</v>
      </c>
      <c r="N70" t="n">
        <v>0</v>
      </c>
      <c r="O70" t="n">
        <v>3</v>
      </c>
      <c r="P70" t="n">
        <v>1</v>
      </c>
      <c r="Q70" t="n">
        <v>3</v>
      </c>
      <c r="R70" s="2" t="inlineStr">
        <is>
          <t>Gräddporing
Nordtagging
Vaddporing</t>
        </is>
      </c>
      <c r="S70">
        <f>HYPERLINK("https://klasma.github.io/Logging_2039/artfynd/A 7024-2024 artfynd.xlsx", "A 7024-2024")</f>
        <v/>
      </c>
      <c r="T70">
        <f>HYPERLINK("https://klasma.github.io/Logging_2039/kartor/A 7024-2024 karta.png", "A 7024-2024")</f>
        <v/>
      </c>
      <c r="V70">
        <f>HYPERLINK("https://klasma.github.io/Logging_2039/klagomål/A 7024-2024 FSC-klagomål.docx", "A 7024-2024")</f>
        <v/>
      </c>
      <c r="W70">
        <f>HYPERLINK("https://klasma.github.io/Logging_2039/klagomålsmail/A 7024-2024 FSC-klagomål mail.docx", "A 7024-2024")</f>
        <v/>
      </c>
      <c r="X70">
        <f>HYPERLINK("https://klasma.github.io/Logging_2039/tillsyn/A 7024-2024 tillsynsbegäran.docx", "A 7024-2024")</f>
        <v/>
      </c>
      <c r="Y70">
        <f>HYPERLINK("https://klasma.github.io/Logging_2039/tillsynsmail/A 7024-2024 tillsynsbegäran mail.docx", "A 7024-2024")</f>
        <v/>
      </c>
    </row>
    <row r="71" ht="15" customHeight="1">
      <c r="A71" t="inlineStr">
        <is>
          <t>A 26751-2025</t>
        </is>
      </c>
      <c r="B71" s="1" t="n">
        <v>45810.55134259259</v>
      </c>
      <c r="C71" s="1" t="n">
        <v>45900</v>
      </c>
      <c r="D71" t="inlineStr">
        <is>
          <t>DALARNAS LÄN</t>
        </is>
      </c>
      <c r="E71" t="inlineStr">
        <is>
          <t>ÄLVDALEN</t>
        </is>
      </c>
      <c r="F71" t="inlineStr">
        <is>
          <t>Allmännings- och besparingsskogar</t>
        </is>
      </c>
      <c r="G71" t="n">
        <v>3.6</v>
      </c>
      <c r="H71" t="n">
        <v>1</v>
      </c>
      <c r="I71" t="n">
        <v>1</v>
      </c>
      <c r="J71" t="n">
        <v>2</v>
      </c>
      <c r="K71" t="n">
        <v>0</v>
      </c>
      <c r="L71" t="n">
        <v>0</v>
      </c>
      <c r="M71" t="n">
        <v>0</v>
      </c>
      <c r="N71" t="n">
        <v>0</v>
      </c>
      <c r="O71" t="n">
        <v>2</v>
      </c>
      <c r="P71" t="n">
        <v>0</v>
      </c>
      <c r="Q71" t="n">
        <v>3</v>
      </c>
      <c r="R71" s="2" t="inlineStr">
        <is>
          <t>Garnlav
Skrovellav
Spindelblomster</t>
        </is>
      </c>
      <c r="S71">
        <f>HYPERLINK("https://klasma.github.io/Logging_2039/artfynd/A 26751-2025 artfynd.xlsx", "A 26751-2025")</f>
        <v/>
      </c>
      <c r="T71">
        <f>HYPERLINK("https://klasma.github.io/Logging_2039/kartor/A 26751-2025 karta.png", "A 26751-2025")</f>
        <v/>
      </c>
      <c r="V71">
        <f>HYPERLINK("https://klasma.github.io/Logging_2039/klagomål/A 26751-2025 FSC-klagomål.docx", "A 26751-2025")</f>
        <v/>
      </c>
      <c r="W71">
        <f>HYPERLINK("https://klasma.github.io/Logging_2039/klagomålsmail/A 26751-2025 FSC-klagomål mail.docx", "A 26751-2025")</f>
        <v/>
      </c>
      <c r="X71">
        <f>HYPERLINK("https://klasma.github.io/Logging_2039/tillsyn/A 26751-2025 tillsynsbegäran.docx", "A 26751-2025")</f>
        <v/>
      </c>
      <c r="Y71">
        <f>HYPERLINK("https://klasma.github.io/Logging_2039/tillsynsmail/A 26751-2025 tillsynsbegäran mail.docx", "A 26751-2025")</f>
        <v/>
      </c>
    </row>
    <row r="72" ht="15" customHeight="1">
      <c r="A72" t="inlineStr">
        <is>
          <t>A 44128-2023</t>
        </is>
      </c>
      <c r="B72" s="1" t="n">
        <v>45188.45712962963</v>
      </c>
      <c r="C72" s="1" t="n">
        <v>45900</v>
      </c>
      <c r="D72" t="inlineStr">
        <is>
          <t>DALARNAS LÄN</t>
        </is>
      </c>
      <c r="E72" t="inlineStr">
        <is>
          <t>ÄLVDALEN</t>
        </is>
      </c>
      <c r="F72" t="inlineStr">
        <is>
          <t>Sveaskog</t>
        </is>
      </c>
      <c r="G72" t="n">
        <v>1.8</v>
      </c>
      <c r="H72" t="n">
        <v>0</v>
      </c>
      <c r="I72" t="n">
        <v>1</v>
      </c>
      <c r="J72" t="n">
        <v>2</v>
      </c>
      <c r="K72" t="n">
        <v>0</v>
      </c>
      <c r="L72" t="n">
        <v>0</v>
      </c>
      <c r="M72" t="n">
        <v>0</v>
      </c>
      <c r="N72" t="n">
        <v>0</v>
      </c>
      <c r="O72" t="n">
        <v>2</v>
      </c>
      <c r="P72" t="n">
        <v>0</v>
      </c>
      <c r="Q72" t="n">
        <v>3</v>
      </c>
      <c r="R72" s="2" t="inlineStr">
        <is>
          <t>Blanksvart spiklav
Talltaggsvamp
Skarp dropptaggsvamp</t>
        </is>
      </c>
      <c r="S72">
        <f>HYPERLINK("https://klasma.github.io/Logging_2039/artfynd/A 44128-2023 artfynd.xlsx", "A 44128-2023")</f>
        <v/>
      </c>
      <c r="T72">
        <f>HYPERLINK("https://klasma.github.io/Logging_2039/kartor/A 44128-2023 karta.png", "A 44128-2023")</f>
        <v/>
      </c>
      <c r="V72">
        <f>HYPERLINK("https://klasma.github.io/Logging_2039/klagomål/A 44128-2023 FSC-klagomål.docx", "A 44128-2023")</f>
        <v/>
      </c>
      <c r="W72">
        <f>HYPERLINK("https://klasma.github.io/Logging_2039/klagomålsmail/A 44128-2023 FSC-klagomål mail.docx", "A 44128-2023")</f>
        <v/>
      </c>
      <c r="X72">
        <f>HYPERLINK("https://klasma.github.io/Logging_2039/tillsyn/A 44128-2023 tillsynsbegäran.docx", "A 44128-2023")</f>
        <v/>
      </c>
      <c r="Y72">
        <f>HYPERLINK("https://klasma.github.io/Logging_2039/tillsynsmail/A 44128-2023 tillsynsbegäran mail.docx", "A 44128-2023")</f>
        <v/>
      </c>
    </row>
    <row r="73" ht="15" customHeight="1">
      <c r="A73" t="inlineStr">
        <is>
          <t>A 27933-2025</t>
        </is>
      </c>
      <c r="B73" s="1" t="n">
        <v>45817.49630787037</v>
      </c>
      <c r="C73" s="1" t="n">
        <v>45900</v>
      </c>
      <c r="D73" t="inlineStr">
        <is>
          <t>DALARNAS LÄN</t>
        </is>
      </c>
      <c r="E73" t="inlineStr">
        <is>
          <t>ÄLVDALEN</t>
        </is>
      </c>
      <c r="F73" t="inlineStr">
        <is>
          <t>Sveaskog</t>
        </is>
      </c>
      <c r="G73" t="n">
        <v>2.5</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27933-2025 artfynd.xlsx", "A 27933-2025")</f>
        <v/>
      </c>
      <c r="T73">
        <f>HYPERLINK("https://klasma.github.io/Logging_2039/kartor/A 27933-2025 karta.png", "A 27933-2025")</f>
        <v/>
      </c>
      <c r="V73">
        <f>HYPERLINK("https://klasma.github.io/Logging_2039/klagomål/A 27933-2025 FSC-klagomål.docx", "A 27933-2025")</f>
        <v/>
      </c>
      <c r="W73">
        <f>HYPERLINK("https://klasma.github.io/Logging_2039/klagomålsmail/A 27933-2025 FSC-klagomål mail.docx", "A 27933-2025")</f>
        <v/>
      </c>
      <c r="X73">
        <f>HYPERLINK("https://klasma.github.io/Logging_2039/tillsyn/A 27933-2025 tillsynsbegäran.docx", "A 27933-2025")</f>
        <v/>
      </c>
      <c r="Y73">
        <f>HYPERLINK("https://klasma.github.io/Logging_2039/tillsynsmail/A 27933-2025 tillsynsbegäran mail.docx", "A 27933-2025")</f>
        <v/>
      </c>
    </row>
    <row r="74" ht="15" customHeight="1">
      <c r="A74" t="inlineStr">
        <is>
          <t>A 51732-2021</t>
        </is>
      </c>
      <c r="B74" s="1" t="n">
        <v>44461</v>
      </c>
      <c r="C74" s="1" t="n">
        <v>45900</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41909-2022</t>
        </is>
      </c>
      <c r="B75" s="1" t="n">
        <v>44830</v>
      </c>
      <c r="C75" s="1" t="n">
        <v>45900</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33645-2025</t>
        </is>
      </c>
      <c r="B76" s="1" t="n">
        <v>45841.65282407407</v>
      </c>
      <c r="C76" s="1" t="n">
        <v>45900</v>
      </c>
      <c r="D76" t="inlineStr">
        <is>
          <t>DALARNAS LÄN</t>
        </is>
      </c>
      <c r="E76" t="inlineStr">
        <is>
          <t>ÄLVDALEN</t>
        </is>
      </c>
      <c r="F76" t="inlineStr">
        <is>
          <t>Sveaskog</t>
        </is>
      </c>
      <c r="G76" t="n">
        <v>1.6</v>
      </c>
      <c r="H76" t="n">
        <v>0</v>
      </c>
      <c r="I76" t="n">
        <v>0</v>
      </c>
      <c r="J76" t="n">
        <v>3</v>
      </c>
      <c r="K76" t="n">
        <v>0</v>
      </c>
      <c r="L76" t="n">
        <v>0</v>
      </c>
      <c r="M76" t="n">
        <v>0</v>
      </c>
      <c r="N76" t="n">
        <v>0</v>
      </c>
      <c r="O76" t="n">
        <v>3</v>
      </c>
      <c r="P76" t="n">
        <v>0</v>
      </c>
      <c r="Q76" t="n">
        <v>3</v>
      </c>
      <c r="R76" s="2" t="inlineStr">
        <is>
          <t>Dvärgbägarlav
Kolflarnlav
Vedflamlav</t>
        </is>
      </c>
      <c r="S76">
        <f>HYPERLINK("https://klasma.github.io/Logging_2039/artfynd/A 33645-2025 artfynd.xlsx", "A 33645-2025")</f>
        <v/>
      </c>
      <c r="T76">
        <f>HYPERLINK("https://klasma.github.io/Logging_2039/kartor/A 33645-2025 karta.png", "A 33645-2025")</f>
        <v/>
      </c>
      <c r="V76">
        <f>HYPERLINK("https://klasma.github.io/Logging_2039/klagomål/A 33645-2025 FSC-klagomål.docx", "A 33645-2025")</f>
        <v/>
      </c>
      <c r="W76">
        <f>HYPERLINK("https://klasma.github.io/Logging_2039/klagomålsmail/A 33645-2025 FSC-klagomål mail.docx", "A 33645-2025")</f>
        <v/>
      </c>
      <c r="X76">
        <f>HYPERLINK("https://klasma.github.io/Logging_2039/tillsyn/A 33645-2025 tillsynsbegäran.docx", "A 33645-2025")</f>
        <v/>
      </c>
      <c r="Y76">
        <f>HYPERLINK("https://klasma.github.io/Logging_2039/tillsynsmail/A 33645-2025 tillsynsbegäran mail.docx", "A 33645-2025")</f>
        <v/>
      </c>
    </row>
    <row r="77" ht="15" customHeight="1">
      <c r="A77" t="inlineStr">
        <is>
          <t>A 43740-2024</t>
        </is>
      </c>
      <c r="B77" s="1" t="n">
        <v>45569.65748842592</v>
      </c>
      <c r="C77" s="1" t="n">
        <v>45900</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31057-2024</t>
        </is>
      </c>
      <c r="B78" s="1" t="n">
        <v>45502.37813657407</v>
      </c>
      <c r="C78" s="1" t="n">
        <v>45900</v>
      </c>
      <c r="D78" t="inlineStr">
        <is>
          <t>DALARNAS LÄN</t>
        </is>
      </c>
      <c r="E78" t="inlineStr">
        <is>
          <t>ÄLVDALEN</t>
        </is>
      </c>
      <c r="F78" t="inlineStr">
        <is>
          <t>Sveaskog</t>
        </is>
      </c>
      <c r="G78" t="n">
        <v>2.4</v>
      </c>
      <c r="H78" t="n">
        <v>0</v>
      </c>
      <c r="I78" t="n">
        <v>1</v>
      </c>
      <c r="J78" t="n">
        <v>2</v>
      </c>
      <c r="K78" t="n">
        <v>0</v>
      </c>
      <c r="L78" t="n">
        <v>0</v>
      </c>
      <c r="M78" t="n">
        <v>0</v>
      </c>
      <c r="N78" t="n">
        <v>0</v>
      </c>
      <c r="O78" t="n">
        <v>2</v>
      </c>
      <c r="P78" t="n">
        <v>0</v>
      </c>
      <c r="Q78" t="n">
        <v>3</v>
      </c>
      <c r="R78" s="2" t="inlineStr">
        <is>
          <t>Blå taggsvamp
Kolflarnlav
Skarp dropptaggsvamp</t>
        </is>
      </c>
      <c r="S78">
        <f>HYPERLINK("https://klasma.github.io/Logging_2039/artfynd/A 31057-2024 artfynd.xlsx", "A 31057-2024")</f>
        <v/>
      </c>
      <c r="T78">
        <f>HYPERLINK("https://klasma.github.io/Logging_2039/kartor/A 31057-2024 karta.png", "A 31057-2024")</f>
        <v/>
      </c>
      <c r="V78">
        <f>HYPERLINK("https://klasma.github.io/Logging_2039/klagomål/A 31057-2024 FSC-klagomål.docx", "A 31057-2024")</f>
        <v/>
      </c>
      <c r="W78">
        <f>HYPERLINK("https://klasma.github.io/Logging_2039/klagomålsmail/A 31057-2024 FSC-klagomål mail.docx", "A 31057-2024")</f>
        <v/>
      </c>
      <c r="X78">
        <f>HYPERLINK("https://klasma.github.io/Logging_2039/tillsyn/A 31057-2024 tillsynsbegäran.docx", "A 31057-2024")</f>
        <v/>
      </c>
      <c r="Y78">
        <f>HYPERLINK("https://klasma.github.io/Logging_2039/tillsynsmail/A 31057-2024 tillsynsbegäran mail.docx", "A 31057-2024")</f>
        <v/>
      </c>
    </row>
    <row r="79" ht="15" customHeight="1">
      <c r="A79" t="inlineStr">
        <is>
          <t>A 32403-2023</t>
        </is>
      </c>
      <c r="B79" s="1" t="n">
        <v>45120</v>
      </c>
      <c r="C79" s="1" t="n">
        <v>45900</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18839-2024</t>
        </is>
      </c>
      <c r="B80" s="1" t="n">
        <v>45426</v>
      </c>
      <c r="C80" s="1" t="n">
        <v>45900</v>
      </c>
      <c r="D80" t="inlineStr">
        <is>
          <t>DALARNAS LÄN</t>
        </is>
      </c>
      <c r="E80" t="inlineStr">
        <is>
          <t>ÄLVDALEN</t>
        </is>
      </c>
      <c r="F80" t="inlineStr">
        <is>
          <t>Sveaskog</t>
        </is>
      </c>
      <c r="G80" t="n">
        <v>1.3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18839-2024 artfynd.xlsx", "A 18839-2024")</f>
        <v/>
      </c>
      <c r="T80">
        <f>HYPERLINK("https://klasma.github.io/Logging_2039/kartor/A 18839-2024 karta.png", "A 18839-2024")</f>
        <v/>
      </c>
      <c r="V80">
        <f>HYPERLINK("https://klasma.github.io/Logging_2039/klagomål/A 18839-2024 FSC-klagomål.docx", "A 18839-2024")</f>
        <v/>
      </c>
      <c r="W80">
        <f>HYPERLINK("https://klasma.github.io/Logging_2039/klagomålsmail/A 18839-2024 FSC-klagomål mail.docx", "A 18839-2024")</f>
        <v/>
      </c>
      <c r="X80">
        <f>HYPERLINK("https://klasma.github.io/Logging_2039/tillsyn/A 18839-2024 tillsynsbegäran.docx", "A 18839-2024")</f>
        <v/>
      </c>
      <c r="Y80">
        <f>HYPERLINK("https://klasma.github.io/Logging_2039/tillsynsmail/A 18839-2024 tillsynsbegäran mail.docx", "A 18839-2024")</f>
        <v/>
      </c>
    </row>
    <row r="81" ht="15" customHeight="1">
      <c r="A81" t="inlineStr">
        <is>
          <t>A 67709-2021</t>
        </is>
      </c>
      <c r="B81" s="1" t="n">
        <v>44525</v>
      </c>
      <c r="C81" s="1" t="n">
        <v>45900</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45900</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45900</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30615-2021</t>
        </is>
      </c>
      <c r="B84" s="1" t="n">
        <v>44365</v>
      </c>
      <c r="C84" s="1" t="n">
        <v>45900</v>
      </c>
      <c r="D84" t="inlineStr">
        <is>
          <t>DALARNAS LÄN</t>
        </is>
      </c>
      <c r="E84" t="inlineStr">
        <is>
          <t>ÄLVDALEN</t>
        </is>
      </c>
      <c r="F84" t="inlineStr">
        <is>
          <t>Sveaskog</t>
        </is>
      </c>
      <c r="G84" t="n">
        <v>22.8</v>
      </c>
      <c r="H84" t="n">
        <v>0</v>
      </c>
      <c r="I84" t="n">
        <v>1</v>
      </c>
      <c r="J84" t="n">
        <v>0</v>
      </c>
      <c r="K84" t="n">
        <v>1</v>
      </c>
      <c r="L84" t="n">
        <v>0</v>
      </c>
      <c r="M84" t="n">
        <v>0</v>
      </c>
      <c r="N84" t="n">
        <v>0</v>
      </c>
      <c r="O84" t="n">
        <v>1</v>
      </c>
      <c r="P84" t="n">
        <v>1</v>
      </c>
      <c r="Q84" t="n">
        <v>2</v>
      </c>
      <c r="R84" s="2" t="inlineStr">
        <is>
          <t>Smalfotad taggsvamp
Dropptaggsvamp</t>
        </is>
      </c>
      <c r="S84">
        <f>HYPERLINK("https://klasma.github.io/Logging_2039/artfynd/A 30615-2021 artfynd.xlsx", "A 30615-2021")</f>
        <v/>
      </c>
      <c r="T84">
        <f>HYPERLINK("https://klasma.github.io/Logging_2039/kartor/A 30615-2021 karta.png", "A 30615-2021")</f>
        <v/>
      </c>
      <c r="V84">
        <f>HYPERLINK("https://klasma.github.io/Logging_2039/klagomål/A 30615-2021 FSC-klagomål.docx", "A 30615-2021")</f>
        <v/>
      </c>
      <c r="W84">
        <f>HYPERLINK("https://klasma.github.io/Logging_2039/klagomålsmail/A 30615-2021 FSC-klagomål mail.docx", "A 30615-2021")</f>
        <v/>
      </c>
      <c r="X84">
        <f>HYPERLINK("https://klasma.github.io/Logging_2039/tillsyn/A 30615-2021 tillsynsbegäran.docx", "A 30615-2021")</f>
        <v/>
      </c>
      <c r="Y84">
        <f>HYPERLINK("https://klasma.github.io/Logging_2039/tillsynsmail/A 30615-2021 tillsynsbegäran mail.docx", "A 30615-2021")</f>
        <v/>
      </c>
    </row>
    <row r="85" ht="15" customHeight="1">
      <c r="A85" t="inlineStr">
        <is>
          <t>A 16638-2021</t>
        </is>
      </c>
      <c r="B85" s="1" t="n">
        <v>44284</v>
      </c>
      <c r="C85" s="1" t="n">
        <v>45900</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32206-2024</t>
        </is>
      </c>
      <c r="B86" s="1" t="n">
        <v>45511.67366898148</v>
      </c>
      <c r="C86" s="1" t="n">
        <v>45900</v>
      </c>
      <c r="D86" t="inlineStr">
        <is>
          <t>DALARNAS LÄN</t>
        </is>
      </c>
      <c r="E86" t="inlineStr">
        <is>
          <t>ÄLVDALEN</t>
        </is>
      </c>
      <c r="F86" t="inlineStr">
        <is>
          <t>Sveaskog</t>
        </is>
      </c>
      <c r="G86" t="n">
        <v>8.1</v>
      </c>
      <c r="H86" t="n">
        <v>0</v>
      </c>
      <c r="I86" t="n">
        <v>0</v>
      </c>
      <c r="J86" t="n">
        <v>2</v>
      </c>
      <c r="K86" t="n">
        <v>0</v>
      </c>
      <c r="L86" t="n">
        <v>0</v>
      </c>
      <c r="M86" t="n">
        <v>0</v>
      </c>
      <c r="N86" t="n">
        <v>0</v>
      </c>
      <c r="O86" t="n">
        <v>2</v>
      </c>
      <c r="P86" t="n">
        <v>0</v>
      </c>
      <c r="Q86" t="n">
        <v>2</v>
      </c>
      <c r="R86" s="2" t="inlineStr">
        <is>
          <t>Blanksvart spiklav
Dvärgbägarlav</t>
        </is>
      </c>
      <c r="S86">
        <f>HYPERLINK("https://klasma.github.io/Logging_2039/artfynd/A 32206-2024 artfynd.xlsx", "A 32206-2024")</f>
        <v/>
      </c>
      <c r="T86">
        <f>HYPERLINK("https://klasma.github.io/Logging_2039/kartor/A 32206-2024 karta.png", "A 32206-2024")</f>
        <v/>
      </c>
      <c r="V86">
        <f>HYPERLINK("https://klasma.github.io/Logging_2039/klagomål/A 32206-2024 FSC-klagomål.docx", "A 32206-2024")</f>
        <v/>
      </c>
      <c r="W86">
        <f>HYPERLINK("https://klasma.github.io/Logging_2039/klagomålsmail/A 32206-2024 FSC-klagomål mail.docx", "A 32206-2024")</f>
        <v/>
      </c>
      <c r="X86">
        <f>HYPERLINK("https://klasma.github.io/Logging_2039/tillsyn/A 32206-2024 tillsynsbegäran.docx", "A 32206-2024")</f>
        <v/>
      </c>
      <c r="Y86">
        <f>HYPERLINK("https://klasma.github.io/Logging_2039/tillsynsmail/A 32206-2024 tillsynsbegäran mail.docx", "A 32206-2024")</f>
        <v/>
      </c>
    </row>
    <row r="87" ht="15" customHeight="1">
      <c r="A87" t="inlineStr">
        <is>
          <t>A 52490-2022</t>
        </is>
      </c>
      <c r="B87" s="1" t="n">
        <v>44874</v>
      </c>
      <c r="C87" s="1" t="n">
        <v>45900</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21629-2022</t>
        </is>
      </c>
      <c r="B88" s="1" t="n">
        <v>44706</v>
      </c>
      <c r="C88" s="1" t="n">
        <v>45900</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27937-2025</t>
        </is>
      </c>
      <c r="B89" s="1" t="n">
        <v>45817.50025462963</v>
      </c>
      <c r="C89" s="1" t="n">
        <v>45900</v>
      </c>
      <c r="D89" t="inlineStr">
        <is>
          <t>DALARNAS LÄN</t>
        </is>
      </c>
      <c r="E89" t="inlineStr">
        <is>
          <t>ÄLVDALEN</t>
        </is>
      </c>
      <c r="F89" t="inlineStr">
        <is>
          <t>Sveaskog</t>
        </is>
      </c>
      <c r="G89" t="n">
        <v>0.9</v>
      </c>
      <c r="H89" t="n">
        <v>0</v>
      </c>
      <c r="I89" t="n">
        <v>1</v>
      </c>
      <c r="J89" t="n">
        <v>1</v>
      </c>
      <c r="K89" t="n">
        <v>0</v>
      </c>
      <c r="L89" t="n">
        <v>0</v>
      </c>
      <c r="M89" t="n">
        <v>0</v>
      </c>
      <c r="N89" t="n">
        <v>0</v>
      </c>
      <c r="O89" t="n">
        <v>1</v>
      </c>
      <c r="P89" t="n">
        <v>0</v>
      </c>
      <c r="Q89" t="n">
        <v>2</v>
      </c>
      <c r="R89" s="2" t="inlineStr">
        <is>
          <t>Kolflarnlav
Dropptaggsvamp</t>
        </is>
      </c>
      <c r="S89">
        <f>HYPERLINK("https://klasma.github.io/Logging_2039/artfynd/A 27937-2025 artfynd.xlsx", "A 27937-2025")</f>
        <v/>
      </c>
      <c r="T89">
        <f>HYPERLINK("https://klasma.github.io/Logging_2039/kartor/A 27937-2025 karta.png", "A 27937-2025")</f>
        <v/>
      </c>
      <c r="V89">
        <f>HYPERLINK("https://klasma.github.io/Logging_2039/klagomål/A 27937-2025 FSC-klagomål.docx", "A 27937-2025")</f>
        <v/>
      </c>
      <c r="W89">
        <f>HYPERLINK("https://klasma.github.io/Logging_2039/klagomålsmail/A 27937-2025 FSC-klagomål mail.docx", "A 27937-2025")</f>
        <v/>
      </c>
      <c r="X89">
        <f>HYPERLINK("https://klasma.github.io/Logging_2039/tillsyn/A 27937-2025 tillsynsbegäran.docx", "A 27937-2025")</f>
        <v/>
      </c>
      <c r="Y89">
        <f>HYPERLINK("https://klasma.github.io/Logging_2039/tillsynsmail/A 27937-2025 tillsynsbegäran mail.docx", "A 27937-2025")</f>
        <v/>
      </c>
    </row>
    <row r="90" ht="15" customHeight="1">
      <c r="A90" t="inlineStr">
        <is>
          <t>A 31264-2025</t>
        </is>
      </c>
      <c r="B90" s="1" t="n">
        <v>45833.3283912037</v>
      </c>
      <c r="C90" s="1" t="n">
        <v>45900</v>
      </c>
      <c r="D90" t="inlineStr">
        <is>
          <t>DALARNAS LÄN</t>
        </is>
      </c>
      <c r="E90" t="inlineStr">
        <is>
          <t>ÄLVDALEN</t>
        </is>
      </c>
      <c r="F90" t="inlineStr">
        <is>
          <t>Sveaskog</t>
        </is>
      </c>
      <c r="G90" t="n">
        <v>1.3</v>
      </c>
      <c r="H90" t="n">
        <v>2</v>
      </c>
      <c r="I90" t="n">
        <v>0</v>
      </c>
      <c r="J90" t="n">
        <v>1</v>
      </c>
      <c r="K90" t="n">
        <v>0</v>
      </c>
      <c r="L90" t="n">
        <v>1</v>
      </c>
      <c r="M90" t="n">
        <v>0</v>
      </c>
      <c r="N90" t="n">
        <v>0</v>
      </c>
      <c r="O90" t="n">
        <v>2</v>
      </c>
      <c r="P90" t="n">
        <v>1</v>
      </c>
      <c r="Q90" t="n">
        <v>2</v>
      </c>
      <c r="R90" s="2" t="inlineStr">
        <is>
          <t>Mosippa
Drillsnäppa</t>
        </is>
      </c>
      <c r="S90">
        <f>HYPERLINK("https://klasma.github.io/Logging_2039/artfynd/A 31264-2025 artfynd.xlsx", "A 31264-2025")</f>
        <v/>
      </c>
      <c r="T90">
        <f>HYPERLINK("https://klasma.github.io/Logging_2039/kartor/A 31264-2025 karta.png", "A 31264-2025")</f>
        <v/>
      </c>
      <c r="V90">
        <f>HYPERLINK("https://klasma.github.io/Logging_2039/klagomål/A 31264-2025 FSC-klagomål.docx", "A 31264-2025")</f>
        <v/>
      </c>
      <c r="W90">
        <f>HYPERLINK("https://klasma.github.io/Logging_2039/klagomålsmail/A 31264-2025 FSC-klagomål mail.docx", "A 31264-2025")</f>
        <v/>
      </c>
      <c r="X90">
        <f>HYPERLINK("https://klasma.github.io/Logging_2039/tillsyn/A 31264-2025 tillsynsbegäran.docx", "A 31264-2025")</f>
        <v/>
      </c>
      <c r="Y90">
        <f>HYPERLINK("https://klasma.github.io/Logging_2039/tillsynsmail/A 31264-2025 tillsynsbegäran mail.docx", "A 31264-2025")</f>
        <v/>
      </c>
    </row>
    <row r="91" ht="15" customHeight="1">
      <c r="A91" t="inlineStr">
        <is>
          <t>A 59429-2024</t>
        </is>
      </c>
      <c r="B91" s="1" t="n">
        <v>45638.42091435185</v>
      </c>
      <c r="C91" s="1" t="n">
        <v>45900</v>
      </c>
      <c r="D91" t="inlineStr">
        <is>
          <t>DALARNAS LÄN</t>
        </is>
      </c>
      <c r="E91" t="inlineStr">
        <is>
          <t>ÄLVDALEN</t>
        </is>
      </c>
      <c r="F91" t="inlineStr">
        <is>
          <t>Allmännings- och besparingsskogar</t>
        </is>
      </c>
      <c r="G91" t="n">
        <v>4.9</v>
      </c>
      <c r="H91" t="n">
        <v>0</v>
      </c>
      <c r="I91" t="n">
        <v>0</v>
      </c>
      <c r="J91" t="n">
        <v>2</v>
      </c>
      <c r="K91" t="n">
        <v>0</v>
      </c>
      <c r="L91" t="n">
        <v>0</v>
      </c>
      <c r="M91" t="n">
        <v>0</v>
      </c>
      <c r="N91" t="n">
        <v>0</v>
      </c>
      <c r="O91" t="n">
        <v>2</v>
      </c>
      <c r="P91" t="n">
        <v>0</v>
      </c>
      <c r="Q91" t="n">
        <v>2</v>
      </c>
      <c r="R91" s="2" t="inlineStr">
        <is>
          <t>Garnlav
Skrovellav</t>
        </is>
      </c>
      <c r="S91">
        <f>HYPERLINK("https://klasma.github.io/Logging_2039/artfynd/A 59429-2024 artfynd.xlsx", "A 59429-2024")</f>
        <v/>
      </c>
      <c r="T91">
        <f>HYPERLINK("https://klasma.github.io/Logging_2039/kartor/A 59429-2024 karta.png", "A 59429-2024")</f>
        <v/>
      </c>
      <c r="V91">
        <f>HYPERLINK("https://klasma.github.io/Logging_2039/klagomål/A 59429-2024 FSC-klagomål.docx", "A 59429-2024")</f>
        <v/>
      </c>
      <c r="W91">
        <f>HYPERLINK("https://klasma.github.io/Logging_2039/klagomålsmail/A 59429-2024 FSC-klagomål mail.docx", "A 59429-2024")</f>
        <v/>
      </c>
      <c r="X91">
        <f>HYPERLINK("https://klasma.github.io/Logging_2039/tillsyn/A 59429-2024 tillsynsbegäran.docx", "A 59429-2024")</f>
        <v/>
      </c>
      <c r="Y91">
        <f>HYPERLINK("https://klasma.github.io/Logging_2039/tillsynsmail/A 59429-2024 tillsynsbegäran mail.docx", "A 59429-2024")</f>
        <v/>
      </c>
    </row>
    <row r="92" ht="15" customHeight="1">
      <c r="A92" t="inlineStr">
        <is>
          <t>A 54632-2021</t>
        </is>
      </c>
      <c r="B92" s="1" t="n">
        <v>44473</v>
      </c>
      <c r="C92" s="1" t="n">
        <v>45900</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27967-2023</t>
        </is>
      </c>
      <c r="B93" s="1" t="n">
        <v>45098.70354166667</v>
      </c>
      <c r="C93" s="1" t="n">
        <v>45900</v>
      </c>
      <c r="D93" t="inlineStr">
        <is>
          <t>DALARNAS LÄN</t>
        </is>
      </c>
      <c r="E93" t="inlineStr">
        <is>
          <t>ÄLVDALEN</t>
        </is>
      </c>
      <c r="F93" t="inlineStr">
        <is>
          <t>Sveaskog</t>
        </is>
      </c>
      <c r="G93" t="n">
        <v>1.9</v>
      </c>
      <c r="H93" t="n">
        <v>0</v>
      </c>
      <c r="I93" t="n">
        <v>0</v>
      </c>
      <c r="J93" t="n">
        <v>2</v>
      </c>
      <c r="K93" t="n">
        <v>0</v>
      </c>
      <c r="L93" t="n">
        <v>0</v>
      </c>
      <c r="M93" t="n">
        <v>0</v>
      </c>
      <c r="N93" t="n">
        <v>0</v>
      </c>
      <c r="O93" t="n">
        <v>2</v>
      </c>
      <c r="P93" t="n">
        <v>0</v>
      </c>
      <c r="Q93" t="n">
        <v>2</v>
      </c>
      <c r="R93" s="2" t="inlineStr">
        <is>
          <t>Kolflarnlav
Mörk kolflarnlav</t>
        </is>
      </c>
      <c r="S93">
        <f>HYPERLINK("https://klasma.github.io/Logging_2039/artfynd/A 27967-2023 artfynd.xlsx", "A 27967-2023")</f>
        <v/>
      </c>
      <c r="T93">
        <f>HYPERLINK("https://klasma.github.io/Logging_2039/kartor/A 27967-2023 karta.png", "A 27967-2023")</f>
        <v/>
      </c>
      <c r="V93">
        <f>HYPERLINK("https://klasma.github.io/Logging_2039/klagomål/A 27967-2023 FSC-klagomål.docx", "A 27967-2023")</f>
        <v/>
      </c>
      <c r="W93">
        <f>HYPERLINK("https://klasma.github.io/Logging_2039/klagomålsmail/A 27967-2023 FSC-klagomål mail.docx", "A 27967-2023")</f>
        <v/>
      </c>
      <c r="X93">
        <f>HYPERLINK("https://klasma.github.io/Logging_2039/tillsyn/A 27967-2023 tillsynsbegäran.docx", "A 27967-2023")</f>
        <v/>
      </c>
      <c r="Y93">
        <f>HYPERLINK("https://klasma.github.io/Logging_2039/tillsynsmail/A 27967-2023 tillsynsbegäran mail.docx", "A 27967-2023")</f>
        <v/>
      </c>
    </row>
    <row r="94" ht="15" customHeight="1">
      <c r="A94" t="inlineStr">
        <is>
          <t>A 40231-2021</t>
        </is>
      </c>
      <c r="B94" s="1" t="n">
        <v>44419.31553240741</v>
      </c>
      <c r="C94" s="1" t="n">
        <v>45900</v>
      </c>
      <c r="D94" t="inlineStr">
        <is>
          <t>DALARNAS LÄN</t>
        </is>
      </c>
      <c r="E94" t="inlineStr">
        <is>
          <t>ÄLVDALEN</t>
        </is>
      </c>
      <c r="F94" t="inlineStr">
        <is>
          <t>Sveaskog</t>
        </is>
      </c>
      <c r="G94" t="n">
        <v>4.1</v>
      </c>
      <c r="H94" t="n">
        <v>0</v>
      </c>
      <c r="I94" t="n">
        <v>1</v>
      </c>
      <c r="J94" t="n">
        <v>1</v>
      </c>
      <c r="K94" t="n">
        <v>0</v>
      </c>
      <c r="L94" t="n">
        <v>0</v>
      </c>
      <c r="M94" t="n">
        <v>0</v>
      </c>
      <c r="N94" t="n">
        <v>0</v>
      </c>
      <c r="O94" t="n">
        <v>1</v>
      </c>
      <c r="P94" t="n">
        <v>0</v>
      </c>
      <c r="Q94" t="n">
        <v>2</v>
      </c>
      <c r="R94" s="2" t="inlineStr">
        <is>
          <t>Garnlav
Dropptaggsvamp</t>
        </is>
      </c>
      <c r="S94">
        <f>HYPERLINK("https://klasma.github.io/Logging_2039/artfynd/A 40231-2021 artfynd.xlsx", "A 40231-2021")</f>
        <v/>
      </c>
      <c r="T94">
        <f>HYPERLINK("https://klasma.github.io/Logging_2039/kartor/A 40231-2021 karta.png", "A 40231-2021")</f>
        <v/>
      </c>
      <c r="V94">
        <f>HYPERLINK("https://klasma.github.io/Logging_2039/klagomål/A 40231-2021 FSC-klagomål.docx", "A 40231-2021")</f>
        <v/>
      </c>
      <c r="W94">
        <f>HYPERLINK("https://klasma.github.io/Logging_2039/klagomålsmail/A 40231-2021 FSC-klagomål mail.docx", "A 40231-2021")</f>
        <v/>
      </c>
      <c r="X94">
        <f>HYPERLINK("https://klasma.github.io/Logging_2039/tillsyn/A 40231-2021 tillsynsbegäran.docx", "A 40231-2021")</f>
        <v/>
      </c>
      <c r="Y94">
        <f>HYPERLINK("https://klasma.github.io/Logging_2039/tillsynsmail/A 40231-2021 tillsynsbegäran mail.docx", "A 40231-2021")</f>
        <v/>
      </c>
    </row>
    <row r="95" ht="15" customHeight="1">
      <c r="A95" t="inlineStr">
        <is>
          <t>A 42848-2023</t>
        </is>
      </c>
      <c r="B95" s="1" t="n">
        <v>45182</v>
      </c>
      <c r="C95" s="1" t="n">
        <v>45900</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45900</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45900</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45900</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45900</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45900</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45900</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45900</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45900</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45900</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45900</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45900</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45900</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45900</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14277-2024</t>
        </is>
      </c>
      <c r="B109" s="1" t="n">
        <v>45393.60042824074</v>
      </c>
      <c r="C109" s="1" t="n">
        <v>45900</v>
      </c>
      <c r="D109" t="inlineStr">
        <is>
          <t>DALARNAS LÄN</t>
        </is>
      </c>
      <c r="E109" t="inlineStr">
        <is>
          <t>ÄLVDALEN</t>
        </is>
      </c>
      <c r="F109" t="inlineStr">
        <is>
          <t>Allmännings- och besparingsskogar</t>
        </is>
      </c>
      <c r="G109" t="n">
        <v>2.8</v>
      </c>
      <c r="H109" t="n">
        <v>1</v>
      </c>
      <c r="I109" t="n">
        <v>0</v>
      </c>
      <c r="J109" t="n">
        <v>1</v>
      </c>
      <c r="K109" t="n">
        <v>0</v>
      </c>
      <c r="L109" t="n">
        <v>0</v>
      </c>
      <c r="M109" t="n">
        <v>0</v>
      </c>
      <c r="N109" t="n">
        <v>0</v>
      </c>
      <c r="O109" t="n">
        <v>1</v>
      </c>
      <c r="P109" t="n">
        <v>0</v>
      </c>
      <c r="Q109" t="n">
        <v>1</v>
      </c>
      <c r="R109" s="2" t="inlineStr">
        <is>
          <t>Talltita</t>
        </is>
      </c>
      <c r="S109">
        <f>HYPERLINK("https://klasma.github.io/Logging_2039/artfynd/A 14277-2024 artfynd.xlsx", "A 14277-2024")</f>
        <v/>
      </c>
      <c r="T109">
        <f>HYPERLINK("https://klasma.github.io/Logging_2039/kartor/A 14277-2024 karta.png", "A 14277-2024")</f>
        <v/>
      </c>
      <c r="V109">
        <f>HYPERLINK("https://klasma.github.io/Logging_2039/klagomål/A 14277-2024 FSC-klagomål.docx", "A 14277-2024")</f>
        <v/>
      </c>
      <c r="W109">
        <f>HYPERLINK("https://klasma.github.io/Logging_2039/klagomålsmail/A 14277-2024 FSC-klagomål mail.docx", "A 14277-2024")</f>
        <v/>
      </c>
      <c r="X109">
        <f>HYPERLINK("https://klasma.github.io/Logging_2039/tillsyn/A 14277-2024 tillsynsbegäran.docx", "A 14277-2024")</f>
        <v/>
      </c>
      <c r="Y109">
        <f>HYPERLINK("https://klasma.github.io/Logging_2039/tillsynsmail/A 14277-2024 tillsynsbegäran mail.docx", "A 14277-2024")</f>
        <v/>
      </c>
      <c r="Z109">
        <f>HYPERLINK("https://klasma.github.io/Logging_2039/fåglar/A 14277-2024 prioriterade fågelarter.docx", "A 14277-2024")</f>
        <v/>
      </c>
    </row>
    <row r="110" ht="15" customHeight="1">
      <c r="A110" t="inlineStr">
        <is>
          <t>A 22286-2025</t>
        </is>
      </c>
      <c r="B110" s="1" t="n">
        <v>45786.34402777778</v>
      </c>
      <c r="C110" s="1" t="n">
        <v>45900</v>
      </c>
      <c r="D110" t="inlineStr">
        <is>
          <t>DALARNAS LÄN</t>
        </is>
      </c>
      <c r="E110" t="inlineStr">
        <is>
          <t>ÄLVDALEN</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HYPERLINK("https://klasma.github.io/Logging_2039/artfynd/A 22286-2025 artfynd.xlsx", "A 22286-2025")</f>
        <v/>
      </c>
      <c r="T110">
        <f>HYPERLINK("https://klasma.github.io/Logging_2039/kartor/A 22286-2025 karta.png", "A 22286-2025")</f>
        <v/>
      </c>
      <c r="V110">
        <f>HYPERLINK("https://klasma.github.io/Logging_2039/klagomål/A 22286-2025 FSC-klagomål.docx", "A 22286-2025")</f>
        <v/>
      </c>
      <c r="W110">
        <f>HYPERLINK("https://klasma.github.io/Logging_2039/klagomålsmail/A 22286-2025 FSC-klagomål mail.docx", "A 22286-2025")</f>
        <v/>
      </c>
      <c r="X110">
        <f>HYPERLINK("https://klasma.github.io/Logging_2039/tillsyn/A 22286-2025 tillsynsbegäran.docx", "A 22286-2025")</f>
        <v/>
      </c>
      <c r="Y110">
        <f>HYPERLINK("https://klasma.github.io/Logging_2039/tillsynsmail/A 22286-2025 tillsynsbegäran mail.docx", "A 22286-2025")</f>
        <v/>
      </c>
    </row>
    <row r="111" ht="15" customHeight="1">
      <c r="A111" t="inlineStr">
        <is>
          <t>A 55062-2022</t>
        </is>
      </c>
      <c r="B111" s="1" t="n">
        <v>44881</v>
      </c>
      <c r="C111" s="1" t="n">
        <v>45900</v>
      </c>
      <c r="D111" t="inlineStr">
        <is>
          <t>DALARNAS LÄN</t>
        </is>
      </c>
      <c r="E111" t="inlineStr">
        <is>
          <t>ÄLVDALEN</t>
        </is>
      </c>
      <c r="F111" t="inlineStr">
        <is>
          <t>Övriga statliga verk och myndigheter</t>
        </is>
      </c>
      <c r="G111" t="n">
        <v>28.1</v>
      </c>
      <c r="H111" t="n">
        <v>1</v>
      </c>
      <c r="I111" t="n">
        <v>0</v>
      </c>
      <c r="J111" t="n">
        <v>1</v>
      </c>
      <c r="K111" t="n">
        <v>0</v>
      </c>
      <c r="L111" t="n">
        <v>0</v>
      </c>
      <c r="M111" t="n">
        <v>0</v>
      </c>
      <c r="N111" t="n">
        <v>0</v>
      </c>
      <c r="O111" t="n">
        <v>1</v>
      </c>
      <c r="P111" t="n">
        <v>0</v>
      </c>
      <c r="Q111" t="n">
        <v>1</v>
      </c>
      <c r="R111" s="2" t="inlineStr">
        <is>
          <t>Utter</t>
        </is>
      </c>
      <c r="S111">
        <f>HYPERLINK("https://klasma.github.io/Logging_2039/artfynd/A 55062-2022 artfynd.xlsx", "A 55062-2022")</f>
        <v/>
      </c>
      <c r="T111">
        <f>HYPERLINK("https://klasma.github.io/Logging_2039/kartor/A 55062-2022 karta.png", "A 55062-2022")</f>
        <v/>
      </c>
      <c r="V111">
        <f>HYPERLINK("https://klasma.github.io/Logging_2039/klagomål/A 55062-2022 FSC-klagomål.docx", "A 55062-2022")</f>
        <v/>
      </c>
      <c r="W111">
        <f>HYPERLINK("https://klasma.github.io/Logging_2039/klagomålsmail/A 55062-2022 FSC-klagomål mail.docx", "A 55062-2022")</f>
        <v/>
      </c>
      <c r="X111">
        <f>HYPERLINK("https://klasma.github.io/Logging_2039/tillsyn/A 55062-2022 tillsynsbegäran.docx", "A 55062-2022")</f>
        <v/>
      </c>
      <c r="Y111">
        <f>HYPERLINK("https://klasma.github.io/Logging_2039/tillsynsmail/A 55062-2022 tillsynsbegäran mail.docx", "A 55062-2022")</f>
        <v/>
      </c>
    </row>
    <row r="112" ht="15" customHeight="1">
      <c r="A112" t="inlineStr">
        <is>
          <t>A 31145-2024</t>
        </is>
      </c>
      <c r="B112" s="1" t="n">
        <v>45502.85956018518</v>
      </c>
      <c r="C112" s="1" t="n">
        <v>45900</v>
      </c>
      <c r="D112" t="inlineStr">
        <is>
          <t>DALARNAS LÄN</t>
        </is>
      </c>
      <c r="E112" t="inlineStr">
        <is>
          <t>ÄLVDALEN</t>
        </is>
      </c>
      <c r="G112" t="n">
        <v>1.2</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31145-2024 artfynd.xlsx", "A 31145-2024")</f>
        <v/>
      </c>
      <c r="T112">
        <f>HYPERLINK("https://klasma.github.io/Logging_2039/kartor/A 31145-2024 karta.png", "A 31145-2024")</f>
        <v/>
      </c>
      <c r="V112">
        <f>HYPERLINK("https://klasma.github.io/Logging_2039/klagomål/A 31145-2024 FSC-klagomål.docx", "A 31145-2024")</f>
        <v/>
      </c>
      <c r="W112">
        <f>HYPERLINK("https://klasma.github.io/Logging_2039/klagomålsmail/A 31145-2024 FSC-klagomål mail.docx", "A 31145-2024")</f>
        <v/>
      </c>
      <c r="X112">
        <f>HYPERLINK("https://klasma.github.io/Logging_2039/tillsyn/A 31145-2024 tillsynsbegäran.docx", "A 31145-2024")</f>
        <v/>
      </c>
      <c r="Y112">
        <f>HYPERLINK("https://klasma.github.io/Logging_2039/tillsynsmail/A 31145-2024 tillsynsbegäran mail.docx", "A 31145-2024")</f>
        <v/>
      </c>
      <c r="Z112">
        <f>HYPERLINK("https://klasma.github.io/Logging_2039/fåglar/A 31145-2024 prioriterade fågelarter.docx", "A 31145-2024")</f>
        <v/>
      </c>
    </row>
    <row r="113" ht="15" customHeight="1">
      <c r="A113" t="inlineStr">
        <is>
          <t>A 50981-2024</t>
        </is>
      </c>
      <c r="B113" s="1" t="n">
        <v>45603.36233796296</v>
      </c>
      <c r="C113" s="1" t="n">
        <v>45900</v>
      </c>
      <c r="D113" t="inlineStr">
        <is>
          <t>DALARNAS LÄN</t>
        </is>
      </c>
      <c r="E113" t="inlineStr">
        <is>
          <t>ÄLVDALEN</t>
        </is>
      </c>
      <c r="G113" t="n">
        <v>5.1</v>
      </c>
      <c r="H113" t="n">
        <v>0</v>
      </c>
      <c r="I113" t="n">
        <v>0</v>
      </c>
      <c r="J113" t="n">
        <v>1</v>
      </c>
      <c r="K113" t="n">
        <v>0</v>
      </c>
      <c r="L113" t="n">
        <v>0</v>
      </c>
      <c r="M113" t="n">
        <v>0</v>
      </c>
      <c r="N113" t="n">
        <v>0</v>
      </c>
      <c r="O113" t="n">
        <v>1</v>
      </c>
      <c r="P113" t="n">
        <v>0</v>
      </c>
      <c r="Q113" t="n">
        <v>1</v>
      </c>
      <c r="R113" s="2" t="inlineStr">
        <is>
          <t>Vedskivlav</t>
        </is>
      </c>
      <c r="S113">
        <f>HYPERLINK("https://klasma.github.io/Logging_2039/artfynd/A 50981-2024 artfynd.xlsx", "A 50981-2024")</f>
        <v/>
      </c>
      <c r="T113">
        <f>HYPERLINK("https://klasma.github.io/Logging_2039/kartor/A 50981-2024 karta.png", "A 50981-2024")</f>
        <v/>
      </c>
      <c r="V113">
        <f>HYPERLINK("https://klasma.github.io/Logging_2039/klagomål/A 50981-2024 FSC-klagomål.docx", "A 50981-2024")</f>
        <v/>
      </c>
      <c r="W113">
        <f>HYPERLINK("https://klasma.github.io/Logging_2039/klagomålsmail/A 50981-2024 FSC-klagomål mail.docx", "A 50981-2024")</f>
        <v/>
      </c>
      <c r="X113">
        <f>HYPERLINK("https://klasma.github.io/Logging_2039/tillsyn/A 50981-2024 tillsynsbegäran.docx", "A 50981-2024")</f>
        <v/>
      </c>
      <c r="Y113">
        <f>HYPERLINK("https://klasma.github.io/Logging_2039/tillsynsmail/A 50981-2024 tillsynsbegäran mail.docx", "A 50981-2024")</f>
        <v/>
      </c>
    </row>
    <row r="114" ht="15" customHeight="1">
      <c r="A114" t="inlineStr">
        <is>
          <t>A 27923-2025</t>
        </is>
      </c>
      <c r="B114" s="1" t="n">
        <v>45817.48814814815</v>
      </c>
      <c r="C114" s="1" t="n">
        <v>45900</v>
      </c>
      <c r="D114" t="inlineStr">
        <is>
          <t>DALARNAS LÄN</t>
        </is>
      </c>
      <c r="E114" t="inlineStr">
        <is>
          <t>ÄLVDALEN</t>
        </is>
      </c>
      <c r="G114" t="n">
        <v>2.9</v>
      </c>
      <c r="H114" t="n">
        <v>1</v>
      </c>
      <c r="I114" t="n">
        <v>0</v>
      </c>
      <c r="J114" t="n">
        <v>0</v>
      </c>
      <c r="K114" t="n">
        <v>0</v>
      </c>
      <c r="L114" t="n">
        <v>0</v>
      </c>
      <c r="M114" t="n">
        <v>0</v>
      </c>
      <c r="N114" t="n">
        <v>0</v>
      </c>
      <c r="O114" t="n">
        <v>0</v>
      </c>
      <c r="P114" t="n">
        <v>0</v>
      </c>
      <c r="Q114" t="n">
        <v>1</v>
      </c>
      <c r="R114" s="2" t="inlineStr">
        <is>
          <t>Lavskrika</t>
        </is>
      </c>
      <c r="S114">
        <f>HYPERLINK("https://klasma.github.io/Logging_2039/artfynd/A 27923-2025 artfynd.xlsx", "A 27923-2025")</f>
        <v/>
      </c>
      <c r="T114">
        <f>HYPERLINK("https://klasma.github.io/Logging_2039/kartor/A 27923-2025 karta.png", "A 27923-2025")</f>
        <v/>
      </c>
      <c r="V114">
        <f>HYPERLINK("https://klasma.github.io/Logging_2039/klagomål/A 27923-2025 FSC-klagomål.docx", "A 27923-2025")</f>
        <v/>
      </c>
      <c r="W114">
        <f>HYPERLINK("https://klasma.github.io/Logging_2039/klagomålsmail/A 27923-2025 FSC-klagomål mail.docx", "A 27923-2025")</f>
        <v/>
      </c>
      <c r="X114">
        <f>HYPERLINK("https://klasma.github.io/Logging_2039/tillsyn/A 27923-2025 tillsynsbegäran.docx", "A 27923-2025")</f>
        <v/>
      </c>
      <c r="Y114">
        <f>HYPERLINK("https://klasma.github.io/Logging_2039/tillsynsmail/A 27923-2025 tillsynsbegäran mail.docx", "A 27923-2025")</f>
        <v/>
      </c>
      <c r="Z114">
        <f>HYPERLINK("https://klasma.github.io/Logging_2039/fåglar/A 27923-2025 prioriterade fågelarter.docx", "A 27923-2025")</f>
        <v/>
      </c>
    </row>
    <row r="115" ht="15" customHeight="1">
      <c r="A115" t="inlineStr">
        <is>
          <t>A 27929-2025</t>
        </is>
      </c>
      <c r="B115" s="1" t="n">
        <v>45817.49222222222</v>
      </c>
      <c r="C115" s="1" t="n">
        <v>45900</v>
      </c>
      <c r="D115" t="inlineStr">
        <is>
          <t>DALARNAS LÄN</t>
        </is>
      </c>
      <c r="E115" t="inlineStr">
        <is>
          <t>ÄLVDALEN</t>
        </is>
      </c>
      <c r="F115" t="inlineStr">
        <is>
          <t>Sveaskog</t>
        </is>
      </c>
      <c r="G115" t="n">
        <v>2.7</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27929-2025 artfynd.xlsx", "A 27929-2025")</f>
        <v/>
      </c>
      <c r="T115">
        <f>HYPERLINK("https://klasma.github.io/Logging_2039/kartor/A 27929-2025 karta.png", "A 27929-2025")</f>
        <v/>
      </c>
      <c r="V115">
        <f>HYPERLINK("https://klasma.github.io/Logging_2039/klagomål/A 27929-2025 FSC-klagomål.docx", "A 27929-2025")</f>
        <v/>
      </c>
      <c r="W115">
        <f>HYPERLINK("https://klasma.github.io/Logging_2039/klagomålsmail/A 27929-2025 FSC-klagomål mail.docx", "A 27929-2025")</f>
        <v/>
      </c>
      <c r="X115">
        <f>HYPERLINK("https://klasma.github.io/Logging_2039/tillsyn/A 27929-2025 tillsynsbegäran.docx", "A 27929-2025")</f>
        <v/>
      </c>
      <c r="Y115">
        <f>HYPERLINK("https://klasma.github.io/Logging_2039/tillsynsmail/A 27929-2025 tillsynsbegäran mail.docx", "A 27929-2025")</f>
        <v/>
      </c>
    </row>
    <row r="116" ht="15" customHeight="1">
      <c r="A116" t="inlineStr">
        <is>
          <t>A 50385-2024</t>
        </is>
      </c>
      <c r="B116" s="1" t="n">
        <v>45600</v>
      </c>
      <c r="C116" s="1" t="n">
        <v>45900</v>
      </c>
      <c r="D116" t="inlineStr">
        <is>
          <t>DALARNAS LÄN</t>
        </is>
      </c>
      <c r="E116" t="inlineStr">
        <is>
          <t>ÄLVDALEN</t>
        </is>
      </c>
      <c r="F116" t="inlineStr">
        <is>
          <t>Övriga statliga verk och myndigheter</t>
        </is>
      </c>
      <c r="G116" t="n">
        <v>13.9</v>
      </c>
      <c r="H116" t="n">
        <v>0</v>
      </c>
      <c r="I116" t="n">
        <v>0</v>
      </c>
      <c r="J116" t="n">
        <v>1</v>
      </c>
      <c r="K116" t="n">
        <v>0</v>
      </c>
      <c r="L116" t="n">
        <v>0</v>
      </c>
      <c r="M116" t="n">
        <v>0</v>
      </c>
      <c r="N116" t="n">
        <v>0</v>
      </c>
      <c r="O116" t="n">
        <v>1</v>
      </c>
      <c r="P116" t="n">
        <v>0</v>
      </c>
      <c r="Q116" t="n">
        <v>1</v>
      </c>
      <c r="R116" s="2" t="inlineStr">
        <is>
          <t>Gammelgransskål</t>
        </is>
      </c>
      <c r="S116">
        <f>HYPERLINK("https://klasma.github.io/Logging_2039/artfynd/A 50385-2024 artfynd.xlsx", "A 50385-2024")</f>
        <v/>
      </c>
      <c r="T116">
        <f>HYPERLINK("https://klasma.github.io/Logging_2039/kartor/A 50385-2024 karta.png", "A 50385-2024")</f>
        <v/>
      </c>
      <c r="V116">
        <f>HYPERLINK("https://klasma.github.io/Logging_2039/klagomål/A 50385-2024 FSC-klagomål.docx", "A 50385-2024")</f>
        <v/>
      </c>
      <c r="W116">
        <f>HYPERLINK("https://klasma.github.io/Logging_2039/klagomålsmail/A 50385-2024 FSC-klagomål mail.docx", "A 50385-2024")</f>
        <v/>
      </c>
      <c r="X116">
        <f>HYPERLINK("https://klasma.github.io/Logging_2039/tillsyn/A 50385-2024 tillsynsbegäran.docx", "A 50385-2024")</f>
        <v/>
      </c>
      <c r="Y116">
        <f>HYPERLINK("https://klasma.github.io/Logging_2039/tillsynsmail/A 50385-2024 tillsynsbegäran mail.docx", "A 50385-2024")</f>
        <v/>
      </c>
    </row>
    <row r="117" ht="15" customHeight="1">
      <c r="A117" t="inlineStr">
        <is>
          <t>A 32199-2024</t>
        </is>
      </c>
      <c r="B117" s="1" t="n">
        <v>45511.66325231481</v>
      </c>
      <c r="C117" s="1" t="n">
        <v>45900</v>
      </c>
      <c r="D117" t="inlineStr">
        <is>
          <t>DALARNAS LÄN</t>
        </is>
      </c>
      <c r="E117" t="inlineStr">
        <is>
          <t>ÄLVDALEN</t>
        </is>
      </c>
      <c r="F117" t="inlineStr">
        <is>
          <t>Sveaskog</t>
        </is>
      </c>
      <c r="G117" t="n">
        <v>4.6</v>
      </c>
      <c r="H117" t="n">
        <v>1</v>
      </c>
      <c r="I117" t="n">
        <v>0</v>
      </c>
      <c r="J117" t="n">
        <v>1</v>
      </c>
      <c r="K117" t="n">
        <v>0</v>
      </c>
      <c r="L117" t="n">
        <v>0</v>
      </c>
      <c r="M117" t="n">
        <v>0</v>
      </c>
      <c r="N117" t="n">
        <v>0</v>
      </c>
      <c r="O117" t="n">
        <v>1</v>
      </c>
      <c r="P117" t="n">
        <v>0</v>
      </c>
      <c r="Q117" t="n">
        <v>1</v>
      </c>
      <c r="R117" s="2" t="inlineStr">
        <is>
          <t>Varglav</t>
        </is>
      </c>
      <c r="S117">
        <f>HYPERLINK("https://klasma.github.io/Logging_2039/artfynd/A 32199-2024 artfynd.xlsx", "A 32199-2024")</f>
        <v/>
      </c>
      <c r="T117">
        <f>HYPERLINK("https://klasma.github.io/Logging_2039/kartor/A 32199-2024 karta.png", "A 32199-2024")</f>
        <v/>
      </c>
      <c r="V117">
        <f>HYPERLINK("https://klasma.github.io/Logging_2039/klagomål/A 32199-2024 FSC-klagomål.docx", "A 32199-2024")</f>
        <v/>
      </c>
      <c r="W117">
        <f>HYPERLINK("https://klasma.github.io/Logging_2039/klagomålsmail/A 32199-2024 FSC-klagomål mail.docx", "A 32199-2024")</f>
        <v/>
      </c>
      <c r="X117">
        <f>HYPERLINK("https://klasma.github.io/Logging_2039/tillsyn/A 32199-2024 tillsynsbegäran.docx", "A 32199-2024")</f>
        <v/>
      </c>
      <c r="Y117">
        <f>HYPERLINK("https://klasma.github.io/Logging_2039/tillsynsmail/A 32199-2024 tillsynsbegäran mail.docx", "A 32199-2024")</f>
        <v/>
      </c>
    </row>
    <row r="118" ht="15" customHeight="1">
      <c r="A118" t="inlineStr">
        <is>
          <t>A 19614-2024</t>
        </is>
      </c>
      <c r="B118" s="1" t="n">
        <v>45432.30798611111</v>
      </c>
      <c r="C118" s="1" t="n">
        <v>45900</v>
      </c>
      <c r="D118" t="inlineStr">
        <is>
          <t>DALARNAS LÄN</t>
        </is>
      </c>
      <c r="E118" t="inlineStr">
        <is>
          <t>ÄLVDALEN</t>
        </is>
      </c>
      <c r="F118" t="inlineStr">
        <is>
          <t>Sveaskog</t>
        </is>
      </c>
      <c r="G118" t="n">
        <v>2.9</v>
      </c>
      <c r="H118" t="n">
        <v>0</v>
      </c>
      <c r="I118" t="n">
        <v>0</v>
      </c>
      <c r="J118" t="n">
        <v>1</v>
      </c>
      <c r="K118" t="n">
        <v>0</v>
      </c>
      <c r="L118" t="n">
        <v>0</v>
      </c>
      <c r="M118" t="n">
        <v>0</v>
      </c>
      <c r="N118" t="n">
        <v>0</v>
      </c>
      <c r="O118" t="n">
        <v>1</v>
      </c>
      <c r="P118" t="n">
        <v>0</v>
      </c>
      <c r="Q118" t="n">
        <v>1</v>
      </c>
      <c r="R118" s="2" t="inlineStr">
        <is>
          <t>Mörk kolflarnlav</t>
        </is>
      </c>
      <c r="S118">
        <f>HYPERLINK("https://klasma.github.io/Logging_2039/artfynd/A 19614-2024 artfynd.xlsx", "A 19614-2024")</f>
        <v/>
      </c>
      <c r="T118">
        <f>HYPERLINK("https://klasma.github.io/Logging_2039/kartor/A 19614-2024 karta.png", "A 19614-2024")</f>
        <v/>
      </c>
      <c r="V118">
        <f>HYPERLINK("https://klasma.github.io/Logging_2039/klagomål/A 19614-2024 FSC-klagomål.docx", "A 19614-2024")</f>
        <v/>
      </c>
      <c r="W118">
        <f>HYPERLINK("https://klasma.github.io/Logging_2039/klagomålsmail/A 19614-2024 FSC-klagomål mail.docx", "A 19614-2024")</f>
        <v/>
      </c>
      <c r="X118">
        <f>HYPERLINK("https://klasma.github.io/Logging_2039/tillsyn/A 19614-2024 tillsynsbegäran.docx", "A 19614-2024")</f>
        <v/>
      </c>
      <c r="Y118">
        <f>HYPERLINK("https://klasma.github.io/Logging_2039/tillsynsmail/A 19614-2024 tillsynsbegäran mail.docx", "A 19614-2024")</f>
        <v/>
      </c>
    </row>
    <row r="119" ht="15" customHeight="1">
      <c r="A119" t="inlineStr">
        <is>
          <t>A 45202-2024</t>
        </is>
      </c>
      <c r="B119" s="1" t="n">
        <v>45575</v>
      </c>
      <c r="C119" s="1" t="n">
        <v>45900</v>
      </c>
      <c r="D119" t="inlineStr">
        <is>
          <t>DALARNAS LÄN</t>
        </is>
      </c>
      <c r="E119" t="inlineStr">
        <is>
          <t>ÄLVDALEN</t>
        </is>
      </c>
      <c r="G119" t="n">
        <v>184.5</v>
      </c>
      <c r="H119" t="n">
        <v>1</v>
      </c>
      <c r="I119" t="n">
        <v>0</v>
      </c>
      <c r="J119" t="n">
        <v>0</v>
      </c>
      <c r="K119" t="n">
        <v>0</v>
      </c>
      <c r="L119" t="n">
        <v>0</v>
      </c>
      <c r="M119" t="n">
        <v>0</v>
      </c>
      <c r="N119" t="n">
        <v>0</v>
      </c>
      <c r="O119" t="n">
        <v>0</v>
      </c>
      <c r="P119" t="n">
        <v>0</v>
      </c>
      <c r="Q119" t="n">
        <v>1</v>
      </c>
      <c r="R119" s="2" t="inlineStr">
        <is>
          <t>Lavskrika</t>
        </is>
      </c>
      <c r="S119">
        <f>HYPERLINK("https://klasma.github.io/Logging_2039/artfynd/A 45202-2024 artfynd.xlsx", "A 45202-2024")</f>
        <v/>
      </c>
      <c r="T119">
        <f>HYPERLINK("https://klasma.github.io/Logging_2039/kartor/A 45202-2024 karta.png", "A 45202-2024")</f>
        <v/>
      </c>
      <c r="V119">
        <f>HYPERLINK("https://klasma.github.io/Logging_2039/klagomål/A 45202-2024 FSC-klagomål.docx", "A 45202-2024")</f>
        <v/>
      </c>
      <c r="W119">
        <f>HYPERLINK("https://klasma.github.io/Logging_2039/klagomålsmail/A 45202-2024 FSC-klagomål mail.docx", "A 45202-2024")</f>
        <v/>
      </c>
      <c r="X119">
        <f>HYPERLINK("https://klasma.github.io/Logging_2039/tillsyn/A 45202-2024 tillsynsbegäran.docx", "A 45202-2024")</f>
        <v/>
      </c>
      <c r="Y119">
        <f>HYPERLINK("https://klasma.github.io/Logging_2039/tillsynsmail/A 45202-2024 tillsynsbegäran mail.docx", "A 45202-2024")</f>
        <v/>
      </c>
      <c r="Z119">
        <f>HYPERLINK("https://klasma.github.io/Logging_2039/fåglar/A 45202-2024 prioriterade fågelarter.docx", "A 45202-2024")</f>
        <v/>
      </c>
    </row>
    <row r="120" ht="15" customHeight="1">
      <c r="A120" t="inlineStr">
        <is>
          <t>A 45201-2024</t>
        </is>
      </c>
      <c r="B120" s="1" t="n">
        <v>45575</v>
      </c>
      <c r="C120" s="1" t="n">
        <v>45900</v>
      </c>
      <c r="D120" t="inlineStr">
        <is>
          <t>DALARNAS LÄN</t>
        </is>
      </c>
      <c r="E120" t="inlineStr">
        <is>
          <t>ÄLVDALEN</t>
        </is>
      </c>
      <c r="G120" t="n">
        <v>24.6</v>
      </c>
      <c r="H120" t="n">
        <v>1</v>
      </c>
      <c r="I120" t="n">
        <v>0</v>
      </c>
      <c r="J120" t="n">
        <v>1</v>
      </c>
      <c r="K120" t="n">
        <v>0</v>
      </c>
      <c r="L120" t="n">
        <v>0</v>
      </c>
      <c r="M120" t="n">
        <v>0</v>
      </c>
      <c r="N120" t="n">
        <v>0</v>
      </c>
      <c r="O120" t="n">
        <v>1</v>
      </c>
      <c r="P120" t="n">
        <v>0</v>
      </c>
      <c r="Q120" t="n">
        <v>1</v>
      </c>
      <c r="R120" s="2" t="inlineStr">
        <is>
          <t>Varglav</t>
        </is>
      </c>
      <c r="S120">
        <f>HYPERLINK("https://klasma.github.io/Logging_2039/artfynd/A 45201-2024 artfynd.xlsx", "A 45201-2024")</f>
        <v/>
      </c>
      <c r="T120">
        <f>HYPERLINK("https://klasma.github.io/Logging_2039/kartor/A 45201-2024 karta.png", "A 45201-2024")</f>
        <v/>
      </c>
      <c r="V120">
        <f>HYPERLINK("https://klasma.github.io/Logging_2039/klagomål/A 45201-2024 FSC-klagomål.docx", "A 45201-2024")</f>
        <v/>
      </c>
      <c r="W120">
        <f>HYPERLINK("https://klasma.github.io/Logging_2039/klagomålsmail/A 45201-2024 FSC-klagomål mail.docx", "A 45201-2024")</f>
        <v/>
      </c>
      <c r="X120">
        <f>HYPERLINK("https://klasma.github.io/Logging_2039/tillsyn/A 45201-2024 tillsynsbegäran.docx", "A 45201-2024")</f>
        <v/>
      </c>
      <c r="Y120">
        <f>HYPERLINK("https://klasma.github.io/Logging_2039/tillsynsmail/A 45201-2024 tillsynsbegäran mail.docx", "A 45201-2024")</f>
        <v/>
      </c>
    </row>
    <row r="121" ht="15" customHeight="1">
      <c r="A121" t="inlineStr">
        <is>
          <t>A 35352-2025</t>
        </is>
      </c>
      <c r="B121" s="1" t="n">
        <v>45853</v>
      </c>
      <c r="C121" s="1" t="n">
        <v>45900</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36574-2021</t>
        </is>
      </c>
      <c r="B122" s="1" t="n">
        <v>44391</v>
      </c>
      <c r="C122" s="1" t="n">
        <v>45900</v>
      </c>
      <c r="D122" t="inlineStr">
        <is>
          <t>DALARNAS LÄN</t>
        </is>
      </c>
      <c r="E122" t="inlineStr">
        <is>
          <t>ÄLVDALEN</t>
        </is>
      </c>
      <c r="F122" t="inlineStr">
        <is>
          <t>Sveaskog</t>
        </is>
      </c>
      <c r="G122" t="n">
        <v>26.2</v>
      </c>
      <c r="H122" t="n">
        <v>1</v>
      </c>
      <c r="I122" t="n">
        <v>0</v>
      </c>
      <c r="J122" t="n">
        <v>0</v>
      </c>
      <c r="K122" t="n">
        <v>0</v>
      </c>
      <c r="L122" t="n">
        <v>0</v>
      </c>
      <c r="M122" t="n">
        <v>0</v>
      </c>
      <c r="N122" t="n">
        <v>0</v>
      </c>
      <c r="O122" t="n">
        <v>0</v>
      </c>
      <c r="P122" t="n">
        <v>0</v>
      </c>
      <c r="Q122" t="n">
        <v>1</v>
      </c>
      <c r="R122" s="2" t="inlineStr">
        <is>
          <t>Lavskrika</t>
        </is>
      </c>
      <c r="S122">
        <f>HYPERLINK("https://klasma.github.io/Logging_2039/artfynd/A 36574-2021 artfynd.xlsx", "A 36574-2021")</f>
        <v/>
      </c>
      <c r="T122">
        <f>HYPERLINK("https://klasma.github.io/Logging_2039/kartor/A 36574-2021 karta.png", "A 36574-2021")</f>
        <v/>
      </c>
      <c r="V122">
        <f>HYPERLINK("https://klasma.github.io/Logging_2039/klagomål/A 36574-2021 FSC-klagomål.docx", "A 36574-2021")</f>
        <v/>
      </c>
      <c r="W122">
        <f>HYPERLINK("https://klasma.github.io/Logging_2039/klagomålsmail/A 36574-2021 FSC-klagomål mail.docx", "A 36574-2021")</f>
        <v/>
      </c>
      <c r="X122">
        <f>HYPERLINK("https://klasma.github.io/Logging_2039/tillsyn/A 36574-2021 tillsynsbegäran.docx", "A 36574-2021")</f>
        <v/>
      </c>
      <c r="Y122">
        <f>HYPERLINK("https://klasma.github.io/Logging_2039/tillsynsmail/A 36574-2021 tillsynsbegäran mail.docx", "A 36574-2021")</f>
        <v/>
      </c>
      <c r="Z122">
        <f>HYPERLINK("https://klasma.github.io/Logging_2039/fåglar/A 36574-2021 prioriterade fågelarter.docx", "A 36574-2021")</f>
        <v/>
      </c>
    </row>
    <row r="123" ht="15" customHeight="1">
      <c r="A123" t="inlineStr">
        <is>
          <t>A 11061-2021</t>
        </is>
      </c>
      <c r="B123" s="1" t="n">
        <v>44260</v>
      </c>
      <c r="C123" s="1" t="n">
        <v>45900</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23872-2023</t>
        </is>
      </c>
      <c r="B124" s="1" t="n">
        <v>45078</v>
      </c>
      <c r="C124" s="1" t="n">
        <v>45900</v>
      </c>
      <c r="D124" t="inlineStr">
        <is>
          <t>DALARNAS LÄN</t>
        </is>
      </c>
      <c r="E124" t="inlineStr">
        <is>
          <t>ÄLVDALEN</t>
        </is>
      </c>
      <c r="F124" t="inlineStr">
        <is>
          <t>Allmännings- och besparingsskogar</t>
        </is>
      </c>
      <c r="G124" t="n">
        <v>79.5</v>
      </c>
      <c r="H124" t="n">
        <v>1</v>
      </c>
      <c r="I124" t="n">
        <v>0</v>
      </c>
      <c r="J124" t="n">
        <v>0</v>
      </c>
      <c r="K124" t="n">
        <v>0</v>
      </c>
      <c r="L124" t="n">
        <v>0</v>
      </c>
      <c r="M124" t="n">
        <v>0</v>
      </c>
      <c r="N124" t="n">
        <v>0</v>
      </c>
      <c r="O124" t="n">
        <v>0</v>
      </c>
      <c r="P124" t="n">
        <v>0</v>
      </c>
      <c r="Q124" t="n">
        <v>1</v>
      </c>
      <c r="R124" s="2" t="inlineStr">
        <is>
          <t>Vanlig groda</t>
        </is>
      </c>
      <c r="S124">
        <f>HYPERLINK("https://klasma.github.io/Logging_2039/artfynd/A 23872-2023 artfynd.xlsx", "A 23872-2023")</f>
        <v/>
      </c>
      <c r="T124">
        <f>HYPERLINK("https://klasma.github.io/Logging_2039/kartor/A 23872-2023 karta.png", "A 23872-2023")</f>
        <v/>
      </c>
      <c r="V124">
        <f>HYPERLINK("https://klasma.github.io/Logging_2039/klagomål/A 23872-2023 FSC-klagomål.docx", "A 23872-2023")</f>
        <v/>
      </c>
      <c r="W124">
        <f>HYPERLINK("https://klasma.github.io/Logging_2039/klagomålsmail/A 23872-2023 FSC-klagomål mail.docx", "A 23872-2023")</f>
        <v/>
      </c>
      <c r="X124">
        <f>HYPERLINK("https://klasma.github.io/Logging_2039/tillsyn/A 23872-2023 tillsynsbegäran.docx", "A 23872-2023")</f>
        <v/>
      </c>
      <c r="Y124">
        <f>HYPERLINK("https://klasma.github.io/Logging_2039/tillsynsmail/A 23872-2023 tillsynsbegäran mail.docx", "A 23872-2023")</f>
        <v/>
      </c>
    </row>
    <row r="125" ht="15" customHeight="1">
      <c r="A125" t="inlineStr">
        <is>
          <t>A 662-2025</t>
        </is>
      </c>
      <c r="B125" s="1" t="n">
        <v>45664</v>
      </c>
      <c r="C125" s="1" t="n">
        <v>45900</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45900</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19313-2021</t>
        </is>
      </c>
      <c r="B127" s="1" t="n">
        <v>44309</v>
      </c>
      <c r="C127" s="1" t="n">
        <v>45900</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45900</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45900</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45900</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45900</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45900</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45900</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45900</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45900</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45900</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45900</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45900</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45900</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45900</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45900</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45900</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45900</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45900</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45900</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45900</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45900</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45900</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45900</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45900</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45900</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45900</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45900</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45900</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45900</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45900</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45900</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45900</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45900</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45900</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45900</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45900</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45228-2022</t>
        </is>
      </c>
      <c r="B163" s="1" t="n">
        <v>44844.47071759259</v>
      </c>
      <c r="C163" s="1" t="n">
        <v>45900</v>
      </c>
      <c r="D163" t="inlineStr">
        <is>
          <t>DALARNAS LÄN</t>
        </is>
      </c>
      <c r="E163" t="inlineStr">
        <is>
          <t>ÄLVDALEN</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52064-2022</t>
        </is>
      </c>
      <c r="B164" s="1" t="n">
        <v>44873.34854166667</v>
      </c>
      <c r="C164" s="1" t="n">
        <v>45900</v>
      </c>
      <c r="D164" t="inlineStr">
        <is>
          <t>DALARNAS LÄN</t>
        </is>
      </c>
      <c r="E164" t="inlineStr">
        <is>
          <t>ÄLVDALEN</t>
        </is>
      </c>
      <c r="G164" t="n">
        <v>0.3</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45900</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45900</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45900</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45900</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45900</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45900</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45900</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45900</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45900</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45900</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45900</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45900</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45900</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45900</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45900</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45900</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45900</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45900</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45900</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45900</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45900</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45900</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45900</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45900</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45900</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45900</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45900</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45900</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22454-2021</t>
        </is>
      </c>
      <c r="B193" s="1" t="n">
        <v>44326</v>
      </c>
      <c r="C193" s="1" t="n">
        <v>45900</v>
      </c>
      <c r="D193" t="inlineStr">
        <is>
          <t>DALARNAS LÄN</t>
        </is>
      </c>
      <c r="E193" t="inlineStr">
        <is>
          <t>ÄLVDALEN</t>
        </is>
      </c>
      <c r="F193" t="inlineStr">
        <is>
          <t>Allmännings- och besparingsskogar</t>
        </is>
      </c>
      <c r="G193" t="n">
        <v>4.3</v>
      </c>
      <c r="H193" t="n">
        <v>0</v>
      </c>
      <c r="I193" t="n">
        <v>0</v>
      </c>
      <c r="J193" t="n">
        <v>0</v>
      </c>
      <c r="K193" t="n">
        <v>0</v>
      </c>
      <c r="L193" t="n">
        <v>0</v>
      </c>
      <c r="M193" t="n">
        <v>0</v>
      </c>
      <c r="N193" t="n">
        <v>0</v>
      </c>
      <c r="O193" t="n">
        <v>0</v>
      </c>
      <c r="P193" t="n">
        <v>0</v>
      </c>
      <c r="Q193" t="n">
        <v>0</v>
      </c>
      <c r="R193" s="2" t="inlineStr"/>
    </row>
    <row r="194" ht="15" customHeight="1">
      <c r="A194" t="inlineStr">
        <is>
          <t>A 21279-2022</t>
        </is>
      </c>
      <c r="B194" s="1" t="n">
        <v>44705</v>
      </c>
      <c r="C194" s="1" t="n">
        <v>45900</v>
      </c>
      <c r="D194" t="inlineStr">
        <is>
          <t>DALARNAS LÄN</t>
        </is>
      </c>
      <c r="E194" t="inlineStr">
        <is>
          <t>ÄLVDALEN</t>
        </is>
      </c>
      <c r="G194" t="n">
        <v>4.6</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45900</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19759-2021</t>
        </is>
      </c>
      <c r="B196" s="1" t="n">
        <v>44309</v>
      </c>
      <c r="C196" s="1" t="n">
        <v>45900</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31714-2021</t>
        </is>
      </c>
      <c r="B197" s="1" t="n">
        <v>44369.82663194444</v>
      </c>
      <c r="C197" s="1" t="n">
        <v>45900</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20050-2021</t>
        </is>
      </c>
      <c r="B198" s="1" t="n">
        <v>44314</v>
      </c>
      <c r="C198" s="1" t="n">
        <v>45900</v>
      </c>
      <c r="D198" t="inlineStr">
        <is>
          <t>DALARNAS LÄN</t>
        </is>
      </c>
      <c r="E198" t="inlineStr">
        <is>
          <t>ÄLVDALEN</t>
        </is>
      </c>
      <c r="G198" t="n">
        <v>1.6</v>
      </c>
      <c r="H198" t="n">
        <v>0</v>
      </c>
      <c r="I198" t="n">
        <v>0</v>
      </c>
      <c r="J198" t="n">
        <v>0</v>
      </c>
      <c r="K198" t="n">
        <v>0</v>
      </c>
      <c r="L198" t="n">
        <v>0</v>
      </c>
      <c r="M198" t="n">
        <v>0</v>
      </c>
      <c r="N198" t="n">
        <v>0</v>
      </c>
      <c r="O198" t="n">
        <v>0</v>
      </c>
      <c r="P198" t="n">
        <v>0</v>
      </c>
      <c r="Q198" t="n">
        <v>0</v>
      </c>
      <c r="R198" s="2" t="inlineStr"/>
    </row>
    <row r="199" ht="15" customHeight="1">
      <c r="A199" t="inlineStr">
        <is>
          <t>A 51504-2022</t>
        </is>
      </c>
      <c r="B199" s="1" t="n">
        <v>44869</v>
      </c>
      <c r="C199" s="1" t="n">
        <v>45900</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45900</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45900</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40234-2021</t>
        </is>
      </c>
      <c r="B202" s="1" t="n">
        <v>44419</v>
      </c>
      <c r="C202" s="1" t="n">
        <v>45900</v>
      </c>
      <c r="D202" t="inlineStr">
        <is>
          <t>DALARNAS LÄN</t>
        </is>
      </c>
      <c r="E202" t="inlineStr">
        <is>
          <t>ÄLVDALEN</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30254-2021</t>
        </is>
      </c>
      <c r="B203" s="1" t="n">
        <v>44363</v>
      </c>
      <c r="C203" s="1" t="n">
        <v>45900</v>
      </c>
      <c r="D203" t="inlineStr">
        <is>
          <t>DALARNAS LÄN</t>
        </is>
      </c>
      <c r="E203" t="inlineStr">
        <is>
          <t>ÄLVDALEN</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12066-2022</t>
        </is>
      </c>
      <c r="B204" s="1" t="n">
        <v>44636</v>
      </c>
      <c r="C204" s="1" t="n">
        <v>45900</v>
      </c>
      <c r="D204" t="inlineStr">
        <is>
          <t>DALARNAS LÄN</t>
        </is>
      </c>
      <c r="E204" t="inlineStr">
        <is>
          <t>ÄLVDALEN</t>
        </is>
      </c>
      <c r="G204" t="n">
        <v>4.4</v>
      </c>
      <c r="H204" t="n">
        <v>0</v>
      </c>
      <c r="I204" t="n">
        <v>0</v>
      </c>
      <c r="J204" t="n">
        <v>0</v>
      </c>
      <c r="K204" t="n">
        <v>0</v>
      </c>
      <c r="L204" t="n">
        <v>0</v>
      </c>
      <c r="M204" t="n">
        <v>0</v>
      </c>
      <c r="N204" t="n">
        <v>0</v>
      </c>
      <c r="O204" t="n">
        <v>0</v>
      </c>
      <c r="P204" t="n">
        <v>0</v>
      </c>
      <c r="Q204" t="n">
        <v>0</v>
      </c>
      <c r="R204" s="2" t="inlineStr"/>
    </row>
    <row r="205" ht="15" customHeight="1">
      <c r="A205" t="inlineStr">
        <is>
          <t>A 38957-2022</t>
        </is>
      </c>
      <c r="B205" s="1" t="n">
        <v>44816</v>
      </c>
      <c r="C205" s="1" t="n">
        <v>45900</v>
      </c>
      <c r="D205" t="inlineStr">
        <is>
          <t>DALARNAS LÄN</t>
        </is>
      </c>
      <c r="E205" t="inlineStr">
        <is>
          <t>ÄLVDALEN</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57783-2021</t>
        </is>
      </c>
      <c r="B206" s="1" t="n">
        <v>44484</v>
      </c>
      <c r="C206" s="1" t="n">
        <v>45900</v>
      </c>
      <c r="D206" t="inlineStr">
        <is>
          <t>DALARNAS LÄN</t>
        </is>
      </c>
      <c r="E206" t="inlineStr">
        <is>
          <t>ÄLVDALEN</t>
        </is>
      </c>
      <c r="G206" t="n">
        <v>6.9</v>
      </c>
      <c r="H206" t="n">
        <v>0</v>
      </c>
      <c r="I206" t="n">
        <v>0</v>
      </c>
      <c r="J206" t="n">
        <v>0</v>
      </c>
      <c r="K206" t="n">
        <v>0</v>
      </c>
      <c r="L206" t="n">
        <v>0</v>
      </c>
      <c r="M206" t="n">
        <v>0</v>
      </c>
      <c r="N206" t="n">
        <v>0</v>
      </c>
      <c r="O206" t="n">
        <v>0</v>
      </c>
      <c r="P206" t="n">
        <v>0</v>
      </c>
      <c r="Q206" t="n">
        <v>0</v>
      </c>
      <c r="R206" s="2" t="inlineStr"/>
    </row>
    <row r="207" ht="15" customHeight="1">
      <c r="A207" t="inlineStr">
        <is>
          <t>A 66887-2021</t>
        </is>
      </c>
      <c r="B207" s="1" t="n">
        <v>44522.47883101852</v>
      </c>
      <c r="C207" s="1" t="n">
        <v>45900</v>
      </c>
      <c r="D207" t="inlineStr">
        <is>
          <t>DALARNAS LÄN</t>
        </is>
      </c>
      <c r="E207" t="inlineStr">
        <is>
          <t>ÄLVDALEN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36825-2021</t>
        </is>
      </c>
      <c r="B208" s="1" t="n">
        <v>44393</v>
      </c>
      <c r="C208" s="1" t="n">
        <v>45900</v>
      </c>
      <c r="D208" t="inlineStr">
        <is>
          <t>DALARNAS LÄN</t>
        </is>
      </c>
      <c r="E208" t="inlineStr">
        <is>
          <t>ÄLVDALEN</t>
        </is>
      </c>
      <c r="F208" t="inlineStr">
        <is>
          <t>Sveaskog</t>
        </is>
      </c>
      <c r="G208" t="n">
        <v>12.2</v>
      </c>
      <c r="H208" t="n">
        <v>0</v>
      </c>
      <c r="I208" t="n">
        <v>0</v>
      </c>
      <c r="J208" t="n">
        <v>0</v>
      </c>
      <c r="K208" t="n">
        <v>0</v>
      </c>
      <c r="L208" t="n">
        <v>0</v>
      </c>
      <c r="M208" t="n">
        <v>0</v>
      </c>
      <c r="N208" t="n">
        <v>0</v>
      </c>
      <c r="O208" t="n">
        <v>0</v>
      </c>
      <c r="P208" t="n">
        <v>0</v>
      </c>
      <c r="Q208" t="n">
        <v>0</v>
      </c>
      <c r="R208" s="2" t="inlineStr"/>
    </row>
    <row r="209" ht="15" customHeight="1">
      <c r="A209" t="inlineStr">
        <is>
          <t>A 72846-2021</t>
        </is>
      </c>
      <c r="B209" s="1" t="n">
        <v>44547</v>
      </c>
      <c r="C209" s="1" t="n">
        <v>45900</v>
      </c>
      <c r="D209" t="inlineStr">
        <is>
          <t>DALARNAS LÄN</t>
        </is>
      </c>
      <c r="E209" t="inlineStr">
        <is>
          <t>ÄLVDALEN</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45900</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45900</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45900</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59658-2021</t>
        </is>
      </c>
      <c r="B213" s="1" t="n">
        <v>44494.3159375</v>
      </c>
      <c r="C213" s="1" t="n">
        <v>45900</v>
      </c>
      <c r="D213" t="inlineStr">
        <is>
          <t>DALARNAS LÄN</t>
        </is>
      </c>
      <c r="E213" t="inlineStr">
        <is>
          <t>ÄLVDALEN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25602-2022</t>
        </is>
      </c>
      <c r="B214" s="1" t="n">
        <v>44732.6975</v>
      </c>
      <c r="C214" s="1" t="n">
        <v>45900</v>
      </c>
      <c r="D214" t="inlineStr">
        <is>
          <t>DALARNAS LÄN</t>
        </is>
      </c>
      <c r="E214" t="inlineStr">
        <is>
          <t>ÄLVDALEN</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54138-2020</t>
        </is>
      </c>
      <c r="B215" s="1" t="n">
        <v>44125</v>
      </c>
      <c r="C215" s="1" t="n">
        <v>45900</v>
      </c>
      <c r="D215" t="inlineStr">
        <is>
          <t>DALARNAS LÄN</t>
        </is>
      </c>
      <c r="E215" t="inlineStr">
        <is>
          <t>ÄLVDALEN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45900</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45900</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45900</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45900</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45900</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71282-2021</t>
        </is>
      </c>
      <c r="B221" s="1" t="n">
        <v>44539</v>
      </c>
      <c r="C221" s="1" t="n">
        <v>45900</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70252-2021</t>
        </is>
      </c>
      <c r="B222" s="1" t="n">
        <v>44536</v>
      </c>
      <c r="C222" s="1" t="n">
        <v>45900</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37490-2021</t>
        </is>
      </c>
      <c r="B223" s="1" t="n">
        <v>44399</v>
      </c>
      <c r="C223" s="1" t="n">
        <v>45900</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17627-2022</t>
        </is>
      </c>
      <c r="B224" s="1" t="n">
        <v>44680</v>
      </c>
      <c r="C224" s="1" t="n">
        <v>45900</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30255-2021</t>
        </is>
      </c>
      <c r="B225" s="1" t="n">
        <v>44363</v>
      </c>
      <c r="C225" s="1" t="n">
        <v>45900</v>
      </c>
      <c r="D225" t="inlineStr">
        <is>
          <t>DALARNAS LÄN</t>
        </is>
      </c>
      <c r="E225" t="inlineStr">
        <is>
          <t>ÄLVDALEN</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7530-2022</t>
        </is>
      </c>
      <c r="B226" s="1" t="n">
        <v>44607</v>
      </c>
      <c r="C226" s="1" t="n">
        <v>45900</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43990-2024</t>
        </is>
      </c>
      <c r="B227" s="1" t="n">
        <v>45572</v>
      </c>
      <c r="C227" s="1" t="n">
        <v>45900</v>
      </c>
      <c r="D227" t="inlineStr">
        <is>
          <t>DALARNAS LÄN</t>
        </is>
      </c>
      <c r="E227" t="inlineStr">
        <is>
          <t>ÄLVDALEN</t>
        </is>
      </c>
      <c r="F227" t="inlineStr">
        <is>
          <t>Kommuner</t>
        </is>
      </c>
      <c r="G227" t="n">
        <v>0</v>
      </c>
      <c r="H227" t="n">
        <v>0</v>
      </c>
      <c r="I227" t="n">
        <v>0</v>
      </c>
      <c r="J227" t="n">
        <v>0</v>
      </c>
      <c r="K227" t="n">
        <v>0</v>
      </c>
      <c r="L227" t="n">
        <v>0</v>
      </c>
      <c r="M227" t="n">
        <v>0</v>
      </c>
      <c r="N227" t="n">
        <v>0</v>
      </c>
      <c r="O227" t="n">
        <v>0</v>
      </c>
      <c r="P227" t="n">
        <v>0</v>
      </c>
      <c r="Q227" t="n">
        <v>0</v>
      </c>
      <c r="R227" s="2" t="inlineStr"/>
    </row>
    <row r="228" ht="15" customHeight="1">
      <c r="A228" t="inlineStr">
        <is>
          <t>A 54407-2022</t>
        </is>
      </c>
      <c r="B228" s="1" t="n">
        <v>44882.54866898148</v>
      </c>
      <c r="C228" s="1" t="n">
        <v>45900</v>
      </c>
      <c r="D228" t="inlineStr">
        <is>
          <t>DALARNAS LÄN</t>
        </is>
      </c>
      <c r="E228" t="inlineStr">
        <is>
          <t>ÄLVDALEN</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56487-2024</t>
        </is>
      </c>
      <c r="B229" s="1" t="n">
        <v>45625.48621527778</v>
      </c>
      <c r="C229" s="1" t="n">
        <v>45900</v>
      </c>
      <c r="D229" t="inlineStr">
        <is>
          <t>DALARNAS LÄN</t>
        </is>
      </c>
      <c r="E229" t="inlineStr">
        <is>
          <t>ÄLVDALEN</t>
        </is>
      </c>
      <c r="F229" t="inlineStr">
        <is>
          <t>Allmännings- och besparingsskogar</t>
        </is>
      </c>
      <c r="G229" t="n">
        <v>5.6</v>
      </c>
      <c r="H229" t="n">
        <v>0</v>
      </c>
      <c r="I229" t="n">
        <v>0</v>
      </c>
      <c r="J229" t="n">
        <v>0</v>
      </c>
      <c r="K229" t="n">
        <v>0</v>
      </c>
      <c r="L229" t="n">
        <v>0</v>
      </c>
      <c r="M229" t="n">
        <v>0</v>
      </c>
      <c r="N229" t="n">
        <v>0</v>
      </c>
      <c r="O229" t="n">
        <v>0</v>
      </c>
      <c r="P229" t="n">
        <v>0</v>
      </c>
      <c r="Q229" t="n">
        <v>0</v>
      </c>
      <c r="R229" s="2" t="inlineStr"/>
    </row>
    <row r="230" ht="15" customHeight="1">
      <c r="A230" t="inlineStr">
        <is>
          <t>A 60265-2021</t>
        </is>
      </c>
      <c r="B230" s="1" t="n">
        <v>44495.68053240741</v>
      </c>
      <c r="C230" s="1" t="n">
        <v>45900</v>
      </c>
      <c r="D230" t="inlineStr">
        <is>
          <t>DALARNAS LÄN</t>
        </is>
      </c>
      <c r="E230" t="inlineStr">
        <is>
          <t>ÄLVDALEN</t>
        </is>
      </c>
      <c r="F230" t="inlineStr">
        <is>
          <t>Allmännings- och besparingsskogar</t>
        </is>
      </c>
      <c r="G230" t="n">
        <v>10</v>
      </c>
      <c r="H230" t="n">
        <v>0</v>
      </c>
      <c r="I230" t="n">
        <v>0</v>
      </c>
      <c r="J230" t="n">
        <v>0</v>
      </c>
      <c r="K230" t="n">
        <v>0</v>
      </c>
      <c r="L230" t="n">
        <v>0</v>
      </c>
      <c r="M230" t="n">
        <v>0</v>
      </c>
      <c r="N230" t="n">
        <v>0</v>
      </c>
      <c r="O230" t="n">
        <v>0</v>
      </c>
      <c r="P230" t="n">
        <v>0</v>
      </c>
      <c r="Q230" t="n">
        <v>0</v>
      </c>
      <c r="R230" s="2" t="inlineStr"/>
    </row>
    <row r="231" ht="15" customHeight="1">
      <c r="A231" t="inlineStr">
        <is>
          <t>A 45245-2022</t>
        </is>
      </c>
      <c r="B231" s="1" t="n">
        <v>44844.48002314815</v>
      </c>
      <c r="C231" s="1" t="n">
        <v>45900</v>
      </c>
      <c r="D231" t="inlineStr">
        <is>
          <t>DALARNAS LÄN</t>
        </is>
      </c>
      <c r="E231" t="inlineStr">
        <is>
          <t>ÄLVDALEN</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30355-2021</t>
        </is>
      </c>
      <c r="B232" s="1" t="n">
        <v>44364</v>
      </c>
      <c r="C232" s="1" t="n">
        <v>45900</v>
      </c>
      <c r="D232" t="inlineStr">
        <is>
          <t>DALARNAS LÄN</t>
        </is>
      </c>
      <c r="E232" t="inlineStr">
        <is>
          <t>ÄLVDALEN</t>
        </is>
      </c>
      <c r="G232" t="n">
        <v>2.3</v>
      </c>
      <c r="H232" t="n">
        <v>0</v>
      </c>
      <c r="I232" t="n">
        <v>0</v>
      </c>
      <c r="J232" t="n">
        <v>0</v>
      </c>
      <c r="K232" t="n">
        <v>0</v>
      </c>
      <c r="L232" t="n">
        <v>0</v>
      </c>
      <c r="M232" t="n">
        <v>0</v>
      </c>
      <c r="N232" t="n">
        <v>0</v>
      </c>
      <c r="O232" t="n">
        <v>0</v>
      </c>
      <c r="P232" t="n">
        <v>0</v>
      </c>
      <c r="Q232" t="n">
        <v>0</v>
      </c>
      <c r="R232" s="2" t="inlineStr"/>
    </row>
    <row r="233" ht="15" customHeight="1">
      <c r="A233" t="inlineStr">
        <is>
          <t>A 46559-2023</t>
        </is>
      </c>
      <c r="B233" s="1" t="n">
        <v>45187</v>
      </c>
      <c r="C233" s="1" t="n">
        <v>45900</v>
      </c>
      <c r="D233" t="inlineStr">
        <is>
          <t>DALARNAS LÄN</t>
        </is>
      </c>
      <c r="E233" t="inlineStr">
        <is>
          <t>ÄLVDALEN</t>
        </is>
      </c>
      <c r="G233" t="n">
        <v>9.6</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45900</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27480-2022</t>
        </is>
      </c>
      <c r="B235" s="1" t="n">
        <v>44742.60590277778</v>
      </c>
      <c r="C235" s="1" t="n">
        <v>45900</v>
      </c>
      <c r="D235" t="inlineStr">
        <is>
          <t>DALARNAS LÄN</t>
        </is>
      </c>
      <c r="E235" t="inlineStr">
        <is>
          <t>ÄLVDALEN</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45900</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45900</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49063-2023</t>
        </is>
      </c>
      <c r="B238" s="1" t="n">
        <v>45210</v>
      </c>
      <c r="C238" s="1" t="n">
        <v>45900</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19992-2023</t>
        </is>
      </c>
      <c r="B239" s="1" t="n">
        <v>45054.61501157407</v>
      </c>
      <c r="C239" s="1" t="n">
        <v>45900</v>
      </c>
      <c r="D239" t="inlineStr">
        <is>
          <t>DALARNAS LÄN</t>
        </is>
      </c>
      <c r="E239" t="inlineStr">
        <is>
          <t>ÄLVDALEN</t>
        </is>
      </c>
      <c r="G239" t="n">
        <v>3.9</v>
      </c>
      <c r="H239" t="n">
        <v>0</v>
      </c>
      <c r="I239" t="n">
        <v>0</v>
      </c>
      <c r="J239" t="n">
        <v>0</v>
      </c>
      <c r="K239" t="n">
        <v>0</v>
      </c>
      <c r="L239" t="n">
        <v>0</v>
      </c>
      <c r="M239" t="n">
        <v>0</v>
      </c>
      <c r="N239" t="n">
        <v>0</v>
      </c>
      <c r="O239" t="n">
        <v>0</v>
      </c>
      <c r="P239" t="n">
        <v>0</v>
      </c>
      <c r="Q239" t="n">
        <v>0</v>
      </c>
      <c r="R239" s="2" t="inlineStr"/>
    </row>
    <row r="240" ht="15" customHeight="1">
      <c r="A240" t="inlineStr">
        <is>
          <t>A 2381-2024</t>
        </is>
      </c>
      <c r="B240" s="1" t="n">
        <v>45310.64228009259</v>
      </c>
      <c r="C240" s="1" t="n">
        <v>45900</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1081-2025</t>
        </is>
      </c>
      <c r="B241" s="1" t="n">
        <v>45666.61589120371</v>
      </c>
      <c r="C241" s="1" t="n">
        <v>45900</v>
      </c>
      <c r="D241" t="inlineStr">
        <is>
          <t>DALARNAS LÄN</t>
        </is>
      </c>
      <c r="E241" t="inlineStr">
        <is>
          <t>ÄLVDALEN</t>
        </is>
      </c>
      <c r="G241" t="n">
        <v>5.8</v>
      </c>
      <c r="H241" t="n">
        <v>0</v>
      </c>
      <c r="I241" t="n">
        <v>0</v>
      </c>
      <c r="J241" t="n">
        <v>0</v>
      </c>
      <c r="K241" t="n">
        <v>0</v>
      </c>
      <c r="L241" t="n">
        <v>0</v>
      </c>
      <c r="M241" t="n">
        <v>0</v>
      </c>
      <c r="N241" t="n">
        <v>0</v>
      </c>
      <c r="O241" t="n">
        <v>0</v>
      </c>
      <c r="P241" t="n">
        <v>0</v>
      </c>
      <c r="Q241" t="n">
        <v>0</v>
      </c>
      <c r="R241" s="2" t="inlineStr"/>
    </row>
    <row r="242" ht="15" customHeight="1">
      <c r="A242" t="inlineStr">
        <is>
          <t>A 1088-2025</t>
        </is>
      </c>
      <c r="B242" s="1" t="n">
        <v>45666.62162037037</v>
      </c>
      <c r="C242" s="1" t="n">
        <v>45900</v>
      </c>
      <c r="D242" t="inlineStr">
        <is>
          <t>DALARNAS LÄN</t>
        </is>
      </c>
      <c r="E242" t="inlineStr">
        <is>
          <t>ÄLVDALEN</t>
        </is>
      </c>
      <c r="G242" t="n">
        <v>5.4</v>
      </c>
      <c r="H242" t="n">
        <v>0</v>
      </c>
      <c r="I242" t="n">
        <v>0</v>
      </c>
      <c r="J242" t="n">
        <v>0</v>
      </c>
      <c r="K242" t="n">
        <v>0</v>
      </c>
      <c r="L242" t="n">
        <v>0</v>
      </c>
      <c r="M242" t="n">
        <v>0</v>
      </c>
      <c r="N242" t="n">
        <v>0</v>
      </c>
      <c r="O242" t="n">
        <v>0</v>
      </c>
      <c r="P242" t="n">
        <v>0</v>
      </c>
      <c r="Q242" t="n">
        <v>0</v>
      </c>
      <c r="R242" s="2" t="inlineStr"/>
    </row>
    <row r="243" ht="15" customHeight="1">
      <c r="A243" t="inlineStr">
        <is>
          <t>A 15760-2024</t>
        </is>
      </c>
      <c r="B243" s="1" t="n">
        <v>45404</v>
      </c>
      <c r="C243" s="1" t="n">
        <v>45900</v>
      </c>
      <c r="D243" t="inlineStr">
        <is>
          <t>DALARNAS LÄN</t>
        </is>
      </c>
      <c r="E243" t="inlineStr">
        <is>
          <t>ÄLVDALEN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53168-2024</t>
        </is>
      </c>
      <c r="B244" s="1" t="n">
        <v>45611.65569444445</v>
      </c>
      <c r="C244" s="1" t="n">
        <v>45900</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7232-2025</t>
        </is>
      </c>
      <c r="B245" s="1" t="n">
        <v>45702.51415509259</v>
      </c>
      <c r="C245" s="1" t="n">
        <v>45900</v>
      </c>
      <c r="D245" t="inlineStr">
        <is>
          <t>DALARNAS LÄN</t>
        </is>
      </c>
      <c r="E245" t="inlineStr">
        <is>
          <t>ÄLVDALEN</t>
        </is>
      </c>
      <c r="F245" t="inlineStr">
        <is>
          <t>Allmännings- och besparingsskogar</t>
        </is>
      </c>
      <c r="G245" t="n">
        <v>1.4</v>
      </c>
      <c r="H245" t="n">
        <v>0</v>
      </c>
      <c r="I245" t="n">
        <v>0</v>
      </c>
      <c r="J245" t="n">
        <v>0</v>
      </c>
      <c r="K245" t="n">
        <v>0</v>
      </c>
      <c r="L245" t="n">
        <v>0</v>
      </c>
      <c r="M245" t="n">
        <v>0</v>
      </c>
      <c r="N245" t="n">
        <v>0</v>
      </c>
      <c r="O245" t="n">
        <v>0</v>
      </c>
      <c r="P245" t="n">
        <v>0</v>
      </c>
      <c r="Q245" t="n">
        <v>0</v>
      </c>
      <c r="R245" s="2" t="inlineStr"/>
    </row>
    <row r="246" ht="15" customHeight="1">
      <c r="A246" t="inlineStr">
        <is>
          <t>A 5567-2021</t>
        </is>
      </c>
      <c r="B246" s="1" t="n">
        <v>44230</v>
      </c>
      <c r="C246" s="1" t="n">
        <v>45900</v>
      </c>
      <c r="D246" t="inlineStr">
        <is>
          <t>DALARNAS LÄN</t>
        </is>
      </c>
      <c r="E246" t="inlineStr">
        <is>
          <t>ÄLVDALEN</t>
        </is>
      </c>
      <c r="F246" t="inlineStr">
        <is>
          <t>Övriga statliga verk och myndigheter</t>
        </is>
      </c>
      <c r="G246" t="n">
        <v>29.1</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45900</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26080-2021</t>
        </is>
      </c>
      <c r="B248" s="1" t="n">
        <v>44344</v>
      </c>
      <c r="C248" s="1" t="n">
        <v>45900</v>
      </c>
      <c r="D248" t="inlineStr">
        <is>
          <t>DALARNAS LÄN</t>
        </is>
      </c>
      <c r="E248" t="inlineStr">
        <is>
          <t>ÄLVDALEN</t>
        </is>
      </c>
      <c r="G248" t="n">
        <v>2.3</v>
      </c>
      <c r="H248" t="n">
        <v>0</v>
      </c>
      <c r="I248" t="n">
        <v>0</v>
      </c>
      <c r="J248" t="n">
        <v>0</v>
      </c>
      <c r="K248" t="n">
        <v>0</v>
      </c>
      <c r="L248" t="n">
        <v>0</v>
      </c>
      <c r="M248" t="n">
        <v>0</v>
      </c>
      <c r="N248" t="n">
        <v>0</v>
      </c>
      <c r="O248" t="n">
        <v>0</v>
      </c>
      <c r="P248" t="n">
        <v>0</v>
      </c>
      <c r="Q248" t="n">
        <v>0</v>
      </c>
      <c r="R248" s="2" t="inlineStr"/>
    </row>
    <row r="249" ht="15" customHeight="1">
      <c r="A249" t="inlineStr">
        <is>
          <t>A 20924-2025</t>
        </is>
      </c>
      <c r="B249" s="1" t="n">
        <v>45777</v>
      </c>
      <c r="C249" s="1" t="n">
        <v>45900</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21395-2025</t>
        </is>
      </c>
      <c r="B250" s="1" t="n">
        <v>45782.48197916667</v>
      </c>
      <c r="C250" s="1" t="n">
        <v>45900</v>
      </c>
      <c r="D250" t="inlineStr">
        <is>
          <t>DALARNAS LÄN</t>
        </is>
      </c>
      <c r="E250" t="inlineStr">
        <is>
          <t>ÄLVDALEN</t>
        </is>
      </c>
      <c r="G250" t="n">
        <v>6.4</v>
      </c>
      <c r="H250" t="n">
        <v>0</v>
      </c>
      <c r="I250" t="n">
        <v>0</v>
      </c>
      <c r="J250" t="n">
        <v>0</v>
      </c>
      <c r="K250" t="n">
        <v>0</v>
      </c>
      <c r="L250" t="n">
        <v>0</v>
      </c>
      <c r="M250" t="n">
        <v>0</v>
      </c>
      <c r="N250" t="n">
        <v>0</v>
      </c>
      <c r="O250" t="n">
        <v>0</v>
      </c>
      <c r="P250" t="n">
        <v>0</v>
      </c>
      <c r="Q250" t="n">
        <v>0</v>
      </c>
      <c r="R250" s="2" t="inlineStr"/>
    </row>
    <row r="251" ht="15" customHeight="1">
      <c r="A251" t="inlineStr">
        <is>
          <t>A 53408-2023</t>
        </is>
      </c>
      <c r="B251" s="1" t="n">
        <v>45229</v>
      </c>
      <c r="C251" s="1" t="n">
        <v>45900</v>
      </c>
      <c r="D251" t="inlineStr">
        <is>
          <t>DALARNAS LÄN</t>
        </is>
      </c>
      <c r="E251" t="inlineStr">
        <is>
          <t>ÄLVDALEN</t>
        </is>
      </c>
      <c r="G251" t="n">
        <v>2</v>
      </c>
      <c r="H251" t="n">
        <v>0</v>
      </c>
      <c r="I251" t="n">
        <v>0</v>
      </c>
      <c r="J251" t="n">
        <v>0</v>
      </c>
      <c r="K251" t="n">
        <v>0</v>
      </c>
      <c r="L251" t="n">
        <v>0</v>
      </c>
      <c r="M251" t="n">
        <v>0</v>
      </c>
      <c r="N251" t="n">
        <v>0</v>
      </c>
      <c r="O251" t="n">
        <v>0</v>
      </c>
      <c r="P251" t="n">
        <v>0</v>
      </c>
      <c r="Q251" t="n">
        <v>0</v>
      </c>
      <c r="R251" s="2" t="inlineStr"/>
    </row>
    <row r="252" ht="15" customHeight="1">
      <c r="A252" t="inlineStr">
        <is>
          <t>A 20146-2025</t>
        </is>
      </c>
      <c r="B252" s="1" t="n">
        <v>45772.53324074074</v>
      </c>
      <c r="C252" s="1" t="n">
        <v>45900</v>
      </c>
      <c r="D252" t="inlineStr">
        <is>
          <t>DALARNAS LÄN</t>
        </is>
      </c>
      <c r="E252" t="inlineStr">
        <is>
          <t>ÄLVDALEN</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45900</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18075-2024</t>
        </is>
      </c>
      <c r="B254" s="1" t="n">
        <v>45420.43453703704</v>
      </c>
      <c r="C254" s="1" t="n">
        <v>45900</v>
      </c>
      <c r="D254" t="inlineStr">
        <is>
          <t>DALARNAS LÄN</t>
        </is>
      </c>
      <c r="E254" t="inlineStr">
        <is>
          <t>ÄLVDALEN</t>
        </is>
      </c>
      <c r="F254" t="inlineStr">
        <is>
          <t>Bergvik skog väst AB</t>
        </is>
      </c>
      <c r="G254" t="n">
        <v>8.6</v>
      </c>
      <c r="H254" t="n">
        <v>0</v>
      </c>
      <c r="I254" t="n">
        <v>0</v>
      </c>
      <c r="J254" t="n">
        <v>0</v>
      </c>
      <c r="K254" t="n">
        <v>0</v>
      </c>
      <c r="L254" t="n">
        <v>0</v>
      </c>
      <c r="M254" t="n">
        <v>0</v>
      </c>
      <c r="N254" t="n">
        <v>0</v>
      </c>
      <c r="O254" t="n">
        <v>0</v>
      </c>
      <c r="P254" t="n">
        <v>0</v>
      </c>
      <c r="Q254" t="n">
        <v>0</v>
      </c>
      <c r="R254" s="2" t="inlineStr"/>
    </row>
    <row r="255" ht="15" customHeight="1">
      <c r="A255" t="inlineStr">
        <is>
          <t>A 46881-2020</t>
        </is>
      </c>
      <c r="B255" s="1" t="n">
        <v>44096</v>
      </c>
      <c r="C255" s="1" t="n">
        <v>45900</v>
      </c>
      <c r="D255" t="inlineStr">
        <is>
          <t>DALARNAS LÄN</t>
        </is>
      </c>
      <c r="E255" t="inlineStr">
        <is>
          <t>ÄLVDALEN</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45900</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45900</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21629-2025</t>
        </is>
      </c>
      <c r="B258" s="1" t="n">
        <v>45783.4247337963</v>
      </c>
      <c r="C258" s="1" t="n">
        <v>45900</v>
      </c>
      <c r="D258" t="inlineStr">
        <is>
          <t>DALARNAS LÄN</t>
        </is>
      </c>
      <c r="E258" t="inlineStr">
        <is>
          <t>ÄLVDALEN</t>
        </is>
      </c>
      <c r="G258" t="n">
        <v>1.8</v>
      </c>
      <c r="H258" t="n">
        <v>0</v>
      </c>
      <c r="I258" t="n">
        <v>0</v>
      </c>
      <c r="J258" t="n">
        <v>0</v>
      </c>
      <c r="K258" t="n">
        <v>0</v>
      </c>
      <c r="L258" t="n">
        <v>0</v>
      </c>
      <c r="M258" t="n">
        <v>0</v>
      </c>
      <c r="N258" t="n">
        <v>0</v>
      </c>
      <c r="O258" t="n">
        <v>0</v>
      </c>
      <c r="P258" t="n">
        <v>0</v>
      </c>
      <c r="Q258" t="n">
        <v>0</v>
      </c>
      <c r="R258" s="2" t="inlineStr"/>
    </row>
    <row r="259" ht="15" customHeight="1">
      <c r="A259" t="inlineStr">
        <is>
          <t>A 21613-2025</t>
        </is>
      </c>
      <c r="B259" s="1" t="n">
        <v>45783.39542824074</v>
      </c>
      <c r="C259" s="1" t="n">
        <v>45900</v>
      </c>
      <c r="D259" t="inlineStr">
        <is>
          <t>DALARNAS LÄN</t>
        </is>
      </c>
      <c r="E259" t="inlineStr">
        <is>
          <t>ÄLVDALEN</t>
        </is>
      </c>
      <c r="G259" t="n">
        <v>3.4</v>
      </c>
      <c r="H259" t="n">
        <v>0</v>
      </c>
      <c r="I259" t="n">
        <v>0</v>
      </c>
      <c r="J259" t="n">
        <v>0</v>
      </c>
      <c r="K259" t="n">
        <v>0</v>
      </c>
      <c r="L259" t="n">
        <v>0</v>
      </c>
      <c r="M259" t="n">
        <v>0</v>
      </c>
      <c r="N259" t="n">
        <v>0</v>
      </c>
      <c r="O259" t="n">
        <v>0</v>
      </c>
      <c r="P259" t="n">
        <v>0</v>
      </c>
      <c r="Q259" t="n">
        <v>0</v>
      </c>
      <c r="R259" s="2" t="inlineStr"/>
    </row>
    <row r="260" ht="15" customHeight="1">
      <c r="A260" t="inlineStr">
        <is>
          <t>A 5883-2024</t>
        </is>
      </c>
      <c r="B260" s="1" t="n">
        <v>45335.69585648148</v>
      </c>
      <c r="C260" s="1" t="n">
        <v>45900</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37061-2024</t>
        </is>
      </c>
      <c r="B261" s="1" t="n">
        <v>45539</v>
      </c>
      <c r="C261" s="1" t="n">
        <v>45900</v>
      </c>
      <c r="D261" t="inlineStr">
        <is>
          <t>DALARNAS LÄN</t>
        </is>
      </c>
      <c r="E261" t="inlineStr">
        <is>
          <t>ÄLVDALEN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21832-2021</t>
        </is>
      </c>
      <c r="B262" s="1" t="n">
        <v>44322.6378125</v>
      </c>
      <c r="C262" s="1" t="n">
        <v>45900</v>
      </c>
      <c r="D262" t="inlineStr">
        <is>
          <t>DALARNAS LÄN</t>
        </is>
      </c>
      <c r="E262" t="inlineStr">
        <is>
          <t>ÄLVDALEN</t>
        </is>
      </c>
      <c r="F262" t="inlineStr">
        <is>
          <t>Allmännings- och besparingsskogar</t>
        </is>
      </c>
      <c r="G262" t="n">
        <v>2.5</v>
      </c>
      <c r="H262" t="n">
        <v>0</v>
      </c>
      <c r="I262" t="n">
        <v>0</v>
      </c>
      <c r="J262" t="n">
        <v>0</v>
      </c>
      <c r="K262" t="n">
        <v>0</v>
      </c>
      <c r="L262" t="n">
        <v>0</v>
      </c>
      <c r="M262" t="n">
        <v>0</v>
      </c>
      <c r="N262" t="n">
        <v>0</v>
      </c>
      <c r="O262" t="n">
        <v>0</v>
      </c>
      <c r="P262" t="n">
        <v>0</v>
      </c>
      <c r="Q262" t="n">
        <v>0</v>
      </c>
      <c r="R262" s="2" t="inlineStr"/>
    </row>
    <row r="263" ht="15" customHeight="1">
      <c r="A263" t="inlineStr">
        <is>
          <t>A 23553-2025</t>
        </is>
      </c>
      <c r="B263" s="1" t="n">
        <v>45792</v>
      </c>
      <c r="C263" s="1" t="n">
        <v>45900</v>
      </c>
      <c r="D263" t="inlineStr">
        <is>
          <t>DALARNAS LÄN</t>
        </is>
      </c>
      <c r="E263" t="inlineStr">
        <is>
          <t>ÄLVDALEN</t>
        </is>
      </c>
      <c r="G263" t="n">
        <v>46.2</v>
      </c>
      <c r="H263" t="n">
        <v>0</v>
      </c>
      <c r="I263" t="n">
        <v>0</v>
      </c>
      <c r="J263" t="n">
        <v>0</v>
      </c>
      <c r="K263" t="n">
        <v>0</v>
      </c>
      <c r="L263" t="n">
        <v>0</v>
      </c>
      <c r="M263" t="n">
        <v>0</v>
      </c>
      <c r="N263" t="n">
        <v>0</v>
      </c>
      <c r="O263" t="n">
        <v>0</v>
      </c>
      <c r="P263" t="n">
        <v>0</v>
      </c>
      <c r="Q263" t="n">
        <v>0</v>
      </c>
      <c r="R263" s="2" t="inlineStr"/>
    </row>
    <row r="264" ht="15" customHeight="1">
      <c r="A264" t="inlineStr">
        <is>
          <t>A 28473-2024</t>
        </is>
      </c>
      <c r="B264" s="1" t="n">
        <v>45477.73017361111</v>
      </c>
      <c r="C264" s="1" t="n">
        <v>45900</v>
      </c>
      <c r="D264" t="inlineStr">
        <is>
          <t>DALARNAS LÄN</t>
        </is>
      </c>
      <c r="E264" t="inlineStr">
        <is>
          <t>ÄLVDALEN</t>
        </is>
      </c>
      <c r="G264" t="n">
        <v>5</v>
      </c>
      <c r="H264" t="n">
        <v>0</v>
      </c>
      <c r="I264" t="n">
        <v>0</v>
      </c>
      <c r="J264" t="n">
        <v>0</v>
      </c>
      <c r="K264" t="n">
        <v>0</v>
      </c>
      <c r="L264" t="n">
        <v>0</v>
      </c>
      <c r="M264" t="n">
        <v>0</v>
      </c>
      <c r="N264" t="n">
        <v>0</v>
      </c>
      <c r="O264" t="n">
        <v>0</v>
      </c>
      <c r="P264" t="n">
        <v>0</v>
      </c>
      <c r="Q264" t="n">
        <v>0</v>
      </c>
      <c r="R264" s="2" t="inlineStr"/>
    </row>
    <row r="265" ht="15" customHeight="1">
      <c r="A265" t="inlineStr">
        <is>
          <t>A 28479-2024</t>
        </is>
      </c>
      <c r="B265" s="1" t="n">
        <v>45477.74017361111</v>
      </c>
      <c r="C265" s="1" t="n">
        <v>45900</v>
      </c>
      <c r="D265" t="inlineStr">
        <is>
          <t>DALARNAS LÄN</t>
        </is>
      </c>
      <c r="E265" t="inlineStr">
        <is>
          <t>ÄLVDALEN</t>
        </is>
      </c>
      <c r="G265" t="n">
        <v>4.1</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45900</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45900</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63079-2021</t>
        </is>
      </c>
      <c r="B268" s="1" t="n">
        <v>44505.56753472222</v>
      </c>
      <c r="C268" s="1" t="n">
        <v>45900</v>
      </c>
      <c r="D268" t="inlineStr">
        <is>
          <t>DALARNAS LÄN</t>
        </is>
      </c>
      <c r="E268" t="inlineStr">
        <is>
          <t>ÄLVDALEN</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22189-2025</t>
        </is>
      </c>
      <c r="B269" s="1" t="n">
        <v>45785.62479166667</v>
      </c>
      <c r="C269" s="1" t="n">
        <v>45900</v>
      </c>
      <c r="D269" t="inlineStr">
        <is>
          <t>DALARNAS LÄN</t>
        </is>
      </c>
      <c r="E269" t="inlineStr">
        <is>
          <t>ÄLVDALEN</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74324-2021</t>
        </is>
      </c>
      <c r="B270" s="1" t="n">
        <v>44558</v>
      </c>
      <c r="C270" s="1" t="n">
        <v>45900</v>
      </c>
      <c r="D270" t="inlineStr">
        <is>
          <t>DALARNAS LÄN</t>
        </is>
      </c>
      <c r="E270" t="inlineStr">
        <is>
          <t>ÄLVDALEN</t>
        </is>
      </c>
      <c r="G270" t="n">
        <v>1.2</v>
      </c>
      <c r="H270" t="n">
        <v>0</v>
      </c>
      <c r="I270" t="n">
        <v>0</v>
      </c>
      <c r="J270" t="n">
        <v>0</v>
      </c>
      <c r="K270" t="n">
        <v>0</v>
      </c>
      <c r="L270" t="n">
        <v>0</v>
      </c>
      <c r="M270" t="n">
        <v>0</v>
      </c>
      <c r="N270" t="n">
        <v>0</v>
      </c>
      <c r="O270" t="n">
        <v>0</v>
      </c>
      <c r="P270" t="n">
        <v>0</v>
      </c>
      <c r="Q270" t="n">
        <v>0</v>
      </c>
      <c r="R270" s="2" t="inlineStr"/>
    </row>
    <row r="271" ht="15" customHeight="1">
      <c r="A271" t="inlineStr">
        <is>
          <t>A 28239-2024</t>
        </is>
      </c>
      <c r="B271" s="1" t="n">
        <v>45468</v>
      </c>
      <c r="C271" s="1" t="n">
        <v>45900</v>
      </c>
      <c r="D271" t="inlineStr">
        <is>
          <t>DALARNAS LÄN</t>
        </is>
      </c>
      <c r="E271" t="inlineStr">
        <is>
          <t>ÄLVDALEN</t>
        </is>
      </c>
      <c r="G271" t="n">
        <v>4</v>
      </c>
      <c r="H271" t="n">
        <v>0</v>
      </c>
      <c r="I271" t="n">
        <v>0</v>
      </c>
      <c r="J271" t="n">
        <v>0</v>
      </c>
      <c r="K271" t="n">
        <v>0</v>
      </c>
      <c r="L271" t="n">
        <v>0</v>
      </c>
      <c r="M271" t="n">
        <v>0</v>
      </c>
      <c r="N271" t="n">
        <v>0</v>
      </c>
      <c r="O271" t="n">
        <v>0</v>
      </c>
      <c r="P271" t="n">
        <v>0</v>
      </c>
      <c r="Q271" t="n">
        <v>0</v>
      </c>
      <c r="R271" s="2" t="inlineStr"/>
    </row>
    <row r="272" ht="15" customHeight="1">
      <c r="A272" t="inlineStr">
        <is>
          <t>A 33102-2023</t>
        </is>
      </c>
      <c r="B272" s="1" t="n">
        <v>45114</v>
      </c>
      <c r="C272" s="1" t="n">
        <v>45900</v>
      </c>
      <c r="D272" t="inlineStr">
        <is>
          <t>DALARNAS LÄN</t>
        </is>
      </c>
      <c r="E272" t="inlineStr">
        <is>
          <t>ÄLVDALEN</t>
        </is>
      </c>
      <c r="G272" t="n">
        <v>1.6</v>
      </c>
      <c r="H272" t="n">
        <v>0</v>
      </c>
      <c r="I272" t="n">
        <v>0</v>
      </c>
      <c r="J272" t="n">
        <v>0</v>
      </c>
      <c r="K272" t="n">
        <v>0</v>
      </c>
      <c r="L272" t="n">
        <v>0</v>
      </c>
      <c r="M272" t="n">
        <v>0</v>
      </c>
      <c r="N272" t="n">
        <v>0</v>
      </c>
      <c r="O272" t="n">
        <v>0</v>
      </c>
      <c r="P272" t="n">
        <v>0</v>
      </c>
      <c r="Q272" t="n">
        <v>0</v>
      </c>
      <c r="R272" s="2" t="inlineStr"/>
    </row>
    <row r="273" ht="15" customHeight="1">
      <c r="A273" t="inlineStr">
        <is>
          <t>A 38277-2024</t>
        </is>
      </c>
      <c r="B273" s="1" t="n">
        <v>45545.61171296296</v>
      </c>
      <c r="C273" s="1" t="n">
        <v>45900</v>
      </c>
      <c r="D273" t="inlineStr">
        <is>
          <t>DALARNAS LÄN</t>
        </is>
      </c>
      <c r="E273" t="inlineStr">
        <is>
          <t>ÄLVDALEN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22279-2025</t>
        </is>
      </c>
      <c r="B274" s="1" t="n">
        <v>45786.33336805556</v>
      </c>
      <c r="C274" s="1" t="n">
        <v>45900</v>
      </c>
      <c r="D274" t="inlineStr">
        <is>
          <t>DALARNAS LÄN</t>
        </is>
      </c>
      <c r="E274" t="inlineStr">
        <is>
          <t>ÄLVDALEN</t>
        </is>
      </c>
      <c r="F274" t="inlineStr">
        <is>
          <t>Allmännings- och besparingsskogar</t>
        </is>
      </c>
      <c r="G274" t="n">
        <v>11.2</v>
      </c>
      <c r="H274" t="n">
        <v>0</v>
      </c>
      <c r="I274" t="n">
        <v>0</v>
      </c>
      <c r="J274" t="n">
        <v>0</v>
      </c>
      <c r="K274" t="n">
        <v>0</v>
      </c>
      <c r="L274" t="n">
        <v>0</v>
      </c>
      <c r="M274" t="n">
        <v>0</v>
      </c>
      <c r="N274" t="n">
        <v>0</v>
      </c>
      <c r="O274" t="n">
        <v>0</v>
      </c>
      <c r="P274" t="n">
        <v>0</v>
      </c>
      <c r="Q274" t="n">
        <v>0</v>
      </c>
      <c r="R274" s="2" t="inlineStr"/>
    </row>
    <row r="275" ht="15" customHeight="1">
      <c r="A275" t="inlineStr">
        <is>
          <t>A 32361-2024</t>
        </is>
      </c>
      <c r="B275" s="1" t="n">
        <v>45512.56725694444</v>
      </c>
      <c r="C275" s="1" t="n">
        <v>45900</v>
      </c>
      <c r="D275" t="inlineStr">
        <is>
          <t>DALARNAS LÄN</t>
        </is>
      </c>
      <c r="E275" t="inlineStr">
        <is>
          <t>ÄLVDALEN</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32363-2024</t>
        </is>
      </c>
      <c r="B276" s="1" t="n">
        <v>45512</v>
      </c>
      <c r="C276" s="1" t="n">
        <v>45900</v>
      </c>
      <c r="D276" t="inlineStr">
        <is>
          <t>DALARNAS LÄN</t>
        </is>
      </c>
      <c r="E276" t="inlineStr">
        <is>
          <t>ÄLVDALEN</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30727-2024</t>
        </is>
      </c>
      <c r="B277" s="1" t="n">
        <v>45496.55789351852</v>
      </c>
      <c r="C277" s="1" t="n">
        <v>45900</v>
      </c>
      <c r="D277" t="inlineStr">
        <is>
          <t>DALARNAS LÄN</t>
        </is>
      </c>
      <c r="E277" t="inlineStr">
        <is>
          <t>ÄLVDALEN</t>
        </is>
      </c>
      <c r="F277" t="inlineStr">
        <is>
          <t>Allmännings- och besparingsskogar</t>
        </is>
      </c>
      <c r="G277" t="n">
        <v>35.7</v>
      </c>
      <c r="H277" t="n">
        <v>0</v>
      </c>
      <c r="I277" t="n">
        <v>0</v>
      </c>
      <c r="J277" t="n">
        <v>0</v>
      </c>
      <c r="K277" t="n">
        <v>0</v>
      </c>
      <c r="L277" t="n">
        <v>0</v>
      </c>
      <c r="M277" t="n">
        <v>0</v>
      </c>
      <c r="N277" t="n">
        <v>0</v>
      </c>
      <c r="O277" t="n">
        <v>0</v>
      </c>
      <c r="P277" t="n">
        <v>0</v>
      </c>
      <c r="Q277" t="n">
        <v>0</v>
      </c>
      <c r="R277" s="2" t="inlineStr"/>
    </row>
    <row r="278" ht="15" customHeight="1">
      <c r="A278" t="inlineStr">
        <is>
          <t>A 19708-2024</t>
        </is>
      </c>
      <c r="B278" s="1" t="n">
        <v>45432.55324074074</v>
      </c>
      <c r="C278" s="1" t="n">
        <v>45900</v>
      </c>
      <c r="D278" t="inlineStr">
        <is>
          <t>DALARNAS LÄN</t>
        </is>
      </c>
      <c r="E278" t="inlineStr">
        <is>
          <t>ÄLVDALEN</t>
        </is>
      </c>
      <c r="G278" t="n">
        <v>12.4</v>
      </c>
      <c r="H278" t="n">
        <v>0</v>
      </c>
      <c r="I278" t="n">
        <v>0</v>
      </c>
      <c r="J278" t="n">
        <v>0</v>
      </c>
      <c r="K278" t="n">
        <v>0</v>
      </c>
      <c r="L278" t="n">
        <v>0</v>
      </c>
      <c r="M278" t="n">
        <v>0</v>
      </c>
      <c r="N278" t="n">
        <v>0</v>
      </c>
      <c r="O278" t="n">
        <v>0</v>
      </c>
      <c r="P278" t="n">
        <v>0</v>
      </c>
      <c r="Q278" t="n">
        <v>0</v>
      </c>
      <c r="R278" s="2" t="inlineStr"/>
    </row>
    <row r="279" ht="15" customHeight="1">
      <c r="A279" t="inlineStr">
        <is>
          <t>A 21469-2024</t>
        </is>
      </c>
      <c r="B279" s="1" t="n">
        <v>45441.486875</v>
      </c>
      <c r="C279" s="1" t="n">
        <v>45900</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49968-2020</t>
        </is>
      </c>
      <c r="B280" s="1" t="n">
        <v>44109</v>
      </c>
      <c r="C280" s="1" t="n">
        <v>45900</v>
      </c>
      <c r="D280" t="inlineStr">
        <is>
          <t>DALARNAS LÄN</t>
        </is>
      </c>
      <c r="E280" t="inlineStr">
        <is>
          <t>ÄLVDALEN</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45900</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22577-2025</t>
        </is>
      </c>
      <c r="B282" s="1" t="n">
        <v>45789.36928240741</v>
      </c>
      <c r="C282" s="1" t="n">
        <v>45900</v>
      </c>
      <c r="D282" t="inlineStr">
        <is>
          <t>DALARNAS LÄN</t>
        </is>
      </c>
      <c r="E282" t="inlineStr">
        <is>
          <t>ÄLVDALEN</t>
        </is>
      </c>
      <c r="F282" t="inlineStr">
        <is>
          <t>Allmännings- och besparingsskogar</t>
        </is>
      </c>
      <c r="G282" t="n">
        <v>18.1</v>
      </c>
      <c r="H282" t="n">
        <v>0</v>
      </c>
      <c r="I282" t="n">
        <v>0</v>
      </c>
      <c r="J282" t="n">
        <v>0</v>
      </c>
      <c r="K282" t="n">
        <v>0</v>
      </c>
      <c r="L282" t="n">
        <v>0</v>
      </c>
      <c r="M282" t="n">
        <v>0</v>
      </c>
      <c r="N282" t="n">
        <v>0</v>
      </c>
      <c r="O282" t="n">
        <v>0</v>
      </c>
      <c r="P282" t="n">
        <v>0</v>
      </c>
      <c r="Q282" t="n">
        <v>0</v>
      </c>
      <c r="R282" s="2" t="inlineStr"/>
    </row>
    <row r="283" ht="15" customHeight="1">
      <c r="A283" t="inlineStr">
        <is>
          <t>A 31047-2024</t>
        </is>
      </c>
      <c r="B283" s="1" t="n">
        <v>45502.33021990741</v>
      </c>
      <c r="C283" s="1" t="n">
        <v>45900</v>
      </c>
      <c r="D283" t="inlineStr">
        <is>
          <t>DALARNAS LÄN</t>
        </is>
      </c>
      <c r="E283" t="inlineStr">
        <is>
          <t>ÄLVDALEN</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45167-2022</t>
        </is>
      </c>
      <c r="B284" s="1" t="n">
        <v>44844</v>
      </c>
      <c r="C284" s="1" t="n">
        <v>45900</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45900</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47525-2024</t>
        </is>
      </c>
      <c r="B286" s="1" t="n">
        <v>45587.6328587963</v>
      </c>
      <c r="C286" s="1" t="n">
        <v>45900</v>
      </c>
      <c r="D286" t="inlineStr">
        <is>
          <t>DALARNAS LÄN</t>
        </is>
      </c>
      <c r="E286" t="inlineStr">
        <is>
          <t>ÄLVDALEN</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34835-2023</t>
        </is>
      </c>
      <c r="B287" s="1" t="n">
        <v>45141</v>
      </c>
      <c r="C287" s="1" t="n">
        <v>45900</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22303-2025</t>
        </is>
      </c>
      <c r="B288" s="1" t="n">
        <v>45786</v>
      </c>
      <c r="C288" s="1" t="n">
        <v>45900</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22559-2025</t>
        </is>
      </c>
      <c r="B289" s="1" t="n">
        <v>45789.32916666667</v>
      </c>
      <c r="C289" s="1" t="n">
        <v>45900</v>
      </c>
      <c r="D289" t="inlineStr">
        <is>
          <t>DALARNAS LÄN</t>
        </is>
      </c>
      <c r="E289" t="inlineStr">
        <is>
          <t>ÄLVDALEN</t>
        </is>
      </c>
      <c r="F289" t="inlineStr">
        <is>
          <t>Allmännings- och besparingsskogar</t>
        </is>
      </c>
      <c r="G289" t="n">
        <v>6.4</v>
      </c>
      <c r="H289" t="n">
        <v>0</v>
      </c>
      <c r="I289" t="n">
        <v>0</v>
      </c>
      <c r="J289" t="n">
        <v>0</v>
      </c>
      <c r="K289" t="n">
        <v>0</v>
      </c>
      <c r="L289" t="n">
        <v>0</v>
      </c>
      <c r="M289" t="n">
        <v>0</v>
      </c>
      <c r="N289" t="n">
        <v>0</v>
      </c>
      <c r="O289" t="n">
        <v>0</v>
      </c>
      <c r="P289" t="n">
        <v>0</v>
      </c>
      <c r="Q289" t="n">
        <v>0</v>
      </c>
      <c r="R289" s="2" t="inlineStr"/>
    </row>
    <row r="290" ht="15" customHeight="1">
      <c r="A290" t="inlineStr">
        <is>
          <t>A 22631-2025</t>
        </is>
      </c>
      <c r="B290" s="1" t="n">
        <v>45789.44056712963</v>
      </c>
      <c r="C290" s="1" t="n">
        <v>45900</v>
      </c>
      <c r="D290" t="inlineStr">
        <is>
          <t>DALARNAS LÄN</t>
        </is>
      </c>
      <c r="E290" t="inlineStr">
        <is>
          <t>ÄLVDALEN</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22909-2025</t>
        </is>
      </c>
      <c r="B291" s="1" t="n">
        <v>45790.42219907408</v>
      </c>
      <c r="C291" s="1" t="n">
        <v>45900</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629-2025</t>
        </is>
      </c>
      <c r="B292" s="1" t="n">
        <v>45660</v>
      </c>
      <c r="C292" s="1" t="n">
        <v>45900</v>
      </c>
      <c r="D292" t="inlineStr">
        <is>
          <t>DALARNAS LÄN</t>
        </is>
      </c>
      <c r="E292" t="inlineStr">
        <is>
          <t>ÄLVDALEN</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45900</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23555-2025</t>
        </is>
      </c>
      <c r="B294" s="1" t="n">
        <v>45792.57824074074</v>
      </c>
      <c r="C294" s="1" t="n">
        <v>45900</v>
      </c>
      <c r="D294" t="inlineStr">
        <is>
          <t>DALARNAS LÄN</t>
        </is>
      </c>
      <c r="E294" t="inlineStr">
        <is>
          <t>ÄLVDALEN</t>
        </is>
      </c>
      <c r="G294" t="n">
        <v>3.1</v>
      </c>
      <c r="H294" t="n">
        <v>0</v>
      </c>
      <c r="I294" t="n">
        <v>0</v>
      </c>
      <c r="J294" t="n">
        <v>0</v>
      </c>
      <c r="K294" t="n">
        <v>0</v>
      </c>
      <c r="L294" t="n">
        <v>0</v>
      </c>
      <c r="M294" t="n">
        <v>0</v>
      </c>
      <c r="N294" t="n">
        <v>0</v>
      </c>
      <c r="O294" t="n">
        <v>0</v>
      </c>
      <c r="P294" t="n">
        <v>0</v>
      </c>
      <c r="Q294" t="n">
        <v>0</v>
      </c>
      <c r="R294" s="2" t="inlineStr"/>
    </row>
    <row r="295" ht="15" customHeight="1">
      <c r="A295" t="inlineStr">
        <is>
          <t>A 51967-2023</t>
        </is>
      </c>
      <c r="B295" s="1" t="n">
        <v>45223.56440972222</v>
      </c>
      <c r="C295" s="1" t="n">
        <v>45900</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23219-2025</t>
        </is>
      </c>
      <c r="B296" s="1" t="n">
        <v>45791.47893518519</v>
      </c>
      <c r="C296" s="1" t="n">
        <v>45900</v>
      </c>
      <c r="D296" t="inlineStr">
        <is>
          <t>DALARNAS LÄN</t>
        </is>
      </c>
      <c r="E296" t="inlineStr">
        <is>
          <t>ÄLVDALEN</t>
        </is>
      </c>
      <c r="F296" t="inlineStr">
        <is>
          <t>Bergvik skog öst AB</t>
        </is>
      </c>
      <c r="G296" t="n">
        <v>16.7</v>
      </c>
      <c r="H296" t="n">
        <v>0</v>
      </c>
      <c r="I296" t="n">
        <v>0</v>
      </c>
      <c r="J296" t="n">
        <v>0</v>
      </c>
      <c r="K296" t="n">
        <v>0</v>
      </c>
      <c r="L296" t="n">
        <v>0</v>
      </c>
      <c r="M296" t="n">
        <v>0</v>
      </c>
      <c r="N296" t="n">
        <v>0</v>
      </c>
      <c r="O296" t="n">
        <v>0</v>
      </c>
      <c r="P296" t="n">
        <v>0</v>
      </c>
      <c r="Q296" t="n">
        <v>0</v>
      </c>
      <c r="R296" s="2" t="inlineStr"/>
    </row>
    <row r="297" ht="15" customHeight="1">
      <c r="A297" t="inlineStr">
        <is>
          <t>A 17051-2023</t>
        </is>
      </c>
      <c r="B297" s="1" t="n">
        <v>45034</v>
      </c>
      <c r="C297" s="1" t="n">
        <v>45900</v>
      </c>
      <c r="D297" t="inlineStr">
        <is>
          <t>DALARNAS LÄN</t>
        </is>
      </c>
      <c r="E297" t="inlineStr">
        <is>
          <t>ÄLVDALEN</t>
        </is>
      </c>
      <c r="G297" t="n">
        <v>4.2</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45900</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47071-2023</t>
        </is>
      </c>
      <c r="B299" s="1" t="n">
        <v>45201.60141203704</v>
      </c>
      <c r="C299" s="1" t="n">
        <v>45900</v>
      </c>
      <c r="D299" t="inlineStr">
        <is>
          <t>DALARNAS LÄN</t>
        </is>
      </c>
      <c r="E299" t="inlineStr">
        <is>
          <t>ÄLVDALEN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50056-2024</t>
        </is>
      </c>
      <c r="B300" s="1" t="n">
        <v>45600.34134259259</v>
      </c>
      <c r="C300" s="1" t="n">
        <v>45900</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62314-2022</t>
        </is>
      </c>
      <c r="B301" s="1" t="n">
        <v>44916</v>
      </c>
      <c r="C301" s="1" t="n">
        <v>45900</v>
      </c>
      <c r="D301" t="inlineStr">
        <is>
          <t>DALARNAS LÄN</t>
        </is>
      </c>
      <c r="E301" t="inlineStr">
        <is>
          <t>ÄLVDALEN</t>
        </is>
      </c>
      <c r="G301" t="n">
        <v>2.7</v>
      </c>
      <c r="H301" t="n">
        <v>0</v>
      </c>
      <c r="I301" t="n">
        <v>0</v>
      </c>
      <c r="J301" t="n">
        <v>0</v>
      </c>
      <c r="K301" t="n">
        <v>0</v>
      </c>
      <c r="L301" t="n">
        <v>0</v>
      </c>
      <c r="M301" t="n">
        <v>0</v>
      </c>
      <c r="N301" t="n">
        <v>0</v>
      </c>
      <c r="O301" t="n">
        <v>0</v>
      </c>
      <c r="P301" t="n">
        <v>0</v>
      </c>
      <c r="Q301" t="n">
        <v>0</v>
      </c>
      <c r="R301" s="2" t="inlineStr"/>
    </row>
    <row r="302" ht="15" customHeight="1">
      <c r="A302" t="inlineStr">
        <is>
          <t>A 47751-2024</t>
        </is>
      </c>
      <c r="B302" s="1" t="n">
        <v>45588.53628472222</v>
      </c>
      <c r="C302" s="1" t="n">
        <v>45900</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32352-2023</t>
        </is>
      </c>
      <c r="B303" s="1" t="n">
        <v>45120</v>
      </c>
      <c r="C303" s="1" t="n">
        <v>45900</v>
      </c>
      <c r="D303" t="inlineStr">
        <is>
          <t>DALARNAS LÄN</t>
        </is>
      </c>
      <c r="E303" t="inlineStr">
        <is>
          <t>ÄLVDALEN</t>
        </is>
      </c>
      <c r="G303" t="n">
        <v>2</v>
      </c>
      <c r="H303" t="n">
        <v>0</v>
      </c>
      <c r="I303" t="n">
        <v>0</v>
      </c>
      <c r="J303" t="n">
        <v>0</v>
      </c>
      <c r="K303" t="n">
        <v>0</v>
      </c>
      <c r="L303" t="n">
        <v>0</v>
      </c>
      <c r="M303" t="n">
        <v>0</v>
      </c>
      <c r="N303" t="n">
        <v>0</v>
      </c>
      <c r="O303" t="n">
        <v>0</v>
      </c>
      <c r="P303" t="n">
        <v>0</v>
      </c>
      <c r="Q303" t="n">
        <v>0</v>
      </c>
      <c r="R303" s="2" t="inlineStr"/>
    </row>
    <row r="304" ht="15" customHeight="1">
      <c r="A304" t="inlineStr">
        <is>
          <t>A 23328-2024</t>
        </is>
      </c>
      <c r="B304" s="1" t="n">
        <v>45453.46716435185</v>
      </c>
      <c r="C304" s="1" t="n">
        <v>45900</v>
      </c>
      <c r="D304" t="inlineStr">
        <is>
          <t>DALARNAS LÄN</t>
        </is>
      </c>
      <c r="E304" t="inlineStr">
        <is>
          <t>ÄLVDALEN</t>
        </is>
      </c>
      <c r="G304" t="n">
        <v>2.7</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45835.61434027777</v>
      </c>
      <c r="C305" s="1" t="n">
        <v>45900</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5170-2024</t>
        </is>
      </c>
      <c r="B306" s="1" t="n">
        <v>45330.55390046296</v>
      </c>
      <c r="C306" s="1" t="n">
        <v>45900</v>
      </c>
      <c r="D306" t="inlineStr">
        <is>
          <t>DALARNAS LÄN</t>
        </is>
      </c>
      <c r="E306" t="inlineStr">
        <is>
          <t>ÄLVDALEN</t>
        </is>
      </c>
      <c r="G306" t="n">
        <v>15.8</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45900</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17558-2024</t>
        </is>
      </c>
      <c r="B308" s="1" t="n">
        <v>45415.66295138889</v>
      </c>
      <c r="C308" s="1" t="n">
        <v>45900</v>
      </c>
      <c r="D308" t="inlineStr">
        <is>
          <t>DALARNAS LÄN</t>
        </is>
      </c>
      <c r="E308" t="inlineStr">
        <is>
          <t>ÄLVDALEN</t>
        </is>
      </c>
      <c r="G308" t="n">
        <v>2.2</v>
      </c>
      <c r="H308" t="n">
        <v>0</v>
      </c>
      <c r="I308" t="n">
        <v>0</v>
      </c>
      <c r="J308" t="n">
        <v>0</v>
      </c>
      <c r="K308" t="n">
        <v>0</v>
      </c>
      <c r="L308" t="n">
        <v>0</v>
      </c>
      <c r="M308" t="n">
        <v>0</v>
      </c>
      <c r="N308" t="n">
        <v>0</v>
      </c>
      <c r="O308" t="n">
        <v>0</v>
      </c>
      <c r="P308" t="n">
        <v>0</v>
      </c>
      <c r="Q308" t="n">
        <v>0</v>
      </c>
      <c r="R308" s="2" t="inlineStr"/>
    </row>
    <row r="309" ht="15" customHeight="1">
      <c r="A309" t="inlineStr">
        <is>
          <t>A 30143-2024</t>
        </is>
      </c>
      <c r="B309" s="1" t="n">
        <v>45488</v>
      </c>
      <c r="C309" s="1" t="n">
        <v>45900</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30146-2024</t>
        </is>
      </c>
      <c r="B310" s="1" t="n">
        <v>45488</v>
      </c>
      <c r="C310" s="1" t="n">
        <v>45900</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30147-2024</t>
        </is>
      </c>
      <c r="B311" s="1" t="n">
        <v>45488</v>
      </c>
      <c r="C311" s="1" t="n">
        <v>45900</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47936-2024</t>
        </is>
      </c>
      <c r="B312" s="1" t="n">
        <v>45589.34738425926</v>
      </c>
      <c r="C312" s="1" t="n">
        <v>45900</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29129-2024</t>
        </is>
      </c>
      <c r="B313" s="1" t="n">
        <v>45482.35762731481</v>
      </c>
      <c r="C313" s="1" t="n">
        <v>45900</v>
      </c>
      <c r="D313" t="inlineStr">
        <is>
          <t>DALARNAS LÄN</t>
        </is>
      </c>
      <c r="E313" t="inlineStr">
        <is>
          <t>ÄLVDALEN</t>
        </is>
      </c>
      <c r="F313" t="inlineStr">
        <is>
          <t>Allmännings- och besparingsskogar</t>
        </is>
      </c>
      <c r="G313" t="n">
        <v>19.8</v>
      </c>
      <c r="H313" t="n">
        <v>0</v>
      </c>
      <c r="I313" t="n">
        <v>0</v>
      </c>
      <c r="J313" t="n">
        <v>0</v>
      </c>
      <c r="K313" t="n">
        <v>0</v>
      </c>
      <c r="L313" t="n">
        <v>0</v>
      </c>
      <c r="M313" t="n">
        <v>0</v>
      </c>
      <c r="N313" t="n">
        <v>0</v>
      </c>
      <c r="O313" t="n">
        <v>0</v>
      </c>
      <c r="P313" t="n">
        <v>0</v>
      </c>
      <c r="Q313" t="n">
        <v>0</v>
      </c>
      <c r="R313" s="2" t="inlineStr"/>
    </row>
    <row r="314" ht="15" customHeight="1">
      <c r="A314" t="inlineStr">
        <is>
          <t>A 24637-2025</t>
        </is>
      </c>
      <c r="B314" s="1" t="n">
        <v>45798.616875</v>
      </c>
      <c r="C314" s="1" t="n">
        <v>45900</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9108-2024</t>
        </is>
      </c>
      <c r="B315" s="1" t="n">
        <v>45357.96072916667</v>
      </c>
      <c r="C315" s="1" t="n">
        <v>45900</v>
      </c>
      <c r="D315" t="inlineStr">
        <is>
          <t>DALARNAS LÄN</t>
        </is>
      </c>
      <c r="E315" t="inlineStr">
        <is>
          <t>ÄLVDALEN</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47877-2023</t>
        </is>
      </c>
      <c r="B316" s="1" t="n">
        <v>45204</v>
      </c>
      <c r="C316" s="1" t="n">
        <v>45900</v>
      </c>
      <c r="D316" t="inlineStr">
        <is>
          <t>DALARNAS LÄN</t>
        </is>
      </c>
      <c r="E316" t="inlineStr">
        <is>
          <t>ÄLVDALEN</t>
        </is>
      </c>
      <c r="G316" t="n">
        <v>4.8</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45900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33107-2023</t>
        </is>
      </c>
      <c r="B318" s="1" t="n">
        <v>45114</v>
      </c>
      <c r="C318" s="1" t="n">
        <v>45900</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713-2022</t>
        </is>
      </c>
      <c r="B319" s="1" t="n">
        <v>44568</v>
      </c>
      <c r="C319" s="1" t="n">
        <v>45900</v>
      </c>
      <c r="D319" t="inlineStr">
        <is>
          <t>DALARNAS LÄN</t>
        </is>
      </c>
      <c r="E319" t="inlineStr">
        <is>
          <t>ÄLVDALEN</t>
        </is>
      </c>
      <c r="G319" t="n">
        <v>1.6</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45900</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59478-2024</t>
        </is>
      </c>
      <c r="B321" s="1" t="n">
        <v>45638.52181712963</v>
      </c>
      <c r="C321" s="1" t="n">
        <v>45900</v>
      </c>
      <c r="D321" t="inlineStr">
        <is>
          <t>DALARNAS LÄN</t>
        </is>
      </c>
      <c r="E321" t="inlineStr">
        <is>
          <t>ÄLVDALEN</t>
        </is>
      </c>
      <c r="F321" t="inlineStr">
        <is>
          <t>Allmännings- och besparingsskogar</t>
        </is>
      </c>
      <c r="G321" t="n">
        <v>6.9</v>
      </c>
      <c r="H321" t="n">
        <v>0</v>
      </c>
      <c r="I321" t="n">
        <v>0</v>
      </c>
      <c r="J321" t="n">
        <v>0</v>
      </c>
      <c r="K321" t="n">
        <v>0</v>
      </c>
      <c r="L321" t="n">
        <v>0</v>
      </c>
      <c r="M321" t="n">
        <v>0</v>
      </c>
      <c r="N321" t="n">
        <v>0</v>
      </c>
      <c r="O321" t="n">
        <v>0</v>
      </c>
      <c r="P321" t="n">
        <v>0</v>
      </c>
      <c r="Q321" t="n">
        <v>0</v>
      </c>
      <c r="R321" s="2" t="inlineStr"/>
    </row>
    <row r="322" ht="15" customHeight="1">
      <c r="A322" t="inlineStr">
        <is>
          <t>A 25086-2025</t>
        </is>
      </c>
      <c r="B322" s="1" t="n">
        <v>45800</v>
      </c>
      <c r="C322" s="1" t="n">
        <v>45900</v>
      </c>
      <c r="D322" t="inlineStr">
        <is>
          <t>DALARNAS LÄN</t>
        </is>
      </c>
      <c r="E322" t="inlineStr">
        <is>
          <t>ÄLVDALEN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52060-2022</t>
        </is>
      </c>
      <c r="B323" s="1" t="n">
        <v>44873.34417824074</v>
      </c>
      <c r="C323" s="1" t="n">
        <v>45900</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32187-2024</t>
        </is>
      </c>
      <c r="B324" s="1" t="n">
        <v>45511.64925925926</v>
      </c>
      <c r="C324" s="1" t="n">
        <v>45900</v>
      </c>
      <c r="D324" t="inlineStr">
        <is>
          <t>DALARNAS LÄN</t>
        </is>
      </c>
      <c r="E324" t="inlineStr">
        <is>
          <t>ÄLVDALEN</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62355-2022</t>
        </is>
      </c>
      <c r="B325" s="1" t="n">
        <v>44923</v>
      </c>
      <c r="C325" s="1" t="n">
        <v>45900</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760-2025</t>
        </is>
      </c>
      <c r="B326" s="1" t="n">
        <v>45665.44936342593</v>
      </c>
      <c r="C326" s="1" t="n">
        <v>45900</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777-2025</t>
        </is>
      </c>
      <c r="B327" s="1" t="n">
        <v>45665.47403935185</v>
      </c>
      <c r="C327" s="1" t="n">
        <v>45900</v>
      </c>
      <c r="D327" t="inlineStr">
        <is>
          <t>DALARNAS LÄN</t>
        </is>
      </c>
      <c r="E327" t="inlineStr">
        <is>
          <t>ÄLVDALEN</t>
        </is>
      </c>
      <c r="G327" t="n">
        <v>2.4</v>
      </c>
      <c r="H327" t="n">
        <v>0</v>
      </c>
      <c r="I327" t="n">
        <v>0</v>
      </c>
      <c r="J327" t="n">
        <v>0</v>
      </c>
      <c r="K327" t="n">
        <v>0</v>
      </c>
      <c r="L327" t="n">
        <v>0</v>
      </c>
      <c r="M327" t="n">
        <v>0</v>
      </c>
      <c r="N327" t="n">
        <v>0</v>
      </c>
      <c r="O327" t="n">
        <v>0</v>
      </c>
      <c r="P327" t="n">
        <v>0</v>
      </c>
      <c r="Q327" t="n">
        <v>0</v>
      </c>
      <c r="R327" s="2" t="inlineStr"/>
    </row>
    <row r="328" ht="15" customHeight="1">
      <c r="A328" t="inlineStr">
        <is>
          <t>A 54076-2024</t>
        </is>
      </c>
      <c r="B328" s="1" t="n">
        <v>45616</v>
      </c>
      <c r="C328" s="1" t="n">
        <v>45900</v>
      </c>
      <c r="D328" t="inlineStr">
        <is>
          <t>DALARNAS LÄN</t>
        </is>
      </c>
      <c r="E328" t="inlineStr">
        <is>
          <t>ÄLVDALEN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25879-2025</t>
        </is>
      </c>
      <c r="B329" s="1" t="n">
        <v>45804.49605324074</v>
      </c>
      <c r="C329" s="1" t="n">
        <v>45900</v>
      </c>
      <c r="D329" t="inlineStr">
        <is>
          <t>DALARNAS LÄN</t>
        </is>
      </c>
      <c r="E329" t="inlineStr">
        <is>
          <t>ÄLVDALEN</t>
        </is>
      </c>
      <c r="F329" t="inlineStr">
        <is>
          <t>Allmännings- och besparingsskogar</t>
        </is>
      </c>
      <c r="G329" t="n">
        <v>0.2</v>
      </c>
      <c r="H329" t="n">
        <v>0</v>
      </c>
      <c r="I329" t="n">
        <v>0</v>
      </c>
      <c r="J329" t="n">
        <v>0</v>
      </c>
      <c r="K329" t="n">
        <v>0</v>
      </c>
      <c r="L329" t="n">
        <v>0</v>
      </c>
      <c r="M329" t="n">
        <v>0</v>
      </c>
      <c r="N329" t="n">
        <v>0</v>
      </c>
      <c r="O329" t="n">
        <v>0</v>
      </c>
      <c r="P329" t="n">
        <v>0</v>
      </c>
      <c r="Q329" t="n">
        <v>0</v>
      </c>
      <c r="R329" s="2" t="inlineStr"/>
    </row>
    <row r="330" ht="15" customHeight="1">
      <c r="A330" t="inlineStr">
        <is>
          <t>A 68204-2021</t>
        </is>
      </c>
      <c r="B330" s="1" t="n">
        <v>44526</v>
      </c>
      <c r="C330" s="1" t="n">
        <v>45900</v>
      </c>
      <c r="D330" t="inlineStr">
        <is>
          <t>DALARNAS LÄN</t>
        </is>
      </c>
      <c r="E330" t="inlineStr">
        <is>
          <t>ÄLVDALEN</t>
        </is>
      </c>
      <c r="F330" t="inlineStr">
        <is>
          <t>Kyrkan</t>
        </is>
      </c>
      <c r="G330" t="n">
        <v>5</v>
      </c>
      <c r="H330" t="n">
        <v>0</v>
      </c>
      <c r="I330" t="n">
        <v>0</v>
      </c>
      <c r="J330" t="n">
        <v>0</v>
      </c>
      <c r="K330" t="n">
        <v>0</v>
      </c>
      <c r="L330" t="n">
        <v>0</v>
      </c>
      <c r="M330" t="n">
        <v>0</v>
      </c>
      <c r="N330" t="n">
        <v>0</v>
      </c>
      <c r="O330" t="n">
        <v>0</v>
      </c>
      <c r="P330" t="n">
        <v>0</v>
      </c>
      <c r="Q330" t="n">
        <v>0</v>
      </c>
      <c r="R330" s="2" t="inlineStr"/>
    </row>
    <row r="331" ht="15" customHeight="1">
      <c r="A331" t="inlineStr">
        <is>
          <t>A 57665-2024</t>
        </is>
      </c>
      <c r="B331" s="1" t="n">
        <v>45630.62005787037</v>
      </c>
      <c r="C331" s="1" t="n">
        <v>45900</v>
      </c>
      <c r="D331" t="inlineStr">
        <is>
          <t>DALARNAS LÄN</t>
        </is>
      </c>
      <c r="E331" t="inlineStr">
        <is>
          <t>ÄLVDALEN</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61575-2024</t>
        </is>
      </c>
      <c r="B332" s="1" t="n">
        <v>45646.61907407407</v>
      </c>
      <c r="C332" s="1" t="n">
        <v>45900</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36462-2024</t>
        </is>
      </c>
      <c r="B333" s="1" t="n">
        <v>45537.35211805555</v>
      </c>
      <c r="C333" s="1" t="n">
        <v>45900</v>
      </c>
      <c r="D333" t="inlineStr">
        <is>
          <t>DALARNAS LÄN</t>
        </is>
      </c>
      <c r="E333" t="inlineStr">
        <is>
          <t>ÄLVDALEN</t>
        </is>
      </c>
      <c r="G333" t="n">
        <v>5</v>
      </c>
      <c r="H333" t="n">
        <v>0</v>
      </c>
      <c r="I333" t="n">
        <v>0</v>
      </c>
      <c r="J333" t="n">
        <v>0</v>
      </c>
      <c r="K333" t="n">
        <v>0</v>
      </c>
      <c r="L333" t="n">
        <v>0</v>
      </c>
      <c r="M333" t="n">
        <v>0</v>
      </c>
      <c r="N333" t="n">
        <v>0</v>
      </c>
      <c r="O333" t="n">
        <v>0</v>
      </c>
      <c r="P333" t="n">
        <v>0</v>
      </c>
      <c r="Q333" t="n">
        <v>0</v>
      </c>
      <c r="R333" s="2" t="inlineStr"/>
    </row>
    <row r="334" ht="15" customHeight="1">
      <c r="A334" t="inlineStr">
        <is>
          <t>A 25754-2025</t>
        </is>
      </c>
      <c r="B334" s="1" t="n">
        <v>45804.32020833333</v>
      </c>
      <c r="C334" s="1" t="n">
        <v>45900</v>
      </c>
      <c r="D334" t="inlineStr">
        <is>
          <t>DALARNAS LÄN</t>
        </is>
      </c>
      <c r="E334" t="inlineStr">
        <is>
          <t>ÄLVDALEN</t>
        </is>
      </c>
      <c r="F334" t="inlineStr">
        <is>
          <t>Kommuner</t>
        </is>
      </c>
      <c r="G334" t="n">
        <v>2.2</v>
      </c>
      <c r="H334" t="n">
        <v>0</v>
      </c>
      <c r="I334" t="n">
        <v>0</v>
      </c>
      <c r="J334" t="n">
        <v>0</v>
      </c>
      <c r="K334" t="n">
        <v>0</v>
      </c>
      <c r="L334" t="n">
        <v>0</v>
      </c>
      <c r="M334" t="n">
        <v>0</v>
      </c>
      <c r="N334" t="n">
        <v>0</v>
      </c>
      <c r="O334" t="n">
        <v>0</v>
      </c>
      <c r="P334" t="n">
        <v>0</v>
      </c>
      <c r="Q334" t="n">
        <v>0</v>
      </c>
      <c r="R334" s="2" t="inlineStr"/>
    </row>
    <row r="335" ht="15" customHeight="1">
      <c r="A335" t="inlineStr">
        <is>
          <t>A 25823-2025</t>
        </is>
      </c>
      <c r="B335" s="1" t="n">
        <v>45804.4396412037</v>
      </c>
      <c r="C335" s="1" t="n">
        <v>45900</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50037-2022</t>
        </is>
      </c>
      <c r="B336" s="1" t="n">
        <v>44865.46136574074</v>
      </c>
      <c r="C336" s="1" t="n">
        <v>45900</v>
      </c>
      <c r="D336" t="inlineStr">
        <is>
          <t>DALARNAS LÄN</t>
        </is>
      </c>
      <c r="E336" t="inlineStr">
        <is>
          <t>ÄLVDALEN</t>
        </is>
      </c>
      <c r="F336" t="inlineStr">
        <is>
          <t>Allmännings- och besparingsskogar</t>
        </is>
      </c>
      <c r="G336" t="n">
        <v>5.8</v>
      </c>
      <c r="H336" t="n">
        <v>0</v>
      </c>
      <c r="I336" t="n">
        <v>0</v>
      </c>
      <c r="J336" t="n">
        <v>0</v>
      </c>
      <c r="K336" t="n">
        <v>0</v>
      </c>
      <c r="L336" t="n">
        <v>0</v>
      </c>
      <c r="M336" t="n">
        <v>0</v>
      </c>
      <c r="N336" t="n">
        <v>0</v>
      </c>
      <c r="O336" t="n">
        <v>0</v>
      </c>
      <c r="P336" t="n">
        <v>0</v>
      </c>
      <c r="Q336" t="n">
        <v>0</v>
      </c>
      <c r="R336" s="2" t="inlineStr"/>
    </row>
    <row r="337" ht="15" customHeight="1">
      <c r="A337" t="inlineStr">
        <is>
          <t>A 25758-2025</t>
        </is>
      </c>
      <c r="B337" s="1" t="n">
        <v>45804.33314814815</v>
      </c>
      <c r="C337" s="1" t="n">
        <v>45900</v>
      </c>
      <c r="D337" t="inlineStr">
        <is>
          <t>DALARNAS LÄN</t>
        </is>
      </c>
      <c r="E337" t="inlineStr">
        <is>
          <t>ÄLVDALEN</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74322-2021</t>
        </is>
      </c>
      <c r="B338" s="1" t="n">
        <v>44558</v>
      </c>
      <c r="C338" s="1" t="n">
        <v>45900</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30414-2024</t>
        </is>
      </c>
      <c r="B339" s="1" t="n">
        <v>45491.63538194444</v>
      </c>
      <c r="C339" s="1" t="n">
        <v>45900</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45900</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26285-2025</t>
        </is>
      </c>
      <c r="B341" s="1" t="n">
        <v>45805.61885416666</v>
      </c>
      <c r="C341" s="1" t="n">
        <v>45900</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771-2025</t>
        </is>
      </c>
      <c r="B342" s="1" t="n">
        <v>45665.46518518519</v>
      </c>
      <c r="C342" s="1" t="n">
        <v>45900</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57533-2024</t>
        </is>
      </c>
      <c r="B343" s="1" t="n">
        <v>45630.4246875</v>
      </c>
      <c r="C343" s="1" t="n">
        <v>45900</v>
      </c>
      <c r="D343" t="inlineStr">
        <is>
          <t>DALARNAS LÄN</t>
        </is>
      </c>
      <c r="E343" t="inlineStr">
        <is>
          <t>ÄLVDALEN</t>
        </is>
      </c>
      <c r="G343" t="n">
        <v>2.5</v>
      </c>
      <c r="H343" t="n">
        <v>0</v>
      </c>
      <c r="I343" t="n">
        <v>0</v>
      </c>
      <c r="J343" t="n">
        <v>0</v>
      </c>
      <c r="K343" t="n">
        <v>0</v>
      </c>
      <c r="L343" t="n">
        <v>0</v>
      </c>
      <c r="M343" t="n">
        <v>0</v>
      </c>
      <c r="N343" t="n">
        <v>0</v>
      </c>
      <c r="O343" t="n">
        <v>0</v>
      </c>
      <c r="P343" t="n">
        <v>0</v>
      </c>
      <c r="Q343" t="n">
        <v>0</v>
      </c>
      <c r="R343" s="2" t="inlineStr"/>
    </row>
    <row r="344" ht="15" customHeight="1">
      <c r="A344" t="inlineStr">
        <is>
          <t>A 54338-2020</t>
        </is>
      </c>
      <c r="B344" s="1" t="n">
        <v>44126</v>
      </c>
      <c r="C344" s="1" t="n">
        <v>45900</v>
      </c>
      <c r="D344" t="inlineStr">
        <is>
          <t>DALARNAS LÄN</t>
        </is>
      </c>
      <c r="E344" t="inlineStr">
        <is>
          <t>ÄLVDALEN</t>
        </is>
      </c>
      <c r="G344" t="n">
        <v>3.4</v>
      </c>
      <c r="H344" t="n">
        <v>0</v>
      </c>
      <c r="I344" t="n">
        <v>0</v>
      </c>
      <c r="J344" t="n">
        <v>0</v>
      </c>
      <c r="K344" t="n">
        <v>0</v>
      </c>
      <c r="L344" t="n">
        <v>0</v>
      </c>
      <c r="M344" t="n">
        <v>0</v>
      </c>
      <c r="N344" t="n">
        <v>0</v>
      </c>
      <c r="O344" t="n">
        <v>0</v>
      </c>
      <c r="P344" t="n">
        <v>0</v>
      </c>
      <c r="Q344" t="n">
        <v>0</v>
      </c>
      <c r="R344" s="2" t="inlineStr"/>
    </row>
    <row r="345" ht="15" customHeight="1">
      <c r="A345" t="inlineStr">
        <is>
          <t>A 2546-2025</t>
        </is>
      </c>
      <c r="B345" s="1" t="n">
        <v>45674.62240740741</v>
      </c>
      <c r="C345" s="1" t="n">
        <v>45900</v>
      </c>
      <c r="D345" t="inlineStr">
        <is>
          <t>DALARNAS LÄN</t>
        </is>
      </c>
      <c r="E345" t="inlineStr">
        <is>
          <t>ÄLVDALEN</t>
        </is>
      </c>
      <c r="G345" t="n">
        <v>2</v>
      </c>
      <c r="H345" t="n">
        <v>0</v>
      </c>
      <c r="I345" t="n">
        <v>0</v>
      </c>
      <c r="J345" t="n">
        <v>0</v>
      </c>
      <c r="K345" t="n">
        <v>0</v>
      </c>
      <c r="L345" t="n">
        <v>0</v>
      </c>
      <c r="M345" t="n">
        <v>0</v>
      </c>
      <c r="N345" t="n">
        <v>0</v>
      </c>
      <c r="O345" t="n">
        <v>0</v>
      </c>
      <c r="P345" t="n">
        <v>0</v>
      </c>
      <c r="Q345" t="n">
        <v>0</v>
      </c>
      <c r="R345" s="2" t="inlineStr"/>
    </row>
    <row r="346" ht="15" customHeight="1">
      <c r="A346" t="inlineStr">
        <is>
          <t>A 26704-2025</t>
        </is>
      </c>
      <c r="B346" s="1" t="n">
        <v>45810.45271990741</v>
      </c>
      <c r="C346" s="1" t="n">
        <v>45900</v>
      </c>
      <c r="D346" t="inlineStr">
        <is>
          <t>DALARNAS LÄN</t>
        </is>
      </c>
      <c r="E346" t="inlineStr">
        <is>
          <t>ÄLVDALEN</t>
        </is>
      </c>
      <c r="F346" t="inlineStr">
        <is>
          <t>Bergvik skog väst AB</t>
        </is>
      </c>
      <c r="G346" t="n">
        <v>32.3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45900</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37730-2023</t>
        </is>
      </c>
      <c r="B348" s="1" t="n">
        <v>45159</v>
      </c>
      <c r="C348" s="1" t="n">
        <v>45900</v>
      </c>
      <c r="D348" t="inlineStr">
        <is>
          <t>DALARNAS LÄN</t>
        </is>
      </c>
      <c r="E348" t="inlineStr">
        <is>
          <t>ÄLVDALEN</t>
        </is>
      </c>
      <c r="G348" t="n">
        <v>5.4</v>
      </c>
      <c r="H348" t="n">
        <v>0</v>
      </c>
      <c r="I348" t="n">
        <v>0</v>
      </c>
      <c r="J348" t="n">
        <v>0</v>
      </c>
      <c r="K348" t="n">
        <v>0</v>
      </c>
      <c r="L348" t="n">
        <v>0</v>
      </c>
      <c r="M348" t="n">
        <v>0</v>
      </c>
      <c r="N348" t="n">
        <v>0</v>
      </c>
      <c r="O348" t="n">
        <v>0</v>
      </c>
      <c r="P348" t="n">
        <v>0</v>
      </c>
      <c r="Q348" t="n">
        <v>0</v>
      </c>
      <c r="R348" s="2" t="inlineStr"/>
    </row>
    <row r="349" ht="15" customHeight="1">
      <c r="A349" t="inlineStr">
        <is>
          <t>A 59545-2024</t>
        </is>
      </c>
      <c r="B349" s="1" t="n">
        <v>45638.62018518519</v>
      </c>
      <c r="C349" s="1" t="n">
        <v>45900</v>
      </c>
      <c r="D349" t="inlineStr">
        <is>
          <t>DALARNAS LÄN</t>
        </is>
      </c>
      <c r="E349" t="inlineStr">
        <is>
          <t>ÄLVDALEN</t>
        </is>
      </c>
      <c r="G349" t="n">
        <v>7.9</v>
      </c>
      <c r="H349" t="n">
        <v>0</v>
      </c>
      <c r="I349" t="n">
        <v>0</v>
      </c>
      <c r="J349" t="n">
        <v>0</v>
      </c>
      <c r="K349" t="n">
        <v>0</v>
      </c>
      <c r="L349" t="n">
        <v>0</v>
      </c>
      <c r="M349" t="n">
        <v>0</v>
      </c>
      <c r="N349" t="n">
        <v>0</v>
      </c>
      <c r="O349" t="n">
        <v>0</v>
      </c>
      <c r="P349" t="n">
        <v>0</v>
      </c>
      <c r="Q349" t="n">
        <v>0</v>
      </c>
      <c r="R349" s="2" t="inlineStr"/>
    </row>
    <row r="350" ht="15" customHeight="1">
      <c r="A350" t="inlineStr">
        <is>
          <t>A 13000-2022</t>
        </is>
      </c>
      <c r="B350" s="1" t="n">
        <v>44643.44597222222</v>
      </c>
      <c r="C350" s="1" t="n">
        <v>45900</v>
      </c>
      <c r="D350" t="inlineStr">
        <is>
          <t>DALARNAS LÄN</t>
        </is>
      </c>
      <c r="E350" t="inlineStr">
        <is>
          <t>ÄLVDALEN</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23999-2024</t>
        </is>
      </c>
      <c r="B351" s="1" t="n">
        <v>45456.37555555555</v>
      </c>
      <c r="C351" s="1" t="n">
        <v>45900</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24002-2024</t>
        </is>
      </c>
      <c r="B352" s="1" t="n">
        <v>45456.3827662037</v>
      </c>
      <c r="C352" s="1" t="n">
        <v>45900</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32359-2024</t>
        </is>
      </c>
      <c r="B353" s="1" t="n">
        <v>45512.56623842593</v>
      </c>
      <c r="C353" s="1" t="n">
        <v>45900</v>
      </c>
      <c r="D353" t="inlineStr">
        <is>
          <t>DALARNAS LÄN</t>
        </is>
      </c>
      <c r="E353" t="inlineStr">
        <is>
          <t>ÄLVDALEN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39064-2021</t>
        </is>
      </c>
      <c r="B354" s="1" t="n">
        <v>44411</v>
      </c>
      <c r="C354" s="1" t="n">
        <v>45900</v>
      </c>
      <c r="D354" t="inlineStr">
        <is>
          <t>DALARNAS LÄN</t>
        </is>
      </c>
      <c r="E354" t="inlineStr">
        <is>
          <t>ÄLVDALEN</t>
        </is>
      </c>
      <c r="F354" t="inlineStr">
        <is>
          <t>Övriga statliga verk och myndigheter</t>
        </is>
      </c>
      <c r="G354" t="n">
        <v>4.5</v>
      </c>
      <c r="H354" t="n">
        <v>0</v>
      </c>
      <c r="I354" t="n">
        <v>0</v>
      </c>
      <c r="J354" t="n">
        <v>0</v>
      </c>
      <c r="K354" t="n">
        <v>0</v>
      </c>
      <c r="L354" t="n">
        <v>0</v>
      </c>
      <c r="M354" t="n">
        <v>0</v>
      </c>
      <c r="N354" t="n">
        <v>0</v>
      </c>
      <c r="O354" t="n">
        <v>0</v>
      </c>
      <c r="P354" t="n">
        <v>0</v>
      </c>
      <c r="Q354" t="n">
        <v>0</v>
      </c>
      <c r="R354" s="2" t="inlineStr"/>
    </row>
    <row r="355" ht="15" customHeight="1">
      <c r="A355" t="inlineStr">
        <is>
          <t>A 27230-2025</t>
        </is>
      </c>
      <c r="B355" s="1" t="n">
        <v>45812.43825231482</v>
      </c>
      <c r="C355" s="1" t="n">
        <v>45900</v>
      </c>
      <c r="D355" t="inlineStr">
        <is>
          <t>DALARNAS LÄN</t>
        </is>
      </c>
      <c r="E355" t="inlineStr">
        <is>
          <t>ÄLVDALEN</t>
        </is>
      </c>
      <c r="F355" t="inlineStr">
        <is>
          <t>Allmännings- och besparingsskogar</t>
        </is>
      </c>
      <c r="G355" t="n">
        <v>4</v>
      </c>
      <c r="H355" t="n">
        <v>0</v>
      </c>
      <c r="I355" t="n">
        <v>0</v>
      </c>
      <c r="J355" t="n">
        <v>0</v>
      </c>
      <c r="K355" t="n">
        <v>0</v>
      </c>
      <c r="L355" t="n">
        <v>0</v>
      </c>
      <c r="M355" t="n">
        <v>0</v>
      </c>
      <c r="N355" t="n">
        <v>0</v>
      </c>
      <c r="O355" t="n">
        <v>0</v>
      </c>
      <c r="P355" t="n">
        <v>0</v>
      </c>
      <c r="Q355" t="n">
        <v>0</v>
      </c>
      <c r="R355" s="2" t="inlineStr"/>
    </row>
    <row r="356" ht="15" customHeight="1">
      <c r="A356" t="inlineStr">
        <is>
          <t>A 27261-2025</t>
        </is>
      </c>
      <c r="B356" s="1" t="n">
        <v>45812.47674768518</v>
      </c>
      <c r="C356" s="1" t="n">
        <v>45900</v>
      </c>
      <c r="D356" t="inlineStr">
        <is>
          <t>DALARNAS LÄN</t>
        </is>
      </c>
      <c r="E356" t="inlineStr">
        <is>
          <t>ÄLVDALEN</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27090-2025</t>
        </is>
      </c>
      <c r="B357" s="1" t="n">
        <v>45811.66903935185</v>
      </c>
      <c r="C357" s="1" t="n">
        <v>45900</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52469-2022</t>
        </is>
      </c>
      <c r="B358" s="1" t="n">
        <v>44874</v>
      </c>
      <c r="C358" s="1" t="n">
        <v>45900</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30411-2024</t>
        </is>
      </c>
      <c r="B359" s="1" t="n">
        <v>45491.62447916667</v>
      </c>
      <c r="C359" s="1" t="n">
        <v>45900</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32740-2024</t>
        </is>
      </c>
      <c r="B360" s="1" t="n">
        <v>45516.43834490741</v>
      </c>
      <c r="C360" s="1" t="n">
        <v>45900</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15759-2024</t>
        </is>
      </c>
      <c r="B361" s="1" t="n">
        <v>45404</v>
      </c>
      <c r="C361" s="1" t="n">
        <v>45900</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7998-2024</t>
        </is>
      </c>
      <c r="B362" s="1" t="n">
        <v>45350.6433912037</v>
      </c>
      <c r="C362" s="1" t="n">
        <v>45900</v>
      </c>
      <c r="D362" t="inlineStr">
        <is>
          <t>DALARNAS LÄN</t>
        </is>
      </c>
      <c r="E362" t="inlineStr">
        <is>
          <t>ÄLVDALEN</t>
        </is>
      </c>
      <c r="F362" t="inlineStr">
        <is>
          <t>Kommuner</t>
        </is>
      </c>
      <c r="G362" t="n">
        <v>7.9</v>
      </c>
      <c r="H362" t="n">
        <v>0</v>
      </c>
      <c r="I362" t="n">
        <v>0</v>
      </c>
      <c r="J362" t="n">
        <v>0</v>
      </c>
      <c r="K362" t="n">
        <v>0</v>
      </c>
      <c r="L362" t="n">
        <v>0</v>
      </c>
      <c r="M362" t="n">
        <v>0</v>
      </c>
      <c r="N362" t="n">
        <v>0</v>
      </c>
      <c r="O362" t="n">
        <v>0</v>
      </c>
      <c r="P362" t="n">
        <v>0</v>
      </c>
      <c r="Q362" t="n">
        <v>0</v>
      </c>
      <c r="R362" s="2" t="inlineStr"/>
    </row>
    <row r="363" ht="15" customHeight="1">
      <c r="A363" t="inlineStr">
        <is>
          <t>A 61160-2020</t>
        </is>
      </c>
      <c r="B363" s="1" t="n">
        <v>44153</v>
      </c>
      <c r="C363" s="1" t="n">
        <v>45900</v>
      </c>
      <c r="D363" t="inlineStr">
        <is>
          <t>DALARNAS LÄN</t>
        </is>
      </c>
      <c r="E363" t="inlineStr">
        <is>
          <t>ÄLVDALEN</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43900-2024</t>
        </is>
      </c>
      <c r="B364" s="1" t="n">
        <v>45572.41975694444</v>
      </c>
      <c r="C364" s="1" t="n">
        <v>45900</v>
      </c>
      <c r="D364" t="inlineStr">
        <is>
          <t>DALARNAS LÄN</t>
        </is>
      </c>
      <c r="E364" t="inlineStr">
        <is>
          <t>ÄLVDALEN</t>
        </is>
      </c>
      <c r="F364" t="inlineStr">
        <is>
          <t>Bergvik skog väst AB</t>
        </is>
      </c>
      <c r="G364" t="n">
        <v>7.3</v>
      </c>
      <c r="H364" t="n">
        <v>0</v>
      </c>
      <c r="I364" t="n">
        <v>0</v>
      </c>
      <c r="J364" t="n">
        <v>0</v>
      </c>
      <c r="K364" t="n">
        <v>0</v>
      </c>
      <c r="L364" t="n">
        <v>0</v>
      </c>
      <c r="M364" t="n">
        <v>0</v>
      </c>
      <c r="N364" t="n">
        <v>0</v>
      </c>
      <c r="O364" t="n">
        <v>0</v>
      </c>
      <c r="P364" t="n">
        <v>0</v>
      </c>
      <c r="Q364" t="n">
        <v>0</v>
      </c>
      <c r="R364" s="2" t="inlineStr"/>
    </row>
    <row r="365" ht="15" customHeight="1">
      <c r="A365" t="inlineStr">
        <is>
          <t>A 27739-2025</t>
        </is>
      </c>
      <c r="B365" s="1" t="n">
        <v>45815.49082175926</v>
      </c>
      <c r="C365" s="1" t="n">
        <v>45900</v>
      </c>
      <c r="D365" t="inlineStr">
        <is>
          <t>DALARNAS LÄN</t>
        </is>
      </c>
      <c r="E365" t="inlineStr">
        <is>
          <t>ÄLVDALEN</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3904-2024</t>
        </is>
      </c>
      <c r="B366" s="1" t="n">
        <v>45322</v>
      </c>
      <c r="C366" s="1" t="n">
        <v>45900</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45900</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27918-2025</t>
        </is>
      </c>
      <c r="B368" s="1" t="n">
        <v>45817.48231481481</v>
      </c>
      <c r="C368" s="1" t="n">
        <v>45900</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45900</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45900</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49723-2023</t>
        </is>
      </c>
      <c r="B371" s="1" t="n">
        <v>45212</v>
      </c>
      <c r="C371" s="1" t="n">
        <v>45900</v>
      </c>
      <c r="D371" t="inlineStr">
        <is>
          <t>DALARNAS LÄN</t>
        </is>
      </c>
      <c r="E371" t="inlineStr">
        <is>
          <t>ÄLVDALEN</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43903-2024</t>
        </is>
      </c>
      <c r="B372" s="1" t="n">
        <v>45572</v>
      </c>
      <c r="C372" s="1" t="n">
        <v>45900</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5885-2024</t>
        </is>
      </c>
      <c r="B373" s="1" t="n">
        <v>45335</v>
      </c>
      <c r="C373" s="1" t="n">
        <v>45900</v>
      </c>
      <c r="D373" t="inlineStr">
        <is>
          <t>DALARNAS LÄN</t>
        </is>
      </c>
      <c r="E373" t="inlineStr">
        <is>
          <t>ÄLVDALEN</t>
        </is>
      </c>
      <c r="G373" t="n">
        <v>0.8</v>
      </c>
      <c r="H373" t="n">
        <v>0</v>
      </c>
      <c r="I373" t="n">
        <v>0</v>
      </c>
      <c r="J373" t="n">
        <v>0</v>
      </c>
      <c r="K373" t="n">
        <v>0</v>
      </c>
      <c r="L373" t="n">
        <v>0</v>
      </c>
      <c r="M373" t="n">
        <v>0</v>
      </c>
      <c r="N373" t="n">
        <v>0</v>
      </c>
      <c r="O373" t="n">
        <v>0</v>
      </c>
      <c r="P373" t="n">
        <v>0</v>
      </c>
      <c r="Q373" t="n">
        <v>0</v>
      </c>
      <c r="R373" s="2" t="inlineStr"/>
    </row>
    <row r="374" ht="15" customHeight="1">
      <c r="A374" t="inlineStr">
        <is>
          <t>A 56222-2023</t>
        </is>
      </c>
      <c r="B374" s="1" t="n">
        <v>45240</v>
      </c>
      <c r="C374" s="1" t="n">
        <v>45900</v>
      </c>
      <c r="D374" t="inlineStr">
        <is>
          <t>DALARNAS LÄN</t>
        </is>
      </c>
      <c r="E374" t="inlineStr">
        <is>
          <t>ÄLVDALEN</t>
        </is>
      </c>
      <c r="F374" t="inlineStr">
        <is>
          <t>Övriga Aktiebolag</t>
        </is>
      </c>
      <c r="G374" t="n">
        <v>3.2</v>
      </c>
      <c r="H374" t="n">
        <v>0</v>
      </c>
      <c r="I374" t="n">
        <v>0</v>
      </c>
      <c r="J374" t="n">
        <v>0</v>
      </c>
      <c r="K374" t="n">
        <v>0</v>
      </c>
      <c r="L374" t="n">
        <v>0</v>
      </c>
      <c r="M374" t="n">
        <v>0</v>
      </c>
      <c r="N374" t="n">
        <v>0</v>
      </c>
      <c r="O374" t="n">
        <v>0</v>
      </c>
      <c r="P374" t="n">
        <v>0</v>
      </c>
      <c r="Q374" t="n">
        <v>0</v>
      </c>
      <c r="R374" s="2" t="inlineStr"/>
    </row>
    <row r="375" ht="15" customHeight="1">
      <c r="A375" t="inlineStr">
        <is>
          <t>A 56224-2023</t>
        </is>
      </c>
      <c r="B375" s="1" t="n">
        <v>45240</v>
      </c>
      <c r="C375" s="1" t="n">
        <v>45900</v>
      </c>
      <c r="D375" t="inlineStr">
        <is>
          <t>DALARNAS LÄN</t>
        </is>
      </c>
      <c r="E375" t="inlineStr">
        <is>
          <t>ÄLVDALEN</t>
        </is>
      </c>
      <c r="F375" t="inlineStr">
        <is>
          <t>Övriga Aktiebolag</t>
        </is>
      </c>
      <c r="G375" t="n">
        <v>10.9</v>
      </c>
      <c r="H375" t="n">
        <v>0</v>
      </c>
      <c r="I375" t="n">
        <v>0</v>
      </c>
      <c r="J375" t="n">
        <v>0</v>
      </c>
      <c r="K375" t="n">
        <v>0</v>
      </c>
      <c r="L375" t="n">
        <v>0</v>
      </c>
      <c r="M375" t="n">
        <v>0</v>
      </c>
      <c r="N375" t="n">
        <v>0</v>
      </c>
      <c r="O375" t="n">
        <v>0</v>
      </c>
      <c r="P375" t="n">
        <v>0</v>
      </c>
      <c r="Q375" t="n">
        <v>0</v>
      </c>
      <c r="R375" s="2" t="inlineStr"/>
    </row>
    <row r="376" ht="15" customHeight="1">
      <c r="A376" t="inlineStr">
        <is>
          <t>A 8192-2025</t>
        </is>
      </c>
      <c r="B376" s="1" t="n">
        <v>45708.41151620371</v>
      </c>
      <c r="C376" s="1" t="n">
        <v>45900</v>
      </c>
      <c r="D376" t="inlineStr">
        <is>
          <t>DALARNAS LÄN</t>
        </is>
      </c>
      <c r="E376" t="inlineStr">
        <is>
          <t>ÄLVDALEN</t>
        </is>
      </c>
      <c r="F376" t="inlineStr">
        <is>
          <t>Allmännings- och besparingsskogar</t>
        </is>
      </c>
      <c r="G376" t="n">
        <v>15.1</v>
      </c>
      <c r="H376" t="n">
        <v>0</v>
      </c>
      <c r="I376" t="n">
        <v>0</v>
      </c>
      <c r="J376" t="n">
        <v>0</v>
      </c>
      <c r="K376" t="n">
        <v>0</v>
      </c>
      <c r="L376" t="n">
        <v>0</v>
      </c>
      <c r="M376" t="n">
        <v>0</v>
      </c>
      <c r="N376" t="n">
        <v>0</v>
      </c>
      <c r="O376" t="n">
        <v>0</v>
      </c>
      <c r="P376" t="n">
        <v>0</v>
      </c>
      <c r="Q376" t="n">
        <v>0</v>
      </c>
      <c r="R376" s="2" t="inlineStr"/>
    </row>
    <row r="377" ht="15" customHeight="1">
      <c r="A377" t="inlineStr">
        <is>
          <t>A 28838-2025</t>
        </is>
      </c>
      <c r="B377" s="1" t="n">
        <v>45820.56359953704</v>
      </c>
      <c r="C377" s="1" t="n">
        <v>45900</v>
      </c>
      <c r="D377" t="inlineStr">
        <is>
          <t>DALARNAS LÄN</t>
        </is>
      </c>
      <c r="E377" t="inlineStr">
        <is>
          <t>ÄLVDALEN</t>
        </is>
      </c>
      <c r="F377" t="inlineStr">
        <is>
          <t>Allmännings- och besparingsskogar</t>
        </is>
      </c>
      <c r="G377" t="n">
        <v>7.5</v>
      </c>
      <c r="H377" t="n">
        <v>0</v>
      </c>
      <c r="I377" t="n">
        <v>0</v>
      </c>
      <c r="J377" t="n">
        <v>0</v>
      </c>
      <c r="K377" t="n">
        <v>0</v>
      </c>
      <c r="L377" t="n">
        <v>0</v>
      </c>
      <c r="M377" t="n">
        <v>0</v>
      </c>
      <c r="N377" t="n">
        <v>0</v>
      </c>
      <c r="O377" t="n">
        <v>0</v>
      </c>
      <c r="P377" t="n">
        <v>0</v>
      </c>
      <c r="Q377" t="n">
        <v>0</v>
      </c>
      <c r="R377" s="2" t="inlineStr"/>
    </row>
    <row r="378" ht="15" customHeight="1">
      <c r="A378" t="inlineStr">
        <is>
          <t>A 28844-2025</t>
        </is>
      </c>
      <c r="B378" s="1" t="n">
        <v>45820.57053240741</v>
      </c>
      <c r="C378" s="1" t="n">
        <v>45900</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28842-2025</t>
        </is>
      </c>
      <c r="B379" s="1" t="n">
        <v>45820.56780092593</v>
      </c>
      <c r="C379" s="1" t="n">
        <v>45900</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46011-2023</t>
        </is>
      </c>
      <c r="B380" s="1" t="n">
        <v>45196.38245370371</v>
      </c>
      <c r="C380" s="1" t="n">
        <v>45900</v>
      </c>
      <c r="D380" t="inlineStr">
        <is>
          <t>DALARNAS LÄN</t>
        </is>
      </c>
      <c r="E380" t="inlineStr">
        <is>
          <t>ÄLVDALEN</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8492-2025</t>
        </is>
      </c>
      <c r="B381" s="1" t="n">
        <v>45709.50980324074</v>
      </c>
      <c r="C381" s="1" t="n">
        <v>45900</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47087-2024</t>
        </is>
      </c>
      <c r="B382" s="1" t="n">
        <v>45586.50946759259</v>
      </c>
      <c r="C382" s="1" t="n">
        <v>45900</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35993-2025</t>
        </is>
      </c>
      <c r="B383" s="1" t="n">
        <v>45863.48056712963</v>
      </c>
      <c r="C383" s="1" t="n">
        <v>45900</v>
      </c>
      <c r="D383" t="inlineStr">
        <is>
          <t>DALARNAS LÄN</t>
        </is>
      </c>
      <c r="E383" t="inlineStr">
        <is>
          <t>ÄLVDALEN</t>
        </is>
      </c>
      <c r="F383" t="inlineStr">
        <is>
          <t>Bergvik skog öst AB</t>
        </is>
      </c>
      <c r="G383" t="n">
        <v>6.1</v>
      </c>
      <c r="H383" t="n">
        <v>0</v>
      </c>
      <c r="I383" t="n">
        <v>0</v>
      </c>
      <c r="J383" t="n">
        <v>0</v>
      </c>
      <c r="K383" t="n">
        <v>0</v>
      </c>
      <c r="L383" t="n">
        <v>0</v>
      </c>
      <c r="M383" t="n">
        <v>0</v>
      </c>
      <c r="N383" t="n">
        <v>0</v>
      </c>
      <c r="O383" t="n">
        <v>0</v>
      </c>
      <c r="P383" t="n">
        <v>0</v>
      </c>
      <c r="Q383" t="n">
        <v>0</v>
      </c>
      <c r="R383" s="2" t="inlineStr"/>
    </row>
    <row r="384" ht="15" customHeight="1">
      <c r="A384" t="inlineStr">
        <is>
          <t>A 30025-2025</t>
        </is>
      </c>
      <c r="B384" s="1" t="n">
        <v>45826.56265046296</v>
      </c>
      <c r="C384" s="1" t="n">
        <v>45900</v>
      </c>
      <c r="D384" t="inlineStr">
        <is>
          <t>DALARNAS LÄN</t>
        </is>
      </c>
      <c r="E384" t="inlineStr">
        <is>
          <t>ÄLVDALEN</t>
        </is>
      </c>
      <c r="G384" t="n">
        <v>9</v>
      </c>
      <c r="H384" t="n">
        <v>0</v>
      </c>
      <c r="I384" t="n">
        <v>0</v>
      </c>
      <c r="J384" t="n">
        <v>0</v>
      </c>
      <c r="K384" t="n">
        <v>0</v>
      </c>
      <c r="L384" t="n">
        <v>0</v>
      </c>
      <c r="M384" t="n">
        <v>0</v>
      </c>
      <c r="N384" t="n">
        <v>0</v>
      </c>
      <c r="O384" t="n">
        <v>0</v>
      </c>
      <c r="P384" t="n">
        <v>0</v>
      </c>
      <c r="Q384" t="n">
        <v>0</v>
      </c>
      <c r="R384" s="2" t="inlineStr"/>
    </row>
    <row r="385" ht="15" customHeight="1">
      <c r="A385" t="inlineStr">
        <is>
          <t>A 30032-2025</t>
        </is>
      </c>
      <c r="B385" s="1" t="n">
        <v>45826.56873842593</v>
      </c>
      <c r="C385" s="1" t="n">
        <v>45900</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41004-2023</t>
        </is>
      </c>
      <c r="B386" s="1" t="n">
        <v>45173</v>
      </c>
      <c r="C386" s="1" t="n">
        <v>45900</v>
      </c>
      <c r="D386" t="inlineStr">
        <is>
          <t>DALARNAS LÄN</t>
        </is>
      </c>
      <c r="E386" t="inlineStr">
        <is>
          <t>ÄLVDALEN</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36257-2025</t>
        </is>
      </c>
      <c r="B387" s="1" t="n">
        <v>45867.591875</v>
      </c>
      <c r="C387" s="1" t="n">
        <v>45900</v>
      </c>
      <c r="D387" t="inlineStr">
        <is>
          <t>DALARNAS LÄN</t>
        </is>
      </c>
      <c r="E387" t="inlineStr">
        <is>
          <t>ÄLVDALEN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59209-2022</t>
        </is>
      </c>
      <c r="B388" s="1" t="n">
        <v>44904</v>
      </c>
      <c r="C388" s="1" t="n">
        <v>45900</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49203-2023</t>
        </is>
      </c>
      <c r="B389" s="1" t="n">
        <v>45210</v>
      </c>
      <c r="C389" s="1" t="n">
        <v>45900</v>
      </c>
      <c r="D389" t="inlineStr">
        <is>
          <t>DALARNAS LÄN</t>
        </is>
      </c>
      <c r="E389" t="inlineStr">
        <is>
          <t>ÄLVDALEN</t>
        </is>
      </c>
      <c r="F389" t="inlineStr">
        <is>
          <t>Bergvik skog väst AB</t>
        </is>
      </c>
      <c r="G389" t="n">
        <v>18.2</v>
      </c>
      <c r="H389" t="n">
        <v>0</v>
      </c>
      <c r="I389" t="n">
        <v>0</v>
      </c>
      <c r="J389" t="n">
        <v>0</v>
      </c>
      <c r="K389" t="n">
        <v>0</v>
      </c>
      <c r="L389" t="n">
        <v>0</v>
      </c>
      <c r="M389" t="n">
        <v>0</v>
      </c>
      <c r="N389" t="n">
        <v>0</v>
      </c>
      <c r="O389" t="n">
        <v>0</v>
      </c>
      <c r="P389" t="n">
        <v>0</v>
      </c>
      <c r="Q389" t="n">
        <v>0</v>
      </c>
      <c r="R389" s="2" t="inlineStr"/>
    </row>
    <row r="390" ht="15" customHeight="1">
      <c r="A390" t="inlineStr">
        <is>
          <t>A 6675-2025</t>
        </is>
      </c>
      <c r="B390" s="1" t="n">
        <v>45700.47643518518</v>
      </c>
      <c r="C390" s="1" t="n">
        <v>45900</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43351-2024</t>
        </is>
      </c>
      <c r="B391" s="1" t="n">
        <v>45568.56023148148</v>
      </c>
      <c r="C391" s="1" t="n">
        <v>45900</v>
      </c>
      <c r="D391" t="inlineStr">
        <is>
          <t>DALARNAS LÄN</t>
        </is>
      </c>
      <c r="E391" t="inlineStr">
        <is>
          <t>ÄLVDALEN</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5583-2025</t>
        </is>
      </c>
      <c r="B392" s="1" t="n">
        <v>45693.55244212963</v>
      </c>
      <c r="C392" s="1" t="n">
        <v>45900</v>
      </c>
      <c r="D392" t="inlineStr">
        <is>
          <t>DALARNAS LÄN</t>
        </is>
      </c>
      <c r="E392" t="inlineStr">
        <is>
          <t>ÄLVDALEN</t>
        </is>
      </c>
      <c r="G392" t="n">
        <v>0.9</v>
      </c>
      <c r="H392" t="n">
        <v>0</v>
      </c>
      <c r="I392" t="n">
        <v>0</v>
      </c>
      <c r="J392" t="n">
        <v>0</v>
      </c>
      <c r="K392" t="n">
        <v>0</v>
      </c>
      <c r="L392" t="n">
        <v>0</v>
      </c>
      <c r="M392" t="n">
        <v>0</v>
      </c>
      <c r="N392" t="n">
        <v>0</v>
      </c>
      <c r="O392" t="n">
        <v>0</v>
      </c>
      <c r="P392" t="n">
        <v>0</v>
      </c>
      <c r="Q392" t="n">
        <v>0</v>
      </c>
      <c r="R392" s="2" t="inlineStr"/>
    </row>
    <row r="393" ht="15" customHeight="1">
      <c r="A393" t="inlineStr">
        <is>
          <t>A 54493-2023</t>
        </is>
      </c>
      <c r="B393" s="1" t="n">
        <v>45233.50606481481</v>
      </c>
      <c r="C393" s="1" t="n">
        <v>45900</v>
      </c>
      <c r="D393" t="inlineStr">
        <is>
          <t>DALARNAS LÄN</t>
        </is>
      </c>
      <c r="E393" t="inlineStr">
        <is>
          <t>ÄLVDALEN</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45155-2023</t>
        </is>
      </c>
      <c r="B394" s="1" t="n">
        <v>45187</v>
      </c>
      <c r="C394" s="1" t="n">
        <v>45900</v>
      </c>
      <c r="D394" t="inlineStr">
        <is>
          <t>DALARNAS LÄN</t>
        </is>
      </c>
      <c r="E394" t="inlineStr">
        <is>
          <t>ÄLVDALEN</t>
        </is>
      </c>
      <c r="G394" t="n">
        <v>40.1</v>
      </c>
      <c r="H394" t="n">
        <v>0</v>
      </c>
      <c r="I394" t="n">
        <v>0</v>
      </c>
      <c r="J394" t="n">
        <v>0</v>
      </c>
      <c r="K394" t="n">
        <v>0</v>
      </c>
      <c r="L394" t="n">
        <v>0</v>
      </c>
      <c r="M394" t="n">
        <v>0</v>
      </c>
      <c r="N394" t="n">
        <v>0</v>
      </c>
      <c r="O394" t="n">
        <v>0</v>
      </c>
      <c r="P394" t="n">
        <v>0</v>
      </c>
      <c r="Q394" t="n">
        <v>0</v>
      </c>
      <c r="R394" s="2" t="inlineStr"/>
    </row>
    <row r="395" ht="15" customHeight="1">
      <c r="A395" t="inlineStr">
        <is>
          <t>A 24009-2024</t>
        </is>
      </c>
      <c r="B395" s="1" t="n">
        <v>45456.40030092592</v>
      </c>
      <c r="C395" s="1" t="n">
        <v>45900</v>
      </c>
      <c r="D395" t="inlineStr">
        <is>
          <t>DALARNAS LÄN</t>
        </is>
      </c>
      <c r="E395" t="inlineStr">
        <is>
          <t>ÄLVDALEN</t>
        </is>
      </c>
      <c r="G395" t="n">
        <v>1.1</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45900</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36830-2025</t>
        </is>
      </c>
      <c r="B397" s="1" t="n">
        <v>45874.34365740741</v>
      </c>
      <c r="C397" s="1" t="n">
        <v>45900</v>
      </c>
      <c r="D397" t="inlineStr">
        <is>
          <t>DALARNAS LÄN</t>
        </is>
      </c>
      <c r="E397" t="inlineStr">
        <is>
          <t>ÄLVDALEN</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36640-2023</t>
        </is>
      </c>
      <c r="B398" s="1" t="n">
        <v>45153.54498842593</v>
      </c>
      <c r="C398" s="1" t="n">
        <v>45900</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19588-2025</t>
        </is>
      </c>
      <c r="B399" s="1" t="n">
        <v>45770</v>
      </c>
      <c r="C399" s="1" t="n">
        <v>45900</v>
      </c>
      <c r="D399" t="inlineStr">
        <is>
          <t>DALARNAS LÄN</t>
        </is>
      </c>
      <c r="E399" t="inlineStr">
        <is>
          <t>ÄLVDALEN</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7917-2025</t>
        </is>
      </c>
      <c r="B400" s="1" t="n">
        <v>45707.35225694445</v>
      </c>
      <c r="C400" s="1" t="n">
        <v>45900</v>
      </c>
      <c r="D400" t="inlineStr">
        <is>
          <t>DALARNAS LÄN</t>
        </is>
      </c>
      <c r="E400" t="inlineStr">
        <is>
          <t>ÄLVDALEN</t>
        </is>
      </c>
      <c r="G400" t="n">
        <v>4.2</v>
      </c>
      <c r="H400" t="n">
        <v>0</v>
      </c>
      <c r="I400" t="n">
        <v>0</v>
      </c>
      <c r="J400" t="n">
        <v>0</v>
      </c>
      <c r="K400" t="n">
        <v>0</v>
      </c>
      <c r="L400" t="n">
        <v>0</v>
      </c>
      <c r="M400" t="n">
        <v>0</v>
      </c>
      <c r="N400" t="n">
        <v>0</v>
      </c>
      <c r="O400" t="n">
        <v>0</v>
      </c>
      <c r="P400" t="n">
        <v>0</v>
      </c>
      <c r="Q400" t="n">
        <v>0</v>
      </c>
      <c r="R400" s="2" t="inlineStr"/>
    </row>
    <row r="401" ht="15" customHeight="1">
      <c r="A401" t="inlineStr">
        <is>
          <t>A 7937-2025</t>
        </is>
      </c>
      <c r="B401" s="1" t="n">
        <v>45707.3953125</v>
      </c>
      <c r="C401" s="1" t="n">
        <v>45900</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31796-2025</t>
        </is>
      </c>
      <c r="B402" s="1" t="n">
        <v>45834.54943287037</v>
      </c>
      <c r="C402" s="1" t="n">
        <v>45900</v>
      </c>
      <c r="D402" t="inlineStr">
        <is>
          <t>DALARNAS LÄN</t>
        </is>
      </c>
      <c r="E402" t="inlineStr">
        <is>
          <t>ÄLVDALEN</t>
        </is>
      </c>
      <c r="G402" t="n">
        <v>65.5</v>
      </c>
      <c r="H402" t="n">
        <v>0</v>
      </c>
      <c r="I402" t="n">
        <v>0</v>
      </c>
      <c r="J402" t="n">
        <v>0</v>
      </c>
      <c r="K402" t="n">
        <v>0</v>
      </c>
      <c r="L402" t="n">
        <v>0</v>
      </c>
      <c r="M402" t="n">
        <v>0</v>
      </c>
      <c r="N402" t="n">
        <v>0</v>
      </c>
      <c r="O402" t="n">
        <v>0</v>
      </c>
      <c r="P402" t="n">
        <v>0</v>
      </c>
      <c r="Q402" t="n">
        <v>0</v>
      </c>
      <c r="R402" s="2" t="inlineStr"/>
    </row>
    <row r="403" ht="15" customHeight="1">
      <c r="A403" t="inlineStr">
        <is>
          <t>A 7913-2025</t>
        </is>
      </c>
      <c r="B403" s="1" t="n">
        <v>45707.34497685185</v>
      </c>
      <c r="C403" s="1" t="n">
        <v>45900</v>
      </c>
      <c r="D403" t="inlineStr">
        <is>
          <t>DALARNAS LÄN</t>
        </is>
      </c>
      <c r="E403" t="inlineStr">
        <is>
          <t>ÄLVDALEN</t>
        </is>
      </c>
      <c r="F403" t="inlineStr">
        <is>
          <t>Allmännings- och besparingsskogar</t>
        </is>
      </c>
      <c r="G403" t="n">
        <v>7.5</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45900</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39283-2024</t>
        </is>
      </c>
      <c r="B405" s="1" t="n">
        <v>45551.36314814815</v>
      </c>
      <c r="C405" s="1" t="n">
        <v>45900</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33099-2023</t>
        </is>
      </c>
      <c r="B406" s="1" t="n">
        <v>45114</v>
      </c>
      <c r="C406" s="1" t="n">
        <v>45900</v>
      </c>
      <c r="D406" t="inlineStr">
        <is>
          <t>DALARNAS LÄN</t>
        </is>
      </c>
      <c r="E406" t="inlineStr">
        <is>
          <t>ÄLVDALEN</t>
        </is>
      </c>
      <c r="G406" t="n">
        <v>3.5</v>
      </c>
      <c r="H406" t="n">
        <v>0</v>
      </c>
      <c r="I406" t="n">
        <v>0</v>
      </c>
      <c r="J406" t="n">
        <v>0</v>
      </c>
      <c r="K406" t="n">
        <v>0</v>
      </c>
      <c r="L406" t="n">
        <v>0</v>
      </c>
      <c r="M406" t="n">
        <v>0</v>
      </c>
      <c r="N406" t="n">
        <v>0</v>
      </c>
      <c r="O406" t="n">
        <v>0</v>
      </c>
      <c r="P406" t="n">
        <v>0</v>
      </c>
      <c r="Q406" t="n">
        <v>0</v>
      </c>
      <c r="R406" s="2" t="inlineStr"/>
    </row>
    <row r="407" ht="15" customHeight="1">
      <c r="A407" t="inlineStr">
        <is>
          <t>A 33100-2023</t>
        </is>
      </c>
      <c r="B407" s="1" t="n">
        <v>45114</v>
      </c>
      <c r="C407" s="1" t="n">
        <v>45900</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24762-2023</t>
        </is>
      </c>
      <c r="B408" s="1" t="n">
        <v>45084.6283912037</v>
      </c>
      <c r="C408" s="1" t="n">
        <v>45900</v>
      </c>
      <c r="D408" t="inlineStr">
        <is>
          <t>DALARNAS LÄN</t>
        </is>
      </c>
      <c r="E408" t="inlineStr">
        <is>
          <t>ÄLVDALEN</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7576-2024</t>
        </is>
      </c>
      <c r="B409" s="1" t="n">
        <v>45348.47555555555</v>
      </c>
      <c r="C409" s="1" t="n">
        <v>45900</v>
      </c>
      <c r="D409" t="inlineStr">
        <is>
          <t>DALARNAS LÄN</t>
        </is>
      </c>
      <c r="E409" t="inlineStr">
        <is>
          <t>ÄLVDALEN</t>
        </is>
      </c>
      <c r="G409" t="n">
        <v>11.1</v>
      </c>
      <c r="H409" t="n">
        <v>0</v>
      </c>
      <c r="I409" t="n">
        <v>0</v>
      </c>
      <c r="J409" t="n">
        <v>0</v>
      </c>
      <c r="K409" t="n">
        <v>0</v>
      </c>
      <c r="L409" t="n">
        <v>0</v>
      </c>
      <c r="M409" t="n">
        <v>0</v>
      </c>
      <c r="N409" t="n">
        <v>0</v>
      </c>
      <c r="O409" t="n">
        <v>0</v>
      </c>
      <c r="P409" t="n">
        <v>0</v>
      </c>
      <c r="Q409" t="n">
        <v>0</v>
      </c>
      <c r="R409" s="2" t="inlineStr"/>
    </row>
    <row r="410" ht="15" customHeight="1">
      <c r="A410" t="inlineStr">
        <is>
          <t>A 62315-2022</t>
        </is>
      </c>
      <c r="B410" s="1" t="n">
        <v>44916</v>
      </c>
      <c r="C410" s="1" t="n">
        <v>45900</v>
      </c>
      <c r="D410" t="inlineStr">
        <is>
          <t>DALARNAS LÄN</t>
        </is>
      </c>
      <c r="E410" t="inlineStr">
        <is>
          <t>ÄLVDALEN</t>
        </is>
      </c>
      <c r="G410" t="n">
        <v>2.1</v>
      </c>
      <c r="H410" t="n">
        <v>0</v>
      </c>
      <c r="I410" t="n">
        <v>0</v>
      </c>
      <c r="J410" t="n">
        <v>0</v>
      </c>
      <c r="K410" t="n">
        <v>0</v>
      </c>
      <c r="L410" t="n">
        <v>0</v>
      </c>
      <c r="M410" t="n">
        <v>0</v>
      </c>
      <c r="N410" t="n">
        <v>0</v>
      </c>
      <c r="O410" t="n">
        <v>0</v>
      </c>
      <c r="P410" t="n">
        <v>0</v>
      </c>
      <c r="Q410" t="n">
        <v>0</v>
      </c>
      <c r="R410" s="2" t="inlineStr"/>
    </row>
    <row r="411" ht="15" customHeight="1">
      <c r="A411" t="inlineStr">
        <is>
          <t>A 32063-2025</t>
        </is>
      </c>
      <c r="B411" s="1" t="n">
        <v>45835.44703703704</v>
      </c>
      <c r="C411" s="1" t="n">
        <v>45900</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7164-2021</t>
        </is>
      </c>
      <c r="B412" s="1" t="n">
        <v>44238</v>
      </c>
      <c r="C412" s="1" t="n">
        <v>45900</v>
      </c>
      <c r="D412" t="inlineStr">
        <is>
          <t>DALARNAS LÄN</t>
        </is>
      </c>
      <c r="E412" t="inlineStr">
        <is>
          <t>ÄLVDALEN</t>
        </is>
      </c>
      <c r="G412" t="n">
        <v>1.1</v>
      </c>
      <c r="H412" t="n">
        <v>0</v>
      </c>
      <c r="I412" t="n">
        <v>0</v>
      </c>
      <c r="J412" t="n">
        <v>0</v>
      </c>
      <c r="K412" t="n">
        <v>0</v>
      </c>
      <c r="L412" t="n">
        <v>0</v>
      </c>
      <c r="M412" t="n">
        <v>0</v>
      </c>
      <c r="N412" t="n">
        <v>0</v>
      </c>
      <c r="O412" t="n">
        <v>0</v>
      </c>
      <c r="P412" t="n">
        <v>0</v>
      </c>
      <c r="Q412" t="n">
        <v>0</v>
      </c>
      <c r="R412" s="2" t="inlineStr"/>
    </row>
    <row r="413" ht="15" customHeight="1">
      <c r="A413" t="inlineStr">
        <is>
          <t>A 3893-2024</t>
        </is>
      </c>
      <c r="B413" s="1" t="n">
        <v>45322</v>
      </c>
      <c r="C413" s="1" t="n">
        <v>45900</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32668-2025</t>
        </is>
      </c>
      <c r="B414" s="1" t="n">
        <v>45838.69678240741</v>
      </c>
      <c r="C414" s="1" t="n">
        <v>45900</v>
      </c>
      <c r="D414" t="inlineStr">
        <is>
          <t>DALARNAS LÄN</t>
        </is>
      </c>
      <c r="E414" t="inlineStr">
        <is>
          <t>ÄLVDALEN</t>
        </is>
      </c>
      <c r="F414" t="inlineStr">
        <is>
          <t>Övriga Aktiebolag</t>
        </is>
      </c>
      <c r="G414" t="n">
        <v>29.5</v>
      </c>
      <c r="H414" t="n">
        <v>0</v>
      </c>
      <c r="I414" t="n">
        <v>0</v>
      </c>
      <c r="J414" t="n">
        <v>0</v>
      </c>
      <c r="K414" t="n">
        <v>0</v>
      </c>
      <c r="L414" t="n">
        <v>0</v>
      </c>
      <c r="M414" t="n">
        <v>0</v>
      </c>
      <c r="N414" t="n">
        <v>0</v>
      </c>
      <c r="O414" t="n">
        <v>0</v>
      </c>
      <c r="P414" t="n">
        <v>0</v>
      </c>
      <c r="Q414" t="n">
        <v>0</v>
      </c>
      <c r="R414" s="2" t="inlineStr"/>
    </row>
    <row r="415" ht="15" customHeight="1">
      <c r="A415" t="inlineStr">
        <is>
          <t>A 1790-2024</t>
        </is>
      </c>
      <c r="B415" s="1" t="n">
        <v>45307.5731712963</v>
      </c>
      <c r="C415" s="1" t="n">
        <v>45900</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37665-2023</t>
        </is>
      </c>
      <c r="B416" s="1" t="n">
        <v>45159.5371875</v>
      </c>
      <c r="C416" s="1" t="n">
        <v>45900</v>
      </c>
      <c r="D416" t="inlineStr">
        <is>
          <t>DALARNAS LÄN</t>
        </is>
      </c>
      <c r="E416" t="inlineStr">
        <is>
          <t>ÄLVDALEN</t>
        </is>
      </c>
      <c r="F416" t="inlineStr">
        <is>
          <t>Allmännings- och besparingsskogar</t>
        </is>
      </c>
      <c r="G416" t="n">
        <v>0.5</v>
      </c>
      <c r="H416" t="n">
        <v>0</v>
      </c>
      <c r="I416" t="n">
        <v>0</v>
      </c>
      <c r="J416" t="n">
        <v>0</v>
      </c>
      <c r="K416" t="n">
        <v>0</v>
      </c>
      <c r="L416" t="n">
        <v>0</v>
      </c>
      <c r="M416" t="n">
        <v>0</v>
      </c>
      <c r="N416" t="n">
        <v>0</v>
      </c>
      <c r="O416" t="n">
        <v>0</v>
      </c>
      <c r="P416" t="n">
        <v>0</v>
      </c>
      <c r="Q416" t="n">
        <v>0</v>
      </c>
      <c r="R416" s="2" t="inlineStr"/>
    </row>
    <row r="417" ht="15" customHeight="1">
      <c r="A417" t="inlineStr">
        <is>
          <t>A 1310-2024</t>
        </is>
      </c>
      <c r="B417" s="1" t="n">
        <v>45303</v>
      </c>
      <c r="C417" s="1" t="n">
        <v>45900</v>
      </c>
      <c r="D417" t="inlineStr">
        <is>
          <t>DALARNAS LÄN</t>
        </is>
      </c>
      <c r="E417" t="inlineStr">
        <is>
          <t>ÄLVDALEN</t>
        </is>
      </c>
      <c r="G417" t="n">
        <v>4.3</v>
      </c>
      <c r="H417" t="n">
        <v>0</v>
      </c>
      <c r="I417" t="n">
        <v>0</v>
      </c>
      <c r="J417" t="n">
        <v>0</v>
      </c>
      <c r="K417" t="n">
        <v>0</v>
      </c>
      <c r="L417" t="n">
        <v>0</v>
      </c>
      <c r="M417" t="n">
        <v>0</v>
      </c>
      <c r="N417" t="n">
        <v>0</v>
      </c>
      <c r="O417" t="n">
        <v>0</v>
      </c>
      <c r="P417" t="n">
        <v>0</v>
      </c>
      <c r="Q417" t="n">
        <v>0</v>
      </c>
      <c r="R417" s="2" t="inlineStr"/>
    </row>
    <row r="418" ht="15" customHeight="1">
      <c r="A418" t="inlineStr">
        <is>
          <t>A 52167-2024</t>
        </is>
      </c>
      <c r="B418" s="1" t="n">
        <v>45608.53949074074</v>
      </c>
      <c r="C418" s="1" t="n">
        <v>45900</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37186-2025</t>
        </is>
      </c>
      <c r="B419" s="1" t="n">
        <v>45875.63905092593</v>
      </c>
      <c r="C419" s="1" t="n">
        <v>45900</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37873-2025</t>
        </is>
      </c>
      <c r="B420" s="1" t="n">
        <v>45881</v>
      </c>
      <c r="C420" s="1" t="n">
        <v>45900</v>
      </c>
      <c r="D420" t="inlineStr">
        <is>
          <t>DALARNAS LÄN</t>
        </is>
      </c>
      <c r="E420" t="inlineStr">
        <is>
          <t>ÄLVDALEN</t>
        </is>
      </c>
      <c r="F420" t="inlineStr">
        <is>
          <t>Övriga Aktiebolag</t>
        </is>
      </c>
      <c r="G420" t="n">
        <v>40.7</v>
      </c>
      <c r="H420" t="n">
        <v>0</v>
      </c>
      <c r="I420" t="n">
        <v>0</v>
      </c>
      <c r="J420" t="n">
        <v>0</v>
      </c>
      <c r="K420" t="n">
        <v>0</v>
      </c>
      <c r="L420" t="n">
        <v>0</v>
      </c>
      <c r="M420" t="n">
        <v>0</v>
      </c>
      <c r="N420" t="n">
        <v>0</v>
      </c>
      <c r="O420" t="n">
        <v>0</v>
      </c>
      <c r="P420" t="n">
        <v>0</v>
      </c>
      <c r="Q420" t="n">
        <v>0</v>
      </c>
      <c r="R420" s="2" t="inlineStr"/>
    </row>
    <row r="421" ht="15" customHeight="1">
      <c r="A421" t="inlineStr">
        <is>
          <t>A 37874-2025</t>
        </is>
      </c>
      <c r="B421" s="1" t="n">
        <v>45881</v>
      </c>
      <c r="C421" s="1" t="n">
        <v>45900</v>
      </c>
      <c r="D421" t="inlineStr">
        <is>
          <t>DALARNAS LÄN</t>
        </is>
      </c>
      <c r="E421" t="inlineStr">
        <is>
          <t>ÄLVDALEN</t>
        </is>
      </c>
      <c r="F421" t="inlineStr">
        <is>
          <t>Övriga Aktiebolag</t>
        </is>
      </c>
      <c r="G421" t="n">
        <v>33.5</v>
      </c>
      <c r="H421" t="n">
        <v>0</v>
      </c>
      <c r="I421" t="n">
        <v>0</v>
      </c>
      <c r="J421" t="n">
        <v>0</v>
      </c>
      <c r="K421" t="n">
        <v>0</v>
      </c>
      <c r="L421" t="n">
        <v>0</v>
      </c>
      <c r="M421" t="n">
        <v>0</v>
      </c>
      <c r="N421" t="n">
        <v>0</v>
      </c>
      <c r="O421" t="n">
        <v>0</v>
      </c>
      <c r="P421" t="n">
        <v>0</v>
      </c>
      <c r="Q421" t="n">
        <v>0</v>
      </c>
      <c r="R421" s="2" t="inlineStr"/>
    </row>
    <row r="422" ht="15" customHeight="1">
      <c r="A422" t="inlineStr">
        <is>
          <t>A 19527-2025</t>
        </is>
      </c>
      <c r="B422" s="1" t="n">
        <v>45770.46546296297</v>
      </c>
      <c r="C422" s="1" t="n">
        <v>45900</v>
      </c>
      <c r="D422" t="inlineStr">
        <is>
          <t>DALARNAS LÄN</t>
        </is>
      </c>
      <c r="E422" t="inlineStr">
        <is>
          <t>ÄLVDALEN</t>
        </is>
      </c>
      <c r="F422" t="inlineStr">
        <is>
          <t>Allmännings- och besparingsskogar</t>
        </is>
      </c>
      <c r="G422" t="n">
        <v>4.2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45900</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44119-2022</t>
        </is>
      </c>
      <c r="B424" s="1" t="n">
        <v>44839.39157407408</v>
      </c>
      <c r="C424" s="1" t="n">
        <v>45900</v>
      </c>
      <c r="D424" t="inlineStr">
        <is>
          <t>DALARNAS LÄN</t>
        </is>
      </c>
      <c r="E424" t="inlineStr">
        <is>
          <t>ÄLVDALEN</t>
        </is>
      </c>
      <c r="G424" t="n">
        <v>3.2</v>
      </c>
      <c r="H424" t="n">
        <v>0</v>
      </c>
      <c r="I424" t="n">
        <v>0</v>
      </c>
      <c r="J424" t="n">
        <v>0</v>
      </c>
      <c r="K424" t="n">
        <v>0</v>
      </c>
      <c r="L424" t="n">
        <v>0</v>
      </c>
      <c r="M424" t="n">
        <v>0</v>
      </c>
      <c r="N424" t="n">
        <v>0</v>
      </c>
      <c r="O424" t="n">
        <v>0</v>
      </c>
      <c r="P424" t="n">
        <v>0</v>
      </c>
      <c r="Q424" t="n">
        <v>0</v>
      </c>
      <c r="R424" s="2" t="inlineStr"/>
    </row>
    <row r="425" ht="15" customHeight="1">
      <c r="A425" t="inlineStr">
        <is>
          <t>A 443-2025</t>
        </is>
      </c>
      <c r="B425" s="1" t="n">
        <v>45664.39349537037</v>
      </c>
      <c r="C425" s="1" t="n">
        <v>45900</v>
      </c>
      <c r="D425" t="inlineStr">
        <is>
          <t>DALARNAS LÄN</t>
        </is>
      </c>
      <c r="E425" t="inlineStr">
        <is>
          <t>ÄLVDALEN</t>
        </is>
      </c>
      <c r="G425" t="n">
        <v>0.8</v>
      </c>
      <c r="H425" t="n">
        <v>0</v>
      </c>
      <c r="I425" t="n">
        <v>0</v>
      </c>
      <c r="J425" t="n">
        <v>0</v>
      </c>
      <c r="K425" t="n">
        <v>0</v>
      </c>
      <c r="L425" t="n">
        <v>0</v>
      </c>
      <c r="M425" t="n">
        <v>0</v>
      </c>
      <c r="N425" t="n">
        <v>0</v>
      </c>
      <c r="O425" t="n">
        <v>0</v>
      </c>
      <c r="P425" t="n">
        <v>0</v>
      </c>
      <c r="Q425" t="n">
        <v>0</v>
      </c>
      <c r="R425" s="2" t="inlineStr"/>
    </row>
    <row r="426" ht="15" customHeight="1">
      <c r="A426" t="inlineStr">
        <is>
          <t>A 68219-2021</t>
        </is>
      </c>
      <c r="B426" s="1" t="n">
        <v>44526.57060185185</v>
      </c>
      <c r="C426" s="1" t="n">
        <v>45900</v>
      </c>
      <c r="D426" t="inlineStr">
        <is>
          <t>DALARNAS LÄN</t>
        </is>
      </c>
      <c r="E426" t="inlineStr">
        <is>
          <t>ÄLVDALEN</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29610-2024</t>
        </is>
      </c>
      <c r="B427" s="1" t="n">
        <v>45484</v>
      </c>
      <c r="C427" s="1" t="n">
        <v>45900</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59444-2024</t>
        </is>
      </c>
      <c r="B428" s="1" t="n">
        <v>45638.45292824074</v>
      </c>
      <c r="C428" s="1" t="n">
        <v>45900</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59483-2024</t>
        </is>
      </c>
      <c r="B429" s="1" t="n">
        <v>45638.52847222222</v>
      </c>
      <c r="C429" s="1" t="n">
        <v>45900</v>
      </c>
      <c r="D429" t="inlineStr">
        <is>
          <t>DALARNAS LÄN</t>
        </is>
      </c>
      <c r="E429" t="inlineStr">
        <is>
          <t>ÄLVDALEN</t>
        </is>
      </c>
      <c r="F429" t="inlineStr">
        <is>
          <t>Allmännings- och besparingsskogar</t>
        </is>
      </c>
      <c r="G429" t="n">
        <v>6.9</v>
      </c>
      <c r="H429" t="n">
        <v>0</v>
      </c>
      <c r="I429" t="n">
        <v>0</v>
      </c>
      <c r="J429" t="n">
        <v>0</v>
      </c>
      <c r="K429" t="n">
        <v>0</v>
      </c>
      <c r="L429" t="n">
        <v>0</v>
      </c>
      <c r="M429" t="n">
        <v>0</v>
      </c>
      <c r="N429" t="n">
        <v>0</v>
      </c>
      <c r="O429" t="n">
        <v>0</v>
      </c>
      <c r="P429" t="n">
        <v>0</v>
      </c>
      <c r="Q429" t="n">
        <v>0</v>
      </c>
      <c r="R429" s="2" t="inlineStr"/>
    </row>
    <row r="430" ht="15" customHeight="1">
      <c r="A430" t="inlineStr">
        <is>
          <t>A 3900-2024</t>
        </is>
      </c>
      <c r="B430" s="1" t="n">
        <v>45322</v>
      </c>
      <c r="C430" s="1" t="n">
        <v>45900</v>
      </c>
      <c r="D430" t="inlineStr">
        <is>
          <t>DALARNAS LÄN</t>
        </is>
      </c>
      <c r="E430" t="inlineStr">
        <is>
          <t>ÄLVDALEN</t>
        </is>
      </c>
      <c r="G430" t="n">
        <v>1.1</v>
      </c>
      <c r="H430" t="n">
        <v>0</v>
      </c>
      <c r="I430" t="n">
        <v>0</v>
      </c>
      <c r="J430" t="n">
        <v>0</v>
      </c>
      <c r="K430" t="n">
        <v>0</v>
      </c>
      <c r="L430" t="n">
        <v>0</v>
      </c>
      <c r="M430" t="n">
        <v>0</v>
      </c>
      <c r="N430" t="n">
        <v>0</v>
      </c>
      <c r="O430" t="n">
        <v>0</v>
      </c>
      <c r="P430" t="n">
        <v>0</v>
      </c>
      <c r="Q430" t="n">
        <v>0</v>
      </c>
      <c r="R430" s="2" t="inlineStr"/>
    </row>
    <row r="431" ht="15" customHeight="1">
      <c r="A431" t="inlineStr">
        <is>
          <t>A 34314-2025</t>
        </is>
      </c>
      <c r="B431" s="1" t="n">
        <v>45846</v>
      </c>
      <c r="C431" s="1" t="n">
        <v>45900</v>
      </c>
      <c r="D431" t="inlineStr">
        <is>
          <t>DALARNAS LÄN</t>
        </is>
      </c>
      <c r="E431" t="inlineStr">
        <is>
          <t>ÄLVDALEN</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45900</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2375-2024</t>
        </is>
      </c>
      <c r="B433" s="1" t="n">
        <v>45310</v>
      </c>
      <c r="C433" s="1" t="n">
        <v>45900</v>
      </c>
      <c r="D433" t="inlineStr">
        <is>
          <t>DALARNAS LÄN</t>
        </is>
      </c>
      <c r="E433" t="inlineStr">
        <is>
          <t>ÄLVDALEN</t>
        </is>
      </c>
      <c r="G433" t="n">
        <v>5.4</v>
      </c>
      <c r="H433" t="n">
        <v>0</v>
      </c>
      <c r="I433" t="n">
        <v>0</v>
      </c>
      <c r="J433" t="n">
        <v>0</v>
      </c>
      <c r="K433" t="n">
        <v>0</v>
      </c>
      <c r="L433" t="n">
        <v>0</v>
      </c>
      <c r="M433" t="n">
        <v>0</v>
      </c>
      <c r="N433" t="n">
        <v>0</v>
      </c>
      <c r="O433" t="n">
        <v>0</v>
      </c>
      <c r="P433" t="n">
        <v>0</v>
      </c>
      <c r="Q433" t="n">
        <v>0</v>
      </c>
      <c r="R433" s="2" t="inlineStr"/>
    </row>
    <row r="434" ht="15" customHeight="1">
      <c r="A434" t="inlineStr">
        <is>
          <t>A 38754-2025</t>
        </is>
      </c>
      <c r="B434" s="1" t="n">
        <v>45887.39354166666</v>
      </c>
      <c r="C434" s="1" t="n">
        <v>45900</v>
      </c>
      <c r="D434" t="inlineStr">
        <is>
          <t>DALARNAS LÄN</t>
        </is>
      </c>
      <c r="E434" t="inlineStr">
        <is>
          <t>ÄLVDALEN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35161-2023</t>
        </is>
      </c>
      <c r="B435" s="1" t="n">
        <v>45145.57525462963</v>
      </c>
      <c r="C435" s="1" t="n">
        <v>45900</v>
      </c>
      <c r="D435" t="inlineStr">
        <is>
          <t>DALARNAS LÄN</t>
        </is>
      </c>
      <c r="E435" t="inlineStr">
        <is>
          <t>ÄLVDALEN</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39041-2025</t>
        </is>
      </c>
      <c r="B436" s="1" t="n">
        <v>45888</v>
      </c>
      <c r="C436" s="1" t="n">
        <v>45900</v>
      </c>
      <c r="D436" t="inlineStr">
        <is>
          <t>DALARNAS LÄN</t>
        </is>
      </c>
      <c r="E436" t="inlineStr">
        <is>
          <t>ÄLVDALEN</t>
        </is>
      </c>
      <c r="G436" t="n">
        <v>4.7</v>
      </c>
      <c r="H436" t="n">
        <v>0</v>
      </c>
      <c r="I436" t="n">
        <v>0</v>
      </c>
      <c r="J436" t="n">
        <v>0</v>
      </c>
      <c r="K436" t="n">
        <v>0</v>
      </c>
      <c r="L436" t="n">
        <v>0</v>
      </c>
      <c r="M436" t="n">
        <v>0</v>
      </c>
      <c r="N436" t="n">
        <v>0</v>
      </c>
      <c r="O436" t="n">
        <v>0</v>
      </c>
      <c r="P436" t="n">
        <v>0</v>
      </c>
      <c r="Q436" t="n">
        <v>0</v>
      </c>
      <c r="R436" s="2" t="inlineStr"/>
    </row>
    <row r="437" ht="15" customHeight="1">
      <c r="A437" t="inlineStr">
        <is>
          <t>A 34739-2025</t>
        </is>
      </c>
      <c r="B437" s="1" t="n">
        <v>45848.60682870371</v>
      </c>
      <c r="C437" s="1" t="n">
        <v>45900</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34778-2025</t>
        </is>
      </c>
      <c r="B438" s="1" t="n">
        <v>45848.66840277778</v>
      </c>
      <c r="C438" s="1" t="n">
        <v>45900</v>
      </c>
      <c r="D438" t="inlineStr">
        <is>
          <t>DALARNAS LÄN</t>
        </is>
      </c>
      <c r="E438" t="inlineStr">
        <is>
          <t>ÄLVDALEN</t>
        </is>
      </c>
      <c r="G438" t="n">
        <v>2.2</v>
      </c>
      <c r="H438" t="n">
        <v>0</v>
      </c>
      <c r="I438" t="n">
        <v>0</v>
      </c>
      <c r="J438" t="n">
        <v>0</v>
      </c>
      <c r="K438" t="n">
        <v>0</v>
      </c>
      <c r="L438" t="n">
        <v>0</v>
      </c>
      <c r="M438" t="n">
        <v>0</v>
      </c>
      <c r="N438" t="n">
        <v>0</v>
      </c>
      <c r="O438" t="n">
        <v>0</v>
      </c>
      <c r="P438" t="n">
        <v>0</v>
      </c>
      <c r="Q438" t="n">
        <v>0</v>
      </c>
      <c r="R438" s="2" t="inlineStr"/>
    </row>
    <row r="439" ht="15" customHeight="1">
      <c r="A439" t="inlineStr">
        <is>
          <t>A 34697-2025</t>
        </is>
      </c>
      <c r="B439" s="1" t="n">
        <v>45848.46181712963</v>
      </c>
      <c r="C439" s="1" t="n">
        <v>45900</v>
      </c>
      <c r="D439" t="inlineStr">
        <is>
          <t>DALARNAS LÄN</t>
        </is>
      </c>
      <c r="E439" t="inlineStr">
        <is>
          <t>ÄLVDALEN</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34705-2025</t>
        </is>
      </c>
      <c r="B440" s="1" t="n">
        <v>45848.49012731481</v>
      </c>
      <c r="C440" s="1" t="n">
        <v>45900</v>
      </c>
      <c r="D440" t="inlineStr">
        <is>
          <t>DALARNAS LÄN</t>
        </is>
      </c>
      <c r="E440" t="inlineStr">
        <is>
          <t>ÄLVDALEN</t>
        </is>
      </c>
      <c r="F440" t="inlineStr">
        <is>
          <t>Allmännings- och besparingsskogar</t>
        </is>
      </c>
      <c r="G440" t="n">
        <v>1.1</v>
      </c>
      <c r="H440" t="n">
        <v>0</v>
      </c>
      <c r="I440" t="n">
        <v>0</v>
      </c>
      <c r="J440" t="n">
        <v>0</v>
      </c>
      <c r="K440" t="n">
        <v>0</v>
      </c>
      <c r="L440" t="n">
        <v>0</v>
      </c>
      <c r="M440" t="n">
        <v>0</v>
      </c>
      <c r="N440" t="n">
        <v>0</v>
      </c>
      <c r="O440" t="n">
        <v>0</v>
      </c>
      <c r="P440" t="n">
        <v>0</v>
      </c>
      <c r="Q440" t="n">
        <v>0</v>
      </c>
      <c r="R440" s="2" t="inlineStr"/>
    </row>
    <row r="441" ht="15" customHeight="1">
      <c r="A441" t="inlineStr">
        <is>
          <t>A 31332-2023</t>
        </is>
      </c>
      <c r="B441" s="1" t="n">
        <v>45114</v>
      </c>
      <c r="C441" s="1" t="n">
        <v>45900</v>
      </c>
      <c r="D441" t="inlineStr">
        <is>
          <t>DALARNAS LÄN</t>
        </is>
      </c>
      <c r="E441" t="inlineStr">
        <is>
          <t>ÄLVDALEN</t>
        </is>
      </c>
      <c r="F441" t="inlineStr">
        <is>
          <t>Övriga statliga verk och myndigheter</t>
        </is>
      </c>
      <c r="G441" t="n">
        <v>0.5</v>
      </c>
      <c r="H441" t="n">
        <v>0</v>
      </c>
      <c r="I441" t="n">
        <v>0</v>
      </c>
      <c r="J441" t="n">
        <v>0</v>
      </c>
      <c r="K441" t="n">
        <v>0</v>
      </c>
      <c r="L441" t="n">
        <v>0</v>
      </c>
      <c r="M441" t="n">
        <v>0</v>
      </c>
      <c r="N441" t="n">
        <v>0</v>
      </c>
      <c r="O441" t="n">
        <v>0</v>
      </c>
      <c r="P441" t="n">
        <v>0</v>
      </c>
      <c r="Q441" t="n">
        <v>0</v>
      </c>
      <c r="R441" s="2" t="inlineStr"/>
    </row>
    <row r="442" ht="15" customHeight="1">
      <c r="A442" t="inlineStr">
        <is>
          <t>A 15952-2021</t>
        </is>
      </c>
      <c r="B442" s="1" t="n">
        <v>44286</v>
      </c>
      <c r="C442" s="1" t="n">
        <v>45900</v>
      </c>
      <c r="D442" t="inlineStr">
        <is>
          <t>DALARNAS LÄN</t>
        </is>
      </c>
      <c r="E442" t="inlineStr">
        <is>
          <t>ÄLVDALEN</t>
        </is>
      </c>
      <c r="F442" t="inlineStr">
        <is>
          <t>Övriga statliga verk och myndigheter</t>
        </is>
      </c>
      <c r="G442" t="n">
        <v>6.6</v>
      </c>
      <c r="H442" t="n">
        <v>0</v>
      </c>
      <c r="I442" t="n">
        <v>0</v>
      </c>
      <c r="J442" t="n">
        <v>0</v>
      </c>
      <c r="K442" t="n">
        <v>0</v>
      </c>
      <c r="L442" t="n">
        <v>0</v>
      </c>
      <c r="M442" t="n">
        <v>0</v>
      </c>
      <c r="N442" t="n">
        <v>0</v>
      </c>
      <c r="O442" t="n">
        <v>0</v>
      </c>
      <c r="P442" t="n">
        <v>0</v>
      </c>
      <c r="Q442" t="n">
        <v>0</v>
      </c>
      <c r="R442" s="2" t="inlineStr"/>
    </row>
    <row r="443" ht="15" customHeight="1">
      <c r="A443" t="inlineStr">
        <is>
          <t>A 34645-2025</t>
        </is>
      </c>
      <c r="B443" s="1" t="n">
        <v>45848.33440972222</v>
      </c>
      <c r="C443" s="1" t="n">
        <v>45900</v>
      </c>
      <c r="D443" t="inlineStr">
        <is>
          <t>DALARNAS LÄN</t>
        </is>
      </c>
      <c r="E443" t="inlineStr">
        <is>
          <t>ÄLVDALEN</t>
        </is>
      </c>
      <c r="G443" t="n">
        <v>7.1</v>
      </c>
      <c r="H443" t="n">
        <v>0</v>
      </c>
      <c r="I443" t="n">
        <v>0</v>
      </c>
      <c r="J443" t="n">
        <v>0</v>
      </c>
      <c r="K443" t="n">
        <v>0</v>
      </c>
      <c r="L443" t="n">
        <v>0</v>
      </c>
      <c r="M443" t="n">
        <v>0</v>
      </c>
      <c r="N443" t="n">
        <v>0</v>
      </c>
      <c r="O443" t="n">
        <v>0</v>
      </c>
      <c r="P443" t="n">
        <v>0</v>
      </c>
      <c r="Q443" t="n">
        <v>0</v>
      </c>
      <c r="R443" s="2" t="inlineStr"/>
    </row>
    <row r="444" ht="15" customHeight="1">
      <c r="A444" t="inlineStr">
        <is>
          <t>A 19578-2025</t>
        </is>
      </c>
      <c r="B444" s="1" t="n">
        <v>45770</v>
      </c>
      <c r="C444" s="1" t="n">
        <v>45900</v>
      </c>
      <c r="D444" t="inlineStr">
        <is>
          <t>DALARNAS LÄN</t>
        </is>
      </c>
      <c r="E444" t="inlineStr">
        <is>
          <t>ÄLVDALEN</t>
        </is>
      </c>
      <c r="F444" t="inlineStr">
        <is>
          <t>Sveaskog</t>
        </is>
      </c>
      <c r="G444" t="n">
        <v>15.2</v>
      </c>
      <c r="H444" t="n">
        <v>0</v>
      </c>
      <c r="I444" t="n">
        <v>0</v>
      </c>
      <c r="J444" t="n">
        <v>0</v>
      </c>
      <c r="K444" t="n">
        <v>0</v>
      </c>
      <c r="L444" t="n">
        <v>0</v>
      </c>
      <c r="M444" t="n">
        <v>0</v>
      </c>
      <c r="N444" t="n">
        <v>0</v>
      </c>
      <c r="O444" t="n">
        <v>0</v>
      </c>
      <c r="P444" t="n">
        <v>0</v>
      </c>
      <c r="Q444" t="n">
        <v>0</v>
      </c>
      <c r="R444" s="2" t="inlineStr"/>
    </row>
    <row r="445" ht="15" customHeight="1">
      <c r="A445" t="inlineStr">
        <is>
          <t>A 61070-2024</t>
        </is>
      </c>
      <c r="B445" s="1" t="n">
        <v>45645.50170138889</v>
      </c>
      <c r="C445" s="1" t="n">
        <v>45900</v>
      </c>
      <c r="D445" t="inlineStr">
        <is>
          <t>DALARNAS LÄN</t>
        </is>
      </c>
      <c r="E445" t="inlineStr">
        <is>
          <t>ÄLVDALEN</t>
        </is>
      </c>
      <c r="G445" t="n">
        <v>5.6</v>
      </c>
      <c r="H445" t="n">
        <v>0</v>
      </c>
      <c r="I445" t="n">
        <v>0</v>
      </c>
      <c r="J445" t="n">
        <v>0</v>
      </c>
      <c r="K445" t="n">
        <v>0</v>
      </c>
      <c r="L445" t="n">
        <v>0</v>
      </c>
      <c r="M445" t="n">
        <v>0</v>
      </c>
      <c r="N445" t="n">
        <v>0</v>
      </c>
      <c r="O445" t="n">
        <v>0</v>
      </c>
      <c r="P445" t="n">
        <v>0</v>
      </c>
      <c r="Q445" t="n">
        <v>0</v>
      </c>
      <c r="R445" s="2" t="inlineStr"/>
    </row>
    <row r="446" ht="15" customHeight="1">
      <c r="A446" t="inlineStr">
        <is>
          <t>A 19583-2025</t>
        </is>
      </c>
      <c r="B446" s="1" t="n">
        <v>45770</v>
      </c>
      <c r="C446" s="1" t="n">
        <v>45900</v>
      </c>
      <c r="D446" t="inlineStr">
        <is>
          <t>DALARNAS LÄN</t>
        </is>
      </c>
      <c r="E446" t="inlineStr">
        <is>
          <t>ÄLVDALEN</t>
        </is>
      </c>
      <c r="F446" t="inlineStr">
        <is>
          <t>Sveaskog</t>
        </is>
      </c>
      <c r="G446" t="n">
        <v>24.1</v>
      </c>
      <c r="H446" t="n">
        <v>0</v>
      </c>
      <c r="I446" t="n">
        <v>0</v>
      </c>
      <c r="J446" t="n">
        <v>0</v>
      </c>
      <c r="K446" t="n">
        <v>0</v>
      </c>
      <c r="L446" t="n">
        <v>0</v>
      </c>
      <c r="M446" t="n">
        <v>0</v>
      </c>
      <c r="N446" t="n">
        <v>0</v>
      </c>
      <c r="O446" t="n">
        <v>0</v>
      </c>
      <c r="P446" t="n">
        <v>0</v>
      </c>
      <c r="Q446" t="n">
        <v>0</v>
      </c>
      <c r="R446" s="2" t="inlineStr"/>
    </row>
    <row r="447" ht="15" customHeight="1">
      <c r="A447" t="inlineStr">
        <is>
          <t>A 34526-2025</t>
        </is>
      </c>
      <c r="B447" s="1" t="n">
        <v>45847.47820601852</v>
      </c>
      <c r="C447" s="1" t="n">
        <v>45900</v>
      </c>
      <c r="D447" t="inlineStr">
        <is>
          <t>DALARNAS LÄN</t>
        </is>
      </c>
      <c r="E447" t="inlineStr">
        <is>
          <t>ÄLVDALEN</t>
        </is>
      </c>
      <c r="F447" t="inlineStr">
        <is>
          <t>Allmännings- och besparingsskogar</t>
        </is>
      </c>
      <c r="G447" t="n">
        <v>3.9</v>
      </c>
      <c r="H447" t="n">
        <v>0</v>
      </c>
      <c r="I447" t="n">
        <v>0</v>
      </c>
      <c r="J447" t="n">
        <v>0</v>
      </c>
      <c r="K447" t="n">
        <v>0</v>
      </c>
      <c r="L447" t="n">
        <v>0</v>
      </c>
      <c r="M447" t="n">
        <v>0</v>
      </c>
      <c r="N447" t="n">
        <v>0</v>
      </c>
      <c r="O447" t="n">
        <v>0</v>
      </c>
      <c r="P447" t="n">
        <v>0</v>
      </c>
      <c r="Q447" t="n">
        <v>0</v>
      </c>
      <c r="R447" s="2" t="inlineStr"/>
    </row>
    <row r="448" ht="15" customHeight="1">
      <c r="A448" t="inlineStr">
        <is>
          <t>A 45203-2024</t>
        </is>
      </c>
      <c r="B448" s="1" t="n">
        <v>45575</v>
      </c>
      <c r="C448" s="1" t="n">
        <v>45900</v>
      </c>
      <c r="D448" t="inlineStr">
        <is>
          <t>DALARNAS LÄN</t>
        </is>
      </c>
      <c r="E448" t="inlineStr">
        <is>
          <t>ÄLVDALEN</t>
        </is>
      </c>
      <c r="G448" t="n">
        <v>7.3</v>
      </c>
      <c r="H448" t="n">
        <v>0</v>
      </c>
      <c r="I448" t="n">
        <v>0</v>
      </c>
      <c r="J448" t="n">
        <v>0</v>
      </c>
      <c r="K448" t="n">
        <v>0</v>
      </c>
      <c r="L448" t="n">
        <v>0</v>
      </c>
      <c r="M448" t="n">
        <v>0</v>
      </c>
      <c r="N448" t="n">
        <v>0</v>
      </c>
      <c r="O448" t="n">
        <v>0</v>
      </c>
      <c r="P448" t="n">
        <v>0</v>
      </c>
      <c r="Q448" t="n">
        <v>0</v>
      </c>
      <c r="R448" s="2" t="inlineStr"/>
    </row>
    <row r="449" ht="15" customHeight="1">
      <c r="A449" t="inlineStr">
        <is>
          <t>A 34850-2025</t>
        </is>
      </c>
      <c r="B449" s="1" t="n">
        <v>45849.42398148148</v>
      </c>
      <c r="C449" s="1" t="n">
        <v>45900</v>
      </c>
      <c r="D449" t="inlineStr">
        <is>
          <t>DALARNAS LÄN</t>
        </is>
      </c>
      <c r="E449" t="inlineStr">
        <is>
          <t>ÄLVDALEN</t>
        </is>
      </c>
      <c r="F449" t="inlineStr">
        <is>
          <t>Allmännings- och besparingsskogar</t>
        </is>
      </c>
      <c r="G449" t="n">
        <v>12.1</v>
      </c>
      <c r="H449" t="n">
        <v>0</v>
      </c>
      <c r="I449" t="n">
        <v>0</v>
      </c>
      <c r="J449" t="n">
        <v>0</v>
      </c>
      <c r="K449" t="n">
        <v>0</v>
      </c>
      <c r="L449" t="n">
        <v>0</v>
      </c>
      <c r="M449" t="n">
        <v>0</v>
      </c>
      <c r="N449" t="n">
        <v>0</v>
      </c>
      <c r="O449" t="n">
        <v>0</v>
      </c>
      <c r="P449" t="n">
        <v>0</v>
      </c>
      <c r="Q449" t="n">
        <v>0</v>
      </c>
      <c r="R449" s="2" t="inlineStr"/>
    </row>
    <row r="450" ht="15" customHeight="1">
      <c r="A450" t="inlineStr">
        <is>
          <t>A 19761-2021</t>
        </is>
      </c>
      <c r="B450" s="1" t="n">
        <v>44309</v>
      </c>
      <c r="C450" s="1" t="n">
        <v>45900</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39762-2025</t>
        </is>
      </c>
      <c r="B451" s="1" t="n">
        <v>45891.44045138889</v>
      </c>
      <c r="C451" s="1" t="n">
        <v>45900</v>
      </c>
      <c r="D451" t="inlineStr">
        <is>
          <t>DALARNAS LÄN</t>
        </is>
      </c>
      <c r="E451" t="inlineStr">
        <is>
          <t>ÄLVDALEN</t>
        </is>
      </c>
      <c r="G451" t="n">
        <v>4.7</v>
      </c>
      <c r="H451" t="n">
        <v>0</v>
      </c>
      <c r="I451" t="n">
        <v>0</v>
      </c>
      <c r="J451" t="n">
        <v>0</v>
      </c>
      <c r="K451" t="n">
        <v>0</v>
      </c>
      <c r="L451" t="n">
        <v>0</v>
      </c>
      <c r="M451" t="n">
        <v>0</v>
      </c>
      <c r="N451" t="n">
        <v>0</v>
      </c>
      <c r="O451" t="n">
        <v>0</v>
      </c>
      <c r="P451" t="n">
        <v>0</v>
      </c>
      <c r="Q451" t="n">
        <v>0</v>
      </c>
      <c r="R451" s="2" t="inlineStr"/>
    </row>
    <row r="452" ht="15" customHeight="1">
      <c r="A452" t="inlineStr">
        <is>
          <t>A 47873-2023</t>
        </is>
      </c>
      <c r="B452" s="1" t="n">
        <v>45204</v>
      </c>
      <c r="C452" s="1" t="n">
        <v>45900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29713-2022</t>
        </is>
      </c>
      <c r="B453" s="1" t="n">
        <v>44755</v>
      </c>
      <c r="C453" s="1" t="n">
        <v>45900</v>
      </c>
      <c r="D453" t="inlineStr">
        <is>
          <t>DALARNAS LÄN</t>
        </is>
      </c>
      <c r="E453" t="inlineStr">
        <is>
          <t>ÄLVDALEN</t>
        </is>
      </c>
      <c r="G453" t="n">
        <v>2.8</v>
      </c>
      <c r="H453" t="n">
        <v>0</v>
      </c>
      <c r="I453" t="n">
        <v>0</v>
      </c>
      <c r="J453" t="n">
        <v>0</v>
      </c>
      <c r="K453" t="n">
        <v>0</v>
      </c>
      <c r="L453" t="n">
        <v>0</v>
      </c>
      <c r="M453" t="n">
        <v>0</v>
      </c>
      <c r="N453" t="n">
        <v>0</v>
      </c>
      <c r="O453" t="n">
        <v>0</v>
      </c>
      <c r="P453" t="n">
        <v>0</v>
      </c>
      <c r="Q453" t="n">
        <v>0</v>
      </c>
      <c r="R453" s="2" t="inlineStr"/>
    </row>
    <row r="454" ht="15" customHeight="1">
      <c r="A454" t="inlineStr">
        <is>
          <t>A 31690-2024</t>
        </is>
      </c>
      <c r="B454" s="1" t="n">
        <v>45507</v>
      </c>
      <c r="C454" s="1" t="n">
        <v>45900</v>
      </c>
      <c r="D454" t="inlineStr">
        <is>
          <t>DALARNAS LÄN</t>
        </is>
      </c>
      <c r="E454" t="inlineStr">
        <is>
          <t>ÄLVDALEN</t>
        </is>
      </c>
      <c r="G454" t="n">
        <v>2.3</v>
      </c>
      <c r="H454" t="n">
        <v>0</v>
      </c>
      <c r="I454" t="n">
        <v>0</v>
      </c>
      <c r="J454" t="n">
        <v>0</v>
      </c>
      <c r="K454" t="n">
        <v>0</v>
      </c>
      <c r="L454" t="n">
        <v>0</v>
      </c>
      <c r="M454" t="n">
        <v>0</v>
      </c>
      <c r="N454" t="n">
        <v>0</v>
      </c>
      <c r="O454" t="n">
        <v>0</v>
      </c>
      <c r="P454" t="n">
        <v>0</v>
      </c>
      <c r="Q454" t="n">
        <v>0</v>
      </c>
      <c r="R454" s="2" t="inlineStr"/>
    </row>
    <row r="455" ht="15" customHeight="1">
      <c r="A455" t="inlineStr">
        <is>
          <t>A 34914-2025</t>
        </is>
      </c>
      <c r="B455" s="1" t="n">
        <v>45849.54108796296</v>
      </c>
      <c r="C455" s="1" t="n">
        <v>45900</v>
      </c>
      <c r="D455" t="inlineStr">
        <is>
          <t>DALARNAS LÄN</t>
        </is>
      </c>
      <c r="E455" t="inlineStr">
        <is>
          <t>ÄLVDALEN</t>
        </is>
      </c>
      <c r="F455" t="inlineStr">
        <is>
          <t>Allmännings- och besparingsskogar</t>
        </is>
      </c>
      <c r="G455" t="n">
        <v>19.2</v>
      </c>
      <c r="H455" t="n">
        <v>0</v>
      </c>
      <c r="I455" t="n">
        <v>0</v>
      </c>
      <c r="J455" t="n">
        <v>0</v>
      </c>
      <c r="K455" t="n">
        <v>0</v>
      </c>
      <c r="L455" t="n">
        <v>0</v>
      </c>
      <c r="M455" t="n">
        <v>0</v>
      </c>
      <c r="N455" t="n">
        <v>0</v>
      </c>
      <c r="O455" t="n">
        <v>0</v>
      </c>
      <c r="P455" t="n">
        <v>0</v>
      </c>
      <c r="Q455" t="n">
        <v>0</v>
      </c>
      <c r="R455" s="2" t="inlineStr"/>
    </row>
    <row r="456" ht="15" customHeight="1">
      <c r="A456" t="inlineStr">
        <is>
          <t>A 39759-2025</t>
        </is>
      </c>
      <c r="B456" s="1" t="n">
        <v>45891.43167824074</v>
      </c>
      <c r="C456" s="1" t="n">
        <v>45900</v>
      </c>
      <c r="D456" t="inlineStr">
        <is>
          <t>DALARNAS LÄN</t>
        </is>
      </c>
      <c r="E456" t="inlineStr">
        <is>
          <t>ÄLVDALEN</t>
        </is>
      </c>
      <c r="G456" t="n">
        <v>6.6</v>
      </c>
      <c r="H456" t="n">
        <v>0</v>
      </c>
      <c r="I456" t="n">
        <v>0</v>
      </c>
      <c r="J456" t="n">
        <v>0</v>
      </c>
      <c r="K456" t="n">
        <v>0</v>
      </c>
      <c r="L456" t="n">
        <v>0</v>
      </c>
      <c r="M456" t="n">
        <v>0</v>
      </c>
      <c r="N456" t="n">
        <v>0</v>
      </c>
      <c r="O456" t="n">
        <v>0</v>
      </c>
      <c r="P456" t="n">
        <v>0</v>
      </c>
      <c r="Q456" t="n">
        <v>0</v>
      </c>
      <c r="R456" s="2" t="inlineStr"/>
    </row>
    <row r="457" ht="15" customHeight="1">
      <c r="A457" t="inlineStr">
        <is>
          <t>A 23570-2023</t>
        </is>
      </c>
      <c r="B457" s="1" t="n">
        <v>45077</v>
      </c>
      <c r="C457" s="1" t="n">
        <v>45900</v>
      </c>
      <c r="D457" t="inlineStr">
        <is>
          <t>DALARNAS LÄN</t>
        </is>
      </c>
      <c r="E457" t="inlineStr">
        <is>
          <t>ÄLVDALEN</t>
        </is>
      </c>
      <c r="G457" t="n">
        <v>4.9</v>
      </c>
      <c r="H457" t="n">
        <v>0</v>
      </c>
      <c r="I457" t="n">
        <v>0</v>
      </c>
      <c r="J457" t="n">
        <v>0</v>
      </c>
      <c r="K457" t="n">
        <v>0</v>
      </c>
      <c r="L457" t="n">
        <v>0</v>
      </c>
      <c r="M457" t="n">
        <v>0</v>
      </c>
      <c r="N457" t="n">
        <v>0</v>
      </c>
      <c r="O457" t="n">
        <v>0</v>
      </c>
      <c r="P457" t="n">
        <v>0</v>
      </c>
      <c r="Q457" t="n">
        <v>0</v>
      </c>
      <c r="R457" s="2" t="inlineStr"/>
    </row>
    <row r="458" ht="15" customHeight="1">
      <c r="A458" t="inlineStr">
        <is>
          <t>A 39227-2024</t>
        </is>
      </c>
      <c r="B458" s="1" t="n">
        <v>45550.50548611111</v>
      </c>
      <c r="C458" s="1" t="n">
        <v>45900</v>
      </c>
      <c r="D458" t="inlineStr">
        <is>
          <t>DALARNAS LÄN</t>
        </is>
      </c>
      <c r="E458" t="inlineStr">
        <is>
          <t>ÄLVDALEN</t>
        </is>
      </c>
      <c r="G458" t="n">
        <v>0.2</v>
      </c>
      <c r="H458" t="n">
        <v>0</v>
      </c>
      <c r="I458" t="n">
        <v>0</v>
      </c>
      <c r="J458" t="n">
        <v>0</v>
      </c>
      <c r="K458" t="n">
        <v>0</v>
      </c>
      <c r="L458" t="n">
        <v>0</v>
      </c>
      <c r="M458" t="n">
        <v>0</v>
      </c>
      <c r="N458" t="n">
        <v>0</v>
      </c>
      <c r="O458" t="n">
        <v>0</v>
      </c>
      <c r="P458" t="n">
        <v>0</v>
      </c>
      <c r="Q458" t="n">
        <v>0</v>
      </c>
      <c r="R458" s="2" t="inlineStr"/>
    </row>
    <row r="459" ht="15" customHeight="1">
      <c r="A459" t="inlineStr">
        <is>
          <t>A 40081-2025</t>
        </is>
      </c>
      <c r="B459" s="1" t="n">
        <v>45894.46609953704</v>
      </c>
      <c r="C459" s="1" t="n">
        <v>45900</v>
      </c>
      <c r="D459" t="inlineStr">
        <is>
          <t>DALARNAS LÄN</t>
        </is>
      </c>
      <c r="E459" t="inlineStr">
        <is>
          <t>ÄLVDALEN</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39789-2025</t>
        </is>
      </c>
      <c r="B460" s="1" t="n">
        <v>45891.48471064815</v>
      </c>
      <c r="C460" s="1" t="n">
        <v>45900</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39755-2025</t>
        </is>
      </c>
      <c r="B461" s="1" t="n">
        <v>45891</v>
      </c>
      <c r="C461" s="1" t="n">
        <v>45900</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627-2025</t>
        </is>
      </c>
      <c r="B462" s="1" t="n">
        <v>45660</v>
      </c>
      <c r="C462" s="1" t="n">
        <v>45900</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510-2024</t>
        </is>
      </c>
      <c r="B463" s="1" t="n">
        <v>45299.39997685186</v>
      </c>
      <c r="C463" s="1" t="n">
        <v>45900</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39893-2025</t>
        </is>
      </c>
      <c r="B464" s="1" t="n">
        <v>45891.63013888889</v>
      </c>
      <c r="C464" s="1" t="n">
        <v>45900</v>
      </c>
      <c r="D464" t="inlineStr">
        <is>
          <t>DALARNAS LÄN</t>
        </is>
      </c>
      <c r="E464" t="inlineStr">
        <is>
          <t>ÄLVDALEN</t>
        </is>
      </c>
      <c r="F464" t="inlineStr">
        <is>
          <t>Kommuner</t>
        </is>
      </c>
      <c r="G464" t="n">
        <v>5.8</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45900</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45900</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4662-2024</t>
        </is>
      </c>
      <c r="B467" s="1" t="n">
        <v>45328.465625</v>
      </c>
      <c r="C467" s="1" t="n">
        <v>45900</v>
      </c>
      <c r="D467" t="inlineStr">
        <is>
          <t>DALARNAS LÄN</t>
        </is>
      </c>
      <c r="E467" t="inlineStr">
        <is>
          <t>ÄLVDALEN</t>
        </is>
      </c>
      <c r="G467" t="n">
        <v>4.9</v>
      </c>
      <c r="H467" t="n">
        <v>0</v>
      </c>
      <c r="I467" t="n">
        <v>0</v>
      </c>
      <c r="J467" t="n">
        <v>0</v>
      </c>
      <c r="K467" t="n">
        <v>0</v>
      </c>
      <c r="L467" t="n">
        <v>0</v>
      </c>
      <c r="M467" t="n">
        <v>0</v>
      </c>
      <c r="N467" t="n">
        <v>0</v>
      </c>
      <c r="O467" t="n">
        <v>0</v>
      </c>
      <c r="P467" t="n">
        <v>0</v>
      </c>
      <c r="Q467" t="n">
        <v>0</v>
      </c>
      <c r="R467" s="2" t="inlineStr"/>
    </row>
    <row r="468" ht="15" customHeight="1">
      <c r="A468" t="inlineStr">
        <is>
          <t>A 27187-2025</t>
        </is>
      </c>
      <c r="B468" s="1" t="n">
        <v>45812</v>
      </c>
      <c r="C468" s="1" t="n">
        <v>45900</v>
      </c>
      <c r="D468" t="inlineStr">
        <is>
          <t>DALARNAS LÄN</t>
        </is>
      </c>
      <c r="E468" t="inlineStr">
        <is>
          <t>ÄLVDALEN</t>
        </is>
      </c>
      <c r="F468" t="inlineStr">
        <is>
          <t>Allmännings- och besparingsskogar</t>
        </is>
      </c>
      <c r="G468" t="n">
        <v>3</v>
      </c>
      <c r="H468" t="n">
        <v>0</v>
      </c>
      <c r="I468" t="n">
        <v>0</v>
      </c>
      <c r="J468" t="n">
        <v>0</v>
      </c>
      <c r="K468" t="n">
        <v>0</v>
      </c>
      <c r="L468" t="n">
        <v>0</v>
      </c>
      <c r="M468" t="n">
        <v>0</v>
      </c>
      <c r="N468" t="n">
        <v>0</v>
      </c>
      <c r="O468" t="n">
        <v>0</v>
      </c>
      <c r="P468" t="n">
        <v>0</v>
      </c>
      <c r="Q468" t="n">
        <v>0</v>
      </c>
      <c r="R468" s="2" t="inlineStr"/>
    </row>
    <row r="469" ht="15" customHeight="1">
      <c r="A469" t="inlineStr">
        <is>
          <t>A 5063-2025</t>
        </is>
      </c>
      <c r="B469" s="1" t="n">
        <v>45691.47466435185</v>
      </c>
      <c r="C469" s="1" t="n">
        <v>45900</v>
      </c>
      <c r="D469" t="inlineStr">
        <is>
          <t>DALARNAS LÄN</t>
        </is>
      </c>
      <c r="E469" t="inlineStr">
        <is>
          <t>ÄLVDALEN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15251-2021</t>
        </is>
      </c>
      <c r="B470" s="1" t="n">
        <v>44284</v>
      </c>
      <c r="C470" s="1" t="n">
        <v>45900</v>
      </c>
      <c r="D470" t="inlineStr">
        <is>
          <t>DALARNAS LÄN</t>
        </is>
      </c>
      <c r="E470" t="inlineStr">
        <is>
          <t>ÄLVDALEN</t>
        </is>
      </c>
      <c r="G470" t="n">
        <v>6.1</v>
      </c>
      <c r="H470" t="n">
        <v>0</v>
      </c>
      <c r="I470" t="n">
        <v>0</v>
      </c>
      <c r="J470" t="n">
        <v>0</v>
      </c>
      <c r="K470" t="n">
        <v>0</v>
      </c>
      <c r="L470" t="n">
        <v>0</v>
      </c>
      <c r="M470" t="n">
        <v>0</v>
      </c>
      <c r="N470" t="n">
        <v>0</v>
      </c>
      <c r="O470" t="n">
        <v>0</v>
      </c>
      <c r="P470" t="n">
        <v>0</v>
      </c>
      <c r="Q470" t="n">
        <v>0</v>
      </c>
      <c r="R470" s="2" t="inlineStr"/>
    </row>
    <row r="471" ht="15" customHeight="1">
      <c r="A471" t="inlineStr">
        <is>
          <t>A 40461-2025</t>
        </is>
      </c>
      <c r="B471" s="1" t="n">
        <v>45895</v>
      </c>
      <c r="C471" s="1" t="n">
        <v>45900</v>
      </c>
      <c r="D471" t="inlineStr">
        <is>
          <t>DALARNAS LÄN</t>
        </is>
      </c>
      <c r="E471" t="inlineStr">
        <is>
          <t>ÄLVDALEN</t>
        </is>
      </c>
      <c r="G471" t="n">
        <v>3.1</v>
      </c>
      <c r="H471" t="n">
        <v>0</v>
      </c>
      <c r="I471" t="n">
        <v>0</v>
      </c>
      <c r="J471" t="n">
        <v>0</v>
      </c>
      <c r="K471" t="n">
        <v>0</v>
      </c>
      <c r="L471" t="n">
        <v>0</v>
      </c>
      <c r="M471" t="n">
        <v>0</v>
      </c>
      <c r="N471" t="n">
        <v>0</v>
      </c>
      <c r="O471" t="n">
        <v>0</v>
      </c>
      <c r="P471" t="n">
        <v>0</v>
      </c>
      <c r="Q471" t="n">
        <v>0</v>
      </c>
      <c r="R471" s="2" t="inlineStr"/>
    </row>
    <row r="472" ht="15" customHeight="1">
      <c r="A472" t="inlineStr">
        <is>
          <t>A 40444-2025</t>
        </is>
      </c>
      <c r="B472" s="1" t="n">
        <v>45895</v>
      </c>
      <c r="C472" s="1" t="n">
        <v>45900</v>
      </c>
      <c r="D472" t="inlineStr">
        <is>
          <t>DALARNAS LÄN</t>
        </is>
      </c>
      <c r="E472" t="inlineStr">
        <is>
          <t>ÄLVDALEN</t>
        </is>
      </c>
      <c r="G472" t="n">
        <v>7.4</v>
      </c>
      <c r="H472" t="n">
        <v>0</v>
      </c>
      <c r="I472" t="n">
        <v>0</v>
      </c>
      <c r="J472" t="n">
        <v>0</v>
      </c>
      <c r="K472" t="n">
        <v>0</v>
      </c>
      <c r="L472" t="n">
        <v>0</v>
      </c>
      <c r="M472" t="n">
        <v>0</v>
      </c>
      <c r="N472" t="n">
        <v>0</v>
      </c>
      <c r="O472" t="n">
        <v>0</v>
      </c>
      <c r="P472" t="n">
        <v>0</v>
      </c>
      <c r="Q472" t="n">
        <v>0</v>
      </c>
      <c r="R472" s="2" t="inlineStr"/>
    </row>
    <row r="473" ht="15" customHeight="1">
      <c r="A473" t="inlineStr">
        <is>
          <t>A 40417-2025</t>
        </is>
      </c>
      <c r="B473" s="1" t="n">
        <v>45895</v>
      </c>
      <c r="C473" s="1" t="n">
        <v>45900</v>
      </c>
      <c r="D473" t="inlineStr">
        <is>
          <t>DALARNAS LÄN</t>
        </is>
      </c>
      <c r="E473" t="inlineStr">
        <is>
          <t>ÄLVDALEN</t>
        </is>
      </c>
      <c r="G473" t="n">
        <v>14.2</v>
      </c>
      <c r="H473" t="n">
        <v>0</v>
      </c>
      <c r="I473" t="n">
        <v>0</v>
      </c>
      <c r="J473" t="n">
        <v>0</v>
      </c>
      <c r="K473" t="n">
        <v>0</v>
      </c>
      <c r="L473" t="n">
        <v>0</v>
      </c>
      <c r="M473" t="n">
        <v>0</v>
      </c>
      <c r="N473" t="n">
        <v>0</v>
      </c>
      <c r="O473" t="n">
        <v>0</v>
      </c>
      <c r="P473" t="n">
        <v>0</v>
      </c>
      <c r="Q473" t="n">
        <v>0</v>
      </c>
      <c r="R473" s="2" t="inlineStr"/>
    </row>
    <row r="474" ht="15" customHeight="1">
      <c r="A474" t="inlineStr">
        <is>
          <t>A 38814-2025</t>
        </is>
      </c>
      <c r="B474" s="1" t="n">
        <v>45887</v>
      </c>
      <c r="C474" s="1" t="n">
        <v>45900</v>
      </c>
      <c r="D474" t="inlineStr">
        <is>
          <t>DALARNAS LÄN</t>
        </is>
      </c>
      <c r="E474" t="inlineStr">
        <is>
          <t>ÄLVDALEN</t>
        </is>
      </c>
      <c r="G474" t="n">
        <v>1.9</v>
      </c>
      <c r="H474" t="n">
        <v>0</v>
      </c>
      <c r="I474" t="n">
        <v>0</v>
      </c>
      <c r="J474" t="n">
        <v>0</v>
      </c>
      <c r="K474" t="n">
        <v>0</v>
      </c>
      <c r="L474" t="n">
        <v>0</v>
      </c>
      <c r="M474" t="n">
        <v>0</v>
      </c>
      <c r="N474" t="n">
        <v>0</v>
      </c>
      <c r="O474" t="n">
        <v>0</v>
      </c>
      <c r="P474" t="n">
        <v>0</v>
      </c>
      <c r="Q474" t="n">
        <v>0</v>
      </c>
      <c r="R474" s="2" t="inlineStr"/>
    </row>
    <row r="475" ht="15" customHeight="1">
      <c r="A475" t="inlineStr">
        <is>
          <t>A 47081-2023</t>
        </is>
      </c>
      <c r="B475" s="1" t="n">
        <v>45201.61148148148</v>
      </c>
      <c r="C475" s="1" t="n">
        <v>45900</v>
      </c>
      <c r="D475" t="inlineStr">
        <is>
          <t>DALARNAS LÄN</t>
        </is>
      </c>
      <c r="E475" t="inlineStr">
        <is>
          <t>ÄLVDALEN</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23369-2023</t>
        </is>
      </c>
      <c r="B476" s="1" t="n">
        <v>45076</v>
      </c>
      <c r="C476" s="1" t="n">
        <v>45900</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41115-2025</t>
        </is>
      </c>
      <c r="B477" s="1" t="n">
        <v>45898.46256944445</v>
      </c>
      <c r="C477" s="1" t="n">
        <v>45900</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26656-2025</t>
        </is>
      </c>
      <c r="B478" s="1" t="n">
        <v>45810</v>
      </c>
      <c r="C478" s="1" t="n">
        <v>45900</v>
      </c>
      <c r="D478" t="inlineStr">
        <is>
          <t>DALARNAS LÄN</t>
        </is>
      </c>
      <c r="E478" t="inlineStr">
        <is>
          <t>ÄLVDALEN</t>
        </is>
      </c>
      <c r="G478" t="n">
        <v>1.8</v>
      </c>
      <c r="H478" t="n">
        <v>0</v>
      </c>
      <c r="I478" t="n">
        <v>0</v>
      </c>
      <c r="J478" t="n">
        <v>0</v>
      </c>
      <c r="K478" t="n">
        <v>0</v>
      </c>
      <c r="L478" t="n">
        <v>0</v>
      </c>
      <c r="M478" t="n">
        <v>0</v>
      </c>
      <c r="N478" t="n">
        <v>0</v>
      </c>
      <c r="O478" t="n">
        <v>0</v>
      </c>
      <c r="P478" t="n">
        <v>0</v>
      </c>
      <c r="Q478" t="n">
        <v>0</v>
      </c>
      <c r="R478" s="2" t="inlineStr"/>
    </row>
    <row r="479" ht="15" customHeight="1">
      <c r="A479" t="inlineStr">
        <is>
          <t>A 40954-2025</t>
        </is>
      </c>
      <c r="B479" s="1" t="n">
        <v>45897.67196759259</v>
      </c>
      <c r="C479" s="1" t="n">
        <v>45900</v>
      </c>
      <c r="D479" t="inlineStr">
        <is>
          <t>DALARNAS LÄN</t>
        </is>
      </c>
      <c r="E479" t="inlineStr">
        <is>
          <t>ÄLVDALEN</t>
        </is>
      </c>
      <c r="G479" t="n">
        <v>2.9</v>
      </c>
      <c r="H479" t="n">
        <v>0</v>
      </c>
      <c r="I479" t="n">
        <v>0</v>
      </c>
      <c r="J479" t="n">
        <v>0</v>
      </c>
      <c r="K479" t="n">
        <v>0</v>
      </c>
      <c r="L479" t="n">
        <v>0</v>
      </c>
      <c r="M479" t="n">
        <v>0</v>
      </c>
      <c r="N479" t="n">
        <v>0</v>
      </c>
      <c r="O479" t="n">
        <v>0</v>
      </c>
      <c r="P479" t="n">
        <v>0</v>
      </c>
      <c r="Q479" t="n">
        <v>0</v>
      </c>
      <c r="R479" s="2" t="inlineStr"/>
    </row>
    <row r="480" ht="15" customHeight="1">
      <c r="A480" t="inlineStr">
        <is>
          <t>A 9719-2023</t>
        </is>
      </c>
      <c r="B480" s="1" t="n">
        <v>44978</v>
      </c>
      <c r="C480" s="1" t="n">
        <v>45900</v>
      </c>
      <c r="D480" t="inlineStr">
        <is>
          <t>DALARNAS LÄN</t>
        </is>
      </c>
      <c r="E480" t="inlineStr">
        <is>
          <t>ÄLVDALEN</t>
        </is>
      </c>
      <c r="G480" t="n">
        <v>20.2</v>
      </c>
      <c r="H480" t="n">
        <v>0</v>
      </c>
      <c r="I480" t="n">
        <v>0</v>
      </c>
      <c r="J480" t="n">
        <v>0</v>
      </c>
      <c r="K480" t="n">
        <v>0</v>
      </c>
      <c r="L480" t="n">
        <v>0</v>
      </c>
      <c r="M480" t="n">
        <v>0</v>
      </c>
      <c r="N480" t="n">
        <v>0</v>
      </c>
      <c r="O480" t="n">
        <v>0</v>
      </c>
      <c r="P480" t="n">
        <v>0</v>
      </c>
      <c r="Q480" t="n">
        <v>0</v>
      </c>
      <c r="R480" s="2" t="inlineStr"/>
    </row>
    <row r="481" ht="15" customHeight="1">
      <c r="A481" t="inlineStr">
        <is>
          <t>A 40003-2022</t>
        </is>
      </c>
      <c r="B481" s="1" t="n">
        <v>44820.36509259259</v>
      </c>
      <c r="C481" s="1" t="n">
        <v>45900</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37438-2024</t>
        </is>
      </c>
      <c r="B482" s="1" t="n">
        <v>45540</v>
      </c>
      <c r="C482" s="1" t="n">
        <v>45900</v>
      </c>
      <c r="D482" t="inlineStr">
        <is>
          <t>DALARNAS LÄN</t>
        </is>
      </c>
      <c r="E482" t="inlineStr">
        <is>
          <t>ÄLVDALEN</t>
        </is>
      </c>
      <c r="G482" t="n">
        <v>3.9</v>
      </c>
      <c r="H482" t="n">
        <v>0</v>
      </c>
      <c r="I482" t="n">
        <v>0</v>
      </c>
      <c r="J482" t="n">
        <v>0</v>
      </c>
      <c r="K482" t="n">
        <v>0</v>
      </c>
      <c r="L482" t="n">
        <v>0</v>
      </c>
      <c r="M482" t="n">
        <v>0</v>
      </c>
      <c r="N482" t="n">
        <v>0</v>
      </c>
      <c r="O482" t="n">
        <v>0</v>
      </c>
      <c r="P482" t="n">
        <v>0</v>
      </c>
      <c r="Q482" t="n">
        <v>0</v>
      </c>
      <c r="R482" s="2" t="inlineStr"/>
    </row>
    <row r="483" ht="15" customHeight="1">
      <c r="A483" t="inlineStr">
        <is>
          <t>A 48849-2022</t>
        </is>
      </c>
      <c r="B483" s="1" t="n">
        <v>44859</v>
      </c>
      <c r="C483" s="1" t="n">
        <v>45900</v>
      </c>
      <c r="D483" t="inlineStr">
        <is>
          <t>DALARNAS LÄN</t>
        </is>
      </c>
      <c r="E483" t="inlineStr">
        <is>
          <t>ÄLVDALEN</t>
        </is>
      </c>
      <c r="F483" t="inlineStr">
        <is>
          <t>Allmännings- och besparingsskogar</t>
        </is>
      </c>
      <c r="G483" t="n">
        <v>2.4</v>
      </c>
      <c r="H483" t="n">
        <v>0</v>
      </c>
      <c r="I483" t="n">
        <v>0</v>
      </c>
      <c r="J483" t="n">
        <v>0</v>
      </c>
      <c r="K483" t="n">
        <v>0</v>
      </c>
      <c r="L483" t="n">
        <v>0</v>
      </c>
      <c r="M483" t="n">
        <v>0</v>
      </c>
      <c r="N483" t="n">
        <v>0</v>
      </c>
      <c r="O483" t="n">
        <v>0</v>
      </c>
      <c r="P483" t="n">
        <v>0</v>
      </c>
      <c r="Q483" t="n">
        <v>0</v>
      </c>
      <c r="R483" s="2" t="inlineStr"/>
    </row>
    <row r="484" ht="15" customHeight="1">
      <c r="A484" t="inlineStr">
        <is>
          <t>A 52483-2023</t>
        </is>
      </c>
      <c r="B484" s="1" t="n">
        <v>45225</v>
      </c>
      <c r="C484" s="1" t="n">
        <v>45900</v>
      </c>
      <c r="D484" t="inlineStr">
        <is>
          <t>DALARNAS LÄN</t>
        </is>
      </c>
      <c r="E484" t="inlineStr">
        <is>
          <t>ÄLVDALEN</t>
        </is>
      </c>
      <c r="F484" t="inlineStr">
        <is>
          <t>Allmännings- och besparingsskogar</t>
        </is>
      </c>
      <c r="G484" t="n">
        <v>30.9</v>
      </c>
      <c r="H484" t="n">
        <v>0</v>
      </c>
      <c r="I484" t="n">
        <v>0</v>
      </c>
      <c r="J484" t="n">
        <v>0</v>
      </c>
      <c r="K484" t="n">
        <v>0</v>
      </c>
      <c r="L484" t="n">
        <v>0</v>
      </c>
      <c r="M484" t="n">
        <v>0</v>
      </c>
      <c r="N484" t="n">
        <v>0</v>
      </c>
      <c r="O484" t="n">
        <v>0</v>
      </c>
      <c r="P484" t="n">
        <v>0</v>
      </c>
      <c r="Q484" t="n">
        <v>0</v>
      </c>
      <c r="R484" s="2" t="inlineStr"/>
      <c r="U484">
        <f>HYPERLINK("https://klasma.github.io/Logging_2039/knärot/A 52483-2023 karta knärot.png", "A 52483-2023")</f>
        <v/>
      </c>
      <c r="V484">
        <f>HYPERLINK("https://klasma.github.io/Logging_2039/klagomål/A 52483-2023 FSC-klagomål.docx", "A 52483-2023")</f>
        <v/>
      </c>
      <c r="W484">
        <f>HYPERLINK("https://klasma.github.io/Logging_2039/klagomålsmail/A 52483-2023 FSC-klagomål mail.docx", "A 52483-2023")</f>
        <v/>
      </c>
      <c r="X484">
        <f>HYPERLINK("https://klasma.github.io/Logging_2039/tillsyn/A 52483-2023 tillsynsbegäran.docx", "A 52483-2023")</f>
        <v/>
      </c>
      <c r="Y484">
        <f>HYPERLINK("https://klasma.github.io/Logging_2039/tillsynsmail/A 52483-2023 tillsynsbegäran mail.docx", "A 52483-2023")</f>
        <v/>
      </c>
    </row>
    <row r="485" ht="15" customHeight="1">
      <c r="A485" t="inlineStr">
        <is>
          <t>A 42679-2024</t>
        </is>
      </c>
      <c r="B485" s="1" t="n">
        <v>45566.37706018519</v>
      </c>
      <c r="C485" s="1" t="n">
        <v>45900</v>
      </c>
      <c r="D485" t="inlineStr">
        <is>
          <t>DALARNAS LÄN</t>
        </is>
      </c>
      <c r="E485" t="inlineStr">
        <is>
          <t>ÄLVDALEN</t>
        </is>
      </c>
      <c r="F485" t="inlineStr">
        <is>
          <t>Bergvik skog väst AB</t>
        </is>
      </c>
      <c r="G485" t="n">
        <v>1.5</v>
      </c>
      <c r="H485" t="n">
        <v>0</v>
      </c>
      <c r="I485" t="n">
        <v>0</v>
      </c>
      <c r="J485" t="n">
        <v>0</v>
      </c>
      <c r="K485" t="n">
        <v>0</v>
      </c>
      <c r="L485" t="n">
        <v>0</v>
      </c>
      <c r="M485" t="n">
        <v>0</v>
      </c>
      <c r="N485" t="n">
        <v>0</v>
      </c>
      <c r="O485" t="n">
        <v>0</v>
      </c>
      <c r="P485" t="n">
        <v>0</v>
      </c>
      <c r="Q485" t="n">
        <v>0</v>
      </c>
      <c r="R485" s="2" t="inlineStr"/>
    </row>
    <row r="486" ht="15" customHeight="1">
      <c r="A486" t="inlineStr">
        <is>
          <t>A 36593-2023</t>
        </is>
      </c>
      <c r="B486" s="1" t="n">
        <v>45153.47732638889</v>
      </c>
      <c r="C486" s="1" t="n">
        <v>45900</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19553-2025</t>
        </is>
      </c>
      <c r="B487" s="1" t="n">
        <v>45770</v>
      </c>
      <c r="C487" s="1" t="n">
        <v>45900</v>
      </c>
      <c r="D487" t="inlineStr">
        <is>
          <t>DALARNAS LÄN</t>
        </is>
      </c>
      <c r="E487" t="inlineStr">
        <is>
          <t>ÄLVDALEN</t>
        </is>
      </c>
      <c r="F487" t="inlineStr">
        <is>
          <t>Sveaskog</t>
        </is>
      </c>
      <c r="G487" t="n">
        <v>25.2</v>
      </c>
      <c r="H487" t="n">
        <v>0</v>
      </c>
      <c r="I487" t="n">
        <v>0</v>
      </c>
      <c r="J487" t="n">
        <v>0</v>
      </c>
      <c r="K487" t="n">
        <v>0</v>
      </c>
      <c r="L487" t="n">
        <v>0</v>
      </c>
      <c r="M487" t="n">
        <v>0</v>
      </c>
      <c r="N487" t="n">
        <v>0</v>
      </c>
      <c r="O487" t="n">
        <v>0</v>
      </c>
      <c r="P487" t="n">
        <v>0</v>
      </c>
      <c r="Q487" t="n">
        <v>0</v>
      </c>
      <c r="R487" s="2" t="inlineStr"/>
    </row>
    <row r="488" ht="15" customHeight="1">
      <c r="A488" t="inlineStr">
        <is>
          <t>A 4380-2024</t>
        </is>
      </c>
      <c r="B488" s="1" t="n">
        <v>45327</v>
      </c>
      <c r="C488" s="1" t="n">
        <v>45900</v>
      </c>
      <c r="D488" t="inlineStr">
        <is>
          <t>DALARNAS LÄN</t>
        </is>
      </c>
      <c r="E488" t="inlineStr">
        <is>
          <t>ÄLVDALEN</t>
        </is>
      </c>
      <c r="G488" t="n">
        <v>6.3</v>
      </c>
      <c r="H488" t="n">
        <v>0</v>
      </c>
      <c r="I488" t="n">
        <v>0</v>
      </c>
      <c r="J488" t="n">
        <v>0</v>
      </c>
      <c r="K488" t="n">
        <v>0</v>
      </c>
      <c r="L488" t="n">
        <v>0</v>
      </c>
      <c r="M488" t="n">
        <v>0</v>
      </c>
      <c r="N488" t="n">
        <v>0</v>
      </c>
      <c r="O488" t="n">
        <v>0</v>
      </c>
      <c r="P488" t="n">
        <v>0</v>
      </c>
      <c r="Q488" t="n">
        <v>0</v>
      </c>
      <c r="R488" s="2" t="inlineStr"/>
    </row>
    <row r="489" ht="15" customHeight="1">
      <c r="A489" t="inlineStr">
        <is>
          <t>A 8538-2025</t>
        </is>
      </c>
      <c r="B489" s="1" t="n">
        <v>45709.59030092593</v>
      </c>
      <c r="C489" s="1" t="n">
        <v>45900</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36284-2024</t>
        </is>
      </c>
      <c r="B490" s="1" t="n">
        <v>45534.5897337963</v>
      </c>
      <c r="C490" s="1" t="n">
        <v>45900</v>
      </c>
      <c r="D490" t="inlineStr">
        <is>
          <t>DALARNAS LÄN</t>
        </is>
      </c>
      <c r="E490" t="inlineStr">
        <is>
          <t>ÄLVDALEN</t>
        </is>
      </c>
      <c r="G490" t="n">
        <v>3.4</v>
      </c>
      <c r="H490" t="n">
        <v>0</v>
      </c>
      <c r="I490" t="n">
        <v>0</v>
      </c>
      <c r="J490" t="n">
        <v>0</v>
      </c>
      <c r="K490" t="n">
        <v>0</v>
      </c>
      <c r="L490" t="n">
        <v>0</v>
      </c>
      <c r="M490" t="n">
        <v>0</v>
      </c>
      <c r="N490" t="n">
        <v>0</v>
      </c>
      <c r="O490" t="n">
        <v>0</v>
      </c>
      <c r="P490" t="n">
        <v>0</v>
      </c>
      <c r="Q490" t="n">
        <v>0</v>
      </c>
      <c r="R490" s="2" t="inlineStr"/>
    </row>
    <row r="491" ht="15" customHeight="1">
      <c r="A491" t="inlineStr">
        <is>
          <t>A 54632-2021</t>
        </is>
      </c>
      <c r="B491" s="1" t="n">
        <v>44473</v>
      </c>
      <c r="C491" s="1" t="n">
        <v>45900</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c r="T491">
        <f>HYPERLINK("https://klasma.github.io/Logging_2039/kartor/A 54632-2021 karta.png", "A 54632-2021")</f>
        <v/>
      </c>
      <c r="V491">
        <f>HYPERLINK("https://klasma.github.io/Logging_2039/klagomål/A 54632-2021 FSC-klagomål.docx", "A 54632-2021")</f>
        <v/>
      </c>
      <c r="W491">
        <f>HYPERLINK("https://klasma.github.io/Logging_2039/klagomålsmail/A 54632-2021 FSC-klagomål mail.docx", "A 54632-2021")</f>
        <v/>
      </c>
      <c r="X491">
        <f>HYPERLINK("https://klasma.github.io/Logging_2039/tillsyn/A 54632-2021 tillsynsbegäran.docx", "A 54632-2021")</f>
        <v/>
      </c>
      <c r="Y491">
        <f>HYPERLINK("https://klasma.github.io/Logging_2039/tillsynsmail/A 54632-2021 tillsynsbegäran mail.docx", "A 54632-2021")</f>
        <v/>
      </c>
    </row>
    <row r="492" ht="15" customHeight="1">
      <c r="A492" t="inlineStr">
        <is>
          <t>A 41446-2024</t>
        </is>
      </c>
      <c r="B492" s="1" t="n">
        <v>45560.39483796297</v>
      </c>
      <c r="C492" s="1" t="n">
        <v>45900</v>
      </c>
      <c r="D492" t="inlineStr">
        <is>
          <t>DALARNAS LÄN</t>
        </is>
      </c>
      <c r="E492" t="inlineStr">
        <is>
          <t>ÄLVDALEN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8069-2025</t>
        </is>
      </c>
      <c r="B493" s="1" t="n">
        <v>45707.64342592593</v>
      </c>
      <c r="C493" s="1" t="n">
        <v>45900</v>
      </c>
      <c r="D493" t="inlineStr">
        <is>
          <t>DALARNAS LÄN</t>
        </is>
      </c>
      <c r="E493" t="inlineStr">
        <is>
          <t>ÄLVDALEN</t>
        </is>
      </c>
      <c r="F493" t="inlineStr">
        <is>
          <t>Allmännings- och besparingsskogar</t>
        </is>
      </c>
      <c r="G493" t="n">
        <v>4.2</v>
      </c>
      <c r="H493" t="n">
        <v>0</v>
      </c>
      <c r="I493" t="n">
        <v>0</v>
      </c>
      <c r="J493" t="n">
        <v>0</v>
      </c>
      <c r="K493" t="n">
        <v>0</v>
      </c>
      <c r="L493" t="n">
        <v>0</v>
      </c>
      <c r="M493" t="n">
        <v>0</v>
      </c>
      <c r="N493" t="n">
        <v>0</v>
      </c>
      <c r="O493" t="n">
        <v>0</v>
      </c>
      <c r="P493" t="n">
        <v>0</v>
      </c>
      <c r="Q493" t="n">
        <v>0</v>
      </c>
      <c r="R493" s="2" t="inlineStr"/>
    </row>
    <row r="494" ht="15" customHeight="1">
      <c r="A494" t="inlineStr">
        <is>
          <t>A 17346-2022</t>
        </is>
      </c>
      <c r="B494" s="1" t="n">
        <v>44678.56600694444</v>
      </c>
      <c r="C494" s="1" t="n">
        <v>45900</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19587-2025</t>
        </is>
      </c>
      <c r="B495" s="1" t="n">
        <v>45770.56820601852</v>
      </c>
      <c r="C495" s="1" t="n">
        <v>45900</v>
      </c>
      <c r="D495" t="inlineStr">
        <is>
          <t>DALARNAS LÄN</t>
        </is>
      </c>
      <c r="E495" t="inlineStr">
        <is>
          <t>ÄLVDALEN</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61450-2022</t>
        </is>
      </c>
      <c r="B496" s="1" t="n">
        <v>44910</v>
      </c>
      <c r="C496" s="1" t="n">
        <v>45900</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15738-2025</t>
        </is>
      </c>
      <c r="B497" s="1" t="n">
        <v>45748.54524305555</v>
      </c>
      <c r="C497" s="1" t="n">
        <v>45900</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747-2025</t>
        </is>
      </c>
      <c r="B498" s="1" t="n">
        <v>45665.43965277778</v>
      </c>
      <c r="C498" s="1" t="n">
        <v>45900</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3196-2025</t>
        </is>
      </c>
      <c r="B499" s="1" t="n">
        <v>45679.42957175926</v>
      </c>
      <c r="C499" s="1" t="n">
        <v>45900</v>
      </c>
      <c r="D499" t="inlineStr">
        <is>
          <t>DALARNAS LÄN</t>
        </is>
      </c>
      <c r="E499" t="inlineStr">
        <is>
          <t>ÄLVDALEN</t>
        </is>
      </c>
      <c r="G499" t="n">
        <v>5.2</v>
      </c>
      <c r="H499" t="n">
        <v>0</v>
      </c>
      <c r="I499" t="n">
        <v>0</v>
      </c>
      <c r="J499" t="n">
        <v>0</v>
      </c>
      <c r="K499" t="n">
        <v>0</v>
      </c>
      <c r="L499" t="n">
        <v>0</v>
      </c>
      <c r="M499" t="n">
        <v>0</v>
      </c>
      <c r="N499" t="n">
        <v>0</v>
      </c>
      <c r="O499" t="n">
        <v>0</v>
      </c>
      <c r="P499" t="n">
        <v>0</v>
      </c>
      <c r="Q499" t="n">
        <v>0</v>
      </c>
      <c r="R499" s="2" t="inlineStr"/>
    </row>
    <row r="500" ht="15" customHeight="1">
      <c r="A500" t="inlineStr">
        <is>
          <t>A 63296-2020</t>
        </is>
      </c>
      <c r="B500" s="1" t="n">
        <v>44165</v>
      </c>
      <c r="C500" s="1" t="n">
        <v>45900</v>
      </c>
      <c r="D500" t="inlineStr">
        <is>
          <t>DALARNAS LÄN</t>
        </is>
      </c>
      <c r="E500" t="inlineStr">
        <is>
          <t>ÄLVDALEN</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19182-2023</t>
        </is>
      </c>
      <c r="B501" s="1" t="n">
        <v>45048</v>
      </c>
      <c r="C501" s="1" t="n">
        <v>45900</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52249-2022</t>
        </is>
      </c>
      <c r="B502" s="1" t="n">
        <v>44873</v>
      </c>
      <c r="C502" s="1" t="n">
        <v>45900</v>
      </c>
      <c r="D502" t="inlineStr">
        <is>
          <t>DALARNAS LÄN</t>
        </is>
      </c>
      <c r="E502" t="inlineStr">
        <is>
          <t>ÄLVDALEN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6230-2024</t>
        </is>
      </c>
      <c r="B503" s="1" t="n">
        <v>45337</v>
      </c>
      <c r="C503" s="1" t="n">
        <v>45900</v>
      </c>
      <c r="D503" t="inlineStr">
        <is>
          <t>DALARNAS LÄN</t>
        </is>
      </c>
      <c r="E503" t="inlineStr">
        <is>
          <t>ÄLVDALEN</t>
        </is>
      </c>
      <c r="G503" t="n">
        <v>6.2</v>
      </c>
      <c r="H503" t="n">
        <v>0</v>
      </c>
      <c r="I503" t="n">
        <v>0</v>
      </c>
      <c r="J503" t="n">
        <v>0</v>
      </c>
      <c r="K503" t="n">
        <v>0</v>
      </c>
      <c r="L503" t="n">
        <v>0</v>
      </c>
      <c r="M503" t="n">
        <v>0</v>
      </c>
      <c r="N503" t="n">
        <v>0</v>
      </c>
      <c r="O503" t="n">
        <v>0</v>
      </c>
      <c r="P503" t="n">
        <v>0</v>
      </c>
      <c r="Q503" t="n">
        <v>0</v>
      </c>
      <c r="R503" s="2" t="inlineStr"/>
    </row>
    <row r="504" ht="15" customHeight="1">
      <c r="A504" t="inlineStr">
        <is>
          <t>A 68383-2021</t>
        </is>
      </c>
      <c r="B504" s="1" t="n">
        <v>44529</v>
      </c>
      <c r="C504" s="1" t="n">
        <v>45900</v>
      </c>
      <c r="D504" t="inlineStr">
        <is>
          <t>DALARNAS LÄN</t>
        </is>
      </c>
      <c r="E504" t="inlineStr">
        <is>
          <t>ÄLVDALEN</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30225-2023</t>
        </is>
      </c>
      <c r="B505" s="1" t="n">
        <v>45110.64971064815</v>
      </c>
      <c r="C505" s="1" t="n">
        <v>45900</v>
      </c>
      <c r="D505" t="inlineStr">
        <is>
          <t>DALARNAS LÄN</t>
        </is>
      </c>
      <c r="E505" t="inlineStr">
        <is>
          <t>ÄLVDALEN</t>
        </is>
      </c>
      <c r="F505" t="inlineStr">
        <is>
          <t>Allmännings- och besparingsskogar</t>
        </is>
      </c>
      <c r="G505" t="n">
        <v>0.6</v>
      </c>
      <c r="H505" t="n">
        <v>0</v>
      </c>
      <c r="I505" t="n">
        <v>0</v>
      </c>
      <c r="J505" t="n">
        <v>0</v>
      </c>
      <c r="K505" t="n">
        <v>0</v>
      </c>
      <c r="L505" t="n">
        <v>0</v>
      </c>
      <c r="M505" t="n">
        <v>0</v>
      </c>
      <c r="N505" t="n">
        <v>0</v>
      </c>
      <c r="O505" t="n">
        <v>0</v>
      </c>
      <c r="P505" t="n">
        <v>0</v>
      </c>
      <c r="Q505" t="n">
        <v>0</v>
      </c>
      <c r="R505" s="2" t="inlineStr"/>
    </row>
    <row r="506" ht="15" customHeight="1">
      <c r="A506" t="inlineStr">
        <is>
          <t>A 19567-2025</t>
        </is>
      </c>
      <c r="B506" s="1" t="n">
        <v>45770.5349537037</v>
      </c>
      <c r="C506" s="1" t="n">
        <v>45900</v>
      </c>
      <c r="D506" t="inlineStr">
        <is>
          <t>DALARNAS LÄN</t>
        </is>
      </c>
      <c r="E506" t="inlineStr">
        <is>
          <t>ÄLVDALEN</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32009-2021</t>
        </is>
      </c>
      <c r="B507" s="1" t="n">
        <v>44370.63354166667</v>
      </c>
      <c r="C507" s="1" t="n">
        <v>45900</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59207-2022</t>
        </is>
      </c>
      <c r="B508" s="1" t="n">
        <v>44904</v>
      </c>
      <c r="C508" s="1" t="n">
        <v>45900</v>
      </c>
      <c r="D508" t="inlineStr">
        <is>
          <t>DALARNAS LÄN</t>
        </is>
      </c>
      <c r="E508" t="inlineStr">
        <is>
          <t>ÄLVDALEN</t>
        </is>
      </c>
      <c r="G508" t="n">
        <v>4.7</v>
      </c>
      <c r="H508" t="n">
        <v>0</v>
      </c>
      <c r="I508" t="n">
        <v>0</v>
      </c>
      <c r="J508" t="n">
        <v>0</v>
      </c>
      <c r="K508" t="n">
        <v>0</v>
      </c>
      <c r="L508" t="n">
        <v>0</v>
      </c>
      <c r="M508" t="n">
        <v>0</v>
      </c>
      <c r="N508" t="n">
        <v>0</v>
      </c>
      <c r="O508" t="n">
        <v>0</v>
      </c>
      <c r="P508" t="n">
        <v>0</v>
      </c>
      <c r="Q508" t="n">
        <v>0</v>
      </c>
      <c r="R508" s="2" t="inlineStr"/>
    </row>
    <row r="509" ht="15" customHeight="1">
      <c r="A509" t="inlineStr">
        <is>
          <t>A 70140-2021</t>
        </is>
      </c>
      <c r="B509" s="1" t="n">
        <v>44533</v>
      </c>
      <c r="C509" s="1" t="n">
        <v>45900</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57821-2023</t>
        </is>
      </c>
      <c r="B510" s="1" t="n">
        <v>45247</v>
      </c>
      <c r="C510" s="1" t="n">
        <v>45900</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32031-2023</t>
        </is>
      </c>
      <c r="B511" s="1" t="n">
        <v>45107</v>
      </c>
      <c r="C511" s="1" t="n">
        <v>45900</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26734-2021</t>
        </is>
      </c>
      <c r="B512" s="1" t="n">
        <v>44349.39537037037</v>
      </c>
      <c r="C512" s="1" t="n">
        <v>45900</v>
      </c>
      <c r="D512" t="inlineStr">
        <is>
          <t>DALARNAS LÄN</t>
        </is>
      </c>
      <c r="E512" t="inlineStr">
        <is>
          <t>ÄLVDALEN</t>
        </is>
      </c>
      <c r="F512" t="inlineStr">
        <is>
          <t>Bergvik skog väst AB</t>
        </is>
      </c>
      <c r="G512" t="n">
        <v>0.8</v>
      </c>
      <c r="H512" t="n">
        <v>0</v>
      </c>
      <c r="I512" t="n">
        <v>0</v>
      </c>
      <c r="J512" t="n">
        <v>0</v>
      </c>
      <c r="K512" t="n">
        <v>0</v>
      </c>
      <c r="L512" t="n">
        <v>0</v>
      </c>
      <c r="M512" t="n">
        <v>0</v>
      </c>
      <c r="N512" t="n">
        <v>0</v>
      </c>
      <c r="O512" t="n">
        <v>0</v>
      </c>
      <c r="P512" t="n">
        <v>0</v>
      </c>
      <c r="Q512" t="n">
        <v>0</v>
      </c>
      <c r="R512" s="2" t="inlineStr"/>
    </row>
    <row r="513" ht="15" customHeight="1">
      <c r="A513" t="inlineStr">
        <is>
          <t>A 23129-2023</t>
        </is>
      </c>
      <c r="B513" s="1" t="n">
        <v>45075</v>
      </c>
      <c r="C513" s="1" t="n">
        <v>45900</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45122-2023</t>
        </is>
      </c>
      <c r="B514" s="1" t="n">
        <v>45191.44871527778</v>
      </c>
      <c r="C514" s="1" t="n">
        <v>45900</v>
      </c>
      <c r="D514" t="inlineStr">
        <is>
          <t>DALARNAS LÄN</t>
        </is>
      </c>
      <c r="E514" t="inlineStr">
        <is>
          <t>ÄLVDALEN</t>
        </is>
      </c>
      <c r="G514" t="n">
        <v>2.7</v>
      </c>
      <c r="H514" t="n">
        <v>0</v>
      </c>
      <c r="I514" t="n">
        <v>0</v>
      </c>
      <c r="J514" t="n">
        <v>0</v>
      </c>
      <c r="K514" t="n">
        <v>0</v>
      </c>
      <c r="L514" t="n">
        <v>0</v>
      </c>
      <c r="M514" t="n">
        <v>0</v>
      </c>
      <c r="N514" t="n">
        <v>0</v>
      </c>
      <c r="O514" t="n">
        <v>0</v>
      </c>
      <c r="P514" t="n">
        <v>0</v>
      </c>
      <c r="Q514" t="n">
        <v>0</v>
      </c>
      <c r="R514" s="2" t="inlineStr"/>
    </row>
    <row r="515" ht="15" customHeight="1">
      <c r="A515" t="inlineStr">
        <is>
          <t>A 47743-2024</t>
        </is>
      </c>
      <c r="B515" s="1" t="n">
        <v>45588.52550925926</v>
      </c>
      <c r="C515" s="1" t="n">
        <v>45900</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8496-2025</t>
        </is>
      </c>
      <c r="B516" s="1" t="n">
        <v>45709.51084490741</v>
      </c>
      <c r="C516" s="1" t="n">
        <v>45900</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58004-2020</t>
        </is>
      </c>
      <c r="B517" s="1" t="n">
        <v>44140</v>
      </c>
      <c r="C517" s="1" t="n">
        <v>45900</v>
      </c>
      <c r="D517" t="inlineStr">
        <is>
          <t>DALARNAS LÄN</t>
        </is>
      </c>
      <c r="E517" t="inlineStr">
        <is>
          <t>ÄLVDALEN</t>
        </is>
      </c>
      <c r="G517" t="n">
        <v>2.9</v>
      </c>
      <c r="H517" t="n">
        <v>0</v>
      </c>
      <c r="I517" t="n">
        <v>0</v>
      </c>
      <c r="J517" t="n">
        <v>0</v>
      </c>
      <c r="K517" t="n">
        <v>0</v>
      </c>
      <c r="L517" t="n">
        <v>0</v>
      </c>
      <c r="M517" t="n">
        <v>0</v>
      </c>
      <c r="N517" t="n">
        <v>0</v>
      </c>
      <c r="O517" t="n">
        <v>0</v>
      </c>
      <c r="P517" t="n">
        <v>0</v>
      </c>
      <c r="Q517" t="n">
        <v>0</v>
      </c>
      <c r="R517" s="2" t="inlineStr"/>
    </row>
    <row r="518" ht="15" customHeight="1">
      <c r="A518" t="inlineStr">
        <is>
          <t>A 57467-2023</t>
        </is>
      </c>
      <c r="B518" s="1" t="n">
        <v>45246.36751157408</v>
      </c>
      <c r="C518" s="1" t="n">
        <v>45900</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22847-2023</t>
        </is>
      </c>
      <c r="B519" s="1" t="n">
        <v>45072</v>
      </c>
      <c r="C519" s="1" t="n">
        <v>45900</v>
      </c>
      <c r="D519" t="inlineStr">
        <is>
          <t>DALARNAS LÄN</t>
        </is>
      </c>
      <c r="E519" t="inlineStr">
        <is>
          <t>ÄLVDALEN</t>
        </is>
      </c>
      <c r="F519" t="inlineStr">
        <is>
          <t>Bergvik skog väst AB</t>
        </is>
      </c>
      <c r="G519" t="n">
        <v>8.1</v>
      </c>
      <c r="H519" t="n">
        <v>0</v>
      </c>
      <c r="I519" t="n">
        <v>0</v>
      </c>
      <c r="J519" t="n">
        <v>0</v>
      </c>
      <c r="K519" t="n">
        <v>0</v>
      </c>
      <c r="L519" t="n">
        <v>0</v>
      </c>
      <c r="M519" t="n">
        <v>0</v>
      </c>
      <c r="N519" t="n">
        <v>0</v>
      </c>
      <c r="O519" t="n">
        <v>0</v>
      </c>
      <c r="P519" t="n">
        <v>0</v>
      </c>
      <c r="Q519" t="n">
        <v>0</v>
      </c>
      <c r="R519" s="2" t="inlineStr"/>
    </row>
    <row r="520" ht="15" customHeight="1">
      <c r="A520" t="inlineStr">
        <is>
          <t>A 42426-2023</t>
        </is>
      </c>
      <c r="B520" s="1" t="n">
        <v>45175</v>
      </c>
      <c r="C520" s="1" t="n">
        <v>45900</v>
      </c>
      <c r="D520" t="inlineStr">
        <is>
          <t>DALARNAS LÄN</t>
        </is>
      </c>
      <c r="E520" t="inlineStr">
        <is>
          <t>ÄLVDALEN</t>
        </is>
      </c>
      <c r="G520" t="n">
        <v>3.6</v>
      </c>
      <c r="H520" t="n">
        <v>0</v>
      </c>
      <c r="I520" t="n">
        <v>0</v>
      </c>
      <c r="J520" t="n">
        <v>0</v>
      </c>
      <c r="K520" t="n">
        <v>0</v>
      </c>
      <c r="L520" t="n">
        <v>0</v>
      </c>
      <c r="M520" t="n">
        <v>0</v>
      </c>
      <c r="N520" t="n">
        <v>0</v>
      </c>
      <c r="O520" t="n">
        <v>0</v>
      </c>
      <c r="P520" t="n">
        <v>0</v>
      </c>
      <c r="Q520" t="n">
        <v>0</v>
      </c>
      <c r="R520" s="2" t="inlineStr"/>
    </row>
    <row r="521" ht="15" customHeight="1">
      <c r="A521" t="inlineStr">
        <is>
          <t>A 32362-2021</t>
        </is>
      </c>
      <c r="B521" s="1" t="n">
        <v>44371</v>
      </c>
      <c r="C521" s="1" t="n">
        <v>45900</v>
      </c>
      <c r="D521" t="inlineStr">
        <is>
          <t>DALARNAS LÄN</t>
        </is>
      </c>
      <c r="E521" t="inlineStr">
        <is>
          <t>ÄLVDALEN</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45900</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60642-2021</t>
        </is>
      </c>
      <c r="B523" s="1" t="n">
        <v>44496.61677083333</v>
      </c>
      <c r="C523" s="1" t="n">
        <v>45900</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44386-2021</t>
        </is>
      </c>
      <c r="B524" s="1" t="n">
        <v>44435</v>
      </c>
      <c r="C524" s="1" t="n">
        <v>45900</v>
      </c>
      <c r="D524" t="inlineStr">
        <is>
          <t>DALARNAS LÄN</t>
        </is>
      </c>
      <c r="E524" t="inlineStr">
        <is>
          <t>ÄLVDALEN</t>
        </is>
      </c>
      <c r="F524" t="inlineStr">
        <is>
          <t>Sveaskog</t>
        </is>
      </c>
      <c r="G524" t="n">
        <v>2.4</v>
      </c>
      <c r="H524" t="n">
        <v>0</v>
      </c>
      <c r="I524" t="n">
        <v>0</v>
      </c>
      <c r="J524" t="n">
        <v>0</v>
      </c>
      <c r="K524" t="n">
        <v>0</v>
      </c>
      <c r="L524" t="n">
        <v>0</v>
      </c>
      <c r="M524" t="n">
        <v>0</v>
      </c>
      <c r="N524" t="n">
        <v>0</v>
      </c>
      <c r="O524" t="n">
        <v>0</v>
      </c>
      <c r="P524" t="n">
        <v>0</v>
      </c>
      <c r="Q524" t="n">
        <v>0</v>
      </c>
      <c r="R524" s="2" t="inlineStr"/>
    </row>
    <row r="525" ht="15" customHeight="1">
      <c r="A525" t="inlineStr">
        <is>
          <t>A 60793-2022</t>
        </is>
      </c>
      <c r="B525" s="1" t="n">
        <v>44911</v>
      </c>
      <c r="C525" s="1" t="n">
        <v>45900</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49906-2024</t>
        </is>
      </c>
      <c r="B526" s="1" t="n">
        <v>45597.55230324074</v>
      </c>
      <c r="C526" s="1" t="n">
        <v>45900</v>
      </c>
      <c r="D526" t="inlineStr">
        <is>
          <t>DALARNAS LÄN</t>
        </is>
      </c>
      <c r="E526" t="inlineStr">
        <is>
          <t>ÄLVDALEN</t>
        </is>
      </c>
      <c r="G526" t="n">
        <v>4.2</v>
      </c>
      <c r="H526" t="n">
        <v>0</v>
      </c>
      <c r="I526" t="n">
        <v>0</v>
      </c>
      <c r="J526" t="n">
        <v>0</v>
      </c>
      <c r="K526" t="n">
        <v>0</v>
      </c>
      <c r="L526" t="n">
        <v>0</v>
      </c>
      <c r="M526" t="n">
        <v>0</v>
      </c>
      <c r="N526" t="n">
        <v>0</v>
      </c>
      <c r="O526" t="n">
        <v>0</v>
      </c>
      <c r="P526" t="n">
        <v>0</v>
      </c>
      <c r="Q526" t="n">
        <v>0</v>
      </c>
      <c r="R526" s="2" t="inlineStr"/>
    </row>
    <row r="527" ht="15" customHeight="1">
      <c r="A527" t="inlineStr">
        <is>
          <t>A 33-2021</t>
        </is>
      </c>
      <c r="B527" s="1" t="n">
        <v>44198</v>
      </c>
      <c r="C527" s="1" t="n">
        <v>45900</v>
      </c>
      <c r="D527" t="inlineStr">
        <is>
          <t>DALARNAS LÄN</t>
        </is>
      </c>
      <c r="E527" t="inlineStr">
        <is>
          <t>ÄLVDALEN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42332-2023</t>
        </is>
      </c>
      <c r="B528" s="1" t="n">
        <v>45175</v>
      </c>
      <c r="C528" s="1" t="n">
        <v>45900</v>
      </c>
      <c r="D528" t="inlineStr">
        <is>
          <t>DALARNAS LÄN</t>
        </is>
      </c>
      <c r="E528" t="inlineStr">
        <is>
          <t>ÄLVDALEN</t>
        </is>
      </c>
      <c r="G528" t="n">
        <v>2.7</v>
      </c>
      <c r="H528" t="n">
        <v>0</v>
      </c>
      <c r="I528" t="n">
        <v>0</v>
      </c>
      <c r="J528" t="n">
        <v>0</v>
      </c>
      <c r="K528" t="n">
        <v>0</v>
      </c>
      <c r="L528" t="n">
        <v>0</v>
      </c>
      <c r="M528" t="n">
        <v>0</v>
      </c>
      <c r="N528" t="n">
        <v>0</v>
      </c>
      <c r="O528" t="n">
        <v>0</v>
      </c>
      <c r="P528" t="n">
        <v>0</v>
      </c>
      <c r="Q528" t="n">
        <v>0</v>
      </c>
      <c r="R528" s="2" t="inlineStr"/>
    </row>
    <row r="529" ht="15" customHeight="1">
      <c r="A529" t="inlineStr">
        <is>
          <t>A 8784-2024</t>
        </is>
      </c>
      <c r="B529" s="1" t="n">
        <v>45356.58180555556</v>
      </c>
      <c r="C529" s="1" t="n">
        <v>45900</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59177-2023</t>
        </is>
      </c>
      <c r="B530" s="1" t="n">
        <v>45253</v>
      </c>
      <c r="C530" s="1" t="n">
        <v>45900</v>
      </c>
      <c r="D530" t="inlineStr">
        <is>
          <t>DALARNAS LÄN</t>
        </is>
      </c>
      <c r="E530" t="inlineStr">
        <is>
          <t>ÄLVDALEN</t>
        </is>
      </c>
      <c r="G530" t="n">
        <v>0.6</v>
      </c>
      <c r="H530" t="n">
        <v>0</v>
      </c>
      <c r="I530" t="n">
        <v>0</v>
      </c>
      <c r="J530" t="n">
        <v>0</v>
      </c>
      <c r="K530" t="n">
        <v>0</v>
      </c>
      <c r="L530" t="n">
        <v>0</v>
      </c>
      <c r="M530" t="n">
        <v>0</v>
      </c>
      <c r="N530" t="n">
        <v>0</v>
      </c>
      <c r="O530" t="n">
        <v>0</v>
      </c>
      <c r="P530" t="n">
        <v>0</v>
      </c>
      <c r="Q530" t="n">
        <v>0</v>
      </c>
      <c r="R530" s="2" t="inlineStr"/>
    </row>
    <row r="531" ht="15" customHeight="1">
      <c r="A531" t="inlineStr">
        <is>
          <t>A 8146-2025</t>
        </is>
      </c>
      <c r="B531" s="1" t="n">
        <v>45708.30415509259</v>
      </c>
      <c r="C531" s="1" t="n">
        <v>45900</v>
      </c>
      <c r="D531" t="inlineStr">
        <is>
          <t>DALARNAS LÄN</t>
        </is>
      </c>
      <c r="E531" t="inlineStr">
        <is>
          <t>ÄLVDALEN</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41158-2024</t>
        </is>
      </c>
      <c r="B532" s="1" t="n">
        <v>45559.47958333333</v>
      </c>
      <c r="C532" s="1" t="n">
        <v>45900</v>
      </c>
      <c r="D532" t="inlineStr">
        <is>
          <t>DALARNAS LÄN</t>
        </is>
      </c>
      <c r="E532" t="inlineStr">
        <is>
          <t>ÄLVDALEN</t>
        </is>
      </c>
      <c r="G532" t="n">
        <v>5.6</v>
      </c>
      <c r="H532" t="n">
        <v>0</v>
      </c>
      <c r="I532" t="n">
        <v>0</v>
      </c>
      <c r="J532" t="n">
        <v>0</v>
      </c>
      <c r="K532" t="n">
        <v>0</v>
      </c>
      <c r="L532" t="n">
        <v>0</v>
      </c>
      <c r="M532" t="n">
        <v>0</v>
      </c>
      <c r="N532" t="n">
        <v>0</v>
      </c>
      <c r="O532" t="n">
        <v>0</v>
      </c>
      <c r="P532" t="n">
        <v>0</v>
      </c>
      <c r="Q532" t="n">
        <v>0</v>
      </c>
      <c r="R532" s="2" t="inlineStr"/>
    </row>
    <row r="533" ht="15" customHeight="1">
      <c r="A533" t="inlineStr">
        <is>
          <t>A 31857-2023</t>
        </is>
      </c>
      <c r="B533" s="1" t="n">
        <v>45106</v>
      </c>
      <c r="C533" s="1" t="n">
        <v>45900</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30985-2023</t>
        </is>
      </c>
      <c r="B534" s="1" t="n">
        <v>45113</v>
      </c>
      <c r="C534" s="1" t="n">
        <v>45900</v>
      </c>
      <c r="D534" t="inlineStr">
        <is>
          <t>DALARNAS LÄN</t>
        </is>
      </c>
      <c r="E534" t="inlineStr">
        <is>
          <t>ÄLVDALEN</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14489-2025</t>
        </is>
      </c>
      <c r="B535" s="1" t="n">
        <v>45741.60680555556</v>
      </c>
      <c r="C535" s="1" t="n">
        <v>45900</v>
      </c>
      <c r="D535" t="inlineStr">
        <is>
          <t>DALARNAS LÄN</t>
        </is>
      </c>
      <c r="E535" t="inlineStr">
        <is>
          <t>ÄLVDALEN</t>
        </is>
      </c>
      <c r="G535" t="n">
        <v>7.9</v>
      </c>
      <c r="H535" t="n">
        <v>0</v>
      </c>
      <c r="I535" t="n">
        <v>0</v>
      </c>
      <c r="J535" t="n">
        <v>0</v>
      </c>
      <c r="K535" t="n">
        <v>0</v>
      </c>
      <c r="L535" t="n">
        <v>0</v>
      </c>
      <c r="M535" t="n">
        <v>0</v>
      </c>
      <c r="N535" t="n">
        <v>0</v>
      </c>
      <c r="O535" t="n">
        <v>0</v>
      </c>
      <c r="P535" t="n">
        <v>0</v>
      </c>
      <c r="Q535" t="n">
        <v>0</v>
      </c>
      <c r="R535" s="2" t="inlineStr"/>
    </row>
    <row r="536" ht="15" customHeight="1">
      <c r="A536" t="inlineStr">
        <is>
          <t>A 14938-2023</t>
        </is>
      </c>
      <c r="B536" s="1" t="n">
        <v>45015</v>
      </c>
      <c r="C536" s="1" t="n">
        <v>45900</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49236-2023</t>
        </is>
      </c>
      <c r="B537" s="1" t="n">
        <v>45210.63995370371</v>
      </c>
      <c r="C537" s="1" t="n">
        <v>45900</v>
      </c>
      <c r="D537" t="inlineStr">
        <is>
          <t>DALARNAS LÄN</t>
        </is>
      </c>
      <c r="E537" t="inlineStr">
        <is>
          <t>ÄLVDALEN</t>
        </is>
      </c>
      <c r="F537" t="inlineStr">
        <is>
          <t>Bergvik skog väst AB</t>
        </is>
      </c>
      <c r="G537" t="n">
        <v>4.4</v>
      </c>
      <c r="H537" t="n">
        <v>0</v>
      </c>
      <c r="I537" t="n">
        <v>0</v>
      </c>
      <c r="J537" t="n">
        <v>0</v>
      </c>
      <c r="K537" t="n">
        <v>0</v>
      </c>
      <c r="L537" t="n">
        <v>0</v>
      </c>
      <c r="M537" t="n">
        <v>0</v>
      </c>
      <c r="N537" t="n">
        <v>0</v>
      </c>
      <c r="O537" t="n">
        <v>0</v>
      </c>
      <c r="P537" t="n">
        <v>0</v>
      </c>
      <c r="Q537" t="n">
        <v>0</v>
      </c>
      <c r="R537" s="2" t="inlineStr"/>
    </row>
    <row r="538" ht="15" customHeight="1">
      <c r="A538" t="inlineStr">
        <is>
          <t>A 48552-2024</t>
        </is>
      </c>
      <c r="B538" s="1" t="n">
        <v>45593.37266203704</v>
      </c>
      <c r="C538" s="1" t="n">
        <v>45900</v>
      </c>
      <c r="D538" t="inlineStr">
        <is>
          <t>DALARNAS LÄN</t>
        </is>
      </c>
      <c r="E538" t="inlineStr">
        <is>
          <t>ÄLVDALEN</t>
        </is>
      </c>
      <c r="G538" t="n">
        <v>4.1</v>
      </c>
      <c r="H538" t="n">
        <v>0</v>
      </c>
      <c r="I538" t="n">
        <v>0</v>
      </c>
      <c r="J538" t="n">
        <v>0</v>
      </c>
      <c r="K538" t="n">
        <v>0</v>
      </c>
      <c r="L538" t="n">
        <v>0</v>
      </c>
      <c r="M538" t="n">
        <v>0</v>
      </c>
      <c r="N538" t="n">
        <v>0</v>
      </c>
      <c r="O538" t="n">
        <v>0</v>
      </c>
      <c r="P538" t="n">
        <v>0</v>
      </c>
      <c r="Q538" t="n">
        <v>0</v>
      </c>
      <c r="R538" s="2" t="inlineStr"/>
    </row>
    <row r="539" ht="15" customHeight="1">
      <c r="A539" t="inlineStr">
        <is>
          <t>A 59676-2024</t>
        </is>
      </c>
      <c r="B539" s="1" t="n">
        <v>45639.39060185185</v>
      </c>
      <c r="C539" s="1" t="n">
        <v>45900</v>
      </c>
      <c r="D539" t="inlineStr">
        <is>
          <t>DALARNAS LÄN</t>
        </is>
      </c>
      <c r="E539" t="inlineStr">
        <is>
          <t>ÄLVDALEN</t>
        </is>
      </c>
      <c r="G539" t="n">
        <v>2.7</v>
      </c>
      <c r="H539" t="n">
        <v>0</v>
      </c>
      <c r="I539" t="n">
        <v>0</v>
      </c>
      <c r="J539" t="n">
        <v>0</v>
      </c>
      <c r="K539" t="n">
        <v>0</v>
      </c>
      <c r="L539" t="n">
        <v>0</v>
      </c>
      <c r="M539" t="n">
        <v>0</v>
      </c>
      <c r="N539" t="n">
        <v>0</v>
      </c>
      <c r="O539" t="n">
        <v>0</v>
      </c>
      <c r="P539" t="n">
        <v>0</v>
      </c>
      <c r="Q539" t="n">
        <v>0</v>
      </c>
      <c r="R539" s="2" t="inlineStr"/>
    </row>
    <row r="540" ht="15" customHeight="1">
      <c r="A540" t="inlineStr">
        <is>
          <t>A 431-2023</t>
        </is>
      </c>
      <c r="B540" s="1" t="n">
        <v>44923</v>
      </c>
      <c r="C540" s="1" t="n">
        <v>45900</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55589-2022</t>
        </is>
      </c>
      <c r="B541" s="1" t="n">
        <v>44888.40673611111</v>
      </c>
      <c r="C541" s="1" t="n">
        <v>45900</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29819-2024</t>
        </is>
      </c>
      <c r="B542" s="1" t="n">
        <v>45485.55760416666</v>
      </c>
      <c r="C542" s="1" t="n">
        <v>45900</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52107-2022</t>
        </is>
      </c>
      <c r="B543" s="1" t="n">
        <v>44873.41295138889</v>
      </c>
      <c r="C543" s="1" t="n">
        <v>45900</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45900</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59692-2024</t>
        </is>
      </c>
      <c r="B545" s="1" t="n">
        <v>45639.40686342592</v>
      </c>
      <c r="C545" s="1" t="n">
        <v>45900</v>
      </c>
      <c r="D545" t="inlineStr">
        <is>
          <t>DALARNAS LÄN</t>
        </is>
      </c>
      <c r="E545" t="inlineStr">
        <is>
          <t>ÄLVDALEN</t>
        </is>
      </c>
      <c r="G545" t="n">
        <v>2.2</v>
      </c>
      <c r="H545" t="n">
        <v>0</v>
      </c>
      <c r="I545" t="n">
        <v>0</v>
      </c>
      <c r="J545" t="n">
        <v>0</v>
      </c>
      <c r="K545" t="n">
        <v>0</v>
      </c>
      <c r="L545" t="n">
        <v>0</v>
      </c>
      <c r="M545" t="n">
        <v>0</v>
      </c>
      <c r="N545" t="n">
        <v>0</v>
      </c>
      <c r="O545" t="n">
        <v>0</v>
      </c>
      <c r="P545" t="n">
        <v>0</v>
      </c>
      <c r="Q545" t="n">
        <v>0</v>
      </c>
      <c r="R545" s="2" t="inlineStr"/>
    </row>
    <row r="546" ht="15" customHeight="1">
      <c r="A546" t="inlineStr">
        <is>
          <t>A 28467-2024</t>
        </is>
      </c>
      <c r="B546" s="1" t="n">
        <v>45477.71173611111</v>
      </c>
      <c r="C546" s="1" t="n">
        <v>45900</v>
      </c>
      <c r="D546" t="inlineStr">
        <is>
          <t>DALARNAS LÄN</t>
        </is>
      </c>
      <c r="E546" t="inlineStr">
        <is>
          <t>ÄLVDALEN</t>
        </is>
      </c>
      <c r="G546" t="n">
        <v>4</v>
      </c>
      <c r="H546" t="n">
        <v>0</v>
      </c>
      <c r="I546" t="n">
        <v>0</v>
      </c>
      <c r="J546" t="n">
        <v>0</v>
      </c>
      <c r="K546" t="n">
        <v>0</v>
      </c>
      <c r="L546" t="n">
        <v>0</v>
      </c>
      <c r="M546" t="n">
        <v>0</v>
      </c>
      <c r="N546" t="n">
        <v>0</v>
      </c>
      <c r="O546" t="n">
        <v>0</v>
      </c>
      <c r="P546" t="n">
        <v>0</v>
      </c>
      <c r="Q546" t="n">
        <v>0</v>
      </c>
      <c r="R546" s="2" t="inlineStr"/>
    </row>
    <row r="547" ht="15" customHeight="1">
      <c r="A547" t="inlineStr">
        <is>
          <t>A 46927-2024</t>
        </is>
      </c>
      <c r="B547" s="1" t="n">
        <v>45584.69063657407</v>
      </c>
      <c r="C547" s="1" t="n">
        <v>45900</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58848-2022</t>
        </is>
      </c>
      <c r="B548" s="1" t="n">
        <v>44896</v>
      </c>
      <c r="C548" s="1" t="n">
        <v>45900</v>
      </c>
      <c r="D548" t="inlineStr">
        <is>
          <t>DALARNAS LÄN</t>
        </is>
      </c>
      <c r="E548" t="inlineStr">
        <is>
          <t>ÄLVDALEN</t>
        </is>
      </c>
      <c r="F548" t="inlineStr">
        <is>
          <t>Övriga statliga verk och myndigheter</t>
        </is>
      </c>
      <c r="G548" t="n">
        <v>18.1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45900</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14089-2022</t>
        </is>
      </c>
      <c r="B550" s="1" t="n">
        <v>44651</v>
      </c>
      <c r="C550" s="1" t="n">
        <v>45900</v>
      </c>
      <c r="D550" t="inlineStr">
        <is>
          <t>DALARNAS LÄN</t>
        </is>
      </c>
      <c r="E550" t="inlineStr">
        <is>
          <t>ÄLVDALEN</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57560-2024</t>
        </is>
      </c>
      <c r="B551" s="1" t="n">
        <v>45630.4566550926</v>
      </c>
      <c r="C551" s="1" t="n">
        <v>45900</v>
      </c>
      <c r="D551" t="inlineStr">
        <is>
          <t>DALARNAS LÄN</t>
        </is>
      </c>
      <c r="E551" t="inlineStr">
        <is>
          <t>ÄLVDALEN</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63329-2023</t>
        </is>
      </c>
      <c r="B552" s="1" t="n">
        <v>45274.38255787037</v>
      </c>
      <c r="C552" s="1" t="n">
        <v>45900</v>
      </c>
      <c r="D552" t="inlineStr">
        <is>
          <t>DALARNAS LÄN</t>
        </is>
      </c>
      <c r="E552" t="inlineStr">
        <is>
          <t>ÄLVDALEN</t>
        </is>
      </c>
      <c r="G552" t="n">
        <v>0.6</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45900</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3903-2024</t>
        </is>
      </c>
      <c r="B554" s="1" t="n">
        <v>45322</v>
      </c>
      <c r="C554" s="1" t="n">
        <v>45900</v>
      </c>
      <c r="D554" t="inlineStr">
        <is>
          <t>DALARNAS LÄN</t>
        </is>
      </c>
      <c r="E554" t="inlineStr">
        <is>
          <t>ÄLVDALEN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3914-2024</t>
        </is>
      </c>
      <c r="B555" s="1" t="n">
        <v>45322</v>
      </c>
      <c r="C555" s="1" t="n">
        <v>45900</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39010-2024</t>
        </is>
      </c>
      <c r="B556" s="1" t="n">
        <v>45548</v>
      </c>
      <c r="C556" s="1" t="n">
        <v>45900</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6791-2025</t>
        </is>
      </c>
      <c r="B557" s="1" t="n">
        <v>45700.66315972222</v>
      </c>
      <c r="C557" s="1" t="n">
        <v>45900</v>
      </c>
      <c r="D557" t="inlineStr">
        <is>
          <t>DALARNAS LÄN</t>
        </is>
      </c>
      <c r="E557" t="inlineStr">
        <is>
          <t>ÄLVDALEN</t>
        </is>
      </c>
      <c r="G557" t="n">
        <v>30.2</v>
      </c>
      <c r="H557" t="n">
        <v>0</v>
      </c>
      <c r="I557" t="n">
        <v>0</v>
      </c>
      <c r="J557" t="n">
        <v>0</v>
      </c>
      <c r="K557" t="n">
        <v>0</v>
      </c>
      <c r="L557" t="n">
        <v>0</v>
      </c>
      <c r="M557" t="n">
        <v>0</v>
      </c>
      <c r="N557" t="n">
        <v>0</v>
      </c>
      <c r="O557" t="n">
        <v>0</v>
      </c>
      <c r="P557" t="n">
        <v>0</v>
      </c>
      <c r="Q557" t="n">
        <v>0</v>
      </c>
      <c r="R557" s="2" t="inlineStr"/>
    </row>
    <row r="558" ht="15" customHeight="1">
      <c r="A558" t="inlineStr">
        <is>
          <t>A 1804-2024</t>
        </is>
      </c>
      <c r="B558" s="1" t="n">
        <v>45307.59216435185</v>
      </c>
      <c r="C558" s="1" t="n">
        <v>45900</v>
      </c>
      <c r="D558" t="inlineStr">
        <is>
          <t>DALARNAS LÄN</t>
        </is>
      </c>
      <c r="E558" t="inlineStr">
        <is>
          <t>ÄLVDALEN</t>
        </is>
      </c>
      <c r="G558" t="n">
        <v>1.9</v>
      </c>
      <c r="H558" t="n">
        <v>0</v>
      </c>
      <c r="I558" t="n">
        <v>0</v>
      </c>
      <c r="J558" t="n">
        <v>0</v>
      </c>
      <c r="K558" t="n">
        <v>0</v>
      </c>
      <c r="L558" t="n">
        <v>0</v>
      </c>
      <c r="M558" t="n">
        <v>0</v>
      </c>
      <c r="N558" t="n">
        <v>0</v>
      </c>
      <c r="O558" t="n">
        <v>0</v>
      </c>
      <c r="P558" t="n">
        <v>0</v>
      </c>
      <c r="Q558" t="n">
        <v>0</v>
      </c>
      <c r="R558" s="2" t="inlineStr"/>
    </row>
    <row r="559" ht="15" customHeight="1">
      <c r="A559" t="inlineStr">
        <is>
          <t>A 57817-2023</t>
        </is>
      </c>
      <c r="B559" s="1" t="n">
        <v>45247</v>
      </c>
      <c r="C559" s="1" t="n">
        <v>45900</v>
      </c>
      <c r="D559" t="inlineStr">
        <is>
          <t>DALARNAS LÄN</t>
        </is>
      </c>
      <c r="E559" t="inlineStr">
        <is>
          <t>ÄLVDALEN</t>
        </is>
      </c>
      <c r="G559" t="n">
        <v>6.4</v>
      </c>
      <c r="H559" t="n">
        <v>0</v>
      </c>
      <c r="I559" t="n">
        <v>0</v>
      </c>
      <c r="J559" t="n">
        <v>0</v>
      </c>
      <c r="K559" t="n">
        <v>0</v>
      </c>
      <c r="L559" t="n">
        <v>0</v>
      </c>
      <c r="M559" t="n">
        <v>0</v>
      </c>
      <c r="N559" t="n">
        <v>0</v>
      </c>
      <c r="O559" t="n">
        <v>0</v>
      </c>
      <c r="P559" t="n">
        <v>0</v>
      </c>
      <c r="Q559" t="n">
        <v>0</v>
      </c>
      <c r="R559" s="2" t="inlineStr"/>
    </row>
    <row r="560" ht="15" customHeight="1">
      <c r="A560" t="inlineStr">
        <is>
          <t>A 28884-2023</t>
        </is>
      </c>
      <c r="B560" s="1" t="n">
        <v>45104.48320601852</v>
      </c>
      <c r="C560" s="1" t="n">
        <v>45900</v>
      </c>
      <c r="D560" t="inlineStr">
        <is>
          <t>DALARNAS LÄN</t>
        </is>
      </c>
      <c r="E560" t="inlineStr">
        <is>
          <t>ÄLVDALEN</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32838-2023</t>
        </is>
      </c>
      <c r="B561" s="1" t="n">
        <v>45124</v>
      </c>
      <c r="C561" s="1" t="n">
        <v>45900</v>
      </c>
      <c r="D561" t="inlineStr">
        <is>
          <t>DALARNAS LÄN</t>
        </is>
      </c>
      <c r="E561" t="inlineStr">
        <is>
          <t>ÄLVDALEN</t>
        </is>
      </c>
      <c r="G561" t="n">
        <v>3.7</v>
      </c>
      <c r="H561" t="n">
        <v>0</v>
      </c>
      <c r="I561" t="n">
        <v>0</v>
      </c>
      <c r="J561" t="n">
        <v>0</v>
      </c>
      <c r="K561" t="n">
        <v>0</v>
      </c>
      <c r="L561" t="n">
        <v>0</v>
      </c>
      <c r="M561" t="n">
        <v>0</v>
      </c>
      <c r="N561" t="n">
        <v>0</v>
      </c>
      <c r="O561" t="n">
        <v>0</v>
      </c>
      <c r="P561" t="n">
        <v>0</v>
      </c>
      <c r="Q561" t="n">
        <v>0</v>
      </c>
      <c r="R561" s="2" t="inlineStr"/>
    </row>
    <row r="562" ht="15" customHeight="1">
      <c r="A562" t="inlineStr">
        <is>
          <t>A 505-2024</t>
        </is>
      </c>
      <c r="B562" s="1" t="n">
        <v>45299</v>
      </c>
      <c r="C562" s="1" t="n">
        <v>45900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48954-2023</t>
        </is>
      </c>
      <c r="B563" s="1" t="n">
        <v>45209.58488425926</v>
      </c>
      <c r="C563" s="1" t="n">
        <v>45900</v>
      </c>
      <c r="D563" t="inlineStr">
        <is>
          <t>DALARNAS LÄN</t>
        </is>
      </c>
      <c r="E563" t="inlineStr">
        <is>
          <t>ÄLVDALEN</t>
        </is>
      </c>
      <c r="G563" t="n">
        <v>7</v>
      </c>
      <c r="H563" t="n">
        <v>0</v>
      </c>
      <c r="I563" t="n">
        <v>0</v>
      </c>
      <c r="J563" t="n">
        <v>0</v>
      </c>
      <c r="K563" t="n">
        <v>0</v>
      </c>
      <c r="L563" t="n">
        <v>0</v>
      </c>
      <c r="M563" t="n">
        <v>0</v>
      </c>
      <c r="N563" t="n">
        <v>0</v>
      </c>
      <c r="O563" t="n">
        <v>0</v>
      </c>
      <c r="P563" t="n">
        <v>0</v>
      </c>
      <c r="Q563" t="n">
        <v>0</v>
      </c>
      <c r="R563" s="2" t="inlineStr"/>
    </row>
    <row r="564" ht="15" customHeight="1">
      <c r="A564" t="inlineStr">
        <is>
          <t>A 57539-2024</t>
        </is>
      </c>
      <c r="B564" s="1" t="n">
        <v>45630.43707175926</v>
      </c>
      <c r="C564" s="1" t="n">
        <v>45900</v>
      </c>
      <c r="D564" t="inlineStr">
        <is>
          <t>DALARNAS LÄN</t>
        </is>
      </c>
      <c r="E564" t="inlineStr">
        <is>
          <t>ÄLVDALEN</t>
        </is>
      </c>
      <c r="G564" t="n">
        <v>6.7</v>
      </c>
      <c r="H564" t="n">
        <v>0</v>
      </c>
      <c r="I564" t="n">
        <v>0</v>
      </c>
      <c r="J564" t="n">
        <v>0</v>
      </c>
      <c r="K564" t="n">
        <v>0</v>
      </c>
      <c r="L564" t="n">
        <v>0</v>
      </c>
      <c r="M564" t="n">
        <v>0</v>
      </c>
      <c r="N564" t="n">
        <v>0</v>
      </c>
      <c r="O564" t="n">
        <v>0</v>
      </c>
      <c r="P564" t="n">
        <v>0</v>
      </c>
      <c r="Q564" t="n">
        <v>0</v>
      </c>
      <c r="R564" s="2" t="inlineStr"/>
    </row>
    <row r="565" ht="15" customHeight="1">
      <c r="A565" t="inlineStr">
        <is>
          <t>A 36285-2024</t>
        </is>
      </c>
      <c r="B565" s="1" t="n">
        <v>45534.59008101852</v>
      </c>
      <c r="C565" s="1" t="n">
        <v>45900</v>
      </c>
      <c r="D565" t="inlineStr">
        <is>
          <t>DALARNAS LÄN</t>
        </is>
      </c>
      <c r="E565" t="inlineStr">
        <is>
          <t>ÄLVDALEN</t>
        </is>
      </c>
      <c r="G565" t="n">
        <v>4.9</v>
      </c>
      <c r="H565" t="n">
        <v>0</v>
      </c>
      <c r="I565" t="n">
        <v>0</v>
      </c>
      <c r="J565" t="n">
        <v>0</v>
      </c>
      <c r="K565" t="n">
        <v>0</v>
      </c>
      <c r="L565" t="n">
        <v>0</v>
      </c>
      <c r="M565" t="n">
        <v>0</v>
      </c>
      <c r="N565" t="n">
        <v>0</v>
      </c>
      <c r="O565" t="n">
        <v>0</v>
      </c>
      <c r="P565" t="n">
        <v>0</v>
      </c>
      <c r="Q565" t="n">
        <v>0</v>
      </c>
      <c r="R565" s="2" t="inlineStr"/>
    </row>
    <row r="566" ht="15" customHeight="1">
      <c r="A566" t="inlineStr">
        <is>
          <t>A 37439-2024</t>
        </is>
      </c>
      <c r="B566" s="1" t="n">
        <v>45540</v>
      </c>
      <c r="C566" s="1" t="n">
        <v>45900</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47869-2023</t>
        </is>
      </c>
      <c r="B567" s="1" t="n">
        <v>45204</v>
      </c>
      <c r="C567" s="1" t="n">
        <v>45900</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1698-2025</t>
        </is>
      </c>
      <c r="B568" s="1" t="n">
        <v>45670</v>
      </c>
      <c r="C568" s="1" t="n">
        <v>45900</v>
      </c>
      <c r="D568" t="inlineStr">
        <is>
          <t>DALARNAS LÄN</t>
        </is>
      </c>
      <c r="E568" t="inlineStr">
        <is>
          <t>ÄLVDALEN</t>
        </is>
      </c>
      <c r="G568" t="n">
        <v>10.2</v>
      </c>
      <c r="H568" t="n">
        <v>0</v>
      </c>
      <c r="I568" t="n">
        <v>0</v>
      </c>
      <c r="J568" t="n">
        <v>0</v>
      </c>
      <c r="K568" t="n">
        <v>0</v>
      </c>
      <c r="L568" t="n">
        <v>0</v>
      </c>
      <c r="M568" t="n">
        <v>0</v>
      </c>
      <c r="N568" t="n">
        <v>0</v>
      </c>
      <c r="O568" t="n">
        <v>0</v>
      </c>
      <c r="P568" t="n">
        <v>0</v>
      </c>
      <c r="Q568" t="n">
        <v>0</v>
      </c>
      <c r="R568" s="2" t="inlineStr"/>
    </row>
    <row r="569" ht="15" customHeight="1">
      <c r="A569" t="inlineStr">
        <is>
          <t>A 9045-2025</t>
        </is>
      </c>
      <c r="B569" s="1" t="n">
        <v>45713.62837962963</v>
      </c>
      <c r="C569" s="1" t="n">
        <v>45900</v>
      </c>
      <c r="D569" t="inlineStr">
        <is>
          <t>DALARNAS LÄN</t>
        </is>
      </c>
      <c r="E569" t="inlineStr">
        <is>
          <t>ÄLVDALEN</t>
        </is>
      </c>
      <c r="F569" t="inlineStr">
        <is>
          <t>Allmännings- och besparingsskogar</t>
        </is>
      </c>
      <c r="G569" t="n">
        <v>39.1</v>
      </c>
      <c r="H569" t="n">
        <v>0</v>
      </c>
      <c r="I569" t="n">
        <v>0</v>
      </c>
      <c r="J569" t="n">
        <v>0</v>
      </c>
      <c r="K569" t="n">
        <v>0</v>
      </c>
      <c r="L569" t="n">
        <v>0</v>
      </c>
      <c r="M569" t="n">
        <v>0</v>
      </c>
      <c r="N569" t="n">
        <v>0</v>
      </c>
      <c r="O569" t="n">
        <v>0</v>
      </c>
      <c r="P569" t="n">
        <v>0</v>
      </c>
      <c r="Q569" t="n">
        <v>0</v>
      </c>
      <c r="R569" s="2" t="inlineStr"/>
    </row>
    <row r="570" ht="15" customHeight="1">
      <c r="A570" t="inlineStr">
        <is>
          <t>A 12318-2025</t>
        </is>
      </c>
      <c r="B570" s="1" t="n">
        <v>45729.87777777778</v>
      </c>
      <c r="C570" s="1" t="n">
        <v>45900</v>
      </c>
      <c r="D570" t="inlineStr">
        <is>
          <t>DALARNAS LÄN</t>
        </is>
      </c>
      <c r="E570" t="inlineStr">
        <is>
          <t>ÄLVDALEN</t>
        </is>
      </c>
      <c r="G570" t="n">
        <v>3.3</v>
      </c>
      <c r="H570" t="n">
        <v>0</v>
      </c>
      <c r="I570" t="n">
        <v>0</v>
      </c>
      <c r="J570" t="n">
        <v>0</v>
      </c>
      <c r="K570" t="n">
        <v>0</v>
      </c>
      <c r="L570" t="n">
        <v>0</v>
      </c>
      <c r="M570" t="n">
        <v>0</v>
      </c>
      <c r="N570" t="n">
        <v>0</v>
      </c>
      <c r="O570" t="n">
        <v>0</v>
      </c>
      <c r="P570" t="n">
        <v>0</v>
      </c>
      <c r="Q570" t="n">
        <v>0</v>
      </c>
      <c r="R570" s="2" t="inlineStr"/>
    </row>
    <row r="571" ht="15" customHeight="1">
      <c r="A571" t="inlineStr">
        <is>
          <t>A 59138-2023</t>
        </is>
      </c>
      <c r="B571" s="1" t="n">
        <v>45253</v>
      </c>
      <c r="C571" s="1" t="n">
        <v>45900</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c r="A572" t="inlineStr">
        <is>
          <t>A 32622-2023</t>
        </is>
      </c>
      <c r="B572" s="1" t="n">
        <v>45121</v>
      </c>
      <c r="C572" s="1" t="n">
        <v>45900</v>
      </c>
      <c r="D572" t="inlineStr">
        <is>
          <t>DALARNAS LÄN</t>
        </is>
      </c>
      <c r="E572" t="inlineStr">
        <is>
          <t>ÄLVDALEN</t>
        </is>
      </c>
      <c r="F572" t="inlineStr">
        <is>
          <t>Sveaskog</t>
        </is>
      </c>
      <c r="G572" t="n">
        <v>1.5</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2025-08-31T08:31:56Z</dcterms:created>
  <dcterms:modified xmlns:dcterms="http://purl.org/dc/terms/" xmlns:xsi="http://www.w3.org/2001/XMLSchema-instance" xsi:type="dcterms:W3CDTF">2025-08-31T08:31:57Z</dcterms:modified>
</cp:coreProperties>
</file>