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45578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45578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45578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45578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45578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45578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45578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45578</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45578</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45578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28823-2023</t>
        </is>
      </c>
      <c r="B12" s="1" t="n">
        <v>45104</v>
      </c>
      <c r="C12" s="1" t="n">
        <v>45578</v>
      </c>
      <c r="D12" t="inlineStr">
        <is>
          <t>DALARNAS LÄN</t>
        </is>
      </c>
      <c r="E12" t="inlineStr">
        <is>
          <t>ÄLVDALEN</t>
        </is>
      </c>
      <c r="F12" t="inlineStr">
        <is>
          <t>Sveaskog</t>
        </is>
      </c>
      <c r="G12" t="n">
        <v>9.800000000000001</v>
      </c>
      <c r="H12" t="n">
        <v>3</v>
      </c>
      <c r="I12" t="n">
        <v>3</v>
      </c>
      <c r="J12" t="n">
        <v>10</v>
      </c>
      <c r="K12" t="n">
        <v>1</v>
      </c>
      <c r="L12" t="n">
        <v>0</v>
      </c>
      <c r="M12" t="n">
        <v>0</v>
      </c>
      <c r="N12" t="n">
        <v>0</v>
      </c>
      <c r="O12" t="n">
        <v>11</v>
      </c>
      <c r="P12" t="n">
        <v>1</v>
      </c>
      <c r="Q12" t="n">
        <v>14</v>
      </c>
      <c r="R12" s="2" t="inlineStr">
        <is>
          <t>Fläckporing
Blå taggsvamp
Garnlav
Kolflarnlav
Mörk kolflarnlav
Skrovlig taggsvamp
Svartvit taggsvamp
Talltaggsvamp
Talltita
Varglav
Vedflamlav
Dropptaggsvamp
Mindre märgborre
Plattlummer</t>
        </is>
      </c>
      <c r="S12">
        <f>HYPERLINK("https://klasma.github.io/Logging_2039/artfynd/A 28823-2023 artfynd.xlsx", "A 28823-2023")</f>
        <v/>
      </c>
      <c r="T12">
        <f>HYPERLINK("https://klasma.github.io/Logging_2039/kartor/A 28823-2023 karta.png", "A 28823-2023")</f>
        <v/>
      </c>
      <c r="V12">
        <f>HYPERLINK("https://klasma.github.io/Logging_2039/klagomål/A 28823-2023 FSC-klagomål.docx", "A 28823-2023")</f>
        <v/>
      </c>
      <c r="W12">
        <f>HYPERLINK("https://klasma.github.io/Logging_2039/klagomålsmail/A 28823-2023 FSC-klagomål mail.docx", "A 28823-2023")</f>
        <v/>
      </c>
      <c r="X12">
        <f>HYPERLINK("https://klasma.github.io/Logging_2039/tillsyn/A 28823-2023 tillsynsbegäran.docx", "A 28823-2023")</f>
        <v/>
      </c>
      <c r="Y12">
        <f>HYPERLINK("https://klasma.github.io/Logging_2039/tillsynsmail/A 28823-2023 tillsynsbegäran mail.docx", "A 28823-2023")</f>
        <v/>
      </c>
      <c r="Z12">
        <f>HYPERLINK("https://klasma.github.io/Logging_2039/fåglar/A 28823-2023 prioriterade fågelarter.docx", "A 28823-2023")</f>
        <v/>
      </c>
    </row>
    <row r="13" ht="15" customHeight="1">
      <c r="A13" t="inlineStr">
        <is>
          <t>A 30234-2023</t>
        </is>
      </c>
      <c r="B13" s="1" t="n">
        <v>45110</v>
      </c>
      <c r="C13" s="1" t="n">
        <v>45578</v>
      </c>
      <c r="D13" t="inlineStr">
        <is>
          <t>DALARNAS LÄN</t>
        </is>
      </c>
      <c r="E13" t="inlineStr">
        <is>
          <t>ÄLVDALEN</t>
        </is>
      </c>
      <c r="F13" t="inlineStr">
        <is>
          <t>Sveaskog</t>
        </is>
      </c>
      <c r="G13" t="n">
        <v>3.1</v>
      </c>
      <c r="H13" t="n">
        <v>3</v>
      </c>
      <c r="I13" t="n">
        <v>2</v>
      </c>
      <c r="J13" t="n">
        <v>11</v>
      </c>
      <c r="K13" t="n">
        <v>0</v>
      </c>
      <c r="L13" t="n">
        <v>0</v>
      </c>
      <c r="M13" t="n">
        <v>0</v>
      </c>
      <c r="N13" t="n">
        <v>0</v>
      </c>
      <c r="O13" t="n">
        <v>11</v>
      </c>
      <c r="P13" t="n">
        <v>0</v>
      </c>
      <c r="Q13" t="n">
        <v>14</v>
      </c>
      <c r="R13" s="2" t="inlineStr">
        <is>
          <t>Blanksvart spiklav
Gammelgransskål
Garnlav
Kolflarnlav
Skrovellav
Talltaggsvamp
Talltita
Vaddporing
Vedflamlav
Vedskivlav
Vitgrynig nållav
Plattlummer
Stuplav
Fläcknycklar</t>
        </is>
      </c>
      <c r="S13">
        <f>HYPERLINK("https://klasma.github.io/Logging_2039/artfynd/A 30234-2023 artfynd.xlsx", "A 30234-2023")</f>
        <v/>
      </c>
      <c r="T13">
        <f>HYPERLINK("https://klasma.github.io/Logging_2039/kartor/A 30234-2023 karta.png", "A 30234-2023")</f>
        <v/>
      </c>
      <c r="V13">
        <f>HYPERLINK("https://klasma.github.io/Logging_2039/klagomål/A 30234-2023 FSC-klagomål.docx", "A 30234-2023")</f>
        <v/>
      </c>
      <c r="W13">
        <f>HYPERLINK("https://klasma.github.io/Logging_2039/klagomålsmail/A 30234-2023 FSC-klagomål mail.docx", "A 30234-2023")</f>
        <v/>
      </c>
      <c r="X13">
        <f>HYPERLINK("https://klasma.github.io/Logging_2039/tillsyn/A 30234-2023 tillsynsbegäran.docx", "A 30234-2023")</f>
        <v/>
      </c>
      <c r="Y13">
        <f>HYPERLINK("https://klasma.github.io/Logging_2039/tillsynsmail/A 30234-2023 tillsynsbegäran mail.docx", "A 30234-2023")</f>
        <v/>
      </c>
      <c r="Z13">
        <f>HYPERLINK("https://klasma.github.io/Logging_2039/fåglar/A 30234-2023 prioriterade fågelarter.docx", "A 30234-2023")</f>
        <v/>
      </c>
    </row>
    <row r="14" ht="15" customHeight="1">
      <c r="A14" t="inlineStr">
        <is>
          <t>A 31037-2023</t>
        </is>
      </c>
      <c r="B14" s="1" t="n">
        <v>45113</v>
      </c>
      <c r="C14" s="1" t="n">
        <v>45578</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28620-2020</t>
        </is>
      </c>
      <c r="B15" s="1" t="n">
        <v>43999</v>
      </c>
      <c r="C15" s="1" t="n">
        <v>45578</v>
      </c>
      <c r="D15" t="inlineStr">
        <is>
          <t>DALARNAS LÄN</t>
        </is>
      </c>
      <c r="E15" t="inlineStr">
        <is>
          <t>ÄLVDALEN</t>
        </is>
      </c>
      <c r="F15" t="inlineStr">
        <is>
          <t>Sveaskog</t>
        </is>
      </c>
      <c r="G15" t="n">
        <v>14.2</v>
      </c>
      <c r="H15" t="n">
        <v>1</v>
      </c>
      <c r="I15" t="n">
        <v>1</v>
      </c>
      <c r="J15" t="n">
        <v>8</v>
      </c>
      <c r="K15" t="n">
        <v>3</v>
      </c>
      <c r="L15" t="n">
        <v>1</v>
      </c>
      <c r="M15" t="n">
        <v>0</v>
      </c>
      <c r="N15" t="n">
        <v>0</v>
      </c>
      <c r="O15" t="n">
        <v>12</v>
      </c>
      <c r="P15" t="n">
        <v>4</v>
      </c>
      <c r="Q15" t="n">
        <v>13</v>
      </c>
      <c r="R15" s="2" t="inlineStr">
        <is>
          <t>Kolticka
Fläckporing
Gräddporing
Smalfotad taggsvamp
Blanksvart spiklav
Dvärgbägarlav
Kolflarnlav
Mörk kolflarnlav
Nordtagging
Varglav
Vedflamlav
Vedskivlav
Dropptaggsvamp</t>
        </is>
      </c>
      <c r="S15">
        <f>HYPERLINK("https://klasma.github.io/Logging_2039/artfynd/A 28620-2020 artfynd.xlsx", "A 28620-2020")</f>
        <v/>
      </c>
      <c r="T15">
        <f>HYPERLINK("https://klasma.github.io/Logging_2039/kartor/A 28620-2020 karta.png", "A 28620-2020")</f>
        <v/>
      </c>
      <c r="V15">
        <f>HYPERLINK("https://klasma.github.io/Logging_2039/klagomål/A 28620-2020 FSC-klagomål.docx", "A 28620-2020")</f>
        <v/>
      </c>
      <c r="W15">
        <f>HYPERLINK("https://klasma.github.io/Logging_2039/klagomålsmail/A 28620-2020 FSC-klagomål mail.docx", "A 28620-2020")</f>
        <v/>
      </c>
      <c r="X15">
        <f>HYPERLINK("https://klasma.github.io/Logging_2039/tillsyn/A 28620-2020 tillsynsbegäran.docx", "A 28620-2020")</f>
        <v/>
      </c>
      <c r="Y15">
        <f>HYPERLINK("https://klasma.github.io/Logging_2039/tillsynsmail/A 28620-2020 tillsynsbegäran mail.docx", "A 28620-2020")</f>
        <v/>
      </c>
    </row>
    <row r="16" ht="15" customHeight="1">
      <c r="A16" t="inlineStr">
        <is>
          <t>A 69728-2021</t>
        </is>
      </c>
      <c r="B16" s="1" t="n">
        <v>44532</v>
      </c>
      <c r="C16" s="1" t="n">
        <v>45578</v>
      </c>
      <c r="D16" t="inlineStr">
        <is>
          <t>DALARNAS LÄN</t>
        </is>
      </c>
      <c r="E16" t="inlineStr">
        <is>
          <t>ÄLVDALEN</t>
        </is>
      </c>
      <c r="G16" t="n">
        <v>19.1</v>
      </c>
      <c r="H16" t="n">
        <v>0</v>
      </c>
      <c r="I16" t="n">
        <v>1</v>
      </c>
      <c r="J16" t="n">
        <v>8</v>
      </c>
      <c r="K16" t="n">
        <v>4</v>
      </c>
      <c r="L16" t="n">
        <v>0</v>
      </c>
      <c r="M16" t="n">
        <v>0</v>
      </c>
      <c r="N16" t="n">
        <v>0</v>
      </c>
      <c r="O16" t="n">
        <v>12</v>
      </c>
      <c r="P16" t="n">
        <v>4</v>
      </c>
      <c r="Q16" t="n">
        <v>13</v>
      </c>
      <c r="R16" s="2" t="inlineStr">
        <is>
          <t>Barrgråtagging
Fläckporing
Gräddporing
Smalfotad taggsvamp
Blanksvart spiklav
Dvärgbägarlav
Kolflarnlav
Mörk kolflarnlav
Nordtagging
Orange taggsvamp
Skrovlig taggsvamp
Vedskivlav
Dropptaggsvamp</t>
        </is>
      </c>
      <c r="S16">
        <f>HYPERLINK("https://klasma.github.io/Logging_2039/artfynd/A 69728-2021 artfynd.xlsx", "A 69728-2021")</f>
        <v/>
      </c>
      <c r="T16">
        <f>HYPERLINK("https://klasma.github.io/Logging_2039/kartor/A 69728-2021 karta.png", "A 69728-2021")</f>
        <v/>
      </c>
      <c r="V16">
        <f>HYPERLINK("https://klasma.github.io/Logging_2039/klagomål/A 69728-2021 FSC-klagomål.docx", "A 69728-2021")</f>
        <v/>
      </c>
      <c r="W16">
        <f>HYPERLINK("https://klasma.github.io/Logging_2039/klagomålsmail/A 69728-2021 FSC-klagomål mail.docx", "A 69728-2021")</f>
        <v/>
      </c>
      <c r="X16">
        <f>HYPERLINK("https://klasma.github.io/Logging_2039/tillsyn/A 69728-2021 tillsynsbegäran.docx", "A 69728-2021")</f>
        <v/>
      </c>
      <c r="Y16">
        <f>HYPERLINK("https://klasma.github.io/Logging_2039/tillsynsmail/A 69728-2021 tillsynsbegäran mail.docx", "A 69728-2021")</f>
        <v/>
      </c>
    </row>
    <row r="17" ht="15" customHeight="1">
      <c r="A17" t="inlineStr">
        <is>
          <t>A 33548-2023</t>
        </is>
      </c>
      <c r="B17" s="1" t="n">
        <v>45118</v>
      </c>
      <c r="C17" s="1" t="n">
        <v>45578</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40996-2023</t>
        </is>
      </c>
      <c r="B18" s="1" t="n">
        <v>45173</v>
      </c>
      <c r="C18" s="1" t="n">
        <v>45578</v>
      </c>
      <c r="D18" t="inlineStr">
        <is>
          <t>DALARNAS LÄN</t>
        </is>
      </c>
      <c r="E18" t="inlineStr">
        <is>
          <t>ÄLVDALEN</t>
        </is>
      </c>
      <c r="F18" t="inlineStr">
        <is>
          <t>Bergvik skog väst AB</t>
        </is>
      </c>
      <c r="G18" t="n">
        <v>8</v>
      </c>
      <c r="H18" t="n">
        <v>2</v>
      </c>
      <c r="I18" t="n">
        <v>6</v>
      </c>
      <c r="J18" t="n">
        <v>6</v>
      </c>
      <c r="K18" t="n">
        <v>1</v>
      </c>
      <c r="L18" t="n">
        <v>0</v>
      </c>
      <c r="M18" t="n">
        <v>0</v>
      </c>
      <c r="N18" t="n">
        <v>0</v>
      </c>
      <c r="O18" t="n">
        <v>7</v>
      </c>
      <c r="P18" t="n">
        <v>1</v>
      </c>
      <c r="Q18" t="n">
        <v>13</v>
      </c>
      <c r="R18" s="2" t="inlineStr">
        <is>
          <t>Knärot
Gammelgransskål
Garnlav
Granticka
Gultoppig fingersvamp
Järpe
Ullticka
Mörk husmossa
Rödgul trumpetsvamp
Svavelriska
Trådticka
Vedticka
Ögonpyrola</t>
        </is>
      </c>
      <c r="S18">
        <f>HYPERLINK("https://klasma.github.io/Logging_2039/artfynd/A 40996-2023 artfynd.xlsx", "A 40996-2023")</f>
        <v/>
      </c>
      <c r="T18">
        <f>HYPERLINK("https://klasma.github.io/Logging_2039/kartor/A 40996-2023 karta.png", "A 40996-2023")</f>
        <v/>
      </c>
      <c r="U18">
        <f>HYPERLINK("https://klasma.github.io/Logging_2039/knärot/A 40996-2023 karta knärot.png", "A 40996-2023")</f>
        <v/>
      </c>
      <c r="V18">
        <f>HYPERLINK("https://klasma.github.io/Logging_2039/klagomål/A 40996-2023 FSC-klagomål.docx", "A 40996-2023")</f>
        <v/>
      </c>
      <c r="W18">
        <f>HYPERLINK("https://klasma.github.io/Logging_2039/klagomålsmail/A 40996-2023 FSC-klagomål mail.docx", "A 40996-2023")</f>
        <v/>
      </c>
      <c r="X18">
        <f>HYPERLINK("https://klasma.github.io/Logging_2039/tillsyn/A 40996-2023 tillsynsbegäran.docx", "A 40996-2023")</f>
        <v/>
      </c>
      <c r="Y18">
        <f>HYPERLINK("https://klasma.github.io/Logging_2039/tillsynsmail/A 40996-2023 tillsynsbegäran mail.docx", "A 40996-2023")</f>
        <v/>
      </c>
      <c r="Z18">
        <f>HYPERLINK("https://klasma.github.io/Logging_2039/fåglar/A 40996-2023 prioriterade fågelarter.docx", "A 40996-2023")</f>
        <v/>
      </c>
    </row>
    <row r="19" ht="15" customHeight="1">
      <c r="A19" t="inlineStr">
        <is>
          <t>A 28765-2019</t>
        </is>
      </c>
      <c r="B19" s="1" t="n">
        <v>43627</v>
      </c>
      <c r="C19" s="1" t="n">
        <v>45578</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45578</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45578</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45578</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45578</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45578</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45578</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45578</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45578</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45578</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45578</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45578</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45578</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45578</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45578</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45578</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45578</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45578</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45578</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45578</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45578</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45578</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45578</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45578</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45578</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45578</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45578</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45578</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45578</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45578</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45578</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45578</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45578</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45578</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45578</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45578</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45578</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45578</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45578</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45578</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45578</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45578</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45578</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45578</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45578</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45578</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45578</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45578</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45578</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45578</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45578</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45578</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45578</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45578</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45578</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45578</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45578</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45578</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45578</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45578</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45578</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45578</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45578</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45578</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45578</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45578</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45578</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45578</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45578</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45578</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45578</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45578</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45578</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45578</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45578</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45578</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45578</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45578</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45578</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45578</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45578</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45578</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45578</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45578</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45578</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45578</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45578</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45578</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45578</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45578</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45578</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45578</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45578</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45578</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45578</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45578</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45578</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45578</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45578</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45578</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45578</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45578</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45578</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45578</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45578</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45578</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45578</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45578</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45578</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45578</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45578</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45578</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45578</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45578</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45578</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45578</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45578</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45578</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45578</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45578</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45578</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45578</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45578</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45578</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45578</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45578</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45578</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45578</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45578</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45578</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45578</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45578</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45578</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45578</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45578</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45578</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45578</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45578</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45578</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45578</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45578</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45578</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45578</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45578</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45578</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45578</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45578</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45578</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45578</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45578</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45578</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45578</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45578</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45578</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45578</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45578</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45578</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45578</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45578</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45578</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45578</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45578</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45578</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45578</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45578</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45578</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45578</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45578</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45578</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45578</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45578</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45578</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45578</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45578</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45578</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45578</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45578</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45578</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45578</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45578</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45578</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45578</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45578</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45578</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45578</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45578</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45578</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45578</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45578</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45578</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45578</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45578</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45578</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45578</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45578</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45578</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45578</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45578</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45578</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45578</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45578</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45578</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45578</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45578</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45578</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45578</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45578</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45578</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45578</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45578</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45578</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45578</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45578</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45578</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45578</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45578</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45578</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45578</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45578</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45578</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45578</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45578</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45578</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45578</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45578</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45578</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45578</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45578</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45578</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45578</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45578</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45578</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45578</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45578</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45578</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45578</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45578</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45578</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45578</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45578</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45578</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45578</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45578</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45578</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45578</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45578</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45578</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45578</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45578</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45578</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45578</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45578</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45578</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45578</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45578</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45578</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45578</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45578</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45578</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45578</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45578</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45578</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45578</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45578</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45578</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45578</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45578</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45578</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45578</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45578</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45578</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45578</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45578</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45578</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45578</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45578</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45578</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45578</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45578</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45578</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45578</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45578</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45578</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45578</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45578</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45578</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45578</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45578</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45578</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45578</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45578</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45578</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45578</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45578</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45578</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45578</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45578</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45578</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45578</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45578</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45578</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45578</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45578</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45578</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45578</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45578</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45578</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45578</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45578</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45578</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45578</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45578</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45578</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45578</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45578</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45578</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45578</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45578</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45578</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45578</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45578</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45578</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45578</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45578</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45578</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45578</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45578</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45578</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45578</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45578</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45578</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45578</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45578</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45578</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45578</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45578</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45578</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45578</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45578</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45578</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45578</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45578</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45578</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45578</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45578</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45578</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45578</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45578</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45578</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45578</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45578</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45578</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45578</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45578</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45578</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45578</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45578</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45578</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45578</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45578</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45578</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45578</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45578</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45578</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45578</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45578</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45578</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45578</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45578</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45578</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45578</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45578</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45578</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45578</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45578</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45578</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45578</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45578</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45578</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45578</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45578</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45578</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45578</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45578</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45578</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45578</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45578</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45578</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45578</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45578</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45578</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45578</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45578</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45578</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45578</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45578</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45578</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45578</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45578</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45578</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45578</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45578</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45578</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45578</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45578</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45578</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45578</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45578</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45578</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45578</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45578</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45578</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45578</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45578</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45578</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45578</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45578</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45578</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45578</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45578</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45578</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45578</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45578</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45578</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45578</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45578</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45578</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45578</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45578</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45578</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45578</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45578</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45578</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45578</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45578</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45578</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45578</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45578</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45578</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45578</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45578</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45578</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45578</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45578</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45578</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45578</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45578</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45578</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45578</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45578</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45578</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45578</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45578</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45578</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45578</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45578</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45578</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45578</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45578</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45578</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45578</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45578</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45578</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45578</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45578</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45578</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45578</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45578</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45578</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45578</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45578</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45578</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45578</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45578</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45578</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45578</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45578</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45578</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45578</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45578</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45578</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45578</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45578</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45578</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45578</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45578</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45578</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45578</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45578</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45578</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45578</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45578</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45578</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45578</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45578</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45578</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45578</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45578</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45578</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45578</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45578</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45578</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45578</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45578</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45578</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45578</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45578</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45578</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45578</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45578</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45578</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45578</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45578</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45578</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45578</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45578</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45578</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45578</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45578</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45578</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45578</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45578</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45578</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45578</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45578</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45578</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45578</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45578</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45578</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45578</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45578</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45578</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45578</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45578</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45578</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45578</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45578</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45578</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45578</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45578</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45578</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45578</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45578</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45578</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45578</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45578</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45578</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45578</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45578</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45578</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45578</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45578</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45578</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45578</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45578</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45578</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45578</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45578</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45578</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45578</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45578</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45578</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45578</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45578</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45578</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45578</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45578</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45578</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45578</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45578</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45578</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45578</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45578</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45578</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45578</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45578</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45578</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45578</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45578</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45578</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45578</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45578</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45578</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45578</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45578</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45578</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45578</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45578</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45578</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45578</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45578</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45578</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45578</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45578</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45578</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45578</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45578</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45578</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45578</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45578</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45578</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45578</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45578</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45578</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45578</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45578</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45578</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45578</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45578</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45578</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45578</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45578</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45578</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45578</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45578</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45578</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45578</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45578</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45578</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45578</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45578</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45578</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45578</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45578</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45578</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45578</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45578</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45578</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45578</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45578</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45578</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45578</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45578</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45578</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45578</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45578</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45578</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45578</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45578</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45578</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45578</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45578</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45578</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45578</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45578</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45578</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45578</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45578</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45578</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45578</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45578</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45578</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45578</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45578</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45578</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45578</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45578</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45578</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45578</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45578</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45578</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45578</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45578</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45578</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45578</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45578</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45578</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45578</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45578</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45578</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45578</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45578</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45578</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45578</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45578</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45578</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45578</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45578</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45578</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45578</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45578</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45578</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45578</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45578</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45578</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45578</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45578</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45578</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45578</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45578</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45578</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45578</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45578</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45578</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45578</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45578</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45578</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45578</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45578</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45578</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45578</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45578</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45578</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45578</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45578</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45578</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45578</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45578</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45578</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45578</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45578</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45578</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45578</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45578</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45578</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45578</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45578</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45578</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45578</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45578</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45578</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45578</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45578</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45578</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45578</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45578</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45578</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45578</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45578</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45578</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45578</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45578</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45578</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45578</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45578</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45578</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45578</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45578</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45578</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45578</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45578</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45578</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45578</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45578</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45578</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45578</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45578</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45578</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45578</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45578</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45578</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45578</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45578</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45578</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45578</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45578</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45578</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45578</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45578</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45578</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45578</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45578</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45578</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45578</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45578</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45578</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45578</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45578</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45578</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45578</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45578</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45578</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45578</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45578</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45578</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45578</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45578</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45578</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45578</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45578</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45578</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45578</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45578</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45578</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45578</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45578</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45578</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45578</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45578</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45578</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45578</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45578</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45578</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45578</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45578</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45578</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45578</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45578</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45578</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45578</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45578</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45578</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45578</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45578</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45578</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45578</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45578</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45578</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45578</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45578</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45578</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45578</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45578</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45578</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45578</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45578</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45578</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45578</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45578</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45578</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45578</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45578</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45578</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45578</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45578</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45578</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45578</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45578</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45578</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45578</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45578</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45578</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45578</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45578</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45578</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45578</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45578</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45578</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45578</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45578</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45578</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45578</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45578</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45578</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45578</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45578</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45578</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45578</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45578</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45578</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45578</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45578</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45578</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45578</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45578</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45578</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45578</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45578</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45578</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45578</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45578</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45578</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45578</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45578</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45578</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45578</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45578</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45578</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45578</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45578</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45578</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45578</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45578</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45578</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45578</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45578</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45578</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45578</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45578</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45578</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45578</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45578</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45578</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45578</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45578</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45578</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45578</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45578</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45578</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45578</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45578</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45578</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45578</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45578</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45578</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45578</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45578</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45578</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45578</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45578</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45578</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45578</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45578</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45578</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45578</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45578</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45578</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45578</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45578</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45578</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45578</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45578</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45578</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45578</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45578</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45578</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45578</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45578</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45578</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45578</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45578</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c r="A940" t="inlineStr">
        <is>
          <t>A 43990-2024</t>
        </is>
      </c>
      <c r="B940" s="1" t="n">
        <v>45572</v>
      </c>
      <c r="C940" s="1" t="n">
        <v>45578</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2024-10-13T12:11:14Z</dcterms:created>
  <dcterms:modified xmlns:dcterms="http://purl.org/dc/terms/" xmlns:xsi="http://www.w3.org/2001/XMLSchema-instance" xsi:type="dcterms:W3CDTF">2024-10-13T12:11:15Z</dcterms:modified>
</cp:coreProperties>
</file>