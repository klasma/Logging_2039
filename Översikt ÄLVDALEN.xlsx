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45738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45738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45738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45738</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45738</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45738</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45738</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45738</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45738</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45738</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45738</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45738</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45738</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45738</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45738</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45738</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45738</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45738</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45738</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45738</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45738</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45738</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45738</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45738</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45738</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45738</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45738</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45738</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45738</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45738</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45738</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45738</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45738</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45738</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45738</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45738</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45738</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45738</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45738</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45738</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45738</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45738</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45738</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45738</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45738</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45738</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45738</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45738</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45738</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45738</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45738</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45738</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45738</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45738</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45738</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45738</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45738</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45738</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45738</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45738</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45738</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45738</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45738</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45738</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45738</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45738</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45738</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45738</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45738</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45738</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45738</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45738</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45738</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45738</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45738</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45738</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45738</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45738</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45738</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45738</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45738</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45738</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45738</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45738</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45738</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45738</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45738</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45738</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45738</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45738</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45738</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45738</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45738</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45738</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45738</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45738</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45738</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45738</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45738</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45738</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45738</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45738</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45738</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45738</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45738</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45738</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45738</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45738</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45738</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16638-2021</t>
        </is>
      </c>
      <c r="B111" s="1" t="n">
        <v>44284</v>
      </c>
      <c r="C111" s="1" t="n">
        <v>45738</v>
      </c>
      <c r="D111" t="inlineStr">
        <is>
          <t>DALARNAS LÄN</t>
        </is>
      </c>
      <c r="E111" t="inlineStr">
        <is>
          <t>ÄLVDALEN</t>
        </is>
      </c>
      <c r="G111" t="n">
        <v>11.5</v>
      </c>
      <c r="H111" t="n">
        <v>0</v>
      </c>
      <c r="I111" t="n">
        <v>0</v>
      </c>
      <c r="J111" t="n">
        <v>1</v>
      </c>
      <c r="K111" t="n">
        <v>1</v>
      </c>
      <c r="L111" t="n">
        <v>0</v>
      </c>
      <c r="M111" t="n">
        <v>0</v>
      </c>
      <c r="N111" t="n">
        <v>0</v>
      </c>
      <c r="O111" t="n">
        <v>2</v>
      </c>
      <c r="P111" t="n">
        <v>1</v>
      </c>
      <c r="Q111" t="n">
        <v>2</v>
      </c>
      <c r="R111" s="2" t="inlineStr">
        <is>
          <t>Sprickporing
Garnlav</t>
        </is>
      </c>
      <c r="S111">
        <f>HYPERLINK("https://klasma.github.io/Logging_2039/artfynd/A 16638-2021 artfynd.xlsx", "A 16638-2021")</f>
        <v/>
      </c>
      <c r="T111">
        <f>HYPERLINK("https://klasma.github.io/Logging_2039/kartor/A 16638-2021 karta.png", "A 16638-2021")</f>
        <v/>
      </c>
      <c r="V111">
        <f>HYPERLINK("https://klasma.github.io/Logging_2039/klagomål/A 16638-2021 FSC-klagomål.docx", "A 16638-2021")</f>
        <v/>
      </c>
      <c r="W111">
        <f>HYPERLINK("https://klasma.github.io/Logging_2039/klagomålsmail/A 16638-2021 FSC-klagomål mail.docx", "A 16638-2021")</f>
        <v/>
      </c>
      <c r="X111">
        <f>HYPERLINK("https://klasma.github.io/Logging_2039/tillsyn/A 16638-2021 tillsynsbegäran.docx", "A 16638-2021")</f>
        <v/>
      </c>
      <c r="Y111">
        <f>HYPERLINK("https://klasma.github.io/Logging_2039/tillsynsmail/A 16638-2021 tillsynsbegäran mail.docx", "A 16638-2021")</f>
        <v/>
      </c>
    </row>
    <row r="112" ht="15" customHeight="1">
      <c r="A112" t="inlineStr">
        <is>
          <t>A 30615-2021</t>
        </is>
      </c>
      <c r="B112" s="1" t="n">
        <v>44365</v>
      </c>
      <c r="C112" s="1" t="n">
        <v>45738</v>
      </c>
      <c r="D112" t="inlineStr">
        <is>
          <t>DALARNAS LÄN</t>
        </is>
      </c>
      <c r="E112" t="inlineStr">
        <is>
          <t>ÄLVDALEN</t>
        </is>
      </c>
      <c r="F112" t="inlineStr">
        <is>
          <t>Sveaskog</t>
        </is>
      </c>
      <c r="G112" t="n">
        <v>22.8</v>
      </c>
      <c r="H112" t="n">
        <v>0</v>
      </c>
      <c r="I112" t="n">
        <v>1</v>
      </c>
      <c r="J112" t="n">
        <v>0</v>
      </c>
      <c r="K112" t="n">
        <v>1</v>
      </c>
      <c r="L112" t="n">
        <v>0</v>
      </c>
      <c r="M112" t="n">
        <v>0</v>
      </c>
      <c r="N112" t="n">
        <v>0</v>
      </c>
      <c r="O112" t="n">
        <v>1</v>
      </c>
      <c r="P112" t="n">
        <v>1</v>
      </c>
      <c r="Q112" t="n">
        <v>2</v>
      </c>
      <c r="R112" s="2" t="inlineStr">
        <is>
          <t>Smalfotad taggsvamp
Dropptaggsvamp</t>
        </is>
      </c>
      <c r="S112">
        <f>HYPERLINK("https://klasma.github.io/Logging_2039/artfynd/A 30615-2021 artfynd.xlsx", "A 30615-2021")</f>
        <v/>
      </c>
      <c r="T112">
        <f>HYPERLINK("https://klasma.github.io/Logging_2039/kartor/A 30615-2021 karta.png", "A 30615-2021")</f>
        <v/>
      </c>
      <c r="V112">
        <f>HYPERLINK("https://klasma.github.io/Logging_2039/klagomål/A 30615-2021 FSC-klagomål.docx", "A 30615-2021")</f>
        <v/>
      </c>
      <c r="W112">
        <f>HYPERLINK("https://klasma.github.io/Logging_2039/klagomålsmail/A 30615-2021 FSC-klagomål mail.docx", "A 30615-2021")</f>
        <v/>
      </c>
      <c r="X112">
        <f>HYPERLINK("https://klasma.github.io/Logging_2039/tillsyn/A 30615-2021 tillsynsbegäran.docx", "A 30615-2021")</f>
        <v/>
      </c>
      <c r="Y112">
        <f>HYPERLINK("https://klasma.github.io/Logging_2039/tillsynsmail/A 30615-2021 tillsynsbegäran mail.docx", "A 30615-2021")</f>
        <v/>
      </c>
    </row>
    <row r="113" ht="15" customHeight="1">
      <c r="A113" t="inlineStr">
        <is>
          <t>A 40231-2021</t>
        </is>
      </c>
      <c r="B113" s="1" t="n">
        <v>44419</v>
      </c>
      <c r="C113" s="1" t="n">
        <v>45738</v>
      </c>
      <c r="D113" t="inlineStr">
        <is>
          <t>DALARNAS LÄN</t>
        </is>
      </c>
      <c r="E113" t="inlineStr">
        <is>
          <t>ÄLVDALEN</t>
        </is>
      </c>
      <c r="F113" t="inlineStr">
        <is>
          <t>Sveaskog</t>
        </is>
      </c>
      <c r="G113" t="n">
        <v>4.1</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40231-2021 artfynd.xlsx", "A 40231-2021")</f>
        <v/>
      </c>
      <c r="T113">
        <f>HYPERLINK("https://klasma.github.io/Logging_2039/kartor/A 40231-2021 karta.png", "A 40231-2021")</f>
        <v/>
      </c>
      <c r="V113">
        <f>HYPERLINK("https://klasma.github.io/Logging_2039/klagomål/A 40231-2021 FSC-klagomål.docx", "A 40231-2021")</f>
        <v/>
      </c>
      <c r="W113">
        <f>HYPERLINK("https://klasma.github.io/Logging_2039/klagomålsmail/A 40231-2021 FSC-klagomål mail.docx", "A 40231-2021")</f>
        <v/>
      </c>
      <c r="X113">
        <f>HYPERLINK("https://klasma.github.io/Logging_2039/tillsyn/A 40231-2021 tillsynsbegäran.docx", "A 40231-2021")</f>
        <v/>
      </c>
      <c r="Y113">
        <f>HYPERLINK("https://klasma.github.io/Logging_2039/tillsynsmail/A 40231-2021 tillsynsbegäran mail.docx", "A 40231-2021")</f>
        <v/>
      </c>
    </row>
    <row r="114" ht="15" customHeight="1">
      <c r="A114" t="inlineStr">
        <is>
          <t>A 44407-2021</t>
        </is>
      </c>
      <c r="B114" s="1" t="n">
        <v>44435</v>
      </c>
      <c r="C114" s="1" t="n">
        <v>45738</v>
      </c>
      <c r="D114" t="inlineStr">
        <is>
          <t>DALARNAS LÄN</t>
        </is>
      </c>
      <c r="E114" t="inlineStr">
        <is>
          <t>ÄLVDALEN</t>
        </is>
      </c>
      <c r="F114" t="inlineStr">
        <is>
          <t>Sveaskog</t>
        </is>
      </c>
      <c r="G114" t="n">
        <v>4.4</v>
      </c>
      <c r="H114" t="n">
        <v>0</v>
      </c>
      <c r="I114" t="n">
        <v>1</v>
      </c>
      <c r="J114" t="n">
        <v>1</v>
      </c>
      <c r="K114" t="n">
        <v>0</v>
      </c>
      <c r="L114" t="n">
        <v>0</v>
      </c>
      <c r="M114" t="n">
        <v>0</v>
      </c>
      <c r="N114" t="n">
        <v>0</v>
      </c>
      <c r="O114" t="n">
        <v>1</v>
      </c>
      <c r="P114" t="n">
        <v>0</v>
      </c>
      <c r="Q114" t="n">
        <v>2</v>
      </c>
      <c r="R114" s="2" t="inlineStr">
        <is>
          <t>Garnlav
Dropptaggsvamp</t>
        </is>
      </c>
      <c r="S114">
        <f>HYPERLINK("https://klasma.github.io/Logging_2039/artfynd/A 44407-2021 artfynd.xlsx", "A 44407-2021")</f>
        <v/>
      </c>
      <c r="T114">
        <f>HYPERLINK("https://klasma.github.io/Logging_2039/kartor/A 44407-2021 karta.png", "A 44407-2021")</f>
        <v/>
      </c>
      <c r="V114">
        <f>HYPERLINK("https://klasma.github.io/Logging_2039/klagomål/A 44407-2021 FSC-klagomål.docx", "A 44407-2021")</f>
        <v/>
      </c>
      <c r="W114">
        <f>HYPERLINK("https://klasma.github.io/Logging_2039/klagomålsmail/A 44407-2021 FSC-klagomål mail.docx", "A 44407-2021")</f>
        <v/>
      </c>
      <c r="X114">
        <f>HYPERLINK("https://klasma.github.io/Logging_2039/tillsyn/A 44407-2021 tillsynsbegäran.docx", "A 44407-2021")</f>
        <v/>
      </c>
      <c r="Y114">
        <f>HYPERLINK("https://klasma.github.io/Logging_2039/tillsynsmail/A 44407-2021 tillsynsbegäran mail.docx", "A 44407-2021")</f>
        <v/>
      </c>
    </row>
    <row r="115" ht="15" customHeight="1">
      <c r="A115" t="inlineStr">
        <is>
          <t>A 54632-2021</t>
        </is>
      </c>
      <c r="B115" s="1" t="n">
        <v>44473</v>
      </c>
      <c r="C115" s="1" t="n">
        <v>45738</v>
      </c>
      <c r="D115" t="inlineStr">
        <is>
          <t>DALARNAS LÄN</t>
        </is>
      </c>
      <c r="E115" t="inlineStr">
        <is>
          <t>ÄLVDALEN</t>
        </is>
      </c>
      <c r="G115" t="n">
        <v>4.8</v>
      </c>
      <c r="H115" t="n">
        <v>1</v>
      </c>
      <c r="I115" t="n">
        <v>0</v>
      </c>
      <c r="J115" t="n">
        <v>2</v>
      </c>
      <c r="K115" t="n">
        <v>0</v>
      </c>
      <c r="L115" t="n">
        <v>0</v>
      </c>
      <c r="M115" t="n">
        <v>0</v>
      </c>
      <c r="N115" t="n">
        <v>0</v>
      </c>
      <c r="O115" t="n">
        <v>2</v>
      </c>
      <c r="P115" t="n">
        <v>0</v>
      </c>
      <c r="Q115" t="n">
        <v>2</v>
      </c>
      <c r="R115" s="2" t="inlineStr">
        <is>
          <t>Varglav
Vedflamlav</t>
        </is>
      </c>
      <c r="S115">
        <f>HYPERLINK("https://klasma.github.io/Logging_2039/artfynd/A 54632-2021 artfynd.xlsx", "A 54632-2021")</f>
        <v/>
      </c>
      <c r="T115">
        <f>HYPERLINK("https://klasma.github.io/Logging_2039/kartor/A 54632-2021 karta.png", "A 54632-2021")</f>
        <v/>
      </c>
      <c r="V115">
        <f>HYPERLINK("https://klasma.github.io/Logging_2039/klagomål/A 54632-2021 FSC-klagomål.docx", "A 54632-2021")</f>
        <v/>
      </c>
      <c r="W115">
        <f>HYPERLINK("https://klasma.github.io/Logging_2039/klagomålsmail/A 54632-2021 FSC-klagomål mail.docx", "A 54632-2021")</f>
        <v/>
      </c>
      <c r="X115">
        <f>HYPERLINK("https://klasma.github.io/Logging_2039/tillsyn/A 54632-2021 tillsynsbegäran.docx", "A 54632-2021")</f>
        <v/>
      </c>
      <c r="Y115">
        <f>HYPERLINK("https://klasma.github.io/Logging_2039/tillsynsmail/A 54632-2021 tillsynsbegäran mail.docx", "A 54632-2021")</f>
        <v/>
      </c>
    </row>
    <row r="116" ht="15" customHeight="1">
      <c r="A116" t="inlineStr">
        <is>
          <t>A 67709-2021</t>
        </is>
      </c>
      <c r="B116" s="1" t="n">
        <v>44525</v>
      </c>
      <c r="C116" s="1" t="n">
        <v>45738</v>
      </c>
      <c r="D116" t="inlineStr">
        <is>
          <t>DALARNAS LÄN</t>
        </is>
      </c>
      <c r="E116" t="inlineStr">
        <is>
          <t>ÄLVDALEN</t>
        </is>
      </c>
      <c r="F116" t="inlineStr">
        <is>
          <t>Sveaskog</t>
        </is>
      </c>
      <c r="G116" t="n">
        <v>4.4</v>
      </c>
      <c r="H116" t="n">
        <v>0</v>
      </c>
      <c r="I116" t="n">
        <v>2</v>
      </c>
      <c r="J116" t="n">
        <v>0</v>
      </c>
      <c r="K116" t="n">
        <v>0</v>
      </c>
      <c r="L116" t="n">
        <v>0</v>
      </c>
      <c r="M116" t="n">
        <v>0</v>
      </c>
      <c r="N116" t="n">
        <v>0</v>
      </c>
      <c r="O116" t="n">
        <v>0</v>
      </c>
      <c r="P116" t="n">
        <v>0</v>
      </c>
      <c r="Q116" t="n">
        <v>2</v>
      </c>
      <c r="R116" s="2" t="inlineStr">
        <is>
          <t>Dropptaggsvamp
Skarp dropptaggsvamp</t>
        </is>
      </c>
      <c r="S116">
        <f>HYPERLINK("https://klasma.github.io/Logging_2039/artfynd/A 67709-2021 artfynd.xlsx", "A 67709-2021")</f>
        <v/>
      </c>
      <c r="T116">
        <f>HYPERLINK("https://klasma.github.io/Logging_2039/kartor/A 67709-2021 karta.png", "A 67709-2021")</f>
        <v/>
      </c>
      <c r="V116">
        <f>HYPERLINK("https://klasma.github.io/Logging_2039/klagomål/A 67709-2021 FSC-klagomål.docx", "A 67709-2021")</f>
        <v/>
      </c>
      <c r="W116">
        <f>HYPERLINK("https://klasma.github.io/Logging_2039/klagomålsmail/A 67709-2021 FSC-klagomål mail.docx", "A 67709-2021")</f>
        <v/>
      </c>
      <c r="X116">
        <f>HYPERLINK("https://klasma.github.io/Logging_2039/tillsyn/A 67709-2021 tillsynsbegäran.docx", "A 67709-2021")</f>
        <v/>
      </c>
      <c r="Y116">
        <f>HYPERLINK("https://klasma.github.io/Logging_2039/tillsynsmail/A 67709-2021 tillsynsbegäran mail.docx", "A 67709-2021")</f>
        <v/>
      </c>
    </row>
    <row r="117" ht="15" customHeight="1">
      <c r="A117" t="inlineStr">
        <is>
          <t>A 69726-2021</t>
        </is>
      </c>
      <c r="B117" s="1" t="n">
        <v>44532</v>
      </c>
      <c r="C117" s="1" t="n">
        <v>45738</v>
      </c>
      <c r="D117" t="inlineStr">
        <is>
          <t>DALARNAS LÄN</t>
        </is>
      </c>
      <c r="E117" t="inlineStr">
        <is>
          <t>ÄLVDALEN</t>
        </is>
      </c>
      <c r="F117" t="inlineStr">
        <is>
          <t>Sveaskog</t>
        </is>
      </c>
      <c r="G117" t="n">
        <v>7.2</v>
      </c>
      <c r="H117" t="n">
        <v>0</v>
      </c>
      <c r="I117" t="n">
        <v>1</v>
      </c>
      <c r="J117" t="n">
        <v>1</v>
      </c>
      <c r="K117" t="n">
        <v>0</v>
      </c>
      <c r="L117" t="n">
        <v>0</v>
      </c>
      <c r="M117" t="n">
        <v>0</v>
      </c>
      <c r="N117" t="n">
        <v>0</v>
      </c>
      <c r="O117" t="n">
        <v>1</v>
      </c>
      <c r="P117" t="n">
        <v>0</v>
      </c>
      <c r="Q117" t="n">
        <v>2</v>
      </c>
      <c r="R117" s="2" t="inlineStr">
        <is>
          <t>Garnlav
Dropptaggsvamp</t>
        </is>
      </c>
      <c r="S117">
        <f>HYPERLINK("https://klasma.github.io/Logging_2039/artfynd/A 69726-2021 artfynd.xlsx", "A 69726-2021")</f>
        <v/>
      </c>
      <c r="T117">
        <f>HYPERLINK("https://klasma.github.io/Logging_2039/kartor/A 69726-2021 karta.png", "A 69726-2021")</f>
        <v/>
      </c>
      <c r="V117">
        <f>HYPERLINK("https://klasma.github.io/Logging_2039/klagomål/A 69726-2021 FSC-klagomål.docx", "A 69726-2021")</f>
        <v/>
      </c>
      <c r="W117">
        <f>HYPERLINK("https://klasma.github.io/Logging_2039/klagomålsmail/A 69726-2021 FSC-klagomål mail.docx", "A 69726-2021")</f>
        <v/>
      </c>
      <c r="X117">
        <f>HYPERLINK("https://klasma.github.io/Logging_2039/tillsyn/A 69726-2021 tillsynsbegäran.docx", "A 69726-2021")</f>
        <v/>
      </c>
      <c r="Y117">
        <f>HYPERLINK("https://klasma.github.io/Logging_2039/tillsynsmail/A 69726-2021 tillsynsbegäran mail.docx", "A 69726-2021")</f>
        <v/>
      </c>
    </row>
    <row r="118" ht="15" customHeight="1">
      <c r="A118" t="inlineStr">
        <is>
          <t>A 21629-2022</t>
        </is>
      </c>
      <c r="B118" s="1" t="n">
        <v>44706</v>
      </c>
      <c r="C118" s="1" t="n">
        <v>45738</v>
      </c>
      <c r="D118" t="inlineStr">
        <is>
          <t>DALARNAS LÄN</t>
        </is>
      </c>
      <c r="E118" t="inlineStr">
        <is>
          <t>ÄLVDALEN</t>
        </is>
      </c>
      <c r="F118" t="inlineStr">
        <is>
          <t>Övriga statliga verk och myndigheter</t>
        </is>
      </c>
      <c r="G118" t="n">
        <v>19.2</v>
      </c>
      <c r="H118" t="n">
        <v>0</v>
      </c>
      <c r="I118" t="n">
        <v>1</v>
      </c>
      <c r="J118" t="n">
        <v>1</v>
      </c>
      <c r="K118" t="n">
        <v>0</v>
      </c>
      <c r="L118" t="n">
        <v>0</v>
      </c>
      <c r="M118" t="n">
        <v>0</v>
      </c>
      <c r="N118" t="n">
        <v>0</v>
      </c>
      <c r="O118" t="n">
        <v>1</v>
      </c>
      <c r="P118" t="n">
        <v>0</v>
      </c>
      <c r="Q118" t="n">
        <v>2</v>
      </c>
      <c r="R118" s="2" t="inlineStr">
        <is>
          <t>Vitgrynig nållav
Kransrams</t>
        </is>
      </c>
      <c r="S118">
        <f>HYPERLINK("https://klasma.github.io/Logging_2039/artfynd/A 21629-2022 artfynd.xlsx", "A 21629-2022")</f>
        <v/>
      </c>
      <c r="T118">
        <f>HYPERLINK("https://klasma.github.io/Logging_2039/kartor/A 21629-2022 karta.png", "A 21629-2022")</f>
        <v/>
      </c>
      <c r="V118">
        <f>HYPERLINK("https://klasma.github.io/Logging_2039/klagomål/A 21629-2022 FSC-klagomål.docx", "A 21629-2022")</f>
        <v/>
      </c>
      <c r="W118">
        <f>HYPERLINK("https://klasma.github.io/Logging_2039/klagomålsmail/A 21629-2022 FSC-klagomål mail.docx", "A 21629-2022")</f>
        <v/>
      </c>
      <c r="X118">
        <f>HYPERLINK("https://klasma.github.io/Logging_2039/tillsyn/A 21629-2022 tillsynsbegäran.docx", "A 21629-2022")</f>
        <v/>
      </c>
      <c r="Y118">
        <f>HYPERLINK("https://klasma.github.io/Logging_2039/tillsynsmail/A 21629-2022 tillsynsbegäran mail.docx", "A 21629-2022")</f>
        <v/>
      </c>
    </row>
    <row r="119" ht="15" customHeight="1">
      <c r="A119" t="inlineStr">
        <is>
          <t>A 50242-2022</t>
        </is>
      </c>
      <c r="B119" s="1" t="n">
        <v>44865</v>
      </c>
      <c r="C119" s="1" t="n">
        <v>45738</v>
      </c>
      <c r="D119" t="inlineStr">
        <is>
          <t>DALARNAS LÄN</t>
        </is>
      </c>
      <c r="E119" t="inlineStr">
        <is>
          <t>ÄLVDALEN</t>
        </is>
      </c>
      <c r="F119" t="inlineStr">
        <is>
          <t>Sveaskog</t>
        </is>
      </c>
      <c r="G119" t="n">
        <v>10.7</v>
      </c>
      <c r="H119" t="n">
        <v>0</v>
      </c>
      <c r="I119" t="n">
        <v>1</v>
      </c>
      <c r="J119" t="n">
        <v>1</v>
      </c>
      <c r="K119" t="n">
        <v>0</v>
      </c>
      <c r="L119" t="n">
        <v>0</v>
      </c>
      <c r="M119" t="n">
        <v>0</v>
      </c>
      <c r="N119" t="n">
        <v>0</v>
      </c>
      <c r="O119" t="n">
        <v>1</v>
      </c>
      <c r="P119" t="n">
        <v>0</v>
      </c>
      <c r="Q119" t="n">
        <v>2</v>
      </c>
      <c r="R119" s="2" t="inlineStr">
        <is>
          <t>Kolflarnlav
Dropptaggsvamp</t>
        </is>
      </c>
      <c r="S119">
        <f>HYPERLINK("https://klasma.github.io/Logging_2039/artfynd/A 50242-2022 artfynd.xlsx", "A 50242-2022")</f>
        <v/>
      </c>
      <c r="T119">
        <f>HYPERLINK("https://klasma.github.io/Logging_2039/kartor/A 50242-2022 karta.png", "A 50242-2022")</f>
        <v/>
      </c>
      <c r="V119">
        <f>HYPERLINK("https://klasma.github.io/Logging_2039/klagomål/A 50242-2022 FSC-klagomål.docx", "A 50242-2022")</f>
        <v/>
      </c>
      <c r="W119">
        <f>HYPERLINK("https://klasma.github.io/Logging_2039/klagomålsmail/A 50242-2022 FSC-klagomål mail.docx", "A 50242-2022")</f>
        <v/>
      </c>
      <c r="X119">
        <f>HYPERLINK("https://klasma.github.io/Logging_2039/tillsyn/A 50242-2022 tillsynsbegäran.docx", "A 50242-2022")</f>
        <v/>
      </c>
      <c r="Y119">
        <f>HYPERLINK("https://klasma.github.io/Logging_2039/tillsynsmail/A 50242-2022 tillsynsbegäran mail.docx", "A 50242-2022")</f>
        <v/>
      </c>
    </row>
    <row r="120" ht="15" customHeight="1">
      <c r="A120" t="inlineStr">
        <is>
          <t>A 52490-2022</t>
        </is>
      </c>
      <c r="B120" s="1" t="n">
        <v>44874</v>
      </c>
      <c r="C120" s="1" t="n">
        <v>45738</v>
      </c>
      <c r="D120" t="inlineStr">
        <is>
          <t>DALARNAS LÄN</t>
        </is>
      </c>
      <c r="E120" t="inlineStr">
        <is>
          <t>ÄLVDALEN</t>
        </is>
      </c>
      <c r="G120" t="n">
        <v>4.3</v>
      </c>
      <c r="H120" t="n">
        <v>0</v>
      </c>
      <c r="I120" t="n">
        <v>1</v>
      </c>
      <c r="J120" t="n">
        <v>1</v>
      </c>
      <c r="K120" t="n">
        <v>0</v>
      </c>
      <c r="L120" t="n">
        <v>0</v>
      </c>
      <c r="M120" t="n">
        <v>0</v>
      </c>
      <c r="N120" t="n">
        <v>0</v>
      </c>
      <c r="O120" t="n">
        <v>1</v>
      </c>
      <c r="P120" t="n">
        <v>0</v>
      </c>
      <c r="Q120" t="n">
        <v>2</v>
      </c>
      <c r="R120" s="2" t="inlineStr">
        <is>
          <t>Garnlav
Dropptaggsvamp</t>
        </is>
      </c>
      <c r="S120">
        <f>HYPERLINK("https://klasma.github.io/Logging_2039/artfynd/A 52490-2022 artfynd.xlsx", "A 52490-2022")</f>
        <v/>
      </c>
      <c r="T120">
        <f>HYPERLINK("https://klasma.github.io/Logging_2039/kartor/A 52490-2022 karta.png", "A 52490-2022")</f>
        <v/>
      </c>
      <c r="V120">
        <f>HYPERLINK("https://klasma.github.io/Logging_2039/klagomål/A 52490-2022 FSC-klagomål.docx", "A 52490-2022")</f>
        <v/>
      </c>
      <c r="W120">
        <f>HYPERLINK("https://klasma.github.io/Logging_2039/klagomålsmail/A 52490-2022 FSC-klagomål mail.docx", "A 52490-2022")</f>
        <v/>
      </c>
      <c r="X120">
        <f>HYPERLINK("https://klasma.github.io/Logging_2039/tillsyn/A 52490-2022 tillsynsbegäran.docx", "A 52490-2022")</f>
        <v/>
      </c>
      <c r="Y120">
        <f>HYPERLINK("https://klasma.github.io/Logging_2039/tillsynsmail/A 52490-2022 tillsynsbegäran mail.docx", "A 52490-2022")</f>
        <v/>
      </c>
    </row>
    <row r="121" ht="15" customHeight="1">
      <c r="A121" t="inlineStr">
        <is>
          <t>A 21857-2023</t>
        </is>
      </c>
      <c r="B121" s="1" t="n">
        <v>45068</v>
      </c>
      <c r="C121" s="1" t="n">
        <v>45738</v>
      </c>
      <c r="D121" t="inlineStr">
        <is>
          <t>DALARNAS LÄN</t>
        </is>
      </c>
      <c r="E121" t="inlineStr">
        <is>
          <t>ÄLVDALEN</t>
        </is>
      </c>
      <c r="F121" t="inlineStr">
        <is>
          <t>Allmännings- och besparingsskogar</t>
        </is>
      </c>
      <c r="G121" t="n">
        <v>25.2</v>
      </c>
      <c r="H121" t="n">
        <v>1</v>
      </c>
      <c r="I121" t="n">
        <v>0</v>
      </c>
      <c r="J121" t="n">
        <v>2</v>
      </c>
      <c r="K121" t="n">
        <v>0</v>
      </c>
      <c r="L121" t="n">
        <v>0</v>
      </c>
      <c r="M121" t="n">
        <v>0</v>
      </c>
      <c r="N121" t="n">
        <v>0</v>
      </c>
      <c r="O121" t="n">
        <v>2</v>
      </c>
      <c r="P121" t="n">
        <v>0</v>
      </c>
      <c r="Q121" t="n">
        <v>2</v>
      </c>
      <c r="R121" s="2" t="inlineStr">
        <is>
          <t>Svartvit flugsnappare
Vedflamlav</t>
        </is>
      </c>
      <c r="S121">
        <f>HYPERLINK("https://klasma.github.io/Logging_2039/artfynd/A 21857-2023 artfynd.xlsx", "A 21857-2023")</f>
        <v/>
      </c>
      <c r="T121">
        <f>HYPERLINK("https://klasma.github.io/Logging_2039/kartor/A 21857-2023 karta.png", "A 21857-2023")</f>
        <v/>
      </c>
      <c r="V121">
        <f>HYPERLINK("https://klasma.github.io/Logging_2039/klagomål/A 21857-2023 FSC-klagomål.docx", "A 21857-2023")</f>
        <v/>
      </c>
      <c r="W121">
        <f>HYPERLINK("https://klasma.github.io/Logging_2039/klagomålsmail/A 21857-2023 FSC-klagomål mail.docx", "A 21857-2023")</f>
        <v/>
      </c>
      <c r="X121">
        <f>HYPERLINK("https://klasma.github.io/Logging_2039/tillsyn/A 21857-2023 tillsynsbegäran.docx", "A 21857-2023")</f>
        <v/>
      </c>
      <c r="Y121">
        <f>HYPERLINK("https://klasma.github.io/Logging_2039/tillsynsmail/A 21857-2023 tillsynsbegäran mail.docx", "A 21857-2023")</f>
        <v/>
      </c>
      <c r="Z121">
        <f>HYPERLINK("https://klasma.github.io/Logging_2039/fåglar/A 21857-2023 prioriterade fågelarter.docx", "A 21857-2023")</f>
        <v/>
      </c>
    </row>
    <row r="122" ht="15" customHeight="1">
      <c r="A122" t="inlineStr">
        <is>
          <t>A 27967-2023</t>
        </is>
      </c>
      <c r="B122" s="1" t="n">
        <v>45098</v>
      </c>
      <c r="C122" s="1" t="n">
        <v>45738</v>
      </c>
      <c r="D122" t="inlineStr">
        <is>
          <t>DALARNAS LÄN</t>
        </is>
      </c>
      <c r="E122" t="inlineStr">
        <is>
          <t>ÄLVDALEN</t>
        </is>
      </c>
      <c r="F122" t="inlineStr">
        <is>
          <t>Sveaskog</t>
        </is>
      </c>
      <c r="G122" t="n">
        <v>1.9</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HYPERLINK("https://klasma.github.io/Logging_2039/artfynd/A 27967-2023 artfynd.xlsx", "A 27967-2023")</f>
        <v/>
      </c>
      <c r="T122">
        <f>HYPERLINK("https://klasma.github.io/Logging_2039/kartor/A 27967-2023 karta.png", "A 27967-2023")</f>
        <v/>
      </c>
      <c r="V122">
        <f>HYPERLINK("https://klasma.github.io/Logging_2039/klagomål/A 27967-2023 FSC-klagomål.docx", "A 27967-2023")</f>
        <v/>
      </c>
      <c r="W122">
        <f>HYPERLINK("https://klasma.github.io/Logging_2039/klagomålsmail/A 27967-2023 FSC-klagomål mail.docx", "A 27967-2023")</f>
        <v/>
      </c>
      <c r="X122">
        <f>HYPERLINK("https://klasma.github.io/Logging_2039/tillsyn/A 27967-2023 tillsynsbegäran.docx", "A 27967-2023")</f>
        <v/>
      </c>
      <c r="Y122">
        <f>HYPERLINK("https://klasma.github.io/Logging_2039/tillsynsmail/A 27967-2023 tillsynsbegäran mail.docx", "A 27967-2023")</f>
        <v/>
      </c>
    </row>
    <row r="123" ht="15" customHeight="1">
      <c r="A123" t="inlineStr">
        <is>
          <t>A 33894-2023</t>
        </is>
      </c>
      <c r="B123" s="1" t="n">
        <v>45121</v>
      </c>
      <c r="C123" s="1" t="n">
        <v>45738</v>
      </c>
      <c r="D123" t="inlineStr">
        <is>
          <t>DALARNAS LÄN</t>
        </is>
      </c>
      <c r="E123" t="inlineStr">
        <is>
          <t>ÄLVDALEN</t>
        </is>
      </c>
      <c r="F123" t="inlineStr">
        <is>
          <t>Sveaskog</t>
        </is>
      </c>
      <c r="G123" t="n">
        <v>3</v>
      </c>
      <c r="H123" t="n">
        <v>0</v>
      </c>
      <c r="I123" t="n">
        <v>2</v>
      </c>
      <c r="J123" t="n">
        <v>0</v>
      </c>
      <c r="K123" t="n">
        <v>0</v>
      </c>
      <c r="L123" t="n">
        <v>0</v>
      </c>
      <c r="M123" t="n">
        <v>0</v>
      </c>
      <c r="N123" t="n">
        <v>0</v>
      </c>
      <c r="O123" t="n">
        <v>0</v>
      </c>
      <c r="P123" t="n">
        <v>0</v>
      </c>
      <c r="Q123" t="n">
        <v>2</v>
      </c>
      <c r="R123" s="2" t="inlineStr">
        <is>
          <t>Dropptaggsvamp
Skarp dropptaggsvamp</t>
        </is>
      </c>
      <c r="S123">
        <f>HYPERLINK("https://klasma.github.io/Logging_2039/artfynd/A 33894-2023 artfynd.xlsx", "A 33894-2023")</f>
        <v/>
      </c>
      <c r="T123">
        <f>HYPERLINK("https://klasma.github.io/Logging_2039/kartor/A 33894-2023 karta.png", "A 33894-2023")</f>
        <v/>
      </c>
      <c r="V123">
        <f>HYPERLINK("https://klasma.github.io/Logging_2039/klagomål/A 33894-2023 FSC-klagomål.docx", "A 33894-2023")</f>
        <v/>
      </c>
      <c r="W123">
        <f>HYPERLINK("https://klasma.github.io/Logging_2039/klagomålsmail/A 33894-2023 FSC-klagomål mail.docx", "A 33894-2023")</f>
        <v/>
      </c>
      <c r="X123">
        <f>HYPERLINK("https://klasma.github.io/Logging_2039/tillsyn/A 33894-2023 tillsynsbegäran.docx", "A 33894-2023")</f>
        <v/>
      </c>
      <c r="Y123">
        <f>HYPERLINK("https://klasma.github.io/Logging_2039/tillsynsmail/A 33894-2023 tillsynsbegäran mail.docx", "A 33894-2023")</f>
        <v/>
      </c>
    </row>
    <row r="124" ht="15" customHeight="1">
      <c r="A124" t="inlineStr">
        <is>
          <t>A 35184-2023</t>
        </is>
      </c>
      <c r="B124" s="1" t="n">
        <v>45145</v>
      </c>
      <c r="C124" s="1" t="n">
        <v>45738</v>
      </c>
      <c r="D124" t="inlineStr">
        <is>
          <t>DALARNAS LÄN</t>
        </is>
      </c>
      <c r="E124" t="inlineStr">
        <is>
          <t>ÄLVDALEN</t>
        </is>
      </c>
      <c r="F124" t="inlineStr">
        <is>
          <t>Sveaskog</t>
        </is>
      </c>
      <c r="G124" t="n">
        <v>1.7</v>
      </c>
      <c r="H124" t="n">
        <v>0</v>
      </c>
      <c r="I124" t="n">
        <v>0</v>
      </c>
      <c r="J124" t="n">
        <v>2</v>
      </c>
      <c r="K124" t="n">
        <v>0</v>
      </c>
      <c r="L124" t="n">
        <v>0</v>
      </c>
      <c r="M124" t="n">
        <v>0</v>
      </c>
      <c r="N124" t="n">
        <v>0</v>
      </c>
      <c r="O124" t="n">
        <v>2</v>
      </c>
      <c r="P124" t="n">
        <v>0</v>
      </c>
      <c r="Q124" t="n">
        <v>2</v>
      </c>
      <c r="R124" s="2" t="inlineStr">
        <is>
          <t>Blanksvart spiklav
Kolflarnlav</t>
        </is>
      </c>
      <c r="S124">
        <f>HYPERLINK("https://klasma.github.io/Logging_2039/artfynd/A 35184-2023 artfynd.xlsx", "A 35184-2023")</f>
        <v/>
      </c>
      <c r="T124">
        <f>HYPERLINK("https://klasma.github.io/Logging_2039/kartor/A 35184-2023 karta.png", "A 35184-2023")</f>
        <v/>
      </c>
      <c r="V124">
        <f>HYPERLINK("https://klasma.github.io/Logging_2039/klagomål/A 35184-2023 FSC-klagomål.docx", "A 35184-2023")</f>
        <v/>
      </c>
      <c r="W124">
        <f>HYPERLINK("https://klasma.github.io/Logging_2039/klagomålsmail/A 35184-2023 FSC-klagomål mail.docx", "A 35184-2023")</f>
        <v/>
      </c>
      <c r="X124">
        <f>HYPERLINK("https://klasma.github.io/Logging_2039/tillsyn/A 35184-2023 tillsynsbegäran.docx", "A 35184-2023")</f>
        <v/>
      </c>
      <c r="Y124">
        <f>HYPERLINK("https://klasma.github.io/Logging_2039/tillsynsmail/A 35184-2023 tillsynsbegäran mail.docx", "A 35184-2023")</f>
        <v/>
      </c>
    </row>
    <row r="125" ht="15" customHeight="1">
      <c r="A125" t="inlineStr">
        <is>
          <t>A 37664-2023</t>
        </is>
      </c>
      <c r="B125" s="1" t="n">
        <v>45159</v>
      </c>
      <c r="C125" s="1" t="n">
        <v>45738</v>
      </c>
      <c r="D125" t="inlineStr">
        <is>
          <t>DALARNAS LÄN</t>
        </is>
      </c>
      <c r="E125" t="inlineStr">
        <is>
          <t>ÄLVDALEN</t>
        </is>
      </c>
      <c r="F125" t="inlineStr">
        <is>
          <t>Allmännings- och besparingsskogar</t>
        </is>
      </c>
      <c r="G125" t="n">
        <v>0.6</v>
      </c>
      <c r="H125" t="n">
        <v>0</v>
      </c>
      <c r="I125" t="n">
        <v>1</v>
      </c>
      <c r="J125" t="n">
        <v>1</v>
      </c>
      <c r="K125" t="n">
        <v>0</v>
      </c>
      <c r="L125" t="n">
        <v>0</v>
      </c>
      <c r="M125" t="n">
        <v>0</v>
      </c>
      <c r="N125" t="n">
        <v>0</v>
      </c>
      <c r="O125" t="n">
        <v>1</v>
      </c>
      <c r="P125" t="n">
        <v>0</v>
      </c>
      <c r="Q125" t="n">
        <v>2</v>
      </c>
      <c r="R125" s="2" t="inlineStr">
        <is>
          <t>Vaddporing
Mindre märgborre</t>
        </is>
      </c>
      <c r="S125">
        <f>HYPERLINK("https://klasma.github.io/Logging_2039/artfynd/A 37664-2023 artfynd.xlsx", "A 37664-2023")</f>
        <v/>
      </c>
      <c r="T125">
        <f>HYPERLINK("https://klasma.github.io/Logging_2039/kartor/A 37664-2023 karta.png", "A 37664-2023")</f>
        <v/>
      </c>
      <c r="V125">
        <f>HYPERLINK("https://klasma.github.io/Logging_2039/klagomål/A 37664-2023 FSC-klagomål.docx", "A 37664-2023")</f>
        <v/>
      </c>
      <c r="W125">
        <f>HYPERLINK("https://klasma.github.io/Logging_2039/klagomålsmail/A 37664-2023 FSC-klagomål mail.docx", "A 37664-2023")</f>
        <v/>
      </c>
      <c r="X125">
        <f>HYPERLINK("https://klasma.github.io/Logging_2039/tillsyn/A 37664-2023 tillsynsbegäran.docx", "A 37664-2023")</f>
        <v/>
      </c>
      <c r="Y125">
        <f>HYPERLINK("https://klasma.github.io/Logging_2039/tillsynsmail/A 37664-2023 tillsynsbegäran mail.docx", "A 37664-2023")</f>
        <v/>
      </c>
    </row>
    <row r="126" ht="15" customHeight="1">
      <c r="A126" t="inlineStr">
        <is>
          <t>A 42848-2023</t>
        </is>
      </c>
      <c r="B126" s="1" t="n">
        <v>45182</v>
      </c>
      <c r="C126" s="1" t="n">
        <v>45738</v>
      </c>
      <c r="D126" t="inlineStr">
        <is>
          <t>DALARNAS LÄN</t>
        </is>
      </c>
      <c r="E126" t="inlineStr">
        <is>
          <t>ÄLVDALEN</t>
        </is>
      </c>
      <c r="F126" t="inlineStr">
        <is>
          <t>Allmännings- och besparingsskogar</t>
        </is>
      </c>
      <c r="G126" t="n">
        <v>1.9</v>
      </c>
      <c r="H126" t="n">
        <v>0</v>
      </c>
      <c r="I126" t="n">
        <v>1</v>
      </c>
      <c r="J126" t="n">
        <v>1</v>
      </c>
      <c r="K126" t="n">
        <v>0</v>
      </c>
      <c r="L126" t="n">
        <v>0</v>
      </c>
      <c r="M126" t="n">
        <v>0</v>
      </c>
      <c r="N126" t="n">
        <v>0</v>
      </c>
      <c r="O126" t="n">
        <v>1</v>
      </c>
      <c r="P126" t="n">
        <v>0</v>
      </c>
      <c r="Q126" t="n">
        <v>2</v>
      </c>
      <c r="R126" s="2" t="inlineStr">
        <is>
          <t>Blå taggsvamp
Dropptaggsvamp</t>
        </is>
      </c>
      <c r="S126">
        <f>HYPERLINK("https://klasma.github.io/Logging_2039/artfynd/A 42848-2023 artfynd.xlsx", "A 42848-2023")</f>
        <v/>
      </c>
      <c r="T126">
        <f>HYPERLINK("https://klasma.github.io/Logging_2039/kartor/A 42848-2023 karta.png", "A 42848-2023")</f>
        <v/>
      </c>
      <c r="V126">
        <f>HYPERLINK("https://klasma.github.io/Logging_2039/klagomål/A 42848-2023 FSC-klagomål.docx", "A 42848-2023")</f>
        <v/>
      </c>
      <c r="W126">
        <f>HYPERLINK("https://klasma.github.io/Logging_2039/klagomålsmail/A 42848-2023 FSC-klagomål mail.docx", "A 42848-2023")</f>
        <v/>
      </c>
      <c r="X126">
        <f>HYPERLINK("https://klasma.github.io/Logging_2039/tillsyn/A 42848-2023 tillsynsbegäran.docx", "A 42848-2023")</f>
        <v/>
      </c>
      <c r="Y126">
        <f>HYPERLINK("https://klasma.github.io/Logging_2039/tillsynsmail/A 42848-2023 tillsynsbegäran mail.docx", "A 42848-2023")</f>
        <v/>
      </c>
    </row>
    <row r="127" ht="15" customHeight="1">
      <c r="A127" t="inlineStr">
        <is>
          <t>A 9079-2024</t>
        </is>
      </c>
      <c r="B127" s="1" t="n">
        <v>45357</v>
      </c>
      <c r="C127" s="1" t="n">
        <v>45738</v>
      </c>
      <c r="D127" t="inlineStr">
        <is>
          <t>DALARNAS LÄN</t>
        </is>
      </c>
      <c r="E127" t="inlineStr">
        <is>
          <t>ÄLVDALEN</t>
        </is>
      </c>
      <c r="F127" t="inlineStr">
        <is>
          <t>Övriga Aktiebolag</t>
        </is>
      </c>
      <c r="G127" t="n">
        <v>15.2</v>
      </c>
      <c r="H127" t="n">
        <v>1</v>
      </c>
      <c r="I127" t="n">
        <v>0</v>
      </c>
      <c r="J127" t="n">
        <v>1</v>
      </c>
      <c r="K127" t="n">
        <v>0</v>
      </c>
      <c r="L127" t="n">
        <v>0</v>
      </c>
      <c r="M127" t="n">
        <v>0</v>
      </c>
      <c r="N127" t="n">
        <v>0</v>
      </c>
      <c r="O127" t="n">
        <v>1</v>
      </c>
      <c r="P127" t="n">
        <v>0</v>
      </c>
      <c r="Q127" t="n">
        <v>2</v>
      </c>
      <c r="R127" s="2" t="inlineStr">
        <is>
          <t>Kortskaftad ärgspik
Fläcknycklar</t>
        </is>
      </c>
      <c r="S127">
        <f>HYPERLINK("https://klasma.github.io/Logging_2039/artfynd/A 9079-2024 artfynd.xlsx", "A 9079-2024")</f>
        <v/>
      </c>
      <c r="T127">
        <f>HYPERLINK("https://klasma.github.io/Logging_2039/kartor/A 9079-2024 karta.png", "A 9079-2024")</f>
        <v/>
      </c>
      <c r="V127">
        <f>HYPERLINK("https://klasma.github.io/Logging_2039/klagomål/A 9079-2024 FSC-klagomål.docx", "A 9079-2024")</f>
        <v/>
      </c>
      <c r="W127">
        <f>HYPERLINK("https://klasma.github.io/Logging_2039/klagomålsmail/A 9079-2024 FSC-klagomål mail.docx", "A 9079-2024")</f>
        <v/>
      </c>
      <c r="X127">
        <f>HYPERLINK("https://klasma.github.io/Logging_2039/tillsyn/A 9079-2024 tillsynsbegäran.docx", "A 9079-2024")</f>
        <v/>
      </c>
      <c r="Y127">
        <f>HYPERLINK("https://klasma.github.io/Logging_2039/tillsynsmail/A 9079-2024 tillsynsbegäran mail.docx", "A 9079-2024")</f>
        <v/>
      </c>
    </row>
    <row r="128" ht="15" customHeight="1">
      <c r="A128" t="inlineStr">
        <is>
          <t>A 19612-2024</t>
        </is>
      </c>
      <c r="B128" s="1" t="n">
        <v>45432</v>
      </c>
      <c r="C128" s="1" t="n">
        <v>45738</v>
      </c>
      <c r="D128" t="inlineStr">
        <is>
          <t>DALARNAS LÄN</t>
        </is>
      </c>
      <c r="E128" t="inlineStr">
        <is>
          <t>ÄLVDALEN</t>
        </is>
      </c>
      <c r="F128" t="inlineStr">
        <is>
          <t>Sveaskog</t>
        </is>
      </c>
      <c r="G128" t="n">
        <v>3.1</v>
      </c>
      <c r="H128" t="n">
        <v>0</v>
      </c>
      <c r="I128" t="n">
        <v>0</v>
      </c>
      <c r="J128" t="n">
        <v>2</v>
      </c>
      <c r="K128" t="n">
        <v>0</v>
      </c>
      <c r="L128" t="n">
        <v>0</v>
      </c>
      <c r="M128" t="n">
        <v>0</v>
      </c>
      <c r="N128" t="n">
        <v>0</v>
      </c>
      <c r="O128" t="n">
        <v>2</v>
      </c>
      <c r="P128" t="n">
        <v>0</v>
      </c>
      <c r="Q128" t="n">
        <v>2</v>
      </c>
      <c r="R128" s="2" t="inlineStr">
        <is>
          <t>Blanksvart spiklav
Kolflarnlav</t>
        </is>
      </c>
      <c r="S128">
        <f>HYPERLINK("https://klasma.github.io/Logging_2039/artfynd/A 19612-2024 artfynd.xlsx", "A 19612-2024")</f>
        <v/>
      </c>
      <c r="T128">
        <f>HYPERLINK("https://klasma.github.io/Logging_2039/kartor/A 19612-2024 karta.png", "A 19612-2024")</f>
        <v/>
      </c>
      <c r="V128">
        <f>HYPERLINK("https://klasma.github.io/Logging_2039/klagomål/A 19612-2024 FSC-klagomål.docx", "A 19612-2024")</f>
        <v/>
      </c>
      <c r="W128">
        <f>HYPERLINK("https://klasma.github.io/Logging_2039/klagomålsmail/A 19612-2024 FSC-klagomål mail.docx", "A 19612-2024")</f>
        <v/>
      </c>
      <c r="X128">
        <f>HYPERLINK("https://klasma.github.io/Logging_2039/tillsyn/A 19612-2024 tillsynsbegäran.docx", "A 19612-2024")</f>
        <v/>
      </c>
      <c r="Y128">
        <f>HYPERLINK("https://klasma.github.io/Logging_2039/tillsynsmail/A 19612-2024 tillsynsbegäran mail.docx", "A 19612-2024")</f>
        <v/>
      </c>
    </row>
    <row r="129" ht="15" customHeight="1">
      <c r="A129" t="inlineStr">
        <is>
          <t>A 32206-2024</t>
        </is>
      </c>
      <c r="B129" s="1" t="n">
        <v>45511</v>
      </c>
      <c r="C129" s="1" t="n">
        <v>45738</v>
      </c>
      <c r="D129" t="inlineStr">
        <is>
          <t>DALARNAS LÄN</t>
        </is>
      </c>
      <c r="E129" t="inlineStr">
        <is>
          <t>ÄLVDALEN</t>
        </is>
      </c>
      <c r="F129" t="inlineStr">
        <is>
          <t>Sveaskog</t>
        </is>
      </c>
      <c r="G129" t="n">
        <v>8.1</v>
      </c>
      <c r="H129" t="n">
        <v>0</v>
      </c>
      <c r="I129" t="n">
        <v>0</v>
      </c>
      <c r="J129" t="n">
        <v>2</v>
      </c>
      <c r="K129" t="n">
        <v>0</v>
      </c>
      <c r="L129" t="n">
        <v>0</v>
      </c>
      <c r="M129" t="n">
        <v>0</v>
      </c>
      <c r="N129" t="n">
        <v>0</v>
      </c>
      <c r="O129" t="n">
        <v>2</v>
      </c>
      <c r="P129" t="n">
        <v>0</v>
      </c>
      <c r="Q129" t="n">
        <v>2</v>
      </c>
      <c r="R129" s="2" t="inlineStr">
        <is>
          <t>Blanksvart spiklav
Dvärgbägarlav</t>
        </is>
      </c>
      <c r="S129">
        <f>HYPERLINK("https://klasma.github.io/Logging_2039/artfynd/A 32206-2024 artfynd.xlsx", "A 32206-2024")</f>
        <v/>
      </c>
      <c r="T129">
        <f>HYPERLINK("https://klasma.github.io/Logging_2039/kartor/A 32206-2024 karta.png", "A 32206-2024")</f>
        <v/>
      </c>
      <c r="V129">
        <f>HYPERLINK("https://klasma.github.io/Logging_2039/klagomål/A 32206-2024 FSC-klagomål.docx", "A 32206-2024")</f>
        <v/>
      </c>
      <c r="W129">
        <f>HYPERLINK("https://klasma.github.io/Logging_2039/klagomålsmail/A 32206-2024 FSC-klagomål mail.docx", "A 32206-2024")</f>
        <v/>
      </c>
      <c r="X129">
        <f>HYPERLINK("https://klasma.github.io/Logging_2039/tillsyn/A 32206-2024 tillsynsbegäran.docx", "A 32206-2024")</f>
        <v/>
      </c>
      <c r="Y129">
        <f>HYPERLINK("https://klasma.github.io/Logging_2039/tillsynsmail/A 32206-2024 tillsynsbegäran mail.docx", "A 32206-2024")</f>
        <v/>
      </c>
    </row>
    <row r="130" ht="15" customHeight="1">
      <c r="A130" t="inlineStr">
        <is>
          <t>A 52198-2024</t>
        </is>
      </c>
      <c r="B130" s="1" t="n">
        <v>45608</v>
      </c>
      <c r="C130" s="1" t="n">
        <v>45738</v>
      </c>
      <c r="D130" t="inlineStr">
        <is>
          <t>DALARNAS LÄN</t>
        </is>
      </c>
      <c r="E130" t="inlineStr">
        <is>
          <t>ÄLVDALEN</t>
        </is>
      </c>
      <c r="F130" t="inlineStr">
        <is>
          <t>Allmännings- och besparingsskogar</t>
        </is>
      </c>
      <c r="G130" t="n">
        <v>2.7</v>
      </c>
      <c r="H130" t="n">
        <v>1</v>
      </c>
      <c r="I130" t="n">
        <v>1</v>
      </c>
      <c r="J130" t="n">
        <v>1</v>
      </c>
      <c r="K130" t="n">
        <v>0</v>
      </c>
      <c r="L130" t="n">
        <v>0</v>
      </c>
      <c r="M130" t="n">
        <v>0</v>
      </c>
      <c r="N130" t="n">
        <v>0</v>
      </c>
      <c r="O130" t="n">
        <v>1</v>
      </c>
      <c r="P130" t="n">
        <v>0</v>
      </c>
      <c r="Q130" t="n">
        <v>2</v>
      </c>
      <c r="R130" s="2" t="inlineStr">
        <is>
          <t>Spillkråka
Skarp dropptaggsvamp</t>
        </is>
      </c>
      <c r="S130">
        <f>HYPERLINK("https://klasma.github.io/Logging_2039/artfynd/A 52198-2024 artfynd.xlsx", "A 52198-2024")</f>
        <v/>
      </c>
      <c r="T130">
        <f>HYPERLINK("https://klasma.github.io/Logging_2039/kartor/A 52198-2024 karta.png", "A 52198-2024")</f>
        <v/>
      </c>
      <c r="V130">
        <f>HYPERLINK("https://klasma.github.io/Logging_2039/klagomål/A 52198-2024 FSC-klagomål.docx", "A 52198-2024")</f>
        <v/>
      </c>
      <c r="W130">
        <f>HYPERLINK("https://klasma.github.io/Logging_2039/klagomålsmail/A 52198-2024 FSC-klagomål mail.docx", "A 52198-2024")</f>
        <v/>
      </c>
      <c r="X130">
        <f>HYPERLINK("https://klasma.github.io/Logging_2039/tillsyn/A 52198-2024 tillsynsbegäran.docx", "A 52198-2024")</f>
        <v/>
      </c>
      <c r="Y130">
        <f>HYPERLINK("https://klasma.github.io/Logging_2039/tillsynsmail/A 52198-2024 tillsynsbegäran mail.docx", "A 52198-2024")</f>
        <v/>
      </c>
      <c r="Z130">
        <f>HYPERLINK("https://klasma.github.io/Logging_2039/fåglar/A 52198-2024 prioriterade fågelarter.docx", "A 52198-2024")</f>
        <v/>
      </c>
    </row>
    <row r="131" ht="15" customHeight="1">
      <c r="A131" t="inlineStr">
        <is>
          <t>A 59429-2024</t>
        </is>
      </c>
      <c r="B131" s="1" t="n">
        <v>45638</v>
      </c>
      <c r="C131" s="1" t="n">
        <v>45738</v>
      </c>
      <c r="D131" t="inlineStr">
        <is>
          <t>DALARNAS LÄN</t>
        </is>
      </c>
      <c r="E131" t="inlineStr">
        <is>
          <t>ÄLVDALEN</t>
        </is>
      </c>
      <c r="F131" t="inlineStr">
        <is>
          <t>Allmännings- och besparingsskogar</t>
        </is>
      </c>
      <c r="G131" t="n">
        <v>4.9</v>
      </c>
      <c r="H131" t="n">
        <v>0</v>
      </c>
      <c r="I131" t="n">
        <v>0</v>
      </c>
      <c r="J131" t="n">
        <v>2</v>
      </c>
      <c r="K131" t="n">
        <v>0</v>
      </c>
      <c r="L131" t="n">
        <v>0</v>
      </c>
      <c r="M131" t="n">
        <v>0</v>
      </c>
      <c r="N131" t="n">
        <v>0</v>
      </c>
      <c r="O131" t="n">
        <v>2</v>
      </c>
      <c r="P131" t="n">
        <v>0</v>
      </c>
      <c r="Q131" t="n">
        <v>2</v>
      </c>
      <c r="R131" s="2" t="inlineStr">
        <is>
          <t>Garnlav
Skrovellav</t>
        </is>
      </c>
      <c r="S131">
        <f>HYPERLINK("https://klasma.github.io/Logging_2039/artfynd/A 59429-2024 artfynd.xlsx", "A 59429-2024")</f>
        <v/>
      </c>
      <c r="T131">
        <f>HYPERLINK("https://klasma.github.io/Logging_2039/kartor/A 59429-2024 karta.png", "A 59429-2024")</f>
        <v/>
      </c>
      <c r="V131">
        <f>HYPERLINK("https://klasma.github.io/Logging_2039/klagomål/A 59429-2024 FSC-klagomål.docx", "A 59429-2024")</f>
        <v/>
      </c>
      <c r="W131">
        <f>HYPERLINK("https://klasma.github.io/Logging_2039/klagomålsmail/A 59429-2024 FSC-klagomål mail.docx", "A 59429-2024")</f>
        <v/>
      </c>
      <c r="X131">
        <f>HYPERLINK("https://klasma.github.io/Logging_2039/tillsyn/A 59429-2024 tillsynsbegäran.docx", "A 59429-2024")</f>
        <v/>
      </c>
      <c r="Y131">
        <f>HYPERLINK("https://klasma.github.io/Logging_2039/tillsynsmail/A 59429-2024 tillsynsbegäran mail.docx", "A 59429-2024")</f>
        <v/>
      </c>
    </row>
    <row r="132" ht="15" customHeight="1">
      <c r="A132" t="inlineStr">
        <is>
          <t>A 22522-2019</t>
        </is>
      </c>
      <c r="B132" s="1" t="n">
        <v>43587</v>
      </c>
      <c r="C132" s="1" t="n">
        <v>45738</v>
      </c>
      <c r="D132" t="inlineStr">
        <is>
          <t>DALARNAS LÄN</t>
        </is>
      </c>
      <c r="E132" t="inlineStr">
        <is>
          <t>ÄLVDALEN</t>
        </is>
      </c>
      <c r="G132" t="n">
        <v>5.1</v>
      </c>
      <c r="H132" t="n">
        <v>1</v>
      </c>
      <c r="I132" t="n">
        <v>0</v>
      </c>
      <c r="J132" t="n">
        <v>1</v>
      </c>
      <c r="K132" t="n">
        <v>0</v>
      </c>
      <c r="L132" t="n">
        <v>0</v>
      </c>
      <c r="M132" t="n">
        <v>0</v>
      </c>
      <c r="N132" t="n">
        <v>0</v>
      </c>
      <c r="O132" t="n">
        <v>1</v>
      </c>
      <c r="P132" t="n">
        <v>0</v>
      </c>
      <c r="Q132" t="n">
        <v>1</v>
      </c>
      <c r="R132" s="2" t="inlineStr">
        <is>
          <t>Utter</t>
        </is>
      </c>
      <c r="S132">
        <f>HYPERLINK("https://klasma.github.io/Logging_2039/artfynd/A 22522-2019 artfynd.xlsx", "A 22522-2019")</f>
        <v/>
      </c>
      <c r="T132">
        <f>HYPERLINK("https://klasma.github.io/Logging_2039/kartor/A 22522-2019 karta.png", "A 22522-2019")</f>
        <v/>
      </c>
      <c r="V132">
        <f>HYPERLINK("https://klasma.github.io/Logging_2039/klagomål/A 22522-2019 FSC-klagomål.docx", "A 22522-2019")</f>
        <v/>
      </c>
      <c r="W132">
        <f>HYPERLINK("https://klasma.github.io/Logging_2039/klagomålsmail/A 22522-2019 FSC-klagomål mail.docx", "A 22522-2019")</f>
        <v/>
      </c>
      <c r="X132">
        <f>HYPERLINK("https://klasma.github.io/Logging_2039/tillsyn/A 22522-2019 tillsynsbegäran.docx", "A 22522-2019")</f>
        <v/>
      </c>
      <c r="Y132">
        <f>HYPERLINK("https://klasma.github.io/Logging_2039/tillsynsmail/A 22522-2019 tillsynsbegäran mail.docx", "A 22522-2019")</f>
        <v/>
      </c>
    </row>
    <row r="133" ht="15" customHeight="1">
      <c r="A133" t="inlineStr">
        <is>
          <t>A 18227-2020</t>
        </is>
      </c>
      <c r="B133" s="1" t="n">
        <v>43928</v>
      </c>
      <c r="C133" s="1" t="n">
        <v>45738</v>
      </c>
      <c r="D133" t="inlineStr">
        <is>
          <t>DALARNAS LÄN</t>
        </is>
      </c>
      <c r="E133" t="inlineStr">
        <is>
          <t>ÄLVDALEN</t>
        </is>
      </c>
      <c r="F133" t="inlineStr">
        <is>
          <t>Sveaskog</t>
        </is>
      </c>
      <c r="G133" t="n">
        <v>13.1</v>
      </c>
      <c r="H133" t="n">
        <v>1</v>
      </c>
      <c r="I133" t="n">
        <v>0</v>
      </c>
      <c r="J133" t="n">
        <v>1</v>
      </c>
      <c r="K133" t="n">
        <v>0</v>
      </c>
      <c r="L133" t="n">
        <v>0</v>
      </c>
      <c r="M133" t="n">
        <v>0</v>
      </c>
      <c r="N133" t="n">
        <v>0</v>
      </c>
      <c r="O133" t="n">
        <v>1</v>
      </c>
      <c r="P133" t="n">
        <v>0</v>
      </c>
      <c r="Q133" t="n">
        <v>1</v>
      </c>
      <c r="R133" s="2" t="inlineStr">
        <is>
          <t>Varglav</t>
        </is>
      </c>
      <c r="S133">
        <f>HYPERLINK("https://klasma.github.io/Logging_2039/artfynd/A 18227-2020 artfynd.xlsx", "A 18227-2020")</f>
        <v/>
      </c>
      <c r="T133">
        <f>HYPERLINK("https://klasma.github.io/Logging_2039/kartor/A 18227-2020 karta.png", "A 18227-2020")</f>
        <v/>
      </c>
      <c r="V133">
        <f>HYPERLINK("https://klasma.github.io/Logging_2039/klagomål/A 18227-2020 FSC-klagomål.docx", "A 18227-2020")</f>
        <v/>
      </c>
      <c r="W133">
        <f>HYPERLINK("https://klasma.github.io/Logging_2039/klagomålsmail/A 18227-2020 FSC-klagomål mail.docx", "A 18227-2020")</f>
        <v/>
      </c>
      <c r="X133">
        <f>HYPERLINK("https://klasma.github.io/Logging_2039/tillsyn/A 18227-2020 tillsynsbegäran.docx", "A 18227-2020")</f>
        <v/>
      </c>
      <c r="Y133">
        <f>HYPERLINK("https://klasma.github.io/Logging_2039/tillsynsmail/A 18227-2020 tillsynsbegäran mail.docx", "A 18227-2020")</f>
        <v/>
      </c>
    </row>
    <row r="134" ht="15" customHeight="1">
      <c r="A134" t="inlineStr">
        <is>
          <t>A 19669-2020</t>
        </is>
      </c>
      <c r="B134" s="1" t="n">
        <v>43937</v>
      </c>
      <c r="C134" s="1" t="n">
        <v>45738</v>
      </c>
      <c r="D134" t="inlineStr">
        <is>
          <t>DALARNAS LÄN</t>
        </is>
      </c>
      <c r="E134" t="inlineStr">
        <is>
          <t>ÄLVDALEN</t>
        </is>
      </c>
      <c r="F134" t="inlineStr">
        <is>
          <t>Sveaskog</t>
        </is>
      </c>
      <c r="G134" t="n">
        <v>12.9</v>
      </c>
      <c r="H134" t="n">
        <v>1</v>
      </c>
      <c r="I134" t="n">
        <v>0</v>
      </c>
      <c r="J134" t="n">
        <v>1</v>
      </c>
      <c r="K134" t="n">
        <v>0</v>
      </c>
      <c r="L134" t="n">
        <v>0</v>
      </c>
      <c r="M134" t="n">
        <v>0</v>
      </c>
      <c r="N134" t="n">
        <v>0</v>
      </c>
      <c r="O134" t="n">
        <v>1</v>
      </c>
      <c r="P134" t="n">
        <v>0</v>
      </c>
      <c r="Q134" t="n">
        <v>1</v>
      </c>
      <c r="R134" s="2" t="inlineStr">
        <is>
          <t>Varglav</t>
        </is>
      </c>
      <c r="S134">
        <f>HYPERLINK("https://klasma.github.io/Logging_2039/artfynd/A 19669-2020 artfynd.xlsx", "A 19669-2020")</f>
        <v/>
      </c>
      <c r="T134">
        <f>HYPERLINK("https://klasma.github.io/Logging_2039/kartor/A 19669-2020 karta.png", "A 19669-2020")</f>
        <v/>
      </c>
      <c r="V134">
        <f>HYPERLINK("https://klasma.github.io/Logging_2039/klagomål/A 19669-2020 FSC-klagomål.docx", "A 19669-2020")</f>
        <v/>
      </c>
      <c r="W134">
        <f>HYPERLINK("https://klasma.github.io/Logging_2039/klagomålsmail/A 19669-2020 FSC-klagomål mail.docx", "A 19669-2020")</f>
        <v/>
      </c>
      <c r="X134">
        <f>HYPERLINK("https://klasma.github.io/Logging_2039/tillsyn/A 19669-2020 tillsynsbegäran.docx", "A 19669-2020")</f>
        <v/>
      </c>
      <c r="Y134">
        <f>HYPERLINK("https://klasma.github.io/Logging_2039/tillsynsmail/A 19669-2020 tillsynsbegäran mail.docx", "A 19669-2020")</f>
        <v/>
      </c>
    </row>
    <row r="135" ht="15" customHeight="1">
      <c r="A135" t="inlineStr">
        <is>
          <t>A 38505-2020</t>
        </is>
      </c>
      <c r="B135" s="1" t="n">
        <v>44061</v>
      </c>
      <c r="C135" s="1" t="n">
        <v>45738</v>
      </c>
      <c r="D135" t="inlineStr">
        <is>
          <t>DALARNAS LÄN</t>
        </is>
      </c>
      <c r="E135" t="inlineStr">
        <is>
          <t>ÄLVDALEN</t>
        </is>
      </c>
      <c r="F135" t="inlineStr">
        <is>
          <t>Sveaskog</t>
        </is>
      </c>
      <c r="G135" t="n">
        <v>1.7</v>
      </c>
      <c r="H135" t="n">
        <v>1</v>
      </c>
      <c r="I135" t="n">
        <v>0</v>
      </c>
      <c r="J135" t="n">
        <v>1</v>
      </c>
      <c r="K135" t="n">
        <v>0</v>
      </c>
      <c r="L135" t="n">
        <v>0</v>
      </c>
      <c r="M135" t="n">
        <v>0</v>
      </c>
      <c r="N135" t="n">
        <v>0</v>
      </c>
      <c r="O135" t="n">
        <v>1</v>
      </c>
      <c r="P135" t="n">
        <v>0</v>
      </c>
      <c r="Q135" t="n">
        <v>1</v>
      </c>
      <c r="R135" s="2" t="inlineStr">
        <is>
          <t>Varglav</t>
        </is>
      </c>
      <c r="S135">
        <f>HYPERLINK("https://klasma.github.io/Logging_2039/artfynd/A 38505-2020 artfynd.xlsx", "A 38505-2020")</f>
        <v/>
      </c>
      <c r="T135">
        <f>HYPERLINK("https://klasma.github.io/Logging_2039/kartor/A 38505-2020 karta.png", "A 38505-2020")</f>
        <v/>
      </c>
      <c r="V135">
        <f>HYPERLINK("https://klasma.github.io/Logging_2039/klagomål/A 38505-2020 FSC-klagomål.docx", "A 38505-2020")</f>
        <v/>
      </c>
      <c r="W135">
        <f>HYPERLINK("https://klasma.github.io/Logging_2039/klagomålsmail/A 38505-2020 FSC-klagomål mail.docx", "A 38505-2020")</f>
        <v/>
      </c>
      <c r="X135">
        <f>HYPERLINK("https://klasma.github.io/Logging_2039/tillsyn/A 38505-2020 tillsynsbegäran.docx", "A 38505-2020")</f>
        <v/>
      </c>
      <c r="Y135">
        <f>HYPERLINK("https://klasma.github.io/Logging_2039/tillsynsmail/A 38505-2020 tillsynsbegäran mail.docx", "A 38505-2020")</f>
        <v/>
      </c>
    </row>
    <row r="136" ht="15" customHeight="1">
      <c r="A136" t="inlineStr">
        <is>
          <t>A 46279-2020</t>
        </is>
      </c>
      <c r="B136" s="1" t="n">
        <v>44092</v>
      </c>
      <c r="C136" s="1" t="n">
        <v>45738</v>
      </c>
      <c r="D136" t="inlineStr">
        <is>
          <t>DALARNAS LÄN</t>
        </is>
      </c>
      <c r="E136" t="inlineStr">
        <is>
          <t>ÄLVDALEN</t>
        </is>
      </c>
      <c r="F136" t="inlineStr">
        <is>
          <t>Sveaskog</t>
        </is>
      </c>
      <c r="G136" t="n">
        <v>0.5</v>
      </c>
      <c r="H136" t="n">
        <v>0</v>
      </c>
      <c r="I136" t="n">
        <v>0</v>
      </c>
      <c r="J136" t="n">
        <v>1</v>
      </c>
      <c r="K136" t="n">
        <v>0</v>
      </c>
      <c r="L136" t="n">
        <v>0</v>
      </c>
      <c r="M136" t="n">
        <v>0</v>
      </c>
      <c r="N136" t="n">
        <v>0</v>
      </c>
      <c r="O136" t="n">
        <v>1</v>
      </c>
      <c r="P136" t="n">
        <v>0</v>
      </c>
      <c r="Q136" t="n">
        <v>1</v>
      </c>
      <c r="R136" s="2" t="inlineStr">
        <is>
          <t>Nordtagging</t>
        </is>
      </c>
      <c r="S136">
        <f>HYPERLINK("https://klasma.github.io/Logging_2039/artfynd/A 46279-2020 artfynd.xlsx", "A 46279-2020")</f>
        <v/>
      </c>
      <c r="T136">
        <f>HYPERLINK("https://klasma.github.io/Logging_2039/kartor/A 46279-2020 karta.png", "A 46279-2020")</f>
        <v/>
      </c>
      <c r="V136">
        <f>HYPERLINK("https://klasma.github.io/Logging_2039/klagomål/A 46279-2020 FSC-klagomål.docx", "A 46279-2020")</f>
        <v/>
      </c>
      <c r="W136">
        <f>HYPERLINK("https://klasma.github.io/Logging_2039/klagomålsmail/A 46279-2020 FSC-klagomål mail.docx", "A 46279-2020")</f>
        <v/>
      </c>
      <c r="X136">
        <f>HYPERLINK("https://klasma.github.io/Logging_2039/tillsyn/A 46279-2020 tillsynsbegäran.docx", "A 46279-2020")</f>
        <v/>
      </c>
      <c r="Y136">
        <f>HYPERLINK("https://klasma.github.io/Logging_2039/tillsynsmail/A 46279-2020 tillsynsbegäran mail.docx", "A 46279-2020")</f>
        <v/>
      </c>
    </row>
    <row r="137" ht="15" customHeight="1">
      <c r="A137" t="inlineStr">
        <is>
          <t>A 11061-2021</t>
        </is>
      </c>
      <c r="B137" s="1" t="n">
        <v>44260</v>
      </c>
      <c r="C137" s="1" t="n">
        <v>45738</v>
      </c>
      <c r="D137" t="inlineStr">
        <is>
          <t>DALARNAS LÄN</t>
        </is>
      </c>
      <c r="E137" t="inlineStr">
        <is>
          <t>ÄLVDALEN</t>
        </is>
      </c>
      <c r="F137" t="inlineStr">
        <is>
          <t>Övriga statliga verk och myndigheter</t>
        </is>
      </c>
      <c r="G137" t="n">
        <v>43.7</v>
      </c>
      <c r="H137" t="n">
        <v>1</v>
      </c>
      <c r="I137" t="n">
        <v>0</v>
      </c>
      <c r="J137" t="n">
        <v>0</v>
      </c>
      <c r="K137" t="n">
        <v>0</v>
      </c>
      <c r="L137" t="n">
        <v>0</v>
      </c>
      <c r="M137" t="n">
        <v>0</v>
      </c>
      <c r="N137" t="n">
        <v>0</v>
      </c>
      <c r="O137" t="n">
        <v>0</v>
      </c>
      <c r="P137" t="n">
        <v>0</v>
      </c>
      <c r="Q137" t="n">
        <v>1</v>
      </c>
      <c r="R137" s="2" t="inlineStr">
        <is>
          <t>Större vattensalamander</t>
        </is>
      </c>
      <c r="S137">
        <f>HYPERLINK("https://klasma.github.io/Logging_2039/artfynd/A 11061-2021 artfynd.xlsx", "A 11061-2021")</f>
        <v/>
      </c>
      <c r="T137">
        <f>HYPERLINK("https://klasma.github.io/Logging_2039/kartor/A 11061-2021 karta.png", "A 11061-2021")</f>
        <v/>
      </c>
      <c r="V137">
        <f>HYPERLINK("https://klasma.github.io/Logging_2039/klagomål/A 11061-2021 FSC-klagomål.docx", "A 11061-2021")</f>
        <v/>
      </c>
      <c r="W137">
        <f>HYPERLINK("https://klasma.github.io/Logging_2039/klagomålsmail/A 11061-2021 FSC-klagomål mail.docx", "A 11061-2021")</f>
        <v/>
      </c>
      <c r="X137">
        <f>HYPERLINK("https://klasma.github.io/Logging_2039/tillsyn/A 11061-2021 tillsynsbegäran.docx", "A 11061-2021")</f>
        <v/>
      </c>
      <c r="Y137">
        <f>HYPERLINK("https://klasma.github.io/Logging_2039/tillsynsmail/A 11061-2021 tillsynsbegäran mail.docx", "A 11061-2021")</f>
        <v/>
      </c>
    </row>
    <row r="138" ht="15" customHeight="1">
      <c r="A138" t="inlineStr">
        <is>
          <t>A 16035-2021</t>
        </is>
      </c>
      <c r="B138" s="1" t="n">
        <v>44287</v>
      </c>
      <c r="C138" s="1" t="n">
        <v>45738</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45738</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45738</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45738</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45738</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45738</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45738</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45738</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45738</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45738</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45738</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45738</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45738</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45738</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45738</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45738</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45738</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45738</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45738</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45738</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45738</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45738</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45738</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45738</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45738</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45738</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45738</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45738</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45738</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45738</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45738</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45738</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45738</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45738</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45738</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45738</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45738</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45738</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45738</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45738</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45738</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45738</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45738</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45738</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45738</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45738</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45738</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45738</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45738</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45738</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45738</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45738</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45738</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45738</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45738</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45738</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45738</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45738</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45738</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45738</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45738</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45738</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45738</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45738</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45738</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45738</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45738</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45738</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45738</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45738</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45738</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45738</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45738</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45738</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45738</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45738</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45738</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45738</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45738</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45738</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45738</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45738</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45738</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45738</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45738</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45738</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45738</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45738</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45738</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45738</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45738</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45738</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45738</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45738</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45738</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45738</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45738</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45738</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45738</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45738</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45738</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45738</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45738</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45738</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45738</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45738</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45738</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45738</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45738</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45738</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45738</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45738</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45738</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45738</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45738</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45738</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45738</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45738</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45738</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45738</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45738</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45738</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45738</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45738</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45738</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45738</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45738</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45738</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45738</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45738</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45738</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45738</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45738</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45738</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45738</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45738</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45738</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45738</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45738</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45738</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45738</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45738</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45738</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45738</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45738</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45738</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45738</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45738</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45738</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45738</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45738</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45738</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45738</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45738</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45738</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45738</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45738</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45738</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45738</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45738</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45738</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45738</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45738</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45738</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45738</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45738</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45738</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45738</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45738</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45738</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45738</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45738</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45738</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45738</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45738</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45738</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45738</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45738</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45738</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45738</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45738</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45738</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45738</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45738</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45738</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45738</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45738</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45738</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45738</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45738</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45738</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45738</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45738</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45738</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45738</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45738</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45738</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45738</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45738</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45738</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45738</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45738</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45738</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45738</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45738</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45738</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45738</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45738</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45738</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45738</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45738</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45738</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45738</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45738</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45738</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45738</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45738</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45738</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45738</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45738</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45738</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45738</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45738</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45738</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45738</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45738</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45738</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45738</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45738</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45738</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45738</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45738</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45738</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45738</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45738</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45738</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45738</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45738</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45738</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45738</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45738</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45738</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45738</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45738</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45738</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45738</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45738</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45738</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45738</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45738</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45738</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45738</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45738</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45738</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45738</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45738</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45738</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45738</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45738</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45738</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45738</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45738</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45738</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45738</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45738</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45738</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45738</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45738</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45738</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45738</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45738</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45738</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45738</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45738</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45738</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45738</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45738</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45738</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45738</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45738</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45738</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45738</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45738</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45738</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45738</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45738</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45738</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45738</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45738</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45738</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45738</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45738</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45738</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45738</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45738</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45738</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45738</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45738</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45738</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45738</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45738</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45738</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45738</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45738</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45738</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45738</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45738</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45738</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45738</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45738</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45738</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45738</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45738</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45738</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45738</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45738</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45738</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45738</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45738</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45738</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45738</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45738</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45738</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45738</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45738</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45738</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45738</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45738</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45738</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45738</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45738</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45738</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45738</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45738</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45738</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45738</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45738</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45738</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45738</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45738</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45738</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45738</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45738</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45738</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45738</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45738</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45738</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45738</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45738</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45738</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45738</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45738</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45738</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45738</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45738</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45738</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45738</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45738</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45738</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45738</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45738</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45738</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45738</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45738</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45738</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45738</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45738</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45738</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45738</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45738</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45738</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45738</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45738</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45738</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45738</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45738</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45738</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45738</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45738</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45738</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45738</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45738</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45738</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45738</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45738</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45738</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45738</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45738</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45738</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45738</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45738</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45738</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45738</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45738</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45738</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45738</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45738</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45738</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45738</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45738</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45738</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45738</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45738</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45738</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45738</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45738</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45738</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45738</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45738</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45738</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45738</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45738</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45738</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45738</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45738</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45738</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45738</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45738</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45738</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45738</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45738</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45738</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45738</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45738</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45738</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45738</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45738</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45738</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45738</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45738</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45738</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45738</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45738</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45738</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45738</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45738</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45738</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45738</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45738</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45738</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45738</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45738</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45738</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45738</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45738</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45738</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45738</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45738</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45738</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45738</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45738</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45738</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45738</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45738</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45738</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45738</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45738</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45738</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45738</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45738</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45738</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45738</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45738</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45738</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45738</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45738</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45738</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45738</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45738</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45738</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45738</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45738</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45738</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45738</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45738</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45738</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45738</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45738</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45738</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45738</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45738</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45738</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45738</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45738</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45738</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45738</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45738</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45738</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45738</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45738</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45738</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45738</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45738</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45738</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45738</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45738</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45738</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45738</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45738</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45738</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45738</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45738</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45738</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45738</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45738</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45738</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45738</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45738</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45738</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45738</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45738</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45738</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45738</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45738</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45738</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45738</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45738</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45738</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45738</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45738</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45738</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45738</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45738</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45738</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45738</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45738</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45738</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45738</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45738</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45738</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45738</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45738</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45738</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45738</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45738</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45738</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45738</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45738</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45738</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45738</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45738</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45738</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45738</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45738</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45738</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45738</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45738</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45738</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45738</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45738</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45738</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45738</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45738</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45738</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45738</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45738</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45738</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45738</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45738</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45738</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45738</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45738</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45738</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45738</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45738</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45738</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45738</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45738</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45738</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45738</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45738</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45738</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45738</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45738</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45738</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45738</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45738</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45738</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45738</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45738</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45738</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45738</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45738</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45738</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45738</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45738</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45738</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45738</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45738</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45738</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45738</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45738</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45738</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45738</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45738</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45738</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45738</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45738</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45738</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45738</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45738</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45738</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45738</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45738</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45738</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45738</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45738</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45738</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45738</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45738</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45738</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45738</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45738</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45738</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45738</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45738</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45738</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45738</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45738</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45738</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45738</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45738</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45738</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45738</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45738</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45738</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45738</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45738</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45738</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45738</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45738</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45738</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45738</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45738</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45738</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45738</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45738</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45738</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45738</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45738</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45738</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45738</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45738</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45738</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45738</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45738</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45738</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45738</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45738</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45738</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45738</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45738</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45738</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45738</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45738</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45738</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45738</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45738</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45738</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45738</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45738</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45738</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45738</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45738</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45738</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45738</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45738</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45738</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45738</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45738</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45738</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45738</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45738</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45738</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45738</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45738</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45738</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45738</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45738</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45738</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45738</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45738</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45738</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45738</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45738</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45738</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45738</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45738</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45738</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45738</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45738</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45738</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45738</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45738</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45738</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45738</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45738</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45738</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45738</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45738</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45738</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45738</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45738</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45738</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45738</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45738</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45738</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45738</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45738</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45738</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45738</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45738</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45738</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45738</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45738</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45738</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45738</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45738</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45738</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45738</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45738</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45738</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45738</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45738</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45738</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45738</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45738</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45738</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45738</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45738</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45738</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45738</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45738</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45738</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45738</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45738</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45738</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45738</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45738</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45738</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45738</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45738</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45738</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45738</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45738</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45738</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45738</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45738</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45738</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45738</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45738</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45738</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45738</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45738</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45738</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45738</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45738</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45738</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45738</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45738</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45738</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45738</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45738</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45738</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45738</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45738</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45738</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45738</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45738</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45738</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45738</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45738</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45738</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45738</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45738</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45738</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45738</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45738</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45738</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45738</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45738</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45738</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45738</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45738</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45738</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45738</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45738</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45738</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45738</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45738</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45738</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45738</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45738</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45738</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45738</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45738</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45738</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45738</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45738</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45738</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45738</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45738</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45738</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45738</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45738</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45738</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45738</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45738</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45738</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45738</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45738</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45738</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45738</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45738</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45738</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45738</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45738</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45738</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45738</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45738</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45738</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45738</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45738</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45738</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45738</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45738</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45738</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45738</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45738</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45738</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45738</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45738</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45738</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45738</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45738</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45738</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45738</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45738</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45738</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45738</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45738</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45738</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45738</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45738</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45738</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45738</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45738</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45738</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45738</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45738</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45738</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45738</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45738</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45738</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45738</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45738</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45738</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45738</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45738</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45738</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45738</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45738</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45738</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45738</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45738</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45738</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45738</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45738</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45738</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45738</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45738</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45738</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45738</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45738</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45738</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45738</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45738</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45738</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45738</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45738</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45738</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45738</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45738</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45738</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6679-2025</t>
        </is>
      </c>
      <c r="B1022" s="1" t="n">
        <v>45700</v>
      </c>
      <c r="C1022" s="1" t="n">
        <v>45738</v>
      </c>
      <c r="D1022" t="inlineStr">
        <is>
          <t>DALARNAS LÄN</t>
        </is>
      </c>
      <c r="E1022" t="inlineStr">
        <is>
          <t>ÄLVDALEN</t>
        </is>
      </c>
      <c r="F1022" t="inlineStr">
        <is>
          <t>Allmännings- och besparingsskogar</t>
        </is>
      </c>
      <c r="G1022" t="n">
        <v>27.8</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45738</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45738</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45738</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45738</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45738</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45738</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45738</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8069-2025</t>
        </is>
      </c>
      <c r="B1030" s="1" t="n">
        <v>45707</v>
      </c>
      <c r="C1030" s="1" t="n">
        <v>45738</v>
      </c>
      <c r="D1030" t="inlineStr">
        <is>
          <t>DALARNAS LÄN</t>
        </is>
      </c>
      <c r="E1030" t="inlineStr">
        <is>
          <t>ÄLVDALEN</t>
        </is>
      </c>
      <c r="F1030" t="inlineStr">
        <is>
          <t>Allmännings- och besparingsskogar</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7937-2025</t>
        </is>
      </c>
      <c r="B1031" s="1" t="n">
        <v>45707</v>
      </c>
      <c r="C1031" s="1" t="n">
        <v>45738</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45738</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7913-2025</t>
        </is>
      </c>
      <c r="B1033" s="1" t="n">
        <v>45707</v>
      </c>
      <c r="C1033" s="1" t="n">
        <v>45738</v>
      </c>
      <c r="D1033" t="inlineStr">
        <is>
          <t>DALARNAS LÄN</t>
        </is>
      </c>
      <c r="E1033" t="inlineStr">
        <is>
          <t>ÄLVDALEN</t>
        </is>
      </c>
      <c r="F1033" t="inlineStr">
        <is>
          <t>Allmännings- och besparingsskogar</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45738</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45738</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45738</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8492-2025</t>
        </is>
      </c>
      <c r="B1037" s="1" t="n">
        <v>45709</v>
      </c>
      <c r="C1037" s="1" t="n">
        <v>45738</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8496-2025</t>
        </is>
      </c>
      <c r="B1038" s="1" t="n">
        <v>45709</v>
      </c>
      <c r="C1038" s="1" t="n">
        <v>45738</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45738</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45738</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9045-2025</t>
        </is>
      </c>
      <c r="B1041" s="1" t="n">
        <v>45713</v>
      </c>
      <c r="C1041" s="1" t="n">
        <v>45738</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row r="1042" ht="15" customHeight="1">
      <c r="A1042" t="inlineStr">
        <is>
          <t>A 10758-2025</t>
        </is>
      </c>
      <c r="B1042" s="1" t="n">
        <v>45722</v>
      </c>
      <c r="C1042" s="1" t="n">
        <v>45738</v>
      </c>
      <c r="D1042" t="inlineStr">
        <is>
          <t>DALARNAS LÄN</t>
        </is>
      </c>
      <c r="E1042" t="inlineStr">
        <is>
          <t>ÄLVDALEN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10817-2025</t>
        </is>
      </c>
      <c r="B1043" s="1" t="n">
        <v>45722</v>
      </c>
      <c r="C1043" s="1" t="n">
        <v>45738</v>
      </c>
      <c r="D1043" t="inlineStr">
        <is>
          <t>DALARNAS LÄN</t>
        </is>
      </c>
      <c r="E1043" t="inlineStr">
        <is>
          <t>ÄLVDALEN</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10831-2025</t>
        </is>
      </c>
      <c r="B1044" s="1" t="n">
        <v>45722</v>
      </c>
      <c r="C1044" s="1" t="n">
        <v>45738</v>
      </c>
      <c r="D1044" t="inlineStr">
        <is>
          <t>DALARNAS LÄN</t>
        </is>
      </c>
      <c r="E1044" t="inlineStr">
        <is>
          <t>ÄLVDALEN</t>
        </is>
      </c>
      <c r="F1044" t="inlineStr">
        <is>
          <t>Kommuner</t>
        </is>
      </c>
      <c r="G1044" t="n">
        <v>0.5</v>
      </c>
      <c r="H1044" t="n">
        <v>0</v>
      </c>
      <c r="I1044" t="n">
        <v>0</v>
      </c>
      <c r="J1044" t="n">
        <v>0</v>
      </c>
      <c r="K1044" t="n">
        <v>0</v>
      </c>
      <c r="L1044" t="n">
        <v>0</v>
      </c>
      <c r="M1044" t="n">
        <v>0</v>
      </c>
      <c r="N1044" t="n">
        <v>0</v>
      </c>
      <c r="O1044" t="n">
        <v>0</v>
      </c>
      <c r="P1044" t="n">
        <v>0</v>
      </c>
      <c r="Q1044" t="n">
        <v>0</v>
      </c>
      <c r="R1044" s="2" t="inlineStr"/>
    </row>
    <row r="1045">
      <c r="A1045" t="inlineStr">
        <is>
          <t>A 12318-2025</t>
        </is>
      </c>
      <c r="B1045" s="1" t="n">
        <v>45729</v>
      </c>
      <c r="C1045" s="1" t="n">
        <v>45738</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2025-03-22T16:19:46Z</dcterms:created>
  <dcterms:modified xmlns:dcterms="http://purl.org/dc/terms/" xmlns:xsi="http://www.w3.org/2001/XMLSchema-instance" xsi:type="dcterms:W3CDTF">2025-03-22T16:19:46Z</dcterms:modified>
</cp:coreProperties>
</file>