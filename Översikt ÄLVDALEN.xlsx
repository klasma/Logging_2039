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46074</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46074</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46074</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46074</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46074</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46074</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46074</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46074</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46074</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46074</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46074</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46074</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46074</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46074</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46074</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46074</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46074</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56939-2025</t>
        </is>
      </c>
      <c r="B25" s="1" t="n">
        <v>45978.6218287037</v>
      </c>
      <c r="C25" s="1" t="n">
        <v>46074</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31037-2023</t>
        </is>
      </c>
      <c r="B26" s="1" t="n">
        <v>45113</v>
      </c>
      <c r="C26" s="1" t="n">
        <v>46074</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46074</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46074</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46074</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46074</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46074</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46074</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46074</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46074</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46074</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2249-2026</t>
        </is>
      </c>
      <c r="B36" s="1" t="n">
        <v>46036.55042824074</v>
      </c>
      <c r="C36" s="1" t="n">
        <v>46074</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5813-2025</t>
        </is>
      </c>
      <c r="B37" s="1" t="n">
        <v>45694</v>
      </c>
      <c r="C37" s="1" t="n">
        <v>46074</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46074</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46074</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57095-2025</t>
        </is>
      </c>
      <c r="B40" s="1" t="n">
        <v>45979.43158564815</v>
      </c>
      <c r="C40" s="1" t="n">
        <v>46074</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46074</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29154-2025</t>
        </is>
      </c>
      <c r="B42" s="1" t="n">
        <v>45821.65135416666</v>
      </c>
      <c r="C42" s="1" t="n">
        <v>46074</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47008-2025</t>
        </is>
      </c>
      <c r="B43" s="1" t="n">
        <v>45929.56971064815</v>
      </c>
      <c r="C43" s="1" t="n">
        <v>46074</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46074</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46074</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46074</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46074</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46074</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46074</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46074</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30220-2023</t>
        </is>
      </c>
      <c r="B51" s="1" t="n">
        <v>45110.64706018518</v>
      </c>
      <c r="C51" s="1" t="n">
        <v>46074</v>
      </c>
      <c r="D51" t="inlineStr">
        <is>
          <t>DALARNAS LÄN</t>
        </is>
      </c>
      <c r="E51" t="inlineStr">
        <is>
          <t>ÄLVDALEN</t>
        </is>
      </c>
      <c r="F51" t="inlineStr">
        <is>
          <t>Allmännings- och besparingsskogar</t>
        </is>
      </c>
      <c r="G51" t="n">
        <v>13</v>
      </c>
      <c r="H51" t="n">
        <v>0</v>
      </c>
      <c r="I51" t="n">
        <v>2</v>
      </c>
      <c r="J51" t="n">
        <v>6</v>
      </c>
      <c r="K51" t="n">
        <v>2</v>
      </c>
      <c r="L51" t="n">
        <v>0</v>
      </c>
      <c r="M51" t="n">
        <v>0</v>
      </c>
      <c r="N51" t="n">
        <v>0</v>
      </c>
      <c r="O51" t="n">
        <v>8</v>
      </c>
      <c r="P51" t="n">
        <v>2</v>
      </c>
      <c r="Q51" t="n">
        <v>10</v>
      </c>
      <c r="R51" s="2" t="inlineStr">
        <is>
          <t>Goliatmusseron
Smalfotad taggsvamp
Blå taggsvamp
Kolflarnlav
Orange taggsvamp
Talltaggsvamp
Vedskivlav
Vitplätt
Dropptaggsvamp
Skarp dropptaggsvamp</t>
        </is>
      </c>
      <c r="S51">
        <f>HYPERLINK("https://klasma.github.io/Logging_2039/artfynd/A 30220-2023 artfynd.xlsx", "A 30220-2023")</f>
        <v/>
      </c>
      <c r="T51">
        <f>HYPERLINK("https://klasma.github.io/Logging_2039/kartor/A 30220-2023 karta.png", "A 30220-2023")</f>
        <v/>
      </c>
      <c r="V51">
        <f>HYPERLINK("https://klasma.github.io/Logging_2039/klagomål/A 30220-2023 FSC-klagomål.docx", "A 30220-2023")</f>
        <v/>
      </c>
      <c r="W51">
        <f>HYPERLINK("https://klasma.github.io/Logging_2039/klagomålsmail/A 30220-2023 FSC-klagomål mail.docx", "A 30220-2023")</f>
        <v/>
      </c>
      <c r="X51">
        <f>HYPERLINK("https://klasma.github.io/Logging_2039/tillsyn/A 30220-2023 tillsynsbegäran.docx", "A 30220-2023")</f>
        <v/>
      </c>
      <c r="Y51">
        <f>HYPERLINK("https://klasma.github.io/Logging_2039/tillsynsmail/A 30220-2023 tillsynsbegäran mail.docx", "A 30220-2023")</f>
        <v/>
      </c>
    </row>
    <row r="52" ht="15" customHeight="1">
      <c r="A52" t="inlineStr">
        <is>
          <t>A 31658-2025</t>
        </is>
      </c>
      <c r="B52" s="1" t="n">
        <v>45834.34892361111</v>
      </c>
      <c r="C52" s="1" t="n">
        <v>46074</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16370-2024</t>
        </is>
      </c>
      <c r="B53" s="1" t="n">
        <v>45407</v>
      </c>
      <c r="C53" s="1" t="n">
        <v>46074</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39762-2025</t>
        </is>
      </c>
      <c r="B54" s="1" t="n">
        <v>45891</v>
      </c>
      <c r="C54" s="1" t="n">
        <v>46074</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46074</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46074</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46074</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34765-2025</t>
        </is>
      </c>
      <c r="B58" s="1" t="n">
        <v>45848</v>
      </c>
      <c r="C58" s="1" t="n">
        <v>46074</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46074</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38582-2023</t>
        </is>
      </c>
      <c r="B60" s="1" t="n">
        <v>45162</v>
      </c>
      <c r="C60" s="1" t="n">
        <v>46074</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46074</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33487-2025</t>
        </is>
      </c>
      <c r="B62" s="1" t="n">
        <v>45841.50515046297</v>
      </c>
      <c r="C62" s="1" t="n">
        <v>46074</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41913-2022</t>
        </is>
      </c>
      <c r="B63" s="1" t="n">
        <v>44830</v>
      </c>
      <c r="C63" s="1" t="n">
        <v>46074</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15738-2025</t>
        </is>
      </c>
      <c r="B64" s="1" t="n">
        <v>45748.54524305555</v>
      </c>
      <c r="C64" s="1" t="n">
        <v>46074</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46074</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46074</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46074</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46074</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46074</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46074</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46074</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46074</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46074</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46074</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46305-2025</t>
        </is>
      </c>
      <c r="B75" s="1" t="n">
        <v>45925.4190625</v>
      </c>
      <c r="C75" s="1" t="n">
        <v>46074</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9783-2024</t>
        </is>
      </c>
      <c r="B76" s="1" t="n">
        <v>45362</v>
      </c>
      <c r="C76" s="1" t="n">
        <v>46074</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14277-2024</t>
        </is>
      </c>
      <c r="B77" s="1" t="n">
        <v>45393</v>
      </c>
      <c r="C77" s="1" t="n">
        <v>46074</v>
      </c>
      <c r="D77" t="inlineStr">
        <is>
          <t>DALARNAS LÄN</t>
        </is>
      </c>
      <c r="E77" t="inlineStr">
        <is>
          <t>ÄLVDALEN</t>
        </is>
      </c>
      <c r="F77" t="inlineStr">
        <is>
          <t>Allmännings- och besparingsskogar</t>
        </is>
      </c>
      <c r="G77" t="n">
        <v>2.8</v>
      </c>
      <c r="H77" t="n">
        <v>2</v>
      </c>
      <c r="I77" t="n">
        <v>1</v>
      </c>
      <c r="J77" t="n">
        <v>6</v>
      </c>
      <c r="K77" t="n">
        <v>0</v>
      </c>
      <c r="L77" t="n">
        <v>0</v>
      </c>
      <c r="M77" t="n">
        <v>0</v>
      </c>
      <c r="N77" t="n">
        <v>0</v>
      </c>
      <c r="O77" t="n">
        <v>6</v>
      </c>
      <c r="P77" t="n">
        <v>0</v>
      </c>
      <c r="Q77" t="n">
        <v>7</v>
      </c>
      <c r="R77" s="2" t="inlineStr">
        <is>
          <t>Garnlav
Mörk kolflarnlav
Talltita
Varglav
Vedflamlav
Vedskivlav
Mindre märgborre</t>
        </is>
      </c>
      <c r="S77">
        <f>HYPERLINK("https://klasma.github.io/Logging_2039/artfynd/A 14277-2024 artfynd.xlsx", "A 14277-2024")</f>
        <v/>
      </c>
      <c r="T77">
        <f>HYPERLINK("https://klasma.github.io/Logging_2039/kartor/A 14277-2024 karta.png", "A 14277-2024")</f>
        <v/>
      </c>
      <c r="V77">
        <f>HYPERLINK("https://klasma.github.io/Logging_2039/klagomål/A 14277-2024 FSC-klagomål.docx", "A 14277-2024")</f>
        <v/>
      </c>
      <c r="W77">
        <f>HYPERLINK("https://klasma.github.io/Logging_2039/klagomålsmail/A 14277-2024 FSC-klagomål mail.docx", "A 14277-2024")</f>
        <v/>
      </c>
      <c r="X77">
        <f>HYPERLINK("https://klasma.github.io/Logging_2039/tillsyn/A 14277-2024 tillsynsbegäran.docx", "A 14277-2024")</f>
        <v/>
      </c>
      <c r="Y77">
        <f>HYPERLINK("https://klasma.github.io/Logging_2039/tillsynsmail/A 14277-2024 tillsynsbegäran mail.docx", "A 14277-2024")</f>
        <v/>
      </c>
      <c r="Z77">
        <f>HYPERLINK("https://klasma.github.io/Logging_2039/fåglar/A 14277-2024 prioriterade fågelarter.docx", "A 14277-2024")</f>
        <v/>
      </c>
    </row>
    <row r="78" ht="15" customHeight="1">
      <c r="A78" t="inlineStr">
        <is>
          <t>A 33882-2024</t>
        </is>
      </c>
      <c r="B78" s="1" t="n">
        <v>45522</v>
      </c>
      <c r="C78" s="1" t="n">
        <v>46074</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25754-2025</t>
        </is>
      </c>
      <c r="B79" s="1" t="n">
        <v>45804.32020833333</v>
      </c>
      <c r="C79" s="1" t="n">
        <v>46074</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39267-2021</t>
        </is>
      </c>
      <c r="B80" s="1" t="n">
        <v>44413</v>
      </c>
      <c r="C80" s="1" t="n">
        <v>46074</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46074</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46074</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46074</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31631-2025</t>
        </is>
      </c>
      <c r="B84" s="1" t="n">
        <v>45834</v>
      </c>
      <c r="C84" s="1" t="n">
        <v>46074</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31821-2025</t>
        </is>
      </c>
      <c r="B85" s="1" t="n">
        <v>45834.57958333333</v>
      </c>
      <c r="C85" s="1" t="n">
        <v>46074</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41750-2025</t>
        </is>
      </c>
      <c r="B86" s="1" t="n">
        <v>45902.49466435185</v>
      </c>
      <c r="C86" s="1" t="n">
        <v>46074</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33638-2025</t>
        </is>
      </c>
      <c r="B87" s="1" t="n">
        <v>45841.64807870371</v>
      </c>
      <c r="C87" s="1" t="n">
        <v>46074</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39278-2022</t>
        </is>
      </c>
      <c r="B88" s="1" t="n">
        <v>44817</v>
      </c>
      <c r="C88" s="1" t="n">
        <v>46074</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33822-2025</t>
        </is>
      </c>
      <c r="B89" s="1" t="n">
        <v>45842.46769675926</v>
      </c>
      <c r="C89" s="1" t="n">
        <v>46074</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46074</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46074</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46074</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46074</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46074</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46074</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38585-2023</t>
        </is>
      </c>
      <c r="B96" s="1" t="n">
        <v>45162</v>
      </c>
      <c r="C96" s="1" t="n">
        <v>46074</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41782-2025</t>
        </is>
      </c>
      <c r="B97" s="1" t="n">
        <v>45902.58693287037</v>
      </c>
      <c r="C97" s="1" t="n">
        <v>46074</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2221-2026</t>
        </is>
      </c>
      <c r="B98" s="1" t="n">
        <v>46036.50204861111</v>
      </c>
      <c r="C98" s="1" t="n">
        <v>46074</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46074</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62684-2025</t>
        </is>
      </c>
      <c r="B100" s="1" t="n">
        <v>46008.45831018518</v>
      </c>
      <c r="C100" s="1" t="n">
        <v>46074</v>
      </c>
      <c r="D100" t="inlineStr">
        <is>
          <t>DALARNAS LÄN</t>
        </is>
      </c>
      <c r="E100" t="inlineStr">
        <is>
          <t>ÄLVDALEN</t>
        </is>
      </c>
      <c r="G100" t="n">
        <v>20.3</v>
      </c>
      <c r="H100" t="n">
        <v>2</v>
      </c>
      <c r="I100" t="n">
        <v>2</v>
      </c>
      <c r="J100" t="n">
        <v>3</v>
      </c>
      <c r="K100" t="n">
        <v>0</v>
      </c>
      <c r="L100" t="n">
        <v>0</v>
      </c>
      <c r="M100" t="n">
        <v>0</v>
      </c>
      <c r="N100" t="n">
        <v>0</v>
      </c>
      <c r="O100" t="n">
        <v>3</v>
      </c>
      <c r="P100" t="n">
        <v>0</v>
      </c>
      <c r="Q100" t="n">
        <v>5</v>
      </c>
      <c r="R100" s="2" t="inlineStr">
        <is>
          <t>Garnlav
Spillkråka
Talltita
Grovticka
Mindre märgborre</t>
        </is>
      </c>
      <c r="S100">
        <f>HYPERLINK("https://klasma.github.io/Logging_2039/artfynd/A 62684-2025 artfynd.xlsx", "A 62684-2025")</f>
        <v/>
      </c>
      <c r="T100">
        <f>HYPERLINK("https://klasma.github.io/Logging_2039/kartor/A 62684-2025 karta.png", "A 62684-2025")</f>
        <v/>
      </c>
      <c r="V100">
        <f>HYPERLINK("https://klasma.github.io/Logging_2039/klagomål/A 62684-2025 FSC-klagomål.docx", "A 62684-2025")</f>
        <v/>
      </c>
      <c r="W100">
        <f>HYPERLINK("https://klasma.github.io/Logging_2039/klagomålsmail/A 62684-2025 FSC-klagomål mail.docx", "A 62684-2025")</f>
        <v/>
      </c>
      <c r="X100">
        <f>HYPERLINK("https://klasma.github.io/Logging_2039/tillsyn/A 62684-2025 tillsynsbegäran.docx", "A 62684-2025")</f>
        <v/>
      </c>
      <c r="Y100">
        <f>HYPERLINK("https://klasma.github.io/Logging_2039/tillsynsmail/A 62684-2025 tillsynsbegäran mail.docx", "A 62684-2025")</f>
        <v/>
      </c>
      <c r="Z100">
        <f>HYPERLINK("https://klasma.github.io/Logging_2039/fåglar/A 62684-2025 prioriterade fågelarter.docx", "A 62684-2025")</f>
        <v/>
      </c>
    </row>
    <row r="101" ht="15" customHeight="1">
      <c r="A101" t="inlineStr">
        <is>
          <t>A 16894-2025</t>
        </is>
      </c>
      <c r="B101" s="1" t="n">
        <v>45755.33045138889</v>
      </c>
      <c r="C101" s="1" t="n">
        <v>46074</v>
      </c>
      <c r="D101" t="inlineStr">
        <is>
          <t>DALARNAS LÄN</t>
        </is>
      </c>
      <c r="E101" t="inlineStr">
        <is>
          <t>ÄLVDALEN</t>
        </is>
      </c>
      <c r="F101" t="inlineStr">
        <is>
          <t>Sveaskog</t>
        </is>
      </c>
      <c r="G101" t="n">
        <v>17.3</v>
      </c>
      <c r="H101" t="n">
        <v>0</v>
      </c>
      <c r="I101" t="n">
        <v>1</v>
      </c>
      <c r="J101" t="n">
        <v>4</v>
      </c>
      <c r="K101" t="n">
        <v>0</v>
      </c>
      <c r="L101" t="n">
        <v>0</v>
      </c>
      <c r="M101" t="n">
        <v>0</v>
      </c>
      <c r="N101" t="n">
        <v>0</v>
      </c>
      <c r="O101" t="n">
        <v>4</v>
      </c>
      <c r="P101" t="n">
        <v>0</v>
      </c>
      <c r="Q101" t="n">
        <v>5</v>
      </c>
      <c r="R101" s="2" t="inlineStr">
        <is>
          <t>Dvärgbägarlav
Kolflarnlav
Mörk kolflarnlav
Vedflamlav
Dropptaggsvamp</t>
        </is>
      </c>
      <c r="S101">
        <f>HYPERLINK("https://klasma.github.io/Logging_2039/artfynd/A 16894-2025 artfynd.xlsx", "A 16894-2025")</f>
        <v/>
      </c>
      <c r="T101">
        <f>HYPERLINK("https://klasma.github.io/Logging_2039/kartor/A 16894-2025 karta.png", "A 16894-2025")</f>
        <v/>
      </c>
      <c r="V101">
        <f>HYPERLINK("https://klasma.github.io/Logging_2039/klagomål/A 16894-2025 FSC-klagomål.docx", "A 16894-2025")</f>
        <v/>
      </c>
      <c r="W101">
        <f>HYPERLINK("https://klasma.github.io/Logging_2039/klagomålsmail/A 16894-2025 FSC-klagomål mail.docx", "A 16894-2025")</f>
        <v/>
      </c>
      <c r="X101">
        <f>HYPERLINK("https://klasma.github.io/Logging_2039/tillsyn/A 16894-2025 tillsynsbegäran.docx", "A 16894-2025")</f>
        <v/>
      </c>
      <c r="Y101">
        <f>HYPERLINK("https://klasma.github.io/Logging_2039/tillsynsmail/A 16894-2025 tillsynsbegäran mail.docx", "A 16894-2025")</f>
        <v/>
      </c>
    </row>
    <row r="102" ht="15" customHeight="1">
      <c r="A102" t="inlineStr">
        <is>
          <t>A 19616-2024</t>
        </is>
      </c>
      <c r="B102" s="1" t="n">
        <v>45432.31541666666</v>
      </c>
      <c r="C102" s="1" t="n">
        <v>46074</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25089-2024</t>
        </is>
      </c>
      <c r="B103" s="1" t="n">
        <v>45462.39879629629</v>
      </c>
      <c r="C103" s="1" t="n">
        <v>46074</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46074</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10282-2024</t>
        </is>
      </c>
      <c r="B105" s="1" t="n">
        <v>45365</v>
      </c>
      <c r="C105" s="1" t="n">
        <v>46074</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43344-2025</t>
        </is>
      </c>
      <c r="B106" s="1" t="n">
        <v>45910.76924768519</v>
      </c>
      <c r="C106" s="1" t="n">
        <v>46074</v>
      </c>
      <c r="D106" t="inlineStr">
        <is>
          <t>DALARNAS LÄN</t>
        </is>
      </c>
      <c r="E106" t="inlineStr">
        <is>
          <t>ÄLVDALEN</t>
        </is>
      </c>
      <c r="G106" t="n">
        <v>11.6</v>
      </c>
      <c r="H106" t="n">
        <v>1</v>
      </c>
      <c r="I106" t="n">
        <v>1</v>
      </c>
      <c r="J106" t="n">
        <v>3</v>
      </c>
      <c r="K106" t="n">
        <v>0</v>
      </c>
      <c r="L106" t="n">
        <v>0</v>
      </c>
      <c r="M106" t="n">
        <v>0</v>
      </c>
      <c r="N106" t="n">
        <v>0</v>
      </c>
      <c r="O106" t="n">
        <v>3</v>
      </c>
      <c r="P106" t="n">
        <v>0</v>
      </c>
      <c r="Q106" t="n">
        <v>4</v>
      </c>
      <c r="R106" s="2" t="inlineStr">
        <is>
          <t>Garnlav
Motaggsvamp
Talltita
Nästlav</t>
        </is>
      </c>
      <c r="S106">
        <f>HYPERLINK("https://klasma.github.io/Logging_2039/artfynd/A 43344-2025 artfynd.xlsx", "A 43344-2025")</f>
        <v/>
      </c>
      <c r="T106">
        <f>HYPERLINK("https://klasma.github.io/Logging_2039/kartor/A 43344-2025 karta.png", "A 43344-2025")</f>
        <v/>
      </c>
      <c r="V106">
        <f>HYPERLINK("https://klasma.github.io/Logging_2039/klagomål/A 43344-2025 FSC-klagomål.docx", "A 43344-2025")</f>
        <v/>
      </c>
      <c r="W106">
        <f>HYPERLINK("https://klasma.github.io/Logging_2039/klagomålsmail/A 43344-2025 FSC-klagomål mail.docx", "A 43344-2025")</f>
        <v/>
      </c>
      <c r="X106">
        <f>HYPERLINK("https://klasma.github.io/Logging_2039/tillsyn/A 43344-2025 tillsynsbegäran.docx", "A 43344-2025")</f>
        <v/>
      </c>
      <c r="Y106">
        <f>HYPERLINK("https://klasma.github.io/Logging_2039/tillsynsmail/A 43344-2025 tillsynsbegäran mail.docx", "A 43344-2025")</f>
        <v/>
      </c>
      <c r="Z106">
        <f>HYPERLINK("https://klasma.github.io/Logging_2039/fåglar/A 43344-2025 prioriterade fågelarter.docx", "A 43344-2025")</f>
        <v/>
      </c>
    </row>
    <row r="107" ht="15" customHeight="1">
      <c r="A107" t="inlineStr">
        <is>
          <t>A 29252-2023</t>
        </is>
      </c>
      <c r="B107" s="1" t="n">
        <v>45105</v>
      </c>
      <c r="C107" s="1" t="n">
        <v>46074</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36580-2024</t>
        </is>
      </c>
      <c r="B108" s="1" t="n">
        <v>45537.50400462963</v>
      </c>
      <c r="C108" s="1" t="n">
        <v>46074</v>
      </c>
      <c r="D108" t="inlineStr">
        <is>
          <t>DALARNAS LÄN</t>
        </is>
      </c>
      <c r="E108" t="inlineStr">
        <is>
          <t>ÄLVDALEN</t>
        </is>
      </c>
      <c r="F108" t="inlineStr">
        <is>
          <t>Sveaskog</t>
        </is>
      </c>
      <c r="G108" t="n">
        <v>4.2</v>
      </c>
      <c r="H108" t="n">
        <v>0</v>
      </c>
      <c r="I108" t="n">
        <v>0</v>
      </c>
      <c r="J108" t="n">
        <v>4</v>
      </c>
      <c r="K108" t="n">
        <v>0</v>
      </c>
      <c r="L108" t="n">
        <v>0</v>
      </c>
      <c r="M108" t="n">
        <v>0</v>
      </c>
      <c r="N108" t="n">
        <v>0</v>
      </c>
      <c r="O108" t="n">
        <v>4</v>
      </c>
      <c r="P108" t="n">
        <v>0</v>
      </c>
      <c r="Q108" t="n">
        <v>4</v>
      </c>
      <c r="R108" s="2" t="inlineStr">
        <is>
          <t>Garnlav
Kolflarnlav
Mörk kolflarnlav
Vedflamlav</t>
        </is>
      </c>
      <c r="S108">
        <f>HYPERLINK("https://klasma.github.io/Logging_2039/artfynd/A 36580-2024 artfynd.xlsx", "A 36580-2024")</f>
        <v/>
      </c>
      <c r="T108">
        <f>HYPERLINK("https://klasma.github.io/Logging_2039/kartor/A 36580-2024 karta.png", "A 36580-2024")</f>
        <v/>
      </c>
      <c r="V108">
        <f>HYPERLINK("https://klasma.github.io/Logging_2039/klagomål/A 36580-2024 FSC-klagomål.docx", "A 36580-2024")</f>
        <v/>
      </c>
      <c r="W108">
        <f>HYPERLINK("https://klasma.github.io/Logging_2039/klagomålsmail/A 36580-2024 FSC-klagomål mail.docx", "A 36580-2024")</f>
        <v/>
      </c>
      <c r="X108">
        <f>HYPERLINK("https://klasma.github.io/Logging_2039/tillsyn/A 36580-2024 tillsynsbegäran.docx", "A 36580-2024")</f>
        <v/>
      </c>
      <c r="Y108">
        <f>HYPERLINK("https://klasma.github.io/Logging_2039/tillsynsmail/A 36580-2024 tillsynsbegäran mail.docx", "A 36580-2024")</f>
        <v/>
      </c>
    </row>
    <row r="109" ht="15" customHeight="1">
      <c r="A109" t="inlineStr">
        <is>
          <t>A 38819-2024</t>
        </is>
      </c>
      <c r="B109" s="1" t="n">
        <v>45547.5541087963</v>
      </c>
      <c r="C109" s="1" t="n">
        <v>46074</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51896-2025</t>
        </is>
      </c>
      <c r="B110" s="1" t="n">
        <v>45952.43372685185</v>
      </c>
      <c r="C110" s="1" t="n">
        <v>46074</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46074</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57505-2024</t>
        </is>
      </c>
      <c r="B112" s="1" t="n">
        <v>45630</v>
      </c>
      <c r="C112" s="1" t="n">
        <v>46074</v>
      </c>
      <c r="D112" t="inlineStr">
        <is>
          <t>DALARNAS LÄN</t>
        </is>
      </c>
      <c r="E112" t="inlineStr">
        <is>
          <t>ÄLVDALEN</t>
        </is>
      </c>
      <c r="F112" t="inlineStr">
        <is>
          <t>Allmännings- och besparingsskogar</t>
        </is>
      </c>
      <c r="G112" t="n">
        <v>2.3</v>
      </c>
      <c r="H112" t="n">
        <v>0</v>
      </c>
      <c r="I112" t="n">
        <v>2</v>
      </c>
      <c r="J112" t="n">
        <v>2</v>
      </c>
      <c r="K112" t="n">
        <v>0</v>
      </c>
      <c r="L112" t="n">
        <v>0</v>
      </c>
      <c r="M112" t="n">
        <v>0</v>
      </c>
      <c r="N112" t="n">
        <v>0</v>
      </c>
      <c r="O112" t="n">
        <v>2</v>
      </c>
      <c r="P112" t="n">
        <v>0</v>
      </c>
      <c r="Q112" t="n">
        <v>4</v>
      </c>
      <c r="R112" s="2" t="inlineStr">
        <is>
          <t>Skrovellav
Vedskivlav
Bronshjon
Vågbandad barkbock</t>
        </is>
      </c>
      <c r="S112">
        <f>HYPERLINK("https://klasma.github.io/Logging_2039/artfynd/A 57505-2024 artfynd.xlsx", "A 57505-2024")</f>
        <v/>
      </c>
      <c r="T112">
        <f>HYPERLINK("https://klasma.github.io/Logging_2039/kartor/A 57505-2024 karta.png", "A 57505-2024")</f>
        <v/>
      </c>
      <c r="V112">
        <f>HYPERLINK("https://klasma.github.io/Logging_2039/klagomål/A 57505-2024 FSC-klagomål.docx", "A 57505-2024")</f>
        <v/>
      </c>
      <c r="W112">
        <f>HYPERLINK("https://klasma.github.io/Logging_2039/klagomålsmail/A 57505-2024 FSC-klagomål mail.docx", "A 57505-2024")</f>
        <v/>
      </c>
      <c r="X112">
        <f>HYPERLINK("https://klasma.github.io/Logging_2039/tillsyn/A 57505-2024 tillsynsbegäran.docx", "A 57505-2024")</f>
        <v/>
      </c>
      <c r="Y112">
        <f>HYPERLINK("https://klasma.github.io/Logging_2039/tillsynsmail/A 57505-2024 tillsynsbegäran mail.docx", "A 57505-2024")</f>
        <v/>
      </c>
    </row>
    <row r="113" ht="15" customHeight="1">
      <c r="A113" t="inlineStr">
        <is>
          <t>A 61585-2025</t>
        </is>
      </c>
      <c r="B113" s="1" t="n">
        <v>46002.34267361111</v>
      </c>
      <c r="C113" s="1" t="n">
        <v>46074</v>
      </c>
      <c r="D113" t="inlineStr">
        <is>
          <t>DALARNAS LÄN</t>
        </is>
      </c>
      <c r="E113" t="inlineStr">
        <is>
          <t>ÄLVDALEN</t>
        </is>
      </c>
      <c r="F113" t="inlineStr">
        <is>
          <t>Sveaskog</t>
        </is>
      </c>
      <c r="G113" t="n">
        <v>11.2</v>
      </c>
      <c r="H113" t="n">
        <v>0</v>
      </c>
      <c r="I113" t="n">
        <v>0</v>
      </c>
      <c r="J113" t="n">
        <v>4</v>
      </c>
      <c r="K113" t="n">
        <v>0</v>
      </c>
      <c r="L113" t="n">
        <v>0</v>
      </c>
      <c r="M113" t="n">
        <v>0</v>
      </c>
      <c r="N113" t="n">
        <v>0</v>
      </c>
      <c r="O113" t="n">
        <v>4</v>
      </c>
      <c r="P113" t="n">
        <v>0</v>
      </c>
      <c r="Q113" t="n">
        <v>4</v>
      </c>
      <c r="R113" s="2" t="inlineStr">
        <is>
          <t>Dvärgbägarlav
Kolflarnlav
Skrovellav
Vedflamlav</t>
        </is>
      </c>
      <c r="S113">
        <f>HYPERLINK("https://klasma.github.io/Logging_2039/artfynd/A 61585-2025 artfynd.xlsx", "A 61585-2025")</f>
        <v/>
      </c>
      <c r="T113">
        <f>HYPERLINK("https://klasma.github.io/Logging_2039/kartor/A 61585-2025 karta.png", "A 61585-2025")</f>
        <v/>
      </c>
      <c r="V113">
        <f>HYPERLINK("https://klasma.github.io/Logging_2039/klagomål/A 61585-2025 FSC-klagomål.docx", "A 61585-2025")</f>
        <v/>
      </c>
      <c r="W113">
        <f>HYPERLINK("https://klasma.github.io/Logging_2039/klagomålsmail/A 61585-2025 FSC-klagomål mail.docx", "A 61585-2025")</f>
        <v/>
      </c>
      <c r="X113">
        <f>HYPERLINK("https://klasma.github.io/Logging_2039/tillsyn/A 61585-2025 tillsynsbegäran.docx", "A 61585-2025")</f>
        <v/>
      </c>
      <c r="Y113">
        <f>HYPERLINK("https://klasma.github.io/Logging_2039/tillsynsmail/A 61585-2025 tillsynsbegäran mail.docx", "A 61585-2025")</f>
        <v/>
      </c>
    </row>
    <row r="114" ht="15" customHeight="1">
      <c r="A114" t="inlineStr">
        <is>
          <t>A 61583-2025</t>
        </is>
      </c>
      <c r="B114" s="1" t="n">
        <v>46002.34027777778</v>
      </c>
      <c r="C114" s="1" t="n">
        <v>46074</v>
      </c>
      <c r="D114" t="inlineStr">
        <is>
          <t>DALARNAS LÄN</t>
        </is>
      </c>
      <c r="E114" t="inlineStr">
        <is>
          <t>ÄLVDALEN</t>
        </is>
      </c>
      <c r="F114" t="inlineStr">
        <is>
          <t>Sveaskog</t>
        </is>
      </c>
      <c r="G114" t="n">
        <v>6.7</v>
      </c>
      <c r="H114" t="n">
        <v>2</v>
      </c>
      <c r="I114" t="n">
        <v>1</v>
      </c>
      <c r="J114" t="n">
        <v>3</v>
      </c>
      <c r="K114" t="n">
        <v>0</v>
      </c>
      <c r="L114" t="n">
        <v>0</v>
      </c>
      <c r="M114" t="n">
        <v>0</v>
      </c>
      <c r="N114" t="n">
        <v>0</v>
      </c>
      <c r="O114" t="n">
        <v>3</v>
      </c>
      <c r="P114" t="n">
        <v>0</v>
      </c>
      <c r="Q114" t="n">
        <v>4</v>
      </c>
      <c r="R114" s="2" t="inlineStr">
        <is>
          <t>Kolflarnlav
Mörk kolflarnlav
Varglav
Plattlummer</t>
        </is>
      </c>
      <c r="S114">
        <f>HYPERLINK("https://klasma.github.io/Logging_2039/artfynd/A 61583-2025 artfynd.xlsx", "A 61583-2025")</f>
        <v/>
      </c>
      <c r="T114">
        <f>HYPERLINK("https://klasma.github.io/Logging_2039/kartor/A 61583-2025 karta.png", "A 61583-2025")</f>
        <v/>
      </c>
      <c r="V114">
        <f>HYPERLINK("https://klasma.github.io/Logging_2039/klagomål/A 61583-2025 FSC-klagomål.docx", "A 61583-2025")</f>
        <v/>
      </c>
      <c r="W114">
        <f>HYPERLINK("https://klasma.github.io/Logging_2039/klagomålsmail/A 61583-2025 FSC-klagomål mail.docx", "A 61583-2025")</f>
        <v/>
      </c>
      <c r="X114">
        <f>HYPERLINK("https://klasma.github.io/Logging_2039/tillsyn/A 61583-2025 tillsynsbegäran.docx", "A 61583-2025")</f>
        <v/>
      </c>
      <c r="Y114">
        <f>HYPERLINK("https://klasma.github.io/Logging_2039/tillsynsmail/A 61583-2025 tillsynsbegäran mail.docx", "A 61583-2025")</f>
        <v/>
      </c>
    </row>
    <row r="115" ht="15" customHeight="1">
      <c r="A115" t="inlineStr">
        <is>
          <t>A 63327-2025</t>
        </is>
      </c>
      <c r="B115" s="1" t="n">
        <v>46010.63902777778</v>
      </c>
      <c r="C115" s="1" t="n">
        <v>46074</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32204-2024</t>
        </is>
      </c>
      <c r="B116" s="1" t="n">
        <v>45511.67277777778</v>
      </c>
      <c r="C116" s="1" t="n">
        <v>46074</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Blanksvart spiklav
Kolflarnlav
Mörk kolflarnlav
Vedflamlav</t>
        </is>
      </c>
      <c r="S116">
        <f>HYPERLINK("https://klasma.github.io/Logging_2039/artfynd/A 32204-2024 artfynd.xlsx", "A 32204-2024")</f>
        <v/>
      </c>
      <c r="T116">
        <f>HYPERLINK("https://klasma.github.io/Logging_2039/kartor/A 32204-2024 karta.png", "A 32204-2024")</f>
        <v/>
      </c>
      <c r="V116">
        <f>HYPERLINK("https://klasma.github.io/Logging_2039/klagomål/A 32204-2024 FSC-klagomål.docx", "A 32204-2024")</f>
        <v/>
      </c>
      <c r="W116">
        <f>HYPERLINK("https://klasma.github.io/Logging_2039/klagomålsmail/A 32204-2024 FSC-klagomål mail.docx", "A 32204-2024")</f>
        <v/>
      </c>
      <c r="X116">
        <f>HYPERLINK("https://klasma.github.io/Logging_2039/tillsyn/A 32204-2024 tillsynsbegäran.docx", "A 32204-2024")</f>
        <v/>
      </c>
      <c r="Y116">
        <f>HYPERLINK("https://klasma.github.io/Logging_2039/tillsynsmail/A 32204-2024 tillsynsbegäran mail.docx", "A 32204-2024")</f>
        <v/>
      </c>
    </row>
    <row r="117" ht="15" customHeight="1">
      <c r="A117" t="inlineStr">
        <is>
          <t>A 7921-2026</t>
        </is>
      </c>
      <c r="B117" s="1" t="n">
        <v>46063</v>
      </c>
      <c r="C117" s="1" t="n">
        <v>46074</v>
      </c>
      <c r="D117" t="inlineStr">
        <is>
          <t>DALARNAS LÄN</t>
        </is>
      </c>
      <c r="E117" t="inlineStr">
        <is>
          <t>ÄLVDALEN</t>
        </is>
      </c>
      <c r="F117" t="inlineStr">
        <is>
          <t>Övriga Aktiebolag</t>
        </is>
      </c>
      <c r="G117" t="n">
        <v>6.6</v>
      </c>
      <c r="H117" t="n">
        <v>0</v>
      </c>
      <c r="I117" t="n">
        <v>2</v>
      </c>
      <c r="J117" t="n">
        <v>2</v>
      </c>
      <c r="K117" t="n">
        <v>0</v>
      </c>
      <c r="L117" t="n">
        <v>0</v>
      </c>
      <c r="M117" t="n">
        <v>0</v>
      </c>
      <c r="N117" t="n">
        <v>0</v>
      </c>
      <c r="O117" t="n">
        <v>2</v>
      </c>
      <c r="P117" t="n">
        <v>0</v>
      </c>
      <c r="Q117" t="n">
        <v>4</v>
      </c>
      <c r="R117" s="2" t="inlineStr">
        <is>
          <t>Knottrig blåslav
Lunglav
Bårdlav
Stuplav</t>
        </is>
      </c>
      <c r="S117">
        <f>HYPERLINK("https://klasma.github.io/Logging_2039/artfynd/A 7921-2026 artfynd.xlsx", "A 7921-2026")</f>
        <v/>
      </c>
      <c r="T117">
        <f>HYPERLINK("https://klasma.github.io/Logging_2039/kartor/A 7921-2026 karta.png", "A 7921-2026")</f>
        <v/>
      </c>
      <c r="V117">
        <f>HYPERLINK("https://klasma.github.io/Logging_2039/klagomål/A 7921-2026 FSC-klagomål.docx", "A 7921-2026")</f>
        <v/>
      </c>
      <c r="W117">
        <f>HYPERLINK("https://klasma.github.io/Logging_2039/klagomålsmail/A 7921-2026 FSC-klagomål mail.docx", "A 7921-2026")</f>
        <v/>
      </c>
      <c r="X117">
        <f>HYPERLINK("https://klasma.github.io/Logging_2039/tillsyn/A 7921-2026 tillsynsbegäran.docx", "A 7921-2026")</f>
        <v/>
      </c>
      <c r="Y117">
        <f>HYPERLINK("https://klasma.github.io/Logging_2039/tillsynsmail/A 7921-2026 tillsynsbegäran mail.docx", "A 7921-2026")</f>
        <v/>
      </c>
    </row>
    <row r="118" ht="15" customHeight="1">
      <c r="A118" t="inlineStr">
        <is>
          <t>A 32207-2024</t>
        </is>
      </c>
      <c r="B118" s="1" t="n">
        <v>45511.67440972223</v>
      </c>
      <c r="C118" s="1" t="n">
        <v>46074</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46074</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25090-2025</t>
        </is>
      </c>
      <c r="B120" s="1" t="n">
        <v>45800.31733796297</v>
      </c>
      <c r="C120" s="1" t="n">
        <v>46074</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35141-2023</t>
        </is>
      </c>
      <c r="B121" s="1" t="n">
        <v>45145</v>
      </c>
      <c r="C121" s="1" t="n">
        <v>46074</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27933-2025</t>
        </is>
      </c>
      <c r="B122" s="1" t="n">
        <v>45817.49630787037</v>
      </c>
      <c r="C122" s="1" t="n">
        <v>46074</v>
      </c>
      <c r="D122" t="inlineStr">
        <is>
          <t>DALARNAS LÄN</t>
        </is>
      </c>
      <c r="E122" t="inlineStr">
        <is>
          <t>ÄLVDALEN</t>
        </is>
      </c>
      <c r="F122" t="inlineStr">
        <is>
          <t>Sveaskog</t>
        </is>
      </c>
      <c r="G122" t="n">
        <v>2.5</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27933-2025 artfynd.xlsx", "A 27933-2025")</f>
        <v/>
      </c>
      <c r="T122">
        <f>HYPERLINK("https://klasma.github.io/Logging_2039/kartor/A 27933-2025 karta.png", "A 27933-2025")</f>
        <v/>
      </c>
      <c r="V122">
        <f>HYPERLINK("https://klasma.github.io/Logging_2039/klagomål/A 27933-2025 FSC-klagomål.docx", "A 27933-2025")</f>
        <v/>
      </c>
      <c r="W122">
        <f>HYPERLINK("https://klasma.github.io/Logging_2039/klagomålsmail/A 27933-2025 FSC-klagomål mail.docx", "A 27933-2025")</f>
        <v/>
      </c>
      <c r="X122">
        <f>HYPERLINK("https://klasma.github.io/Logging_2039/tillsyn/A 27933-2025 tillsynsbegäran.docx", "A 27933-2025")</f>
        <v/>
      </c>
      <c r="Y122">
        <f>HYPERLINK("https://klasma.github.io/Logging_2039/tillsynsmail/A 27933-2025 tillsynsbegäran mail.docx", "A 27933-2025")</f>
        <v/>
      </c>
    </row>
    <row r="123" ht="15" customHeight="1">
      <c r="A123" t="inlineStr">
        <is>
          <t>A 18839-2024</t>
        </is>
      </c>
      <c r="B123" s="1" t="n">
        <v>45426</v>
      </c>
      <c r="C123" s="1" t="n">
        <v>46074</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41909-2022</t>
        </is>
      </c>
      <c r="B124" s="1" t="n">
        <v>44830</v>
      </c>
      <c r="C124" s="1" t="n">
        <v>46074</v>
      </c>
      <c r="D124" t="inlineStr">
        <is>
          <t>DALARNAS LÄN</t>
        </is>
      </c>
      <c r="E124" t="inlineStr">
        <is>
          <t>ÄLVDALEN</t>
        </is>
      </c>
      <c r="F124" t="inlineStr">
        <is>
          <t>Sveaskog</t>
        </is>
      </c>
      <c r="G124" t="n">
        <v>3.5</v>
      </c>
      <c r="H124" t="n">
        <v>1</v>
      </c>
      <c r="I124" t="n">
        <v>0</v>
      </c>
      <c r="J124" t="n">
        <v>2</v>
      </c>
      <c r="K124" t="n">
        <v>1</v>
      </c>
      <c r="L124" t="n">
        <v>0</v>
      </c>
      <c r="M124" t="n">
        <v>0</v>
      </c>
      <c r="N124" t="n">
        <v>0</v>
      </c>
      <c r="O124" t="n">
        <v>3</v>
      </c>
      <c r="P124" t="n">
        <v>1</v>
      </c>
      <c r="Q124" t="n">
        <v>3</v>
      </c>
      <c r="R124" s="2" t="inlineStr">
        <is>
          <t>Tajgataggsvamp
Blanksvart spiklav
Talltita</t>
        </is>
      </c>
      <c r="S124">
        <f>HYPERLINK("https://klasma.github.io/Logging_2039/artfynd/A 41909-2022 artfynd.xlsx", "A 41909-2022")</f>
        <v/>
      </c>
      <c r="T124">
        <f>HYPERLINK("https://klasma.github.io/Logging_2039/kartor/A 41909-2022 karta.png", "A 41909-2022")</f>
        <v/>
      </c>
      <c r="V124">
        <f>HYPERLINK("https://klasma.github.io/Logging_2039/klagomål/A 41909-2022 FSC-klagomål.docx", "A 41909-2022")</f>
        <v/>
      </c>
      <c r="W124">
        <f>HYPERLINK("https://klasma.github.io/Logging_2039/klagomålsmail/A 41909-2022 FSC-klagomål mail.docx", "A 41909-2022")</f>
        <v/>
      </c>
      <c r="X124">
        <f>HYPERLINK("https://klasma.github.io/Logging_2039/tillsyn/A 41909-2022 tillsynsbegäran.docx", "A 41909-2022")</f>
        <v/>
      </c>
      <c r="Y124">
        <f>HYPERLINK("https://klasma.github.io/Logging_2039/tillsynsmail/A 41909-2022 tillsynsbegäran mail.docx", "A 41909-2022")</f>
        <v/>
      </c>
      <c r="Z124">
        <f>HYPERLINK("https://klasma.github.io/Logging_2039/fåglar/A 41909-2022 prioriterade fågelarter.docx", "A 41909-2022")</f>
        <v/>
      </c>
    </row>
    <row r="125" ht="15" customHeight="1">
      <c r="A125" t="inlineStr">
        <is>
          <t>A 33645-2025</t>
        </is>
      </c>
      <c r="B125" s="1" t="n">
        <v>45841.65282407407</v>
      </c>
      <c r="C125" s="1" t="n">
        <v>46074</v>
      </c>
      <c r="D125" t="inlineStr">
        <is>
          <t>DALARNAS LÄN</t>
        </is>
      </c>
      <c r="E125" t="inlineStr">
        <is>
          <t>ÄLVDALEN</t>
        </is>
      </c>
      <c r="F125" t="inlineStr">
        <is>
          <t>Sveaskog</t>
        </is>
      </c>
      <c r="G125" t="n">
        <v>1.6</v>
      </c>
      <c r="H125" t="n">
        <v>0</v>
      </c>
      <c r="I125" t="n">
        <v>0</v>
      </c>
      <c r="J125" t="n">
        <v>3</v>
      </c>
      <c r="K125" t="n">
        <v>0</v>
      </c>
      <c r="L125" t="n">
        <v>0</v>
      </c>
      <c r="M125" t="n">
        <v>0</v>
      </c>
      <c r="N125" t="n">
        <v>0</v>
      </c>
      <c r="O125" t="n">
        <v>3</v>
      </c>
      <c r="P125" t="n">
        <v>0</v>
      </c>
      <c r="Q125" t="n">
        <v>3</v>
      </c>
      <c r="R125" s="2" t="inlineStr">
        <is>
          <t>Dvärgbägarlav
Kolflarnlav
Vedflamlav</t>
        </is>
      </c>
      <c r="S125">
        <f>HYPERLINK("https://klasma.github.io/Logging_2039/artfynd/A 33645-2025 artfynd.xlsx", "A 33645-2025")</f>
        <v/>
      </c>
      <c r="T125">
        <f>HYPERLINK("https://klasma.github.io/Logging_2039/kartor/A 33645-2025 karta.png", "A 33645-2025")</f>
        <v/>
      </c>
      <c r="V125">
        <f>HYPERLINK("https://klasma.github.io/Logging_2039/klagomål/A 33645-2025 FSC-klagomål.docx", "A 33645-2025")</f>
        <v/>
      </c>
      <c r="W125">
        <f>HYPERLINK("https://klasma.github.io/Logging_2039/klagomålsmail/A 33645-2025 FSC-klagomål mail.docx", "A 33645-2025")</f>
        <v/>
      </c>
      <c r="X125">
        <f>HYPERLINK("https://klasma.github.io/Logging_2039/tillsyn/A 33645-2025 tillsynsbegäran.docx", "A 33645-2025")</f>
        <v/>
      </c>
      <c r="Y125">
        <f>HYPERLINK("https://klasma.github.io/Logging_2039/tillsynsmail/A 33645-2025 tillsynsbegäran mail.docx", "A 33645-2025")</f>
        <v/>
      </c>
    </row>
    <row r="126" ht="15" customHeight="1">
      <c r="A126" t="inlineStr">
        <is>
          <t>A 44128-2023</t>
        </is>
      </c>
      <c r="B126" s="1" t="n">
        <v>45188.45712962963</v>
      </c>
      <c r="C126" s="1" t="n">
        <v>46074</v>
      </c>
      <c r="D126" t="inlineStr">
        <is>
          <t>DALARNAS LÄN</t>
        </is>
      </c>
      <c r="E126" t="inlineStr">
        <is>
          <t>ÄLVDALEN</t>
        </is>
      </c>
      <c r="F126" t="inlineStr">
        <is>
          <t>Sveaskog</t>
        </is>
      </c>
      <c r="G126" t="n">
        <v>1.8</v>
      </c>
      <c r="H126" t="n">
        <v>0</v>
      </c>
      <c r="I126" t="n">
        <v>1</v>
      </c>
      <c r="J126" t="n">
        <v>2</v>
      </c>
      <c r="K126" t="n">
        <v>0</v>
      </c>
      <c r="L126" t="n">
        <v>0</v>
      </c>
      <c r="M126" t="n">
        <v>0</v>
      </c>
      <c r="N126" t="n">
        <v>0</v>
      </c>
      <c r="O126" t="n">
        <v>2</v>
      </c>
      <c r="P126" t="n">
        <v>0</v>
      </c>
      <c r="Q126" t="n">
        <v>3</v>
      </c>
      <c r="R126" s="2" t="inlineStr">
        <is>
          <t>Blanksvart spiklav
Talltaggsvamp
Skarp dropptaggsvamp</t>
        </is>
      </c>
      <c r="S126">
        <f>HYPERLINK("https://klasma.github.io/Logging_2039/artfynd/A 44128-2023 artfynd.xlsx", "A 44128-2023")</f>
        <v/>
      </c>
      <c r="T126">
        <f>HYPERLINK("https://klasma.github.io/Logging_2039/kartor/A 44128-2023 karta.png", "A 44128-2023")</f>
        <v/>
      </c>
      <c r="V126">
        <f>HYPERLINK("https://klasma.github.io/Logging_2039/klagomål/A 44128-2023 FSC-klagomål.docx", "A 44128-2023")</f>
        <v/>
      </c>
      <c r="W126">
        <f>HYPERLINK("https://klasma.github.io/Logging_2039/klagomålsmail/A 44128-2023 FSC-klagomål mail.docx", "A 44128-2023")</f>
        <v/>
      </c>
      <c r="X126">
        <f>HYPERLINK("https://klasma.github.io/Logging_2039/tillsyn/A 44128-2023 tillsynsbegäran.docx", "A 44128-2023")</f>
        <v/>
      </c>
      <c r="Y126">
        <f>HYPERLINK("https://klasma.github.io/Logging_2039/tillsynsmail/A 44128-2023 tillsynsbegäran mail.docx", "A 44128-2023")</f>
        <v/>
      </c>
    </row>
    <row r="127" ht="15" customHeight="1">
      <c r="A127" t="inlineStr">
        <is>
          <t>A 49125-2025</t>
        </is>
      </c>
      <c r="B127" s="1" t="n">
        <v>45937.86962962963</v>
      </c>
      <c r="C127" s="1" t="n">
        <v>46074</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31057-2024</t>
        </is>
      </c>
      <c r="B128" s="1" t="n">
        <v>45502.37813657407</v>
      </c>
      <c r="C128" s="1" t="n">
        <v>46074</v>
      </c>
      <c r="D128" t="inlineStr">
        <is>
          <t>DALARNAS LÄN</t>
        </is>
      </c>
      <c r="E128" t="inlineStr">
        <is>
          <t>ÄLVDALEN</t>
        </is>
      </c>
      <c r="F128" t="inlineStr">
        <is>
          <t>Sveaskog</t>
        </is>
      </c>
      <c r="G128" t="n">
        <v>2.4</v>
      </c>
      <c r="H128" t="n">
        <v>0</v>
      </c>
      <c r="I128" t="n">
        <v>1</v>
      </c>
      <c r="J128" t="n">
        <v>2</v>
      </c>
      <c r="K128" t="n">
        <v>0</v>
      </c>
      <c r="L128" t="n">
        <v>0</v>
      </c>
      <c r="M128" t="n">
        <v>0</v>
      </c>
      <c r="N128" t="n">
        <v>0</v>
      </c>
      <c r="O128" t="n">
        <v>2</v>
      </c>
      <c r="P128" t="n">
        <v>0</v>
      </c>
      <c r="Q128" t="n">
        <v>3</v>
      </c>
      <c r="R128" s="2" t="inlineStr">
        <is>
          <t>Blå taggsvamp
Kolflarnlav
Skarp dropptaggsvamp</t>
        </is>
      </c>
      <c r="S128">
        <f>HYPERLINK("https://klasma.github.io/Logging_2039/artfynd/A 31057-2024 artfynd.xlsx", "A 31057-2024")</f>
        <v/>
      </c>
      <c r="T128">
        <f>HYPERLINK("https://klasma.github.io/Logging_2039/kartor/A 31057-2024 karta.png", "A 31057-2024")</f>
        <v/>
      </c>
      <c r="V128">
        <f>HYPERLINK("https://klasma.github.io/Logging_2039/klagomål/A 31057-2024 FSC-klagomål.docx", "A 31057-2024")</f>
        <v/>
      </c>
      <c r="W128">
        <f>HYPERLINK("https://klasma.github.io/Logging_2039/klagomålsmail/A 31057-2024 FSC-klagomål mail.docx", "A 31057-2024")</f>
        <v/>
      </c>
      <c r="X128">
        <f>HYPERLINK("https://klasma.github.io/Logging_2039/tillsyn/A 31057-2024 tillsynsbegäran.docx", "A 31057-2024")</f>
        <v/>
      </c>
      <c r="Y128">
        <f>HYPERLINK("https://klasma.github.io/Logging_2039/tillsynsmail/A 31057-2024 tillsynsbegäran mail.docx", "A 31057-2024")</f>
        <v/>
      </c>
    </row>
    <row r="129" ht="15" customHeight="1">
      <c r="A129" t="inlineStr">
        <is>
          <t>A 55218-2025</t>
        </is>
      </c>
      <c r="B129" s="1" t="n">
        <v>45968.58936342593</v>
      </c>
      <c r="C129" s="1" t="n">
        <v>46074</v>
      </c>
      <c r="D129" t="inlineStr">
        <is>
          <t>DALARNAS LÄN</t>
        </is>
      </c>
      <c r="E129" t="inlineStr">
        <is>
          <t>ÄLVDALEN</t>
        </is>
      </c>
      <c r="F129" t="inlineStr">
        <is>
          <t>Sveaskog</t>
        </is>
      </c>
      <c r="G129" t="n">
        <v>3.5</v>
      </c>
      <c r="H129" t="n">
        <v>1</v>
      </c>
      <c r="I129" t="n">
        <v>1</v>
      </c>
      <c r="J129" t="n">
        <v>1</v>
      </c>
      <c r="K129" t="n">
        <v>1</v>
      </c>
      <c r="L129" t="n">
        <v>0</v>
      </c>
      <c r="M129" t="n">
        <v>0</v>
      </c>
      <c r="N129" t="n">
        <v>0</v>
      </c>
      <c r="O129" t="n">
        <v>2</v>
      </c>
      <c r="P129" t="n">
        <v>1</v>
      </c>
      <c r="Q129" t="n">
        <v>3</v>
      </c>
      <c r="R129" s="2" t="inlineStr">
        <is>
          <t>Gräddporing
Varglav
Dropptaggsvamp</t>
        </is>
      </c>
      <c r="S129">
        <f>HYPERLINK("https://klasma.github.io/Logging_2039/artfynd/A 55218-2025 artfynd.xlsx", "A 55218-2025")</f>
        <v/>
      </c>
      <c r="T129">
        <f>HYPERLINK("https://klasma.github.io/Logging_2039/kartor/A 55218-2025 karta.png", "A 55218-2025")</f>
        <v/>
      </c>
      <c r="V129">
        <f>HYPERLINK("https://klasma.github.io/Logging_2039/klagomål/A 55218-2025 FSC-klagomål.docx", "A 55218-2025")</f>
        <v/>
      </c>
      <c r="W129">
        <f>HYPERLINK("https://klasma.github.io/Logging_2039/klagomålsmail/A 55218-2025 FSC-klagomål mail.docx", "A 55218-2025")</f>
        <v/>
      </c>
      <c r="X129">
        <f>HYPERLINK("https://klasma.github.io/Logging_2039/tillsyn/A 55218-2025 tillsynsbegäran.docx", "A 55218-2025")</f>
        <v/>
      </c>
      <c r="Y129">
        <f>HYPERLINK("https://klasma.github.io/Logging_2039/tillsynsmail/A 55218-2025 tillsynsbegäran mail.docx", "A 55218-2025")</f>
        <v/>
      </c>
    </row>
    <row r="130" ht="15" customHeight="1">
      <c r="A130" t="inlineStr">
        <is>
          <t>A 59587-2025</t>
        </is>
      </c>
      <c r="B130" s="1" t="n">
        <v>45992.33722222222</v>
      </c>
      <c r="C130" s="1" t="n">
        <v>46074</v>
      </c>
      <c r="D130" t="inlineStr">
        <is>
          <t>DALARNAS LÄN</t>
        </is>
      </c>
      <c r="E130" t="inlineStr">
        <is>
          <t>ÄLVDALEN</t>
        </is>
      </c>
      <c r="F130" t="inlineStr">
        <is>
          <t>Sveaskog</t>
        </is>
      </c>
      <c r="G130" t="n">
        <v>10.7</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59587-2025 artfynd.xlsx", "A 59587-2025")</f>
        <v/>
      </c>
      <c r="T130">
        <f>HYPERLINK("https://klasma.github.io/Logging_2039/kartor/A 59587-2025 karta.png", "A 59587-2025")</f>
        <v/>
      </c>
      <c r="V130">
        <f>HYPERLINK("https://klasma.github.io/Logging_2039/klagomål/A 59587-2025 FSC-klagomål.docx", "A 59587-2025")</f>
        <v/>
      </c>
      <c r="W130">
        <f>HYPERLINK("https://klasma.github.io/Logging_2039/klagomålsmail/A 59587-2025 FSC-klagomål mail.docx", "A 59587-2025")</f>
        <v/>
      </c>
      <c r="X130">
        <f>HYPERLINK("https://klasma.github.io/Logging_2039/tillsyn/A 59587-2025 tillsynsbegäran.docx", "A 59587-2025")</f>
        <v/>
      </c>
      <c r="Y130">
        <f>HYPERLINK("https://klasma.github.io/Logging_2039/tillsynsmail/A 59587-2025 tillsynsbegäran mail.docx", "A 59587-2025")</f>
        <v/>
      </c>
    </row>
    <row r="131" ht="15" customHeight="1">
      <c r="A131" t="inlineStr">
        <is>
          <t>A 43740-2024</t>
        </is>
      </c>
      <c r="B131" s="1" t="n">
        <v>45569.65748842592</v>
      </c>
      <c r="C131" s="1" t="n">
        <v>46074</v>
      </c>
      <c r="D131" t="inlineStr">
        <is>
          <t>DALARNAS LÄN</t>
        </is>
      </c>
      <c r="E131" t="inlineStr">
        <is>
          <t>ÄLVDALEN</t>
        </is>
      </c>
      <c r="F131" t="inlineStr">
        <is>
          <t>Sveaskog</t>
        </is>
      </c>
      <c r="G131" t="n">
        <v>2.3</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HYPERLINK("https://klasma.github.io/Logging_2039/artfynd/A 43740-2024 artfynd.xlsx", "A 43740-2024")</f>
        <v/>
      </c>
      <c r="T131">
        <f>HYPERLINK("https://klasma.github.io/Logging_2039/kartor/A 43740-2024 karta.png", "A 43740-2024")</f>
        <v/>
      </c>
      <c r="V131">
        <f>HYPERLINK("https://klasma.github.io/Logging_2039/klagomål/A 43740-2024 FSC-klagomål.docx", "A 43740-2024")</f>
        <v/>
      </c>
      <c r="W131">
        <f>HYPERLINK("https://klasma.github.io/Logging_2039/klagomålsmail/A 43740-2024 FSC-klagomål mail.docx", "A 43740-2024")</f>
        <v/>
      </c>
      <c r="X131">
        <f>HYPERLINK("https://klasma.github.io/Logging_2039/tillsyn/A 43740-2024 tillsynsbegäran.docx", "A 43740-2024")</f>
        <v/>
      </c>
      <c r="Y131">
        <f>HYPERLINK("https://klasma.github.io/Logging_2039/tillsynsmail/A 43740-2024 tillsynsbegäran mail.docx", "A 43740-2024")</f>
        <v/>
      </c>
    </row>
    <row r="132" ht="15" customHeight="1">
      <c r="A132" t="inlineStr">
        <is>
          <t>A 32403-2023</t>
        </is>
      </c>
      <c r="B132" s="1" t="n">
        <v>45120</v>
      </c>
      <c r="C132" s="1" t="n">
        <v>46074</v>
      </c>
      <c r="D132" t="inlineStr">
        <is>
          <t>DALARNAS LÄN</t>
        </is>
      </c>
      <c r="E132" t="inlineStr">
        <is>
          <t>ÄLVDALEN</t>
        </is>
      </c>
      <c r="F132" t="inlineStr">
        <is>
          <t>Sveaskog</t>
        </is>
      </c>
      <c r="G132" t="n">
        <v>3</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HYPERLINK("https://klasma.github.io/Logging_2039/artfynd/A 32403-2023 artfynd.xlsx", "A 32403-2023")</f>
        <v/>
      </c>
      <c r="T132">
        <f>HYPERLINK("https://klasma.github.io/Logging_2039/kartor/A 32403-2023 karta.png", "A 32403-2023")</f>
        <v/>
      </c>
      <c r="V132">
        <f>HYPERLINK("https://klasma.github.io/Logging_2039/klagomål/A 32403-2023 FSC-klagomål.docx", "A 32403-2023")</f>
        <v/>
      </c>
      <c r="W132">
        <f>HYPERLINK("https://klasma.github.io/Logging_2039/klagomålsmail/A 32403-2023 FSC-klagomål mail.docx", "A 32403-2023")</f>
        <v/>
      </c>
      <c r="X132">
        <f>HYPERLINK("https://klasma.github.io/Logging_2039/tillsyn/A 32403-2023 tillsynsbegäran.docx", "A 32403-2023")</f>
        <v/>
      </c>
      <c r="Y132">
        <f>HYPERLINK("https://klasma.github.io/Logging_2039/tillsynsmail/A 32403-2023 tillsynsbegäran mail.docx", "A 32403-2023")</f>
        <v/>
      </c>
    </row>
    <row r="133" ht="15" customHeight="1">
      <c r="A133" t="inlineStr">
        <is>
          <t>A 41921-2022</t>
        </is>
      </c>
      <c r="B133" s="1" t="n">
        <v>44830</v>
      </c>
      <c r="C133" s="1" t="n">
        <v>46074</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51732-2021</t>
        </is>
      </c>
      <c r="B134" s="1" t="n">
        <v>44461</v>
      </c>
      <c r="C134" s="1" t="n">
        <v>46074</v>
      </c>
      <c r="D134" t="inlineStr">
        <is>
          <t>DALARNAS LÄN</t>
        </is>
      </c>
      <c r="E134" t="inlineStr">
        <is>
          <t>ÄLVDALEN</t>
        </is>
      </c>
      <c r="F134" t="inlineStr">
        <is>
          <t>Övriga statliga verk och myndigheter</t>
        </is>
      </c>
      <c r="G134" t="n">
        <v>5</v>
      </c>
      <c r="H134" t="n">
        <v>0</v>
      </c>
      <c r="I134" t="n">
        <v>2</v>
      </c>
      <c r="J134" t="n">
        <v>1</v>
      </c>
      <c r="K134" t="n">
        <v>0</v>
      </c>
      <c r="L134" t="n">
        <v>0</v>
      </c>
      <c r="M134" t="n">
        <v>0</v>
      </c>
      <c r="N134" t="n">
        <v>0</v>
      </c>
      <c r="O134" t="n">
        <v>1</v>
      </c>
      <c r="P134" t="n">
        <v>0</v>
      </c>
      <c r="Q134" t="n">
        <v>3</v>
      </c>
      <c r="R134" s="2" t="inlineStr">
        <is>
          <t>Garnlav
Svavelriska
Vedticka</t>
        </is>
      </c>
      <c r="S134">
        <f>HYPERLINK("https://klasma.github.io/Logging_2039/artfynd/A 51732-2021 artfynd.xlsx", "A 51732-2021")</f>
        <v/>
      </c>
      <c r="T134">
        <f>HYPERLINK("https://klasma.github.io/Logging_2039/kartor/A 51732-2021 karta.png", "A 51732-2021")</f>
        <v/>
      </c>
      <c r="V134">
        <f>HYPERLINK("https://klasma.github.io/Logging_2039/klagomål/A 51732-2021 FSC-klagomål.docx", "A 51732-2021")</f>
        <v/>
      </c>
      <c r="W134">
        <f>HYPERLINK("https://klasma.github.io/Logging_2039/klagomålsmail/A 51732-2021 FSC-klagomål mail.docx", "A 51732-2021")</f>
        <v/>
      </c>
      <c r="X134">
        <f>HYPERLINK("https://klasma.github.io/Logging_2039/tillsyn/A 51732-2021 tillsynsbegäran.docx", "A 51732-2021")</f>
        <v/>
      </c>
      <c r="Y134">
        <f>HYPERLINK("https://klasma.github.io/Logging_2039/tillsynsmail/A 51732-2021 tillsynsbegäran mail.docx", "A 51732-2021")</f>
        <v/>
      </c>
    </row>
    <row r="135" ht="15" customHeight="1">
      <c r="A135" t="inlineStr">
        <is>
          <t>A 7024-2024</t>
        </is>
      </c>
      <c r="B135" s="1" t="n">
        <v>45343.57924768519</v>
      </c>
      <c r="C135" s="1" t="n">
        <v>46074</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46074</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46074</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67709-2021</t>
        </is>
      </c>
      <c r="B138" s="1" t="n">
        <v>44525</v>
      </c>
      <c r="C138" s="1" t="n">
        <v>46074</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46074</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46074</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46074</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46074</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21629-2022</t>
        </is>
      </c>
      <c r="B143" s="1" t="n">
        <v>44706</v>
      </c>
      <c r="C143" s="1" t="n">
        <v>46074</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40231-2021</t>
        </is>
      </c>
      <c r="B144" s="1" t="n">
        <v>44419.31553240741</v>
      </c>
      <c r="C144" s="1" t="n">
        <v>46074</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32206-2024</t>
        </is>
      </c>
      <c r="B145" s="1" t="n">
        <v>45511.67366898148</v>
      </c>
      <c r="C145" s="1" t="n">
        <v>46074</v>
      </c>
      <c r="D145" t="inlineStr">
        <is>
          <t>DALARNAS LÄN</t>
        </is>
      </c>
      <c r="E145" t="inlineStr">
        <is>
          <t>ÄLVDALEN</t>
        </is>
      </c>
      <c r="F145" t="inlineStr">
        <is>
          <t>Sveaskog</t>
        </is>
      </c>
      <c r="G145" t="n">
        <v>8.1</v>
      </c>
      <c r="H145" t="n">
        <v>0</v>
      </c>
      <c r="I145" t="n">
        <v>0</v>
      </c>
      <c r="J145" t="n">
        <v>2</v>
      </c>
      <c r="K145" t="n">
        <v>0</v>
      </c>
      <c r="L145" t="n">
        <v>0</v>
      </c>
      <c r="M145" t="n">
        <v>0</v>
      </c>
      <c r="N145" t="n">
        <v>0</v>
      </c>
      <c r="O145" t="n">
        <v>2</v>
      </c>
      <c r="P145" t="n">
        <v>0</v>
      </c>
      <c r="Q145" t="n">
        <v>2</v>
      </c>
      <c r="R145" s="2" t="inlineStr">
        <is>
          <t>Blanksvart spiklav
Dvärgbägarlav</t>
        </is>
      </c>
      <c r="S145">
        <f>HYPERLINK("https://klasma.github.io/Logging_2039/artfynd/A 32206-2024 artfynd.xlsx", "A 32206-2024")</f>
        <v/>
      </c>
      <c r="T145">
        <f>HYPERLINK("https://klasma.github.io/Logging_2039/kartor/A 32206-2024 karta.png", "A 32206-2024")</f>
        <v/>
      </c>
      <c r="V145">
        <f>HYPERLINK("https://klasma.github.io/Logging_2039/klagomål/A 32206-2024 FSC-klagomål.docx", "A 32206-2024")</f>
        <v/>
      </c>
      <c r="W145">
        <f>HYPERLINK("https://klasma.github.io/Logging_2039/klagomålsmail/A 32206-2024 FSC-klagomål mail.docx", "A 32206-2024")</f>
        <v/>
      </c>
      <c r="X145">
        <f>HYPERLINK("https://klasma.github.io/Logging_2039/tillsyn/A 32206-2024 tillsynsbegäran.docx", "A 32206-2024")</f>
        <v/>
      </c>
      <c r="Y145">
        <f>HYPERLINK("https://klasma.github.io/Logging_2039/tillsynsmail/A 32206-2024 tillsynsbegäran mail.docx", "A 32206-2024")</f>
        <v/>
      </c>
    </row>
    <row r="146" ht="15" customHeight="1">
      <c r="A146" t="inlineStr">
        <is>
          <t>A 31264-2025</t>
        </is>
      </c>
      <c r="B146" s="1" t="n">
        <v>45833.3283912037</v>
      </c>
      <c r="C146" s="1" t="n">
        <v>46074</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54632-2021</t>
        </is>
      </c>
      <c r="B147" s="1" t="n">
        <v>44473</v>
      </c>
      <c r="C147" s="1" t="n">
        <v>46074</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59429-2024</t>
        </is>
      </c>
      <c r="B148" s="1" t="n">
        <v>45638.42091435185</v>
      </c>
      <c r="C148" s="1" t="n">
        <v>46074</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46074</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27967-2023</t>
        </is>
      </c>
      <c r="B150" s="1" t="n">
        <v>45098.70354166667</v>
      </c>
      <c r="C150" s="1" t="n">
        <v>46074</v>
      </c>
      <c r="D150" t="inlineStr">
        <is>
          <t>DALARNAS LÄN</t>
        </is>
      </c>
      <c r="E150" t="inlineStr">
        <is>
          <t>ÄLVDALEN</t>
        </is>
      </c>
      <c r="F150" t="inlineStr">
        <is>
          <t>Sveaskog</t>
        </is>
      </c>
      <c r="G150" t="n">
        <v>1.9</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HYPERLINK("https://klasma.github.io/Logging_2039/artfynd/A 27967-2023 artfynd.xlsx", "A 27967-2023")</f>
        <v/>
      </c>
      <c r="T150">
        <f>HYPERLINK("https://klasma.github.io/Logging_2039/kartor/A 27967-2023 karta.png", "A 27967-2023")</f>
        <v/>
      </c>
      <c r="V150">
        <f>HYPERLINK("https://klasma.github.io/Logging_2039/klagomål/A 27967-2023 FSC-klagomål.docx", "A 27967-2023")</f>
        <v/>
      </c>
      <c r="W150">
        <f>HYPERLINK("https://klasma.github.io/Logging_2039/klagomålsmail/A 27967-2023 FSC-klagomål mail.docx", "A 27967-2023")</f>
        <v/>
      </c>
      <c r="X150">
        <f>HYPERLINK("https://klasma.github.io/Logging_2039/tillsyn/A 27967-2023 tillsynsbegäran.docx", "A 27967-2023")</f>
        <v/>
      </c>
      <c r="Y150">
        <f>HYPERLINK("https://klasma.github.io/Logging_2039/tillsynsmail/A 27967-2023 tillsynsbegäran mail.docx", "A 27967-2023")</f>
        <v/>
      </c>
    </row>
    <row r="151" ht="15" customHeight="1">
      <c r="A151" t="inlineStr">
        <is>
          <t>A 40461-2025</t>
        </is>
      </c>
      <c r="B151" s="1" t="n">
        <v>45895</v>
      </c>
      <c r="C151" s="1" t="n">
        <v>46074</v>
      </c>
      <c r="D151" t="inlineStr">
        <is>
          <t>DALARNAS LÄN</t>
        </is>
      </c>
      <c r="E151" t="inlineStr">
        <is>
          <t>ÄLVDALEN</t>
        </is>
      </c>
      <c r="G151" t="n">
        <v>3.1</v>
      </c>
      <c r="H151" t="n">
        <v>2</v>
      </c>
      <c r="I151" t="n">
        <v>0</v>
      </c>
      <c r="J151" t="n">
        <v>1</v>
      </c>
      <c r="K151" t="n">
        <v>0</v>
      </c>
      <c r="L151" t="n">
        <v>0</v>
      </c>
      <c r="M151" t="n">
        <v>0</v>
      </c>
      <c r="N151" t="n">
        <v>0</v>
      </c>
      <c r="O151" t="n">
        <v>1</v>
      </c>
      <c r="P151" t="n">
        <v>0</v>
      </c>
      <c r="Q151" t="n">
        <v>2</v>
      </c>
      <c r="R151" s="2" t="inlineStr">
        <is>
          <t>Talltita
Kungsfågel</t>
        </is>
      </c>
      <c r="S151">
        <f>HYPERLINK("https://klasma.github.io/Logging_2039/artfynd/A 40461-2025 artfynd.xlsx", "A 40461-2025")</f>
        <v/>
      </c>
      <c r="T151">
        <f>HYPERLINK("https://klasma.github.io/Logging_2039/kartor/A 40461-2025 karta.png", "A 40461-2025")</f>
        <v/>
      </c>
      <c r="V151">
        <f>HYPERLINK("https://klasma.github.io/Logging_2039/klagomål/A 40461-2025 FSC-klagomål.docx", "A 40461-2025")</f>
        <v/>
      </c>
      <c r="W151">
        <f>HYPERLINK("https://klasma.github.io/Logging_2039/klagomålsmail/A 40461-2025 FSC-klagomål mail.docx", "A 40461-2025")</f>
        <v/>
      </c>
      <c r="X151">
        <f>HYPERLINK("https://klasma.github.io/Logging_2039/tillsyn/A 40461-2025 tillsynsbegäran.docx", "A 40461-2025")</f>
        <v/>
      </c>
      <c r="Y151">
        <f>HYPERLINK("https://klasma.github.io/Logging_2039/tillsynsmail/A 40461-2025 tillsynsbegäran mail.docx", "A 40461-2025")</f>
        <v/>
      </c>
      <c r="Z151">
        <f>HYPERLINK("https://klasma.github.io/Logging_2039/fåglar/A 40461-2025 prioriterade fågelarter.docx", "A 40461-2025")</f>
        <v/>
      </c>
    </row>
    <row r="152" ht="15" customHeight="1">
      <c r="A152" t="inlineStr">
        <is>
          <t>A 55227-2025</t>
        </is>
      </c>
      <c r="B152" s="1" t="n">
        <v>45968.59744212963</v>
      </c>
      <c r="C152" s="1" t="n">
        <v>46074</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55225-2025</t>
        </is>
      </c>
      <c r="B153" s="1" t="n">
        <v>45968.59571759259</v>
      </c>
      <c r="C153" s="1" t="n">
        <v>46074</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58476-2025</t>
        </is>
      </c>
      <c r="B154" s="1" t="n">
        <v>45985.64229166666</v>
      </c>
      <c r="C154" s="1" t="n">
        <v>46074</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46074</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46074</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46074</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27937-2025</t>
        </is>
      </c>
      <c r="B158" s="1" t="n">
        <v>45817.50025462963</v>
      </c>
      <c r="C158" s="1" t="n">
        <v>46074</v>
      </c>
      <c r="D158" t="inlineStr">
        <is>
          <t>DALARNAS LÄN</t>
        </is>
      </c>
      <c r="E158" t="inlineStr">
        <is>
          <t>ÄLVDALEN</t>
        </is>
      </c>
      <c r="F158" t="inlineStr">
        <is>
          <t>Sveaskog</t>
        </is>
      </c>
      <c r="G158" t="n">
        <v>0.9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HYPERLINK("https://klasma.github.io/Logging_2039/artfynd/A 27937-2025 artfynd.xlsx", "A 27937-2025")</f>
        <v/>
      </c>
      <c r="T158">
        <f>HYPERLINK("https://klasma.github.io/Logging_2039/kartor/A 27937-2025 karta.png", "A 27937-2025")</f>
        <v/>
      </c>
      <c r="V158">
        <f>HYPERLINK("https://klasma.github.io/Logging_2039/klagomål/A 27937-2025 FSC-klagomål.docx", "A 27937-2025")</f>
        <v/>
      </c>
      <c r="W158">
        <f>HYPERLINK("https://klasma.github.io/Logging_2039/klagomålsmail/A 27937-2025 FSC-klagomål mail.docx", "A 27937-2025")</f>
        <v/>
      </c>
      <c r="X158">
        <f>HYPERLINK("https://klasma.github.io/Logging_2039/tillsyn/A 27937-2025 tillsynsbegäran.docx", "A 27937-2025")</f>
        <v/>
      </c>
      <c r="Y158">
        <f>HYPERLINK("https://klasma.github.io/Logging_2039/tillsynsmail/A 27937-2025 tillsynsbegäran mail.docx", "A 27937-2025")</f>
        <v/>
      </c>
    </row>
    <row r="159" ht="15" customHeight="1">
      <c r="A159" t="inlineStr">
        <is>
          <t>A 31761-2021</t>
        </is>
      </c>
      <c r="B159" s="1" t="n">
        <v>44370</v>
      </c>
      <c r="C159" s="1" t="n">
        <v>46074</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46074</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46074</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46074</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46074</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46074</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46074</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46074</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46074</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46074</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46074</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46074</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30691-2024</t>
        </is>
      </c>
      <c r="B171" s="1" t="n">
        <v>45496.26998842593</v>
      </c>
      <c r="C171" s="1" t="n">
        <v>46074</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23872-2023</t>
        </is>
      </c>
      <c r="B172" s="1" t="n">
        <v>45078</v>
      </c>
      <c r="C172" s="1" t="n">
        <v>46074</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19614-2024</t>
        </is>
      </c>
      <c r="B173" s="1" t="n">
        <v>45432.30798611111</v>
      </c>
      <c r="C173" s="1" t="n">
        <v>46074</v>
      </c>
      <c r="D173" t="inlineStr">
        <is>
          <t>DALARNAS LÄN</t>
        </is>
      </c>
      <c r="E173" t="inlineStr">
        <is>
          <t>ÄLVDALEN</t>
        </is>
      </c>
      <c r="F173" t="inlineStr">
        <is>
          <t>Sveaskog</t>
        </is>
      </c>
      <c r="G173" t="n">
        <v>2.9</v>
      </c>
      <c r="H173" t="n">
        <v>0</v>
      </c>
      <c r="I173" t="n">
        <v>0</v>
      </c>
      <c r="J173" t="n">
        <v>1</v>
      </c>
      <c r="K173" t="n">
        <v>0</v>
      </c>
      <c r="L173" t="n">
        <v>0</v>
      </c>
      <c r="M173" t="n">
        <v>0</v>
      </c>
      <c r="N173" t="n">
        <v>0</v>
      </c>
      <c r="O173" t="n">
        <v>1</v>
      </c>
      <c r="P173" t="n">
        <v>0</v>
      </c>
      <c r="Q173" t="n">
        <v>1</v>
      </c>
      <c r="R173" s="2" t="inlineStr">
        <is>
          <t>Mörk kolflarnlav</t>
        </is>
      </c>
      <c r="S173">
        <f>HYPERLINK("https://klasma.github.io/Logging_2039/artfynd/A 19614-2024 artfynd.xlsx", "A 19614-2024")</f>
        <v/>
      </c>
      <c r="T173">
        <f>HYPERLINK("https://klasma.github.io/Logging_2039/kartor/A 19614-2024 karta.png", "A 19614-2024")</f>
        <v/>
      </c>
      <c r="V173">
        <f>HYPERLINK("https://klasma.github.io/Logging_2039/klagomål/A 19614-2024 FSC-klagomål.docx", "A 19614-2024")</f>
        <v/>
      </c>
      <c r="W173">
        <f>HYPERLINK("https://klasma.github.io/Logging_2039/klagomålsmail/A 19614-2024 FSC-klagomål mail.docx", "A 19614-2024")</f>
        <v/>
      </c>
      <c r="X173">
        <f>HYPERLINK("https://klasma.github.io/Logging_2039/tillsyn/A 19614-2024 tillsynsbegäran.docx", "A 19614-2024")</f>
        <v/>
      </c>
      <c r="Y173">
        <f>HYPERLINK("https://klasma.github.io/Logging_2039/tillsynsmail/A 19614-2024 tillsynsbegäran mail.docx", "A 19614-2024")</f>
        <v/>
      </c>
    </row>
    <row r="174" ht="15" customHeight="1">
      <c r="A174" t="inlineStr">
        <is>
          <t>A 50385-2024</t>
        </is>
      </c>
      <c r="B174" s="1" t="n">
        <v>45600</v>
      </c>
      <c r="C174" s="1" t="n">
        <v>46074</v>
      </c>
      <c r="D174" t="inlineStr">
        <is>
          <t>DALARNAS LÄN</t>
        </is>
      </c>
      <c r="E174" t="inlineStr">
        <is>
          <t>ÄLVDALEN</t>
        </is>
      </c>
      <c r="F174" t="inlineStr">
        <is>
          <t>Övriga statliga verk och myndigheter</t>
        </is>
      </c>
      <c r="G174" t="n">
        <v>13.9</v>
      </c>
      <c r="H174" t="n">
        <v>0</v>
      </c>
      <c r="I174" t="n">
        <v>0</v>
      </c>
      <c r="J174" t="n">
        <v>1</v>
      </c>
      <c r="K174" t="n">
        <v>0</v>
      </c>
      <c r="L174" t="n">
        <v>0</v>
      </c>
      <c r="M174" t="n">
        <v>0</v>
      </c>
      <c r="N174" t="n">
        <v>0</v>
      </c>
      <c r="O174" t="n">
        <v>1</v>
      </c>
      <c r="P174" t="n">
        <v>0</v>
      </c>
      <c r="Q174" t="n">
        <v>1</v>
      </c>
      <c r="R174" s="2" t="inlineStr">
        <is>
          <t>Gammelgransskål</t>
        </is>
      </c>
      <c r="S174">
        <f>HYPERLINK("https://klasma.github.io/Logging_2039/artfynd/A 50385-2024 artfynd.xlsx", "A 50385-2024")</f>
        <v/>
      </c>
      <c r="T174">
        <f>HYPERLINK("https://klasma.github.io/Logging_2039/kartor/A 50385-2024 karta.png", "A 50385-2024")</f>
        <v/>
      </c>
      <c r="V174">
        <f>HYPERLINK("https://klasma.github.io/Logging_2039/klagomål/A 50385-2024 FSC-klagomål.docx", "A 50385-2024")</f>
        <v/>
      </c>
      <c r="W174">
        <f>HYPERLINK("https://klasma.github.io/Logging_2039/klagomålsmail/A 50385-2024 FSC-klagomål mail.docx", "A 50385-2024")</f>
        <v/>
      </c>
      <c r="X174">
        <f>HYPERLINK("https://klasma.github.io/Logging_2039/tillsyn/A 50385-2024 tillsynsbegäran.docx", "A 50385-2024")</f>
        <v/>
      </c>
      <c r="Y174">
        <f>HYPERLINK("https://klasma.github.io/Logging_2039/tillsynsmail/A 50385-2024 tillsynsbegäran mail.docx", "A 50385-2024")</f>
        <v/>
      </c>
    </row>
    <row r="175" ht="15" customHeight="1">
      <c r="A175" t="inlineStr">
        <is>
          <t>A 31145-2024</t>
        </is>
      </c>
      <c r="B175" s="1" t="n">
        <v>45502.85956018518</v>
      </c>
      <c r="C175" s="1" t="n">
        <v>46074</v>
      </c>
      <c r="D175" t="inlineStr">
        <is>
          <t>DALARNAS LÄN</t>
        </is>
      </c>
      <c r="E175" t="inlineStr">
        <is>
          <t>ÄLVDALEN</t>
        </is>
      </c>
      <c r="G175" t="n">
        <v>1.2</v>
      </c>
      <c r="H175" t="n">
        <v>1</v>
      </c>
      <c r="I175" t="n">
        <v>0</v>
      </c>
      <c r="J175" t="n">
        <v>1</v>
      </c>
      <c r="K175" t="n">
        <v>0</v>
      </c>
      <c r="L175" t="n">
        <v>0</v>
      </c>
      <c r="M175" t="n">
        <v>0</v>
      </c>
      <c r="N175" t="n">
        <v>0</v>
      </c>
      <c r="O175" t="n">
        <v>1</v>
      </c>
      <c r="P175" t="n">
        <v>0</v>
      </c>
      <c r="Q175" t="n">
        <v>1</v>
      </c>
      <c r="R175" s="2" t="inlineStr">
        <is>
          <t>Tretåig hackspett</t>
        </is>
      </c>
      <c r="S175">
        <f>HYPERLINK("https://klasma.github.io/Logging_2039/artfynd/A 31145-2024 artfynd.xlsx", "A 31145-2024")</f>
        <v/>
      </c>
      <c r="T175">
        <f>HYPERLINK("https://klasma.github.io/Logging_2039/kartor/A 31145-2024 karta.png", "A 31145-2024")</f>
        <v/>
      </c>
      <c r="V175">
        <f>HYPERLINK("https://klasma.github.io/Logging_2039/klagomål/A 31145-2024 FSC-klagomål.docx", "A 31145-2024")</f>
        <v/>
      </c>
      <c r="W175">
        <f>HYPERLINK("https://klasma.github.io/Logging_2039/klagomålsmail/A 31145-2024 FSC-klagomål mail.docx", "A 31145-2024")</f>
        <v/>
      </c>
      <c r="X175">
        <f>HYPERLINK("https://klasma.github.io/Logging_2039/tillsyn/A 31145-2024 tillsynsbegäran.docx", "A 31145-2024")</f>
        <v/>
      </c>
      <c r="Y175">
        <f>HYPERLINK("https://klasma.github.io/Logging_2039/tillsynsmail/A 31145-2024 tillsynsbegäran mail.docx", "A 31145-2024")</f>
        <v/>
      </c>
      <c r="Z175">
        <f>HYPERLINK("https://klasma.github.io/Logging_2039/fåglar/A 31145-2024 prioriterade fågelarter.docx", "A 31145-2024")</f>
        <v/>
      </c>
    </row>
    <row r="176" ht="15" customHeight="1">
      <c r="A176" t="inlineStr">
        <is>
          <t>A 41932-2025</t>
        </is>
      </c>
      <c r="B176" s="1" t="n">
        <v>45903.43458333334</v>
      </c>
      <c r="C176" s="1" t="n">
        <v>46074</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46074</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35352-2025</t>
        </is>
      </c>
      <c r="B178" s="1" t="n">
        <v>45853</v>
      </c>
      <c r="C178" s="1" t="n">
        <v>46074</v>
      </c>
      <c r="D178" t="inlineStr">
        <is>
          <t>DALARNAS LÄN</t>
        </is>
      </c>
      <c r="E178" t="inlineStr">
        <is>
          <t>ÄLVDALEN</t>
        </is>
      </c>
      <c r="F178" t="inlineStr">
        <is>
          <t>Sveaskog</t>
        </is>
      </c>
      <c r="G178" t="n">
        <v>0.7</v>
      </c>
      <c r="H178" t="n">
        <v>0</v>
      </c>
      <c r="I178" t="n">
        <v>0</v>
      </c>
      <c r="J178" t="n">
        <v>0</v>
      </c>
      <c r="K178" t="n">
        <v>1</v>
      </c>
      <c r="L178" t="n">
        <v>0</v>
      </c>
      <c r="M178" t="n">
        <v>0</v>
      </c>
      <c r="N178" t="n">
        <v>0</v>
      </c>
      <c r="O178" t="n">
        <v>1</v>
      </c>
      <c r="P178" t="n">
        <v>1</v>
      </c>
      <c r="Q178" t="n">
        <v>1</v>
      </c>
      <c r="R178" s="2" t="inlineStr">
        <is>
          <t>Gräddporing</t>
        </is>
      </c>
      <c r="S178">
        <f>HYPERLINK("https://klasma.github.io/Logging_2039/artfynd/A 35352-2025 artfynd.xlsx", "A 35352-2025")</f>
        <v/>
      </c>
      <c r="T178">
        <f>HYPERLINK("https://klasma.github.io/Logging_2039/kartor/A 35352-2025 karta.png", "A 35352-2025")</f>
        <v/>
      </c>
      <c r="V178">
        <f>HYPERLINK("https://klasma.github.io/Logging_2039/klagomål/A 35352-2025 FSC-klagomål.docx", "A 35352-2025")</f>
        <v/>
      </c>
      <c r="W178">
        <f>HYPERLINK("https://klasma.github.io/Logging_2039/klagomålsmail/A 35352-2025 FSC-klagomål mail.docx", "A 35352-2025")</f>
        <v/>
      </c>
      <c r="X178">
        <f>HYPERLINK("https://klasma.github.io/Logging_2039/tillsyn/A 35352-2025 tillsynsbegäran.docx", "A 35352-2025")</f>
        <v/>
      </c>
      <c r="Y178">
        <f>HYPERLINK("https://klasma.github.io/Logging_2039/tillsynsmail/A 35352-2025 tillsynsbegäran mail.docx", "A 35352-2025")</f>
        <v/>
      </c>
    </row>
    <row r="179" ht="15" customHeight="1">
      <c r="A179" t="inlineStr">
        <is>
          <t>A 36574-2021</t>
        </is>
      </c>
      <c r="B179" s="1" t="n">
        <v>44391</v>
      </c>
      <c r="C179" s="1" t="n">
        <v>46074</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49141-2025</t>
        </is>
      </c>
      <c r="B180" s="1" t="n">
        <v>45938.31905092593</v>
      </c>
      <c r="C180" s="1" t="n">
        <v>46074</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55062-2022</t>
        </is>
      </c>
      <c r="B181" s="1" t="n">
        <v>44881</v>
      </c>
      <c r="C181" s="1" t="n">
        <v>46074</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45201-2024</t>
        </is>
      </c>
      <c r="B182" s="1" t="n">
        <v>45575</v>
      </c>
      <c r="C182" s="1" t="n">
        <v>46074</v>
      </c>
      <c r="D182" t="inlineStr">
        <is>
          <t>DALARNAS LÄN</t>
        </is>
      </c>
      <c r="E182" t="inlineStr">
        <is>
          <t>ÄLVDALEN</t>
        </is>
      </c>
      <c r="G182" t="n">
        <v>24.5</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59380-2025</t>
        </is>
      </c>
      <c r="B183" s="1" t="n">
        <v>45989.4540625</v>
      </c>
      <c r="C183" s="1" t="n">
        <v>46074</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60082-2025</t>
        </is>
      </c>
      <c r="B184" s="1" t="n">
        <v>45993</v>
      </c>
      <c r="C184" s="1" t="n">
        <v>46074</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11061-2021</t>
        </is>
      </c>
      <c r="B185" s="1" t="n">
        <v>44260</v>
      </c>
      <c r="C185" s="1" t="n">
        <v>46074</v>
      </c>
      <c r="D185" t="inlineStr">
        <is>
          <t>DALARNAS LÄN</t>
        </is>
      </c>
      <c r="E185" t="inlineStr">
        <is>
          <t>ÄLVDALEN</t>
        </is>
      </c>
      <c r="F185" t="inlineStr">
        <is>
          <t>Övriga statliga verk och myndigheter</t>
        </is>
      </c>
      <c r="G185" t="n">
        <v>43.7</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11061-2021 artfynd.xlsx", "A 11061-2021")</f>
        <v/>
      </c>
      <c r="T185">
        <f>HYPERLINK("https://klasma.github.io/Logging_2039/kartor/A 11061-2021 karta.png", "A 11061-2021")</f>
        <v/>
      </c>
      <c r="V185">
        <f>HYPERLINK("https://klasma.github.io/Logging_2039/klagomål/A 11061-2021 FSC-klagomål.docx", "A 11061-2021")</f>
        <v/>
      </c>
      <c r="W185">
        <f>HYPERLINK("https://klasma.github.io/Logging_2039/klagomålsmail/A 11061-2021 FSC-klagomål mail.docx", "A 11061-2021")</f>
        <v/>
      </c>
      <c r="X185">
        <f>HYPERLINK("https://klasma.github.io/Logging_2039/tillsyn/A 11061-2021 tillsynsbegäran.docx", "A 11061-2021")</f>
        <v/>
      </c>
      <c r="Y185">
        <f>HYPERLINK("https://klasma.github.io/Logging_2039/tillsynsmail/A 11061-2021 tillsynsbegäran mail.docx", "A 11061-2021")</f>
        <v/>
      </c>
    </row>
    <row r="186" ht="15" customHeight="1">
      <c r="A186" t="inlineStr">
        <is>
          <t>A 45202-2024</t>
        </is>
      </c>
      <c r="B186" s="1" t="n">
        <v>45575</v>
      </c>
      <c r="C186" s="1" t="n">
        <v>46074</v>
      </c>
      <c r="D186" t="inlineStr">
        <is>
          <t>DALARNAS LÄN</t>
        </is>
      </c>
      <c r="E186" t="inlineStr">
        <is>
          <t>ÄLVDALEN</t>
        </is>
      </c>
      <c r="G186" t="n">
        <v>182.1</v>
      </c>
      <c r="H186" t="n">
        <v>1</v>
      </c>
      <c r="I186" t="n">
        <v>0</v>
      </c>
      <c r="J186" t="n">
        <v>0</v>
      </c>
      <c r="K186" t="n">
        <v>0</v>
      </c>
      <c r="L186" t="n">
        <v>0</v>
      </c>
      <c r="M186" t="n">
        <v>0</v>
      </c>
      <c r="N186" t="n">
        <v>0</v>
      </c>
      <c r="O186" t="n">
        <v>0</v>
      </c>
      <c r="P186" t="n">
        <v>0</v>
      </c>
      <c r="Q186" t="n">
        <v>1</v>
      </c>
      <c r="R186" s="2" t="inlineStr">
        <is>
          <t>Lavskrika</t>
        </is>
      </c>
      <c r="S186">
        <f>HYPERLINK("https://klasma.github.io/Logging_2039/artfynd/A 45202-2024 artfynd.xlsx", "A 45202-2024")</f>
        <v/>
      </c>
      <c r="T186">
        <f>HYPERLINK("https://klasma.github.io/Logging_2039/kartor/A 45202-2024 karta.png", "A 45202-2024")</f>
        <v/>
      </c>
      <c r="V186">
        <f>HYPERLINK("https://klasma.github.io/Logging_2039/klagomål/A 45202-2024 FSC-klagomål.docx", "A 45202-2024")</f>
        <v/>
      </c>
      <c r="W186">
        <f>HYPERLINK("https://klasma.github.io/Logging_2039/klagomålsmail/A 45202-2024 FSC-klagomål mail.docx", "A 45202-2024")</f>
        <v/>
      </c>
      <c r="X186">
        <f>HYPERLINK("https://klasma.github.io/Logging_2039/tillsyn/A 45202-2024 tillsynsbegäran.docx", "A 45202-2024")</f>
        <v/>
      </c>
      <c r="Y186">
        <f>HYPERLINK("https://klasma.github.io/Logging_2039/tillsynsmail/A 45202-2024 tillsynsbegäran mail.docx", "A 45202-2024")</f>
        <v/>
      </c>
      <c r="Z186">
        <f>HYPERLINK("https://klasma.github.io/Logging_2039/fåglar/A 45202-2024 prioriterade fågelarter.docx", "A 45202-2024")</f>
        <v/>
      </c>
    </row>
    <row r="187" ht="15" customHeight="1">
      <c r="A187" t="inlineStr">
        <is>
          <t>A 662-2025</t>
        </is>
      </c>
      <c r="B187" s="1" t="n">
        <v>45664</v>
      </c>
      <c r="C187" s="1" t="n">
        <v>46074</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50981-2024</t>
        </is>
      </c>
      <c r="B188" s="1" t="n">
        <v>45603.36233796296</v>
      </c>
      <c r="C188" s="1" t="n">
        <v>46074</v>
      </c>
      <c r="D188" t="inlineStr">
        <is>
          <t>DALARNAS LÄN</t>
        </is>
      </c>
      <c r="E188" t="inlineStr">
        <is>
          <t>ÄLVDALEN</t>
        </is>
      </c>
      <c r="G188" t="n">
        <v>5.1</v>
      </c>
      <c r="H188" t="n">
        <v>0</v>
      </c>
      <c r="I188" t="n">
        <v>0</v>
      </c>
      <c r="J188" t="n">
        <v>1</v>
      </c>
      <c r="K188" t="n">
        <v>0</v>
      </c>
      <c r="L188" t="n">
        <v>0</v>
      </c>
      <c r="M188" t="n">
        <v>0</v>
      </c>
      <c r="N188" t="n">
        <v>0</v>
      </c>
      <c r="O188" t="n">
        <v>1</v>
      </c>
      <c r="P188" t="n">
        <v>0</v>
      </c>
      <c r="Q188" t="n">
        <v>1</v>
      </c>
      <c r="R188" s="2" t="inlineStr">
        <is>
          <t>Vedskivlav</t>
        </is>
      </c>
      <c r="S188">
        <f>HYPERLINK("https://klasma.github.io/Logging_2039/artfynd/A 50981-2024 artfynd.xlsx", "A 50981-2024")</f>
        <v/>
      </c>
      <c r="T188">
        <f>HYPERLINK("https://klasma.github.io/Logging_2039/kartor/A 50981-2024 karta.png", "A 50981-2024")</f>
        <v/>
      </c>
      <c r="V188">
        <f>HYPERLINK("https://klasma.github.io/Logging_2039/klagomål/A 50981-2024 FSC-klagomål.docx", "A 50981-2024")</f>
        <v/>
      </c>
      <c r="W188">
        <f>HYPERLINK("https://klasma.github.io/Logging_2039/klagomålsmail/A 50981-2024 FSC-klagomål mail.docx", "A 50981-2024")</f>
        <v/>
      </c>
      <c r="X188">
        <f>HYPERLINK("https://klasma.github.io/Logging_2039/tillsyn/A 50981-2024 tillsynsbegäran.docx", "A 50981-2024")</f>
        <v/>
      </c>
      <c r="Y188">
        <f>HYPERLINK("https://klasma.github.io/Logging_2039/tillsynsmail/A 50981-2024 tillsynsbegäran mail.docx", "A 50981-2024")</f>
        <v/>
      </c>
    </row>
    <row r="189" ht="15" customHeight="1">
      <c r="A189" t="inlineStr">
        <is>
          <t>A 32199-2024</t>
        </is>
      </c>
      <c r="B189" s="1" t="n">
        <v>45511.66325231481</v>
      </c>
      <c r="C189" s="1" t="n">
        <v>46074</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22286-2025</t>
        </is>
      </c>
      <c r="B190" s="1" t="n">
        <v>45786.34402777778</v>
      </c>
      <c r="C190" s="1" t="n">
        <v>46074</v>
      </c>
      <c r="D190" t="inlineStr">
        <is>
          <t>DALARNAS LÄN</t>
        </is>
      </c>
      <c r="E190" t="inlineStr">
        <is>
          <t>ÄLVDALEN</t>
        </is>
      </c>
      <c r="F190" t="inlineStr">
        <is>
          <t>Sveaskog</t>
        </is>
      </c>
      <c r="G190" t="n">
        <v>1.3</v>
      </c>
      <c r="H190" t="n">
        <v>0</v>
      </c>
      <c r="I190" t="n">
        <v>0</v>
      </c>
      <c r="J190" t="n">
        <v>1</v>
      </c>
      <c r="K190" t="n">
        <v>0</v>
      </c>
      <c r="L190" t="n">
        <v>0</v>
      </c>
      <c r="M190" t="n">
        <v>0</v>
      </c>
      <c r="N190" t="n">
        <v>0</v>
      </c>
      <c r="O190" t="n">
        <v>1</v>
      </c>
      <c r="P190" t="n">
        <v>0</v>
      </c>
      <c r="Q190" t="n">
        <v>1</v>
      </c>
      <c r="R190" s="2" t="inlineStr">
        <is>
          <t>Kolflarnlav</t>
        </is>
      </c>
      <c r="S190">
        <f>HYPERLINK("https://klasma.github.io/Logging_2039/artfynd/A 22286-2025 artfynd.xlsx", "A 22286-2025")</f>
        <v/>
      </c>
      <c r="T190">
        <f>HYPERLINK("https://klasma.github.io/Logging_2039/kartor/A 22286-2025 karta.png", "A 22286-2025")</f>
        <v/>
      </c>
      <c r="V190">
        <f>HYPERLINK("https://klasma.github.io/Logging_2039/klagomål/A 22286-2025 FSC-klagomål.docx", "A 22286-2025")</f>
        <v/>
      </c>
      <c r="W190">
        <f>HYPERLINK("https://klasma.github.io/Logging_2039/klagomålsmail/A 22286-2025 FSC-klagomål mail.docx", "A 22286-2025")</f>
        <v/>
      </c>
      <c r="X190">
        <f>HYPERLINK("https://klasma.github.io/Logging_2039/tillsyn/A 22286-2025 tillsynsbegäran.docx", "A 22286-2025")</f>
        <v/>
      </c>
      <c r="Y190">
        <f>HYPERLINK("https://klasma.github.io/Logging_2039/tillsynsmail/A 22286-2025 tillsynsbegäran mail.docx", "A 22286-2025")</f>
        <v/>
      </c>
    </row>
    <row r="191" ht="15" customHeight="1">
      <c r="A191" t="inlineStr">
        <is>
          <t>A 27929-2025</t>
        </is>
      </c>
      <c r="B191" s="1" t="n">
        <v>45817.49222222222</v>
      </c>
      <c r="C191" s="1" t="n">
        <v>46074</v>
      </c>
      <c r="D191" t="inlineStr">
        <is>
          <t>DALARNAS LÄN</t>
        </is>
      </c>
      <c r="E191" t="inlineStr">
        <is>
          <t>ÄLVDALEN</t>
        </is>
      </c>
      <c r="F191" t="inlineStr">
        <is>
          <t>Sveaskog</t>
        </is>
      </c>
      <c r="G191" t="n">
        <v>2.7</v>
      </c>
      <c r="H191" t="n">
        <v>0</v>
      </c>
      <c r="I191" t="n">
        <v>1</v>
      </c>
      <c r="J191" t="n">
        <v>0</v>
      </c>
      <c r="K191" t="n">
        <v>0</v>
      </c>
      <c r="L191" t="n">
        <v>0</v>
      </c>
      <c r="M191" t="n">
        <v>0</v>
      </c>
      <c r="N191" t="n">
        <v>0</v>
      </c>
      <c r="O191" t="n">
        <v>0</v>
      </c>
      <c r="P191" t="n">
        <v>0</v>
      </c>
      <c r="Q191" t="n">
        <v>1</v>
      </c>
      <c r="R191" s="2" t="inlineStr">
        <is>
          <t>Dropptaggsvamp</t>
        </is>
      </c>
      <c r="S191">
        <f>HYPERLINK("https://klasma.github.io/Logging_2039/artfynd/A 27929-2025 artfynd.xlsx", "A 27929-2025")</f>
        <v/>
      </c>
      <c r="T191">
        <f>HYPERLINK("https://klasma.github.io/Logging_2039/kartor/A 27929-2025 karta.png", "A 27929-2025")</f>
        <v/>
      </c>
      <c r="V191">
        <f>HYPERLINK("https://klasma.github.io/Logging_2039/klagomål/A 27929-2025 FSC-klagomål.docx", "A 27929-2025")</f>
        <v/>
      </c>
      <c r="W191">
        <f>HYPERLINK("https://klasma.github.io/Logging_2039/klagomålsmail/A 27929-2025 FSC-klagomål mail.docx", "A 27929-2025")</f>
        <v/>
      </c>
      <c r="X191">
        <f>HYPERLINK("https://klasma.github.io/Logging_2039/tillsyn/A 27929-2025 tillsynsbegäran.docx", "A 27929-2025")</f>
        <v/>
      </c>
      <c r="Y191">
        <f>HYPERLINK("https://klasma.github.io/Logging_2039/tillsynsmail/A 27929-2025 tillsynsbegäran mail.docx", "A 27929-2025")</f>
        <v/>
      </c>
    </row>
    <row r="192" ht="15" customHeight="1">
      <c r="A192" t="inlineStr">
        <is>
          <t>A 27923-2025</t>
        </is>
      </c>
      <c r="B192" s="1" t="n">
        <v>45817.48814814815</v>
      </c>
      <c r="C192" s="1" t="n">
        <v>46074</v>
      </c>
      <c r="D192" t="inlineStr">
        <is>
          <t>DALARNAS LÄN</t>
        </is>
      </c>
      <c r="E192" t="inlineStr">
        <is>
          <t>ÄLVDALEN</t>
        </is>
      </c>
      <c r="G192" t="n">
        <v>2.9</v>
      </c>
      <c r="H192" t="n">
        <v>1</v>
      </c>
      <c r="I192" t="n">
        <v>0</v>
      </c>
      <c r="J192" t="n">
        <v>0</v>
      </c>
      <c r="K192" t="n">
        <v>0</v>
      </c>
      <c r="L192" t="n">
        <v>0</v>
      </c>
      <c r="M192" t="n">
        <v>0</v>
      </c>
      <c r="N192" t="n">
        <v>0</v>
      </c>
      <c r="O192" t="n">
        <v>0</v>
      </c>
      <c r="P192" t="n">
        <v>0</v>
      </c>
      <c r="Q192" t="n">
        <v>1</v>
      </c>
      <c r="R192" s="2" t="inlineStr">
        <is>
          <t>Lavskrika</t>
        </is>
      </c>
      <c r="S192">
        <f>HYPERLINK("https://klasma.github.io/Logging_2039/artfynd/A 27923-2025 artfynd.xlsx", "A 27923-2025")</f>
        <v/>
      </c>
      <c r="T192">
        <f>HYPERLINK("https://klasma.github.io/Logging_2039/kartor/A 27923-2025 karta.png", "A 27923-2025")</f>
        <v/>
      </c>
      <c r="V192">
        <f>HYPERLINK("https://klasma.github.io/Logging_2039/klagomål/A 27923-2025 FSC-klagomål.docx", "A 27923-2025")</f>
        <v/>
      </c>
      <c r="W192">
        <f>HYPERLINK("https://klasma.github.io/Logging_2039/klagomålsmail/A 27923-2025 FSC-klagomål mail.docx", "A 27923-2025")</f>
        <v/>
      </c>
      <c r="X192">
        <f>HYPERLINK("https://klasma.github.io/Logging_2039/tillsyn/A 27923-2025 tillsynsbegäran.docx", "A 27923-2025")</f>
        <v/>
      </c>
      <c r="Y192">
        <f>HYPERLINK("https://klasma.github.io/Logging_2039/tillsynsmail/A 27923-2025 tillsynsbegäran mail.docx", "A 27923-2025")</f>
        <v/>
      </c>
      <c r="Z192">
        <f>HYPERLINK("https://klasma.github.io/Logging_2039/fåglar/A 27923-2025 prioriterade fågelarter.docx", "A 27923-2025")</f>
        <v/>
      </c>
    </row>
    <row r="193" ht="15" customHeight="1">
      <c r="A193" t="inlineStr">
        <is>
          <t>A 19313-2021</t>
        </is>
      </c>
      <c r="B193" s="1" t="n">
        <v>44309</v>
      </c>
      <c r="C193" s="1" t="n">
        <v>46074</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46074</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46074</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46074</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15603-2022</t>
        </is>
      </c>
      <c r="B197" s="1" t="n">
        <v>44662.62577546296</v>
      </c>
      <c r="C197" s="1" t="n">
        <v>46074</v>
      </c>
      <c r="D197" t="inlineStr">
        <is>
          <t>DALARNAS LÄN</t>
        </is>
      </c>
      <c r="E197" t="inlineStr">
        <is>
          <t>ÄLVDALEN</t>
        </is>
      </c>
      <c r="G197" t="n">
        <v>2.6</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46074</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46074</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46074</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46074</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46074</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46074</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46074</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46074</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26874-2021</t>
        </is>
      </c>
      <c r="B206" s="1" t="n">
        <v>44349</v>
      </c>
      <c r="C206" s="1" t="n">
        <v>46074</v>
      </c>
      <c r="D206" t="inlineStr">
        <is>
          <t>DALARNAS LÄN</t>
        </is>
      </c>
      <c r="E206" t="inlineStr">
        <is>
          <t>ÄLVDALEN</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46074</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46074</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46074</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46074</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46074</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46074</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46074</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46074</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46074</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46074</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46074</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46074</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46074</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46074</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46074</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46074</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46074</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46074</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46074</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46074</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46074</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46074</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46074</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46074</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46074</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46074</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46074</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46074</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46074</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46074</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46074</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46074</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46074</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46074</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46074</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46074</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46074</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46074</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46074</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46074</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46074</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46074</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46074</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46074</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46074</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46074</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46074</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46074</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46074</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46074</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46074</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46074</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46074</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46074</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46074</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46074</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46074</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46074</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46074</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46074</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46074</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46074</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46074</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46074</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46074</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46074</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46074</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46074</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46074</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46074</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46074</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46074</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46074</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36285-2024</t>
        </is>
      </c>
      <c r="B280" s="1" t="n">
        <v>45534.59008101852</v>
      </c>
      <c r="C280" s="1" t="n">
        <v>46074</v>
      </c>
      <c r="D280" t="inlineStr">
        <is>
          <t>DALARNAS LÄN</t>
        </is>
      </c>
      <c r="E280" t="inlineStr">
        <is>
          <t>ÄLVDALEN</t>
        </is>
      </c>
      <c r="G280" t="n">
        <v>4.9</v>
      </c>
      <c r="H280" t="n">
        <v>0</v>
      </c>
      <c r="I280" t="n">
        <v>0</v>
      </c>
      <c r="J280" t="n">
        <v>0</v>
      </c>
      <c r="K280" t="n">
        <v>0</v>
      </c>
      <c r="L280" t="n">
        <v>0</v>
      </c>
      <c r="M280" t="n">
        <v>0</v>
      </c>
      <c r="N280" t="n">
        <v>0</v>
      </c>
      <c r="O280" t="n">
        <v>0</v>
      </c>
      <c r="P280" t="n">
        <v>0</v>
      </c>
      <c r="Q280" t="n">
        <v>0</v>
      </c>
      <c r="R280" s="2" t="inlineStr"/>
    </row>
    <row r="281" ht="15" customHeight="1">
      <c r="A281" t="inlineStr">
        <is>
          <t>A 629-2025</t>
        </is>
      </c>
      <c r="B281" s="1" t="n">
        <v>45660</v>
      </c>
      <c r="C281" s="1" t="n">
        <v>46074</v>
      </c>
      <c r="D281" t="inlineStr">
        <is>
          <t>DALARNAS LÄN</t>
        </is>
      </c>
      <c r="E281" t="inlineStr">
        <is>
          <t>ÄLVDALEN</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46074</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46074</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46074</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46074</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68219-2021</t>
        </is>
      </c>
      <c r="B286" s="1" t="n">
        <v>44526.57060185185</v>
      </c>
      <c r="C286" s="1" t="n">
        <v>46074</v>
      </c>
      <c r="D286" t="inlineStr">
        <is>
          <t>DALARNAS LÄN</t>
        </is>
      </c>
      <c r="E286" t="inlineStr">
        <is>
          <t>ÄLVDALEN</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1790-2024</t>
        </is>
      </c>
      <c r="B287" s="1" t="n">
        <v>45307.5731712963</v>
      </c>
      <c r="C287" s="1" t="n">
        <v>46074</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1804-2024</t>
        </is>
      </c>
      <c r="B288" s="1" t="n">
        <v>45307.59216435185</v>
      </c>
      <c r="C288" s="1" t="n">
        <v>46074</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46074</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46074</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57817-2023</t>
        </is>
      </c>
      <c r="B291" s="1" t="n">
        <v>45247</v>
      </c>
      <c r="C291" s="1" t="n">
        <v>46074</v>
      </c>
      <c r="D291" t="inlineStr">
        <is>
          <t>DALARNAS LÄN</t>
        </is>
      </c>
      <c r="E291" t="inlineStr">
        <is>
          <t>ÄLVDALEN</t>
        </is>
      </c>
      <c r="G291" t="n">
        <v>6.4</v>
      </c>
      <c r="H291" t="n">
        <v>0</v>
      </c>
      <c r="I291" t="n">
        <v>0</v>
      </c>
      <c r="J291" t="n">
        <v>0</v>
      </c>
      <c r="K291" t="n">
        <v>0</v>
      </c>
      <c r="L291" t="n">
        <v>0</v>
      </c>
      <c r="M291" t="n">
        <v>0</v>
      </c>
      <c r="N291" t="n">
        <v>0</v>
      </c>
      <c r="O291" t="n">
        <v>0</v>
      </c>
      <c r="P291" t="n">
        <v>0</v>
      </c>
      <c r="Q291" t="n">
        <v>0</v>
      </c>
      <c r="R291" s="2" t="inlineStr"/>
    </row>
    <row r="292" ht="15" customHeight="1">
      <c r="A292" t="inlineStr">
        <is>
          <t>A 61070-2024</t>
        </is>
      </c>
      <c r="B292" s="1" t="n">
        <v>45645.50170138889</v>
      </c>
      <c r="C292" s="1" t="n">
        <v>46074</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57560-2024</t>
        </is>
      </c>
      <c r="B293" s="1" t="n">
        <v>45630.4566550926</v>
      </c>
      <c r="C293" s="1" t="n">
        <v>46074</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32359-2024</t>
        </is>
      </c>
      <c r="B294" s="1" t="n">
        <v>45512.56623842593</v>
      </c>
      <c r="C294" s="1" t="n">
        <v>46074</v>
      </c>
      <c r="D294" t="inlineStr">
        <is>
          <t>DALARNAS LÄN</t>
        </is>
      </c>
      <c r="E294" t="inlineStr">
        <is>
          <t>ÄLVDALEN</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57470-2023</t>
        </is>
      </c>
      <c r="B295" s="1" t="n">
        <v>45246</v>
      </c>
      <c r="C295" s="1" t="n">
        <v>46074</v>
      </c>
      <c r="D295" t="inlineStr">
        <is>
          <t>DALARNAS LÄN</t>
        </is>
      </c>
      <c r="E295" t="inlineStr">
        <is>
          <t>ÄLVDALEN</t>
        </is>
      </c>
      <c r="G295" t="n">
        <v>0.4</v>
      </c>
      <c r="H295" t="n">
        <v>0</v>
      </c>
      <c r="I295" t="n">
        <v>0</v>
      </c>
      <c r="J295" t="n">
        <v>0</v>
      </c>
      <c r="K295" t="n">
        <v>0</v>
      </c>
      <c r="L295" t="n">
        <v>0</v>
      </c>
      <c r="M295" t="n">
        <v>0</v>
      </c>
      <c r="N295" t="n">
        <v>0</v>
      </c>
      <c r="O295" t="n">
        <v>0</v>
      </c>
      <c r="P295" t="n">
        <v>0</v>
      </c>
      <c r="Q295" t="n">
        <v>0</v>
      </c>
      <c r="R295" s="2" t="inlineStr"/>
    </row>
    <row r="296" ht="15" customHeight="1">
      <c r="A296" t="inlineStr">
        <is>
          <t>A 47666-2024</t>
        </is>
      </c>
      <c r="B296" s="1" t="n">
        <v>45588.39283564815</v>
      </c>
      <c r="C296" s="1" t="n">
        <v>46074</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45122-2023</t>
        </is>
      </c>
      <c r="B297" s="1" t="n">
        <v>45191.44871527778</v>
      </c>
      <c r="C297" s="1" t="n">
        <v>46074</v>
      </c>
      <c r="D297" t="inlineStr">
        <is>
          <t>DALARNAS LÄN</t>
        </is>
      </c>
      <c r="E297" t="inlineStr">
        <is>
          <t>ÄLVDALEN</t>
        </is>
      </c>
      <c r="G297" t="n">
        <v>2.7</v>
      </c>
      <c r="H297" t="n">
        <v>0</v>
      </c>
      <c r="I297" t="n">
        <v>0</v>
      </c>
      <c r="J297" t="n">
        <v>0</v>
      </c>
      <c r="K297" t="n">
        <v>0</v>
      </c>
      <c r="L297" t="n">
        <v>0</v>
      </c>
      <c r="M297" t="n">
        <v>0</v>
      </c>
      <c r="N297" t="n">
        <v>0</v>
      </c>
      <c r="O297" t="n">
        <v>0</v>
      </c>
      <c r="P297" t="n">
        <v>0</v>
      </c>
      <c r="Q297" t="n">
        <v>0</v>
      </c>
      <c r="R297" s="2" t="inlineStr"/>
    </row>
    <row r="298" ht="15" customHeight="1">
      <c r="A298" t="inlineStr">
        <is>
          <t>A 52167-2024</t>
        </is>
      </c>
      <c r="B298" s="1" t="n">
        <v>45608.53949074074</v>
      </c>
      <c r="C298" s="1" t="n">
        <v>46074</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68383-2021</t>
        </is>
      </c>
      <c r="B299" s="1" t="n">
        <v>44529</v>
      </c>
      <c r="C299" s="1" t="n">
        <v>46074</v>
      </c>
      <c r="D299" t="inlineStr">
        <is>
          <t>DALARNAS LÄN</t>
        </is>
      </c>
      <c r="E299" t="inlineStr">
        <is>
          <t>ÄLVDALEN</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46074</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46074</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46074</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9108-2024</t>
        </is>
      </c>
      <c r="B303" s="1" t="n">
        <v>45357.96072916667</v>
      </c>
      <c r="C303" s="1" t="n">
        <v>46074</v>
      </c>
      <c r="D303" t="inlineStr">
        <is>
          <t>DALARNAS LÄN</t>
        </is>
      </c>
      <c r="E303" t="inlineStr">
        <is>
          <t>ÄLVDALEN</t>
        </is>
      </c>
      <c r="F303" t="inlineStr">
        <is>
          <t>Övriga Aktiebolag</t>
        </is>
      </c>
      <c r="G303" t="n">
        <v>24.4</v>
      </c>
      <c r="H303" t="n">
        <v>0</v>
      </c>
      <c r="I303" t="n">
        <v>0</v>
      </c>
      <c r="J303" t="n">
        <v>0</v>
      </c>
      <c r="K303" t="n">
        <v>0</v>
      </c>
      <c r="L303" t="n">
        <v>0</v>
      </c>
      <c r="M303" t="n">
        <v>0</v>
      </c>
      <c r="N303" t="n">
        <v>0</v>
      </c>
      <c r="O303" t="n">
        <v>0</v>
      </c>
      <c r="P303" t="n">
        <v>0</v>
      </c>
      <c r="Q303" t="n">
        <v>0</v>
      </c>
      <c r="R303" s="2" t="inlineStr"/>
    </row>
    <row r="304" ht="15" customHeight="1">
      <c r="A304" t="inlineStr">
        <is>
          <t>A 49203-2023</t>
        </is>
      </c>
      <c r="B304" s="1" t="n">
        <v>45210</v>
      </c>
      <c r="C304" s="1" t="n">
        <v>46074</v>
      </c>
      <c r="D304" t="inlineStr">
        <is>
          <t>DALARNAS LÄN</t>
        </is>
      </c>
      <c r="E304" t="inlineStr">
        <is>
          <t>ÄLVDALEN</t>
        </is>
      </c>
      <c r="F304" t="inlineStr">
        <is>
          <t>Bergvik skog väst AB</t>
        </is>
      </c>
      <c r="G304" t="n">
        <v>18.2</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46074</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48552-2024</t>
        </is>
      </c>
      <c r="B306" s="1" t="n">
        <v>45593.37266203704</v>
      </c>
      <c r="C306" s="1" t="n">
        <v>46074</v>
      </c>
      <c r="D306" t="inlineStr">
        <is>
          <t>DALARNAS LÄN</t>
        </is>
      </c>
      <c r="E306" t="inlineStr">
        <is>
          <t>ÄLVDALEN</t>
        </is>
      </c>
      <c r="G306" t="n">
        <v>4.1</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46074</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46559-2023</t>
        </is>
      </c>
      <c r="B308" s="1" t="n">
        <v>45187</v>
      </c>
      <c r="C308" s="1" t="n">
        <v>46074</v>
      </c>
      <c r="D308" t="inlineStr">
        <is>
          <t>DALARNAS LÄN</t>
        </is>
      </c>
      <c r="E308" t="inlineStr">
        <is>
          <t>ÄLVDALEN</t>
        </is>
      </c>
      <c r="G308" t="n">
        <v>9.6</v>
      </c>
      <c r="H308" t="n">
        <v>0</v>
      </c>
      <c r="I308" t="n">
        <v>0</v>
      </c>
      <c r="J308" t="n">
        <v>0</v>
      </c>
      <c r="K308" t="n">
        <v>0</v>
      </c>
      <c r="L308" t="n">
        <v>0</v>
      </c>
      <c r="M308" t="n">
        <v>0</v>
      </c>
      <c r="N308" t="n">
        <v>0</v>
      </c>
      <c r="O308" t="n">
        <v>0</v>
      </c>
      <c r="P308" t="n">
        <v>0</v>
      </c>
      <c r="Q308" t="n">
        <v>0</v>
      </c>
      <c r="R308" s="2" t="inlineStr"/>
    </row>
    <row r="309" ht="15" customHeight="1">
      <c r="A309" t="inlineStr">
        <is>
          <t>A 19553-2025</t>
        </is>
      </c>
      <c r="B309" s="1" t="n">
        <v>45770</v>
      </c>
      <c r="C309" s="1" t="n">
        <v>46074</v>
      </c>
      <c r="D309" t="inlineStr">
        <is>
          <t>DALARNAS LÄN</t>
        </is>
      </c>
      <c r="E309" t="inlineStr">
        <is>
          <t>ÄLVDALEN</t>
        </is>
      </c>
      <c r="F309" t="inlineStr">
        <is>
          <t>Sveaskog</t>
        </is>
      </c>
      <c r="G309" t="n">
        <v>25.2</v>
      </c>
      <c r="H309" t="n">
        <v>0</v>
      </c>
      <c r="I309" t="n">
        <v>0</v>
      </c>
      <c r="J309" t="n">
        <v>0</v>
      </c>
      <c r="K309" t="n">
        <v>0</v>
      </c>
      <c r="L309" t="n">
        <v>0</v>
      </c>
      <c r="M309" t="n">
        <v>0</v>
      </c>
      <c r="N309" t="n">
        <v>0</v>
      </c>
      <c r="O309" t="n">
        <v>0</v>
      </c>
      <c r="P309" t="n">
        <v>0</v>
      </c>
      <c r="Q309" t="n">
        <v>0</v>
      </c>
      <c r="R309" s="2" t="inlineStr"/>
    </row>
    <row r="310" ht="15" customHeight="1">
      <c r="A310" t="inlineStr">
        <is>
          <t>A 47087-2024</t>
        </is>
      </c>
      <c r="B310" s="1" t="n">
        <v>45586.50946759259</v>
      </c>
      <c r="C310" s="1" t="n">
        <v>46074</v>
      </c>
      <c r="D310" t="inlineStr">
        <is>
          <t>DALARNAS LÄN</t>
        </is>
      </c>
      <c r="E310" t="inlineStr">
        <is>
          <t>ÄLVDALEN</t>
        </is>
      </c>
      <c r="G310" t="n">
        <v>2.6</v>
      </c>
      <c r="H310" t="n">
        <v>0</v>
      </c>
      <c r="I310" t="n">
        <v>0</v>
      </c>
      <c r="J310" t="n">
        <v>0</v>
      </c>
      <c r="K310" t="n">
        <v>0</v>
      </c>
      <c r="L310" t="n">
        <v>0</v>
      </c>
      <c r="M310" t="n">
        <v>0</v>
      </c>
      <c r="N310" t="n">
        <v>0</v>
      </c>
      <c r="O310" t="n">
        <v>0</v>
      </c>
      <c r="P310" t="n">
        <v>0</v>
      </c>
      <c r="Q310" t="n">
        <v>0</v>
      </c>
      <c r="R310" s="2" t="inlineStr"/>
    </row>
    <row r="311" ht="15" customHeight="1">
      <c r="A311" t="inlineStr">
        <is>
          <t>A 38277-2024</t>
        </is>
      </c>
      <c r="B311" s="1" t="n">
        <v>45545.61171296296</v>
      </c>
      <c r="C311" s="1" t="n">
        <v>46074</v>
      </c>
      <c r="D311" t="inlineStr">
        <is>
          <t>DALARNAS LÄN</t>
        </is>
      </c>
      <c r="E311" t="inlineStr">
        <is>
          <t>ÄLVDALEN</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5883-2024</t>
        </is>
      </c>
      <c r="B312" s="1" t="n">
        <v>45335.69585648148</v>
      </c>
      <c r="C312" s="1" t="n">
        <v>46074</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35161-2023</t>
        </is>
      </c>
      <c r="B313" s="1" t="n">
        <v>45145.57525462963</v>
      </c>
      <c r="C313" s="1" t="n">
        <v>46074</v>
      </c>
      <c r="D313" t="inlineStr">
        <is>
          <t>DALARNAS LÄN</t>
        </is>
      </c>
      <c r="E313" t="inlineStr">
        <is>
          <t>ÄLVDALEN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29710-2022</t>
        </is>
      </c>
      <c r="B314" s="1" t="n">
        <v>44755</v>
      </c>
      <c r="C314" s="1" t="n">
        <v>46074</v>
      </c>
      <c r="D314" t="inlineStr">
        <is>
          <t>DALARNAS LÄN</t>
        </is>
      </c>
      <c r="E314" t="inlineStr">
        <is>
          <t>ÄLVDALEN</t>
        </is>
      </c>
      <c r="F314" t="inlineStr">
        <is>
          <t>Sveaskog</t>
        </is>
      </c>
      <c r="G314" t="n">
        <v>9.1</v>
      </c>
      <c r="H314" t="n">
        <v>0</v>
      </c>
      <c r="I314" t="n">
        <v>0</v>
      </c>
      <c r="J314" t="n">
        <v>0</v>
      </c>
      <c r="K314" t="n">
        <v>0</v>
      </c>
      <c r="L314" t="n">
        <v>0</v>
      </c>
      <c r="M314" t="n">
        <v>0</v>
      </c>
      <c r="N314" t="n">
        <v>0</v>
      </c>
      <c r="O314" t="n">
        <v>0</v>
      </c>
      <c r="P314" t="n">
        <v>0</v>
      </c>
      <c r="Q314" t="n">
        <v>0</v>
      </c>
      <c r="R314" s="2" t="inlineStr"/>
    </row>
    <row r="315" ht="15" customHeight="1">
      <c r="A315" t="inlineStr">
        <is>
          <t>A 59177-2023</t>
        </is>
      </c>
      <c r="B315" s="1" t="n">
        <v>45253</v>
      </c>
      <c r="C315" s="1" t="n">
        <v>46074</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43903-2024</t>
        </is>
      </c>
      <c r="B316" s="1" t="n">
        <v>45572</v>
      </c>
      <c r="C316" s="1" t="n">
        <v>46074</v>
      </c>
      <c r="D316" t="inlineStr">
        <is>
          <t>DALARNAS LÄN</t>
        </is>
      </c>
      <c r="E316" t="inlineStr">
        <is>
          <t>ÄLVDALEN</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5583-2025</t>
        </is>
      </c>
      <c r="B317" s="1" t="n">
        <v>45693.55244212963</v>
      </c>
      <c r="C317" s="1" t="n">
        <v>46074</v>
      </c>
      <c r="D317" t="inlineStr">
        <is>
          <t>DALARNAS LÄN</t>
        </is>
      </c>
      <c r="E317" t="inlineStr">
        <is>
          <t>ÄLVDALEN</t>
        </is>
      </c>
      <c r="G317" t="n">
        <v>0.9</v>
      </c>
      <c r="H317" t="n">
        <v>0</v>
      </c>
      <c r="I317" t="n">
        <v>0</v>
      </c>
      <c r="J317" t="n">
        <v>0</v>
      </c>
      <c r="K317" t="n">
        <v>0</v>
      </c>
      <c r="L317" t="n">
        <v>0</v>
      </c>
      <c r="M317" t="n">
        <v>0</v>
      </c>
      <c r="N317" t="n">
        <v>0</v>
      </c>
      <c r="O317" t="n">
        <v>0</v>
      </c>
      <c r="P317" t="n">
        <v>0</v>
      </c>
      <c r="Q317" t="n">
        <v>0</v>
      </c>
      <c r="R317" s="2" t="inlineStr"/>
    </row>
    <row r="318" ht="15" customHeight="1">
      <c r="A318" t="inlineStr">
        <is>
          <t>A 47525-2024</t>
        </is>
      </c>
      <c r="B318" s="1" t="n">
        <v>45587.6328587963</v>
      </c>
      <c r="C318" s="1" t="n">
        <v>46074</v>
      </c>
      <c r="D318" t="inlineStr">
        <is>
          <t>DALARNAS LÄN</t>
        </is>
      </c>
      <c r="E318" t="inlineStr">
        <is>
          <t>ÄLVDALEN</t>
        </is>
      </c>
      <c r="F318" t="inlineStr">
        <is>
          <t>Bergvik skog väst AB</t>
        </is>
      </c>
      <c r="G318" t="n">
        <v>4.6</v>
      </c>
      <c r="H318" t="n">
        <v>0</v>
      </c>
      <c r="I318" t="n">
        <v>0</v>
      </c>
      <c r="J318" t="n">
        <v>0</v>
      </c>
      <c r="K318" t="n">
        <v>0</v>
      </c>
      <c r="L318" t="n">
        <v>0</v>
      </c>
      <c r="M318" t="n">
        <v>0</v>
      </c>
      <c r="N318" t="n">
        <v>0</v>
      </c>
      <c r="O318" t="n">
        <v>0</v>
      </c>
      <c r="P318" t="n">
        <v>0</v>
      </c>
      <c r="Q318" t="n">
        <v>0</v>
      </c>
      <c r="R318" s="2" t="inlineStr"/>
    </row>
    <row r="319" ht="15" customHeight="1">
      <c r="A319" t="inlineStr">
        <is>
          <t>A 44119-2022</t>
        </is>
      </c>
      <c r="B319" s="1" t="n">
        <v>44839.39157407408</v>
      </c>
      <c r="C319" s="1" t="n">
        <v>46074</v>
      </c>
      <c r="D319" t="inlineStr">
        <is>
          <t>DALARNAS LÄN</t>
        </is>
      </c>
      <c r="E319" t="inlineStr">
        <is>
          <t>ÄLVDALEN</t>
        </is>
      </c>
      <c r="G319" t="n">
        <v>3.2</v>
      </c>
      <c r="H319" t="n">
        <v>0</v>
      </c>
      <c r="I319" t="n">
        <v>0</v>
      </c>
      <c r="J319" t="n">
        <v>0</v>
      </c>
      <c r="K319" t="n">
        <v>0</v>
      </c>
      <c r="L319" t="n">
        <v>0</v>
      </c>
      <c r="M319" t="n">
        <v>0</v>
      </c>
      <c r="N319" t="n">
        <v>0</v>
      </c>
      <c r="O319" t="n">
        <v>0</v>
      </c>
      <c r="P319" t="n">
        <v>0</v>
      </c>
      <c r="Q319" t="n">
        <v>0</v>
      </c>
      <c r="R319" s="2" t="inlineStr"/>
    </row>
    <row r="320" ht="15" customHeight="1">
      <c r="A320" t="inlineStr">
        <is>
          <t>A 30411-2024</t>
        </is>
      </c>
      <c r="B320" s="1" t="n">
        <v>45491.62447916667</v>
      </c>
      <c r="C320" s="1" t="n">
        <v>46074</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39006-2024</t>
        </is>
      </c>
      <c r="B321" s="1" t="n">
        <v>45548.42846064815</v>
      </c>
      <c r="C321" s="1" t="n">
        <v>46074</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15251-2021</t>
        </is>
      </c>
      <c r="B322" s="1" t="n">
        <v>44284</v>
      </c>
      <c r="C322" s="1" t="n">
        <v>46074</v>
      </c>
      <c r="D322" t="inlineStr">
        <is>
          <t>DALARNAS LÄN</t>
        </is>
      </c>
      <c r="E322" t="inlineStr">
        <is>
          <t>ÄLVDALEN</t>
        </is>
      </c>
      <c r="G322" t="n">
        <v>6.1</v>
      </c>
      <c r="H322" t="n">
        <v>0</v>
      </c>
      <c r="I322" t="n">
        <v>0</v>
      </c>
      <c r="J322" t="n">
        <v>0</v>
      </c>
      <c r="K322" t="n">
        <v>0</v>
      </c>
      <c r="L322" t="n">
        <v>0</v>
      </c>
      <c r="M322" t="n">
        <v>0</v>
      </c>
      <c r="N322" t="n">
        <v>0</v>
      </c>
      <c r="O322" t="n">
        <v>0</v>
      </c>
      <c r="P322" t="n">
        <v>0</v>
      </c>
      <c r="Q322" t="n">
        <v>0</v>
      </c>
      <c r="R322" s="2" t="inlineStr"/>
    </row>
    <row r="323" ht="15" customHeight="1">
      <c r="A323" t="inlineStr">
        <is>
          <t>A 47936-2024</t>
        </is>
      </c>
      <c r="B323" s="1" t="n">
        <v>45589.34738425926</v>
      </c>
      <c r="C323" s="1" t="n">
        <v>46074</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59108-2022</t>
        </is>
      </c>
      <c r="B324" s="1" t="n">
        <v>44904</v>
      </c>
      <c r="C324" s="1" t="n">
        <v>46074</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3900-2024</t>
        </is>
      </c>
      <c r="B325" s="1" t="n">
        <v>45322</v>
      </c>
      <c r="C325" s="1" t="n">
        <v>46074</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3903-2024</t>
        </is>
      </c>
      <c r="B326" s="1" t="n">
        <v>45322</v>
      </c>
      <c r="C326" s="1" t="n">
        <v>46074</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3914-2024</t>
        </is>
      </c>
      <c r="B327" s="1" t="n">
        <v>45322</v>
      </c>
      <c r="C327" s="1" t="n">
        <v>46074</v>
      </c>
      <c r="D327" t="inlineStr">
        <is>
          <t>DALARNAS LÄN</t>
        </is>
      </c>
      <c r="E327" t="inlineStr">
        <is>
          <t>ÄLVDALEN</t>
        </is>
      </c>
      <c r="G327" t="n">
        <v>0.3</v>
      </c>
      <c r="H327" t="n">
        <v>0</v>
      </c>
      <c r="I327" t="n">
        <v>0</v>
      </c>
      <c r="J327" t="n">
        <v>0</v>
      </c>
      <c r="K327" t="n">
        <v>0</v>
      </c>
      <c r="L327" t="n">
        <v>0</v>
      </c>
      <c r="M327" t="n">
        <v>0</v>
      </c>
      <c r="N327" t="n">
        <v>0</v>
      </c>
      <c r="O327" t="n">
        <v>0</v>
      </c>
      <c r="P327" t="n">
        <v>0</v>
      </c>
      <c r="Q327" t="n">
        <v>0</v>
      </c>
      <c r="R327" s="2" t="inlineStr"/>
    </row>
    <row r="328" ht="15" customHeight="1">
      <c r="A328" t="inlineStr">
        <is>
          <t>A 27918-2025</t>
        </is>
      </c>
      <c r="B328" s="1" t="n">
        <v>45817.48231481481</v>
      </c>
      <c r="C328" s="1" t="n">
        <v>46074</v>
      </c>
      <c r="D328" t="inlineStr">
        <is>
          <t>DALARNAS LÄN</t>
        </is>
      </c>
      <c r="E328" t="inlineStr">
        <is>
          <t>ÄLVDALEN</t>
        </is>
      </c>
      <c r="G328" t="n">
        <v>5.6</v>
      </c>
      <c r="H328" t="n">
        <v>0</v>
      </c>
      <c r="I328" t="n">
        <v>0</v>
      </c>
      <c r="J328" t="n">
        <v>0</v>
      </c>
      <c r="K328" t="n">
        <v>0</v>
      </c>
      <c r="L328" t="n">
        <v>0</v>
      </c>
      <c r="M328" t="n">
        <v>0</v>
      </c>
      <c r="N328" t="n">
        <v>0</v>
      </c>
      <c r="O328" t="n">
        <v>0</v>
      </c>
      <c r="P328" t="n">
        <v>0</v>
      </c>
      <c r="Q328" t="n">
        <v>0</v>
      </c>
      <c r="R328" s="2" t="inlineStr"/>
    </row>
    <row r="329" ht="15" customHeight="1">
      <c r="A329" t="inlineStr">
        <is>
          <t>A 3196-2025</t>
        </is>
      </c>
      <c r="B329" s="1" t="n">
        <v>45679.42957175926</v>
      </c>
      <c r="C329" s="1" t="n">
        <v>46074</v>
      </c>
      <c r="D329" t="inlineStr">
        <is>
          <t>DALARNAS LÄN</t>
        </is>
      </c>
      <c r="E329" t="inlineStr">
        <is>
          <t>ÄLVDALEN</t>
        </is>
      </c>
      <c r="G329" t="n">
        <v>5.2</v>
      </c>
      <c r="H329" t="n">
        <v>0</v>
      </c>
      <c r="I329" t="n">
        <v>0</v>
      </c>
      <c r="J329" t="n">
        <v>0</v>
      </c>
      <c r="K329" t="n">
        <v>0</v>
      </c>
      <c r="L329" t="n">
        <v>0</v>
      </c>
      <c r="M329" t="n">
        <v>0</v>
      </c>
      <c r="N329" t="n">
        <v>0</v>
      </c>
      <c r="O329" t="n">
        <v>0</v>
      </c>
      <c r="P329" t="n">
        <v>0</v>
      </c>
      <c r="Q329" t="n">
        <v>0</v>
      </c>
      <c r="R329" s="2" t="inlineStr"/>
    </row>
    <row r="330" ht="15" customHeight="1">
      <c r="A330" t="inlineStr">
        <is>
          <t>A 30414-2024</t>
        </is>
      </c>
      <c r="B330" s="1" t="n">
        <v>45491.63538194444</v>
      </c>
      <c r="C330" s="1" t="n">
        <v>46074</v>
      </c>
      <c r="D330" t="inlineStr">
        <is>
          <t>DALARNAS LÄN</t>
        </is>
      </c>
      <c r="E330" t="inlineStr">
        <is>
          <t>ÄLVDALEN</t>
        </is>
      </c>
      <c r="G330" t="n">
        <v>0.7</v>
      </c>
      <c r="H330" t="n">
        <v>0</v>
      </c>
      <c r="I330" t="n">
        <v>0</v>
      </c>
      <c r="J330" t="n">
        <v>0</v>
      </c>
      <c r="K330" t="n">
        <v>0</v>
      </c>
      <c r="L330" t="n">
        <v>0</v>
      </c>
      <c r="M330" t="n">
        <v>0</v>
      </c>
      <c r="N330" t="n">
        <v>0</v>
      </c>
      <c r="O330" t="n">
        <v>0</v>
      </c>
      <c r="P330" t="n">
        <v>0</v>
      </c>
      <c r="Q330" t="n">
        <v>0</v>
      </c>
      <c r="R330" s="2" t="inlineStr"/>
    </row>
    <row r="331" ht="15" customHeight="1">
      <c r="A331" t="inlineStr">
        <is>
          <t>A 3904-2024</t>
        </is>
      </c>
      <c r="B331" s="1" t="n">
        <v>45322</v>
      </c>
      <c r="C331" s="1" t="n">
        <v>46074</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27739-2025</t>
        </is>
      </c>
      <c r="B332" s="1" t="n">
        <v>45815.49082175926</v>
      </c>
      <c r="C332" s="1" t="n">
        <v>46074</v>
      </c>
      <c r="D332" t="inlineStr">
        <is>
          <t>DALARNAS LÄN</t>
        </is>
      </c>
      <c r="E332" t="inlineStr">
        <is>
          <t>ÄLVDALEN</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38754-2025</t>
        </is>
      </c>
      <c r="B333" s="1" t="n">
        <v>45887.39354166666</v>
      </c>
      <c r="C333" s="1" t="n">
        <v>46074</v>
      </c>
      <c r="D333" t="inlineStr">
        <is>
          <t>DALARNAS LÄN</t>
        </is>
      </c>
      <c r="E333" t="inlineStr">
        <is>
          <t>ÄLVDALEN</t>
        </is>
      </c>
      <c r="F333" t="inlineStr">
        <is>
          <t>Bergvik skog väst AB</t>
        </is>
      </c>
      <c r="G333" t="n">
        <v>7.1</v>
      </c>
      <c r="H333" t="n">
        <v>0</v>
      </c>
      <c r="I333" t="n">
        <v>0</v>
      </c>
      <c r="J333" t="n">
        <v>0</v>
      </c>
      <c r="K333" t="n">
        <v>0</v>
      </c>
      <c r="L333" t="n">
        <v>0</v>
      </c>
      <c r="M333" t="n">
        <v>0</v>
      </c>
      <c r="N333" t="n">
        <v>0</v>
      </c>
      <c r="O333" t="n">
        <v>0</v>
      </c>
      <c r="P333" t="n">
        <v>0</v>
      </c>
      <c r="Q333" t="n">
        <v>0</v>
      </c>
      <c r="R333" s="2" t="inlineStr"/>
    </row>
    <row r="334" ht="15" customHeight="1">
      <c r="A334" t="inlineStr">
        <is>
          <t>A 42649-2023</t>
        </is>
      </c>
      <c r="B334" s="1" t="n">
        <v>45181.53310185186</v>
      </c>
      <c r="C334" s="1" t="n">
        <v>46074</v>
      </c>
      <c r="D334" t="inlineStr">
        <is>
          <t>DALARNAS LÄN</t>
        </is>
      </c>
      <c r="E334" t="inlineStr">
        <is>
          <t>ÄLVDALEN</t>
        </is>
      </c>
      <c r="G334" t="n">
        <v>5.3</v>
      </c>
      <c r="H334" t="n">
        <v>0</v>
      </c>
      <c r="I334" t="n">
        <v>0</v>
      </c>
      <c r="J334" t="n">
        <v>0</v>
      </c>
      <c r="K334" t="n">
        <v>0</v>
      </c>
      <c r="L334" t="n">
        <v>0</v>
      </c>
      <c r="M334" t="n">
        <v>0</v>
      </c>
      <c r="N334" t="n">
        <v>0</v>
      </c>
      <c r="O334" t="n">
        <v>0</v>
      </c>
      <c r="P334" t="n">
        <v>0</v>
      </c>
      <c r="Q334" t="n">
        <v>0</v>
      </c>
      <c r="R334" s="2" t="inlineStr"/>
    </row>
    <row r="335" ht="15" customHeight="1">
      <c r="A335" t="inlineStr">
        <is>
          <t>A 14938-2023</t>
        </is>
      </c>
      <c r="B335" s="1" t="n">
        <v>45015</v>
      </c>
      <c r="C335" s="1" t="n">
        <v>46074</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28838-2025</t>
        </is>
      </c>
      <c r="B336" s="1" t="n">
        <v>45820.56359953704</v>
      </c>
      <c r="C336" s="1" t="n">
        <v>46074</v>
      </c>
      <c r="D336" t="inlineStr">
        <is>
          <t>DALARNAS LÄN</t>
        </is>
      </c>
      <c r="E336" t="inlineStr">
        <is>
          <t>ÄLVDALEN</t>
        </is>
      </c>
      <c r="F336" t="inlineStr">
        <is>
          <t>Allmännings- och besparingsskogar</t>
        </is>
      </c>
      <c r="G336" t="n">
        <v>7.5</v>
      </c>
      <c r="H336" t="n">
        <v>0</v>
      </c>
      <c r="I336" t="n">
        <v>0</v>
      </c>
      <c r="J336" t="n">
        <v>0</v>
      </c>
      <c r="K336" t="n">
        <v>0</v>
      </c>
      <c r="L336" t="n">
        <v>0</v>
      </c>
      <c r="M336" t="n">
        <v>0</v>
      </c>
      <c r="N336" t="n">
        <v>0</v>
      </c>
      <c r="O336" t="n">
        <v>0</v>
      </c>
      <c r="P336" t="n">
        <v>0</v>
      </c>
      <c r="Q336" t="n">
        <v>0</v>
      </c>
      <c r="R336" s="2" t="inlineStr"/>
    </row>
    <row r="337" ht="15" customHeight="1">
      <c r="A337" t="inlineStr">
        <is>
          <t>A 28844-2025</t>
        </is>
      </c>
      <c r="B337" s="1" t="n">
        <v>45820.57053240741</v>
      </c>
      <c r="C337" s="1" t="n">
        <v>46074</v>
      </c>
      <c r="D337" t="inlineStr">
        <is>
          <t>DALARNAS LÄN</t>
        </is>
      </c>
      <c r="E337" t="inlineStr">
        <is>
          <t>ÄLVDALEN</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49906-2024</t>
        </is>
      </c>
      <c r="B338" s="1" t="n">
        <v>45597.55230324074</v>
      </c>
      <c r="C338" s="1" t="n">
        <v>46074</v>
      </c>
      <c r="D338" t="inlineStr">
        <is>
          <t>DALARNAS LÄN</t>
        </is>
      </c>
      <c r="E338" t="inlineStr">
        <is>
          <t>ÄLVDALEN</t>
        </is>
      </c>
      <c r="G338" t="n">
        <v>4.2</v>
      </c>
      <c r="H338" t="n">
        <v>0</v>
      </c>
      <c r="I338" t="n">
        <v>0</v>
      </c>
      <c r="J338" t="n">
        <v>0</v>
      </c>
      <c r="K338" t="n">
        <v>0</v>
      </c>
      <c r="L338" t="n">
        <v>0</v>
      </c>
      <c r="M338" t="n">
        <v>0</v>
      </c>
      <c r="N338" t="n">
        <v>0</v>
      </c>
      <c r="O338" t="n">
        <v>0</v>
      </c>
      <c r="P338" t="n">
        <v>0</v>
      </c>
      <c r="Q338" t="n">
        <v>0</v>
      </c>
      <c r="R338" s="2" t="inlineStr"/>
    </row>
    <row r="339" ht="15" customHeight="1">
      <c r="A339" t="inlineStr">
        <is>
          <t>A 28842-2025</t>
        </is>
      </c>
      <c r="B339" s="1" t="n">
        <v>45820.56780092593</v>
      </c>
      <c r="C339" s="1" t="n">
        <v>46074</v>
      </c>
      <c r="D339" t="inlineStr">
        <is>
          <t>DALARNAS LÄN</t>
        </is>
      </c>
      <c r="E339" t="inlineStr">
        <is>
          <t>ÄLVDALEN</t>
        </is>
      </c>
      <c r="F339" t="inlineStr">
        <is>
          <t>Allmännings- och besparingsskogar</t>
        </is>
      </c>
      <c r="G339" t="n">
        <v>3.7</v>
      </c>
      <c r="H339" t="n">
        <v>0</v>
      </c>
      <c r="I339" t="n">
        <v>0</v>
      </c>
      <c r="J339" t="n">
        <v>0</v>
      </c>
      <c r="K339" t="n">
        <v>0</v>
      </c>
      <c r="L339" t="n">
        <v>0</v>
      </c>
      <c r="M339" t="n">
        <v>0</v>
      </c>
      <c r="N339" t="n">
        <v>0</v>
      </c>
      <c r="O339" t="n">
        <v>0</v>
      </c>
      <c r="P339" t="n">
        <v>0</v>
      </c>
      <c r="Q339" t="n">
        <v>0</v>
      </c>
      <c r="R339" s="2" t="inlineStr"/>
    </row>
    <row r="340" ht="15" customHeight="1">
      <c r="A340" t="inlineStr">
        <is>
          <t>A 8069-2025</t>
        </is>
      </c>
      <c r="B340" s="1" t="n">
        <v>45707.64342592593</v>
      </c>
      <c r="C340" s="1" t="n">
        <v>46074</v>
      </c>
      <c r="D340" t="inlineStr">
        <is>
          <t>DALARNAS LÄN</t>
        </is>
      </c>
      <c r="E340" t="inlineStr">
        <is>
          <t>ÄLVDALEN</t>
        </is>
      </c>
      <c r="F340" t="inlineStr">
        <is>
          <t>Allmännings- och besparingsskogar</t>
        </is>
      </c>
      <c r="G340" t="n">
        <v>4.2</v>
      </c>
      <c r="H340" t="n">
        <v>0</v>
      </c>
      <c r="I340" t="n">
        <v>0</v>
      </c>
      <c r="J340" t="n">
        <v>0</v>
      </c>
      <c r="K340" t="n">
        <v>0</v>
      </c>
      <c r="L340" t="n">
        <v>0</v>
      </c>
      <c r="M340" t="n">
        <v>0</v>
      </c>
      <c r="N340" t="n">
        <v>0</v>
      </c>
      <c r="O340" t="n">
        <v>0</v>
      </c>
      <c r="P340" t="n">
        <v>0</v>
      </c>
      <c r="Q340" t="n">
        <v>0</v>
      </c>
      <c r="R340" s="2" t="inlineStr"/>
    </row>
    <row r="341" ht="15" customHeight="1">
      <c r="A341" t="inlineStr">
        <is>
          <t>A 43351-2024</t>
        </is>
      </c>
      <c r="B341" s="1" t="n">
        <v>45568.56023148148</v>
      </c>
      <c r="C341" s="1" t="n">
        <v>46074</v>
      </c>
      <c r="D341" t="inlineStr">
        <is>
          <t>DALARNAS LÄN</t>
        </is>
      </c>
      <c r="E341" t="inlineStr">
        <is>
          <t>ÄLVDALEN</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5885-2024</t>
        </is>
      </c>
      <c r="B342" s="1" t="n">
        <v>45335</v>
      </c>
      <c r="C342" s="1" t="n">
        <v>46074</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39041-2025</t>
        </is>
      </c>
      <c r="B343" s="1" t="n">
        <v>45888</v>
      </c>
      <c r="C343" s="1" t="n">
        <v>46074</v>
      </c>
      <c r="D343" t="inlineStr">
        <is>
          <t>DALARNAS LÄN</t>
        </is>
      </c>
      <c r="E343" t="inlineStr">
        <is>
          <t>ÄLVDALEN</t>
        </is>
      </c>
      <c r="G343" t="n">
        <v>4.7</v>
      </c>
      <c r="H343" t="n">
        <v>0</v>
      </c>
      <c r="I343" t="n">
        <v>0</v>
      </c>
      <c r="J343" t="n">
        <v>0</v>
      </c>
      <c r="K343" t="n">
        <v>0</v>
      </c>
      <c r="L343" t="n">
        <v>0</v>
      </c>
      <c r="M343" t="n">
        <v>0</v>
      </c>
      <c r="N343" t="n">
        <v>0</v>
      </c>
      <c r="O343" t="n">
        <v>0</v>
      </c>
      <c r="P343" t="n">
        <v>0</v>
      </c>
      <c r="Q343" t="n">
        <v>0</v>
      </c>
      <c r="R343" s="2" t="inlineStr"/>
    </row>
    <row r="344" ht="15" customHeight="1">
      <c r="A344" t="inlineStr">
        <is>
          <t>A 39893-2025</t>
        </is>
      </c>
      <c r="B344" s="1" t="n">
        <v>45891.63013888889</v>
      </c>
      <c r="C344" s="1" t="n">
        <v>46074</v>
      </c>
      <c r="D344" t="inlineStr">
        <is>
          <t>DALARNAS LÄN</t>
        </is>
      </c>
      <c r="E344" t="inlineStr">
        <is>
          <t>ÄLVDALEN</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26656-2025</t>
        </is>
      </c>
      <c r="B345" s="1" t="n">
        <v>45810</v>
      </c>
      <c r="C345" s="1" t="n">
        <v>46074</v>
      </c>
      <c r="D345" t="inlineStr">
        <is>
          <t>DALARNAS LÄN</t>
        </is>
      </c>
      <c r="E345" t="inlineStr">
        <is>
          <t>ÄLVDALEN</t>
        </is>
      </c>
      <c r="G345" t="n">
        <v>1.8</v>
      </c>
      <c r="H345" t="n">
        <v>0</v>
      </c>
      <c r="I345" t="n">
        <v>0</v>
      </c>
      <c r="J345" t="n">
        <v>0</v>
      </c>
      <c r="K345" t="n">
        <v>0</v>
      </c>
      <c r="L345" t="n">
        <v>0</v>
      </c>
      <c r="M345" t="n">
        <v>0</v>
      </c>
      <c r="N345" t="n">
        <v>0</v>
      </c>
      <c r="O345" t="n">
        <v>0</v>
      </c>
      <c r="P345" t="n">
        <v>0</v>
      </c>
      <c r="Q345" t="n">
        <v>0</v>
      </c>
      <c r="R345" s="2" t="inlineStr"/>
    </row>
    <row r="346" ht="15" customHeight="1">
      <c r="A346" t="inlineStr">
        <is>
          <t>A 30025-2025</t>
        </is>
      </c>
      <c r="B346" s="1" t="n">
        <v>45826.56265046296</v>
      </c>
      <c r="C346" s="1" t="n">
        <v>46074</v>
      </c>
      <c r="D346" t="inlineStr">
        <is>
          <t>DALARNAS LÄN</t>
        </is>
      </c>
      <c r="E346" t="inlineStr">
        <is>
          <t>ÄLVDALEN</t>
        </is>
      </c>
      <c r="G346" t="n">
        <v>9</v>
      </c>
      <c r="H346" t="n">
        <v>0</v>
      </c>
      <c r="I346" t="n">
        <v>0</v>
      </c>
      <c r="J346" t="n">
        <v>0</v>
      </c>
      <c r="K346" t="n">
        <v>0</v>
      </c>
      <c r="L346" t="n">
        <v>0</v>
      </c>
      <c r="M346" t="n">
        <v>0</v>
      </c>
      <c r="N346" t="n">
        <v>0</v>
      </c>
      <c r="O346" t="n">
        <v>0</v>
      </c>
      <c r="P346" t="n">
        <v>0</v>
      </c>
      <c r="Q346" t="n">
        <v>0</v>
      </c>
      <c r="R346" s="2" t="inlineStr"/>
    </row>
    <row r="347" ht="15" customHeight="1">
      <c r="A347" t="inlineStr">
        <is>
          <t>A 39789-2025</t>
        </is>
      </c>
      <c r="B347" s="1" t="n">
        <v>45891.48471064815</v>
      </c>
      <c r="C347" s="1" t="n">
        <v>46074</v>
      </c>
      <c r="D347" t="inlineStr">
        <is>
          <t>DALARNAS LÄN</t>
        </is>
      </c>
      <c r="E347" t="inlineStr">
        <is>
          <t>ÄLVDALEN</t>
        </is>
      </c>
      <c r="G347" t="n">
        <v>2.2</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46074</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40081-2025</t>
        </is>
      </c>
      <c r="B349" s="1" t="n">
        <v>45894.46609953704</v>
      </c>
      <c r="C349" s="1" t="n">
        <v>46074</v>
      </c>
      <c r="D349" t="inlineStr">
        <is>
          <t>DALARNAS LÄN</t>
        </is>
      </c>
      <c r="E349" t="inlineStr">
        <is>
          <t>ÄLVDALEN</t>
        </is>
      </c>
      <c r="F349" t="inlineStr">
        <is>
          <t>Övriga statliga verk och myndigheter</t>
        </is>
      </c>
      <c r="G349" t="n">
        <v>1.4</v>
      </c>
      <c r="H349" t="n">
        <v>0</v>
      </c>
      <c r="I349" t="n">
        <v>0</v>
      </c>
      <c r="J349" t="n">
        <v>0</v>
      </c>
      <c r="K349" t="n">
        <v>0</v>
      </c>
      <c r="L349" t="n">
        <v>0</v>
      </c>
      <c r="M349" t="n">
        <v>0</v>
      </c>
      <c r="N349" t="n">
        <v>0</v>
      </c>
      <c r="O349" t="n">
        <v>0</v>
      </c>
      <c r="P349" t="n">
        <v>0</v>
      </c>
      <c r="Q349" t="n">
        <v>0</v>
      </c>
      <c r="R349" s="2" t="inlineStr"/>
    </row>
    <row r="350" ht="15" customHeight="1">
      <c r="A350" t="inlineStr">
        <is>
          <t>A 30032-2025</t>
        </is>
      </c>
      <c r="B350" s="1" t="n">
        <v>45826.56873842593</v>
      </c>
      <c r="C350" s="1" t="n">
        <v>46074</v>
      </c>
      <c r="D350" t="inlineStr">
        <is>
          <t>DALARNAS LÄN</t>
        </is>
      </c>
      <c r="E350" t="inlineStr">
        <is>
          <t>ÄLVDALEN</t>
        </is>
      </c>
      <c r="G350" t="n">
        <v>5.5</v>
      </c>
      <c r="H350" t="n">
        <v>0</v>
      </c>
      <c r="I350" t="n">
        <v>0</v>
      </c>
      <c r="J350" t="n">
        <v>0</v>
      </c>
      <c r="K350" t="n">
        <v>0</v>
      </c>
      <c r="L350" t="n">
        <v>0</v>
      </c>
      <c r="M350" t="n">
        <v>0</v>
      </c>
      <c r="N350" t="n">
        <v>0</v>
      </c>
      <c r="O350" t="n">
        <v>0</v>
      </c>
      <c r="P350" t="n">
        <v>0</v>
      </c>
      <c r="Q350" t="n">
        <v>0</v>
      </c>
      <c r="R350" s="2" t="inlineStr"/>
    </row>
    <row r="351" ht="15" customHeight="1">
      <c r="A351" t="inlineStr">
        <is>
          <t>A 52060-2022</t>
        </is>
      </c>
      <c r="B351" s="1" t="n">
        <v>44873.34417824074</v>
      </c>
      <c r="C351" s="1" t="n">
        <v>46074</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30502-2025</t>
        </is>
      </c>
      <c r="B352" s="1" t="n">
        <v>45830.82903935185</v>
      </c>
      <c r="C352" s="1" t="n">
        <v>46074</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40954-2025</t>
        </is>
      </c>
      <c r="B353" s="1" t="n">
        <v>45897.67196759259</v>
      </c>
      <c r="C353" s="1" t="n">
        <v>46074</v>
      </c>
      <c r="D353" t="inlineStr">
        <is>
          <t>DALARNAS LÄN</t>
        </is>
      </c>
      <c r="E353" t="inlineStr">
        <is>
          <t>ÄLVDALEN</t>
        </is>
      </c>
      <c r="G353" t="n">
        <v>2.9</v>
      </c>
      <c r="H353" t="n">
        <v>0</v>
      </c>
      <c r="I353" t="n">
        <v>0</v>
      </c>
      <c r="J353" t="n">
        <v>0</v>
      </c>
      <c r="K353" t="n">
        <v>0</v>
      </c>
      <c r="L353" t="n">
        <v>0</v>
      </c>
      <c r="M353" t="n">
        <v>0</v>
      </c>
      <c r="N353" t="n">
        <v>0</v>
      </c>
      <c r="O353" t="n">
        <v>0</v>
      </c>
      <c r="P353" t="n">
        <v>0</v>
      </c>
      <c r="Q353" t="n">
        <v>0</v>
      </c>
      <c r="R353" s="2" t="inlineStr"/>
    </row>
    <row r="354" ht="15" customHeight="1">
      <c r="A354" t="inlineStr">
        <is>
          <t>A 41566-2025</t>
        </is>
      </c>
      <c r="B354" s="1" t="n">
        <v>45901.6049537037</v>
      </c>
      <c r="C354" s="1" t="n">
        <v>46074</v>
      </c>
      <c r="D354" t="inlineStr">
        <is>
          <t>DALARNAS LÄN</t>
        </is>
      </c>
      <c r="E354" t="inlineStr">
        <is>
          <t>ÄLVDALEN</t>
        </is>
      </c>
      <c r="G354" t="n">
        <v>2.6</v>
      </c>
      <c r="H354" t="n">
        <v>0</v>
      </c>
      <c r="I354" t="n">
        <v>0</v>
      </c>
      <c r="J354" t="n">
        <v>0</v>
      </c>
      <c r="K354" t="n">
        <v>0</v>
      </c>
      <c r="L354" t="n">
        <v>0</v>
      </c>
      <c r="M354" t="n">
        <v>0</v>
      </c>
      <c r="N354" t="n">
        <v>0</v>
      </c>
      <c r="O354" t="n">
        <v>0</v>
      </c>
      <c r="P354" t="n">
        <v>0</v>
      </c>
      <c r="Q354" t="n">
        <v>0</v>
      </c>
      <c r="R354" s="2" t="inlineStr"/>
    </row>
    <row r="355" ht="15" customHeight="1">
      <c r="A355" t="inlineStr">
        <is>
          <t>A 41571-2025</t>
        </is>
      </c>
      <c r="B355" s="1" t="n">
        <v>45901.61150462963</v>
      </c>
      <c r="C355" s="1" t="n">
        <v>46074</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32063-2025</t>
        </is>
      </c>
      <c r="B356" s="1" t="n">
        <v>45835.44703703704</v>
      </c>
      <c r="C356" s="1" t="n">
        <v>46074</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41115-2025</t>
        </is>
      </c>
      <c r="B357" s="1" t="n">
        <v>45898.46256944445</v>
      </c>
      <c r="C357" s="1" t="n">
        <v>46074</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40003-2022</t>
        </is>
      </c>
      <c r="B358" s="1" t="n">
        <v>44820.36509259259</v>
      </c>
      <c r="C358" s="1" t="n">
        <v>46074</v>
      </c>
      <c r="D358" t="inlineStr">
        <is>
          <t>DALARNAS LÄN</t>
        </is>
      </c>
      <c r="E358" t="inlineStr">
        <is>
          <t>ÄLVDALEN</t>
        </is>
      </c>
      <c r="G358" t="n">
        <v>1.2</v>
      </c>
      <c r="H358" t="n">
        <v>0</v>
      </c>
      <c r="I358" t="n">
        <v>0</v>
      </c>
      <c r="J358" t="n">
        <v>0</v>
      </c>
      <c r="K358" t="n">
        <v>0</v>
      </c>
      <c r="L358" t="n">
        <v>0</v>
      </c>
      <c r="M358" t="n">
        <v>0</v>
      </c>
      <c r="N358" t="n">
        <v>0</v>
      </c>
      <c r="O358" t="n">
        <v>0</v>
      </c>
      <c r="P358" t="n">
        <v>0</v>
      </c>
      <c r="Q358" t="n">
        <v>0</v>
      </c>
      <c r="R358" s="2" t="inlineStr"/>
    </row>
    <row r="359" ht="15" customHeight="1">
      <c r="A359" t="inlineStr">
        <is>
          <t>A 31796-2025</t>
        </is>
      </c>
      <c r="B359" s="1" t="n">
        <v>45834.54943287037</v>
      </c>
      <c r="C359" s="1" t="n">
        <v>46074</v>
      </c>
      <c r="D359" t="inlineStr">
        <is>
          <t>DALARNAS LÄN</t>
        </is>
      </c>
      <c r="E359" t="inlineStr">
        <is>
          <t>ÄLVDALEN</t>
        </is>
      </c>
      <c r="G359" t="n">
        <v>65.5</v>
      </c>
      <c r="H359" t="n">
        <v>0</v>
      </c>
      <c r="I359" t="n">
        <v>0</v>
      </c>
      <c r="J359" t="n">
        <v>0</v>
      </c>
      <c r="K359" t="n">
        <v>0</v>
      </c>
      <c r="L359" t="n">
        <v>0</v>
      </c>
      <c r="M359" t="n">
        <v>0</v>
      </c>
      <c r="N359" t="n">
        <v>0</v>
      </c>
      <c r="O359" t="n">
        <v>0</v>
      </c>
      <c r="P359" t="n">
        <v>0</v>
      </c>
      <c r="Q359" t="n">
        <v>0</v>
      </c>
      <c r="R359" s="2" t="inlineStr"/>
    </row>
    <row r="360" ht="15" customHeight="1">
      <c r="A360" t="inlineStr">
        <is>
          <t>A 42679-2024</t>
        </is>
      </c>
      <c r="B360" s="1" t="n">
        <v>45566.37706018519</v>
      </c>
      <c r="C360" s="1" t="n">
        <v>46074</v>
      </c>
      <c r="D360" t="inlineStr">
        <is>
          <t>DALARNAS LÄN</t>
        </is>
      </c>
      <c r="E360" t="inlineStr">
        <is>
          <t>ÄLVDALEN</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63079-2021</t>
        </is>
      </c>
      <c r="B361" s="1" t="n">
        <v>44505.56753472222</v>
      </c>
      <c r="C361" s="1" t="n">
        <v>46074</v>
      </c>
      <c r="D361" t="inlineStr">
        <is>
          <t>DALARNAS LÄN</t>
        </is>
      </c>
      <c r="E361" t="inlineStr">
        <is>
          <t>ÄLVDALEN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32668-2025</t>
        </is>
      </c>
      <c r="B362" s="1" t="n">
        <v>45838.69678240741</v>
      </c>
      <c r="C362" s="1" t="n">
        <v>46074</v>
      </c>
      <c r="D362" t="inlineStr">
        <is>
          <t>DALARNAS LÄN</t>
        </is>
      </c>
      <c r="E362" t="inlineStr">
        <is>
          <t>ÄLVDALEN</t>
        </is>
      </c>
      <c r="F362" t="inlineStr">
        <is>
          <t>Övriga Aktiebolag</t>
        </is>
      </c>
      <c r="G362" t="n">
        <v>29.5</v>
      </c>
      <c r="H362" t="n">
        <v>0</v>
      </c>
      <c r="I362" t="n">
        <v>0</v>
      </c>
      <c r="J362" t="n">
        <v>0</v>
      </c>
      <c r="K362" t="n">
        <v>0</v>
      </c>
      <c r="L362" t="n">
        <v>0</v>
      </c>
      <c r="M362" t="n">
        <v>0</v>
      </c>
      <c r="N362" t="n">
        <v>0</v>
      </c>
      <c r="O362" t="n">
        <v>0</v>
      </c>
      <c r="P362" t="n">
        <v>0</v>
      </c>
      <c r="Q362" t="n">
        <v>0</v>
      </c>
      <c r="R362" s="2" t="inlineStr"/>
    </row>
    <row r="363" ht="15" customHeight="1">
      <c r="A363" t="inlineStr">
        <is>
          <t>A 510-2024</t>
        </is>
      </c>
      <c r="B363" s="1" t="n">
        <v>45299.39997685186</v>
      </c>
      <c r="C363" s="1" t="n">
        <v>46074</v>
      </c>
      <c r="D363" t="inlineStr">
        <is>
          <t>DALARNAS LÄN</t>
        </is>
      </c>
      <c r="E363" t="inlineStr">
        <is>
          <t>ÄLVDALEN</t>
        </is>
      </c>
      <c r="G363" t="n">
        <v>1.5</v>
      </c>
      <c r="H363" t="n">
        <v>0</v>
      </c>
      <c r="I363" t="n">
        <v>0</v>
      </c>
      <c r="J363" t="n">
        <v>0</v>
      </c>
      <c r="K363" t="n">
        <v>0</v>
      </c>
      <c r="L363" t="n">
        <v>0</v>
      </c>
      <c r="M363" t="n">
        <v>0</v>
      </c>
      <c r="N363" t="n">
        <v>0</v>
      </c>
      <c r="O363" t="n">
        <v>0</v>
      </c>
      <c r="P363" t="n">
        <v>0</v>
      </c>
      <c r="Q363" t="n">
        <v>0</v>
      </c>
      <c r="R363" s="2" t="inlineStr"/>
    </row>
    <row r="364" ht="15" customHeight="1">
      <c r="A364" t="inlineStr">
        <is>
          <t>A 54632-2021</t>
        </is>
      </c>
      <c r="B364" s="1" t="n">
        <v>44473</v>
      </c>
      <c r="C364" s="1" t="n">
        <v>46074</v>
      </c>
      <c r="D364" t="inlineStr">
        <is>
          <t>DALARNAS LÄN</t>
        </is>
      </c>
      <c r="E364" t="inlineStr">
        <is>
          <t>ÄLVDALEN</t>
        </is>
      </c>
      <c r="G364" t="n">
        <v>0.5</v>
      </c>
      <c r="H364" t="n">
        <v>0</v>
      </c>
      <c r="I364" t="n">
        <v>0</v>
      </c>
      <c r="J364" t="n">
        <v>0</v>
      </c>
      <c r="K364" t="n">
        <v>0</v>
      </c>
      <c r="L364" t="n">
        <v>0</v>
      </c>
      <c r="M364" t="n">
        <v>0</v>
      </c>
      <c r="N364" t="n">
        <v>0</v>
      </c>
      <c r="O364" t="n">
        <v>0</v>
      </c>
      <c r="P364" t="n">
        <v>0</v>
      </c>
      <c r="Q364" t="n">
        <v>0</v>
      </c>
      <c r="R364" s="2" t="inlineStr"/>
      <c r="T364">
        <f>HYPERLINK("https://klasma.github.io/Logging_2039/kartor/A 54632-2021 karta.png", "A 54632-2021")</f>
        <v/>
      </c>
      <c r="V364">
        <f>HYPERLINK("https://klasma.github.io/Logging_2039/klagomål/A 54632-2021 FSC-klagomål.docx", "A 54632-2021")</f>
        <v/>
      </c>
      <c r="W364">
        <f>HYPERLINK("https://klasma.github.io/Logging_2039/klagomålsmail/A 54632-2021 FSC-klagomål mail.docx", "A 54632-2021")</f>
        <v/>
      </c>
      <c r="X364">
        <f>HYPERLINK("https://klasma.github.io/Logging_2039/tillsyn/A 54632-2021 tillsynsbegäran.docx", "A 54632-2021")</f>
        <v/>
      </c>
      <c r="Y364">
        <f>HYPERLINK("https://klasma.github.io/Logging_2039/tillsynsmail/A 54632-2021 tillsynsbegäran mail.docx", "A 54632-2021")</f>
        <v/>
      </c>
    </row>
    <row r="365" ht="15" customHeight="1">
      <c r="A365" t="inlineStr">
        <is>
          <t>A 2377-2024</t>
        </is>
      </c>
      <c r="B365" s="1" t="n">
        <v>45310.63633101852</v>
      </c>
      <c r="C365" s="1" t="n">
        <v>46074</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2384-2024</t>
        </is>
      </c>
      <c r="B366" s="1" t="n">
        <v>45310.65099537037</v>
      </c>
      <c r="C366" s="1" t="n">
        <v>46074</v>
      </c>
      <c r="D366" t="inlineStr">
        <is>
          <t>DALARNAS LÄN</t>
        </is>
      </c>
      <c r="E366" t="inlineStr">
        <is>
          <t>ÄLVDALEN</t>
        </is>
      </c>
      <c r="G366" t="n">
        <v>2.7</v>
      </c>
      <c r="H366" t="n">
        <v>0</v>
      </c>
      <c r="I366" t="n">
        <v>0</v>
      </c>
      <c r="J366" t="n">
        <v>0</v>
      </c>
      <c r="K366" t="n">
        <v>0</v>
      </c>
      <c r="L366" t="n">
        <v>0</v>
      </c>
      <c r="M366" t="n">
        <v>0</v>
      </c>
      <c r="N366" t="n">
        <v>0</v>
      </c>
      <c r="O366" t="n">
        <v>0</v>
      </c>
      <c r="P366" t="n">
        <v>0</v>
      </c>
      <c r="Q366" t="n">
        <v>0</v>
      </c>
      <c r="R366" s="2" t="inlineStr"/>
    </row>
    <row r="367" ht="15" customHeight="1">
      <c r="A367" t="inlineStr">
        <is>
          <t>A 42426-2023</t>
        </is>
      </c>
      <c r="B367" s="1" t="n">
        <v>45175</v>
      </c>
      <c r="C367" s="1" t="n">
        <v>46074</v>
      </c>
      <c r="D367" t="inlineStr">
        <is>
          <t>DALARNAS LÄN</t>
        </is>
      </c>
      <c r="E367" t="inlineStr">
        <is>
          <t>ÄLVDALEN</t>
        </is>
      </c>
      <c r="G367" t="n">
        <v>3.6</v>
      </c>
      <c r="H367" t="n">
        <v>0</v>
      </c>
      <c r="I367" t="n">
        <v>0</v>
      </c>
      <c r="J367" t="n">
        <v>0</v>
      </c>
      <c r="K367" t="n">
        <v>0</v>
      </c>
      <c r="L367" t="n">
        <v>0</v>
      </c>
      <c r="M367" t="n">
        <v>0</v>
      </c>
      <c r="N367" t="n">
        <v>0</v>
      </c>
      <c r="O367" t="n">
        <v>0</v>
      </c>
      <c r="P367" t="n">
        <v>0</v>
      </c>
      <c r="Q367" t="n">
        <v>0</v>
      </c>
      <c r="R367" s="2" t="inlineStr"/>
    </row>
    <row r="368" ht="15" customHeight="1">
      <c r="A368" t="inlineStr">
        <is>
          <t>A 36593-2023</t>
        </is>
      </c>
      <c r="B368" s="1" t="n">
        <v>45153.47732638889</v>
      </c>
      <c r="C368" s="1" t="n">
        <v>46074</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760-2025</t>
        </is>
      </c>
      <c r="B369" s="1" t="n">
        <v>45665.44936342593</v>
      </c>
      <c r="C369" s="1" t="n">
        <v>46074</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55589-2022</t>
        </is>
      </c>
      <c r="B370" s="1" t="n">
        <v>44888.40673611111</v>
      </c>
      <c r="C370" s="1" t="n">
        <v>46074</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41004-2023</t>
        </is>
      </c>
      <c r="B371" s="1" t="n">
        <v>45173</v>
      </c>
      <c r="C371" s="1" t="n">
        <v>46074</v>
      </c>
      <c r="D371" t="inlineStr">
        <is>
          <t>DALARNAS LÄN</t>
        </is>
      </c>
      <c r="E371" t="inlineStr">
        <is>
          <t>ÄLVDALEN</t>
        </is>
      </c>
      <c r="F371" t="inlineStr">
        <is>
          <t>Bergvik skog väst AB</t>
        </is>
      </c>
      <c r="G371" t="n">
        <v>2</v>
      </c>
      <c r="H371" t="n">
        <v>0</v>
      </c>
      <c r="I371" t="n">
        <v>0</v>
      </c>
      <c r="J371" t="n">
        <v>0</v>
      </c>
      <c r="K371" t="n">
        <v>0</v>
      </c>
      <c r="L371" t="n">
        <v>0</v>
      </c>
      <c r="M371" t="n">
        <v>0</v>
      </c>
      <c r="N371" t="n">
        <v>0</v>
      </c>
      <c r="O371" t="n">
        <v>0</v>
      </c>
      <c r="P371" t="n">
        <v>0</v>
      </c>
      <c r="Q371" t="n">
        <v>0</v>
      </c>
      <c r="R371" s="2" t="inlineStr"/>
    </row>
    <row r="372" ht="15" customHeight="1">
      <c r="A372" t="inlineStr">
        <is>
          <t>A 43602-2025</t>
        </is>
      </c>
      <c r="B372" s="1" t="n">
        <v>45911.66576388889</v>
      </c>
      <c r="C372" s="1" t="n">
        <v>46074</v>
      </c>
      <c r="D372" t="inlineStr">
        <is>
          <t>DALARNAS LÄN</t>
        </is>
      </c>
      <c r="E372" t="inlineStr">
        <is>
          <t>ÄLVDALEN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43581-2025</t>
        </is>
      </c>
      <c r="B373" s="1" t="n">
        <v>45911.64846064815</v>
      </c>
      <c r="C373" s="1" t="n">
        <v>46074</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43514-2025</t>
        </is>
      </c>
      <c r="B374" s="1" t="n">
        <v>45911.56475694444</v>
      </c>
      <c r="C374" s="1" t="n">
        <v>46074</v>
      </c>
      <c r="D374" t="inlineStr">
        <is>
          <t>DALARNAS LÄN</t>
        </is>
      </c>
      <c r="E374" t="inlineStr">
        <is>
          <t>ÄLVDALEN</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47071-2023</t>
        </is>
      </c>
      <c r="B375" s="1" t="n">
        <v>45201.60141203704</v>
      </c>
      <c r="C375" s="1" t="n">
        <v>46074</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43342-2025</t>
        </is>
      </c>
      <c r="B376" s="1" t="n">
        <v>45910.7628125</v>
      </c>
      <c r="C376" s="1" t="n">
        <v>46074</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44349.39537037037</v>
      </c>
      <c r="C377" s="1" t="n">
        <v>46074</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61575-2024</t>
        </is>
      </c>
      <c r="B378" s="1" t="n">
        <v>45646.61907407407</v>
      </c>
      <c r="C378" s="1" t="n">
        <v>46074</v>
      </c>
      <c r="D378" t="inlineStr">
        <is>
          <t>DALARNAS LÄN</t>
        </is>
      </c>
      <c r="E378" t="inlineStr">
        <is>
          <t>ÄLVDALEN</t>
        </is>
      </c>
      <c r="G378" t="n">
        <v>0.6</v>
      </c>
      <c r="H378" t="n">
        <v>0</v>
      </c>
      <c r="I378" t="n">
        <v>0</v>
      </c>
      <c r="J378" t="n">
        <v>0</v>
      </c>
      <c r="K378" t="n">
        <v>0</v>
      </c>
      <c r="L378" t="n">
        <v>0</v>
      </c>
      <c r="M378" t="n">
        <v>0</v>
      </c>
      <c r="N378" t="n">
        <v>0</v>
      </c>
      <c r="O378" t="n">
        <v>0</v>
      </c>
      <c r="P378" t="n">
        <v>0</v>
      </c>
      <c r="Q378" t="n">
        <v>0</v>
      </c>
      <c r="R378" s="2" t="inlineStr"/>
    </row>
    <row r="379" ht="15" customHeight="1">
      <c r="A379" t="inlineStr">
        <is>
          <t>A 57665-2024</t>
        </is>
      </c>
      <c r="B379" s="1" t="n">
        <v>45630.62005787037</v>
      </c>
      <c r="C379" s="1" t="n">
        <v>46074</v>
      </c>
      <c r="D379" t="inlineStr">
        <is>
          <t>DALARNAS LÄN</t>
        </is>
      </c>
      <c r="E379" t="inlineStr">
        <is>
          <t>ÄLVDALEN</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46074</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6001-2024</t>
        </is>
      </c>
      <c r="B381" s="1" t="n">
        <v>45336</v>
      </c>
      <c r="C381" s="1" t="n">
        <v>46074</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505-2024</t>
        </is>
      </c>
      <c r="B382" s="1" t="n">
        <v>45299</v>
      </c>
      <c r="C382" s="1" t="n">
        <v>46074</v>
      </c>
      <c r="D382" t="inlineStr">
        <is>
          <t>DALARNAS LÄN</t>
        </is>
      </c>
      <c r="E382" t="inlineStr">
        <is>
          <t>ÄLVDALEN</t>
        </is>
      </c>
      <c r="G382" t="n">
        <v>1.4</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46074</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54493-2023</t>
        </is>
      </c>
      <c r="B384" s="1" t="n">
        <v>45233.50606481481</v>
      </c>
      <c r="C384" s="1" t="n">
        <v>46074</v>
      </c>
      <c r="D384" t="inlineStr">
        <is>
          <t>DALARNAS LÄN</t>
        </is>
      </c>
      <c r="E384" t="inlineStr">
        <is>
          <t>ÄLVDALEN</t>
        </is>
      </c>
      <c r="F384" t="inlineStr">
        <is>
          <t>Allmännings- och besparingsskogar</t>
        </is>
      </c>
      <c r="G384" t="n">
        <v>2</v>
      </c>
      <c r="H384" t="n">
        <v>0</v>
      </c>
      <c r="I384" t="n">
        <v>0</v>
      </c>
      <c r="J384" t="n">
        <v>0</v>
      </c>
      <c r="K384" t="n">
        <v>0</v>
      </c>
      <c r="L384" t="n">
        <v>0</v>
      </c>
      <c r="M384" t="n">
        <v>0</v>
      </c>
      <c r="N384" t="n">
        <v>0</v>
      </c>
      <c r="O384" t="n">
        <v>0</v>
      </c>
      <c r="P384" t="n">
        <v>0</v>
      </c>
      <c r="Q384" t="n">
        <v>0</v>
      </c>
      <c r="R384" s="2" t="inlineStr"/>
    </row>
    <row r="385" ht="15" customHeight="1">
      <c r="A385" t="inlineStr">
        <is>
          <t>A 2375-2024</t>
        </is>
      </c>
      <c r="B385" s="1" t="n">
        <v>45310</v>
      </c>
      <c r="C385" s="1" t="n">
        <v>46074</v>
      </c>
      <c r="D385" t="inlineStr">
        <is>
          <t>DALARNAS LÄN</t>
        </is>
      </c>
      <c r="E385" t="inlineStr">
        <is>
          <t>ÄLVDALEN</t>
        </is>
      </c>
      <c r="G385" t="n">
        <v>5.4</v>
      </c>
      <c r="H385" t="n">
        <v>0</v>
      </c>
      <c r="I385" t="n">
        <v>0</v>
      </c>
      <c r="J385" t="n">
        <v>0</v>
      </c>
      <c r="K385" t="n">
        <v>0</v>
      </c>
      <c r="L385" t="n">
        <v>0</v>
      </c>
      <c r="M385" t="n">
        <v>0</v>
      </c>
      <c r="N385" t="n">
        <v>0</v>
      </c>
      <c r="O385" t="n">
        <v>0</v>
      </c>
      <c r="P385" t="n">
        <v>0</v>
      </c>
      <c r="Q385" t="n">
        <v>0</v>
      </c>
      <c r="R385" s="2" t="inlineStr"/>
    </row>
    <row r="386" ht="15" customHeight="1">
      <c r="A386" t="inlineStr">
        <is>
          <t>A 34314-2025</t>
        </is>
      </c>
      <c r="B386" s="1" t="n">
        <v>45846</v>
      </c>
      <c r="C386" s="1" t="n">
        <v>46074</v>
      </c>
      <c r="D386" t="inlineStr">
        <is>
          <t>DALARNAS LÄN</t>
        </is>
      </c>
      <c r="E386" t="inlineStr">
        <is>
          <t>ÄLVDALEN</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61072-2024</t>
        </is>
      </c>
      <c r="B387" s="1" t="n">
        <v>45645.50583333334</v>
      </c>
      <c r="C387" s="1" t="n">
        <v>46074</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34526-2025</t>
        </is>
      </c>
      <c r="B388" s="1" t="n">
        <v>45847.47820601852</v>
      </c>
      <c r="C388" s="1" t="n">
        <v>46074</v>
      </c>
      <c r="D388" t="inlineStr">
        <is>
          <t>DALARNAS LÄN</t>
        </is>
      </c>
      <c r="E388" t="inlineStr">
        <is>
          <t>ÄLVDALEN</t>
        </is>
      </c>
      <c r="F388" t="inlineStr">
        <is>
          <t>Allmännings- och besparingsskogar</t>
        </is>
      </c>
      <c r="G388" t="n">
        <v>3.9</v>
      </c>
      <c r="H388" t="n">
        <v>0</v>
      </c>
      <c r="I388" t="n">
        <v>0</v>
      </c>
      <c r="J388" t="n">
        <v>0</v>
      </c>
      <c r="K388" t="n">
        <v>0</v>
      </c>
      <c r="L388" t="n">
        <v>0</v>
      </c>
      <c r="M388" t="n">
        <v>0</v>
      </c>
      <c r="N388" t="n">
        <v>0</v>
      </c>
      <c r="O388" t="n">
        <v>0</v>
      </c>
      <c r="P388" t="n">
        <v>0</v>
      </c>
      <c r="Q388" t="n">
        <v>0</v>
      </c>
      <c r="R388" s="2" t="inlineStr"/>
    </row>
    <row r="389" ht="15" customHeight="1">
      <c r="A389" t="inlineStr">
        <is>
          <t>A 31047-2024</t>
        </is>
      </c>
      <c r="B389" s="1" t="n">
        <v>45502.33021990741</v>
      </c>
      <c r="C389" s="1" t="n">
        <v>46074</v>
      </c>
      <c r="D389" t="inlineStr">
        <is>
          <t>DALARNAS LÄN</t>
        </is>
      </c>
      <c r="E389" t="inlineStr">
        <is>
          <t>ÄLVDALEN</t>
        </is>
      </c>
      <c r="F389" t="inlineStr">
        <is>
          <t>Sveaskog</t>
        </is>
      </c>
      <c r="G389" t="n">
        <v>8</v>
      </c>
      <c r="H389" t="n">
        <v>0</v>
      </c>
      <c r="I389" t="n">
        <v>0</v>
      </c>
      <c r="J389" t="n">
        <v>0</v>
      </c>
      <c r="K389" t="n">
        <v>0</v>
      </c>
      <c r="L389" t="n">
        <v>0</v>
      </c>
      <c r="M389" t="n">
        <v>0</v>
      </c>
      <c r="N389" t="n">
        <v>0</v>
      </c>
      <c r="O389" t="n">
        <v>0</v>
      </c>
      <c r="P389" t="n">
        <v>0</v>
      </c>
      <c r="Q389" t="n">
        <v>0</v>
      </c>
      <c r="R389" s="2" t="inlineStr"/>
    </row>
    <row r="390" ht="15" customHeight="1">
      <c r="A390" t="inlineStr">
        <is>
          <t>A 47080-2024</t>
        </is>
      </c>
      <c r="B390" s="1" t="n">
        <v>45586.50578703704</v>
      </c>
      <c r="C390" s="1" t="n">
        <v>46074</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34914-2025</t>
        </is>
      </c>
      <c r="B391" s="1" t="n">
        <v>45849.54108796296</v>
      </c>
      <c r="C391" s="1" t="n">
        <v>46074</v>
      </c>
      <c r="D391" t="inlineStr">
        <is>
          <t>DALARNAS LÄN</t>
        </is>
      </c>
      <c r="E391" t="inlineStr">
        <is>
          <t>ÄLVDALEN</t>
        </is>
      </c>
      <c r="F391" t="inlineStr">
        <is>
          <t>Allmännings- och besparingsskogar</t>
        </is>
      </c>
      <c r="G391" t="n">
        <v>19.2</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44370.63354166667</v>
      </c>
      <c r="C392" s="1" t="n">
        <v>46074</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34778-2025</t>
        </is>
      </c>
      <c r="B393" s="1" t="n">
        <v>45848.66840277778</v>
      </c>
      <c r="C393" s="1" t="n">
        <v>46074</v>
      </c>
      <c r="D393" t="inlineStr">
        <is>
          <t>DALARNAS LÄN</t>
        </is>
      </c>
      <c r="E393" t="inlineStr">
        <is>
          <t>ÄLVDALEN</t>
        </is>
      </c>
      <c r="G393" t="n">
        <v>2.2</v>
      </c>
      <c r="H393" t="n">
        <v>0</v>
      </c>
      <c r="I393" t="n">
        <v>0</v>
      </c>
      <c r="J393" t="n">
        <v>0</v>
      </c>
      <c r="K393" t="n">
        <v>0</v>
      </c>
      <c r="L393" t="n">
        <v>0</v>
      </c>
      <c r="M393" t="n">
        <v>0</v>
      </c>
      <c r="N393" t="n">
        <v>0</v>
      </c>
      <c r="O393" t="n">
        <v>0</v>
      </c>
      <c r="P393" t="n">
        <v>0</v>
      </c>
      <c r="Q393" t="n">
        <v>0</v>
      </c>
      <c r="R393" s="2" t="inlineStr"/>
    </row>
    <row r="394" ht="15" customHeight="1">
      <c r="A394" t="inlineStr">
        <is>
          <t>A 34645-2025</t>
        </is>
      </c>
      <c r="B394" s="1" t="n">
        <v>45848.33440972222</v>
      </c>
      <c r="C394" s="1" t="n">
        <v>46074</v>
      </c>
      <c r="D394" t="inlineStr">
        <is>
          <t>DALARNAS LÄN</t>
        </is>
      </c>
      <c r="E394" t="inlineStr">
        <is>
          <t>ÄLVDALEN</t>
        </is>
      </c>
      <c r="G394" t="n">
        <v>7.1</v>
      </c>
      <c r="H394" t="n">
        <v>0</v>
      </c>
      <c r="I394" t="n">
        <v>0</v>
      </c>
      <c r="J394" t="n">
        <v>0</v>
      </c>
      <c r="K394" t="n">
        <v>0</v>
      </c>
      <c r="L394" t="n">
        <v>0</v>
      </c>
      <c r="M394" t="n">
        <v>0</v>
      </c>
      <c r="N394" t="n">
        <v>0</v>
      </c>
      <c r="O394" t="n">
        <v>0</v>
      </c>
      <c r="P394" t="n">
        <v>0</v>
      </c>
      <c r="Q394" t="n">
        <v>0</v>
      </c>
      <c r="R394" s="2" t="inlineStr"/>
    </row>
    <row r="395" ht="15" customHeight="1">
      <c r="A395" t="inlineStr">
        <is>
          <t>A 34697-2025</t>
        </is>
      </c>
      <c r="B395" s="1" t="n">
        <v>45848.46181712963</v>
      </c>
      <c r="C395" s="1" t="n">
        <v>46074</v>
      </c>
      <c r="D395" t="inlineStr">
        <is>
          <t>DALARNAS LÄN</t>
        </is>
      </c>
      <c r="E395" t="inlineStr">
        <is>
          <t>ÄLVDALEN</t>
        </is>
      </c>
      <c r="F395" t="inlineStr">
        <is>
          <t>Allmännings- och besparingsskogar</t>
        </is>
      </c>
      <c r="G395" t="n">
        <v>7.8</v>
      </c>
      <c r="H395" t="n">
        <v>0</v>
      </c>
      <c r="I395" t="n">
        <v>0</v>
      </c>
      <c r="J395" t="n">
        <v>0</v>
      </c>
      <c r="K395" t="n">
        <v>0</v>
      </c>
      <c r="L395" t="n">
        <v>0</v>
      </c>
      <c r="M395" t="n">
        <v>0</v>
      </c>
      <c r="N395" t="n">
        <v>0</v>
      </c>
      <c r="O395" t="n">
        <v>0</v>
      </c>
      <c r="P395" t="n">
        <v>0</v>
      </c>
      <c r="Q395" t="n">
        <v>0</v>
      </c>
      <c r="R395" s="2" t="inlineStr"/>
    </row>
    <row r="396" ht="15" customHeight="1">
      <c r="A396" t="inlineStr">
        <is>
          <t>A 34705-2025</t>
        </is>
      </c>
      <c r="B396" s="1" t="n">
        <v>45848.49012731481</v>
      </c>
      <c r="C396" s="1" t="n">
        <v>46074</v>
      </c>
      <c r="D396" t="inlineStr">
        <is>
          <t>DALARNAS LÄN</t>
        </is>
      </c>
      <c r="E396" t="inlineStr">
        <is>
          <t>ÄLVDALEN</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34850-2025</t>
        </is>
      </c>
      <c r="B397" s="1" t="n">
        <v>45849.42398148148</v>
      </c>
      <c r="C397" s="1" t="n">
        <v>46074</v>
      </c>
      <c r="D397" t="inlineStr">
        <is>
          <t>DALARNAS LÄN</t>
        </is>
      </c>
      <c r="E397" t="inlineStr">
        <is>
          <t>ÄLVDALEN</t>
        </is>
      </c>
      <c r="F397" t="inlineStr">
        <is>
          <t>Allmännings- och besparingsskogar</t>
        </is>
      </c>
      <c r="G397" t="n">
        <v>12.1</v>
      </c>
      <c r="H397" t="n">
        <v>0</v>
      </c>
      <c r="I397" t="n">
        <v>0</v>
      </c>
      <c r="J397" t="n">
        <v>0</v>
      </c>
      <c r="K397" t="n">
        <v>0</v>
      </c>
      <c r="L397" t="n">
        <v>0</v>
      </c>
      <c r="M397" t="n">
        <v>0</v>
      </c>
      <c r="N397" t="n">
        <v>0</v>
      </c>
      <c r="O397" t="n">
        <v>0</v>
      </c>
      <c r="P397" t="n">
        <v>0</v>
      </c>
      <c r="Q397" t="n">
        <v>0</v>
      </c>
      <c r="R397" s="2" t="inlineStr"/>
    </row>
    <row r="398" ht="15" customHeight="1">
      <c r="A398" t="inlineStr">
        <is>
          <t>A 34739-2025</t>
        </is>
      </c>
      <c r="B398" s="1" t="n">
        <v>45848.60682870371</v>
      </c>
      <c r="C398" s="1" t="n">
        <v>46074</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45173-2025</t>
        </is>
      </c>
      <c r="B399" s="1" t="n">
        <v>45919.51228009259</v>
      </c>
      <c r="C399" s="1" t="n">
        <v>46074</v>
      </c>
      <c r="D399" t="inlineStr">
        <is>
          <t>DALARNAS LÄN</t>
        </is>
      </c>
      <c r="E399" t="inlineStr">
        <is>
          <t>ÄLVDALEN</t>
        </is>
      </c>
      <c r="F399" t="inlineStr">
        <is>
          <t>Allmännings- och besparingsskogar</t>
        </is>
      </c>
      <c r="G399" t="n">
        <v>40.5</v>
      </c>
      <c r="H399" t="n">
        <v>0</v>
      </c>
      <c r="I399" t="n">
        <v>0</v>
      </c>
      <c r="J399" t="n">
        <v>0</v>
      </c>
      <c r="K399" t="n">
        <v>0</v>
      </c>
      <c r="L399" t="n">
        <v>0</v>
      </c>
      <c r="M399" t="n">
        <v>0</v>
      </c>
      <c r="N399" t="n">
        <v>0</v>
      </c>
      <c r="O399" t="n">
        <v>0</v>
      </c>
      <c r="P399" t="n">
        <v>0</v>
      </c>
      <c r="Q399" t="n">
        <v>0</v>
      </c>
      <c r="R399" s="2" t="inlineStr"/>
    </row>
    <row r="400" ht="15" customHeight="1">
      <c r="A400" t="inlineStr">
        <is>
          <t>A 45156-2025</t>
        </is>
      </c>
      <c r="B400" s="1" t="n">
        <v>45919.48063657407</v>
      </c>
      <c r="C400" s="1" t="n">
        <v>46074</v>
      </c>
      <c r="D400" t="inlineStr">
        <is>
          <t>DALARNAS LÄN</t>
        </is>
      </c>
      <c r="E400" t="inlineStr">
        <is>
          <t>ÄLVDALEN</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6675-2025</t>
        </is>
      </c>
      <c r="B401" s="1" t="n">
        <v>45700.47643518518</v>
      </c>
      <c r="C401" s="1" t="n">
        <v>46074</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27187-2025</t>
        </is>
      </c>
      <c r="B402" s="1" t="n">
        <v>45812</v>
      </c>
      <c r="C402" s="1" t="n">
        <v>46074</v>
      </c>
      <c r="D402" t="inlineStr">
        <is>
          <t>DALARNAS LÄN</t>
        </is>
      </c>
      <c r="E402" t="inlineStr">
        <is>
          <t>ÄLVDALEN</t>
        </is>
      </c>
      <c r="F402" t="inlineStr">
        <is>
          <t>Allmännings- och besparingsskogar</t>
        </is>
      </c>
      <c r="G402" t="n">
        <v>3</v>
      </c>
      <c r="H402" t="n">
        <v>0</v>
      </c>
      <c r="I402" t="n">
        <v>0</v>
      </c>
      <c r="J402" t="n">
        <v>0</v>
      </c>
      <c r="K402" t="n">
        <v>0</v>
      </c>
      <c r="L402" t="n">
        <v>0</v>
      </c>
      <c r="M402" t="n">
        <v>0</v>
      </c>
      <c r="N402" t="n">
        <v>0</v>
      </c>
      <c r="O402" t="n">
        <v>0</v>
      </c>
      <c r="P402" t="n">
        <v>0</v>
      </c>
      <c r="Q402" t="n">
        <v>0</v>
      </c>
      <c r="R402" s="2" t="inlineStr"/>
    </row>
    <row r="403" ht="15" customHeight="1">
      <c r="A403" t="inlineStr">
        <is>
          <t>A 10817-2025</t>
        </is>
      </c>
      <c r="B403" s="1" t="n">
        <v>45722.54625</v>
      </c>
      <c r="C403" s="1" t="n">
        <v>46074</v>
      </c>
      <c r="D403" t="inlineStr">
        <is>
          <t>DALARNAS LÄN</t>
        </is>
      </c>
      <c r="E403" t="inlineStr">
        <is>
          <t>ÄLVDALEN</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10831-2025</t>
        </is>
      </c>
      <c r="B404" s="1" t="n">
        <v>45722.56425925926</v>
      </c>
      <c r="C404" s="1" t="n">
        <v>46074</v>
      </c>
      <c r="D404" t="inlineStr">
        <is>
          <t>DALARNAS LÄN</t>
        </is>
      </c>
      <c r="E404" t="inlineStr">
        <is>
          <t>ÄLVDALEN</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45155-2023</t>
        </is>
      </c>
      <c r="B405" s="1" t="n">
        <v>45187</v>
      </c>
      <c r="C405" s="1" t="n">
        <v>46074</v>
      </c>
      <c r="D405" t="inlineStr">
        <is>
          <t>DALARNAS LÄN</t>
        </is>
      </c>
      <c r="E405" t="inlineStr">
        <is>
          <t>ÄLVDALEN</t>
        </is>
      </c>
      <c r="G405" t="n">
        <v>40.1</v>
      </c>
      <c r="H405" t="n">
        <v>0</v>
      </c>
      <c r="I405" t="n">
        <v>0</v>
      </c>
      <c r="J405" t="n">
        <v>0</v>
      </c>
      <c r="K405" t="n">
        <v>0</v>
      </c>
      <c r="L405" t="n">
        <v>0</v>
      </c>
      <c r="M405" t="n">
        <v>0</v>
      </c>
      <c r="N405" t="n">
        <v>0</v>
      </c>
      <c r="O405" t="n">
        <v>0</v>
      </c>
      <c r="P405" t="n">
        <v>0</v>
      </c>
      <c r="Q405" t="n">
        <v>0</v>
      </c>
      <c r="R405" s="2" t="inlineStr"/>
    </row>
    <row r="406" ht="15" customHeight="1">
      <c r="A406" t="inlineStr">
        <is>
          <t>A 41446-2024</t>
        </is>
      </c>
      <c r="B406" s="1" t="n">
        <v>45560.39483796297</v>
      </c>
      <c r="C406" s="1" t="n">
        <v>46074</v>
      </c>
      <c r="D406" t="inlineStr">
        <is>
          <t>DALARNAS LÄN</t>
        </is>
      </c>
      <c r="E406" t="inlineStr">
        <is>
          <t>ÄLVDALEN</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35993-2025</t>
        </is>
      </c>
      <c r="B407" s="1" t="n">
        <v>45863.48056712963</v>
      </c>
      <c r="C407" s="1" t="n">
        <v>46074</v>
      </c>
      <c r="D407" t="inlineStr">
        <is>
          <t>DALARNAS LÄN</t>
        </is>
      </c>
      <c r="E407" t="inlineStr">
        <is>
          <t>ÄLVDALEN</t>
        </is>
      </c>
      <c r="F407" t="inlineStr">
        <is>
          <t>Bergvik skog öst AB</t>
        </is>
      </c>
      <c r="G407" t="n">
        <v>6.1</v>
      </c>
      <c r="H407" t="n">
        <v>0</v>
      </c>
      <c r="I407" t="n">
        <v>0</v>
      </c>
      <c r="J407" t="n">
        <v>0</v>
      </c>
      <c r="K407" t="n">
        <v>0</v>
      </c>
      <c r="L407" t="n">
        <v>0</v>
      </c>
      <c r="M407" t="n">
        <v>0</v>
      </c>
      <c r="N407" t="n">
        <v>0</v>
      </c>
      <c r="O407" t="n">
        <v>0</v>
      </c>
      <c r="P407" t="n">
        <v>0</v>
      </c>
      <c r="Q407" t="n">
        <v>0</v>
      </c>
      <c r="R407" s="2" t="inlineStr"/>
    </row>
    <row r="408" ht="15" customHeight="1">
      <c r="A408" t="inlineStr">
        <is>
          <t>A 30799-2021</t>
        </is>
      </c>
      <c r="B408" s="1" t="n">
        <v>44365.51483796296</v>
      </c>
      <c r="C408" s="1" t="n">
        <v>46074</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36257-2025</t>
        </is>
      </c>
      <c r="B409" s="1" t="n">
        <v>45867.591875</v>
      </c>
      <c r="C409" s="1" t="n">
        <v>46074</v>
      </c>
      <c r="D409" t="inlineStr">
        <is>
          <t>DALARNAS LÄN</t>
        </is>
      </c>
      <c r="E409" t="inlineStr">
        <is>
          <t>ÄLVDALEN</t>
        </is>
      </c>
      <c r="F409" t="inlineStr">
        <is>
          <t>Allmännings- och besparingsskogar</t>
        </is>
      </c>
      <c r="G409" t="n">
        <v>1.9</v>
      </c>
      <c r="H409" t="n">
        <v>0</v>
      </c>
      <c r="I409" t="n">
        <v>0</v>
      </c>
      <c r="J409" t="n">
        <v>0</v>
      </c>
      <c r="K409" t="n">
        <v>0</v>
      </c>
      <c r="L409" t="n">
        <v>0</v>
      </c>
      <c r="M409" t="n">
        <v>0</v>
      </c>
      <c r="N409" t="n">
        <v>0</v>
      </c>
      <c r="O409" t="n">
        <v>0</v>
      </c>
      <c r="P409" t="n">
        <v>0</v>
      </c>
      <c r="Q409" t="n">
        <v>0</v>
      </c>
      <c r="R409" s="2" t="inlineStr"/>
    </row>
    <row r="410" ht="15" customHeight="1">
      <c r="A410" t="inlineStr">
        <is>
          <t>A 60793-2022</t>
        </is>
      </c>
      <c r="B410" s="1" t="n">
        <v>44911</v>
      </c>
      <c r="C410" s="1" t="n">
        <v>46074</v>
      </c>
      <c r="D410" t="inlineStr">
        <is>
          <t>DALARNAS LÄN</t>
        </is>
      </c>
      <c r="E410" t="inlineStr">
        <is>
          <t>ÄLVDALEN</t>
        </is>
      </c>
      <c r="G410" t="n">
        <v>0.5</v>
      </c>
      <c r="H410" t="n">
        <v>0</v>
      </c>
      <c r="I410" t="n">
        <v>0</v>
      </c>
      <c r="J410" t="n">
        <v>0</v>
      </c>
      <c r="K410" t="n">
        <v>0</v>
      </c>
      <c r="L410" t="n">
        <v>0</v>
      </c>
      <c r="M410" t="n">
        <v>0</v>
      </c>
      <c r="N410" t="n">
        <v>0</v>
      </c>
      <c r="O410" t="n">
        <v>0</v>
      </c>
      <c r="P410" t="n">
        <v>0</v>
      </c>
      <c r="Q410" t="n">
        <v>0</v>
      </c>
      <c r="R410" s="2" t="inlineStr"/>
    </row>
    <row r="411" ht="15" customHeight="1">
      <c r="A411" t="inlineStr">
        <is>
          <t>A 46409-2025</t>
        </is>
      </c>
      <c r="B411" s="1" t="n">
        <v>45925.56752314815</v>
      </c>
      <c r="C411" s="1" t="n">
        <v>46074</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17558-2024</t>
        </is>
      </c>
      <c r="B412" s="1" t="n">
        <v>45415.66295138889</v>
      </c>
      <c r="C412" s="1" t="n">
        <v>46074</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41158-2024</t>
        </is>
      </c>
      <c r="B413" s="1" t="n">
        <v>45559.47958333333</v>
      </c>
      <c r="C413" s="1" t="n">
        <v>46074</v>
      </c>
      <c r="D413" t="inlineStr">
        <is>
          <t>DALARNAS LÄN</t>
        </is>
      </c>
      <c r="E413" t="inlineStr">
        <is>
          <t>ÄLVDALEN</t>
        </is>
      </c>
      <c r="G413" t="n">
        <v>5.6</v>
      </c>
      <c r="H413" t="n">
        <v>0</v>
      </c>
      <c r="I413" t="n">
        <v>0</v>
      </c>
      <c r="J413" t="n">
        <v>0</v>
      </c>
      <c r="K413" t="n">
        <v>0</v>
      </c>
      <c r="L413" t="n">
        <v>0</v>
      </c>
      <c r="M413" t="n">
        <v>0</v>
      </c>
      <c r="N413" t="n">
        <v>0</v>
      </c>
      <c r="O413" t="n">
        <v>0</v>
      </c>
      <c r="P413" t="n">
        <v>0</v>
      </c>
      <c r="Q413" t="n">
        <v>0</v>
      </c>
      <c r="R413" s="2" t="inlineStr"/>
    </row>
    <row r="414" ht="15" customHeight="1">
      <c r="A414" t="inlineStr">
        <is>
          <t>A 32361-2024</t>
        </is>
      </c>
      <c r="B414" s="1" t="n">
        <v>45512.56725694444</v>
      </c>
      <c r="C414" s="1" t="n">
        <v>46074</v>
      </c>
      <c r="D414" t="inlineStr">
        <is>
          <t>DALARNAS LÄN</t>
        </is>
      </c>
      <c r="E414" t="inlineStr">
        <is>
          <t>ÄLVDALEN</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32363-2024</t>
        </is>
      </c>
      <c r="B415" s="1" t="n">
        <v>45512</v>
      </c>
      <c r="C415" s="1" t="n">
        <v>46074</v>
      </c>
      <c r="D415" t="inlineStr">
        <is>
          <t>DALARNAS LÄN</t>
        </is>
      </c>
      <c r="E415" t="inlineStr">
        <is>
          <t>ÄLVDALEN</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19583-2025</t>
        </is>
      </c>
      <c r="B416" s="1" t="n">
        <v>45770</v>
      </c>
      <c r="C416" s="1" t="n">
        <v>46074</v>
      </c>
      <c r="D416" t="inlineStr">
        <is>
          <t>DALARNAS LÄN</t>
        </is>
      </c>
      <c r="E416" t="inlineStr">
        <is>
          <t>ÄLVDALEN</t>
        </is>
      </c>
      <c r="F416" t="inlineStr">
        <is>
          <t>Sveaskog</t>
        </is>
      </c>
      <c r="G416" t="n">
        <v>24.1</v>
      </c>
      <c r="H416" t="n">
        <v>0</v>
      </c>
      <c r="I416" t="n">
        <v>0</v>
      </c>
      <c r="J416" t="n">
        <v>0</v>
      </c>
      <c r="K416" t="n">
        <v>0</v>
      </c>
      <c r="L416" t="n">
        <v>0</v>
      </c>
      <c r="M416" t="n">
        <v>0</v>
      </c>
      <c r="N416" t="n">
        <v>0</v>
      </c>
      <c r="O416" t="n">
        <v>0</v>
      </c>
      <c r="P416" t="n">
        <v>0</v>
      </c>
      <c r="Q416" t="n">
        <v>0</v>
      </c>
      <c r="R416" s="2" t="inlineStr"/>
    </row>
    <row r="417" ht="15" customHeight="1">
      <c r="A417" t="inlineStr">
        <is>
          <t>A 47018-2025</t>
        </is>
      </c>
      <c r="B417" s="1" t="n">
        <v>45929.57569444444</v>
      </c>
      <c r="C417" s="1" t="n">
        <v>46074</v>
      </c>
      <c r="D417" t="inlineStr">
        <is>
          <t>DALARNAS LÄN</t>
        </is>
      </c>
      <c r="E417" t="inlineStr">
        <is>
          <t>ÄLVDALEN</t>
        </is>
      </c>
      <c r="F417" t="inlineStr">
        <is>
          <t>Allmännings- och besparingsskogar</t>
        </is>
      </c>
      <c r="G417" t="n">
        <v>3.4</v>
      </c>
      <c r="H417" t="n">
        <v>0</v>
      </c>
      <c r="I417" t="n">
        <v>0</v>
      </c>
      <c r="J417" t="n">
        <v>0</v>
      </c>
      <c r="K417" t="n">
        <v>0</v>
      </c>
      <c r="L417" t="n">
        <v>0</v>
      </c>
      <c r="M417" t="n">
        <v>0</v>
      </c>
      <c r="N417" t="n">
        <v>0</v>
      </c>
      <c r="O417" t="n">
        <v>0</v>
      </c>
      <c r="P417" t="n">
        <v>0</v>
      </c>
      <c r="Q417" t="n">
        <v>0</v>
      </c>
      <c r="R417" s="2" t="inlineStr"/>
    </row>
    <row r="418" ht="15" customHeight="1">
      <c r="A418" t="inlineStr">
        <is>
          <t>A 37665-2023</t>
        </is>
      </c>
      <c r="B418" s="1" t="n">
        <v>45159.5371875</v>
      </c>
      <c r="C418" s="1" t="n">
        <v>46074</v>
      </c>
      <c r="D418" t="inlineStr">
        <is>
          <t>DALARNAS LÄN</t>
        </is>
      </c>
      <c r="E418" t="inlineStr">
        <is>
          <t>ÄLVDALEN</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19578-2025</t>
        </is>
      </c>
      <c r="B419" s="1" t="n">
        <v>45770</v>
      </c>
      <c r="C419" s="1" t="n">
        <v>46074</v>
      </c>
      <c r="D419" t="inlineStr">
        <is>
          <t>DALARNAS LÄN</t>
        </is>
      </c>
      <c r="E419" t="inlineStr">
        <is>
          <t>ÄLVDALEN</t>
        </is>
      </c>
      <c r="F419" t="inlineStr">
        <is>
          <t>Sveaskog</t>
        </is>
      </c>
      <c r="G419" t="n">
        <v>15.2</v>
      </c>
      <c r="H419" t="n">
        <v>0</v>
      </c>
      <c r="I419" t="n">
        <v>0</v>
      </c>
      <c r="J419" t="n">
        <v>0</v>
      </c>
      <c r="K419" t="n">
        <v>0</v>
      </c>
      <c r="L419" t="n">
        <v>0</v>
      </c>
      <c r="M419" t="n">
        <v>0</v>
      </c>
      <c r="N419" t="n">
        <v>0</v>
      </c>
      <c r="O419" t="n">
        <v>0</v>
      </c>
      <c r="P419" t="n">
        <v>0</v>
      </c>
      <c r="Q419" t="n">
        <v>0</v>
      </c>
      <c r="R419" s="2" t="inlineStr"/>
    </row>
    <row r="420" ht="15" customHeight="1">
      <c r="A420" t="inlineStr">
        <is>
          <t>A 46582-2025</t>
        </is>
      </c>
      <c r="B420" s="1" t="n">
        <v>45926.37971064815</v>
      </c>
      <c r="C420" s="1" t="n">
        <v>46074</v>
      </c>
      <c r="D420" t="inlineStr">
        <is>
          <t>DALARNAS LÄN</t>
        </is>
      </c>
      <c r="E420" t="inlineStr">
        <is>
          <t>ÄLVDALEN</t>
        </is>
      </c>
      <c r="F420" t="inlineStr">
        <is>
          <t>Allmännings- och besparingsskogar</t>
        </is>
      </c>
      <c r="G420" t="n">
        <v>20.7</v>
      </c>
      <c r="H420" t="n">
        <v>0</v>
      </c>
      <c r="I420" t="n">
        <v>0</v>
      </c>
      <c r="J420" t="n">
        <v>0</v>
      </c>
      <c r="K420" t="n">
        <v>0</v>
      </c>
      <c r="L420" t="n">
        <v>0</v>
      </c>
      <c r="M420" t="n">
        <v>0</v>
      </c>
      <c r="N420" t="n">
        <v>0</v>
      </c>
      <c r="O420" t="n">
        <v>0</v>
      </c>
      <c r="P420" t="n">
        <v>0</v>
      </c>
      <c r="Q420" t="n">
        <v>0</v>
      </c>
      <c r="R420" s="2" t="inlineStr"/>
    </row>
    <row r="421" ht="15" customHeight="1">
      <c r="A421" t="inlineStr">
        <is>
          <t>A 46882-2025</t>
        </is>
      </c>
      <c r="B421" s="1" t="n">
        <v>45929.36357638889</v>
      </c>
      <c r="C421" s="1" t="n">
        <v>46074</v>
      </c>
      <c r="D421" t="inlineStr">
        <is>
          <t>DALARNAS LÄN</t>
        </is>
      </c>
      <c r="E421" t="inlineStr">
        <is>
          <t>ÄLVDALEN</t>
        </is>
      </c>
      <c r="F421" t="inlineStr">
        <is>
          <t>Allmännings- och besparingsskogar</t>
        </is>
      </c>
      <c r="G421" t="n">
        <v>4.9</v>
      </c>
      <c r="H421" t="n">
        <v>0</v>
      </c>
      <c r="I421" t="n">
        <v>0</v>
      </c>
      <c r="J421" t="n">
        <v>0</v>
      </c>
      <c r="K421" t="n">
        <v>0</v>
      </c>
      <c r="L421" t="n">
        <v>0</v>
      </c>
      <c r="M421" t="n">
        <v>0</v>
      </c>
      <c r="N421" t="n">
        <v>0</v>
      </c>
      <c r="O421" t="n">
        <v>0</v>
      </c>
      <c r="P421" t="n">
        <v>0</v>
      </c>
      <c r="Q421" t="n">
        <v>0</v>
      </c>
      <c r="R421" s="2" t="inlineStr"/>
    </row>
    <row r="422" ht="15" customHeight="1">
      <c r="A422" t="inlineStr">
        <is>
          <t>A 43990-2024</t>
        </is>
      </c>
      <c r="B422" s="1" t="n">
        <v>45572</v>
      </c>
      <c r="C422" s="1" t="n">
        <v>46074</v>
      </c>
      <c r="D422" t="inlineStr">
        <is>
          <t>DALARNAS LÄN</t>
        </is>
      </c>
      <c r="E422" t="inlineStr">
        <is>
          <t>ÄLVDALEN</t>
        </is>
      </c>
      <c r="F422" t="inlineStr">
        <is>
          <t>Kommuner</t>
        </is>
      </c>
      <c r="G422" t="n">
        <v>0</v>
      </c>
      <c r="H422" t="n">
        <v>0</v>
      </c>
      <c r="I422" t="n">
        <v>0</v>
      </c>
      <c r="J422" t="n">
        <v>0</v>
      </c>
      <c r="K422" t="n">
        <v>0</v>
      </c>
      <c r="L422" t="n">
        <v>0</v>
      </c>
      <c r="M422" t="n">
        <v>0</v>
      </c>
      <c r="N422" t="n">
        <v>0</v>
      </c>
      <c r="O422" t="n">
        <v>0</v>
      </c>
      <c r="P422" t="n">
        <v>0</v>
      </c>
      <c r="Q422" t="n">
        <v>0</v>
      </c>
      <c r="R422" s="2" t="inlineStr"/>
    </row>
    <row r="423" ht="15" customHeight="1">
      <c r="A423" t="inlineStr">
        <is>
          <t>A 36830-2025</t>
        </is>
      </c>
      <c r="B423" s="1" t="n">
        <v>45874.34365740741</v>
      </c>
      <c r="C423" s="1" t="n">
        <v>46074</v>
      </c>
      <c r="D423" t="inlineStr">
        <is>
          <t>DALARNAS LÄN</t>
        </is>
      </c>
      <c r="E423" t="inlineStr">
        <is>
          <t>ÄLVDALEN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47707-2025</t>
        </is>
      </c>
      <c r="B424" s="1" t="n">
        <v>45931.6125462963</v>
      </c>
      <c r="C424" s="1" t="n">
        <v>46074</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37186-2025</t>
        </is>
      </c>
      <c r="B425" s="1" t="n">
        <v>45875.63905092593</v>
      </c>
      <c r="C425" s="1" t="n">
        <v>46074</v>
      </c>
      <c r="D425" t="inlineStr">
        <is>
          <t>DALARNAS LÄN</t>
        </is>
      </c>
      <c r="E425" t="inlineStr">
        <is>
          <t>ÄLVDALEN</t>
        </is>
      </c>
      <c r="G425" t="n">
        <v>0.5</v>
      </c>
      <c r="H425" t="n">
        <v>0</v>
      </c>
      <c r="I425" t="n">
        <v>0</v>
      </c>
      <c r="J425" t="n">
        <v>0</v>
      </c>
      <c r="K425" t="n">
        <v>0</v>
      </c>
      <c r="L425" t="n">
        <v>0</v>
      </c>
      <c r="M425" t="n">
        <v>0</v>
      </c>
      <c r="N425" t="n">
        <v>0</v>
      </c>
      <c r="O425" t="n">
        <v>0</v>
      </c>
      <c r="P425" t="n">
        <v>0</v>
      </c>
      <c r="Q425" t="n">
        <v>0</v>
      </c>
      <c r="R425" s="2" t="inlineStr"/>
    </row>
    <row r="426" ht="15" customHeight="1">
      <c r="A426" t="inlineStr">
        <is>
          <t>A 47692-2025</t>
        </is>
      </c>
      <c r="B426" s="1" t="n">
        <v>45931.59818287037</v>
      </c>
      <c r="C426" s="1" t="n">
        <v>46074</v>
      </c>
      <c r="D426" t="inlineStr">
        <is>
          <t>DALARNAS LÄN</t>
        </is>
      </c>
      <c r="E426" t="inlineStr">
        <is>
          <t>ÄLVDALEN</t>
        </is>
      </c>
      <c r="G426" t="n">
        <v>0.4</v>
      </c>
      <c r="H426" t="n">
        <v>0</v>
      </c>
      <c r="I426" t="n">
        <v>0</v>
      </c>
      <c r="J426" t="n">
        <v>0</v>
      </c>
      <c r="K426" t="n">
        <v>0</v>
      </c>
      <c r="L426" t="n">
        <v>0</v>
      </c>
      <c r="M426" t="n">
        <v>0</v>
      </c>
      <c r="N426" t="n">
        <v>0</v>
      </c>
      <c r="O426" t="n">
        <v>0</v>
      </c>
      <c r="P426" t="n">
        <v>0</v>
      </c>
      <c r="Q426" t="n">
        <v>0</v>
      </c>
      <c r="R426" s="2" t="inlineStr"/>
    </row>
    <row r="427" ht="15" customHeight="1">
      <c r="A427" t="inlineStr">
        <is>
          <t>A 22454-2021</t>
        </is>
      </c>
      <c r="B427" s="1" t="n">
        <v>44326</v>
      </c>
      <c r="C427" s="1" t="n">
        <v>46074</v>
      </c>
      <c r="D427" t="inlineStr">
        <is>
          <t>DALARNAS LÄN</t>
        </is>
      </c>
      <c r="E427" t="inlineStr">
        <is>
          <t>ÄLVDALEN</t>
        </is>
      </c>
      <c r="F427" t="inlineStr">
        <is>
          <t>Allmännings- och besparingsskogar</t>
        </is>
      </c>
      <c r="G427" t="n">
        <v>4.3</v>
      </c>
      <c r="H427" t="n">
        <v>0</v>
      </c>
      <c r="I427" t="n">
        <v>0</v>
      </c>
      <c r="J427" t="n">
        <v>0</v>
      </c>
      <c r="K427" t="n">
        <v>0</v>
      </c>
      <c r="L427" t="n">
        <v>0</v>
      </c>
      <c r="M427" t="n">
        <v>0</v>
      </c>
      <c r="N427" t="n">
        <v>0</v>
      </c>
      <c r="O427" t="n">
        <v>0</v>
      </c>
      <c r="P427" t="n">
        <v>0</v>
      </c>
      <c r="Q427" t="n">
        <v>0</v>
      </c>
      <c r="R427" s="2" t="inlineStr"/>
    </row>
    <row r="428" ht="15" customHeight="1">
      <c r="A428" t="inlineStr">
        <is>
          <t>A 63329-2023</t>
        </is>
      </c>
      <c r="B428" s="1" t="n">
        <v>45274.38255787037</v>
      </c>
      <c r="C428" s="1" t="n">
        <v>46074</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48197-2025</t>
        </is>
      </c>
      <c r="B429" s="1" t="n">
        <v>45933.47471064814</v>
      </c>
      <c r="C429" s="1" t="n">
        <v>46074</v>
      </c>
      <c r="D429" t="inlineStr">
        <is>
          <t>DALARNAS LÄN</t>
        </is>
      </c>
      <c r="E429" t="inlineStr">
        <is>
          <t>ÄLVDALEN</t>
        </is>
      </c>
      <c r="F429" t="inlineStr">
        <is>
          <t>Bergvik skog öst AB</t>
        </is>
      </c>
      <c r="G429" t="n">
        <v>5.6</v>
      </c>
      <c r="H429" t="n">
        <v>0</v>
      </c>
      <c r="I429" t="n">
        <v>0</v>
      </c>
      <c r="J429" t="n">
        <v>0</v>
      </c>
      <c r="K429" t="n">
        <v>0</v>
      </c>
      <c r="L429" t="n">
        <v>0</v>
      </c>
      <c r="M429" t="n">
        <v>0</v>
      </c>
      <c r="N429" t="n">
        <v>0</v>
      </c>
      <c r="O429" t="n">
        <v>0</v>
      </c>
      <c r="P429" t="n">
        <v>0</v>
      </c>
      <c r="Q429" t="n">
        <v>0</v>
      </c>
      <c r="R429" s="2" t="inlineStr"/>
    </row>
    <row r="430" ht="15" customHeight="1">
      <c r="A430" t="inlineStr">
        <is>
          <t>A 29610-2024</t>
        </is>
      </c>
      <c r="B430" s="1" t="n">
        <v>45484</v>
      </c>
      <c r="C430" s="1" t="n">
        <v>46074</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54219-2025</t>
        </is>
      </c>
      <c r="B431" s="1" t="n">
        <v>45964</v>
      </c>
      <c r="C431" s="1" t="n">
        <v>46074</v>
      </c>
      <c r="D431" t="inlineStr">
        <is>
          <t>DALARNAS LÄN</t>
        </is>
      </c>
      <c r="E431" t="inlineStr">
        <is>
          <t>ÄLVDALEN</t>
        </is>
      </c>
      <c r="G431" t="n">
        <v>11.5</v>
      </c>
      <c r="H431" t="n">
        <v>0</v>
      </c>
      <c r="I431" t="n">
        <v>0</v>
      </c>
      <c r="J431" t="n">
        <v>0</v>
      </c>
      <c r="K431" t="n">
        <v>0</v>
      </c>
      <c r="L431" t="n">
        <v>0</v>
      </c>
      <c r="M431" t="n">
        <v>0</v>
      </c>
      <c r="N431" t="n">
        <v>0</v>
      </c>
      <c r="O431" t="n">
        <v>0</v>
      </c>
      <c r="P431" t="n">
        <v>0</v>
      </c>
      <c r="Q431" t="n">
        <v>0</v>
      </c>
      <c r="R431" s="2" t="inlineStr"/>
    </row>
    <row r="432" ht="15" customHeight="1">
      <c r="A432" t="inlineStr">
        <is>
          <t>A 28467-2024</t>
        </is>
      </c>
      <c r="B432" s="1" t="n">
        <v>45477.71173611111</v>
      </c>
      <c r="C432" s="1" t="n">
        <v>46074</v>
      </c>
      <c r="D432" t="inlineStr">
        <is>
          <t>DALARNAS LÄN</t>
        </is>
      </c>
      <c r="E432" t="inlineStr">
        <is>
          <t>ÄLVDALEN</t>
        </is>
      </c>
      <c r="G432" t="n">
        <v>4</v>
      </c>
      <c r="H432" t="n">
        <v>0</v>
      </c>
      <c r="I432" t="n">
        <v>0</v>
      </c>
      <c r="J432" t="n">
        <v>0</v>
      </c>
      <c r="K432" t="n">
        <v>0</v>
      </c>
      <c r="L432" t="n">
        <v>0</v>
      </c>
      <c r="M432" t="n">
        <v>0</v>
      </c>
      <c r="N432" t="n">
        <v>0</v>
      </c>
      <c r="O432" t="n">
        <v>0</v>
      </c>
      <c r="P432" t="n">
        <v>0</v>
      </c>
      <c r="Q432" t="n">
        <v>0</v>
      </c>
      <c r="R432" s="2" t="inlineStr"/>
    </row>
    <row r="433" ht="15" customHeight="1">
      <c r="A433" t="inlineStr">
        <is>
          <t>A 48135-2025</t>
        </is>
      </c>
      <c r="B433" s="1" t="n">
        <v>45933.37452546296</v>
      </c>
      <c r="C433" s="1" t="n">
        <v>46074</v>
      </c>
      <c r="D433" t="inlineStr">
        <is>
          <t>DALARNAS LÄN</t>
        </is>
      </c>
      <c r="E433" t="inlineStr">
        <is>
          <t>ÄLVDALEN</t>
        </is>
      </c>
      <c r="G433" t="n">
        <v>2.4</v>
      </c>
      <c r="H433" t="n">
        <v>0</v>
      </c>
      <c r="I433" t="n">
        <v>0</v>
      </c>
      <c r="J433" t="n">
        <v>0</v>
      </c>
      <c r="K433" t="n">
        <v>0</v>
      </c>
      <c r="L433" t="n">
        <v>0</v>
      </c>
      <c r="M433" t="n">
        <v>0</v>
      </c>
      <c r="N433" t="n">
        <v>0</v>
      </c>
      <c r="O433" t="n">
        <v>0</v>
      </c>
      <c r="P433" t="n">
        <v>0</v>
      </c>
      <c r="Q433" t="n">
        <v>0</v>
      </c>
      <c r="R433" s="2" t="inlineStr"/>
    </row>
    <row r="434" ht="15" customHeight="1">
      <c r="A434" t="inlineStr">
        <is>
          <t>A 48017-2025</t>
        </is>
      </c>
      <c r="B434" s="1" t="n">
        <v>45932.64740740741</v>
      </c>
      <c r="C434" s="1" t="n">
        <v>46074</v>
      </c>
      <c r="D434" t="inlineStr">
        <is>
          <t>DALARNAS LÄN</t>
        </is>
      </c>
      <c r="E434" t="inlineStr">
        <is>
          <t>ÄLVDALEN</t>
        </is>
      </c>
      <c r="G434" t="n">
        <v>4.5</v>
      </c>
      <c r="H434" t="n">
        <v>0</v>
      </c>
      <c r="I434" t="n">
        <v>0</v>
      </c>
      <c r="J434" t="n">
        <v>0</v>
      </c>
      <c r="K434" t="n">
        <v>0</v>
      </c>
      <c r="L434" t="n">
        <v>0</v>
      </c>
      <c r="M434" t="n">
        <v>0</v>
      </c>
      <c r="N434" t="n">
        <v>0</v>
      </c>
      <c r="O434" t="n">
        <v>0</v>
      </c>
      <c r="P434" t="n">
        <v>0</v>
      </c>
      <c r="Q434" t="n">
        <v>0</v>
      </c>
      <c r="R434" s="2" t="inlineStr"/>
    </row>
    <row r="435" ht="15" customHeight="1">
      <c r="A435" t="inlineStr">
        <is>
          <t>A 37874-2025</t>
        </is>
      </c>
      <c r="B435" s="1" t="n">
        <v>45881</v>
      </c>
      <c r="C435" s="1" t="n">
        <v>46074</v>
      </c>
      <c r="D435" t="inlineStr">
        <is>
          <t>DALARNAS LÄN</t>
        </is>
      </c>
      <c r="E435" t="inlineStr">
        <is>
          <t>ÄLVDALEN</t>
        </is>
      </c>
      <c r="F435" t="inlineStr">
        <is>
          <t>Övriga Aktiebolag</t>
        </is>
      </c>
      <c r="G435" t="n">
        <v>33.5</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46074</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39283-2024</t>
        </is>
      </c>
      <c r="B437" s="1" t="n">
        <v>45551.36314814815</v>
      </c>
      <c r="C437" s="1" t="n">
        <v>46074</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14489-2025</t>
        </is>
      </c>
      <c r="B438" s="1" t="n">
        <v>45741.60680555556</v>
      </c>
      <c r="C438" s="1" t="n">
        <v>46074</v>
      </c>
      <c r="D438" t="inlineStr">
        <is>
          <t>DALARNAS LÄN</t>
        </is>
      </c>
      <c r="E438" t="inlineStr">
        <is>
          <t>ÄLVDALEN</t>
        </is>
      </c>
      <c r="G438" t="n">
        <v>7.9</v>
      </c>
      <c r="H438" t="n">
        <v>0</v>
      </c>
      <c r="I438" t="n">
        <v>0</v>
      </c>
      <c r="J438" t="n">
        <v>0</v>
      </c>
      <c r="K438" t="n">
        <v>0</v>
      </c>
      <c r="L438" t="n">
        <v>0</v>
      </c>
      <c r="M438" t="n">
        <v>0</v>
      </c>
      <c r="N438" t="n">
        <v>0</v>
      </c>
      <c r="O438" t="n">
        <v>0</v>
      </c>
      <c r="P438" t="n">
        <v>0</v>
      </c>
      <c r="Q438" t="n">
        <v>0</v>
      </c>
      <c r="R438" s="2" t="inlineStr"/>
    </row>
    <row r="439" ht="15" customHeight="1">
      <c r="A439" t="inlineStr">
        <is>
          <t>A 3893-2024</t>
        </is>
      </c>
      <c r="B439" s="1" t="n">
        <v>45322</v>
      </c>
      <c r="C439" s="1" t="n">
        <v>46074</v>
      </c>
      <c r="D439" t="inlineStr">
        <is>
          <t>DALARNAS LÄN</t>
        </is>
      </c>
      <c r="E439" t="inlineStr">
        <is>
          <t>ÄLVDALEN</t>
        </is>
      </c>
      <c r="G439" t="n">
        <v>0.5</v>
      </c>
      <c r="H439" t="n">
        <v>0</v>
      </c>
      <c r="I439" t="n">
        <v>0</v>
      </c>
      <c r="J439" t="n">
        <v>0</v>
      </c>
      <c r="K439" t="n">
        <v>0</v>
      </c>
      <c r="L439" t="n">
        <v>0</v>
      </c>
      <c r="M439" t="n">
        <v>0</v>
      </c>
      <c r="N439" t="n">
        <v>0</v>
      </c>
      <c r="O439" t="n">
        <v>0</v>
      </c>
      <c r="P439" t="n">
        <v>0</v>
      </c>
      <c r="Q439" t="n">
        <v>0</v>
      </c>
      <c r="R439" s="2" t="inlineStr"/>
    </row>
    <row r="440" ht="15" customHeight="1">
      <c r="A440" t="inlineStr">
        <is>
          <t>A 38814-2025</t>
        </is>
      </c>
      <c r="B440" s="1" t="n">
        <v>45887</v>
      </c>
      <c r="C440" s="1" t="n">
        <v>46074</v>
      </c>
      <c r="D440" t="inlineStr">
        <is>
          <t>DALARNAS LÄN</t>
        </is>
      </c>
      <c r="E440" t="inlineStr">
        <is>
          <t>ÄLVDALEN</t>
        </is>
      </c>
      <c r="G440" t="n">
        <v>1.9</v>
      </c>
      <c r="H440" t="n">
        <v>0</v>
      </c>
      <c r="I440" t="n">
        <v>0</v>
      </c>
      <c r="J440" t="n">
        <v>0</v>
      </c>
      <c r="K440" t="n">
        <v>0</v>
      </c>
      <c r="L440" t="n">
        <v>0</v>
      </c>
      <c r="M440" t="n">
        <v>0</v>
      </c>
      <c r="N440" t="n">
        <v>0</v>
      </c>
      <c r="O440" t="n">
        <v>0</v>
      </c>
      <c r="P440" t="n">
        <v>0</v>
      </c>
      <c r="Q440" t="n">
        <v>0</v>
      </c>
      <c r="R440" s="2" t="inlineStr"/>
    </row>
    <row r="441" ht="15" customHeight="1">
      <c r="A441" t="inlineStr">
        <is>
          <t>A 37873-2025</t>
        </is>
      </c>
      <c r="B441" s="1" t="n">
        <v>45881</v>
      </c>
      <c r="C441" s="1" t="n">
        <v>46074</v>
      </c>
      <c r="D441" t="inlineStr">
        <is>
          <t>DALARNAS LÄN</t>
        </is>
      </c>
      <c r="E441" t="inlineStr">
        <is>
          <t>ÄLVDALEN</t>
        </is>
      </c>
      <c r="F441" t="inlineStr">
        <is>
          <t>Övriga Aktiebolag</t>
        </is>
      </c>
      <c r="G441" t="n">
        <v>40.7</v>
      </c>
      <c r="H441" t="n">
        <v>0</v>
      </c>
      <c r="I441" t="n">
        <v>0</v>
      </c>
      <c r="J441" t="n">
        <v>0</v>
      </c>
      <c r="K441" t="n">
        <v>0</v>
      </c>
      <c r="L441" t="n">
        <v>0</v>
      </c>
      <c r="M441" t="n">
        <v>0</v>
      </c>
      <c r="N441" t="n">
        <v>0</v>
      </c>
      <c r="O441" t="n">
        <v>0</v>
      </c>
      <c r="P441" t="n">
        <v>0</v>
      </c>
      <c r="Q441" t="n">
        <v>0</v>
      </c>
      <c r="R441" s="2" t="inlineStr"/>
    </row>
    <row r="442" ht="15" customHeight="1">
      <c r="A442" t="inlineStr">
        <is>
          <t>A 50056-2024</t>
        </is>
      </c>
      <c r="B442" s="1" t="n">
        <v>45600.34134259259</v>
      </c>
      <c r="C442" s="1" t="n">
        <v>46074</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5063-2025</t>
        </is>
      </c>
      <c r="B443" s="1" t="n">
        <v>45691.47466435185</v>
      </c>
      <c r="C443" s="1" t="n">
        <v>46074</v>
      </c>
      <c r="D443" t="inlineStr">
        <is>
          <t>DALARNAS LÄN</t>
        </is>
      </c>
      <c r="E443" t="inlineStr">
        <is>
          <t>ÄLVDALEN</t>
        </is>
      </c>
      <c r="F443" t="inlineStr">
        <is>
          <t>Bergvik skog väst AB</t>
        </is>
      </c>
      <c r="G443" t="n">
        <v>2.8</v>
      </c>
      <c r="H443" t="n">
        <v>0</v>
      </c>
      <c r="I443" t="n">
        <v>0</v>
      </c>
      <c r="J443" t="n">
        <v>0</v>
      </c>
      <c r="K443" t="n">
        <v>0</v>
      </c>
      <c r="L443" t="n">
        <v>0</v>
      </c>
      <c r="M443" t="n">
        <v>0</v>
      </c>
      <c r="N443" t="n">
        <v>0</v>
      </c>
      <c r="O443" t="n">
        <v>0</v>
      </c>
      <c r="P443" t="n">
        <v>0</v>
      </c>
      <c r="Q443" t="n">
        <v>0</v>
      </c>
      <c r="R443" s="2" t="inlineStr"/>
    </row>
    <row r="444" ht="15" customHeight="1">
      <c r="A444" t="inlineStr">
        <is>
          <t>A 777-2025</t>
        </is>
      </c>
      <c r="B444" s="1" t="n">
        <v>45665.47403935185</v>
      </c>
      <c r="C444" s="1" t="n">
        <v>46074</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12318-2025</t>
        </is>
      </c>
      <c r="B445" s="1" t="n">
        <v>45729.87777777778</v>
      </c>
      <c r="C445" s="1" t="n">
        <v>46074</v>
      </c>
      <c r="D445" t="inlineStr">
        <is>
          <t>DALARNAS LÄN</t>
        </is>
      </c>
      <c r="E445" t="inlineStr">
        <is>
          <t>ÄLVDALEN</t>
        </is>
      </c>
      <c r="G445" t="n">
        <v>3.3</v>
      </c>
      <c r="H445" t="n">
        <v>0</v>
      </c>
      <c r="I445" t="n">
        <v>0</v>
      </c>
      <c r="J445" t="n">
        <v>0</v>
      </c>
      <c r="K445" t="n">
        <v>0</v>
      </c>
      <c r="L445" t="n">
        <v>0</v>
      </c>
      <c r="M445" t="n">
        <v>0</v>
      </c>
      <c r="N445" t="n">
        <v>0</v>
      </c>
      <c r="O445" t="n">
        <v>0</v>
      </c>
      <c r="P445" t="n">
        <v>0</v>
      </c>
      <c r="Q445" t="n">
        <v>0</v>
      </c>
      <c r="R445" s="2" t="inlineStr"/>
    </row>
    <row r="446" ht="15" customHeight="1">
      <c r="A446" t="inlineStr">
        <is>
          <t>A 50314-2025</t>
        </is>
      </c>
      <c r="B446" s="1" t="n">
        <v>45944.44439814815</v>
      </c>
      <c r="C446" s="1" t="n">
        <v>46074</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18075-2024</t>
        </is>
      </c>
      <c r="B447" s="1" t="n">
        <v>45420.43453703704</v>
      </c>
      <c r="C447" s="1" t="n">
        <v>46074</v>
      </c>
      <c r="D447" t="inlineStr">
        <is>
          <t>DALARNAS LÄN</t>
        </is>
      </c>
      <c r="E447" t="inlineStr">
        <is>
          <t>ÄLVDALEN</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59692-2024</t>
        </is>
      </c>
      <c r="B448" s="1" t="n">
        <v>45639.40686342592</v>
      </c>
      <c r="C448" s="1" t="n">
        <v>46074</v>
      </c>
      <c r="D448" t="inlineStr">
        <is>
          <t>DALARNAS LÄN</t>
        </is>
      </c>
      <c r="E448" t="inlineStr">
        <is>
          <t>ÄLVDALEN</t>
        </is>
      </c>
      <c r="G448" t="n">
        <v>2.2</v>
      </c>
      <c r="H448" t="n">
        <v>0</v>
      </c>
      <c r="I448" t="n">
        <v>0</v>
      </c>
      <c r="J448" t="n">
        <v>0</v>
      </c>
      <c r="K448" t="n">
        <v>0</v>
      </c>
      <c r="L448" t="n">
        <v>0</v>
      </c>
      <c r="M448" t="n">
        <v>0</v>
      </c>
      <c r="N448" t="n">
        <v>0</v>
      </c>
      <c r="O448" t="n">
        <v>0</v>
      </c>
      <c r="P448" t="n">
        <v>0</v>
      </c>
      <c r="Q448" t="n">
        <v>0</v>
      </c>
      <c r="R448" s="2" t="inlineStr"/>
    </row>
    <row r="449" ht="15" customHeight="1">
      <c r="A449" t="inlineStr">
        <is>
          <t>A 51442-2025</t>
        </is>
      </c>
      <c r="B449" s="1" t="n">
        <v>45950.57458333333</v>
      </c>
      <c r="C449" s="1" t="n">
        <v>46074</v>
      </c>
      <c r="D449" t="inlineStr">
        <is>
          <t>DALARNAS LÄN</t>
        </is>
      </c>
      <c r="E449" t="inlineStr">
        <is>
          <t>ÄLVDALEN</t>
        </is>
      </c>
      <c r="F449" t="inlineStr">
        <is>
          <t>Bergvik skog väst AB</t>
        </is>
      </c>
      <c r="G449" t="n">
        <v>6.3</v>
      </c>
      <c r="H449" t="n">
        <v>0</v>
      </c>
      <c r="I449" t="n">
        <v>0</v>
      </c>
      <c r="J449" t="n">
        <v>0</v>
      </c>
      <c r="K449" t="n">
        <v>0</v>
      </c>
      <c r="L449" t="n">
        <v>0</v>
      </c>
      <c r="M449" t="n">
        <v>0</v>
      </c>
      <c r="N449" t="n">
        <v>0</v>
      </c>
      <c r="O449" t="n">
        <v>0</v>
      </c>
      <c r="P449" t="n">
        <v>0</v>
      </c>
      <c r="Q449" t="n">
        <v>0</v>
      </c>
      <c r="R449" s="2" t="inlineStr"/>
    </row>
    <row r="450" ht="15" customHeight="1">
      <c r="A450" t="inlineStr">
        <is>
          <t>A 51381-2025</t>
        </is>
      </c>
      <c r="B450" s="1" t="n">
        <v>45950.45982638889</v>
      </c>
      <c r="C450" s="1" t="n">
        <v>46074</v>
      </c>
      <c r="D450" t="inlineStr">
        <is>
          <t>DALARNAS LÄN</t>
        </is>
      </c>
      <c r="E450" t="inlineStr">
        <is>
          <t>ÄLVDALEN</t>
        </is>
      </c>
      <c r="G450" t="n">
        <v>1.3</v>
      </c>
      <c r="H450" t="n">
        <v>0</v>
      </c>
      <c r="I450" t="n">
        <v>0</v>
      </c>
      <c r="J450" t="n">
        <v>0</v>
      </c>
      <c r="K450" t="n">
        <v>0</v>
      </c>
      <c r="L450" t="n">
        <v>0</v>
      </c>
      <c r="M450" t="n">
        <v>0</v>
      </c>
      <c r="N450" t="n">
        <v>0</v>
      </c>
      <c r="O450" t="n">
        <v>0</v>
      </c>
      <c r="P450" t="n">
        <v>0</v>
      </c>
      <c r="Q450" t="n">
        <v>0</v>
      </c>
      <c r="R450" s="2" t="inlineStr"/>
    </row>
    <row r="451" ht="15" customHeight="1">
      <c r="A451" t="inlineStr">
        <is>
          <t>A 51392-2025</t>
        </is>
      </c>
      <c r="B451" s="1" t="n">
        <v>45950.46956018519</v>
      </c>
      <c r="C451" s="1" t="n">
        <v>46074</v>
      </c>
      <c r="D451" t="inlineStr">
        <is>
          <t>DALARNAS LÄN</t>
        </is>
      </c>
      <c r="E451" t="inlineStr">
        <is>
          <t>ÄLVDALEN</t>
        </is>
      </c>
      <c r="G451" t="n">
        <v>0.8</v>
      </c>
      <c r="H451" t="n">
        <v>0</v>
      </c>
      <c r="I451" t="n">
        <v>0</v>
      </c>
      <c r="J451" t="n">
        <v>0</v>
      </c>
      <c r="K451" t="n">
        <v>0</v>
      </c>
      <c r="L451" t="n">
        <v>0</v>
      </c>
      <c r="M451" t="n">
        <v>0</v>
      </c>
      <c r="N451" t="n">
        <v>0</v>
      </c>
      <c r="O451" t="n">
        <v>0</v>
      </c>
      <c r="P451" t="n">
        <v>0</v>
      </c>
      <c r="Q451" t="n">
        <v>0</v>
      </c>
      <c r="R451" s="2" t="inlineStr"/>
    </row>
    <row r="452" ht="15" customHeight="1">
      <c r="A452" t="inlineStr">
        <is>
          <t>A 51461-2025</t>
        </is>
      </c>
      <c r="B452" s="1" t="n">
        <v>45950.6047337963</v>
      </c>
      <c r="C452" s="1" t="n">
        <v>46074</v>
      </c>
      <c r="D452" t="inlineStr">
        <is>
          <t>DALARNAS LÄN</t>
        </is>
      </c>
      <c r="E452" t="inlineStr">
        <is>
          <t>ÄLVDALEN</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51399-2025</t>
        </is>
      </c>
      <c r="B453" s="1" t="n">
        <v>45950.47741898148</v>
      </c>
      <c r="C453" s="1" t="n">
        <v>46074</v>
      </c>
      <c r="D453" t="inlineStr">
        <is>
          <t>DALARNAS LÄN</t>
        </is>
      </c>
      <c r="E453" t="inlineStr">
        <is>
          <t>ÄLVDALEN</t>
        </is>
      </c>
      <c r="G453" t="n">
        <v>5.9</v>
      </c>
      <c r="H453" t="n">
        <v>0</v>
      </c>
      <c r="I453" t="n">
        <v>0</v>
      </c>
      <c r="J453" t="n">
        <v>0</v>
      </c>
      <c r="K453" t="n">
        <v>0</v>
      </c>
      <c r="L453" t="n">
        <v>0</v>
      </c>
      <c r="M453" t="n">
        <v>0</v>
      </c>
      <c r="N453" t="n">
        <v>0</v>
      </c>
      <c r="O453" t="n">
        <v>0</v>
      </c>
      <c r="P453" t="n">
        <v>0</v>
      </c>
      <c r="Q453" t="n">
        <v>0</v>
      </c>
      <c r="R453" s="2" t="inlineStr"/>
    </row>
    <row r="454" ht="15" customHeight="1">
      <c r="A454" t="inlineStr">
        <is>
          <t>A 52152-2025</t>
        </is>
      </c>
      <c r="B454" s="1" t="n">
        <v>45953.34563657407</v>
      </c>
      <c r="C454" s="1" t="n">
        <v>46074</v>
      </c>
      <c r="D454" t="inlineStr">
        <is>
          <t>DALARNAS LÄN</t>
        </is>
      </c>
      <c r="E454" t="inlineStr">
        <is>
          <t>ÄLVDALEN</t>
        </is>
      </c>
      <c r="F454" t="inlineStr">
        <is>
          <t>Allmännings- och besparingsskogar</t>
        </is>
      </c>
      <c r="G454" t="n">
        <v>22.3</v>
      </c>
      <c r="H454" t="n">
        <v>0</v>
      </c>
      <c r="I454" t="n">
        <v>0</v>
      </c>
      <c r="J454" t="n">
        <v>0</v>
      </c>
      <c r="K454" t="n">
        <v>0</v>
      </c>
      <c r="L454" t="n">
        <v>0</v>
      </c>
      <c r="M454" t="n">
        <v>0</v>
      </c>
      <c r="N454" t="n">
        <v>0</v>
      </c>
      <c r="O454" t="n">
        <v>0</v>
      </c>
      <c r="P454" t="n">
        <v>0</v>
      </c>
      <c r="Q454" t="n">
        <v>0</v>
      </c>
      <c r="R454" s="2" t="inlineStr"/>
    </row>
    <row r="455" ht="15" customHeight="1">
      <c r="A455" t="inlineStr">
        <is>
          <t>A 32237-2025</t>
        </is>
      </c>
      <c r="B455" s="1" t="n">
        <v>45835</v>
      </c>
      <c r="C455" s="1" t="n">
        <v>46074</v>
      </c>
      <c r="D455" t="inlineStr">
        <is>
          <t>DALARNAS LÄN</t>
        </is>
      </c>
      <c r="E455" t="inlineStr">
        <is>
          <t>ÄLVDALEN</t>
        </is>
      </c>
      <c r="G455" t="n">
        <v>4.6</v>
      </c>
      <c r="H455" t="n">
        <v>0</v>
      </c>
      <c r="I455" t="n">
        <v>0</v>
      </c>
      <c r="J455" t="n">
        <v>0</v>
      </c>
      <c r="K455" t="n">
        <v>0</v>
      </c>
      <c r="L455" t="n">
        <v>0</v>
      </c>
      <c r="M455" t="n">
        <v>0</v>
      </c>
      <c r="N455" t="n">
        <v>0</v>
      </c>
      <c r="O455" t="n">
        <v>0</v>
      </c>
      <c r="P455" t="n">
        <v>0</v>
      </c>
      <c r="Q455" t="n">
        <v>0</v>
      </c>
      <c r="R455" s="2" t="inlineStr"/>
    </row>
    <row r="456" ht="15" customHeight="1">
      <c r="A456" t="inlineStr">
        <is>
          <t>A 52072-2025</t>
        </is>
      </c>
      <c r="B456" s="1" t="n">
        <v>45952.64829861111</v>
      </c>
      <c r="C456" s="1" t="n">
        <v>46074</v>
      </c>
      <c r="D456" t="inlineStr">
        <is>
          <t>DALARNAS LÄN</t>
        </is>
      </c>
      <c r="E456" t="inlineStr">
        <is>
          <t>ÄLVDALEN</t>
        </is>
      </c>
      <c r="F456" t="inlineStr">
        <is>
          <t>Allmännings- och besparingsskogar</t>
        </is>
      </c>
      <c r="G456" t="n">
        <v>54.2</v>
      </c>
      <c r="H456" t="n">
        <v>0</v>
      </c>
      <c r="I456" t="n">
        <v>0</v>
      </c>
      <c r="J456" t="n">
        <v>0</v>
      </c>
      <c r="K456" t="n">
        <v>0</v>
      </c>
      <c r="L456" t="n">
        <v>0</v>
      </c>
      <c r="M456" t="n">
        <v>0</v>
      </c>
      <c r="N456" t="n">
        <v>0</v>
      </c>
      <c r="O456" t="n">
        <v>0</v>
      </c>
      <c r="P456" t="n">
        <v>0</v>
      </c>
      <c r="Q456" t="n">
        <v>0</v>
      </c>
      <c r="R456" s="2" t="inlineStr"/>
    </row>
    <row r="457" ht="15" customHeight="1">
      <c r="A457" t="inlineStr">
        <is>
          <t>A 51915-2025</t>
        </is>
      </c>
      <c r="B457" s="1" t="n">
        <v>45952.47706018519</v>
      </c>
      <c r="C457" s="1" t="n">
        <v>46074</v>
      </c>
      <c r="D457" t="inlineStr">
        <is>
          <t>DALARNAS LÄN</t>
        </is>
      </c>
      <c r="E457" t="inlineStr">
        <is>
          <t>ÄLVDALEN</t>
        </is>
      </c>
      <c r="F457" t="inlineStr">
        <is>
          <t>Allmännings- och besparingsskogar</t>
        </is>
      </c>
      <c r="G457" t="n">
        <v>66.7</v>
      </c>
      <c r="H457" t="n">
        <v>0</v>
      </c>
      <c r="I457" t="n">
        <v>0</v>
      </c>
      <c r="J457" t="n">
        <v>0</v>
      </c>
      <c r="K457" t="n">
        <v>0</v>
      </c>
      <c r="L457" t="n">
        <v>0</v>
      </c>
      <c r="M457" t="n">
        <v>0</v>
      </c>
      <c r="N457" t="n">
        <v>0</v>
      </c>
      <c r="O457" t="n">
        <v>0</v>
      </c>
      <c r="P457" t="n">
        <v>0</v>
      </c>
      <c r="Q457" t="n">
        <v>0</v>
      </c>
      <c r="R457" s="2" t="inlineStr"/>
    </row>
    <row r="458" ht="15" customHeight="1">
      <c r="A458" t="inlineStr">
        <is>
          <t>A 51975-2025</t>
        </is>
      </c>
      <c r="B458" s="1" t="n">
        <v>45952</v>
      </c>
      <c r="C458" s="1" t="n">
        <v>46074</v>
      </c>
      <c r="D458" t="inlineStr">
        <is>
          <t>DALARNAS LÄN</t>
        </is>
      </c>
      <c r="E458" t="inlineStr">
        <is>
          <t>ÄLVDALEN</t>
        </is>
      </c>
      <c r="F458" t="inlineStr">
        <is>
          <t>Allmännings- och besparingsskogar</t>
        </is>
      </c>
      <c r="G458" t="n">
        <v>3.5</v>
      </c>
      <c r="H458" t="n">
        <v>0</v>
      </c>
      <c r="I458" t="n">
        <v>0</v>
      </c>
      <c r="J458" t="n">
        <v>0</v>
      </c>
      <c r="K458" t="n">
        <v>0</v>
      </c>
      <c r="L458" t="n">
        <v>0</v>
      </c>
      <c r="M458" t="n">
        <v>0</v>
      </c>
      <c r="N458" t="n">
        <v>0</v>
      </c>
      <c r="O458" t="n">
        <v>0</v>
      </c>
      <c r="P458" t="n">
        <v>0</v>
      </c>
      <c r="Q458" t="n">
        <v>0</v>
      </c>
      <c r="R458" s="2" t="inlineStr"/>
    </row>
    <row r="459" ht="15" customHeight="1">
      <c r="A459" t="inlineStr">
        <is>
          <t>A 52033-2025</t>
        </is>
      </c>
      <c r="B459" s="1" t="n">
        <v>45952.6122337963</v>
      </c>
      <c r="C459" s="1" t="n">
        <v>46074</v>
      </c>
      <c r="D459" t="inlineStr">
        <is>
          <t>DALARNAS LÄN</t>
        </is>
      </c>
      <c r="E459" t="inlineStr">
        <is>
          <t>ÄLVDALEN</t>
        </is>
      </c>
      <c r="F459" t="inlineStr">
        <is>
          <t>Allmännings- och besparingsskogar</t>
        </is>
      </c>
      <c r="G459" t="n">
        <v>3.5</v>
      </c>
      <c r="H459" t="n">
        <v>0</v>
      </c>
      <c r="I459" t="n">
        <v>0</v>
      </c>
      <c r="J459" t="n">
        <v>0</v>
      </c>
      <c r="K459" t="n">
        <v>0</v>
      </c>
      <c r="L459" t="n">
        <v>0</v>
      </c>
      <c r="M459" t="n">
        <v>0</v>
      </c>
      <c r="N459" t="n">
        <v>0</v>
      </c>
      <c r="O459" t="n">
        <v>0</v>
      </c>
      <c r="P459" t="n">
        <v>0</v>
      </c>
      <c r="Q459" t="n">
        <v>0</v>
      </c>
      <c r="R459" s="2" t="inlineStr"/>
    </row>
    <row r="460" ht="15" customHeight="1">
      <c r="A460" t="inlineStr">
        <is>
          <t>A 32622-2023</t>
        </is>
      </c>
      <c r="B460" s="1" t="n">
        <v>45121</v>
      </c>
      <c r="C460" s="1" t="n">
        <v>46074</v>
      </c>
      <c r="D460" t="inlineStr">
        <is>
          <t>DALARNAS LÄN</t>
        </is>
      </c>
      <c r="E460" t="inlineStr">
        <is>
          <t>ÄLVDALEN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59483-2024</t>
        </is>
      </c>
      <c r="B461" s="1" t="n">
        <v>45638.52847222222</v>
      </c>
      <c r="C461" s="1" t="n">
        <v>46074</v>
      </c>
      <c r="D461" t="inlineStr">
        <is>
          <t>DALARNAS LÄN</t>
        </is>
      </c>
      <c r="E461" t="inlineStr">
        <is>
          <t>ÄLVDALEN</t>
        </is>
      </c>
      <c r="F461" t="inlineStr">
        <is>
          <t>Allmännings- och besparingsskogar</t>
        </is>
      </c>
      <c r="G461" t="n">
        <v>6.9</v>
      </c>
      <c r="H461" t="n">
        <v>0</v>
      </c>
      <c r="I461" t="n">
        <v>0</v>
      </c>
      <c r="J461" t="n">
        <v>0</v>
      </c>
      <c r="K461" t="n">
        <v>0</v>
      </c>
      <c r="L461" t="n">
        <v>0</v>
      </c>
      <c r="M461" t="n">
        <v>0</v>
      </c>
      <c r="N461" t="n">
        <v>0</v>
      </c>
      <c r="O461" t="n">
        <v>0</v>
      </c>
      <c r="P461" t="n">
        <v>0</v>
      </c>
      <c r="Q461" t="n">
        <v>0</v>
      </c>
      <c r="R461" s="2" t="inlineStr"/>
    </row>
    <row r="462" ht="15" customHeight="1">
      <c r="A462" t="inlineStr">
        <is>
          <t>A 26080-2021</t>
        </is>
      </c>
      <c r="B462" s="1" t="n">
        <v>44344</v>
      </c>
      <c r="C462" s="1" t="n">
        <v>46074</v>
      </c>
      <c r="D462" t="inlineStr">
        <is>
          <t>DALARNAS LÄN</t>
        </is>
      </c>
      <c r="E462" t="inlineStr">
        <is>
          <t>ÄLVDALEN</t>
        </is>
      </c>
      <c r="G462" t="n">
        <v>2.3</v>
      </c>
      <c r="H462" t="n">
        <v>0</v>
      </c>
      <c r="I462" t="n">
        <v>0</v>
      </c>
      <c r="J462" t="n">
        <v>0</v>
      </c>
      <c r="K462" t="n">
        <v>0</v>
      </c>
      <c r="L462" t="n">
        <v>0</v>
      </c>
      <c r="M462" t="n">
        <v>0</v>
      </c>
      <c r="N462" t="n">
        <v>0</v>
      </c>
      <c r="O462" t="n">
        <v>0</v>
      </c>
      <c r="P462" t="n">
        <v>0</v>
      </c>
      <c r="Q462" t="n">
        <v>0</v>
      </c>
      <c r="R462" s="2" t="inlineStr"/>
    </row>
    <row r="463" ht="15" customHeight="1">
      <c r="A463" t="inlineStr">
        <is>
          <t>A 59547-2023</t>
        </is>
      </c>
      <c r="B463" s="1" t="n">
        <v>45254.55645833333</v>
      </c>
      <c r="C463" s="1" t="n">
        <v>46074</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8538-2025</t>
        </is>
      </c>
      <c r="B464" s="1" t="n">
        <v>45709.59030092593</v>
      </c>
      <c r="C464" s="1" t="n">
        <v>46074</v>
      </c>
      <c r="D464" t="inlineStr">
        <is>
          <t>DALARNAS LÄN</t>
        </is>
      </c>
      <c r="E464" t="inlineStr">
        <is>
          <t>ÄLVDALEN</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53319-2025</t>
        </is>
      </c>
      <c r="B465" s="1" t="n">
        <v>45959.35554398148</v>
      </c>
      <c r="C465" s="1" t="n">
        <v>46074</v>
      </c>
      <c r="D465" t="inlineStr">
        <is>
          <t>DALARNAS LÄN</t>
        </is>
      </c>
      <c r="E465" t="inlineStr">
        <is>
          <t>ÄLVDALEN</t>
        </is>
      </c>
      <c r="G465" t="n">
        <v>3.8</v>
      </c>
      <c r="H465" t="n">
        <v>0</v>
      </c>
      <c r="I465" t="n">
        <v>0</v>
      </c>
      <c r="J465" t="n">
        <v>0</v>
      </c>
      <c r="K465" t="n">
        <v>0</v>
      </c>
      <c r="L465" t="n">
        <v>0</v>
      </c>
      <c r="M465" t="n">
        <v>0</v>
      </c>
      <c r="N465" t="n">
        <v>0</v>
      </c>
      <c r="O465" t="n">
        <v>0</v>
      </c>
      <c r="P465" t="n">
        <v>0</v>
      </c>
      <c r="Q465" t="n">
        <v>0</v>
      </c>
      <c r="R465" s="2" t="inlineStr"/>
    </row>
    <row r="466" ht="15" customHeight="1">
      <c r="A466" t="inlineStr">
        <is>
          <t>A 8784-2024</t>
        </is>
      </c>
      <c r="B466" s="1" t="n">
        <v>45356.58180555556</v>
      </c>
      <c r="C466" s="1" t="n">
        <v>46074</v>
      </c>
      <c r="D466" t="inlineStr">
        <is>
          <t>DALARNAS LÄN</t>
        </is>
      </c>
      <c r="E466" t="inlineStr">
        <is>
          <t>ÄLVDALEN</t>
        </is>
      </c>
      <c r="G466" t="n">
        <v>1.6</v>
      </c>
      <c r="H466" t="n">
        <v>0</v>
      </c>
      <c r="I466" t="n">
        <v>0</v>
      </c>
      <c r="J466" t="n">
        <v>0</v>
      </c>
      <c r="K466" t="n">
        <v>0</v>
      </c>
      <c r="L466" t="n">
        <v>0</v>
      </c>
      <c r="M466" t="n">
        <v>0</v>
      </c>
      <c r="N466" t="n">
        <v>0</v>
      </c>
      <c r="O466" t="n">
        <v>0</v>
      </c>
      <c r="P466" t="n">
        <v>0</v>
      </c>
      <c r="Q466" t="n">
        <v>0</v>
      </c>
      <c r="R466" s="2" t="inlineStr"/>
    </row>
    <row r="467" ht="15" customHeight="1">
      <c r="A467" t="inlineStr">
        <is>
          <t>A 15952-2021</t>
        </is>
      </c>
      <c r="B467" s="1" t="n">
        <v>44286</v>
      </c>
      <c r="C467" s="1" t="n">
        <v>46074</v>
      </c>
      <c r="D467" t="inlineStr">
        <is>
          <t>DALARNAS LÄN</t>
        </is>
      </c>
      <c r="E467" t="inlineStr">
        <is>
          <t>ÄLVDALEN</t>
        </is>
      </c>
      <c r="F467" t="inlineStr">
        <is>
          <t>Övriga statliga verk och myndigheter</t>
        </is>
      </c>
      <c r="G467" t="n">
        <v>6.6</v>
      </c>
      <c r="H467" t="n">
        <v>0</v>
      </c>
      <c r="I467" t="n">
        <v>0</v>
      </c>
      <c r="J467" t="n">
        <v>0</v>
      </c>
      <c r="K467" t="n">
        <v>0</v>
      </c>
      <c r="L467" t="n">
        <v>0</v>
      </c>
      <c r="M467" t="n">
        <v>0</v>
      </c>
      <c r="N467" t="n">
        <v>0</v>
      </c>
      <c r="O467" t="n">
        <v>0</v>
      </c>
      <c r="P467" t="n">
        <v>0</v>
      </c>
      <c r="Q467" t="n">
        <v>0</v>
      </c>
      <c r="R467" s="2" t="inlineStr"/>
    </row>
    <row r="468" ht="15" customHeight="1">
      <c r="A468" t="inlineStr">
        <is>
          <t>A 59207-2022</t>
        </is>
      </c>
      <c r="B468" s="1" t="n">
        <v>44904</v>
      </c>
      <c r="C468" s="1" t="n">
        <v>46074</v>
      </c>
      <c r="D468" t="inlineStr">
        <is>
          <t>DALARNAS LÄN</t>
        </is>
      </c>
      <c r="E468" t="inlineStr">
        <is>
          <t>ÄLVDALEN</t>
        </is>
      </c>
      <c r="G468" t="n">
        <v>4.7</v>
      </c>
      <c r="H468" t="n">
        <v>0</v>
      </c>
      <c r="I468" t="n">
        <v>0</v>
      </c>
      <c r="J468" t="n">
        <v>0</v>
      </c>
      <c r="K468" t="n">
        <v>0</v>
      </c>
      <c r="L468" t="n">
        <v>0</v>
      </c>
      <c r="M468" t="n">
        <v>0</v>
      </c>
      <c r="N468" t="n">
        <v>0</v>
      </c>
      <c r="O468" t="n">
        <v>0</v>
      </c>
      <c r="P468" t="n">
        <v>0</v>
      </c>
      <c r="Q468" t="n">
        <v>0</v>
      </c>
      <c r="R468" s="2" t="inlineStr"/>
    </row>
    <row r="469" ht="15" customHeight="1">
      <c r="A469" t="inlineStr">
        <is>
          <t>A 54114-2025</t>
        </is>
      </c>
      <c r="B469" s="1" t="n">
        <v>45964.44096064815</v>
      </c>
      <c r="C469" s="1" t="n">
        <v>46074</v>
      </c>
      <c r="D469" t="inlineStr">
        <is>
          <t>DALARNAS LÄN</t>
        </is>
      </c>
      <c r="E469" t="inlineStr">
        <is>
          <t>ÄLVDALEN</t>
        </is>
      </c>
      <c r="F469" t="inlineStr">
        <is>
          <t>Bergvik skog väst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49723-2023</t>
        </is>
      </c>
      <c r="B470" s="1" t="n">
        <v>45212</v>
      </c>
      <c r="C470" s="1" t="n">
        <v>46074</v>
      </c>
      <c r="D470" t="inlineStr">
        <is>
          <t>DALARNAS LÄN</t>
        </is>
      </c>
      <c r="E470" t="inlineStr">
        <is>
          <t>ÄLVDALEN</t>
        </is>
      </c>
      <c r="F470" t="inlineStr">
        <is>
          <t>Bergvik skog väst AB</t>
        </is>
      </c>
      <c r="G470" t="n">
        <v>5</v>
      </c>
      <c r="H470" t="n">
        <v>0</v>
      </c>
      <c r="I470" t="n">
        <v>0</v>
      </c>
      <c r="J470" t="n">
        <v>0</v>
      </c>
      <c r="K470" t="n">
        <v>0</v>
      </c>
      <c r="L470" t="n">
        <v>0</v>
      </c>
      <c r="M470" t="n">
        <v>0</v>
      </c>
      <c r="N470" t="n">
        <v>0</v>
      </c>
      <c r="O470" t="n">
        <v>0</v>
      </c>
      <c r="P470" t="n">
        <v>0</v>
      </c>
      <c r="Q470" t="n">
        <v>0</v>
      </c>
      <c r="R470" s="2" t="inlineStr"/>
    </row>
    <row r="471" ht="15" customHeight="1">
      <c r="A471" t="inlineStr">
        <is>
          <t>A 9045-2025</t>
        </is>
      </c>
      <c r="B471" s="1" t="n">
        <v>45713.62837962963</v>
      </c>
      <c r="C471" s="1" t="n">
        <v>46074</v>
      </c>
      <c r="D471" t="inlineStr">
        <is>
          <t>DALARNAS LÄN</t>
        </is>
      </c>
      <c r="E471" t="inlineStr">
        <is>
          <t>ÄLVDALEN</t>
        </is>
      </c>
      <c r="F471" t="inlineStr">
        <is>
          <t>Allmännings- och besparingsskogar</t>
        </is>
      </c>
      <c r="G471" t="n">
        <v>39.1</v>
      </c>
      <c r="H471" t="n">
        <v>0</v>
      </c>
      <c r="I471" t="n">
        <v>0</v>
      </c>
      <c r="J471" t="n">
        <v>0</v>
      </c>
      <c r="K471" t="n">
        <v>0</v>
      </c>
      <c r="L471" t="n">
        <v>0</v>
      </c>
      <c r="M471" t="n">
        <v>0</v>
      </c>
      <c r="N471" t="n">
        <v>0</v>
      </c>
      <c r="O471" t="n">
        <v>0</v>
      </c>
      <c r="P471" t="n">
        <v>0</v>
      </c>
      <c r="Q471" t="n">
        <v>0</v>
      </c>
      <c r="R471" s="2" t="inlineStr"/>
    </row>
    <row r="472" ht="15" customHeight="1">
      <c r="A472" t="inlineStr">
        <is>
          <t>A 45203-2024</t>
        </is>
      </c>
      <c r="B472" s="1" t="n">
        <v>45575</v>
      </c>
      <c r="C472" s="1" t="n">
        <v>46074</v>
      </c>
      <c r="D472" t="inlineStr">
        <is>
          <t>DALARNAS LÄN</t>
        </is>
      </c>
      <c r="E472" t="inlineStr">
        <is>
          <t>ÄLVDALEN</t>
        </is>
      </c>
      <c r="G472" t="n">
        <v>7.3</v>
      </c>
      <c r="H472" t="n">
        <v>0</v>
      </c>
      <c r="I472" t="n">
        <v>0</v>
      </c>
      <c r="J472" t="n">
        <v>0</v>
      </c>
      <c r="K472" t="n">
        <v>0</v>
      </c>
      <c r="L472" t="n">
        <v>0</v>
      </c>
      <c r="M472" t="n">
        <v>0</v>
      </c>
      <c r="N472" t="n">
        <v>0</v>
      </c>
      <c r="O472" t="n">
        <v>0</v>
      </c>
      <c r="P472" t="n">
        <v>0</v>
      </c>
      <c r="Q472" t="n">
        <v>0</v>
      </c>
      <c r="R472" s="2" t="inlineStr"/>
    </row>
    <row r="473" ht="15" customHeight="1">
      <c r="A473" t="inlineStr">
        <is>
          <t>A 43039-2025</t>
        </is>
      </c>
      <c r="B473" s="1" t="n">
        <v>45909.55166666667</v>
      </c>
      <c r="C473" s="1" t="n">
        <v>46074</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48954-2023</t>
        </is>
      </c>
      <c r="B474" s="1" t="n">
        <v>45209.58488425926</v>
      </c>
      <c r="C474" s="1" t="n">
        <v>46074</v>
      </c>
      <c r="D474" t="inlineStr">
        <is>
          <t>DALARNAS LÄN</t>
        </is>
      </c>
      <c r="E474" t="inlineStr">
        <is>
          <t>ÄLVDALEN</t>
        </is>
      </c>
      <c r="G474" t="n">
        <v>7</v>
      </c>
      <c r="H474" t="n">
        <v>0</v>
      </c>
      <c r="I474" t="n">
        <v>0</v>
      </c>
      <c r="J474" t="n">
        <v>0</v>
      </c>
      <c r="K474" t="n">
        <v>0</v>
      </c>
      <c r="L474" t="n">
        <v>0</v>
      </c>
      <c r="M474" t="n">
        <v>0</v>
      </c>
      <c r="N474" t="n">
        <v>0</v>
      </c>
      <c r="O474" t="n">
        <v>0</v>
      </c>
      <c r="P474" t="n">
        <v>0</v>
      </c>
      <c r="Q474" t="n">
        <v>0</v>
      </c>
      <c r="R474" s="2" t="inlineStr"/>
    </row>
    <row r="475" ht="15" customHeight="1">
      <c r="A475" t="inlineStr">
        <is>
          <t>A 55176-2025</t>
        </is>
      </c>
      <c r="B475" s="1" t="n">
        <v>45968.51841435185</v>
      </c>
      <c r="C475" s="1" t="n">
        <v>46074</v>
      </c>
      <c r="D475" t="inlineStr">
        <is>
          <t>DALARNAS LÄN</t>
        </is>
      </c>
      <c r="E475" t="inlineStr">
        <is>
          <t>ÄLVDALEN</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34835-2023</t>
        </is>
      </c>
      <c r="B476" s="1" t="n">
        <v>45141</v>
      </c>
      <c r="C476" s="1" t="n">
        <v>46074</v>
      </c>
      <c r="D476" t="inlineStr">
        <is>
          <t>DALARNAS LÄN</t>
        </is>
      </c>
      <c r="E476" t="inlineStr">
        <is>
          <t>ÄLVDALEN</t>
        </is>
      </c>
      <c r="G476" t="n">
        <v>3.4</v>
      </c>
      <c r="H476" t="n">
        <v>0</v>
      </c>
      <c r="I476" t="n">
        <v>0</v>
      </c>
      <c r="J476" t="n">
        <v>0</v>
      </c>
      <c r="K476" t="n">
        <v>0</v>
      </c>
      <c r="L476" t="n">
        <v>0</v>
      </c>
      <c r="M476" t="n">
        <v>0</v>
      </c>
      <c r="N476" t="n">
        <v>0</v>
      </c>
      <c r="O476" t="n">
        <v>0</v>
      </c>
      <c r="P476" t="n">
        <v>0</v>
      </c>
      <c r="Q476" t="n">
        <v>0</v>
      </c>
      <c r="R476" s="2" t="inlineStr"/>
    </row>
    <row r="477" ht="15" customHeight="1">
      <c r="A477" t="inlineStr">
        <is>
          <t>A 45245-2022</t>
        </is>
      </c>
      <c r="B477" s="1" t="n">
        <v>44844.48002314815</v>
      </c>
      <c r="C477" s="1" t="n">
        <v>46074</v>
      </c>
      <c r="D477" t="inlineStr">
        <is>
          <t>DALARNAS LÄN</t>
        </is>
      </c>
      <c r="E477" t="inlineStr">
        <is>
          <t>ÄLVDALEN</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55924-2025</t>
        </is>
      </c>
      <c r="B478" s="1" t="n">
        <v>45973.42548611111</v>
      </c>
      <c r="C478" s="1" t="n">
        <v>46074</v>
      </c>
      <c r="D478" t="inlineStr">
        <is>
          <t>DALARNAS LÄN</t>
        </is>
      </c>
      <c r="E478" t="inlineStr">
        <is>
          <t>ÄLVDALEN</t>
        </is>
      </c>
      <c r="F478" t="inlineStr">
        <is>
          <t>Övriga statliga verk och myndigheter</t>
        </is>
      </c>
      <c r="G478" t="n">
        <v>1.1</v>
      </c>
      <c r="H478" t="n">
        <v>0</v>
      </c>
      <c r="I478" t="n">
        <v>0</v>
      </c>
      <c r="J478" t="n">
        <v>0</v>
      </c>
      <c r="K478" t="n">
        <v>0</v>
      </c>
      <c r="L478" t="n">
        <v>0</v>
      </c>
      <c r="M478" t="n">
        <v>0</v>
      </c>
      <c r="N478" t="n">
        <v>0</v>
      </c>
      <c r="O478" t="n">
        <v>0</v>
      </c>
      <c r="P478" t="n">
        <v>0</v>
      </c>
      <c r="Q478" t="n">
        <v>0</v>
      </c>
      <c r="R478" s="2" t="inlineStr"/>
    </row>
    <row r="479" ht="15" customHeight="1">
      <c r="A479" t="inlineStr">
        <is>
          <t>A 55919-2025</t>
        </is>
      </c>
      <c r="B479" s="1" t="n">
        <v>45973.41636574074</v>
      </c>
      <c r="C479" s="1" t="n">
        <v>46074</v>
      </c>
      <c r="D479" t="inlineStr">
        <is>
          <t>DALARNAS LÄN</t>
        </is>
      </c>
      <c r="E479" t="inlineStr">
        <is>
          <t>ÄLVDALEN</t>
        </is>
      </c>
      <c r="F479" t="inlineStr">
        <is>
          <t>Övriga statliga verk och myndigheter</t>
        </is>
      </c>
      <c r="G479" t="n">
        <v>0.6</v>
      </c>
      <c r="H479" t="n">
        <v>0</v>
      </c>
      <c r="I479" t="n">
        <v>0</v>
      </c>
      <c r="J479" t="n">
        <v>0</v>
      </c>
      <c r="K479" t="n">
        <v>0</v>
      </c>
      <c r="L479" t="n">
        <v>0</v>
      </c>
      <c r="M479" t="n">
        <v>0</v>
      </c>
      <c r="N479" t="n">
        <v>0</v>
      </c>
      <c r="O479" t="n">
        <v>0</v>
      </c>
      <c r="P479" t="n">
        <v>0</v>
      </c>
      <c r="Q479" t="n">
        <v>0</v>
      </c>
      <c r="R479" s="2" t="inlineStr"/>
    </row>
    <row r="480" ht="15" customHeight="1">
      <c r="A480" t="inlineStr">
        <is>
          <t>A 8192-2025</t>
        </is>
      </c>
      <c r="B480" s="1" t="n">
        <v>45708.41151620371</v>
      </c>
      <c r="C480" s="1" t="n">
        <v>46074</v>
      </c>
      <c r="D480" t="inlineStr">
        <is>
          <t>DALARNAS LÄN</t>
        </is>
      </c>
      <c r="E480" t="inlineStr">
        <is>
          <t>ÄLVDALEN</t>
        </is>
      </c>
      <c r="F480" t="inlineStr">
        <is>
          <t>Allmännings- och besparingsskogar</t>
        </is>
      </c>
      <c r="G480" t="n">
        <v>15.1</v>
      </c>
      <c r="H480" t="n">
        <v>0</v>
      </c>
      <c r="I480" t="n">
        <v>0</v>
      </c>
      <c r="J480" t="n">
        <v>0</v>
      </c>
      <c r="K480" t="n">
        <v>0</v>
      </c>
      <c r="L480" t="n">
        <v>0</v>
      </c>
      <c r="M480" t="n">
        <v>0</v>
      </c>
      <c r="N480" t="n">
        <v>0</v>
      </c>
      <c r="O480" t="n">
        <v>0</v>
      </c>
      <c r="P480" t="n">
        <v>0</v>
      </c>
      <c r="Q480" t="n">
        <v>0</v>
      </c>
      <c r="R480" s="2" t="inlineStr"/>
    </row>
    <row r="481" ht="15" customHeight="1">
      <c r="A481" t="inlineStr">
        <is>
          <t>A 56501-2025</t>
        </is>
      </c>
      <c r="B481" s="1" t="n">
        <v>45975.43454861111</v>
      </c>
      <c r="C481" s="1" t="n">
        <v>46074</v>
      </c>
      <c r="D481" t="inlineStr">
        <is>
          <t>DALARNAS LÄN</t>
        </is>
      </c>
      <c r="E481" t="inlineStr">
        <is>
          <t>ÄLVDALEN</t>
        </is>
      </c>
      <c r="G481" t="n">
        <v>14.9</v>
      </c>
      <c r="H481" t="n">
        <v>0</v>
      </c>
      <c r="I481" t="n">
        <v>0</v>
      </c>
      <c r="J481" t="n">
        <v>0</v>
      </c>
      <c r="K481" t="n">
        <v>0</v>
      </c>
      <c r="L481" t="n">
        <v>0</v>
      </c>
      <c r="M481" t="n">
        <v>0</v>
      </c>
      <c r="N481" t="n">
        <v>0</v>
      </c>
      <c r="O481" t="n">
        <v>0</v>
      </c>
      <c r="P481" t="n">
        <v>0</v>
      </c>
      <c r="Q481" t="n">
        <v>0</v>
      </c>
      <c r="R481" s="2" t="inlineStr"/>
    </row>
    <row r="482" ht="15" customHeight="1">
      <c r="A482" t="inlineStr">
        <is>
          <t>A 31857-2023</t>
        </is>
      </c>
      <c r="B482" s="1" t="n">
        <v>45106</v>
      </c>
      <c r="C482" s="1" t="n">
        <v>46074</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56252-2025</t>
        </is>
      </c>
      <c r="B483" s="1" t="n">
        <v>45974.56061342593</v>
      </c>
      <c r="C483" s="1" t="n">
        <v>46074</v>
      </c>
      <c r="D483" t="inlineStr">
        <is>
          <t>DALARNAS LÄN</t>
        </is>
      </c>
      <c r="E483" t="inlineStr">
        <is>
          <t>ÄLVDALEN</t>
        </is>
      </c>
      <c r="G483" t="n">
        <v>1.4</v>
      </c>
      <c r="H483" t="n">
        <v>0</v>
      </c>
      <c r="I483" t="n">
        <v>0</v>
      </c>
      <c r="J483" t="n">
        <v>0</v>
      </c>
      <c r="K483" t="n">
        <v>0</v>
      </c>
      <c r="L483" t="n">
        <v>0</v>
      </c>
      <c r="M483" t="n">
        <v>0</v>
      </c>
      <c r="N483" t="n">
        <v>0</v>
      </c>
      <c r="O483" t="n">
        <v>0</v>
      </c>
      <c r="P483" t="n">
        <v>0</v>
      </c>
      <c r="Q483" t="n">
        <v>0</v>
      </c>
      <c r="R483" s="2" t="inlineStr"/>
    </row>
    <row r="484" ht="15" customHeight="1">
      <c r="A484" t="inlineStr">
        <is>
          <t>A 431-2023</t>
        </is>
      </c>
      <c r="B484" s="1" t="n">
        <v>44923</v>
      </c>
      <c r="C484" s="1" t="n">
        <v>46074</v>
      </c>
      <c r="D484" t="inlineStr">
        <is>
          <t>DALARNAS LÄN</t>
        </is>
      </c>
      <c r="E484" t="inlineStr">
        <is>
          <t>ÄLVDALEN</t>
        </is>
      </c>
      <c r="G484" t="n">
        <v>2.9</v>
      </c>
      <c r="H484" t="n">
        <v>0</v>
      </c>
      <c r="I484" t="n">
        <v>0</v>
      </c>
      <c r="J484" t="n">
        <v>0</v>
      </c>
      <c r="K484" t="n">
        <v>0</v>
      </c>
      <c r="L484" t="n">
        <v>0</v>
      </c>
      <c r="M484" t="n">
        <v>0</v>
      </c>
      <c r="N484" t="n">
        <v>0</v>
      </c>
      <c r="O484" t="n">
        <v>0</v>
      </c>
      <c r="P484" t="n">
        <v>0</v>
      </c>
      <c r="Q484" t="n">
        <v>0</v>
      </c>
      <c r="R484" s="2" t="inlineStr"/>
    </row>
    <row r="485" ht="15" customHeight="1">
      <c r="A485" t="inlineStr">
        <is>
          <t>A 58848-2022</t>
        </is>
      </c>
      <c r="B485" s="1" t="n">
        <v>44896</v>
      </c>
      <c r="C485" s="1" t="n">
        <v>46074</v>
      </c>
      <c r="D485" t="inlineStr">
        <is>
          <t>DALARNAS LÄN</t>
        </is>
      </c>
      <c r="E485" t="inlineStr">
        <is>
          <t>ÄLVDALEN</t>
        </is>
      </c>
      <c r="F485" t="inlineStr">
        <is>
          <t>Övriga statliga verk och myndigheter</t>
        </is>
      </c>
      <c r="G485" t="n">
        <v>18.1</v>
      </c>
      <c r="H485" t="n">
        <v>0</v>
      </c>
      <c r="I485" t="n">
        <v>0</v>
      </c>
      <c r="J485" t="n">
        <v>0</v>
      </c>
      <c r="K485" t="n">
        <v>0</v>
      </c>
      <c r="L485" t="n">
        <v>0</v>
      </c>
      <c r="M485" t="n">
        <v>0</v>
      </c>
      <c r="N485" t="n">
        <v>0</v>
      </c>
      <c r="O485" t="n">
        <v>0</v>
      </c>
      <c r="P485" t="n">
        <v>0</v>
      </c>
      <c r="Q485" t="n">
        <v>0</v>
      </c>
      <c r="R485" s="2" t="inlineStr"/>
    </row>
    <row r="486" ht="15" customHeight="1">
      <c r="A486" t="inlineStr">
        <is>
          <t>A 23570-2023</t>
        </is>
      </c>
      <c r="B486" s="1" t="n">
        <v>45077</v>
      </c>
      <c r="C486" s="1" t="n">
        <v>46074</v>
      </c>
      <c r="D486" t="inlineStr">
        <is>
          <t>DALARNAS LÄN</t>
        </is>
      </c>
      <c r="E486" t="inlineStr">
        <is>
          <t>ÄLVDALEN</t>
        </is>
      </c>
      <c r="G486" t="n">
        <v>4.9</v>
      </c>
      <c r="H486" t="n">
        <v>0</v>
      </c>
      <c r="I486" t="n">
        <v>0</v>
      </c>
      <c r="J486" t="n">
        <v>0</v>
      </c>
      <c r="K486" t="n">
        <v>0</v>
      </c>
      <c r="L486" t="n">
        <v>0</v>
      </c>
      <c r="M486" t="n">
        <v>0</v>
      </c>
      <c r="N486" t="n">
        <v>0</v>
      </c>
      <c r="O486" t="n">
        <v>0</v>
      </c>
      <c r="P486" t="n">
        <v>0</v>
      </c>
      <c r="Q486" t="n">
        <v>0</v>
      </c>
      <c r="R486" s="2" t="inlineStr"/>
    </row>
    <row r="487" ht="15" customHeight="1">
      <c r="A487" t="inlineStr">
        <is>
          <t>A 57510-2025</t>
        </is>
      </c>
      <c r="B487" s="1" t="n">
        <v>45980.60502314815</v>
      </c>
      <c r="C487" s="1" t="n">
        <v>46074</v>
      </c>
      <c r="D487" t="inlineStr">
        <is>
          <t>DALARNAS LÄN</t>
        </is>
      </c>
      <c r="E487" t="inlineStr">
        <is>
          <t>ÄLVDALEN</t>
        </is>
      </c>
      <c r="G487" t="n">
        <v>2.1</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44678.56600694444</v>
      </c>
      <c r="C488" s="1" t="n">
        <v>46074</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57980-2025</t>
        </is>
      </c>
      <c r="B489" s="1" t="n">
        <v>45982.40280092593</v>
      </c>
      <c r="C489" s="1" t="n">
        <v>46074</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19761-2021</t>
        </is>
      </c>
      <c r="B490" s="1" t="n">
        <v>44309</v>
      </c>
      <c r="C490" s="1" t="n">
        <v>46074</v>
      </c>
      <c r="D490" t="inlineStr">
        <is>
          <t>DALARNAS LÄN</t>
        </is>
      </c>
      <c r="E490" t="inlineStr">
        <is>
          <t>ÄLVDALEN</t>
        </is>
      </c>
      <c r="G490" t="n">
        <v>4.3</v>
      </c>
      <c r="H490" t="n">
        <v>0</v>
      </c>
      <c r="I490" t="n">
        <v>0</v>
      </c>
      <c r="J490" t="n">
        <v>0</v>
      </c>
      <c r="K490" t="n">
        <v>0</v>
      </c>
      <c r="L490" t="n">
        <v>0</v>
      </c>
      <c r="M490" t="n">
        <v>0</v>
      </c>
      <c r="N490" t="n">
        <v>0</v>
      </c>
      <c r="O490" t="n">
        <v>0</v>
      </c>
      <c r="P490" t="n">
        <v>0</v>
      </c>
      <c r="Q490" t="n">
        <v>0</v>
      </c>
      <c r="R490" s="2" t="inlineStr"/>
    </row>
    <row r="491" ht="15" customHeight="1">
      <c r="A491" t="inlineStr">
        <is>
          <t>A 23369-2023</t>
        </is>
      </c>
      <c r="B491" s="1" t="n">
        <v>45076</v>
      </c>
      <c r="C491" s="1" t="n">
        <v>46074</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58739-2025</t>
        </is>
      </c>
      <c r="B492" s="1" t="n">
        <v>45986.63236111111</v>
      </c>
      <c r="C492" s="1" t="n">
        <v>46074</v>
      </c>
      <c r="D492" t="inlineStr">
        <is>
          <t>DALARNAS LÄN</t>
        </is>
      </c>
      <c r="E492" t="inlineStr">
        <is>
          <t>ÄLVDALEN</t>
        </is>
      </c>
      <c r="F492" t="inlineStr">
        <is>
          <t>Övriga statliga verk och myndigheter</t>
        </is>
      </c>
      <c r="G492" t="n">
        <v>0.5</v>
      </c>
      <c r="H492" t="n">
        <v>0</v>
      </c>
      <c r="I492" t="n">
        <v>0</v>
      </c>
      <c r="J492" t="n">
        <v>0</v>
      </c>
      <c r="K492" t="n">
        <v>0</v>
      </c>
      <c r="L492" t="n">
        <v>0</v>
      </c>
      <c r="M492" t="n">
        <v>0</v>
      </c>
      <c r="N492" t="n">
        <v>0</v>
      </c>
      <c r="O492" t="n">
        <v>0</v>
      </c>
      <c r="P492" t="n">
        <v>0</v>
      </c>
      <c r="Q492" t="n">
        <v>0</v>
      </c>
      <c r="R492" s="2" t="inlineStr"/>
    </row>
    <row r="493" ht="15" customHeight="1">
      <c r="A493" t="inlineStr">
        <is>
          <t>A 29819-2024</t>
        </is>
      </c>
      <c r="B493" s="1" t="n">
        <v>45485.55760416666</v>
      </c>
      <c r="C493" s="1" t="n">
        <v>46074</v>
      </c>
      <c r="D493" t="inlineStr">
        <is>
          <t>DALARNAS LÄN</t>
        </is>
      </c>
      <c r="E493" t="inlineStr">
        <is>
          <t>ÄLVDALEN</t>
        </is>
      </c>
      <c r="G493" t="n">
        <v>1.4</v>
      </c>
      <c r="H493" t="n">
        <v>0</v>
      </c>
      <c r="I493" t="n">
        <v>0</v>
      </c>
      <c r="J493" t="n">
        <v>0</v>
      </c>
      <c r="K493" t="n">
        <v>0</v>
      </c>
      <c r="L493" t="n">
        <v>0</v>
      </c>
      <c r="M493" t="n">
        <v>0</v>
      </c>
      <c r="N493" t="n">
        <v>0</v>
      </c>
      <c r="O493" t="n">
        <v>0</v>
      </c>
      <c r="P493" t="n">
        <v>0</v>
      </c>
      <c r="Q493" t="n">
        <v>0</v>
      </c>
      <c r="R493" s="2" t="inlineStr"/>
    </row>
    <row r="494" ht="15" customHeight="1">
      <c r="A494" t="inlineStr">
        <is>
          <t>A 59250-2025</t>
        </is>
      </c>
      <c r="B494" s="1" t="n">
        <v>45988.65004629629</v>
      </c>
      <c r="C494" s="1" t="n">
        <v>46074</v>
      </c>
      <c r="D494" t="inlineStr">
        <is>
          <t>DALARNAS LÄN</t>
        </is>
      </c>
      <c r="E494" t="inlineStr">
        <is>
          <t>ÄLVDALEN</t>
        </is>
      </c>
      <c r="G494" t="n">
        <v>1.8</v>
      </c>
      <c r="H494" t="n">
        <v>0</v>
      </c>
      <c r="I494" t="n">
        <v>0</v>
      </c>
      <c r="J494" t="n">
        <v>0</v>
      </c>
      <c r="K494" t="n">
        <v>0</v>
      </c>
      <c r="L494" t="n">
        <v>0</v>
      </c>
      <c r="M494" t="n">
        <v>0</v>
      </c>
      <c r="N494" t="n">
        <v>0</v>
      </c>
      <c r="O494" t="n">
        <v>0</v>
      </c>
      <c r="P494" t="n">
        <v>0</v>
      </c>
      <c r="Q494" t="n">
        <v>0</v>
      </c>
      <c r="R494" s="2" t="inlineStr"/>
    </row>
    <row r="495" ht="15" customHeight="1">
      <c r="A495" t="inlineStr">
        <is>
          <t>A 59234-2025</t>
        </is>
      </c>
      <c r="B495" s="1" t="n">
        <v>45988.62946759259</v>
      </c>
      <c r="C495" s="1" t="n">
        <v>46074</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59256-2025</t>
        </is>
      </c>
      <c r="B496" s="1" t="n">
        <v>45988.65612268518</v>
      </c>
      <c r="C496" s="1" t="n">
        <v>46074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8146-2025</t>
        </is>
      </c>
      <c r="B497" s="1" t="n">
        <v>45708.30415509259</v>
      </c>
      <c r="C497" s="1" t="n">
        <v>46074</v>
      </c>
      <c r="D497" t="inlineStr">
        <is>
          <t>DALARNAS LÄN</t>
        </is>
      </c>
      <c r="E497" t="inlineStr">
        <is>
          <t>ÄLVDALEN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57467-2023</t>
        </is>
      </c>
      <c r="B498" s="1" t="n">
        <v>45246.36751157408</v>
      </c>
      <c r="C498" s="1" t="n">
        <v>46074</v>
      </c>
      <c r="D498" t="inlineStr">
        <is>
          <t>DALARNAS LÄN</t>
        </is>
      </c>
      <c r="E498" t="inlineStr">
        <is>
          <t>ÄLVDALEN</t>
        </is>
      </c>
      <c r="G498" t="n">
        <v>0.2</v>
      </c>
      <c r="H498" t="n">
        <v>0</v>
      </c>
      <c r="I498" t="n">
        <v>0</v>
      </c>
      <c r="J498" t="n">
        <v>0</v>
      </c>
      <c r="K498" t="n">
        <v>0</v>
      </c>
      <c r="L498" t="n">
        <v>0</v>
      </c>
      <c r="M498" t="n">
        <v>0</v>
      </c>
      <c r="N498" t="n">
        <v>0</v>
      </c>
      <c r="O498" t="n">
        <v>0</v>
      </c>
      <c r="P498" t="n">
        <v>0</v>
      </c>
      <c r="Q498" t="n">
        <v>0</v>
      </c>
      <c r="R498" s="2" t="inlineStr"/>
    </row>
    <row r="499" ht="15" customHeight="1">
      <c r="A499" t="inlineStr">
        <is>
          <t>A 1934-2026</t>
        </is>
      </c>
      <c r="B499" s="1" t="n">
        <v>46035.58578703704</v>
      </c>
      <c r="C499" s="1" t="n">
        <v>46074</v>
      </c>
      <c r="D499" t="inlineStr">
        <is>
          <t>DALARNAS LÄN</t>
        </is>
      </c>
      <c r="E499" t="inlineStr">
        <is>
          <t>ÄLVDALEN</t>
        </is>
      </c>
      <c r="F499" t="inlineStr">
        <is>
          <t>Övriga statliga verk och myndigheter</t>
        </is>
      </c>
      <c r="G499" t="n">
        <v>22.9</v>
      </c>
      <c r="H499" t="n">
        <v>0</v>
      </c>
      <c r="I499" t="n">
        <v>0</v>
      </c>
      <c r="J499" t="n">
        <v>0</v>
      </c>
      <c r="K499" t="n">
        <v>0</v>
      </c>
      <c r="L499" t="n">
        <v>0</v>
      </c>
      <c r="M499" t="n">
        <v>0</v>
      </c>
      <c r="N499" t="n">
        <v>0</v>
      </c>
      <c r="O499" t="n">
        <v>0</v>
      </c>
      <c r="P499" t="n">
        <v>0</v>
      </c>
      <c r="Q499" t="n">
        <v>0</v>
      </c>
      <c r="R499" s="2" t="inlineStr"/>
    </row>
    <row r="500" ht="15" customHeight="1">
      <c r="A500" t="inlineStr">
        <is>
          <t>A 32838-2023</t>
        </is>
      </c>
      <c r="B500" s="1" t="n">
        <v>45124</v>
      </c>
      <c r="C500" s="1" t="n">
        <v>46074</v>
      </c>
      <c r="D500" t="inlineStr">
        <is>
          <t>DALARNAS LÄN</t>
        </is>
      </c>
      <c r="E500" t="inlineStr">
        <is>
          <t>ÄLVDALEN</t>
        </is>
      </c>
      <c r="G500" t="n">
        <v>3.7</v>
      </c>
      <c r="H500" t="n">
        <v>0</v>
      </c>
      <c r="I500" t="n">
        <v>0</v>
      </c>
      <c r="J500" t="n">
        <v>0</v>
      </c>
      <c r="K500" t="n">
        <v>0</v>
      </c>
      <c r="L500" t="n">
        <v>0</v>
      </c>
      <c r="M500" t="n">
        <v>0</v>
      </c>
      <c r="N500" t="n">
        <v>0</v>
      </c>
      <c r="O500" t="n">
        <v>0</v>
      </c>
      <c r="P500" t="n">
        <v>0</v>
      </c>
      <c r="Q500" t="n">
        <v>0</v>
      </c>
      <c r="R500" s="2" t="inlineStr"/>
    </row>
    <row r="501" ht="15" customHeight="1">
      <c r="A501" t="inlineStr">
        <is>
          <t>A 52483-2023</t>
        </is>
      </c>
      <c r="B501" s="1" t="n">
        <v>45225</v>
      </c>
      <c r="C501" s="1" t="n">
        <v>46074</v>
      </c>
      <c r="D501" t="inlineStr">
        <is>
          <t>DALARNAS LÄN</t>
        </is>
      </c>
      <c r="E501" t="inlineStr">
        <is>
          <t>ÄLVDALEN</t>
        </is>
      </c>
      <c r="F501" t="inlineStr">
        <is>
          <t>Allmännings- och besparingsskogar</t>
        </is>
      </c>
      <c r="G501" t="n">
        <v>30.9</v>
      </c>
      <c r="H501" t="n">
        <v>0</v>
      </c>
      <c r="I501" t="n">
        <v>0</v>
      </c>
      <c r="J501" t="n">
        <v>0</v>
      </c>
      <c r="K501" t="n">
        <v>0</v>
      </c>
      <c r="L501" t="n">
        <v>0</v>
      </c>
      <c r="M501" t="n">
        <v>0</v>
      </c>
      <c r="N501" t="n">
        <v>0</v>
      </c>
      <c r="O501" t="n">
        <v>0</v>
      </c>
      <c r="P501" t="n">
        <v>0</v>
      </c>
      <c r="Q501" t="n">
        <v>0</v>
      </c>
      <c r="R501" s="2" t="inlineStr"/>
      <c r="U501">
        <f>HYPERLINK("https://klasma.github.io/Logging_2039/knärot/A 52483-2023 karta knärot.png", "A 52483-2023")</f>
        <v/>
      </c>
      <c r="V501">
        <f>HYPERLINK("https://klasma.github.io/Logging_2039/klagomål/A 52483-2023 FSC-klagomål.docx", "A 52483-2023")</f>
        <v/>
      </c>
      <c r="W501">
        <f>HYPERLINK("https://klasma.github.io/Logging_2039/klagomålsmail/A 52483-2023 FSC-klagomål mail.docx", "A 52483-2023")</f>
        <v/>
      </c>
      <c r="X501">
        <f>HYPERLINK("https://klasma.github.io/Logging_2039/tillsyn/A 52483-2023 tillsynsbegäran.docx", "A 52483-2023")</f>
        <v/>
      </c>
      <c r="Y501">
        <f>HYPERLINK("https://klasma.github.io/Logging_2039/tillsynsmail/A 52483-2023 tillsynsbegäran mail.docx", "A 52483-2023")</f>
        <v/>
      </c>
    </row>
    <row r="502" ht="15" customHeight="1">
      <c r="A502" t="inlineStr">
        <is>
          <t>A 59590-2025</t>
        </is>
      </c>
      <c r="B502" s="1" t="n">
        <v>45992.34043981481</v>
      </c>
      <c r="C502" s="1" t="n">
        <v>46074</v>
      </c>
      <c r="D502" t="inlineStr">
        <is>
          <t>DALARNAS LÄN</t>
        </is>
      </c>
      <c r="E502" t="inlineStr">
        <is>
          <t>ÄLVDALEN</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59588-2025</t>
        </is>
      </c>
      <c r="B503" s="1" t="n">
        <v>45992.33900462963</v>
      </c>
      <c r="C503" s="1" t="n">
        <v>46074</v>
      </c>
      <c r="D503" t="inlineStr">
        <is>
          <t>DALARNAS LÄN</t>
        </is>
      </c>
      <c r="E503" t="inlineStr">
        <is>
          <t>ÄLVDALEN</t>
        </is>
      </c>
      <c r="F503" t="inlineStr">
        <is>
          <t>Sveaskog</t>
        </is>
      </c>
      <c r="G503" t="n">
        <v>2.1</v>
      </c>
      <c r="H503" t="n">
        <v>0</v>
      </c>
      <c r="I503" t="n">
        <v>0</v>
      </c>
      <c r="J503" t="n">
        <v>0</v>
      </c>
      <c r="K503" t="n">
        <v>0</v>
      </c>
      <c r="L503" t="n">
        <v>0</v>
      </c>
      <c r="M503" t="n">
        <v>0</v>
      </c>
      <c r="N503" t="n">
        <v>0</v>
      </c>
      <c r="O503" t="n">
        <v>0</v>
      </c>
      <c r="P503" t="n">
        <v>0</v>
      </c>
      <c r="Q503" t="n">
        <v>0</v>
      </c>
      <c r="R503" s="2" t="inlineStr"/>
    </row>
    <row r="504" ht="15" customHeight="1">
      <c r="A504" t="inlineStr">
        <is>
          <t>A 59591-2025</t>
        </is>
      </c>
      <c r="B504" s="1" t="n">
        <v>45992</v>
      </c>
      <c r="C504" s="1" t="n">
        <v>46074</v>
      </c>
      <c r="D504" t="inlineStr">
        <is>
          <t>DALARNAS LÄN</t>
        </is>
      </c>
      <c r="E504" t="inlineStr">
        <is>
          <t>ÄLVDALEN</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48849-2022</t>
        </is>
      </c>
      <c r="B505" s="1" t="n">
        <v>44859</v>
      </c>
      <c r="C505" s="1" t="n">
        <v>46074</v>
      </c>
      <c r="D505" t="inlineStr">
        <is>
          <t>DALARNAS LÄN</t>
        </is>
      </c>
      <c r="E505" t="inlineStr">
        <is>
          <t>ÄLVDALEN</t>
        </is>
      </c>
      <c r="F505" t="inlineStr">
        <is>
          <t>Allmännings- och besparingsskogar</t>
        </is>
      </c>
      <c r="G505" t="n">
        <v>2.4</v>
      </c>
      <c r="H505" t="n">
        <v>0</v>
      </c>
      <c r="I505" t="n">
        <v>0</v>
      </c>
      <c r="J505" t="n">
        <v>0</v>
      </c>
      <c r="K505" t="n">
        <v>0</v>
      </c>
      <c r="L505" t="n">
        <v>0</v>
      </c>
      <c r="M505" t="n">
        <v>0</v>
      </c>
      <c r="N505" t="n">
        <v>0</v>
      </c>
      <c r="O505" t="n">
        <v>0</v>
      </c>
      <c r="P505" t="n">
        <v>0</v>
      </c>
      <c r="Q505" t="n">
        <v>0</v>
      </c>
      <c r="R505" s="2" t="inlineStr"/>
    </row>
    <row r="506" ht="15" customHeight="1">
      <c r="A506" t="inlineStr">
        <is>
          <t>A 2674-2026</t>
        </is>
      </c>
      <c r="B506" s="1" t="n">
        <v>46037.64707175926</v>
      </c>
      <c r="C506" s="1" t="n">
        <v>46074</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60292-2025</t>
        </is>
      </c>
      <c r="B507" s="1" t="n">
        <v>45994.65491898148</v>
      </c>
      <c r="C507" s="1" t="n">
        <v>46074</v>
      </c>
      <c r="D507" t="inlineStr">
        <is>
          <t>DALARNAS LÄN</t>
        </is>
      </c>
      <c r="E507" t="inlineStr">
        <is>
          <t>ÄLVDALEN</t>
        </is>
      </c>
      <c r="F507" t="inlineStr">
        <is>
          <t>Allmännings- och besparingsskogar</t>
        </is>
      </c>
      <c r="G507" t="n">
        <v>11.8</v>
      </c>
      <c r="H507" t="n">
        <v>0</v>
      </c>
      <c r="I507" t="n">
        <v>0</v>
      </c>
      <c r="J507" t="n">
        <v>0</v>
      </c>
      <c r="K507" t="n">
        <v>0</v>
      </c>
      <c r="L507" t="n">
        <v>0</v>
      </c>
      <c r="M507" t="n">
        <v>0</v>
      </c>
      <c r="N507" t="n">
        <v>0</v>
      </c>
      <c r="O507" t="n">
        <v>0</v>
      </c>
      <c r="P507" t="n">
        <v>0</v>
      </c>
      <c r="Q507" t="n">
        <v>0</v>
      </c>
      <c r="R507" s="2" t="inlineStr"/>
    </row>
    <row r="508" ht="15" customHeight="1">
      <c r="A508" t="inlineStr">
        <is>
          <t>A 15760-2024</t>
        </is>
      </c>
      <c r="B508" s="1" t="n">
        <v>45404</v>
      </c>
      <c r="C508" s="1" t="n">
        <v>46074</v>
      </c>
      <c r="D508" t="inlineStr">
        <is>
          <t>DALARNAS LÄN</t>
        </is>
      </c>
      <c r="E508" t="inlineStr">
        <is>
          <t>ÄLVDALEN</t>
        </is>
      </c>
      <c r="G508" t="n">
        <v>1.9</v>
      </c>
      <c r="H508" t="n">
        <v>0</v>
      </c>
      <c r="I508" t="n">
        <v>0</v>
      </c>
      <c r="J508" t="n">
        <v>0</v>
      </c>
      <c r="K508" t="n">
        <v>0</v>
      </c>
      <c r="L508" t="n">
        <v>0</v>
      </c>
      <c r="M508" t="n">
        <v>0</v>
      </c>
      <c r="N508" t="n">
        <v>0</v>
      </c>
      <c r="O508" t="n">
        <v>0</v>
      </c>
      <c r="P508" t="n">
        <v>0</v>
      </c>
      <c r="Q508" t="n">
        <v>0</v>
      </c>
      <c r="R508" s="2" t="inlineStr"/>
    </row>
    <row r="509" ht="15" customHeight="1">
      <c r="A509" t="inlineStr">
        <is>
          <t>A 2648-2026</t>
        </is>
      </c>
      <c r="B509" s="1" t="n">
        <v>46037.62459490741</v>
      </c>
      <c r="C509" s="1" t="n">
        <v>46074</v>
      </c>
      <c r="D509" t="inlineStr">
        <is>
          <t>DALARNAS LÄN</t>
        </is>
      </c>
      <c r="E509" t="inlineStr">
        <is>
          <t>ÄLVDALEN</t>
        </is>
      </c>
      <c r="G509" t="n">
        <v>6.6</v>
      </c>
      <c r="H509" t="n">
        <v>0</v>
      </c>
      <c r="I509" t="n">
        <v>0</v>
      </c>
      <c r="J509" t="n">
        <v>0</v>
      </c>
      <c r="K509" t="n">
        <v>0</v>
      </c>
      <c r="L509" t="n">
        <v>0</v>
      </c>
      <c r="M509" t="n">
        <v>0</v>
      </c>
      <c r="N509" t="n">
        <v>0</v>
      </c>
      <c r="O509" t="n">
        <v>0</v>
      </c>
      <c r="P509" t="n">
        <v>0</v>
      </c>
      <c r="Q509" t="n">
        <v>0</v>
      </c>
      <c r="R509" s="2" t="inlineStr"/>
    </row>
    <row r="510" ht="15" customHeight="1">
      <c r="A510" t="inlineStr">
        <is>
          <t>A 2932-2026</t>
        </is>
      </c>
      <c r="B510" s="1" t="n">
        <v>46038.58458333334</v>
      </c>
      <c r="C510" s="1" t="n">
        <v>46074</v>
      </c>
      <c r="D510" t="inlineStr">
        <is>
          <t>DALARNAS LÄN</t>
        </is>
      </c>
      <c r="E510" t="inlineStr">
        <is>
          <t>ÄLVDALEN</t>
        </is>
      </c>
      <c r="G510" t="n">
        <v>0.4</v>
      </c>
      <c r="H510" t="n">
        <v>0</v>
      </c>
      <c r="I510" t="n">
        <v>0</v>
      </c>
      <c r="J510" t="n">
        <v>0</v>
      </c>
      <c r="K510" t="n">
        <v>0</v>
      </c>
      <c r="L510" t="n">
        <v>0</v>
      </c>
      <c r="M510" t="n">
        <v>0</v>
      </c>
      <c r="N510" t="n">
        <v>0</v>
      </c>
      <c r="O510" t="n">
        <v>0</v>
      </c>
      <c r="P510" t="n">
        <v>0</v>
      </c>
      <c r="Q510" t="n">
        <v>0</v>
      </c>
      <c r="R510" s="2" t="inlineStr"/>
    </row>
    <row r="511" ht="15" customHeight="1">
      <c r="A511" t="inlineStr">
        <is>
          <t>A 39227-2024</t>
        </is>
      </c>
      <c r="B511" s="1" t="n">
        <v>45550.50548611111</v>
      </c>
      <c r="C511" s="1" t="n">
        <v>46074</v>
      </c>
      <c r="D511" t="inlineStr">
        <is>
          <t>DALARNAS LÄN</t>
        </is>
      </c>
      <c r="E511" t="inlineStr">
        <is>
          <t>ÄLVDALEN</t>
        </is>
      </c>
      <c r="G511" t="n">
        <v>0.2</v>
      </c>
      <c r="H511" t="n">
        <v>0</v>
      </c>
      <c r="I511" t="n">
        <v>0</v>
      </c>
      <c r="J511" t="n">
        <v>0</v>
      </c>
      <c r="K511" t="n">
        <v>0</v>
      </c>
      <c r="L511" t="n">
        <v>0</v>
      </c>
      <c r="M511" t="n">
        <v>0</v>
      </c>
      <c r="N511" t="n">
        <v>0</v>
      </c>
      <c r="O511" t="n">
        <v>0</v>
      </c>
      <c r="P511" t="n">
        <v>0</v>
      </c>
      <c r="Q511" t="n">
        <v>0</v>
      </c>
      <c r="R511" s="2" t="inlineStr"/>
    </row>
    <row r="512" ht="15" customHeight="1">
      <c r="A512" t="inlineStr">
        <is>
          <t>A 2906-2026</t>
        </is>
      </c>
      <c r="B512" s="1" t="n">
        <v>46038.56025462963</v>
      </c>
      <c r="C512" s="1" t="n">
        <v>46074</v>
      </c>
      <c r="D512" t="inlineStr">
        <is>
          <t>DALARNAS LÄN</t>
        </is>
      </c>
      <c r="E512" t="inlineStr">
        <is>
          <t>ÄLVDALEN</t>
        </is>
      </c>
      <c r="G512" t="n">
        <v>1.4</v>
      </c>
      <c r="H512" t="n">
        <v>0</v>
      </c>
      <c r="I512" t="n">
        <v>0</v>
      </c>
      <c r="J512" t="n">
        <v>0</v>
      </c>
      <c r="K512" t="n">
        <v>0</v>
      </c>
      <c r="L512" t="n">
        <v>0</v>
      </c>
      <c r="M512" t="n">
        <v>0</v>
      </c>
      <c r="N512" t="n">
        <v>0</v>
      </c>
      <c r="O512" t="n">
        <v>0</v>
      </c>
      <c r="P512" t="n">
        <v>0</v>
      </c>
      <c r="Q512" t="n">
        <v>0</v>
      </c>
      <c r="R512" s="2" t="inlineStr"/>
    </row>
    <row r="513" ht="15" customHeight="1">
      <c r="A513" t="inlineStr">
        <is>
          <t>A 2957-2026</t>
        </is>
      </c>
      <c r="B513" s="1" t="n">
        <v>46038.60658564815</v>
      </c>
      <c r="C513" s="1" t="n">
        <v>46074</v>
      </c>
      <c r="D513" t="inlineStr">
        <is>
          <t>DALARNAS LÄN</t>
        </is>
      </c>
      <c r="E513" t="inlineStr">
        <is>
          <t>ÄLVDALEN</t>
        </is>
      </c>
      <c r="G513" t="n">
        <v>0.8</v>
      </c>
      <c r="H513" t="n">
        <v>0</v>
      </c>
      <c r="I513" t="n">
        <v>0</v>
      </c>
      <c r="J513" t="n">
        <v>0</v>
      </c>
      <c r="K513" t="n">
        <v>0</v>
      </c>
      <c r="L513" t="n">
        <v>0</v>
      </c>
      <c r="M513" t="n">
        <v>0</v>
      </c>
      <c r="N513" t="n">
        <v>0</v>
      </c>
      <c r="O513" t="n">
        <v>0</v>
      </c>
      <c r="P513" t="n">
        <v>0</v>
      </c>
      <c r="Q513" t="n">
        <v>0</v>
      </c>
      <c r="R513" s="2" t="inlineStr"/>
    </row>
    <row r="514" ht="15" customHeight="1">
      <c r="A514" t="inlineStr">
        <is>
          <t>A 2914-2026</t>
        </is>
      </c>
      <c r="B514" s="1" t="n">
        <v>46038.56950231481</v>
      </c>
      <c r="C514" s="1" t="n">
        <v>46074</v>
      </c>
      <c r="D514" t="inlineStr">
        <is>
          <t>DALARNAS LÄN</t>
        </is>
      </c>
      <c r="E514" t="inlineStr">
        <is>
          <t>ÄLVDALEN</t>
        </is>
      </c>
      <c r="G514" t="n">
        <v>0.8</v>
      </c>
      <c r="H514" t="n">
        <v>0</v>
      </c>
      <c r="I514" t="n">
        <v>0</v>
      </c>
      <c r="J514" t="n">
        <v>0</v>
      </c>
      <c r="K514" t="n">
        <v>0</v>
      </c>
      <c r="L514" t="n">
        <v>0</v>
      </c>
      <c r="M514" t="n">
        <v>0</v>
      </c>
      <c r="N514" t="n">
        <v>0</v>
      </c>
      <c r="O514" t="n">
        <v>0</v>
      </c>
      <c r="P514" t="n">
        <v>0</v>
      </c>
      <c r="Q514" t="n">
        <v>0</v>
      </c>
      <c r="R514" s="2" t="inlineStr"/>
    </row>
    <row r="515" ht="15" customHeight="1">
      <c r="A515" t="inlineStr">
        <is>
          <t>A 2897-2026</t>
        </is>
      </c>
      <c r="B515" s="1" t="n">
        <v>46038.55563657408</v>
      </c>
      <c r="C515" s="1" t="n">
        <v>46074</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60672-2025</t>
        </is>
      </c>
      <c r="B516" s="1" t="n">
        <v>45996.53233796296</v>
      </c>
      <c r="C516" s="1" t="n">
        <v>46074</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3120-2026</t>
        </is>
      </c>
      <c r="B517" s="1" t="n">
        <v>46041.37177083334</v>
      </c>
      <c r="C517" s="1" t="n">
        <v>46074</v>
      </c>
      <c r="D517" t="inlineStr">
        <is>
          <t>DALARNAS LÄN</t>
        </is>
      </c>
      <c r="E517" t="inlineStr">
        <is>
          <t>ÄLVDALEN</t>
        </is>
      </c>
      <c r="G517" t="n">
        <v>2.4</v>
      </c>
      <c r="H517" t="n">
        <v>0</v>
      </c>
      <c r="I517" t="n">
        <v>0</v>
      </c>
      <c r="J517" t="n">
        <v>0</v>
      </c>
      <c r="K517" t="n">
        <v>0</v>
      </c>
      <c r="L517" t="n">
        <v>0</v>
      </c>
      <c r="M517" t="n">
        <v>0</v>
      </c>
      <c r="N517" t="n">
        <v>0</v>
      </c>
      <c r="O517" t="n">
        <v>0</v>
      </c>
      <c r="P517" t="n">
        <v>0</v>
      </c>
      <c r="Q517" t="n">
        <v>0</v>
      </c>
      <c r="R517" s="2" t="inlineStr"/>
    </row>
    <row r="518" ht="15" customHeight="1">
      <c r="A518" t="inlineStr">
        <is>
          <t>A 2788-2026</t>
        </is>
      </c>
      <c r="B518" s="1" t="n">
        <v>46038.39409722222</v>
      </c>
      <c r="C518" s="1" t="n">
        <v>46074</v>
      </c>
      <c r="D518" t="inlineStr">
        <is>
          <t>DALARNAS LÄN</t>
        </is>
      </c>
      <c r="E518" t="inlineStr">
        <is>
          <t>ÄLVDALEN</t>
        </is>
      </c>
      <c r="G518" t="n">
        <v>1.3</v>
      </c>
      <c r="H518" t="n">
        <v>0</v>
      </c>
      <c r="I518" t="n">
        <v>0</v>
      </c>
      <c r="J518" t="n">
        <v>0</v>
      </c>
      <c r="K518" t="n">
        <v>0</v>
      </c>
      <c r="L518" t="n">
        <v>0</v>
      </c>
      <c r="M518" t="n">
        <v>0</v>
      </c>
      <c r="N518" t="n">
        <v>0</v>
      </c>
      <c r="O518" t="n">
        <v>0</v>
      </c>
      <c r="P518" t="n">
        <v>0</v>
      </c>
      <c r="Q518" t="n">
        <v>0</v>
      </c>
      <c r="R518" s="2" t="inlineStr"/>
    </row>
    <row r="519" ht="15" customHeight="1">
      <c r="A519" t="inlineStr">
        <is>
          <t>A 2778-2026</t>
        </is>
      </c>
      <c r="B519" s="1" t="n">
        <v>46038.38387731482</v>
      </c>
      <c r="C519" s="1" t="n">
        <v>46074</v>
      </c>
      <c r="D519" t="inlineStr">
        <is>
          <t>DALARNAS LÄN</t>
        </is>
      </c>
      <c r="E519" t="inlineStr">
        <is>
          <t>ÄLVDALEN</t>
        </is>
      </c>
      <c r="G519" t="n">
        <v>3.9</v>
      </c>
      <c r="H519" t="n">
        <v>0</v>
      </c>
      <c r="I519" t="n">
        <v>0</v>
      </c>
      <c r="J519" t="n">
        <v>0</v>
      </c>
      <c r="K519" t="n">
        <v>0</v>
      </c>
      <c r="L519" t="n">
        <v>0</v>
      </c>
      <c r="M519" t="n">
        <v>0</v>
      </c>
      <c r="N519" t="n">
        <v>0</v>
      </c>
      <c r="O519" t="n">
        <v>0</v>
      </c>
      <c r="P519" t="n">
        <v>0</v>
      </c>
      <c r="Q519" t="n">
        <v>0</v>
      </c>
      <c r="R519" s="2" t="inlineStr"/>
    </row>
    <row r="520" ht="15" customHeight="1">
      <c r="A520" t="inlineStr">
        <is>
          <t>A 3124-2026</t>
        </is>
      </c>
      <c r="B520" s="1" t="n">
        <v>46041.37598379629</v>
      </c>
      <c r="C520" s="1" t="n">
        <v>46074</v>
      </c>
      <c r="D520" t="inlineStr">
        <is>
          <t>DALARNAS LÄN</t>
        </is>
      </c>
      <c r="E520" t="inlineStr">
        <is>
          <t>ÄLVDALEN</t>
        </is>
      </c>
      <c r="G520" t="n">
        <v>0.9</v>
      </c>
      <c r="H520" t="n">
        <v>0</v>
      </c>
      <c r="I520" t="n">
        <v>0</v>
      </c>
      <c r="J520" t="n">
        <v>0</v>
      </c>
      <c r="K520" t="n">
        <v>0</v>
      </c>
      <c r="L520" t="n">
        <v>0</v>
      </c>
      <c r="M520" t="n">
        <v>0</v>
      </c>
      <c r="N520" t="n">
        <v>0</v>
      </c>
      <c r="O520" t="n">
        <v>0</v>
      </c>
      <c r="P520" t="n">
        <v>0</v>
      </c>
      <c r="Q520" t="n">
        <v>0</v>
      </c>
      <c r="R520" s="2" t="inlineStr"/>
    </row>
    <row r="521" ht="15" customHeight="1">
      <c r="A521" t="inlineStr">
        <is>
          <t>A 2917-2026</t>
        </is>
      </c>
      <c r="B521" s="1" t="n">
        <v>46038.57403935185</v>
      </c>
      <c r="C521" s="1" t="n">
        <v>46074</v>
      </c>
      <c r="D521" t="inlineStr">
        <is>
          <t>DALARNAS LÄN</t>
        </is>
      </c>
      <c r="E521" t="inlineStr">
        <is>
          <t>ÄLVDALEN</t>
        </is>
      </c>
      <c r="G521" t="n">
        <v>4.6</v>
      </c>
      <c r="H521" t="n">
        <v>0</v>
      </c>
      <c r="I521" t="n">
        <v>0</v>
      </c>
      <c r="J521" t="n">
        <v>0</v>
      </c>
      <c r="K521" t="n">
        <v>0</v>
      </c>
      <c r="L521" t="n">
        <v>0</v>
      </c>
      <c r="M521" t="n">
        <v>0</v>
      </c>
      <c r="N521" t="n">
        <v>0</v>
      </c>
      <c r="O521" t="n">
        <v>0</v>
      </c>
      <c r="P521" t="n">
        <v>0</v>
      </c>
      <c r="Q521" t="n">
        <v>0</v>
      </c>
      <c r="R521" s="2" t="inlineStr"/>
    </row>
    <row r="522" ht="15" customHeight="1">
      <c r="A522" t="inlineStr">
        <is>
          <t>A 2921-2026</t>
        </is>
      </c>
      <c r="B522" s="1" t="n">
        <v>46038.57729166667</v>
      </c>
      <c r="C522" s="1" t="n">
        <v>46074</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54076-2024</t>
        </is>
      </c>
      <c r="B523" s="1" t="n">
        <v>45616</v>
      </c>
      <c r="C523" s="1" t="n">
        <v>46074</v>
      </c>
      <c r="D523" t="inlineStr">
        <is>
          <t>DALARNAS LÄN</t>
        </is>
      </c>
      <c r="E523" t="inlineStr">
        <is>
          <t>ÄLVDALEN</t>
        </is>
      </c>
      <c r="G523" t="n">
        <v>1.7</v>
      </c>
      <c r="H523" t="n">
        <v>0</v>
      </c>
      <c r="I523" t="n">
        <v>0</v>
      </c>
      <c r="J523" t="n">
        <v>0</v>
      </c>
      <c r="K523" t="n">
        <v>0</v>
      </c>
      <c r="L523" t="n">
        <v>0</v>
      </c>
      <c r="M523" t="n">
        <v>0</v>
      </c>
      <c r="N523" t="n">
        <v>0</v>
      </c>
      <c r="O523" t="n">
        <v>0</v>
      </c>
      <c r="P523" t="n">
        <v>0</v>
      </c>
      <c r="Q523" t="n">
        <v>0</v>
      </c>
      <c r="R523" s="2" t="inlineStr"/>
    </row>
    <row r="524" ht="15" customHeight="1">
      <c r="A524" t="inlineStr">
        <is>
          <t>A 2939-2026</t>
        </is>
      </c>
      <c r="B524" s="1" t="n">
        <v>46038.58866898148</v>
      </c>
      <c r="C524" s="1" t="n">
        <v>46074</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2927-2026</t>
        </is>
      </c>
      <c r="B525" s="1" t="n">
        <v>46038.58077546296</v>
      </c>
      <c r="C525" s="1" t="n">
        <v>46074</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3649-2026</t>
        </is>
      </c>
      <c r="B526" s="1" t="n">
        <v>46043.36797453704</v>
      </c>
      <c r="C526" s="1" t="n">
        <v>46074</v>
      </c>
      <c r="D526" t="inlineStr">
        <is>
          <t>DALARNAS LÄN</t>
        </is>
      </c>
      <c r="E526" t="inlineStr">
        <is>
          <t>ÄLVDALEN</t>
        </is>
      </c>
      <c r="G526" t="n">
        <v>3.6</v>
      </c>
      <c r="H526" t="n">
        <v>0</v>
      </c>
      <c r="I526" t="n">
        <v>0</v>
      </c>
      <c r="J526" t="n">
        <v>0</v>
      </c>
      <c r="K526" t="n">
        <v>0</v>
      </c>
      <c r="L526" t="n">
        <v>0</v>
      </c>
      <c r="M526" t="n">
        <v>0</v>
      </c>
      <c r="N526" t="n">
        <v>0</v>
      </c>
      <c r="O526" t="n">
        <v>0</v>
      </c>
      <c r="P526" t="n">
        <v>0</v>
      </c>
      <c r="Q526" t="n">
        <v>0</v>
      </c>
      <c r="R526" s="2" t="inlineStr"/>
    </row>
    <row r="527" ht="15" customHeight="1">
      <c r="A527" t="inlineStr">
        <is>
          <t>A 3859-2026</t>
        </is>
      </c>
      <c r="B527" s="1" t="n">
        <v>46043.6222337963</v>
      </c>
      <c r="C527" s="1" t="n">
        <v>46074</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61529-2025</t>
        </is>
      </c>
      <c r="B528" s="1" t="n">
        <v>46001.7033912037</v>
      </c>
      <c r="C528" s="1" t="n">
        <v>46074</v>
      </c>
      <c r="D528" t="inlineStr">
        <is>
          <t>DALARNAS LÄN</t>
        </is>
      </c>
      <c r="E528" t="inlineStr">
        <is>
          <t>ÄLVDALEN</t>
        </is>
      </c>
      <c r="G528" t="n">
        <v>3</v>
      </c>
      <c r="H528" t="n">
        <v>0</v>
      </c>
      <c r="I528" t="n">
        <v>0</v>
      </c>
      <c r="J528" t="n">
        <v>0</v>
      </c>
      <c r="K528" t="n">
        <v>0</v>
      </c>
      <c r="L528" t="n">
        <v>0</v>
      </c>
      <c r="M528" t="n">
        <v>0</v>
      </c>
      <c r="N528" t="n">
        <v>0</v>
      </c>
      <c r="O528" t="n">
        <v>0</v>
      </c>
      <c r="P528" t="n">
        <v>0</v>
      </c>
      <c r="Q528" t="n">
        <v>0</v>
      </c>
      <c r="R528" s="2" t="inlineStr"/>
    </row>
    <row r="529" ht="15" customHeight="1">
      <c r="A529" t="inlineStr">
        <is>
          <t>A 3390-2026</t>
        </is>
      </c>
      <c r="B529" s="1" t="n">
        <v>46042.37128472222</v>
      </c>
      <c r="C529" s="1" t="n">
        <v>46074</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3574-2026</t>
        </is>
      </c>
      <c r="B530" s="1" t="n">
        <v>46042.70995370371</v>
      </c>
      <c r="C530" s="1" t="n">
        <v>46074</v>
      </c>
      <c r="D530" t="inlineStr">
        <is>
          <t>DALARNAS LÄN</t>
        </is>
      </c>
      <c r="E530" t="inlineStr">
        <is>
          <t>ÄLVDALEN</t>
        </is>
      </c>
      <c r="G530" t="n">
        <v>1.7</v>
      </c>
      <c r="H530" t="n">
        <v>0</v>
      </c>
      <c r="I530" t="n">
        <v>0</v>
      </c>
      <c r="J530" t="n">
        <v>0</v>
      </c>
      <c r="K530" t="n">
        <v>0</v>
      </c>
      <c r="L530" t="n">
        <v>0</v>
      </c>
      <c r="M530" t="n">
        <v>0</v>
      </c>
      <c r="N530" t="n">
        <v>0</v>
      </c>
      <c r="O530" t="n">
        <v>0</v>
      </c>
      <c r="P530" t="n">
        <v>0</v>
      </c>
      <c r="Q530" t="n">
        <v>0</v>
      </c>
      <c r="R530" s="2" t="inlineStr"/>
    </row>
    <row r="531" ht="15" customHeight="1">
      <c r="A531" t="inlineStr">
        <is>
          <t>A 39010-2024</t>
        </is>
      </c>
      <c r="B531" s="1" t="n">
        <v>45548</v>
      </c>
      <c r="C531" s="1" t="n">
        <v>46074</v>
      </c>
      <c r="D531" t="inlineStr">
        <is>
          <t>DALARNAS LÄN</t>
        </is>
      </c>
      <c r="E531" t="inlineStr">
        <is>
          <t>ÄLVDALEN</t>
        </is>
      </c>
      <c r="G531" t="n">
        <v>1.7</v>
      </c>
      <c r="H531" t="n">
        <v>0</v>
      </c>
      <c r="I531" t="n">
        <v>0</v>
      </c>
      <c r="J531" t="n">
        <v>0</v>
      </c>
      <c r="K531" t="n">
        <v>0</v>
      </c>
      <c r="L531" t="n">
        <v>0</v>
      </c>
      <c r="M531" t="n">
        <v>0</v>
      </c>
      <c r="N531" t="n">
        <v>0</v>
      </c>
      <c r="O531" t="n">
        <v>0</v>
      </c>
      <c r="P531" t="n">
        <v>0</v>
      </c>
      <c r="Q531" t="n">
        <v>0</v>
      </c>
      <c r="R531" s="2" t="inlineStr"/>
    </row>
    <row r="532" ht="15" customHeight="1">
      <c r="A532" t="inlineStr">
        <is>
          <t>A 74322-2021</t>
        </is>
      </c>
      <c r="B532" s="1" t="n">
        <v>44558</v>
      </c>
      <c r="C532" s="1" t="n">
        <v>46074</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60265-2021</t>
        </is>
      </c>
      <c r="B533" s="1" t="n">
        <v>44495.68053240741</v>
      </c>
      <c r="C533" s="1" t="n">
        <v>46074</v>
      </c>
      <c r="D533" t="inlineStr">
        <is>
          <t>DALARNAS LÄN</t>
        </is>
      </c>
      <c r="E533" t="inlineStr">
        <is>
          <t>ÄLVDALEN</t>
        </is>
      </c>
      <c r="F533" t="inlineStr">
        <is>
          <t>Allmännings- och besparingsskogar</t>
        </is>
      </c>
      <c r="G533" t="n">
        <v>10</v>
      </c>
      <c r="H533" t="n">
        <v>0</v>
      </c>
      <c r="I533" t="n">
        <v>0</v>
      </c>
      <c r="J533" t="n">
        <v>0</v>
      </c>
      <c r="K533" t="n">
        <v>0</v>
      </c>
      <c r="L533" t="n">
        <v>0</v>
      </c>
      <c r="M533" t="n">
        <v>0</v>
      </c>
      <c r="N533" t="n">
        <v>0</v>
      </c>
      <c r="O533" t="n">
        <v>0</v>
      </c>
      <c r="P533" t="n">
        <v>0</v>
      </c>
      <c r="Q533" t="n">
        <v>0</v>
      </c>
      <c r="R533" s="2" t="inlineStr"/>
    </row>
    <row r="534" ht="15" customHeight="1">
      <c r="A534" t="inlineStr">
        <is>
          <t>A 3887-2026</t>
        </is>
      </c>
      <c r="B534" s="1" t="n">
        <v>46043.66733796296</v>
      </c>
      <c r="C534" s="1" t="n">
        <v>46074</v>
      </c>
      <c r="D534" t="inlineStr">
        <is>
          <t>DALARNAS LÄN</t>
        </is>
      </c>
      <c r="E534" t="inlineStr">
        <is>
          <t>ÄLVDALEN</t>
        </is>
      </c>
      <c r="G534" t="n">
        <v>0.7</v>
      </c>
      <c r="H534" t="n">
        <v>0</v>
      </c>
      <c r="I534" t="n">
        <v>0</v>
      </c>
      <c r="J534" t="n">
        <v>0</v>
      </c>
      <c r="K534" t="n">
        <v>0</v>
      </c>
      <c r="L534" t="n">
        <v>0</v>
      </c>
      <c r="M534" t="n">
        <v>0</v>
      </c>
      <c r="N534" t="n">
        <v>0</v>
      </c>
      <c r="O534" t="n">
        <v>0</v>
      </c>
      <c r="P534" t="n">
        <v>0</v>
      </c>
      <c r="Q534" t="n">
        <v>0</v>
      </c>
      <c r="R534" s="2" t="inlineStr"/>
    </row>
    <row r="535" ht="15" customHeight="1">
      <c r="A535" t="inlineStr">
        <is>
          <t>A 46800-2025</t>
        </is>
      </c>
      <c r="B535" s="1" t="n">
        <v>45926</v>
      </c>
      <c r="C535" s="1" t="n">
        <v>46074</v>
      </c>
      <c r="D535" t="inlineStr">
        <is>
          <t>DALARNAS LÄN</t>
        </is>
      </c>
      <c r="E535" t="inlineStr">
        <is>
          <t>ÄLVDALEN</t>
        </is>
      </c>
      <c r="F535" t="inlineStr">
        <is>
          <t>Allmännings- och besparingsskogar</t>
        </is>
      </c>
      <c r="G535" t="n">
        <v>0.8</v>
      </c>
      <c r="H535" t="n">
        <v>0</v>
      </c>
      <c r="I535" t="n">
        <v>0</v>
      </c>
      <c r="J535" t="n">
        <v>0</v>
      </c>
      <c r="K535" t="n">
        <v>0</v>
      </c>
      <c r="L535" t="n">
        <v>0</v>
      </c>
      <c r="M535" t="n">
        <v>0</v>
      </c>
      <c r="N535" t="n">
        <v>0</v>
      </c>
      <c r="O535" t="n">
        <v>0</v>
      </c>
      <c r="P535" t="n">
        <v>0</v>
      </c>
      <c r="Q535" t="n">
        <v>0</v>
      </c>
      <c r="R535" s="2" t="inlineStr"/>
      <c r="T535">
        <f>HYPERLINK("https://klasma.github.io/Logging_2039/kartor/A 46800-2025 karta.png", "A 46800-2025")</f>
        <v/>
      </c>
      <c r="V535">
        <f>HYPERLINK("https://klasma.github.io/Logging_2039/klagomål/A 46800-2025 FSC-klagomål.docx", "A 46800-2025")</f>
        <v/>
      </c>
      <c r="W535">
        <f>HYPERLINK("https://klasma.github.io/Logging_2039/klagomålsmail/A 46800-2025 FSC-klagomål mail.docx", "A 46800-2025")</f>
        <v/>
      </c>
      <c r="X535">
        <f>HYPERLINK("https://klasma.github.io/Logging_2039/tillsyn/A 46800-2025 tillsynsbegäran.docx", "A 46800-2025")</f>
        <v/>
      </c>
      <c r="Y535">
        <f>HYPERLINK("https://klasma.github.io/Logging_2039/tillsynsmail/A 46800-2025 tillsynsbegäran mail.docx", "A 46800-2025")</f>
        <v/>
      </c>
      <c r="Z535">
        <f>HYPERLINK("https://klasma.github.io/Logging_2039/fåglar/A 46800-2025 prioriterade fågelarter.docx", "A 46800-2025")</f>
        <v/>
      </c>
    </row>
    <row r="536" ht="15" customHeight="1">
      <c r="A536" t="inlineStr">
        <is>
          <t>A 14089-2022</t>
        </is>
      </c>
      <c r="B536" s="1" t="n">
        <v>44651</v>
      </c>
      <c r="C536" s="1" t="n">
        <v>46074</v>
      </c>
      <c r="D536" t="inlineStr">
        <is>
          <t>DALARNAS LÄN</t>
        </is>
      </c>
      <c r="E536" t="inlineStr">
        <is>
          <t>ÄLVDALEN</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3645-2026</t>
        </is>
      </c>
      <c r="B537" s="1" t="n">
        <v>46043.36129629629</v>
      </c>
      <c r="C537" s="1" t="n">
        <v>46074</v>
      </c>
      <c r="D537" t="inlineStr">
        <is>
          <t>DALARNAS LÄN</t>
        </is>
      </c>
      <c r="E537" t="inlineStr">
        <is>
          <t>ÄLVDALEN</t>
        </is>
      </c>
      <c r="G537" t="n">
        <v>3.2</v>
      </c>
      <c r="H537" t="n">
        <v>0</v>
      </c>
      <c r="I537" t="n">
        <v>0</v>
      </c>
      <c r="J537" t="n">
        <v>0</v>
      </c>
      <c r="K537" t="n">
        <v>0</v>
      </c>
      <c r="L537" t="n">
        <v>0</v>
      </c>
      <c r="M537" t="n">
        <v>0</v>
      </c>
      <c r="N537" t="n">
        <v>0</v>
      </c>
      <c r="O537" t="n">
        <v>0</v>
      </c>
      <c r="P537" t="n">
        <v>0</v>
      </c>
      <c r="Q537" t="n">
        <v>0</v>
      </c>
      <c r="R537" s="2" t="inlineStr"/>
    </row>
    <row r="538" ht="15" customHeight="1">
      <c r="A538" t="inlineStr">
        <is>
          <t>A 3654-2026</t>
        </is>
      </c>
      <c r="B538" s="1" t="n">
        <v>46043.37592592592</v>
      </c>
      <c r="C538" s="1" t="n">
        <v>46074</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61495-2025</t>
        </is>
      </c>
      <c r="B539" s="1" t="n">
        <v>46001.64834490741</v>
      </c>
      <c r="C539" s="1" t="n">
        <v>46074</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61477-2025</t>
        </is>
      </c>
      <c r="B540" s="1" t="n">
        <v>46001.62087962963</v>
      </c>
      <c r="C540" s="1" t="n">
        <v>46074</v>
      </c>
      <c r="D540" t="inlineStr">
        <is>
          <t>DALARNAS LÄN</t>
        </is>
      </c>
      <c r="E540" t="inlineStr">
        <is>
          <t>ÄLVDALEN</t>
        </is>
      </c>
      <c r="G540" t="n">
        <v>1.1</v>
      </c>
      <c r="H540" t="n">
        <v>0</v>
      </c>
      <c r="I540" t="n">
        <v>0</v>
      </c>
      <c r="J540" t="n">
        <v>0</v>
      </c>
      <c r="K540" t="n">
        <v>0</v>
      </c>
      <c r="L540" t="n">
        <v>0</v>
      </c>
      <c r="M540" t="n">
        <v>0</v>
      </c>
      <c r="N540" t="n">
        <v>0</v>
      </c>
      <c r="O540" t="n">
        <v>0</v>
      </c>
      <c r="P540" t="n">
        <v>0</v>
      </c>
      <c r="Q540" t="n">
        <v>0</v>
      </c>
      <c r="R540" s="2" t="inlineStr"/>
    </row>
    <row r="541" ht="15" customHeight="1">
      <c r="A541" t="inlineStr">
        <is>
          <t>A 3386-2026</t>
        </is>
      </c>
      <c r="B541" s="1" t="n">
        <v>46042.36486111111</v>
      </c>
      <c r="C541" s="1" t="n">
        <v>46074</v>
      </c>
      <c r="D541" t="inlineStr">
        <is>
          <t>DALARNAS LÄN</t>
        </is>
      </c>
      <c r="E541" t="inlineStr">
        <is>
          <t>ÄLVDALEN</t>
        </is>
      </c>
      <c r="G541" t="n">
        <v>2.5</v>
      </c>
      <c r="H541" t="n">
        <v>0</v>
      </c>
      <c r="I541" t="n">
        <v>0</v>
      </c>
      <c r="J541" t="n">
        <v>0</v>
      </c>
      <c r="K541" t="n">
        <v>0</v>
      </c>
      <c r="L541" t="n">
        <v>0</v>
      </c>
      <c r="M541" t="n">
        <v>0</v>
      </c>
      <c r="N541" t="n">
        <v>0</v>
      </c>
      <c r="O541" t="n">
        <v>0</v>
      </c>
      <c r="P541" t="n">
        <v>0</v>
      </c>
      <c r="Q541" t="n">
        <v>0</v>
      </c>
      <c r="R541" s="2" t="inlineStr"/>
    </row>
    <row r="542" ht="15" customHeight="1">
      <c r="A542" t="inlineStr">
        <is>
          <t>A 46011-2023</t>
        </is>
      </c>
      <c r="B542" s="1" t="n">
        <v>45196.38245370371</v>
      </c>
      <c r="C542" s="1" t="n">
        <v>46074</v>
      </c>
      <c r="D542" t="inlineStr">
        <is>
          <t>DALARNAS LÄN</t>
        </is>
      </c>
      <c r="E542" t="inlineStr">
        <is>
          <t>ÄLVDALEN</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4199-2026</t>
        </is>
      </c>
      <c r="B543" s="1" t="n">
        <v>46044.69938657407</v>
      </c>
      <c r="C543" s="1" t="n">
        <v>46074</v>
      </c>
      <c r="D543" t="inlineStr">
        <is>
          <t>DALARNAS LÄN</t>
        </is>
      </c>
      <c r="E543" t="inlineStr">
        <is>
          <t>ÄLVDALEN</t>
        </is>
      </c>
      <c r="G543" t="n">
        <v>1.2</v>
      </c>
      <c r="H543" t="n">
        <v>0</v>
      </c>
      <c r="I543" t="n">
        <v>0</v>
      </c>
      <c r="J543" t="n">
        <v>0</v>
      </c>
      <c r="K543" t="n">
        <v>0</v>
      </c>
      <c r="L543" t="n">
        <v>0</v>
      </c>
      <c r="M543" t="n">
        <v>0</v>
      </c>
      <c r="N543" t="n">
        <v>0</v>
      </c>
      <c r="O543" t="n">
        <v>0</v>
      </c>
      <c r="P543" t="n">
        <v>0</v>
      </c>
      <c r="Q543" t="n">
        <v>0</v>
      </c>
      <c r="R543" s="2" t="inlineStr"/>
    </row>
    <row r="544" ht="15" customHeight="1">
      <c r="A544" t="inlineStr">
        <is>
          <t>A 23999-2024</t>
        </is>
      </c>
      <c r="B544" s="1" t="n">
        <v>45456.37555555555</v>
      </c>
      <c r="C544" s="1" t="n">
        <v>46074</v>
      </c>
      <c r="D544" t="inlineStr">
        <is>
          <t>DALARNAS LÄN</t>
        </is>
      </c>
      <c r="E544" t="inlineStr">
        <is>
          <t>ÄLVDALEN</t>
        </is>
      </c>
      <c r="G544" t="n">
        <v>1</v>
      </c>
      <c r="H544" t="n">
        <v>0</v>
      </c>
      <c r="I544" t="n">
        <v>0</v>
      </c>
      <c r="J544" t="n">
        <v>0</v>
      </c>
      <c r="K544" t="n">
        <v>0</v>
      </c>
      <c r="L544" t="n">
        <v>0</v>
      </c>
      <c r="M544" t="n">
        <v>0</v>
      </c>
      <c r="N544" t="n">
        <v>0</v>
      </c>
      <c r="O544" t="n">
        <v>0</v>
      </c>
      <c r="P544" t="n">
        <v>0</v>
      </c>
      <c r="Q544" t="n">
        <v>0</v>
      </c>
      <c r="R544" s="2" t="inlineStr"/>
    </row>
    <row r="545" ht="15" customHeight="1">
      <c r="A545" t="inlineStr">
        <is>
          <t>A 24002-2024</t>
        </is>
      </c>
      <c r="B545" s="1" t="n">
        <v>45456.3827662037</v>
      </c>
      <c r="C545" s="1" t="n">
        <v>46074</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4023-2026</t>
        </is>
      </c>
      <c r="B546" s="1" t="n">
        <v>46044.42760416667</v>
      </c>
      <c r="C546" s="1" t="n">
        <v>46074</v>
      </c>
      <c r="D546" t="inlineStr">
        <is>
          <t>DALARNAS LÄN</t>
        </is>
      </c>
      <c r="E546" t="inlineStr">
        <is>
          <t>ÄLVDALEN</t>
        </is>
      </c>
      <c r="G546" t="n">
        <v>0.6</v>
      </c>
      <c r="H546" t="n">
        <v>0</v>
      </c>
      <c r="I546" t="n">
        <v>0</v>
      </c>
      <c r="J546" t="n">
        <v>0</v>
      </c>
      <c r="K546" t="n">
        <v>0</v>
      </c>
      <c r="L546" t="n">
        <v>0</v>
      </c>
      <c r="M546" t="n">
        <v>0</v>
      </c>
      <c r="N546" t="n">
        <v>0</v>
      </c>
      <c r="O546" t="n">
        <v>0</v>
      </c>
      <c r="P546" t="n">
        <v>0</v>
      </c>
      <c r="Q546" t="n">
        <v>0</v>
      </c>
      <c r="R546" s="2" t="inlineStr"/>
    </row>
    <row r="547" ht="15" customHeight="1">
      <c r="A547" t="inlineStr">
        <is>
          <t>A 4380-2024</t>
        </is>
      </c>
      <c r="B547" s="1" t="n">
        <v>45327</v>
      </c>
      <c r="C547" s="1" t="n">
        <v>46074</v>
      </c>
      <c r="D547" t="inlineStr">
        <is>
          <t>DALARNAS LÄN</t>
        </is>
      </c>
      <c r="E547" t="inlineStr">
        <is>
          <t>ÄLVDALEN</t>
        </is>
      </c>
      <c r="G547" t="n">
        <v>6.3</v>
      </c>
      <c r="H547" t="n">
        <v>0</v>
      </c>
      <c r="I547" t="n">
        <v>0</v>
      </c>
      <c r="J547" t="n">
        <v>0</v>
      </c>
      <c r="K547" t="n">
        <v>0</v>
      </c>
      <c r="L547" t="n">
        <v>0</v>
      </c>
      <c r="M547" t="n">
        <v>0</v>
      </c>
      <c r="N547" t="n">
        <v>0</v>
      </c>
      <c r="O547" t="n">
        <v>0</v>
      </c>
      <c r="P547" t="n">
        <v>0</v>
      </c>
      <c r="Q547" t="n">
        <v>0</v>
      </c>
      <c r="R547" s="2" t="inlineStr"/>
    </row>
    <row r="548" ht="15" customHeight="1">
      <c r="A548" t="inlineStr">
        <is>
          <t>A 30225-2023</t>
        </is>
      </c>
      <c r="B548" s="1" t="n">
        <v>45110.64971064815</v>
      </c>
      <c r="C548" s="1" t="n">
        <v>46074</v>
      </c>
      <c r="D548" t="inlineStr">
        <is>
          <t>DALARNAS LÄN</t>
        </is>
      </c>
      <c r="E548" t="inlineStr">
        <is>
          <t>ÄLVDALEN</t>
        </is>
      </c>
      <c r="F548" t="inlineStr">
        <is>
          <t>Allmännings- och besparingsskogar</t>
        </is>
      </c>
      <c r="G548" t="n">
        <v>0.6</v>
      </c>
      <c r="H548" t="n">
        <v>0</v>
      </c>
      <c r="I548" t="n">
        <v>0</v>
      </c>
      <c r="J548" t="n">
        <v>0</v>
      </c>
      <c r="K548" t="n">
        <v>0</v>
      </c>
      <c r="L548" t="n">
        <v>0</v>
      </c>
      <c r="M548" t="n">
        <v>0</v>
      </c>
      <c r="N548" t="n">
        <v>0</v>
      </c>
      <c r="O548" t="n">
        <v>0</v>
      </c>
      <c r="P548" t="n">
        <v>0</v>
      </c>
      <c r="Q548" t="n">
        <v>0</v>
      </c>
      <c r="R548" s="2" t="inlineStr"/>
    </row>
    <row r="549" ht="15" customHeight="1">
      <c r="A549" t="inlineStr">
        <is>
          <t>A 61589-2025</t>
        </is>
      </c>
      <c r="B549" s="1" t="n">
        <v>46002.34538194445</v>
      </c>
      <c r="C549" s="1" t="n">
        <v>46074</v>
      </c>
      <c r="D549" t="inlineStr">
        <is>
          <t>DALARNAS LÄN</t>
        </is>
      </c>
      <c r="E549" t="inlineStr">
        <is>
          <t>ÄLVDALEN</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61973-2025</t>
        </is>
      </c>
      <c r="B550" s="1" t="n">
        <v>46003.60017361111</v>
      </c>
      <c r="C550" s="1" t="n">
        <v>46074</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61971-2025</t>
        </is>
      </c>
      <c r="B551" s="1" t="n">
        <v>46003.59724537037</v>
      </c>
      <c r="C551" s="1" t="n">
        <v>46074</v>
      </c>
      <c r="D551" t="inlineStr">
        <is>
          <t>DALARNAS LÄN</t>
        </is>
      </c>
      <c r="E551" t="inlineStr">
        <is>
          <t>ÄLVDALEN</t>
        </is>
      </c>
      <c r="G551" t="n">
        <v>3.8</v>
      </c>
      <c r="H551" t="n">
        <v>0</v>
      </c>
      <c r="I551" t="n">
        <v>0</v>
      </c>
      <c r="J551" t="n">
        <v>0</v>
      </c>
      <c r="K551" t="n">
        <v>0</v>
      </c>
      <c r="L551" t="n">
        <v>0</v>
      </c>
      <c r="M551" t="n">
        <v>0</v>
      </c>
      <c r="N551" t="n">
        <v>0</v>
      </c>
      <c r="O551" t="n">
        <v>0</v>
      </c>
      <c r="P551" t="n">
        <v>0</v>
      </c>
      <c r="Q551" t="n">
        <v>0</v>
      </c>
      <c r="R551" s="2" t="inlineStr"/>
    </row>
    <row r="552" ht="15" customHeight="1">
      <c r="A552" t="inlineStr">
        <is>
          <t>A 1559-2026</t>
        </is>
      </c>
      <c r="B552" s="1" t="n">
        <v>46034.39206018519</v>
      </c>
      <c r="C552" s="1" t="n">
        <v>46074</v>
      </c>
      <c r="D552" t="inlineStr">
        <is>
          <t>DALARNAS LÄN</t>
        </is>
      </c>
      <c r="E552" t="inlineStr">
        <is>
          <t>ÄLVDALEN</t>
        </is>
      </c>
      <c r="G552" t="n">
        <v>0.7</v>
      </c>
      <c r="H552" t="n">
        <v>0</v>
      </c>
      <c r="I552" t="n">
        <v>0</v>
      </c>
      <c r="J552" t="n">
        <v>0</v>
      </c>
      <c r="K552" t="n">
        <v>0</v>
      </c>
      <c r="L552" t="n">
        <v>0</v>
      </c>
      <c r="M552" t="n">
        <v>0</v>
      </c>
      <c r="N552" t="n">
        <v>0</v>
      </c>
      <c r="O552" t="n">
        <v>0</v>
      </c>
      <c r="P552" t="n">
        <v>0</v>
      </c>
      <c r="Q552" t="n">
        <v>0</v>
      </c>
      <c r="R552" s="2" t="inlineStr"/>
    </row>
    <row r="553" ht="15" customHeight="1">
      <c r="A553" t="inlineStr">
        <is>
          <t>A 62106-2025</t>
        </is>
      </c>
      <c r="B553" s="1" t="n">
        <v>46006.42576388889</v>
      </c>
      <c r="C553" s="1" t="n">
        <v>46074</v>
      </c>
      <c r="D553" t="inlineStr">
        <is>
          <t>DALARNAS LÄN</t>
        </is>
      </c>
      <c r="E553" t="inlineStr">
        <is>
          <t>ÄLVDALEN</t>
        </is>
      </c>
      <c r="G553" t="n">
        <v>2.8</v>
      </c>
      <c r="H553" t="n">
        <v>0</v>
      </c>
      <c r="I553" t="n">
        <v>0</v>
      </c>
      <c r="J553" t="n">
        <v>0</v>
      </c>
      <c r="K553" t="n">
        <v>0</v>
      </c>
      <c r="L553" t="n">
        <v>0</v>
      </c>
      <c r="M553" t="n">
        <v>0</v>
      </c>
      <c r="N553" t="n">
        <v>0</v>
      </c>
      <c r="O553" t="n">
        <v>0</v>
      </c>
      <c r="P553" t="n">
        <v>0</v>
      </c>
      <c r="Q553" t="n">
        <v>0</v>
      </c>
      <c r="R553" s="2" t="inlineStr"/>
    </row>
    <row r="554" ht="15" customHeight="1">
      <c r="A554" t="inlineStr">
        <is>
          <t>A 22847-2023</t>
        </is>
      </c>
      <c r="B554" s="1" t="n">
        <v>45072</v>
      </c>
      <c r="C554" s="1" t="n">
        <v>46074</v>
      </c>
      <c r="D554" t="inlineStr">
        <is>
          <t>DALARNAS LÄN</t>
        </is>
      </c>
      <c r="E554" t="inlineStr">
        <is>
          <t>ÄLVDALEN</t>
        </is>
      </c>
      <c r="F554" t="inlineStr">
        <is>
          <t>Bergvik skog väst AB</t>
        </is>
      </c>
      <c r="G554" t="n">
        <v>8.1</v>
      </c>
      <c r="H554" t="n">
        <v>0</v>
      </c>
      <c r="I554" t="n">
        <v>0</v>
      </c>
      <c r="J554" t="n">
        <v>0</v>
      </c>
      <c r="K554" t="n">
        <v>0</v>
      </c>
      <c r="L554" t="n">
        <v>0</v>
      </c>
      <c r="M554" t="n">
        <v>0</v>
      </c>
      <c r="N554" t="n">
        <v>0</v>
      </c>
      <c r="O554" t="n">
        <v>0</v>
      </c>
      <c r="P554" t="n">
        <v>0</v>
      </c>
      <c r="Q554" t="n">
        <v>0</v>
      </c>
      <c r="R554" s="2" t="inlineStr"/>
    </row>
    <row r="555" ht="15" customHeight="1">
      <c r="A555" t="inlineStr">
        <is>
          <t>A 1554-2026</t>
        </is>
      </c>
      <c r="B555" s="1" t="n">
        <v>46034.38818287037</v>
      </c>
      <c r="C555" s="1" t="n">
        <v>46074</v>
      </c>
      <c r="D555" t="inlineStr">
        <is>
          <t>DALARNAS LÄN</t>
        </is>
      </c>
      <c r="E555" t="inlineStr">
        <is>
          <t>ÄLVDALEN</t>
        </is>
      </c>
      <c r="G555" t="n">
        <v>2.2</v>
      </c>
      <c r="H555" t="n">
        <v>0</v>
      </c>
      <c r="I555" t="n">
        <v>0</v>
      </c>
      <c r="J555" t="n">
        <v>0</v>
      </c>
      <c r="K555" t="n">
        <v>0</v>
      </c>
      <c r="L555" t="n">
        <v>0</v>
      </c>
      <c r="M555" t="n">
        <v>0</v>
      </c>
      <c r="N555" t="n">
        <v>0</v>
      </c>
      <c r="O555" t="n">
        <v>0</v>
      </c>
      <c r="P555" t="n">
        <v>0</v>
      </c>
      <c r="Q555" t="n">
        <v>0</v>
      </c>
      <c r="R555" s="2" t="inlineStr"/>
    </row>
    <row r="556" ht="15" customHeight="1">
      <c r="A556" t="inlineStr">
        <is>
          <t>A 63107-2025</t>
        </is>
      </c>
      <c r="B556" s="1" t="n">
        <v>46009.72113425926</v>
      </c>
      <c r="C556" s="1" t="n">
        <v>46074</v>
      </c>
      <c r="D556" t="inlineStr">
        <is>
          <t>DALARNAS LÄN</t>
        </is>
      </c>
      <c r="E556" t="inlineStr">
        <is>
          <t>ÄLVDALEN</t>
        </is>
      </c>
      <c r="G556" t="n">
        <v>4.6</v>
      </c>
      <c r="H556" t="n">
        <v>0</v>
      </c>
      <c r="I556" t="n">
        <v>0</v>
      </c>
      <c r="J556" t="n">
        <v>0</v>
      </c>
      <c r="K556" t="n">
        <v>0</v>
      </c>
      <c r="L556" t="n">
        <v>0</v>
      </c>
      <c r="M556" t="n">
        <v>0</v>
      </c>
      <c r="N556" t="n">
        <v>0</v>
      </c>
      <c r="O556" t="n">
        <v>0</v>
      </c>
      <c r="P556" t="n">
        <v>0</v>
      </c>
      <c r="Q556" t="n">
        <v>0</v>
      </c>
      <c r="R556" s="2" t="inlineStr"/>
    </row>
    <row r="557" ht="15" customHeight="1">
      <c r="A557" t="inlineStr">
        <is>
          <t>A 59478-2024</t>
        </is>
      </c>
      <c r="B557" s="1" t="n">
        <v>45638.52181712963</v>
      </c>
      <c r="C557" s="1" t="n">
        <v>46074</v>
      </c>
      <c r="D557" t="inlineStr">
        <is>
          <t>DALARNAS LÄN</t>
        </is>
      </c>
      <c r="E557" t="inlineStr">
        <is>
          <t>ÄLVDALEN</t>
        </is>
      </c>
      <c r="F557" t="inlineStr">
        <is>
          <t>Allmännings- och besparingsskogar</t>
        </is>
      </c>
      <c r="G557" t="n">
        <v>6.9</v>
      </c>
      <c r="H557" t="n">
        <v>0</v>
      </c>
      <c r="I557" t="n">
        <v>0</v>
      </c>
      <c r="J557" t="n">
        <v>0</v>
      </c>
      <c r="K557" t="n">
        <v>0</v>
      </c>
      <c r="L557" t="n">
        <v>0</v>
      </c>
      <c r="M557" t="n">
        <v>0</v>
      </c>
      <c r="N557" t="n">
        <v>0</v>
      </c>
      <c r="O557" t="n">
        <v>0</v>
      </c>
      <c r="P557" t="n">
        <v>0</v>
      </c>
      <c r="Q557" t="n">
        <v>0</v>
      </c>
      <c r="R557" s="2" t="inlineStr"/>
    </row>
    <row r="558" ht="15" customHeight="1">
      <c r="A558" t="inlineStr">
        <is>
          <t>A 771-2025</t>
        </is>
      </c>
      <c r="B558" s="1" t="n">
        <v>45665.46518518519</v>
      </c>
      <c r="C558" s="1" t="n">
        <v>46074</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6791-2025</t>
        </is>
      </c>
      <c r="B559" s="1" t="n">
        <v>45700.66315972222</v>
      </c>
      <c r="C559" s="1" t="n">
        <v>46074</v>
      </c>
      <c r="D559" t="inlineStr">
        <is>
          <t>DALARNAS LÄN</t>
        </is>
      </c>
      <c r="E559" t="inlineStr">
        <is>
          <t>ÄLVDALEN</t>
        </is>
      </c>
      <c r="G559" t="n">
        <v>30.2</v>
      </c>
      <c r="H559" t="n">
        <v>0</v>
      </c>
      <c r="I559" t="n">
        <v>0</v>
      </c>
      <c r="J559" t="n">
        <v>0</v>
      </c>
      <c r="K559" t="n">
        <v>0</v>
      </c>
      <c r="L559" t="n">
        <v>0</v>
      </c>
      <c r="M559" t="n">
        <v>0</v>
      </c>
      <c r="N559" t="n">
        <v>0</v>
      </c>
      <c r="O559" t="n">
        <v>0</v>
      </c>
      <c r="P559" t="n">
        <v>0</v>
      </c>
      <c r="Q559" t="n">
        <v>0</v>
      </c>
      <c r="R559" s="2" t="inlineStr"/>
    </row>
    <row r="560" ht="15" customHeight="1">
      <c r="A560" t="inlineStr">
        <is>
          <t>A 46927-2024</t>
        </is>
      </c>
      <c r="B560" s="1" t="n">
        <v>45584.69063657407</v>
      </c>
      <c r="C560" s="1" t="n">
        <v>46074</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29713-2022</t>
        </is>
      </c>
      <c r="B561" s="1" t="n">
        <v>44755</v>
      </c>
      <c r="C561" s="1" t="n">
        <v>46074</v>
      </c>
      <c r="D561" t="inlineStr">
        <is>
          <t>DALARNAS LÄN</t>
        </is>
      </c>
      <c r="E561" t="inlineStr">
        <is>
          <t>ÄLVDALEN</t>
        </is>
      </c>
      <c r="G561" t="n">
        <v>2.8</v>
      </c>
      <c r="H561" t="n">
        <v>0</v>
      </c>
      <c r="I561" t="n">
        <v>0</v>
      </c>
      <c r="J561" t="n">
        <v>0</v>
      </c>
      <c r="K561" t="n">
        <v>0</v>
      </c>
      <c r="L561" t="n">
        <v>0</v>
      </c>
      <c r="M561" t="n">
        <v>0</v>
      </c>
      <c r="N561" t="n">
        <v>0</v>
      </c>
      <c r="O561" t="n">
        <v>0</v>
      </c>
      <c r="P561" t="n">
        <v>0</v>
      </c>
      <c r="Q561" t="n">
        <v>0</v>
      </c>
      <c r="R561" s="2" t="inlineStr"/>
    </row>
    <row r="562" ht="15" customHeight="1">
      <c r="A562" t="inlineStr">
        <is>
          <t>A 52107-2022</t>
        </is>
      </c>
      <c r="B562" s="1" t="n">
        <v>44873.41295138889</v>
      </c>
      <c r="C562" s="1" t="n">
        <v>46074</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63525-2025</t>
        </is>
      </c>
      <c r="B563" s="1" t="n">
        <v>46013.54934027778</v>
      </c>
      <c r="C563" s="1" t="n">
        <v>46074</v>
      </c>
      <c r="D563" t="inlineStr">
        <is>
          <t>DALARNAS LÄN</t>
        </is>
      </c>
      <c r="E563" t="inlineStr">
        <is>
          <t>ÄLVDALEN</t>
        </is>
      </c>
      <c r="G563" t="n">
        <v>2.9</v>
      </c>
      <c r="H563" t="n">
        <v>0</v>
      </c>
      <c r="I563" t="n">
        <v>0</v>
      </c>
      <c r="J563" t="n">
        <v>0</v>
      </c>
      <c r="K563" t="n">
        <v>0</v>
      </c>
      <c r="L563" t="n">
        <v>0</v>
      </c>
      <c r="M563" t="n">
        <v>0</v>
      </c>
      <c r="N563" t="n">
        <v>0</v>
      </c>
      <c r="O563" t="n">
        <v>0</v>
      </c>
      <c r="P563" t="n">
        <v>0</v>
      </c>
      <c r="Q563" t="n">
        <v>0</v>
      </c>
      <c r="R563" s="2" t="inlineStr"/>
    </row>
    <row r="564" ht="15" customHeight="1">
      <c r="A564" t="inlineStr">
        <is>
          <t>A 56222-2023</t>
        </is>
      </c>
      <c r="B564" s="1" t="n">
        <v>45240</v>
      </c>
      <c r="C564" s="1" t="n">
        <v>46074</v>
      </c>
      <c r="D564" t="inlineStr">
        <is>
          <t>DALARNAS LÄN</t>
        </is>
      </c>
      <c r="E564" t="inlineStr">
        <is>
          <t>ÄLVDALEN</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56224-2023</t>
        </is>
      </c>
      <c r="B565" s="1" t="n">
        <v>45240</v>
      </c>
      <c r="C565" s="1" t="n">
        <v>46074</v>
      </c>
      <c r="D565" t="inlineStr">
        <is>
          <t>DALARNAS LÄN</t>
        </is>
      </c>
      <c r="E565" t="inlineStr">
        <is>
          <t>ÄLVDALEN</t>
        </is>
      </c>
      <c r="F565" t="inlineStr">
        <is>
          <t>Övriga Aktiebolag</t>
        </is>
      </c>
      <c r="G565" t="n">
        <v>10.9</v>
      </c>
      <c r="H565" t="n">
        <v>0</v>
      </c>
      <c r="I565" t="n">
        <v>0</v>
      </c>
      <c r="J565" t="n">
        <v>0</v>
      </c>
      <c r="K565" t="n">
        <v>0</v>
      </c>
      <c r="L565" t="n">
        <v>0</v>
      </c>
      <c r="M565" t="n">
        <v>0</v>
      </c>
      <c r="N565" t="n">
        <v>0</v>
      </c>
      <c r="O565" t="n">
        <v>0</v>
      </c>
      <c r="P565" t="n">
        <v>0</v>
      </c>
      <c r="Q565" t="n">
        <v>0</v>
      </c>
      <c r="R565" s="2" t="inlineStr"/>
    </row>
    <row r="566" ht="15" customHeight="1">
      <c r="A566" t="inlineStr">
        <is>
          <t>A 6098-2026</t>
        </is>
      </c>
      <c r="B566" s="1" t="n">
        <v>46052.74193287037</v>
      </c>
      <c r="C566" s="1" t="n">
        <v>46074</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5875-2026</t>
        </is>
      </c>
      <c r="B567" s="1" t="n">
        <v>46052.37825231482</v>
      </c>
      <c r="C567" s="1" t="n">
        <v>46074</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62355-2022</t>
        </is>
      </c>
      <c r="B568" s="1" t="n">
        <v>44923</v>
      </c>
      <c r="C568" s="1" t="n">
        <v>46074</v>
      </c>
      <c r="D568" t="inlineStr">
        <is>
          <t>DALARNAS LÄN</t>
        </is>
      </c>
      <c r="E568" t="inlineStr">
        <is>
          <t>ÄLVDALEN</t>
        </is>
      </c>
      <c r="G568" t="n">
        <v>4.3</v>
      </c>
      <c r="H568" t="n">
        <v>0</v>
      </c>
      <c r="I568" t="n">
        <v>0</v>
      </c>
      <c r="J568" t="n">
        <v>0</v>
      </c>
      <c r="K568" t="n">
        <v>0</v>
      </c>
      <c r="L568" t="n">
        <v>0</v>
      </c>
      <c r="M568" t="n">
        <v>0</v>
      </c>
      <c r="N568" t="n">
        <v>0</v>
      </c>
      <c r="O568" t="n">
        <v>0</v>
      </c>
      <c r="P568" t="n">
        <v>0</v>
      </c>
      <c r="Q568" t="n">
        <v>0</v>
      </c>
      <c r="R568" s="2" t="inlineStr"/>
    </row>
    <row r="569" ht="15" customHeight="1">
      <c r="A569" t="inlineStr">
        <is>
          <t>A 6820-2026</t>
        </is>
      </c>
      <c r="B569" s="1" t="n">
        <v>46057.38668981481</v>
      </c>
      <c r="C569" s="1" t="n">
        <v>46074</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63601-2025</t>
        </is>
      </c>
      <c r="B570" s="1" t="n">
        <v>46014.31347222222</v>
      </c>
      <c r="C570" s="1" t="n">
        <v>46074</v>
      </c>
      <c r="D570" t="inlineStr">
        <is>
          <t>DALARNAS LÄN</t>
        </is>
      </c>
      <c r="E570" t="inlineStr">
        <is>
          <t>ÄLVDALEN</t>
        </is>
      </c>
      <c r="G570" t="n">
        <v>0.6</v>
      </c>
      <c r="H570" t="n">
        <v>0</v>
      </c>
      <c r="I570" t="n">
        <v>0</v>
      </c>
      <c r="J570" t="n">
        <v>0</v>
      </c>
      <c r="K570" t="n">
        <v>0</v>
      </c>
      <c r="L570" t="n">
        <v>0</v>
      </c>
      <c r="M570" t="n">
        <v>0</v>
      </c>
      <c r="N570" t="n">
        <v>0</v>
      </c>
      <c r="O570" t="n">
        <v>0</v>
      </c>
      <c r="P570" t="n">
        <v>0</v>
      </c>
      <c r="Q570" t="n">
        <v>0</v>
      </c>
      <c r="R570" s="2" t="inlineStr"/>
    </row>
    <row r="571" ht="15" customHeight="1">
      <c r="A571" t="inlineStr">
        <is>
          <t>A 7021-2026</t>
        </is>
      </c>
      <c r="B571" s="1" t="n">
        <v>46057.65300925926</v>
      </c>
      <c r="C571" s="1" t="n">
        <v>46074</v>
      </c>
      <c r="D571" t="inlineStr">
        <is>
          <t>DALARNAS LÄN</t>
        </is>
      </c>
      <c r="E571" t="inlineStr">
        <is>
          <t>ÄLVDALEN</t>
        </is>
      </c>
      <c r="G571" t="n">
        <v>21.6</v>
      </c>
      <c r="H571" t="n">
        <v>0</v>
      </c>
      <c r="I571" t="n">
        <v>0</v>
      </c>
      <c r="J571" t="n">
        <v>0</v>
      </c>
      <c r="K571" t="n">
        <v>0</v>
      </c>
      <c r="L571" t="n">
        <v>0</v>
      </c>
      <c r="M571" t="n">
        <v>0</v>
      </c>
      <c r="N571" t="n">
        <v>0</v>
      </c>
      <c r="O571" t="n">
        <v>0</v>
      </c>
      <c r="P571" t="n">
        <v>0</v>
      </c>
      <c r="Q571" t="n">
        <v>0</v>
      </c>
      <c r="R571" s="2" t="inlineStr"/>
    </row>
    <row r="572" ht="15" customHeight="1">
      <c r="A572" t="inlineStr">
        <is>
          <t>A 32187-2024</t>
        </is>
      </c>
      <c r="B572" s="1" t="n">
        <v>45511.64925925926</v>
      </c>
      <c r="C572" s="1" t="n">
        <v>46074</v>
      </c>
      <c r="D572" t="inlineStr">
        <is>
          <t>DALARNAS LÄN</t>
        </is>
      </c>
      <c r="E572" t="inlineStr">
        <is>
          <t>ÄLVDALEN</t>
        </is>
      </c>
      <c r="F572" t="inlineStr">
        <is>
          <t>Allmännings- och besparingsskogar</t>
        </is>
      </c>
      <c r="G572" t="n">
        <v>20</v>
      </c>
      <c r="H572" t="n">
        <v>0</v>
      </c>
      <c r="I572" t="n">
        <v>0</v>
      </c>
      <c r="J572" t="n">
        <v>0</v>
      </c>
      <c r="K572" t="n">
        <v>0</v>
      </c>
      <c r="L572" t="n">
        <v>0</v>
      </c>
      <c r="M572" t="n">
        <v>0</v>
      </c>
      <c r="N572" t="n">
        <v>0</v>
      </c>
      <c r="O572" t="n">
        <v>0</v>
      </c>
      <c r="P572" t="n">
        <v>0</v>
      </c>
      <c r="Q572" t="n">
        <v>0</v>
      </c>
      <c r="R572" s="2" t="inlineStr"/>
    </row>
    <row r="573" ht="15" customHeight="1">
      <c r="A573" t="inlineStr">
        <is>
          <t>A 6847-2026</t>
        </is>
      </c>
      <c r="B573" s="1" t="n">
        <v>46057.42493055556</v>
      </c>
      <c r="C573" s="1" t="n">
        <v>46074</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19587-2025</t>
        </is>
      </c>
      <c r="B574" s="1" t="n">
        <v>45770.56820601852</v>
      </c>
      <c r="C574" s="1" t="n">
        <v>46074</v>
      </c>
      <c r="D574" t="inlineStr">
        <is>
          <t>DALARNAS LÄN</t>
        </is>
      </c>
      <c r="E574" t="inlineStr">
        <is>
          <t>ÄLVDALEN</t>
        </is>
      </c>
      <c r="F574" t="inlineStr">
        <is>
          <t>Allmännings- och besparingsskogar</t>
        </is>
      </c>
      <c r="G574" t="n">
        <v>1.4</v>
      </c>
      <c r="H574" t="n">
        <v>0</v>
      </c>
      <c r="I574" t="n">
        <v>0</v>
      </c>
      <c r="J574" t="n">
        <v>0</v>
      </c>
      <c r="K574" t="n">
        <v>0</v>
      </c>
      <c r="L574" t="n">
        <v>0</v>
      </c>
      <c r="M574" t="n">
        <v>0</v>
      </c>
      <c r="N574" t="n">
        <v>0</v>
      </c>
      <c r="O574" t="n">
        <v>0</v>
      </c>
      <c r="P574" t="n">
        <v>0</v>
      </c>
      <c r="Q574" t="n">
        <v>0</v>
      </c>
      <c r="R574" s="2" t="inlineStr"/>
    </row>
    <row r="575" ht="15" customHeight="1">
      <c r="A575" t="inlineStr">
        <is>
          <t>A 51058-2025</t>
        </is>
      </c>
      <c r="B575" s="1" t="n">
        <v>45947</v>
      </c>
      <c r="C575" s="1" t="n">
        <v>46074</v>
      </c>
      <c r="D575" t="inlineStr">
        <is>
          <t>DALARNAS LÄN</t>
        </is>
      </c>
      <c r="E575" t="inlineStr">
        <is>
          <t>ÄLVDALEN</t>
        </is>
      </c>
      <c r="G575" t="n">
        <v>3.8</v>
      </c>
      <c r="H575" t="n">
        <v>0</v>
      </c>
      <c r="I575" t="n">
        <v>0</v>
      </c>
      <c r="J575" t="n">
        <v>0</v>
      </c>
      <c r="K575" t="n">
        <v>0</v>
      </c>
      <c r="L575" t="n">
        <v>0</v>
      </c>
      <c r="M575" t="n">
        <v>0</v>
      </c>
      <c r="N575" t="n">
        <v>0</v>
      </c>
      <c r="O575" t="n">
        <v>0</v>
      </c>
      <c r="P575" t="n">
        <v>0</v>
      </c>
      <c r="Q575" t="n">
        <v>0</v>
      </c>
      <c r="R575" s="2" t="inlineStr"/>
    </row>
    <row r="576" ht="15" customHeight="1">
      <c r="A576" t="inlineStr">
        <is>
          <t>A 57821-2023</t>
        </is>
      </c>
      <c r="B576" s="1" t="n">
        <v>45247</v>
      </c>
      <c r="C576" s="1" t="n">
        <v>46074</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6823-2026</t>
        </is>
      </c>
      <c r="B577" s="1" t="n">
        <v>46057.39158564815</v>
      </c>
      <c r="C577" s="1" t="n">
        <v>46074</v>
      </c>
      <c r="D577" t="inlineStr">
        <is>
          <t>DALARNAS LÄN</t>
        </is>
      </c>
      <c r="E577" t="inlineStr">
        <is>
          <t>ÄLVDALEN</t>
        </is>
      </c>
      <c r="G577" t="n">
        <v>3.9</v>
      </c>
      <c r="H577" t="n">
        <v>0</v>
      </c>
      <c r="I577" t="n">
        <v>0</v>
      </c>
      <c r="J577" t="n">
        <v>0</v>
      </c>
      <c r="K577" t="n">
        <v>0</v>
      </c>
      <c r="L577" t="n">
        <v>0</v>
      </c>
      <c r="M577" t="n">
        <v>0</v>
      </c>
      <c r="N577" t="n">
        <v>0</v>
      </c>
      <c r="O577" t="n">
        <v>0</v>
      </c>
      <c r="P577" t="n">
        <v>0</v>
      </c>
      <c r="Q577" t="n">
        <v>0</v>
      </c>
      <c r="R577" s="2" t="inlineStr"/>
    </row>
    <row r="578" ht="15" customHeight="1">
      <c r="A578" t="inlineStr">
        <is>
          <t>A 6936-2026</t>
        </is>
      </c>
      <c r="B578" s="1" t="n">
        <v>46057.55954861111</v>
      </c>
      <c r="C578" s="1" t="n">
        <v>46074</v>
      </c>
      <c r="D578" t="inlineStr">
        <is>
          <t>DALARNAS LÄN</t>
        </is>
      </c>
      <c r="E578" t="inlineStr">
        <is>
          <t>ÄLVDALEN</t>
        </is>
      </c>
      <c r="G578" t="n">
        <v>1.1</v>
      </c>
      <c r="H578" t="n">
        <v>0</v>
      </c>
      <c r="I578" t="n">
        <v>0</v>
      </c>
      <c r="J578" t="n">
        <v>0</v>
      </c>
      <c r="K578" t="n">
        <v>0</v>
      </c>
      <c r="L578" t="n">
        <v>0</v>
      </c>
      <c r="M578" t="n">
        <v>0</v>
      </c>
      <c r="N578" t="n">
        <v>0</v>
      </c>
      <c r="O578" t="n">
        <v>0</v>
      </c>
      <c r="P578" t="n">
        <v>0</v>
      </c>
      <c r="Q578" t="n">
        <v>0</v>
      </c>
      <c r="R578" s="2" t="inlineStr"/>
    </row>
    <row r="579" ht="15" customHeight="1">
      <c r="A579" t="inlineStr">
        <is>
          <t>A 45167-2022</t>
        </is>
      </c>
      <c r="B579" s="1" t="n">
        <v>44844</v>
      </c>
      <c r="C579" s="1" t="n">
        <v>46074</v>
      </c>
      <c r="D579" t="inlineStr">
        <is>
          <t>DALARNAS LÄN</t>
        </is>
      </c>
      <c r="E579" t="inlineStr">
        <is>
          <t>ÄLVDALEN</t>
        </is>
      </c>
      <c r="G579" t="n">
        <v>1.2</v>
      </c>
      <c r="H579" t="n">
        <v>0</v>
      </c>
      <c r="I579" t="n">
        <v>0</v>
      </c>
      <c r="J579" t="n">
        <v>0</v>
      </c>
      <c r="K579" t="n">
        <v>0</v>
      </c>
      <c r="L579" t="n">
        <v>0</v>
      </c>
      <c r="M579" t="n">
        <v>0</v>
      </c>
      <c r="N579" t="n">
        <v>0</v>
      </c>
      <c r="O579" t="n">
        <v>0</v>
      </c>
      <c r="P579" t="n">
        <v>0</v>
      </c>
      <c r="Q579" t="n">
        <v>0</v>
      </c>
      <c r="R579" s="2" t="inlineStr"/>
    </row>
    <row r="580" ht="15" customHeight="1">
      <c r="A580" t="inlineStr">
        <is>
          <t>A 7101-2026</t>
        </is>
      </c>
      <c r="B580" s="1" t="n">
        <v>46058.35846064815</v>
      </c>
      <c r="C580" s="1" t="n">
        <v>46074</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7213-2026</t>
        </is>
      </c>
      <c r="B581" s="1" t="n">
        <v>46058.54565972222</v>
      </c>
      <c r="C581" s="1" t="n">
        <v>46074</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56487-2024</t>
        </is>
      </c>
      <c r="B582" s="1" t="n">
        <v>45625.48621527778</v>
      </c>
      <c r="C582" s="1" t="n">
        <v>46074</v>
      </c>
      <c r="D582" t="inlineStr">
        <is>
          <t>DALARNAS LÄN</t>
        </is>
      </c>
      <c r="E582" t="inlineStr">
        <is>
          <t>ÄLVDALEN</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7273-2026</t>
        </is>
      </c>
      <c r="B583" s="1" t="n">
        <v>46058.61421296297</v>
      </c>
      <c r="C583" s="1" t="n">
        <v>46074</v>
      </c>
      <c r="D583" t="inlineStr">
        <is>
          <t>DALARNAS LÄN</t>
        </is>
      </c>
      <c r="E583" t="inlineStr">
        <is>
          <t>ÄLVDALEN</t>
        </is>
      </c>
      <c r="G583" t="n">
        <v>0.9</v>
      </c>
      <c r="H583" t="n">
        <v>0</v>
      </c>
      <c r="I583" t="n">
        <v>0</v>
      </c>
      <c r="J583" t="n">
        <v>0</v>
      </c>
      <c r="K583" t="n">
        <v>0</v>
      </c>
      <c r="L583" t="n">
        <v>0</v>
      </c>
      <c r="M583" t="n">
        <v>0</v>
      </c>
      <c r="N583" t="n">
        <v>0</v>
      </c>
      <c r="O583" t="n">
        <v>0</v>
      </c>
      <c r="P583" t="n">
        <v>0</v>
      </c>
      <c r="Q583" t="n">
        <v>0</v>
      </c>
      <c r="R583" s="2" t="inlineStr"/>
    </row>
    <row r="584" ht="15" customHeight="1">
      <c r="A584" t="inlineStr">
        <is>
          <t>A 52249-2022</t>
        </is>
      </c>
      <c r="B584" s="1" t="n">
        <v>44873</v>
      </c>
      <c r="C584" s="1" t="n">
        <v>46074</v>
      </c>
      <c r="D584" t="inlineStr">
        <is>
          <t>DALARNAS LÄN</t>
        </is>
      </c>
      <c r="E584" t="inlineStr">
        <is>
          <t>ÄLVDALEN</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7458-2026</t>
        </is>
      </c>
      <c r="B585" s="1" t="n">
        <v>46059.47412037037</v>
      </c>
      <c r="C585" s="1" t="n">
        <v>46074</v>
      </c>
      <c r="D585" t="inlineStr">
        <is>
          <t>DALARNAS LÄN</t>
        </is>
      </c>
      <c r="E585" t="inlineStr">
        <is>
          <t>ÄLVDALEN</t>
        </is>
      </c>
      <c r="G585" t="n">
        <v>0.9</v>
      </c>
      <c r="H585" t="n">
        <v>0</v>
      </c>
      <c r="I585" t="n">
        <v>0</v>
      </c>
      <c r="J585" t="n">
        <v>0</v>
      </c>
      <c r="K585" t="n">
        <v>0</v>
      </c>
      <c r="L585" t="n">
        <v>0</v>
      </c>
      <c r="M585" t="n">
        <v>0</v>
      </c>
      <c r="N585" t="n">
        <v>0</v>
      </c>
      <c r="O585" t="n">
        <v>0</v>
      </c>
      <c r="P585" t="n">
        <v>0</v>
      </c>
      <c r="Q585" t="n">
        <v>0</v>
      </c>
      <c r="R585" s="2" t="inlineStr"/>
    </row>
    <row r="586" ht="15" customHeight="1">
      <c r="A586" t="inlineStr">
        <is>
          <t>A 7788-2026</t>
        </is>
      </c>
      <c r="B586" s="1" t="n">
        <v>46062.58864583333</v>
      </c>
      <c r="C586" s="1" t="n">
        <v>46074</v>
      </c>
      <c r="D586" t="inlineStr">
        <is>
          <t>DALARNAS LÄN</t>
        </is>
      </c>
      <c r="E586" t="inlineStr">
        <is>
          <t>ÄLVDALEN</t>
        </is>
      </c>
      <c r="G586" t="n">
        <v>0.9</v>
      </c>
      <c r="H586" t="n">
        <v>0</v>
      </c>
      <c r="I586" t="n">
        <v>0</v>
      </c>
      <c r="J586" t="n">
        <v>0</v>
      </c>
      <c r="K586" t="n">
        <v>0</v>
      </c>
      <c r="L586" t="n">
        <v>0</v>
      </c>
      <c r="M586" t="n">
        <v>0</v>
      </c>
      <c r="N586" t="n">
        <v>0</v>
      </c>
      <c r="O586" t="n">
        <v>0</v>
      </c>
      <c r="P586" t="n">
        <v>0</v>
      </c>
      <c r="Q586" t="n">
        <v>0</v>
      </c>
      <c r="R586" s="2" t="inlineStr"/>
    </row>
    <row r="587" ht="15" customHeight="1">
      <c r="A587" t="inlineStr">
        <is>
          <t>A 47751-2024</t>
        </is>
      </c>
      <c r="B587" s="1" t="n">
        <v>45588.53628472222</v>
      </c>
      <c r="C587" s="1" t="n">
        <v>46074</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7795-2026</t>
        </is>
      </c>
      <c r="B588" s="1" t="n">
        <v>46062.59821759259</v>
      </c>
      <c r="C588" s="1" t="n">
        <v>46074</v>
      </c>
      <c r="D588" t="inlineStr">
        <is>
          <t>DALARNAS LÄN</t>
        </is>
      </c>
      <c r="E588" t="inlineStr">
        <is>
          <t>ÄLVDALEN</t>
        </is>
      </c>
      <c r="G588" t="n">
        <v>0.4</v>
      </c>
      <c r="H588" t="n">
        <v>0</v>
      </c>
      <c r="I588" t="n">
        <v>0</v>
      </c>
      <c r="J588" t="n">
        <v>0</v>
      </c>
      <c r="K588" t="n">
        <v>0</v>
      </c>
      <c r="L588" t="n">
        <v>0</v>
      </c>
      <c r="M588" t="n">
        <v>0</v>
      </c>
      <c r="N588" t="n">
        <v>0</v>
      </c>
      <c r="O588" t="n">
        <v>0</v>
      </c>
      <c r="P588" t="n">
        <v>0</v>
      </c>
      <c r="Q588" t="n">
        <v>0</v>
      </c>
      <c r="R588" s="2" t="inlineStr"/>
    </row>
    <row r="589" ht="15" customHeight="1">
      <c r="A589" t="inlineStr">
        <is>
          <t>A 7802-2026</t>
        </is>
      </c>
      <c r="B589" s="1" t="n">
        <v>46062.60400462963</v>
      </c>
      <c r="C589" s="1" t="n">
        <v>46074</v>
      </c>
      <c r="D589" t="inlineStr">
        <is>
          <t>DALARNAS LÄN</t>
        </is>
      </c>
      <c r="E589" t="inlineStr">
        <is>
          <t>ÄLVDALEN</t>
        </is>
      </c>
      <c r="G589" t="n">
        <v>0.5</v>
      </c>
      <c r="H589" t="n">
        <v>0</v>
      </c>
      <c r="I589" t="n">
        <v>0</v>
      </c>
      <c r="J589" t="n">
        <v>0</v>
      </c>
      <c r="K589" t="n">
        <v>0</v>
      </c>
      <c r="L589" t="n">
        <v>0</v>
      </c>
      <c r="M589" t="n">
        <v>0</v>
      </c>
      <c r="N589" t="n">
        <v>0</v>
      </c>
      <c r="O589" t="n">
        <v>0</v>
      </c>
      <c r="P589" t="n">
        <v>0</v>
      </c>
      <c r="Q589" t="n">
        <v>0</v>
      </c>
      <c r="R589" s="2" t="inlineStr"/>
    </row>
    <row r="590" ht="15" customHeight="1">
      <c r="A590" t="inlineStr">
        <is>
          <t>A 7782-2026</t>
        </is>
      </c>
      <c r="B590" s="1" t="n">
        <v>46062.57849537037</v>
      </c>
      <c r="C590" s="1" t="n">
        <v>46074</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47873-2023</t>
        </is>
      </c>
      <c r="B591" s="1" t="n">
        <v>45204</v>
      </c>
      <c r="C591" s="1" t="n">
        <v>46074</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8085-2026</t>
        </is>
      </c>
      <c r="B592" s="1" t="n">
        <v>46063.68006944445</v>
      </c>
      <c r="C592" s="1" t="n">
        <v>46074</v>
      </c>
      <c r="D592" t="inlineStr">
        <is>
          <t>DALARNAS LÄN</t>
        </is>
      </c>
      <c r="E592" t="inlineStr">
        <is>
          <t>ÄLVDALEN</t>
        </is>
      </c>
      <c r="G592" t="n">
        <v>3.5</v>
      </c>
      <c r="H592" t="n">
        <v>0</v>
      </c>
      <c r="I592" t="n">
        <v>0</v>
      </c>
      <c r="J592" t="n">
        <v>0</v>
      </c>
      <c r="K592" t="n">
        <v>0</v>
      </c>
      <c r="L592" t="n">
        <v>0</v>
      </c>
      <c r="M592" t="n">
        <v>0</v>
      </c>
      <c r="N592" t="n">
        <v>0</v>
      </c>
      <c r="O592" t="n">
        <v>0</v>
      </c>
      <c r="P592" t="n">
        <v>0</v>
      </c>
      <c r="Q592" t="n">
        <v>0</v>
      </c>
      <c r="R592" s="2" t="inlineStr"/>
    </row>
    <row r="593" ht="15" customHeight="1">
      <c r="A593" t="inlineStr">
        <is>
          <t>A 31690-2024</t>
        </is>
      </c>
      <c r="B593" s="1" t="n">
        <v>45507</v>
      </c>
      <c r="C593" s="1" t="n">
        <v>46074</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7784-2026</t>
        </is>
      </c>
      <c r="B594" s="1" t="n">
        <v>46062.58371527777</v>
      </c>
      <c r="C594" s="1" t="n">
        <v>46074</v>
      </c>
      <c r="D594" t="inlineStr">
        <is>
          <t>DALARNAS LÄN</t>
        </is>
      </c>
      <c r="E594" t="inlineStr">
        <is>
          <t>ÄLVDALEN</t>
        </is>
      </c>
      <c r="G594" t="n">
        <v>1</v>
      </c>
      <c r="H594" t="n">
        <v>0</v>
      </c>
      <c r="I594" t="n">
        <v>0</v>
      </c>
      <c r="J594" t="n">
        <v>0</v>
      </c>
      <c r="K594" t="n">
        <v>0</v>
      </c>
      <c r="L594" t="n">
        <v>0</v>
      </c>
      <c r="M594" t="n">
        <v>0</v>
      </c>
      <c r="N594" t="n">
        <v>0</v>
      </c>
      <c r="O594" t="n">
        <v>0</v>
      </c>
      <c r="P594" t="n">
        <v>0</v>
      </c>
      <c r="Q594" t="n">
        <v>0</v>
      </c>
      <c r="R594" s="2" t="inlineStr"/>
    </row>
    <row r="595" ht="15" customHeight="1">
      <c r="A595" t="inlineStr">
        <is>
          <t>A 7916-2026</t>
        </is>
      </c>
      <c r="B595" s="1" t="n">
        <v>46063</v>
      </c>
      <c r="C595" s="1" t="n">
        <v>46074</v>
      </c>
      <c r="D595" t="inlineStr">
        <is>
          <t>DALARNAS LÄN</t>
        </is>
      </c>
      <c r="E595" t="inlineStr">
        <is>
          <t>ÄLVDALEN</t>
        </is>
      </c>
      <c r="F595" t="inlineStr">
        <is>
          <t>Övriga Aktiebolag</t>
        </is>
      </c>
      <c r="G595" t="n">
        <v>41.2</v>
      </c>
      <c r="H595" t="n">
        <v>0</v>
      </c>
      <c r="I595" t="n">
        <v>0</v>
      </c>
      <c r="J595" t="n">
        <v>0</v>
      </c>
      <c r="K595" t="n">
        <v>0</v>
      </c>
      <c r="L595" t="n">
        <v>0</v>
      </c>
      <c r="M595" t="n">
        <v>0</v>
      </c>
      <c r="N595" t="n">
        <v>0</v>
      </c>
      <c r="O595" t="n">
        <v>0</v>
      </c>
      <c r="P595" t="n">
        <v>0</v>
      </c>
      <c r="Q595" t="n">
        <v>0</v>
      </c>
      <c r="R595" s="2" t="inlineStr"/>
    </row>
    <row r="596" ht="15" customHeight="1">
      <c r="A596" t="inlineStr">
        <is>
          <t>A 19567-2025</t>
        </is>
      </c>
      <c r="B596" s="1" t="n">
        <v>45770.5349537037</v>
      </c>
      <c r="C596" s="1" t="n">
        <v>46074</v>
      </c>
      <c r="D596" t="inlineStr">
        <is>
          <t>DALARNAS LÄN</t>
        </is>
      </c>
      <c r="E596" t="inlineStr">
        <is>
          <t>ÄLVDALEN</t>
        </is>
      </c>
      <c r="F596" t="inlineStr">
        <is>
          <t>Allmännings- och besparingsskogar</t>
        </is>
      </c>
      <c r="G596" t="n">
        <v>3.7</v>
      </c>
      <c r="H596" t="n">
        <v>0</v>
      </c>
      <c r="I596" t="n">
        <v>0</v>
      </c>
      <c r="J596" t="n">
        <v>0</v>
      </c>
      <c r="K596" t="n">
        <v>0</v>
      </c>
      <c r="L596" t="n">
        <v>0</v>
      </c>
      <c r="M596" t="n">
        <v>0</v>
      </c>
      <c r="N596" t="n">
        <v>0</v>
      </c>
      <c r="O596" t="n">
        <v>0</v>
      </c>
      <c r="P596" t="n">
        <v>0</v>
      </c>
      <c r="Q596" t="n">
        <v>0</v>
      </c>
      <c r="R596" s="2" t="inlineStr"/>
    </row>
    <row r="597" ht="15" customHeight="1">
      <c r="A597" t="inlineStr">
        <is>
          <t>A 4662-2024</t>
        </is>
      </c>
      <c r="B597" s="1" t="n">
        <v>45328.465625</v>
      </c>
      <c r="C597" s="1" t="n">
        <v>46074</v>
      </c>
      <c r="D597" t="inlineStr">
        <is>
          <t>DALARNAS LÄN</t>
        </is>
      </c>
      <c r="E597" t="inlineStr">
        <is>
          <t>ÄLVDALEN</t>
        </is>
      </c>
      <c r="G597" t="n">
        <v>4.9</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46074</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7900-2026</t>
        </is>
      </c>
      <c r="B599" s="1" t="n">
        <v>46063</v>
      </c>
      <c r="C599" s="1" t="n">
        <v>46074</v>
      </c>
      <c r="D599" t="inlineStr">
        <is>
          <t>DALARNAS LÄN</t>
        </is>
      </c>
      <c r="E599" t="inlineStr">
        <is>
          <t>ÄLVDALEN</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29129-2024</t>
        </is>
      </c>
      <c r="B600" s="1" t="n">
        <v>45482.35762731481</v>
      </c>
      <c r="C600" s="1" t="n">
        <v>46074</v>
      </c>
      <c r="D600" t="inlineStr">
        <is>
          <t>DALARNAS LÄN</t>
        </is>
      </c>
      <c r="E600" t="inlineStr">
        <is>
          <t>ÄLVDALEN</t>
        </is>
      </c>
      <c r="F600" t="inlineStr">
        <is>
          <t>Allmännings- och besparingsskogar</t>
        </is>
      </c>
      <c r="G600" t="n">
        <v>19.8</v>
      </c>
      <c r="H600" t="n">
        <v>0</v>
      </c>
      <c r="I600" t="n">
        <v>0</v>
      </c>
      <c r="J600" t="n">
        <v>0</v>
      </c>
      <c r="K600" t="n">
        <v>0</v>
      </c>
      <c r="L600" t="n">
        <v>0</v>
      </c>
      <c r="M600" t="n">
        <v>0</v>
      </c>
      <c r="N600" t="n">
        <v>0</v>
      </c>
      <c r="O600" t="n">
        <v>0</v>
      </c>
      <c r="P600" t="n">
        <v>0</v>
      </c>
      <c r="Q600" t="n">
        <v>0</v>
      </c>
      <c r="R600" s="2" t="inlineStr"/>
    </row>
    <row r="601" ht="15" customHeight="1">
      <c r="A601" t="inlineStr">
        <is>
          <t>A 20584-2025</t>
        </is>
      </c>
      <c r="B601" s="1" t="n">
        <v>45775.695</v>
      </c>
      <c r="C601" s="1" t="n">
        <v>46074</v>
      </c>
      <c r="D601" t="inlineStr">
        <is>
          <t>DALARNAS LÄN</t>
        </is>
      </c>
      <c r="E601" t="inlineStr">
        <is>
          <t>ÄLVDALEN</t>
        </is>
      </c>
      <c r="G601" t="n">
        <v>1.8</v>
      </c>
      <c r="H601" t="n">
        <v>0</v>
      </c>
      <c r="I601" t="n">
        <v>0</v>
      </c>
      <c r="J601" t="n">
        <v>0</v>
      </c>
      <c r="K601" t="n">
        <v>0</v>
      </c>
      <c r="L601" t="n">
        <v>0</v>
      </c>
      <c r="M601" t="n">
        <v>0</v>
      </c>
      <c r="N601" t="n">
        <v>0</v>
      </c>
      <c r="O601" t="n">
        <v>0</v>
      </c>
      <c r="P601" t="n">
        <v>0</v>
      </c>
      <c r="Q601" t="n">
        <v>0</v>
      </c>
      <c r="R601" s="2" t="inlineStr"/>
    </row>
    <row r="602" ht="15" customHeight="1">
      <c r="A602" t="inlineStr">
        <is>
          <t>A 8644-2026</t>
        </is>
      </c>
      <c r="B602" s="1" t="n">
        <v>46066.36326388889</v>
      </c>
      <c r="C602" s="1" t="n">
        <v>46074</v>
      </c>
      <c r="D602" t="inlineStr">
        <is>
          <t>DALARNAS LÄN</t>
        </is>
      </c>
      <c r="E602" t="inlineStr">
        <is>
          <t>ÄLVDALEN</t>
        </is>
      </c>
      <c r="G602" t="n">
        <v>12</v>
      </c>
      <c r="H602" t="n">
        <v>0</v>
      </c>
      <c r="I602" t="n">
        <v>0</v>
      </c>
      <c r="J602" t="n">
        <v>0</v>
      </c>
      <c r="K602" t="n">
        <v>0</v>
      </c>
      <c r="L602" t="n">
        <v>0</v>
      </c>
      <c r="M602" t="n">
        <v>0</v>
      </c>
      <c r="N602" t="n">
        <v>0</v>
      </c>
      <c r="O602" t="n">
        <v>0</v>
      </c>
      <c r="P602" t="n">
        <v>0</v>
      </c>
      <c r="Q602" t="n">
        <v>0</v>
      </c>
      <c r="R602" s="2" t="inlineStr"/>
    </row>
    <row r="603" ht="15" customHeight="1">
      <c r="A603" t="inlineStr">
        <is>
          <t>A 23553-2025</t>
        </is>
      </c>
      <c r="B603" s="1" t="n">
        <v>45792</v>
      </c>
      <c r="C603" s="1" t="n">
        <v>46074</v>
      </c>
      <c r="D603" t="inlineStr">
        <is>
          <t>DALARNAS LÄN</t>
        </is>
      </c>
      <c r="E603" t="inlineStr">
        <is>
          <t>ÄLVDALEN</t>
        </is>
      </c>
      <c r="G603" t="n">
        <v>46.2</v>
      </c>
      <c r="H603" t="n">
        <v>0</v>
      </c>
      <c r="I603" t="n">
        <v>0</v>
      </c>
      <c r="J603" t="n">
        <v>0</v>
      </c>
      <c r="K603" t="n">
        <v>0</v>
      </c>
      <c r="L603" t="n">
        <v>0</v>
      </c>
      <c r="M603" t="n">
        <v>0</v>
      </c>
      <c r="N603" t="n">
        <v>0</v>
      </c>
      <c r="O603" t="n">
        <v>0</v>
      </c>
      <c r="P603" t="n">
        <v>0</v>
      </c>
      <c r="Q603" t="n">
        <v>0</v>
      </c>
      <c r="R603" s="2" t="inlineStr"/>
    </row>
    <row r="604" ht="15" customHeight="1">
      <c r="A604" t="inlineStr">
        <is>
          <t>A 23129-2023</t>
        </is>
      </c>
      <c r="B604" s="1" t="n">
        <v>45075</v>
      </c>
      <c r="C604" s="1" t="n">
        <v>46074</v>
      </c>
      <c r="D604" t="inlineStr">
        <is>
          <t>DALARNAS LÄN</t>
        </is>
      </c>
      <c r="E604" t="inlineStr">
        <is>
          <t>ÄLVDALEN</t>
        </is>
      </c>
      <c r="G604" t="n">
        <v>0.8</v>
      </c>
      <c r="H604" t="n">
        <v>0</v>
      </c>
      <c r="I604" t="n">
        <v>0</v>
      </c>
      <c r="J604" t="n">
        <v>0</v>
      </c>
      <c r="K604" t="n">
        <v>0</v>
      </c>
      <c r="L604" t="n">
        <v>0</v>
      </c>
      <c r="M604" t="n">
        <v>0</v>
      </c>
      <c r="N604" t="n">
        <v>0</v>
      </c>
      <c r="O604" t="n">
        <v>0</v>
      </c>
      <c r="P604" t="n">
        <v>0</v>
      </c>
      <c r="Q604" t="n">
        <v>0</v>
      </c>
      <c r="R604" s="2" t="inlineStr"/>
    </row>
    <row r="605" ht="15" customHeight="1">
      <c r="A605" t="inlineStr">
        <is>
          <t>A 140-2026</t>
        </is>
      </c>
      <c r="B605" s="1" t="n">
        <v>46024</v>
      </c>
      <c r="C605" s="1" t="n">
        <v>46074</v>
      </c>
      <c r="D605" t="inlineStr">
        <is>
          <t>DALARNAS LÄN</t>
        </is>
      </c>
      <c r="E605" t="inlineStr">
        <is>
          <t>ÄLVDALEN</t>
        </is>
      </c>
      <c r="G605" t="n">
        <v>0.9</v>
      </c>
      <c r="H605" t="n">
        <v>0</v>
      </c>
      <c r="I605" t="n">
        <v>0</v>
      </c>
      <c r="J605" t="n">
        <v>0</v>
      </c>
      <c r="K605" t="n">
        <v>0</v>
      </c>
      <c r="L605" t="n">
        <v>0</v>
      </c>
      <c r="M605" t="n">
        <v>0</v>
      </c>
      <c r="N605" t="n">
        <v>0</v>
      </c>
      <c r="O605" t="n">
        <v>0</v>
      </c>
      <c r="P605" t="n">
        <v>0</v>
      </c>
      <c r="Q605" t="n">
        <v>0</v>
      </c>
      <c r="R605" s="2" t="inlineStr"/>
    </row>
    <row r="606" ht="15" customHeight="1">
      <c r="A606" t="inlineStr">
        <is>
          <t>A 241-2026</t>
        </is>
      </c>
      <c r="B606" s="1" t="n">
        <v>46027</v>
      </c>
      <c r="C606" s="1" t="n">
        <v>46074</v>
      </c>
      <c r="D606" t="inlineStr">
        <is>
          <t>DALARNAS LÄN</t>
        </is>
      </c>
      <c r="E606" t="inlineStr">
        <is>
          <t>ÄLVDALEN</t>
        </is>
      </c>
      <c r="F606" t="inlineStr">
        <is>
          <t>Bergvik skog väst AB</t>
        </is>
      </c>
      <c r="G606" t="n">
        <v>2.8</v>
      </c>
      <c r="H606" t="n">
        <v>0</v>
      </c>
      <c r="I606" t="n">
        <v>0</v>
      </c>
      <c r="J606" t="n">
        <v>0</v>
      </c>
      <c r="K606" t="n">
        <v>0</v>
      </c>
      <c r="L606" t="n">
        <v>0</v>
      </c>
      <c r="M606" t="n">
        <v>0</v>
      </c>
      <c r="N606" t="n">
        <v>0</v>
      </c>
      <c r="O606" t="n">
        <v>0</v>
      </c>
      <c r="P606" t="n">
        <v>0</v>
      </c>
      <c r="Q606" t="n">
        <v>0</v>
      </c>
      <c r="R606" s="2" t="inlineStr"/>
    </row>
    <row r="607" ht="15" customHeight="1">
      <c r="A607" t="inlineStr">
        <is>
          <t>A 36284-2024</t>
        </is>
      </c>
      <c r="B607" s="1" t="n">
        <v>45534.5897337963</v>
      </c>
      <c r="C607" s="1" t="n">
        <v>46074</v>
      </c>
      <c r="D607" t="inlineStr">
        <is>
          <t>DALARNAS LÄN</t>
        </is>
      </c>
      <c r="E607" t="inlineStr">
        <is>
          <t>ÄLVDALEN</t>
        </is>
      </c>
      <c r="G607" t="n">
        <v>3.4</v>
      </c>
      <c r="H607" t="n">
        <v>0</v>
      </c>
      <c r="I607" t="n">
        <v>0</v>
      </c>
      <c r="J607" t="n">
        <v>0</v>
      </c>
      <c r="K607" t="n">
        <v>0</v>
      </c>
      <c r="L607" t="n">
        <v>0</v>
      </c>
      <c r="M607" t="n">
        <v>0</v>
      </c>
      <c r="N607" t="n">
        <v>0</v>
      </c>
      <c r="O607" t="n">
        <v>0</v>
      </c>
      <c r="P607" t="n">
        <v>0</v>
      </c>
      <c r="Q607" t="n">
        <v>0</v>
      </c>
      <c r="R607" s="2" t="inlineStr"/>
    </row>
    <row r="608" ht="15" customHeight="1">
      <c r="A608" t="inlineStr">
        <is>
          <t>A 5925-2026</t>
        </is>
      </c>
      <c r="B608" s="1" t="n">
        <v>46052</v>
      </c>
      <c r="C608" s="1" t="n">
        <v>46074</v>
      </c>
      <c r="D608" t="inlineStr">
        <is>
          <t>DALARNAS LÄN</t>
        </is>
      </c>
      <c r="E608" t="inlineStr">
        <is>
          <t>ÄLVDALEN</t>
        </is>
      </c>
      <c r="G608" t="n">
        <v>1.7</v>
      </c>
      <c r="H608" t="n">
        <v>0</v>
      </c>
      <c r="I608" t="n">
        <v>0</v>
      </c>
      <c r="J608" t="n">
        <v>0</v>
      </c>
      <c r="K608" t="n">
        <v>0</v>
      </c>
      <c r="L608" t="n">
        <v>0</v>
      </c>
      <c r="M608" t="n">
        <v>0</v>
      </c>
      <c r="N608" t="n">
        <v>0</v>
      </c>
      <c r="O608" t="n">
        <v>0</v>
      </c>
      <c r="P608" t="n">
        <v>0</v>
      </c>
      <c r="Q608" t="n">
        <v>0</v>
      </c>
      <c r="R608" s="2" t="inlineStr"/>
    </row>
    <row r="609" ht="15" customHeight="1">
      <c r="A609" t="inlineStr">
        <is>
          <t>A 52469-2022</t>
        </is>
      </c>
      <c r="B609" s="1" t="n">
        <v>44874</v>
      </c>
      <c r="C609" s="1" t="n">
        <v>46074</v>
      </c>
      <c r="D609" t="inlineStr">
        <is>
          <t>DALARNAS LÄN</t>
        </is>
      </c>
      <c r="E609" t="inlineStr">
        <is>
          <t>ÄLVDALEN</t>
        </is>
      </c>
      <c r="G609" t="n">
        <v>1.7</v>
      </c>
      <c r="H609" t="n">
        <v>0</v>
      </c>
      <c r="I609" t="n">
        <v>0</v>
      </c>
      <c r="J609" t="n">
        <v>0</v>
      </c>
      <c r="K609" t="n">
        <v>0</v>
      </c>
      <c r="L609" t="n">
        <v>0</v>
      </c>
      <c r="M609" t="n">
        <v>0</v>
      </c>
      <c r="N609" t="n">
        <v>0</v>
      </c>
      <c r="O609" t="n">
        <v>0</v>
      </c>
      <c r="P609" t="n">
        <v>0</v>
      </c>
      <c r="Q609" t="n">
        <v>0</v>
      </c>
      <c r="R609" s="2" t="inlineStr"/>
    </row>
    <row r="610" ht="15" customHeight="1">
      <c r="A610" t="inlineStr">
        <is>
          <t>A 588-2026</t>
        </is>
      </c>
      <c r="B610" s="1" t="n">
        <v>46029.4896875</v>
      </c>
      <c r="C610" s="1" t="n">
        <v>46074</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9492-2026</t>
        </is>
      </c>
      <c r="B611" s="1" t="n">
        <v>46071.55731481482</v>
      </c>
      <c r="C611" s="1" t="n">
        <v>46074</v>
      </c>
      <c r="D611" t="inlineStr">
        <is>
          <t>DALARNAS LÄN</t>
        </is>
      </c>
      <c r="E611" t="inlineStr">
        <is>
          <t>ÄLVDALEN</t>
        </is>
      </c>
      <c r="G611" t="n">
        <v>2.4</v>
      </c>
      <c r="H611" t="n">
        <v>0</v>
      </c>
      <c r="I611" t="n">
        <v>0</v>
      </c>
      <c r="J611" t="n">
        <v>0</v>
      </c>
      <c r="K611" t="n">
        <v>0</v>
      </c>
      <c r="L611" t="n">
        <v>0</v>
      </c>
      <c r="M611" t="n">
        <v>0</v>
      </c>
      <c r="N611" t="n">
        <v>0</v>
      </c>
      <c r="O611" t="n">
        <v>0</v>
      </c>
      <c r="P611" t="n">
        <v>0</v>
      </c>
      <c r="Q611" t="n">
        <v>0</v>
      </c>
      <c r="R611" s="2" t="inlineStr"/>
    </row>
    <row r="612" ht="15" customHeight="1">
      <c r="A612" t="inlineStr">
        <is>
          <t>A 28884-2023</t>
        </is>
      </c>
      <c r="B612" s="1" t="n">
        <v>45104.48320601852</v>
      </c>
      <c r="C612" s="1" t="n">
        <v>46074</v>
      </c>
      <c r="D612" t="inlineStr">
        <is>
          <t>DALARNAS LÄN</t>
        </is>
      </c>
      <c r="E612" t="inlineStr">
        <is>
          <t>ÄLVDALEN</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9498-2026</t>
        </is>
      </c>
      <c r="B613" s="1" t="n">
        <v>46071.57155092592</v>
      </c>
      <c r="C613" s="1" t="n">
        <v>46074</v>
      </c>
      <c r="D613" t="inlineStr">
        <is>
          <t>DALARNAS LÄN</t>
        </is>
      </c>
      <c r="E613" t="inlineStr">
        <is>
          <t>ÄLVDALEN</t>
        </is>
      </c>
      <c r="G613" t="n">
        <v>5.3</v>
      </c>
      <c r="H613" t="n">
        <v>0</v>
      </c>
      <c r="I613" t="n">
        <v>0</v>
      </c>
      <c r="J613" t="n">
        <v>0</v>
      </c>
      <c r="K613" t="n">
        <v>0</v>
      </c>
      <c r="L613" t="n">
        <v>0</v>
      </c>
      <c r="M613" t="n">
        <v>0</v>
      </c>
      <c r="N613" t="n">
        <v>0</v>
      </c>
      <c r="O613" t="n">
        <v>0</v>
      </c>
      <c r="P613" t="n">
        <v>0</v>
      </c>
      <c r="Q613" t="n">
        <v>0</v>
      </c>
      <c r="R613" s="2" t="inlineStr"/>
    </row>
    <row r="614" ht="15" customHeight="1">
      <c r="A614" t="inlineStr">
        <is>
          <t>A 9115-2026</t>
        </is>
      </c>
      <c r="B614" s="1" t="n">
        <v>46069</v>
      </c>
      <c r="C614" s="1" t="n">
        <v>46074</v>
      </c>
      <c r="D614" t="inlineStr">
        <is>
          <t>DALARNAS LÄN</t>
        </is>
      </c>
      <c r="E614" t="inlineStr">
        <is>
          <t>ÄLVDALEN</t>
        </is>
      </c>
      <c r="G614" t="n">
        <v>1.5</v>
      </c>
      <c r="H614" t="n">
        <v>0</v>
      </c>
      <c r="I614" t="n">
        <v>0</v>
      </c>
      <c r="J614" t="n">
        <v>0</v>
      </c>
      <c r="K614" t="n">
        <v>0</v>
      </c>
      <c r="L614" t="n">
        <v>0</v>
      </c>
      <c r="M614" t="n">
        <v>0</v>
      </c>
      <c r="N614" t="n">
        <v>0</v>
      </c>
      <c r="O614" t="n">
        <v>0</v>
      </c>
      <c r="P614" t="n">
        <v>0</v>
      </c>
      <c r="Q614" t="n">
        <v>0</v>
      </c>
      <c r="R614" s="2" t="inlineStr"/>
    </row>
    <row r="615" ht="15" customHeight="1">
      <c r="A615" t="inlineStr">
        <is>
          <t>A 44386-2021</t>
        </is>
      </c>
      <c r="B615" s="1" t="n">
        <v>44435</v>
      </c>
      <c r="C615" s="1" t="n">
        <v>46074</v>
      </c>
      <c r="D615" t="inlineStr">
        <is>
          <t>DALARNAS LÄN</t>
        </is>
      </c>
      <c r="E615" t="inlineStr">
        <is>
          <t>ÄLVDALEN</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583-2026</t>
        </is>
      </c>
      <c r="B616" s="1" t="n">
        <v>46029.48274305555</v>
      </c>
      <c r="C616" s="1" t="n">
        <v>46074</v>
      </c>
      <c r="D616" t="inlineStr">
        <is>
          <t>DALARNAS LÄN</t>
        </is>
      </c>
      <c r="E616" t="inlineStr">
        <is>
          <t>ÄLVDALEN</t>
        </is>
      </c>
      <c r="G616" t="n">
        <v>1.5</v>
      </c>
      <c r="H616" t="n">
        <v>0</v>
      </c>
      <c r="I616" t="n">
        <v>0</v>
      </c>
      <c r="J616" t="n">
        <v>0</v>
      </c>
      <c r="K616" t="n">
        <v>0</v>
      </c>
      <c r="L616" t="n">
        <v>0</v>
      </c>
      <c r="M616" t="n">
        <v>0</v>
      </c>
      <c r="N616" t="n">
        <v>0</v>
      </c>
      <c r="O616" t="n">
        <v>0</v>
      </c>
      <c r="P616" t="n">
        <v>0</v>
      </c>
      <c r="Q616" t="n">
        <v>0</v>
      </c>
      <c r="R616" s="2" t="inlineStr"/>
    </row>
    <row r="617" ht="15" customHeight="1">
      <c r="A617" t="inlineStr">
        <is>
          <t>A 30987-2023</t>
        </is>
      </c>
      <c r="B617" s="1" t="n">
        <v>45113</v>
      </c>
      <c r="C617" s="1" t="n">
        <v>46074</v>
      </c>
      <c r="D617" t="inlineStr">
        <is>
          <t>DALARNAS LÄN</t>
        </is>
      </c>
      <c r="E617" t="inlineStr">
        <is>
          <t>ÄLVDALEN</t>
        </is>
      </c>
      <c r="F617" t="inlineStr">
        <is>
          <t>Allmännings- och besparingsskogar</t>
        </is>
      </c>
      <c r="G617" t="n">
        <v>3.8</v>
      </c>
      <c r="H617" t="n">
        <v>0</v>
      </c>
      <c r="I617" t="n">
        <v>0</v>
      </c>
      <c r="J617" t="n">
        <v>0</v>
      </c>
      <c r="K617" t="n">
        <v>0</v>
      </c>
      <c r="L617" t="n">
        <v>0</v>
      </c>
      <c r="M617" t="n">
        <v>0</v>
      </c>
      <c r="N617" t="n">
        <v>0</v>
      </c>
      <c r="O617" t="n">
        <v>0</v>
      </c>
      <c r="P617" t="n">
        <v>0</v>
      </c>
      <c r="Q617" t="n">
        <v>0</v>
      </c>
      <c r="R617" s="2" t="inlineStr"/>
    </row>
    <row r="618" ht="15" customHeight="1">
      <c r="A618" t="inlineStr">
        <is>
          <t>A 575-2026</t>
        </is>
      </c>
      <c r="B618" s="1" t="n">
        <v>46029.47552083333</v>
      </c>
      <c r="C618" s="1" t="n">
        <v>46074</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33107-2023</t>
        </is>
      </c>
      <c r="B619" s="1" t="n">
        <v>45114</v>
      </c>
      <c r="C619" s="1" t="n">
        <v>46074</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1081-2025</t>
        </is>
      </c>
      <c r="B620" s="1" t="n">
        <v>45666.61589120371</v>
      </c>
      <c r="C620" s="1" t="n">
        <v>46074</v>
      </c>
      <c r="D620" t="inlineStr">
        <is>
          <t>DALARNAS LÄN</t>
        </is>
      </c>
      <c r="E620" t="inlineStr">
        <is>
          <t>ÄLVDALEN</t>
        </is>
      </c>
      <c r="G620" t="n">
        <v>5.8</v>
      </c>
      <c r="H620" t="n">
        <v>0</v>
      </c>
      <c r="I620" t="n">
        <v>0</v>
      </c>
      <c r="J620" t="n">
        <v>0</v>
      </c>
      <c r="K620" t="n">
        <v>0</v>
      </c>
      <c r="L620" t="n">
        <v>0</v>
      </c>
      <c r="M620" t="n">
        <v>0</v>
      </c>
      <c r="N620" t="n">
        <v>0</v>
      </c>
      <c r="O620" t="n">
        <v>0</v>
      </c>
      <c r="P620" t="n">
        <v>0</v>
      </c>
      <c r="Q620" t="n">
        <v>0</v>
      </c>
      <c r="R620" s="2" t="inlineStr"/>
    </row>
    <row r="621" ht="15" customHeight="1">
      <c r="A621" t="inlineStr">
        <is>
          <t>A 1088-2025</t>
        </is>
      </c>
      <c r="B621" s="1" t="n">
        <v>45666.62162037037</v>
      </c>
      <c r="C621" s="1" t="n">
        <v>46074</v>
      </c>
      <c r="D621" t="inlineStr">
        <is>
          <t>DALARNAS LÄN</t>
        </is>
      </c>
      <c r="E621" t="inlineStr">
        <is>
          <t>ÄLVDALEN</t>
        </is>
      </c>
      <c r="G621" t="n">
        <v>5.4</v>
      </c>
      <c r="H621" t="n">
        <v>0</v>
      </c>
      <c r="I621" t="n">
        <v>0</v>
      </c>
      <c r="J621" t="n">
        <v>0</v>
      </c>
      <c r="K621" t="n">
        <v>0</v>
      </c>
      <c r="L621" t="n">
        <v>0</v>
      </c>
      <c r="M621" t="n">
        <v>0</v>
      </c>
      <c r="N621" t="n">
        <v>0</v>
      </c>
      <c r="O621" t="n">
        <v>0</v>
      </c>
      <c r="P621" t="n">
        <v>0</v>
      </c>
      <c r="Q621" t="n">
        <v>0</v>
      </c>
      <c r="R621" s="2" t="inlineStr"/>
    </row>
    <row r="622" ht="15" customHeight="1">
      <c r="A622" t="inlineStr">
        <is>
          <t>A 1011-2026</t>
        </is>
      </c>
      <c r="B622" s="1" t="n">
        <v>46030.60111111111</v>
      </c>
      <c r="C622" s="1" t="n">
        <v>46074</v>
      </c>
      <c r="D622" t="inlineStr">
        <is>
          <t>DALARNAS LÄN</t>
        </is>
      </c>
      <c r="E622" t="inlineStr">
        <is>
          <t>ÄLVDALEN</t>
        </is>
      </c>
      <c r="G622" t="n">
        <v>1.1</v>
      </c>
      <c r="H622" t="n">
        <v>0</v>
      </c>
      <c r="I622" t="n">
        <v>0</v>
      </c>
      <c r="J622" t="n">
        <v>0</v>
      </c>
      <c r="K622" t="n">
        <v>0</v>
      </c>
      <c r="L622" t="n">
        <v>0</v>
      </c>
      <c r="M622" t="n">
        <v>0</v>
      </c>
      <c r="N622" t="n">
        <v>0</v>
      </c>
      <c r="O622" t="n">
        <v>0</v>
      </c>
      <c r="P622" t="n">
        <v>0</v>
      </c>
      <c r="Q622" t="n">
        <v>0</v>
      </c>
      <c r="R622" s="2" t="inlineStr"/>
    </row>
    <row r="623" ht="15" customHeight="1">
      <c r="A623" t="inlineStr">
        <is>
          <t>A 30985-2023</t>
        </is>
      </c>
      <c r="B623" s="1" t="n">
        <v>45113</v>
      </c>
      <c r="C623" s="1" t="n">
        <v>46074</v>
      </c>
      <c r="D623" t="inlineStr">
        <is>
          <t>DALARNAS LÄN</t>
        </is>
      </c>
      <c r="E623" t="inlineStr">
        <is>
          <t>ÄLVDALEN</t>
        </is>
      </c>
      <c r="F623" t="inlineStr">
        <is>
          <t>Allmännings- och besparingsskogar</t>
        </is>
      </c>
      <c r="G623" t="n">
        <v>2.9</v>
      </c>
      <c r="H623" t="n">
        <v>0</v>
      </c>
      <c r="I623" t="n">
        <v>0</v>
      </c>
      <c r="J623" t="n">
        <v>0</v>
      </c>
      <c r="K623" t="n">
        <v>0</v>
      </c>
      <c r="L623" t="n">
        <v>0</v>
      </c>
      <c r="M623" t="n">
        <v>0</v>
      </c>
      <c r="N623" t="n">
        <v>0</v>
      </c>
      <c r="O623" t="n">
        <v>0</v>
      </c>
      <c r="P623" t="n">
        <v>0</v>
      </c>
      <c r="Q623" t="n">
        <v>0</v>
      </c>
      <c r="R623" s="2" t="inlineStr"/>
    </row>
    <row r="624" ht="15" customHeight="1">
      <c r="A624" t="inlineStr">
        <is>
          <t>A 33100-2023</t>
        </is>
      </c>
      <c r="B624" s="1" t="n">
        <v>45114</v>
      </c>
      <c r="C624" s="1" t="n">
        <v>46074</v>
      </c>
      <c r="D624" t="inlineStr">
        <is>
          <t>DALARNAS LÄN</t>
        </is>
      </c>
      <c r="E624" t="inlineStr">
        <is>
          <t>ÄLVDALEN</t>
        </is>
      </c>
      <c r="G624" t="n">
        <v>0.5</v>
      </c>
      <c r="H624" t="n">
        <v>0</v>
      </c>
      <c r="I624" t="n">
        <v>0</v>
      </c>
      <c r="J624" t="n">
        <v>0</v>
      </c>
      <c r="K624" t="n">
        <v>0</v>
      </c>
      <c r="L624" t="n">
        <v>0</v>
      </c>
      <c r="M624" t="n">
        <v>0</v>
      </c>
      <c r="N624" t="n">
        <v>0</v>
      </c>
      <c r="O624" t="n">
        <v>0</v>
      </c>
      <c r="P624" t="n">
        <v>0</v>
      </c>
      <c r="Q624" t="n">
        <v>0</v>
      </c>
      <c r="R624" s="2" t="inlineStr"/>
    </row>
    <row r="625" ht="15" customHeight="1">
      <c r="A625" t="inlineStr">
        <is>
          <t>A 9915-2026</t>
        </is>
      </c>
      <c r="B625" s="1" t="n">
        <v>46073.43303240741</v>
      </c>
      <c r="C625" s="1" t="n">
        <v>46074</v>
      </c>
      <c r="D625" t="inlineStr">
        <is>
          <t>DALARNAS LÄN</t>
        </is>
      </c>
      <c r="E625" t="inlineStr">
        <is>
          <t>ÄLVDALEN</t>
        </is>
      </c>
      <c r="G625" t="n">
        <v>1.8</v>
      </c>
      <c r="H625" t="n">
        <v>0</v>
      </c>
      <c r="I625" t="n">
        <v>0</v>
      </c>
      <c r="J625" t="n">
        <v>0</v>
      </c>
      <c r="K625" t="n">
        <v>0</v>
      </c>
      <c r="L625" t="n">
        <v>0</v>
      </c>
      <c r="M625" t="n">
        <v>0</v>
      </c>
      <c r="N625" t="n">
        <v>0</v>
      </c>
      <c r="O625" t="n">
        <v>0</v>
      </c>
      <c r="P625" t="n">
        <v>0</v>
      </c>
      <c r="Q625" t="n">
        <v>0</v>
      </c>
      <c r="R625" s="2" t="inlineStr"/>
    </row>
    <row r="626" ht="15" customHeight="1">
      <c r="A626" t="inlineStr">
        <is>
          <t>A 37438-2024</t>
        </is>
      </c>
      <c r="B626" s="1" t="n">
        <v>45540</v>
      </c>
      <c r="C626" s="1" t="n">
        <v>46074</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15759-2024</t>
        </is>
      </c>
      <c r="B627" s="1" t="n">
        <v>45404</v>
      </c>
      <c r="C627" s="1" t="n">
        <v>46074</v>
      </c>
      <c r="D627" t="inlineStr">
        <is>
          <t>DALARNAS LÄN</t>
        </is>
      </c>
      <c r="E627" t="inlineStr">
        <is>
          <t>ÄLVDALEN</t>
        </is>
      </c>
      <c r="G627" t="n">
        <v>1.4</v>
      </c>
      <c r="H627" t="n">
        <v>0</v>
      </c>
      <c r="I627" t="n">
        <v>0</v>
      </c>
      <c r="J627" t="n">
        <v>0</v>
      </c>
      <c r="K627" t="n">
        <v>0</v>
      </c>
      <c r="L627" t="n">
        <v>0</v>
      </c>
      <c r="M627" t="n">
        <v>0</v>
      </c>
      <c r="N627" t="n">
        <v>0</v>
      </c>
      <c r="O627" t="n">
        <v>0</v>
      </c>
      <c r="P627" t="n">
        <v>0</v>
      </c>
      <c r="Q627" t="n">
        <v>0</v>
      </c>
      <c r="R627" s="2" t="inlineStr"/>
    </row>
    <row r="628" ht="15" customHeight="1">
      <c r="A628" t="inlineStr">
        <is>
          <t>A 1138-2026</t>
        </is>
      </c>
      <c r="B628" s="1" t="n">
        <v>46030</v>
      </c>
      <c r="C628" s="1" t="n">
        <v>46074</v>
      </c>
      <c r="D628" t="inlineStr">
        <is>
          <t>DALARNAS LÄN</t>
        </is>
      </c>
      <c r="E628" t="inlineStr">
        <is>
          <t>ÄLVDALEN</t>
        </is>
      </c>
      <c r="G628" t="n">
        <v>2.6</v>
      </c>
      <c r="H628" t="n">
        <v>0</v>
      </c>
      <c r="I628" t="n">
        <v>0</v>
      </c>
      <c r="J628" t="n">
        <v>0</v>
      </c>
      <c r="K628" t="n">
        <v>0</v>
      </c>
      <c r="L628" t="n">
        <v>0</v>
      </c>
      <c r="M628" t="n">
        <v>0</v>
      </c>
      <c r="N628" t="n">
        <v>0</v>
      </c>
      <c r="O628" t="n">
        <v>0</v>
      </c>
      <c r="P628" t="n">
        <v>0</v>
      </c>
      <c r="Q628" t="n">
        <v>0</v>
      </c>
      <c r="R628" s="2" t="inlineStr"/>
    </row>
    <row r="629" ht="15" customHeight="1">
      <c r="A629" t="inlineStr">
        <is>
          <t>A 627-2025</t>
        </is>
      </c>
      <c r="B629" s="1" t="n">
        <v>45660</v>
      </c>
      <c r="C629" s="1" t="n">
        <v>46074</v>
      </c>
      <c r="D629" t="inlineStr">
        <is>
          <t>DALARNAS LÄN</t>
        </is>
      </c>
      <c r="E629" t="inlineStr">
        <is>
          <t>ÄLVDALEN</t>
        </is>
      </c>
      <c r="F629" t="inlineStr">
        <is>
          <t>Allmännings- och besparingsskogar</t>
        </is>
      </c>
      <c r="G629" t="n">
        <v>0.9</v>
      </c>
      <c r="H629" t="n">
        <v>0</v>
      </c>
      <c r="I629" t="n">
        <v>0</v>
      </c>
      <c r="J629" t="n">
        <v>0</v>
      </c>
      <c r="K629" t="n">
        <v>0</v>
      </c>
      <c r="L629" t="n">
        <v>0</v>
      </c>
      <c r="M629" t="n">
        <v>0</v>
      </c>
      <c r="N629" t="n">
        <v>0</v>
      </c>
      <c r="O629" t="n">
        <v>0</v>
      </c>
      <c r="P629" t="n">
        <v>0</v>
      </c>
      <c r="Q629" t="n">
        <v>0</v>
      </c>
      <c r="R629" s="2" t="inlineStr"/>
    </row>
    <row r="630" ht="15" customHeight="1">
      <c r="A630" t="inlineStr">
        <is>
          <t>A 41137-2024</t>
        </is>
      </c>
      <c r="B630" s="1" t="n">
        <v>45559.46734953704</v>
      </c>
      <c r="C630" s="1" t="n">
        <v>46074</v>
      </c>
      <c r="D630" t="inlineStr">
        <is>
          <t>DALARNAS LÄN</t>
        </is>
      </c>
      <c r="E630" t="inlineStr">
        <is>
          <t>ÄLVDALEN</t>
        </is>
      </c>
      <c r="G630" t="n">
        <v>4.8</v>
      </c>
      <c r="H630" t="n">
        <v>0</v>
      </c>
      <c r="I630" t="n">
        <v>0</v>
      </c>
      <c r="J630" t="n">
        <v>0</v>
      </c>
      <c r="K630" t="n">
        <v>0</v>
      </c>
      <c r="L630" t="n">
        <v>0</v>
      </c>
      <c r="M630" t="n">
        <v>0</v>
      </c>
      <c r="N630" t="n">
        <v>0</v>
      </c>
      <c r="O630" t="n">
        <v>0</v>
      </c>
      <c r="P630" t="n">
        <v>0</v>
      </c>
      <c r="Q630" t="n">
        <v>0</v>
      </c>
      <c r="R630" s="2" t="inlineStr"/>
    </row>
    <row r="631" ht="15" customHeight="1">
      <c r="A631" t="inlineStr">
        <is>
          <t>A 32352-2023</t>
        </is>
      </c>
      <c r="B631" s="1" t="n">
        <v>45120</v>
      </c>
      <c r="C631" s="1" t="n">
        <v>46074</v>
      </c>
      <c r="D631" t="inlineStr">
        <is>
          <t>DALARNAS LÄN</t>
        </is>
      </c>
      <c r="E631" t="inlineStr">
        <is>
          <t>ÄLVDALEN</t>
        </is>
      </c>
      <c r="G631" t="n">
        <v>2</v>
      </c>
      <c r="H631" t="n">
        <v>0</v>
      </c>
      <c r="I631" t="n">
        <v>0</v>
      </c>
      <c r="J631" t="n">
        <v>0</v>
      </c>
      <c r="K631" t="n">
        <v>0</v>
      </c>
      <c r="L631" t="n">
        <v>0</v>
      </c>
      <c r="M631" t="n">
        <v>0</v>
      </c>
      <c r="N631" t="n">
        <v>0</v>
      </c>
      <c r="O631" t="n">
        <v>0</v>
      </c>
      <c r="P631" t="n">
        <v>0</v>
      </c>
      <c r="Q631" t="n">
        <v>0</v>
      </c>
      <c r="R631" s="2" t="inlineStr"/>
    </row>
    <row r="632" ht="15" customHeight="1">
      <c r="A632" t="inlineStr">
        <is>
          <t>A 47081-2023</t>
        </is>
      </c>
      <c r="B632" s="1" t="n">
        <v>45201.61148148148</v>
      </c>
      <c r="C632" s="1" t="n">
        <v>46074</v>
      </c>
      <c r="D632" t="inlineStr">
        <is>
          <t>DALARNAS LÄN</t>
        </is>
      </c>
      <c r="E632" t="inlineStr">
        <is>
          <t>ÄLVDALEN</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59209-2022</t>
        </is>
      </c>
      <c r="B633" s="1" t="n">
        <v>44904</v>
      </c>
      <c r="C633" s="1" t="n">
        <v>46074</v>
      </c>
      <c r="D633" t="inlineStr">
        <is>
          <t>DALARNAS LÄN</t>
        </is>
      </c>
      <c r="E633" t="inlineStr">
        <is>
          <t>ÄLVDALEN</t>
        </is>
      </c>
      <c r="G633" t="n">
        <v>2.6</v>
      </c>
      <c r="H633" t="n">
        <v>0</v>
      </c>
      <c r="I633" t="n">
        <v>0</v>
      </c>
      <c r="J633" t="n">
        <v>0</v>
      </c>
      <c r="K633" t="n">
        <v>0</v>
      </c>
      <c r="L633" t="n">
        <v>0</v>
      </c>
      <c r="M633" t="n">
        <v>0</v>
      </c>
      <c r="N633" t="n">
        <v>0</v>
      </c>
      <c r="O633" t="n">
        <v>0</v>
      </c>
      <c r="P633" t="n">
        <v>0</v>
      </c>
      <c r="Q633" t="n">
        <v>0</v>
      </c>
      <c r="R633" s="2" t="inlineStr"/>
    </row>
    <row r="634" ht="15" customHeight="1">
      <c r="A634" t="inlineStr">
        <is>
          <t>A 7937-2025</t>
        </is>
      </c>
      <c r="B634" s="1" t="n">
        <v>45707.3953125</v>
      </c>
      <c r="C634" s="1" t="n">
        <v>46074</v>
      </c>
      <c r="D634" t="inlineStr">
        <is>
          <t>DALARNAS LÄN</t>
        </is>
      </c>
      <c r="E634" t="inlineStr">
        <is>
          <t>ÄLVDALEN</t>
        </is>
      </c>
      <c r="F634" t="inlineStr">
        <is>
          <t>Allmännings- och besparingsskogar</t>
        </is>
      </c>
      <c r="G634" t="n">
        <v>1.2</v>
      </c>
      <c r="H634" t="n">
        <v>0</v>
      </c>
      <c r="I634" t="n">
        <v>0</v>
      </c>
      <c r="J634" t="n">
        <v>0</v>
      </c>
      <c r="K634" t="n">
        <v>0</v>
      </c>
      <c r="L634" t="n">
        <v>0</v>
      </c>
      <c r="M634" t="n">
        <v>0</v>
      </c>
      <c r="N634" t="n">
        <v>0</v>
      </c>
      <c r="O634" t="n">
        <v>0</v>
      </c>
      <c r="P634" t="n">
        <v>0</v>
      </c>
      <c r="Q634" t="n">
        <v>0</v>
      </c>
      <c r="R634" s="2" t="inlineStr"/>
    </row>
    <row r="635" ht="15" customHeight="1">
      <c r="A635" t="inlineStr">
        <is>
          <t>A 59138-2023</t>
        </is>
      </c>
      <c r="B635" s="1" t="n">
        <v>45253</v>
      </c>
      <c r="C635" s="1" t="n">
        <v>46074</v>
      </c>
      <c r="D635" t="inlineStr">
        <is>
          <t>DALARNAS LÄN</t>
        </is>
      </c>
      <c r="E635" t="inlineStr">
        <is>
          <t>ÄLVDALEN</t>
        </is>
      </c>
      <c r="G635" t="n">
        <v>0.4</v>
      </c>
      <c r="H635" t="n">
        <v>0</v>
      </c>
      <c r="I635" t="n">
        <v>0</v>
      </c>
      <c r="J635" t="n">
        <v>0</v>
      </c>
      <c r="K635" t="n">
        <v>0</v>
      </c>
      <c r="L635" t="n">
        <v>0</v>
      </c>
      <c r="M635" t="n">
        <v>0</v>
      </c>
      <c r="N635" t="n">
        <v>0</v>
      </c>
      <c r="O635" t="n">
        <v>0</v>
      </c>
      <c r="P635" t="n">
        <v>0</v>
      </c>
      <c r="Q635" t="n">
        <v>0</v>
      </c>
      <c r="R635" s="2" t="inlineStr"/>
    </row>
    <row r="636" ht="15" customHeight="1">
      <c r="A636" t="inlineStr">
        <is>
          <t>A 19588-2025</t>
        </is>
      </c>
      <c r="B636" s="1" t="n">
        <v>45770</v>
      </c>
      <c r="C636" s="1" t="n">
        <v>46074</v>
      </c>
      <c r="D636" t="inlineStr">
        <is>
          <t>DALARNAS LÄN</t>
        </is>
      </c>
      <c r="E636" t="inlineStr">
        <is>
          <t>ÄLVDALEN</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33102-2023</t>
        </is>
      </c>
      <c r="B637" s="1" t="n">
        <v>45114</v>
      </c>
      <c r="C637" s="1" t="n">
        <v>46074</v>
      </c>
      <c r="D637" t="inlineStr">
        <is>
          <t>DALARNAS LÄN</t>
        </is>
      </c>
      <c r="E637" t="inlineStr">
        <is>
          <t>ÄLVDALEN</t>
        </is>
      </c>
      <c r="G637" t="n">
        <v>1.6</v>
      </c>
      <c r="H637" t="n">
        <v>0</v>
      </c>
      <c r="I637" t="n">
        <v>0</v>
      </c>
      <c r="J637" t="n">
        <v>0</v>
      </c>
      <c r="K637" t="n">
        <v>0</v>
      </c>
      <c r="L637" t="n">
        <v>0</v>
      </c>
      <c r="M637" t="n">
        <v>0</v>
      </c>
      <c r="N637" t="n">
        <v>0</v>
      </c>
      <c r="O637" t="n">
        <v>0</v>
      </c>
      <c r="P637" t="n">
        <v>0</v>
      </c>
      <c r="Q637" t="n">
        <v>0</v>
      </c>
      <c r="R637" s="2" t="inlineStr"/>
    </row>
    <row r="638" ht="15" customHeight="1">
      <c r="A638" t="inlineStr">
        <is>
          <t>A 62315-2022</t>
        </is>
      </c>
      <c r="B638" s="1" t="n">
        <v>44916</v>
      </c>
      <c r="C638" s="1" t="n">
        <v>46074</v>
      </c>
      <c r="D638" t="inlineStr">
        <is>
          <t>DALARNAS LÄN</t>
        </is>
      </c>
      <c r="E638" t="inlineStr">
        <is>
          <t>ÄLVDALEN</t>
        </is>
      </c>
      <c r="G638" t="n">
        <v>2.1</v>
      </c>
      <c r="H638" t="n">
        <v>0</v>
      </c>
      <c r="I638" t="n">
        <v>0</v>
      </c>
      <c r="J638" t="n">
        <v>0</v>
      </c>
      <c r="K638" t="n">
        <v>0</v>
      </c>
      <c r="L638" t="n">
        <v>0</v>
      </c>
      <c r="M638" t="n">
        <v>0</v>
      </c>
      <c r="N638" t="n">
        <v>0</v>
      </c>
      <c r="O638" t="n">
        <v>0</v>
      </c>
      <c r="P638" t="n">
        <v>0</v>
      </c>
      <c r="Q638" t="n">
        <v>0</v>
      </c>
      <c r="R638" s="2" t="inlineStr"/>
    </row>
    <row r="639" ht="15" customHeight="1">
      <c r="A639" t="inlineStr">
        <is>
          <t>A 53168-2024</t>
        </is>
      </c>
      <c r="B639" s="1" t="n">
        <v>45611.65569444445</v>
      </c>
      <c r="C639" s="1" t="n">
        <v>46074</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6230-2024</t>
        </is>
      </c>
      <c r="B640" s="1" t="n">
        <v>45337</v>
      </c>
      <c r="C640" s="1" t="n">
        <v>46074</v>
      </c>
      <c r="D640" t="inlineStr">
        <is>
          <t>DALARNAS LÄN</t>
        </is>
      </c>
      <c r="E640" t="inlineStr">
        <is>
          <t>ÄLVDALEN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56882-2022</t>
        </is>
      </c>
      <c r="B641" s="1" t="n">
        <v>44894</v>
      </c>
      <c r="C641" s="1" t="n">
        <v>46074</v>
      </c>
      <c r="D641" t="inlineStr">
        <is>
          <t>DALARNAS LÄN</t>
        </is>
      </c>
      <c r="E641" t="inlineStr">
        <is>
          <t>ÄLVDALEN</t>
        </is>
      </c>
      <c r="G641" t="n">
        <v>7.4</v>
      </c>
      <c r="H641" t="n">
        <v>0</v>
      </c>
      <c r="I641" t="n">
        <v>0</v>
      </c>
      <c r="J641" t="n">
        <v>0</v>
      </c>
      <c r="K641" t="n">
        <v>0</v>
      </c>
      <c r="L641" t="n">
        <v>0</v>
      </c>
      <c r="M641" t="n">
        <v>0</v>
      </c>
      <c r="N641" t="n">
        <v>0</v>
      </c>
      <c r="O641" t="n">
        <v>0</v>
      </c>
      <c r="P641" t="n">
        <v>0</v>
      </c>
      <c r="Q641" t="n">
        <v>0</v>
      </c>
      <c r="R641" s="2" t="inlineStr"/>
    </row>
    <row r="642" ht="15" customHeight="1">
      <c r="A642" t="inlineStr">
        <is>
          <t>A 47877-2023</t>
        </is>
      </c>
      <c r="B642" s="1" t="n">
        <v>45204</v>
      </c>
      <c r="C642" s="1" t="n">
        <v>46074</v>
      </c>
      <c r="D642" t="inlineStr">
        <is>
          <t>DALARNAS LÄN</t>
        </is>
      </c>
      <c r="E642" t="inlineStr">
        <is>
          <t>ÄLVDALEN</t>
        </is>
      </c>
      <c r="G642" t="n">
        <v>4.8</v>
      </c>
      <c r="H642" t="n">
        <v>0</v>
      </c>
      <c r="I642" t="n">
        <v>0</v>
      </c>
      <c r="J642" t="n">
        <v>0</v>
      </c>
      <c r="K642" t="n">
        <v>0</v>
      </c>
      <c r="L642" t="n">
        <v>0</v>
      </c>
      <c r="M642" t="n">
        <v>0</v>
      </c>
      <c r="N642" t="n">
        <v>0</v>
      </c>
      <c r="O642" t="n">
        <v>0</v>
      </c>
      <c r="P642" t="n">
        <v>0</v>
      </c>
      <c r="Q642" t="n">
        <v>0</v>
      </c>
      <c r="R642" s="2" t="inlineStr"/>
    </row>
    <row r="643" ht="15" customHeight="1">
      <c r="A643" t="inlineStr">
        <is>
          <t>A 5826-2023</t>
        </is>
      </c>
      <c r="B643" s="1" t="n">
        <v>44963.52038194444</v>
      </c>
      <c r="C643" s="1" t="n">
        <v>46074</v>
      </c>
      <c r="D643" t="inlineStr">
        <is>
          <t>DALARNAS LÄN</t>
        </is>
      </c>
      <c r="E643" t="inlineStr">
        <is>
          <t>ÄLVDALEN</t>
        </is>
      </c>
      <c r="G643" t="n">
        <v>1.7</v>
      </c>
      <c r="H643" t="n">
        <v>0</v>
      </c>
      <c r="I643" t="n">
        <v>0</v>
      </c>
      <c r="J643" t="n">
        <v>0</v>
      </c>
      <c r="K643" t="n">
        <v>0</v>
      </c>
      <c r="L643" t="n">
        <v>0</v>
      </c>
      <c r="M643" t="n">
        <v>0</v>
      </c>
      <c r="N643" t="n">
        <v>0</v>
      </c>
      <c r="O643" t="n">
        <v>0</v>
      </c>
      <c r="P643" t="n">
        <v>0</v>
      </c>
      <c r="Q643" t="n">
        <v>0</v>
      </c>
      <c r="R643" s="2" t="inlineStr"/>
    </row>
    <row r="644" ht="15" customHeight="1">
      <c r="A644" t="inlineStr">
        <is>
          <t>A 747-2025</t>
        </is>
      </c>
      <c r="B644" s="1" t="n">
        <v>45665.43965277778</v>
      </c>
      <c r="C644" s="1" t="n">
        <v>46074</v>
      </c>
      <c r="D644" t="inlineStr">
        <is>
          <t>DALARNAS LÄN</t>
        </is>
      </c>
      <c r="E644" t="inlineStr">
        <is>
          <t>ÄLVDALEN</t>
        </is>
      </c>
      <c r="G644" t="n">
        <v>1.5</v>
      </c>
      <c r="H644" t="n">
        <v>0</v>
      </c>
      <c r="I644" t="n">
        <v>0</v>
      </c>
      <c r="J644" t="n">
        <v>0</v>
      </c>
      <c r="K644" t="n">
        <v>0</v>
      </c>
      <c r="L644" t="n">
        <v>0</v>
      </c>
      <c r="M644" t="n">
        <v>0</v>
      </c>
      <c r="N644" t="n">
        <v>0</v>
      </c>
      <c r="O644" t="n">
        <v>0</v>
      </c>
      <c r="P644" t="n">
        <v>0</v>
      </c>
      <c r="Q644" t="n">
        <v>0</v>
      </c>
      <c r="R644" s="2" t="inlineStr"/>
    </row>
    <row r="645" ht="15" customHeight="1">
      <c r="A645" t="inlineStr">
        <is>
          <t>A 7917-2025</t>
        </is>
      </c>
      <c r="B645" s="1" t="n">
        <v>45707.35225694445</v>
      </c>
      <c r="C645" s="1" t="n">
        <v>46074</v>
      </c>
      <c r="D645" t="inlineStr">
        <is>
          <t>DALARNAS LÄN</t>
        </is>
      </c>
      <c r="E645" t="inlineStr">
        <is>
          <t>ÄLVDALEN</t>
        </is>
      </c>
      <c r="G645" t="n">
        <v>4.2</v>
      </c>
      <c r="H645" t="n">
        <v>0</v>
      </c>
      <c r="I645" t="n">
        <v>0</v>
      </c>
      <c r="J645" t="n">
        <v>0</v>
      </c>
      <c r="K645" t="n">
        <v>0</v>
      </c>
      <c r="L645" t="n">
        <v>0</v>
      </c>
      <c r="M645" t="n">
        <v>0</v>
      </c>
      <c r="N645" t="n">
        <v>0</v>
      </c>
      <c r="O645" t="n">
        <v>0</v>
      </c>
      <c r="P645" t="n">
        <v>0</v>
      </c>
      <c r="Q645" t="n">
        <v>0</v>
      </c>
      <c r="R645" s="2" t="inlineStr"/>
    </row>
    <row r="646" ht="15" customHeight="1">
      <c r="A646" t="inlineStr">
        <is>
          <t>A 19527-2025</t>
        </is>
      </c>
      <c r="B646" s="1" t="n">
        <v>45770.46546296297</v>
      </c>
      <c r="C646" s="1" t="n">
        <v>46074</v>
      </c>
      <c r="D646" t="inlineStr">
        <is>
          <t>DALARNAS LÄN</t>
        </is>
      </c>
      <c r="E646" t="inlineStr">
        <is>
          <t>ÄLVDALEN</t>
        </is>
      </c>
      <c r="F646" t="inlineStr">
        <is>
          <t>Allmännings- och besparingsskogar</t>
        </is>
      </c>
      <c r="G646" t="n">
        <v>4.2</v>
      </c>
      <c r="H646" t="n">
        <v>0</v>
      </c>
      <c r="I646" t="n">
        <v>0</v>
      </c>
      <c r="J646" t="n">
        <v>0</v>
      </c>
      <c r="K646" t="n">
        <v>0</v>
      </c>
      <c r="L646" t="n">
        <v>0</v>
      </c>
      <c r="M646" t="n">
        <v>0</v>
      </c>
      <c r="N646" t="n">
        <v>0</v>
      </c>
      <c r="O646" t="n">
        <v>0</v>
      </c>
      <c r="P646" t="n">
        <v>0</v>
      </c>
      <c r="Q646" t="n">
        <v>0</v>
      </c>
      <c r="R646" s="2" t="inlineStr"/>
    </row>
    <row r="647" ht="15" customHeight="1">
      <c r="A647" t="inlineStr">
        <is>
          <t>A 30355-2021</t>
        </is>
      </c>
      <c r="B647" s="1" t="n">
        <v>44364</v>
      </c>
      <c r="C647" s="1" t="n">
        <v>46074</v>
      </c>
      <c r="D647" t="inlineStr">
        <is>
          <t>DALARNAS LÄN</t>
        </is>
      </c>
      <c r="E647" t="inlineStr">
        <is>
          <t>ÄLVDALEN</t>
        </is>
      </c>
      <c r="G647" t="n">
        <v>2.3</v>
      </c>
      <c r="H647" t="n">
        <v>0</v>
      </c>
      <c r="I647" t="n">
        <v>0</v>
      </c>
      <c r="J647" t="n">
        <v>0</v>
      </c>
      <c r="K647" t="n">
        <v>0</v>
      </c>
      <c r="L647" t="n">
        <v>0</v>
      </c>
      <c r="M647" t="n">
        <v>0</v>
      </c>
      <c r="N647" t="n">
        <v>0</v>
      </c>
      <c r="O647" t="n">
        <v>0</v>
      </c>
      <c r="P647" t="n">
        <v>0</v>
      </c>
      <c r="Q647" t="n">
        <v>0</v>
      </c>
      <c r="R647" s="2" t="inlineStr"/>
    </row>
    <row r="648" ht="15" customHeight="1">
      <c r="A648" t="inlineStr">
        <is>
          <t>A 47743-2024</t>
        </is>
      </c>
      <c r="B648" s="1" t="n">
        <v>45588.52550925926</v>
      </c>
      <c r="C648" s="1" t="n">
        <v>46074</v>
      </c>
      <c r="D648" t="inlineStr">
        <is>
          <t>DALARNAS LÄN</t>
        </is>
      </c>
      <c r="E648" t="inlineStr">
        <is>
          <t>ÄLVDALEN</t>
        </is>
      </c>
      <c r="G648" t="n">
        <v>4.4</v>
      </c>
      <c r="H648" t="n">
        <v>0</v>
      </c>
      <c r="I648" t="n">
        <v>0</v>
      </c>
      <c r="J648" t="n">
        <v>0</v>
      </c>
      <c r="K648" t="n">
        <v>0</v>
      </c>
      <c r="L648" t="n">
        <v>0</v>
      </c>
      <c r="M648" t="n">
        <v>0</v>
      </c>
      <c r="N648" t="n">
        <v>0</v>
      </c>
      <c r="O648" t="n">
        <v>0</v>
      </c>
      <c r="P648" t="n">
        <v>0</v>
      </c>
      <c r="Q648" t="n">
        <v>0</v>
      </c>
      <c r="R648" s="2" t="inlineStr"/>
    </row>
    <row r="649" ht="15" customHeight="1">
      <c r="A649" t="inlineStr">
        <is>
          <t>A 53408-2023</t>
        </is>
      </c>
      <c r="B649" s="1" t="n">
        <v>45229</v>
      </c>
      <c r="C649" s="1" t="n">
        <v>46074</v>
      </c>
      <c r="D649" t="inlineStr">
        <is>
          <t>DALARNAS LÄN</t>
        </is>
      </c>
      <c r="E649" t="inlineStr">
        <is>
          <t>ÄLVDALEN</t>
        </is>
      </c>
      <c r="G649" t="n">
        <v>2</v>
      </c>
      <c r="H649" t="n">
        <v>0</v>
      </c>
      <c r="I649" t="n">
        <v>0</v>
      </c>
      <c r="J649" t="n">
        <v>0</v>
      </c>
      <c r="K649" t="n">
        <v>0</v>
      </c>
      <c r="L649" t="n">
        <v>0</v>
      </c>
      <c r="M649" t="n">
        <v>0</v>
      </c>
      <c r="N649" t="n">
        <v>0</v>
      </c>
      <c r="O649" t="n">
        <v>0</v>
      </c>
      <c r="P649" t="n">
        <v>0</v>
      </c>
      <c r="Q649" t="n">
        <v>0</v>
      </c>
      <c r="R649" s="2" t="inlineStr"/>
    </row>
    <row r="650" ht="15" customHeight="1">
      <c r="A650" t="inlineStr">
        <is>
          <t>A 70140-2021</t>
        </is>
      </c>
      <c r="B650" s="1" t="n">
        <v>44533</v>
      </c>
      <c r="C650" s="1" t="n">
        <v>46074</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31332-2023</t>
        </is>
      </c>
      <c r="B651" s="1" t="n">
        <v>45114</v>
      </c>
      <c r="C651" s="1" t="n">
        <v>46074</v>
      </c>
      <c r="D651" t="inlineStr">
        <is>
          <t>DALARNAS LÄN</t>
        </is>
      </c>
      <c r="E651" t="inlineStr">
        <is>
          <t>ÄLVDALEN</t>
        </is>
      </c>
      <c r="F651" t="inlineStr">
        <is>
          <t>Övriga statliga verk och myndigheter</t>
        </is>
      </c>
      <c r="G651" t="n">
        <v>0.5</v>
      </c>
      <c r="H651" t="n">
        <v>0</v>
      </c>
      <c r="I651" t="n">
        <v>0</v>
      </c>
      <c r="J651" t="n">
        <v>0</v>
      </c>
      <c r="K651" t="n">
        <v>0</v>
      </c>
      <c r="L651" t="n">
        <v>0</v>
      </c>
      <c r="M651" t="n">
        <v>0</v>
      </c>
      <c r="N651" t="n">
        <v>0</v>
      </c>
      <c r="O651" t="n">
        <v>0</v>
      </c>
      <c r="P651" t="n">
        <v>0</v>
      </c>
      <c r="Q651" t="n">
        <v>0</v>
      </c>
      <c r="R651" s="2" t="inlineStr"/>
    </row>
    <row r="652" ht="15" customHeight="1">
      <c r="A652" t="inlineStr">
        <is>
          <t>A 37439-2024</t>
        </is>
      </c>
      <c r="B652" s="1" t="n">
        <v>45540</v>
      </c>
      <c r="C652" s="1" t="n">
        <v>46074</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49236-2023</t>
        </is>
      </c>
      <c r="B653" s="1" t="n">
        <v>45210.63995370371</v>
      </c>
      <c r="C653" s="1" t="n">
        <v>46074</v>
      </c>
      <c r="D653" t="inlineStr">
        <is>
          <t>DALARNAS LÄN</t>
        </is>
      </c>
      <c r="E653" t="inlineStr">
        <is>
          <t>ÄLVDALEN</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32362-2021</t>
        </is>
      </c>
      <c r="B654" s="1" t="n">
        <v>44371</v>
      </c>
      <c r="C654" s="1" t="n">
        <v>46074</v>
      </c>
      <c r="D654" t="inlineStr">
        <is>
          <t>DALARNAS LÄN</t>
        </is>
      </c>
      <c r="E654" t="inlineStr">
        <is>
          <t>ÄLVDALEN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1310-2024</t>
        </is>
      </c>
      <c r="B655" s="1" t="n">
        <v>45303</v>
      </c>
      <c r="C655" s="1" t="n">
        <v>46074</v>
      </c>
      <c r="D655" t="inlineStr">
        <is>
          <t>DALARNAS LÄN</t>
        </is>
      </c>
      <c r="E655" t="inlineStr">
        <is>
          <t>ÄLVDALEN</t>
        </is>
      </c>
      <c r="G655" t="n">
        <v>4.3</v>
      </c>
      <c r="H655" t="n">
        <v>0</v>
      </c>
      <c r="I655" t="n">
        <v>0</v>
      </c>
      <c r="J655" t="n">
        <v>0</v>
      </c>
      <c r="K655" t="n">
        <v>0</v>
      </c>
      <c r="L655" t="n">
        <v>0</v>
      </c>
      <c r="M655" t="n">
        <v>0</v>
      </c>
      <c r="N655" t="n">
        <v>0</v>
      </c>
      <c r="O655" t="n">
        <v>0</v>
      </c>
      <c r="P655" t="n">
        <v>0</v>
      </c>
      <c r="Q655" t="n">
        <v>0</v>
      </c>
      <c r="R655" s="2" t="inlineStr"/>
    </row>
    <row r="656" ht="15" customHeight="1">
      <c r="A656" t="inlineStr">
        <is>
          <t>A 62314-2022</t>
        </is>
      </c>
      <c r="B656" s="1" t="n">
        <v>44916</v>
      </c>
      <c r="C656" s="1" t="n">
        <v>46074</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47869-2023</t>
        </is>
      </c>
      <c r="B657" s="1" t="n">
        <v>45204</v>
      </c>
      <c r="C657" s="1" t="n">
        <v>46074</v>
      </c>
      <c r="D657" t="inlineStr">
        <is>
          <t>DALARNAS LÄN</t>
        </is>
      </c>
      <c r="E657" t="inlineStr">
        <is>
          <t>ÄLVDALEN</t>
        </is>
      </c>
      <c r="G657" t="n">
        <v>11</v>
      </c>
      <c r="H657" t="n">
        <v>0</v>
      </c>
      <c r="I657" t="n">
        <v>0</v>
      </c>
      <c r="J657" t="n">
        <v>0</v>
      </c>
      <c r="K657" t="n">
        <v>0</v>
      </c>
      <c r="L657" t="n">
        <v>0</v>
      </c>
      <c r="M657" t="n">
        <v>0</v>
      </c>
      <c r="N657" t="n">
        <v>0</v>
      </c>
      <c r="O657" t="n">
        <v>0</v>
      </c>
      <c r="P657" t="n">
        <v>0</v>
      </c>
      <c r="Q657" t="n">
        <v>0</v>
      </c>
      <c r="R657" s="2" t="inlineStr"/>
    </row>
    <row r="658" ht="15" customHeight="1">
      <c r="A658" t="inlineStr">
        <is>
          <t>A 5170-2024</t>
        </is>
      </c>
      <c r="B658" s="1" t="n">
        <v>45330.55390046296</v>
      </c>
      <c r="C658" s="1" t="n">
        <v>46074</v>
      </c>
      <c r="D658" t="inlineStr">
        <is>
          <t>DALARNAS LÄN</t>
        </is>
      </c>
      <c r="E658" t="inlineStr">
        <is>
          <t>ÄLVDALEN</t>
        </is>
      </c>
      <c r="G658" t="n">
        <v>15.8</v>
      </c>
      <c r="H658" t="n">
        <v>0</v>
      </c>
      <c r="I658" t="n">
        <v>0</v>
      </c>
      <c r="J658" t="n">
        <v>0</v>
      </c>
      <c r="K658" t="n">
        <v>0</v>
      </c>
      <c r="L658" t="n">
        <v>0</v>
      </c>
      <c r="M658" t="n">
        <v>0</v>
      </c>
      <c r="N658" t="n">
        <v>0</v>
      </c>
      <c r="O658" t="n">
        <v>0</v>
      </c>
      <c r="P658" t="n">
        <v>0</v>
      </c>
      <c r="Q658" t="n">
        <v>0</v>
      </c>
      <c r="R658" s="2" t="inlineStr"/>
    </row>
    <row r="659" ht="15" customHeight="1">
      <c r="A659" t="inlineStr">
        <is>
          <t>A 7232-2025</t>
        </is>
      </c>
      <c r="B659" s="1" t="n">
        <v>45702.51415509259</v>
      </c>
      <c r="C659" s="1" t="n">
        <v>46074</v>
      </c>
      <c r="D659" t="inlineStr">
        <is>
          <t>DALARNAS LÄN</t>
        </is>
      </c>
      <c r="E659" t="inlineStr">
        <is>
          <t>ÄLVDALEN</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36462-2024</t>
        </is>
      </c>
      <c r="B660" s="1" t="n">
        <v>45537.35211805555</v>
      </c>
      <c r="C660" s="1" t="n">
        <v>46074</v>
      </c>
      <c r="D660" t="inlineStr">
        <is>
          <t>DALARNAS LÄN</t>
        </is>
      </c>
      <c r="E660" t="inlineStr">
        <is>
          <t>ÄLVDALEN</t>
        </is>
      </c>
      <c r="G660" t="n">
        <v>5</v>
      </c>
      <c r="H660" t="n">
        <v>0</v>
      </c>
      <c r="I660" t="n">
        <v>0</v>
      </c>
      <c r="J660" t="n">
        <v>0</v>
      </c>
      <c r="K660" t="n">
        <v>0</v>
      </c>
      <c r="L660" t="n">
        <v>0</v>
      </c>
      <c r="M660" t="n">
        <v>0</v>
      </c>
      <c r="N660" t="n">
        <v>0</v>
      </c>
      <c r="O660" t="n">
        <v>0</v>
      </c>
      <c r="P660" t="n">
        <v>0</v>
      </c>
      <c r="Q660" t="n">
        <v>0</v>
      </c>
      <c r="R660" s="2" t="inlineStr"/>
    </row>
    <row r="661" ht="15" customHeight="1">
      <c r="A661" t="inlineStr">
        <is>
          <t>A 32740-2024</t>
        </is>
      </c>
      <c r="B661" s="1" t="n">
        <v>45516.43834490741</v>
      </c>
      <c r="C661" s="1" t="n">
        <v>46074</v>
      </c>
      <c r="D661" t="inlineStr">
        <is>
          <t>DALARNAS LÄN</t>
        </is>
      </c>
      <c r="E661" t="inlineStr">
        <is>
          <t>ÄLVDALEN</t>
        </is>
      </c>
      <c r="G661" t="n">
        <v>2.1</v>
      </c>
      <c r="H661" t="n">
        <v>0</v>
      </c>
      <c r="I661" t="n">
        <v>0</v>
      </c>
      <c r="J661" t="n">
        <v>0</v>
      </c>
      <c r="K661" t="n">
        <v>0</v>
      </c>
      <c r="L661" t="n">
        <v>0</v>
      </c>
      <c r="M661" t="n">
        <v>0</v>
      </c>
      <c r="N661" t="n">
        <v>0</v>
      </c>
      <c r="O661" t="n">
        <v>0</v>
      </c>
      <c r="P661" t="n">
        <v>0</v>
      </c>
      <c r="Q661" t="n">
        <v>0</v>
      </c>
      <c r="R661" s="2" t="inlineStr"/>
    </row>
    <row r="662" ht="15" customHeight="1">
      <c r="A662" t="inlineStr">
        <is>
          <t>A 46926-2024</t>
        </is>
      </c>
      <c r="B662" s="1" t="n">
        <v>45584.68275462963</v>
      </c>
      <c r="C662" s="1" t="n">
        <v>46074</v>
      </c>
      <c r="D662" t="inlineStr">
        <is>
          <t>DALARNAS LÄN</t>
        </is>
      </c>
      <c r="E662" t="inlineStr">
        <is>
          <t>ÄLVDALEN</t>
        </is>
      </c>
      <c r="G662" t="n">
        <v>4.4</v>
      </c>
      <c r="H662" t="n">
        <v>0</v>
      </c>
      <c r="I662" t="n">
        <v>0</v>
      </c>
      <c r="J662" t="n">
        <v>0</v>
      </c>
      <c r="K662" t="n">
        <v>0</v>
      </c>
      <c r="L662" t="n">
        <v>0</v>
      </c>
      <c r="M662" t="n">
        <v>0</v>
      </c>
      <c r="N662" t="n">
        <v>0</v>
      </c>
      <c r="O662" t="n">
        <v>0</v>
      </c>
      <c r="P662" t="n">
        <v>0</v>
      </c>
      <c r="Q662" t="n">
        <v>0</v>
      </c>
      <c r="R662" s="2" t="inlineStr"/>
    </row>
    <row r="663" ht="15" customHeight="1">
      <c r="A663" t="inlineStr">
        <is>
          <t>A 30143-2024</t>
        </is>
      </c>
      <c r="B663" s="1" t="n">
        <v>45488</v>
      </c>
      <c r="C663" s="1" t="n">
        <v>46074</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30146-2024</t>
        </is>
      </c>
      <c r="B664" s="1" t="n">
        <v>45488</v>
      </c>
      <c r="C664" s="1" t="n">
        <v>46074</v>
      </c>
      <c r="D664" t="inlineStr">
        <is>
          <t>DALARNAS LÄN</t>
        </is>
      </c>
      <c r="E664" t="inlineStr">
        <is>
          <t>ÄLVDALEN</t>
        </is>
      </c>
      <c r="G664" t="n">
        <v>1.1</v>
      </c>
      <c r="H664" t="n">
        <v>0</v>
      </c>
      <c r="I664" t="n">
        <v>0</v>
      </c>
      <c r="J664" t="n">
        <v>0</v>
      </c>
      <c r="K664" t="n">
        <v>0</v>
      </c>
      <c r="L664" t="n">
        <v>0</v>
      </c>
      <c r="M664" t="n">
        <v>0</v>
      </c>
      <c r="N664" t="n">
        <v>0</v>
      </c>
      <c r="O664" t="n">
        <v>0</v>
      </c>
      <c r="P664" t="n">
        <v>0</v>
      </c>
      <c r="Q664" t="n">
        <v>0</v>
      </c>
      <c r="R664" s="2" t="inlineStr"/>
    </row>
    <row r="665" ht="15" customHeight="1">
      <c r="A665" t="inlineStr">
        <is>
          <t>A 42332-2023</t>
        </is>
      </c>
      <c r="B665" s="1" t="n">
        <v>45175</v>
      </c>
      <c r="C665" s="1" t="n">
        <v>46074</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36640-2023</t>
        </is>
      </c>
      <c r="B666" s="1" t="n">
        <v>45153.54498842593</v>
      </c>
      <c r="C666" s="1" t="n">
        <v>46074</v>
      </c>
      <c r="D666" t="inlineStr">
        <is>
          <t>DALARNAS LÄN</t>
        </is>
      </c>
      <c r="E666" t="inlineStr">
        <is>
          <t>ÄLVDALEN</t>
        </is>
      </c>
      <c r="G666" t="n">
        <v>2.3</v>
      </c>
      <c r="H666" t="n">
        <v>0</v>
      </c>
      <c r="I666" t="n">
        <v>0</v>
      </c>
      <c r="J666" t="n">
        <v>0</v>
      </c>
      <c r="K666" t="n">
        <v>0</v>
      </c>
      <c r="L666" t="n">
        <v>0</v>
      </c>
      <c r="M666" t="n">
        <v>0</v>
      </c>
      <c r="N666" t="n">
        <v>0</v>
      </c>
      <c r="O666" t="n">
        <v>0</v>
      </c>
      <c r="P666" t="n">
        <v>0</v>
      </c>
      <c r="Q666" t="n">
        <v>0</v>
      </c>
      <c r="R666" s="2" t="inlineStr"/>
    </row>
    <row r="667" ht="15" customHeight="1">
      <c r="A667" t="inlineStr">
        <is>
          <t>A 19182-2023</t>
        </is>
      </c>
      <c r="B667" s="1" t="n">
        <v>45048</v>
      </c>
      <c r="C667" s="1" t="n">
        <v>46074</v>
      </c>
      <c r="D667" t="inlineStr">
        <is>
          <t>DALARNAS LÄN</t>
        </is>
      </c>
      <c r="E667" t="inlineStr">
        <is>
          <t>ÄLVDALEN</t>
        </is>
      </c>
      <c r="G667" t="n">
        <v>0.6</v>
      </c>
      <c r="H667" t="n">
        <v>0</v>
      </c>
      <c r="I667" t="n">
        <v>0</v>
      </c>
      <c r="J667" t="n">
        <v>0</v>
      </c>
      <c r="K667" t="n">
        <v>0</v>
      </c>
      <c r="L667" t="n">
        <v>0</v>
      </c>
      <c r="M667" t="n">
        <v>0</v>
      </c>
      <c r="N667" t="n">
        <v>0</v>
      </c>
      <c r="O667" t="n">
        <v>0</v>
      </c>
      <c r="P667" t="n">
        <v>0</v>
      </c>
      <c r="Q667" t="n">
        <v>0</v>
      </c>
      <c r="R667" s="2" t="inlineStr"/>
    </row>
    <row r="668" ht="15" customHeight="1">
      <c r="A668" t="inlineStr">
        <is>
          <t>A 13000-2022</t>
        </is>
      </c>
      <c r="B668" s="1" t="n">
        <v>44643.44597222222</v>
      </c>
      <c r="C668" s="1" t="n">
        <v>46074</v>
      </c>
      <c r="D668" t="inlineStr">
        <is>
          <t>DALARNAS LÄN</t>
        </is>
      </c>
      <c r="E668" t="inlineStr">
        <is>
          <t>ÄLVDALEN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43900-2024</t>
        </is>
      </c>
      <c r="B669" s="1" t="n">
        <v>45572.41975694444</v>
      </c>
      <c r="C669" s="1" t="n">
        <v>46074</v>
      </c>
      <c r="D669" t="inlineStr">
        <is>
          <t>DALARNAS LÄN</t>
        </is>
      </c>
      <c r="E669" t="inlineStr">
        <is>
          <t>ÄLVDALEN</t>
        </is>
      </c>
      <c r="F669" t="inlineStr">
        <is>
          <t>Bergvik skog väst AB</t>
        </is>
      </c>
      <c r="G669" t="n">
        <v>7.3</v>
      </c>
      <c r="H669" t="n">
        <v>0</v>
      </c>
      <c r="I669" t="n">
        <v>0</v>
      </c>
      <c r="J669" t="n">
        <v>0</v>
      </c>
      <c r="K669" t="n">
        <v>0</v>
      </c>
      <c r="L669" t="n">
        <v>0</v>
      </c>
      <c r="M669" t="n">
        <v>0</v>
      </c>
      <c r="N669" t="n">
        <v>0</v>
      </c>
      <c r="O669" t="n">
        <v>0</v>
      </c>
      <c r="P669" t="n">
        <v>0</v>
      </c>
      <c r="Q669" t="n">
        <v>0</v>
      </c>
      <c r="R669" s="2" t="inlineStr"/>
    </row>
    <row r="670" ht="15" customHeight="1">
      <c r="A670" t="inlineStr">
        <is>
          <t>A 61450-2022</t>
        </is>
      </c>
      <c r="B670" s="1" t="n">
        <v>44910</v>
      </c>
      <c r="C670" s="1" t="n">
        <v>46074</v>
      </c>
      <c r="D670" t="inlineStr">
        <is>
          <t>DALARNAS LÄN</t>
        </is>
      </c>
      <c r="E670" t="inlineStr">
        <is>
          <t>ÄLVDALEN</t>
        </is>
      </c>
      <c r="G670" t="n">
        <v>0.7</v>
      </c>
      <c r="H670" t="n">
        <v>0</v>
      </c>
      <c r="I670" t="n">
        <v>0</v>
      </c>
      <c r="J670" t="n">
        <v>0</v>
      </c>
      <c r="K670" t="n">
        <v>0</v>
      </c>
      <c r="L670" t="n">
        <v>0</v>
      </c>
      <c r="M670" t="n">
        <v>0</v>
      </c>
      <c r="N670" t="n">
        <v>0</v>
      </c>
      <c r="O670" t="n">
        <v>0</v>
      </c>
      <c r="P670" t="n">
        <v>0</v>
      </c>
      <c r="Q670" t="n">
        <v>0</v>
      </c>
      <c r="R670" s="2" t="inlineStr"/>
    </row>
    <row r="671" ht="15" customHeight="1">
      <c r="A671" t="inlineStr">
        <is>
          <t>A 8492-2025</t>
        </is>
      </c>
      <c r="B671" s="1" t="n">
        <v>45709.50980324074</v>
      </c>
      <c r="C671" s="1" t="n">
        <v>46074</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8496-2025</t>
        </is>
      </c>
      <c r="B672" s="1" t="n">
        <v>45709.51084490741</v>
      </c>
      <c r="C672" s="1" t="n">
        <v>46074</v>
      </c>
      <c r="D672" t="inlineStr">
        <is>
          <t>DALARNAS LÄN</t>
        </is>
      </c>
      <c r="E672" t="inlineStr">
        <is>
          <t>ÄLVDALEN</t>
        </is>
      </c>
      <c r="G672" t="n">
        <v>1.4</v>
      </c>
      <c r="H672" t="n">
        <v>0</v>
      </c>
      <c r="I672" t="n">
        <v>0</v>
      </c>
      <c r="J672" t="n">
        <v>0</v>
      </c>
      <c r="K672" t="n">
        <v>0</v>
      </c>
      <c r="L672" t="n">
        <v>0</v>
      </c>
      <c r="M672" t="n">
        <v>0</v>
      </c>
      <c r="N672" t="n">
        <v>0</v>
      </c>
      <c r="O672" t="n">
        <v>0</v>
      </c>
      <c r="P672" t="n">
        <v>0</v>
      </c>
      <c r="Q672" t="n">
        <v>0</v>
      </c>
      <c r="R672" s="2" t="inlineStr"/>
    </row>
    <row r="673" ht="15" customHeight="1">
      <c r="A673" t="inlineStr">
        <is>
          <t>A 59668-2024</t>
        </is>
      </c>
      <c r="B673" s="1" t="n">
        <v>45639.37899305556</v>
      </c>
      <c r="C673" s="1" t="n">
        <v>46074</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59671-2024</t>
        </is>
      </c>
      <c r="B674" s="1" t="n">
        <v>45639.3862962963</v>
      </c>
      <c r="C674" s="1" t="n">
        <v>46074</v>
      </c>
      <c r="D674" t="inlineStr">
        <is>
          <t>DALARNAS LÄN</t>
        </is>
      </c>
      <c r="E674" t="inlineStr">
        <is>
          <t>ÄLVDALEN</t>
        </is>
      </c>
      <c r="G674" t="n">
        <v>2.2</v>
      </c>
      <c r="H674" t="n">
        <v>0</v>
      </c>
      <c r="I674" t="n">
        <v>0</v>
      </c>
      <c r="J674" t="n">
        <v>0</v>
      </c>
      <c r="K674" t="n">
        <v>0</v>
      </c>
      <c r="L674" t="n">
        <v>0</v>
      </c>
      <c r="M674" t="n">
        <v>0</v>
      </c>
      <c r="N674" t="n">
        <v>0</v>
      </c>
      <c r="O674" t="n">
        <v>0</v>
      </c>
      <c r="P674" t="n">
        <v>0</v>
      </c>
      <c r="Q674" t="n">
        <v>0</v>
      </c>
      <c r="R674" s="2" t="inlineStr"/>
    </row>
    <row r="675" ht="15" customHeight="1">
      <c r="A675" t="inlineStr">
        <is>
          <t>A 39064-2021</t>
        </is>
      </c>
      <c r="B675" s="1" t="n">
        <v>44411</v>
      </c>
      <c r="C675" s="1" t="n">
        <v>46074</v>
      </c>
      <c r="D675" t="inlineStr">
        <is>
          <t>DALARNAS LÄN</t>
        </is>
      </c>
      <c r="E675" t="inlineStr">
        <is>
          <t>ÄLVDALEN</t>
        </is>
      </c>
      <c r="F675" t="inlineStr">
        <is>
          <t>Övriga statliga verk och myndigheter</t>
        </is>
      </c>
      <c r="G675" t="n">
        <v>4.5</v>
      </c>
      <c r="H675" t="n">
        <v>0</v>
      </c>
      <c r="I675" t="n">
        <v>0</v>
      </c>
      <c r="J675" t="n">
        <v>0</v>
      </c>
      <c r="K675" t="n">
        <v>0</v>
      </c>
      <c r="L675" t="n">
        <v>0</v>
      </c>
      <c r="M675" t="n">
        <v>0</v>
      </c>
      <c r="N675" t="n">
        <v>0</v>
      </c>
      <c r="O675" t="n">
        <v>0</v>
      </c>
      <c r="P675" t="n">
        <v>0</v>
      </c>
      <c r="Q675" t="n">
        <v>0</v>
      </c>
      <c r="R675" s="2" t="inlineStr"/>
    </row>
    <row r="676" ht="15" customHeight="1">
      <c r="A676" t="inlineStr">
        <is>
          <t>A 27480-2022</t>
        </is>
      </c>
      <c r="B676" s="1" t="n">
        <v>44742.60590277778</v>
      </c>
      <c r="C676" s="1" t="n">
        <v>46074</v>
      </c>
      <c r="D676" t="inlineStr">
        <is>
          <t>DALARNAS LÄN</t>
        </is>
      </c>
      <c r="E676" t="inlineStr">
        <is>
          <t>ÄLVDALEN</t>
        </is>
      </c>
      <c r="F676" t="inlineStr">
        <is>
          <t>Bergvik skog väst AB</t>
        </is>
      </c>
      <c r="G676" t="n">
        <v>4.1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46074</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17051-2023</t>
        </is>
      </c>
      <c r="B678" s="1" t="n">
        <v>45034</v>
      </c>
      <c r="C678" s="1" t="n">
        <v>46074</v>
      </c>
      <c r="D678" t="inlineStr">
        <is>
          <t>DALARNAS LÄN</t>
        </is>
      </c>
      <c r="E678" t="inlineStr">
        <is>
          <t>ÄLVDALEN</t>
        </is>
      </c>
      <c r="G678" t="n">
        <v>4.2</v>
      </c>
      <c r="H678" t="n">
        <v>0</v>
      </c>
      <c r="I678" t="n">
        <v>0</v>
      </c>
      <c r="J678" t="n">
        <v>0</v>
      </c>
      <c r="K678" t="n">
        <v>0</v>
      </c>
      <c r="L678" t="n">
        <v>0</v>
      </c>
      <c r="M678" t="n">
        <v>0</v>
      </c>
      <c r="N678" t="n">
        <v>0</v>
      </c>
      <c r="O678" t="n">
        <v>0</v>
      </c>
      <c r="P678" t="n">
        <v>0</v>
      </c>
      <c r="Q678" t="n">
        <v>0</v>
      </c>
      <c r="R678" s="2" t="inlineStr"/>
    </row>
    <row r="679" ht="15" customHeight="1">
      <c r="A679" t="inlineStr">
        <is>
          <t>A 7576-2024</t>
        </is>
      </c>
      <c r="B679" s="1" t="n">
        <v>45348.47555555555</v>
      </c>
      <c r="C679" s="1" t="n">
        <v>46074</v>
      </c>
      <c r="D679" t="inlineStr">
        <is>
          <t>DALARNAS LÄN</t>
        </is>
      </c>
      <c r="E679" t="inlineStr">
        <is>
          <t>ÄLVDALEN</t>
        </is>
      </c>
      <c r="G679" t="n">
        <v>11.1</v>
      </c>
      <c r="H679" t="n">
        <v>0</v>
      </c>
      <c r="I679" t="n">
        <v>0</v>
      </c>
      <c r="J679" t="n">
        <v>0</v>
      </c>
      <c r="K679" t="n">
        <v>0</v>
      </c>
      <c r="L679" t="n">
        <v>0</v>
      </c>
      <c r="M679" t="n">
        <v>0</v>
      </c>
      <c r="N679" t="n">
        <v>0</v>
      </c>
      <c r="O679" t="n">
        <v>0</v>
      </c>
      <c r="P679" t="n">
        <v>0</v>
      </c>
      <c r="Q679" t="n">
        <v>0</v>
      </c>
      <c r="R679" s="2" t="inlineStr"/>
    </row>
    <row r="680" ht="15" customHeight="1">
      <c r="A680" t="inlineStr">
        <is>
          <t>A 2381-2024</t>
        </is>
      </c>
      <c r="B680" s="1" t="n">
        <v>45310.64228009259</v>
      </c>
      <c r="C680" s="1" t="n">
        <v>46074</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60642-2021</t>
        </is>
      </c>
      <c r="B681" s="1" t="n">
        <v>44496.61677083333</v>
      </c>
      <c r="C681" s="1" t="n">
        <v>46074</v>
      </c>
      <c r="D681" t="inlineStr">
        <is>
          <t>DALARNAS LÄN</t>
        </is>
      </c>
      <c r="E681" t="inlineStr">
        <is>
          <t>ÄLVDALEN</t>
        </is>
      </c>
      <c r="F681" t="inlineStr">
        <is>
          <t>Allmännings- och besparingsskogar</t>
        </is>
      </c>
      <c r="G681" t="n">
        <v>0.9</v>
      </c>
      <c r="H681" t="n">
        <v>0</v>
      </c>
      <c r="I681" t="n">
        <v>0</v>
      </c>
      <c r="J681" t="n">
        <v>0</v>
      </c>
      <c r="K681" t="n">
        <v>0</v>
      </c>
      <c r="L681" t="n">
        <v>0</v>
      </c>
      <c r="M681" t="n">
        <v>0</v>
      </c>
      <c r="N681" t="n">
        <v>0</v>
      </c>
      <c r="O681" t="n">
        <v>0</v>
      </c>
      <c r="P681" t="n">
        <v>0</v>
      </c>
      <c r="Q681" t="n">
        <v>0</v>
      </c>
      <c r="R681" s="2" t="inlineStr"/>
    </row>
    <row r="682" ht="15" customHeight="1">
      <c r="A682" t="inlineStr">
        <is>
          <t>A 20924-2025</t>
        </is>
      </c>
      <c r="B682" s="1" t="n">
        <v>45777</v>
      </c>
      <c r="C682" s="1" t="n">
        <v>46074</v>
      </c>
      <c r="D682" t="inlineStr">
        <is>
          <t>DALARNAS LÄN</t>
        </is>
      </c>
      <c r="E682" t="inlineStr">
        <is>
          <t>ÄLVDALEN</t>
        </is>
      </c>
      <c r="G682" t="n">
        <v>2.3</v>
      </c>
      <c r="H682" t="n">
        <v>0</v>
      </c>
      <c r="I682" t="n">
        <v>0</v>
      </c>
      <c r="J682" t="n">
        <v>0</v>
      </c>
      <c r="K682" t="n">
        <v>0</v>
      </c>
      <c r="L682" t="n">
        <v>0</v>
      </c>
      <c r="M682" t="n">
        <v>0</v>
      </c>
      <c r="N682" t="n">
        <v>0</v>
      </c>
      <c r="O682" t="n">
        <v>0</v>
      </c>
      <c r="P682" t="n">
        <v>0</v>
      </c>
      <c r="Q682" t="n">
        <v>0</v>
      </c>
      <c r="R682" s="2" t="inlineStr"/>
    </row>
    <row r="683" ht="15" customHeight="1">
      <c r="A683" t="inlineStr">
        <is>
          <t>A 21395-2025</t>
        </is>
      </c>
      <c r="B683" s="1" t="n">
        <v>45782.48197916667</v>
      </c>
      <c r="C683" s="1" t="n">
        <v>46074</v>
      </c>
      <c r="D683" t="inlineStr">
        <is>
          <t>DALARNAS LÄN</t>
        </is>
      </c>
      <c r="E683" t="inlineStr">
        <is>
          <t>ÄLVDALEN</t>
        </is>
      </c>
      <c r="G683" t="n">
        <v>6.4</v>
      </c>
      <c r="H683" t="n">
        <v>0</v>
      </c>
      <c r="I683" t="n">
        <v>0</v>
      </c>
      <c r="J683" t="n">
        <v>0</v>
      </c>
      <c r="K683" t="n">
        <v>0</v>
      </c>
      <c r="L683" t="n">
        <v>0</v>
      </c>
      <c r="M683" t="n">
        <v>0</v>
      </c>
      <c r="N683" t="n">
        <v>0</v>
      </c>
      <c r="O683" t="n">
        <v>0</v>
      </c>
      <c r="P683" t="n">
        <v>0</v>
      </c>
      <c r="Q683" t="n">
        <v>0</v>
      </c>
      <c r="R683" s="2" t="inlineStr"/>
    </row>
    <row r="684" ht="15" customHeight="1">
      <c r="A684" t="inlineStr">
        <is>
          <t>A 21613-2025</t>
        </is>
      </c>
      <c r="B684" s="1" t="n">
        <v>45783.39542824074</v>
      </c>
      <c r="C684" s="1" t="n">
        <v>46074</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21629-2025</t>
        </is>
      </c>
      <c r="B685" s="1" t="n">
        <v>45783.4247337963</v>
      </c>
      <c r="C685" s="1" t="n">
        <v>46074</v>
      </c>
      <c r="D685" t="inlineStr">
        <is>
          <t>DALARNAS LÄN</t>
        </is>
      </c>
      <c r="E685" t="inlineStr">
        <is>
          <t>ÄLVDALEN</t>
        </is>
      </c>
      <c r="G685" t="n">
        <v>1.8</v>
      </c>
      <c r="H685" t="n">
        <v>0</v>
      </c>
      <c r="I685" t="n">
        <v>0</v>
      </c>
      <c r="J685" t="n">
        <v>0</v>
      </c>
      <c r="K685" t="n">
        <v>0</v>
      </c>
      <c r="L685" t="n">
        <v>0</v>
      </c>
      <c r="M685" t="n">
        <v>0</v>
      </c>
      <c r="N685" t="n">
        <v>0</v>
      </c>
      <c r="O685" t="n">
        <v>0</v>
      </c>
      <c r="P685" t="n">
        <v>0</v>
      </c>
      <c r="Q685" t="n">
        <v>0</v>
      </c>
      <c r="R685" s="2" t="inlineStr"/>
    </row>
    <row r="686" ht="15" customHeight="1">
      <c r="A686" t="inlineStr">
        <is>
          <t>A 37061-2024</t>
        </is>
      </c>
      <c r="B686" s="1" t="n">
        <v>45539</v>
      </c>
      <c r="C686" s="1" t="n">
        <v>46074</v>
      </c>
      <c r="D686" t="inlineStr">
        <is>
          <t>DALARNAS LÄN</t>
        </is>
      </c>
      <c r="E686" t="inlineStr">
        <is>
          <t>ÄLVDALEN</t>
        </is>
      </c>
      <c r="G686" t="n">
        <v>0.8</v>
      </c>
      <c r="H686" t="n">
        <v>0</v>
      </c>
      <c r="I686" t="n">
        <v>0</v>
      </c>
      <c r="J686" t="n">
        <v>0</v>
      </c>
      <c r="K686" t="n">
        <v>0</v>
      </c>
      <c r="L686" t="n">
        <v>0</v>
      </c>
      <c r="M686" t="n">
        <v>0</v>
      </c>
      <c r="N686" t="n">
        <v>0</v>
      </c>
      <c r="O686" t="n">
        <v>0</v>
      </c>
      <c r="P686" t="n">
        <v>0</v>
      </c>
      <c r="Q686" t="n">
        <v>0</v>
      </c>
      <c r="R686" s="2" t="inlineStr"/>
    </row>
    <row r="687" ht="15" customHeight="1">
      <c r="A687" t="inlineStr">
        <is>
          <t>A 22189-2025</t>
        </is>
      </c>
      <c r="B687" s="1" t="n">
        <v>45785.62479166667</v>
      </c>
      <c r="C687" s="1" t="n">
        <v>46074</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19708-2024</t>
        </is>
      </c>
      <c r="B688" s="1" t="n">
        <v>45432.55324074074</v>
      </c>
      <c r="C688" s="1" t="n">
        <v>46074</v>
      </c>
      <c r="D688" t="inlineStr">
        <is>
          <t>DALARNAS LÄN</t>
        </is>
      </c>
      <c r="E688" t="inlineStr">
        <is>
          <t>ÄLVDALEN</t>
        </is>
      </c>
      <c r="G688" t="n">
        <v>12.4</v>
      </c>
      <c r="H688" t="n">
        <v>0</v>
      </c>
      <c r="I688" t="n">
        <v>0</v>
      </c>
      <c r="J688" t="n">
        <v>0</v>
      </c>
      <c r="K688" t="n">
        <v>0</v>
      </c>
      <c r="L688" t="n">
        <v>0</v>
      </c>
      <c r="M688" t="n">
        <v>0</v>
      </c>
      <c r="N688" t="n">
        <v>0</v>
      </c>
      <c r="O688" t="n">
        <v>0</v>
      </c>
      <c r="P688" t="n">
        <v>0</v>
      </c>
      <c r="Q688" t="n">
        <v>0</v>
      </c>
      <c r="R688" s="2" t="inlineStr"/>
    </row>
    <row r="689" ht="15" customHeight="1">
      <c r="A689" t="inlineStr">
        <is>
          <t>A 21469-2024</t>
        </is>
      </c>
      <c r="B689" s="1" t="n">
        <v>45441.486875</v>
      </c>
      <c r="C689" s="1" t="n">
        <v>46074</v>
      </c>
      <c r="D689" t="inlineStr">
        <is>
          <t>DALARNAS LÄN</t>
        </is>
      </c>
      <c r="E689" t="inlineStr">
        <is>
          <t>ÄLVDALEN</t>
        </is>
      </c>
      <c r="G689" t="n">
        <v>1</v>
      </c>
      <c r="H689" t="n">
        <v>0</v>
      </c>
      <c r="I689" t="n">
        <v>0</v>
      </c>
      <c r="J689" t="n">
        <v>0</v>
      </c>
      <c r="K689" t="n">
        <v>0</v>
      </c>
      <c r="L689" t="n">
        <v>0</v>
      </c>
      <c r="M689" t="n">
        <v>0</v>
      </c>
      <c r="N689" t="n">
        <v>0</v>
      </c>
      <c r="O689" t="n">
        <v>0</v>
      </c>
      <c r="P689" t="n">
        <v>0</v>
      </c>
      <c r="Q689" t="n">
        <v>0</v>
      </c>
      <c r="R689" s="2" t="inlineStr"/>
    </row>
    <row r="690" ht="15" customHeight="1">
      <c r="A690" t="inlineStr">
        <is>
          <t>A 32594-2023</t>
        </is>
      </c>
      <c r="B690" s="1" t="n">
        <v>45121.50986111111</v>
      </c>
      <c r="C690" s="1" t="n">
        <v>46074</v>
      </c>
      <c r="D690" t="inlineStr">
        <is>
          <t>DALARNAS LÄN</t>
        </is>
      </c>
      <c r="E690" t="inlineStr">
        <is>
          <t>ÄLVDALEN</t>
        </is>
      </c>
      <c r="G690" t="n">
        <v>4</v>
      </c>
      <c r="H690" t="n">
        <v>0</v>
      </c>
      <c r="I690" t="n">
        <v>0</v>
      </c>
      <c r="J690" t="n">
        <v>0</v>
      </c>
      <c r="K690" t="n">
        <v>0</v>
      </c>
      <c r="L690" t="n">
        <v>0</v>
      </c>
      <c r="M690" t="n">
        <v>0</v>
      </c>
      <c r="N690" t="n">
        <v>0</v>
      </c>
      <c r="O690" t="n">
        <v>0</v>
      </c>
      <c r="P690" t="n">
        <v>0</v>
      </c>
      <c r="Q690" t="n">
        <v>0</v>
      </c>
      <c r="R690" s="2" t="inlineStr"/>
    </row>
    <row r="691" ht="15" customHeight="1">
      <c r="A691" t="inlineStr">
        <is>
          <t>A 7581-2024</t>
        </is>
      </c>
      <c r="B691" s="1" t="n">
        <v>45348.49204861111</v>
      </c>
      <c r="C691" s="1" t="n">
        <v>46074</v>
      </c>
      <c r="D691" t="inlineStr">
        <is>
          <t>DALARNAS LÄN</t>
        </is>
      </c>
      <c r="E691" t="inlineStr">
        <is>
          <t>ÄLVDALEN</t>
        </is>
      </c>
      <c r="G691" t="n">
        <v>1.5</v>
      </c>
      <c r="H691" t="n">
        <v>0</v>
      </c>
      <c r="I691" t="n">
        <v>0</v>
      </c>
      <c r="J691" t="n">
        <v>0</v>
      </c>
      <c r="K691" t="n">
        <v>0</v>
      </c>
      <c r="L691" t="n">
        <v>0</v>
      </c>
      <c r="M691" t="n">
        <v>0</v>
      </c>
      <c r="N691" t="n">
        <v>0</v>
      </c>
      <c r="O691" t="n">
        <v>0</v>
      </c>
      <c r="P691" t="n">
        <v>0</v>
      </c>
      <c r="Q691" t="n">
        <v>0</v>
      </c>
      <c r="R691" s="2" t="inlineStr"/>
    </row>
    <row r="692" ht="15" customHeight="1">
      <c r="A692" t="inlineStr">
        <is>
          <t>A 22631-2025</t>
        </is>
      </c>
      <c r="B692" s="1" t="n">
        <v>45789.44056712963</v>
      </c>
      <c r="C692" s="1" t="n">
        <v>46074</v>
      </c>
      <c r="D692" t="inlineStr">
        <is>
          <t>DALARNAS LÄN</t>
        </is>
      </c>
      <c r="E692" t="inlineStr">
        <is>
          <t>ÄLVDALEN</t>
        </is>
      </c>
      <c r="F692" t="inlineStr">
        <is>
          <t>Allmännings- och besparingsskogar</t>
        </is>
      </c>
      <c r="G692" t="n">
        <v>2</v>
      </c>
      <c r="H692" t="n">
        <v>0</v>
      </c>
      <c r="I692" t="n">
        <v>0</v>
      </c>
      <c r="J692" t="n">
        <v>0</v>
      </c>
      <c r="K692" t="n">
        <v>0</v>
      </c>
      <c r="L692" t="n">
        <v>0</v>
      </c>
      <c r="M692" t="n">
        <v>0</v>
      </c>
      <c r="N692" t="n">
        <v>0</v>
      </c>
      <c r="O692" t="n">
        <v>0</v>
      </c>
      <c r="P692" t="n">
        <v>0</v>
      </c>
      <c r="Q692" t="n">
        <v>0</v>
      </c>
      <c r="R692" s="2" t="inlineStr"/>
    </row>
    <row r="693" ht="15" customHeight="1">
      <c r="A693" t="inlineStr">
        <is>
          <t>A 22559-2025</t>
        </is>
      </c>
      <c r="B693" s="1" t="n">
        <v>45789.32916666667</v>
      </c>
      <c r="C693" s="1" t="n">
        <v>46074</v>
      </c>
      <c r="D693" t="inlineStr">
        <is>
          <t>DALARNAS LÄN</t>
        </is>
      </c>
      <c r="E693" t="inlineStr">
        <is>
          <t>ÄLVDALEN</t>
        </is>
      </c>
      <c r="F693" t="inlineStr">
        <is>
          <t>Allmännings- och besparingsskogar</t>
        </is>
      </c>
      <c r="G693" t="n">
        <v>6.4</v>
      </c>
      <c r="H693" t="n">
        <v>0</v>
      </c>
      <c r="I693" t="n">
        <v>0</v>
      </c>
      <c r="J693" t="n">
        <v>0</v>
      </c>
      <c r="K693" t="n">
        <v>0</v>
      </c>
      <c r="L693" t="n">
        <v>0</v>
      </c>
      <c r="M693" t="n">
        <v>0</v>
      </c>
      <c r="N693" t="n">
        <v>0</v>
      </c>
      <c r="O693" t="n">
        <v>0</v>
      </c>
      <c r="P693" t="n">
        <v>0</v>
      </c>
      <c r="Q693" t="n">
        <v>0</v>
      </c>
      <c r="R693" s="2" t="inlineStr"/>
    </row>
    <row r="694" ht="15" customHeight="1">
      <c r="A694" t="inlineStr">
        <is>
          <t>A 22577-2025</t>
        </is>
      </c>
      <c r="B694" s="1" t="n">
        <v>45789.36928240741</v>
      </c>
      <c r="C694" s="1" t="n">
        <v>46074</v>
      </c>
      <c r="D694" t="inlineStr">
        <is>
          <t>DALARNAS LÄN</t>
        </is>
      </c>
      <c r="E694" t="inlineStr">
        <is>
          <t>ÄLVDALEN</t>
        </is>
      </c>
      <c r="F694" t="inlineStr">
        <is>
          <t>Allmännings- och besparingsskogar</t>
        </is>
      </c>
      <c r="G694" t="n">
        <v>18.1</v>
      </c>
      <c r="H694" t="n">
        <v>0</v>
      </c>
      <c r="I694" t="n">
        <v>0</v>
      </c>
      <c r="J694" t="n">
        <v>0</v>
      </c>
      <c r="K694" t="n">
        <v>0</v>
      </c>
      <c r="L694" t="n">
        <v>0</v>
      </c>
      <c r="M694" t="n">
        <v>0</v>
      </c>
      <c r="N694" t="n">
        <v>0</v>
      </c>
      <c r="O694" t="n">
        <v>0</v>
      </c>
      <c r="P694" t="n">
        <v>0</v>
      </c>
      <c r="Q694" t="n">
        <v>0</v>
      </c>
      <c r="R694" s="2" t="inlineStr"/>
    </row>
    <row r="695" ht="15" customHeight="1">
      <c r="A695" t="inlineStr">
        <is>
          <t>A 22303-2025</t>
        </is>
      </c>
      <c r="B695" s="1" t="n">
        <v>45786</v>
      </c>
      <c r="C695" s="1" t="n">
        <v>46074</v>
      </c>
      <c r="D695" t="inlineStr">
        <is>
          <t>DALARNAS LÄN</t>
        </is>
      </c>
      <c r="E695" t="inlineStr">
        <is>
          <t>ÄLVDALEN</t>
        </is>
      </c>
      <c r="G695" t="n">
        <v>3.7</v>
      </c>
      <c r="H695" t="n">
        <v>0</v>
      </c>
      <c r="I695" t="n">
        <v>0</v>
      </c>
      <c r="J695" t="n">
        <v>0</v>
      </c>
      <c r="K695" t="n">
        <v>0</v>
      </c>
      <c r="L695" t="n">
        <v>0</v>
      </c>
      <c r="M695" t="n">
        <v>0</v>
      </c>
      <c r="N695" t="n">
        <v>0</v>
      </c>
      <c r="O695" t="n">
        <v>0</v>
      </c>
      <c r="P695" t="n">
        <v>0</v>
      </c>
      <c r="Q695" t="n">
        <v>0</v>
      </c>
      <c r="R695" s="2" t="inlineStr"/>
    </row>
    <row r="696" ht="15" customHeight="1">
      <c r="A696" t="inlineStr">
        <is>
          <t>A 51967-2023</t>
        </is>
      </c>
      <c r="B696" s="1" t="n">
        <v>45223.56440972222</v>
      </c>
      <c r="C696" s="1" t="n">
        <v>46074</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22909-2025</t>
        </is>
      </c>
      <c r="B697" s="1" t="n">
        <v>45790.42219907408</v>
      </c>
      <c r="C697" s="1" t="n">
        <v>46074</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23219-2025</t>
        </is>
      </c>
      <c r="B698" s="1" t="n">
        <v>45791.47893518519</v>
      </c>
      <c r="C698" s="1" t="n">
        <v>46074</v>
      </c>
      <c r="D698" t="inlineStr">
        <is>
          <t>DALARNAS LÄN</t>
        </is>
      </c>
      <c r="E698" t="inlineStr">
        <is>
          <t>ÄLVDALEN</t>
        </is>
      </c>
      <c r="F698" t="inlineStr">
        <is>
          <t>Bergvik skog öst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23555-2025</t>
        </is>
      </c>
      <c r="B699" s="1" t="n">
        <v>45792.57824074074</v>
      </c>
      <c r="C699" s="1" t="n">
        <v>46074</v>
      </c>
      <c r="D699" t="inlineStr">
        <is>
          <t>DALARNAS LÄN</t>
        </is>
      </c>
      <c r="E699" t="inlineStr">
        <is>
          <t>ÄLVDALEN</t>
        </is>
      </c>
      <c r="G699" t="n">
        <v>3.1</v>
      </c>
      <c r="H699" t="n">
        <v>0</v>
      </c>
      <c r="I699" t="n">
        <v>0</v>
      </c>
      <c r="J699" t="n">
        <v>0</v>
      </c>
      <c r="K699" t="n">
        <v>0</v>
      </c>
      <c r="L699" t="n">
        <v>0</v>
      </c>
      <c r="M699" t="n">
        <v>0</v>
      </c>
      <c r="N699" t="n">
        <v>0</v>
      </c>
      <c r="O699" t="n">
        <v>0</v>
      </c>
      <c r="P699" t="n">
        <v>0</v>
      </c>
      <c r="Q699" t="n">
        <v>0</v>
      </c>
      <c r="R699" s="2" t="inlineStr"/>
    </row>
    <row r="700" ht="15" customHeight="1">
      <c r="A700" t="inlineStr">
        <is>
          <t>A 47645-2024</t>
        </is>
      </c>
      <c r="B700" s="1" t="n">
        <v>45588.37167824074</v>
      </c>
      <c r="C700" s="1" t="n">
        <v>46074</v>
      </c>
      <c r="D700" t="inlineStr">
        <is>
          <t>DALARNAS LÄN</t>
        </is>
      </c>
      <c r="E700" t="inlineStr">
        <is>
          <t>ÄLVDALEN</t>
        </is>
      </c>
      <c r="G700" t="n">
        <v>4.6</v>
      </c>
      <c r="H700" t="n">
        <v>0</v>
      </c>
      <c r="I700" t="n">
        <v>0</v>
      </c>
      <c r="J700" t="n">
        <v>0</v>
      </c>
      <c r="K700" t="n">
        <v>0</v>
      </c>
      <c r="L700" t="n">
        <v>0</v>
      </c>
      <c r="M700" t="n">
        <v>0</v>
      </c>
      <c r="N700" t="n">
        <v>0</v>
      </c>
      <c r="O700" t="n">
        <v>0</v>
      </c>
      <c r="P700" t="n">
        <v>0</v>
      </c>
      <c r="Q700" t="n">
        <v>0</v>
      </c>
      <c r="R700" s="2" t="inlineStr"/>
    </row>
    <row r="701" ht="15" customHeight="1">
      <c r="A701" t="inlineStr">
        <is>
          <t>A 23328-2024</t>
        </is>
      </c>
      <c r="B701" s="1" t="n">
        <v>45453.46716435185</v>
      </c>
      <c r="C701" s="1" t="n">
        <v>46074</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24950-2025</t>
        </is>
      </c>
      <c r="B702" s="1" t="n">
        <v>45799.56943287037</v>
      </c>
      <c r="C702" s="1" t="n">
        <v>46074</v>
      </c>
      <c r="D702" t="inlineStr">
        <is>
          <t>DALARNAS LÄN</t>
        </is>
      </c>
      <c r="E702" t="inlineStr">
        <is>
          <t>ÄLVDALEN</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24637-2025</t>
        </is>
      </c>
      <c r="B703" s="1" t="n">
        <v>45798.616875</v>
      </c>
      <c r="C703" s="1" t="n">
        <v>46074</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25086-2025</t>
        </is>
      </c>
      <c r="B704" s="1" t="n">
        <v>45800</v>
      </c>
      <c r="C704" s="1" t="n">
        <v>46074</v>
      </c>
      <c r="D704" t="inlineStr">
        <is>
          <t>DALARNAS LÄN</t>
        </is>
      </c>
      <c r="E704" t="inlineStr">
        <is>
          <t>ÄLVDALEN</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26285-2025</t>
        </is>
      </c>
      <c r="B705" s="1" t="n">
        <v>45805.61885416666</v>
      </c>
      <c r="C705" s="1" t="n">
        <v>46074</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50037-2022</t>
        </is>
      </c>
      <c r="B706" s="1" t="n">
        <v>44865.46136574074</v>
      </c>
      <c r="C706" s="1" t="n">
        <v>46074</v>
      </c>
      <c r="D706" t="inlineStr">
        <is>
          <t>DALARNAS LÄN</t>
        </is>
      </c>
      <c r="E706" t="inlineStr">
        <is>
          <t>ÄLVDALEN</t>
        </is>
      </c>
      <c r="F706" t="inlineStr">
        <is>
          <t>Allmännings- och besparingsskogar</t>
        </is>
      </c>
      <c r="G706" t="n">
        <v>5.8</v>
      </c>
      <c r="H706" t="n">
        <v>0</v>
      </c>
      <c r="I706" t="n">
        <v>0</v>
      </c>
      <c r="J706" t="n">
        <v>0</v>
      </c>
      <c r="K706" t="n">
        <v>0</v>
      </c>
      <c r="L706" t="n">
        <v>0</v>
      </c>
      <c r="M706" t="n">
        <v>0</v>
      </c>
      <c r="N706" t="n">
        <v>0</v>
      </c>
      <c r="O706" t="n">
        <v>0</v>
      </c>
      <c r="P706" t="n">
        <v>0</v>
      </c>
      <c r="Q706" t="n">
        <v>0</v>
      </c>
      <c r="R706" s="2" t="inlineStr"/>
    </row>
    <row r="707" ht="15" customHeight="1">
      <c r="A707" t="inlineStr">
        <is>
          <t>A 25879-2025</t>
        </is>
      </c>
      <c r="B707" s="1" t="n">
        <v>45804.49605324074</v>
      </c>
      <c r="C707" s="1" t="n">
        <v>46074</v>
      </c>
      <c r="D707" t="inlineStr">
        <is>
          <t>DALARNAS LÄN</t>
        </is>
      </c>
      <c r="E707" t="inlineStr">
        <is>
          <t>ÄLVDALEN</t>
        </is>
      </c>
      <c r="F707" t="inlineStr">
        <is>
          <t>Allmännings- och besparingsskogar</t>
        </is>
      </c>
      <c r="G707" t="n">
        <v>0.2</v>
      </c>
      <c r="H707" t="n">
        <v>0</v>
      </c>
      <c r="I707" t="n">
        <v>0</v>
      </c>
      <c r="J707" t="n">
        <v>0</v>
      </c>
      <c r="K707" t="n">
        <v>0</v>
      </c>
      <c r="L707" t="n">
        <v>0</v>
      </c>
      <c r="M707" t="n">
        <v>0</v>
      </c>
      <c r="N707" t="n">
        <v>0</v>
      </c>
      <c r="O707" t="n">
        <v>0</v>
      </c>
      <c r="P707" t="n">
        <v>0</v>
      </c>
      <c r="Q707" t="n">
        <v>0</v>
      </c>
      <c r="R707" s="2" t="inlineStr"/>
    </row>
    <row r="708" ht="15" customHeight="1">
      <c r="A708" t="inlineStr">
        <is>
          <t>A 25823-2025</t>
        </is>
      </c>
      <c r="B708" s="1" t="n">
        <v>45804.4396412037</v>
      </c>
      <c r="C708" s="1" t="n">
        <v>46074</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26704-2025</t>
        </is>
      </c>
      <c r="B709" s="1" t="n">
        <v>45810.45271990741</v>
      </c>
      <c r="C709" s="1" t="n">
        <v>46074</v>
      </c>
      <c r="D709" t="inlineStr">
        <is>
          <t>DALARNAS LÄN</t>
        </is>
      </c>
      <c r="E709" t="inlineStr">
        <is>
          <t>ÄLVDALEN</t>
        </is>
      </c>
      <c r="F709" t="inlineStr">
        <is>
          <t>Bergvik skog väst AB</t>
        </is>
      </c>
      <c r="G709" t="n">
        <v>32.3</v>
      </c>
      <c r="H709" t="n">
        <v>0</v>
      </c>
      <c r="I709" t="n">
        <v>0</v>
      </c>
      <c r="J709" t="n">
        <v>0</v>
      </c>
      <c r="K709" t="n">
        <v>0</v>
      </c>
      <c r="L709" t="n">
        <v>0</v>
      </c>
      <c r="M709" t="n">
        <v>0</v>
      </c>
      <c r="N709" t="n">
        <v>0</v>
      </c>
      <c r="O709" t="n">
        <v>0</v>
      </c>
      <c r="P709" t="n">
        <v>0</v>
      </c>
      <c r="Q709" t="n">
        <v>0</v>
      </c>
      <c r="R709" s="2" t="inlineStr"/>
    </row>
    <row r="710" ht="15" customHeight="1">
      <c r="A710" t="inlineStr">
        <is>
          <t>A 2546-2025</t>
        </is>
      </c>
      <c r="B710" s="1" t="n">
        <v>45674.62240740741</v>
      </c>
      <c r="C710" s="1" t="n">
        <v>46074</v>
      </c>
      <c r="D710" t="inlineStr">
        <is>
          <t>DALARNAS LÄN</t>
        </is>
      </c>
      <c r="E710" t="inlineStr">
        <is>
          <t>ÄLVDALEN</t>
        </is>
      </c>
      <c r="G710" t="n">
        <v>2</v>
      </c>
      <c r="H710" t="n">
        <v>0</v>
      </c>
      <c r="I710" t="n">
        <v>0</v>
      </c>
      <c r="J710" t="n">
        <v>0</v>
      </c>
      <c r="K710" t="n">
        <v>0</v>
      </c>
      <c r="L710" t="n">
        <v>0</v>
      </c>
      <c r="M710" t="n">
        <v>0</v>
      </c>
      <c r="N710" t="n">
        <v>0</v>
      </c>
      <c r="O710" t="n">
        <v>0</v>
      </c>
      <c r="P710" t="n">
        <v>0</v>
      </c>
      <c r="Q710" t="n">
        <v>0</v>
      </c>
      <c r="R710" s="2" t="inlineStr"/>
    </row>
    <row r="711" ht="15" customHeight="1">
      <c r="A711" t="inlineStr">
        <is>
          <t>A 27090-2025</t>
        </is>
      </c>
      <c r="B711" s="1" t="n">
        <v>45811.66903935185</v>
      </c>
      <c r="C711" s="1" t="n">
        <v>46074</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27230-2025</t>
        </is>
      </c>
      <c r="B712" s="1" t="n">
        <v>45812.43825231482</v>
      </c>
      <c r="C712" s="1" t="n">
        <v>46074</v>
      </c>
      <c r="D712" t="inlineStr">
        <is>
          <t>DALARNAS LÄN</t>
        </is>
      </c>
      <c r="E712" t="inlineStr">
        <is>
          <t>ÄLVDALEN</t>
        </is>
      </c>
      <c r="F712" t="inlineStr">
        <is>
          <t>Allmännings- och besparingsskogar</t>
        </is>
      </c>
      <c r="G712" t="n">
        <v>4</v>
      </c>
      <c r="H712" t="n">
        <v>0</v>
      </c>
      <c r="I712" t="n">
        <v>0</v>
      </c>
      <c r="J712" t="n">
        <v>0</v>
      </c>
      <c r="K712" t="n">
        <v>0</v>
      </c>
      <c r="L712" t="n">
        <v>0</v>
      </c>
      <c r="M712" t="n">
        <v>0</v>
      </c>
      <c r="N712" t="n">
        <v>0</v>
      </c>
      <c r="O712" t="n">
        <v>0</v>
      </c>
      <c r="P712" t="n">
        <v>0</v>
      </c>
      <c r="Q712" t="n">
        <v>0</v>
      </c>
      <c r="R712" s="2" t="inlineStr"/>
    </row>
    <row r="713" ht="15" customHeight="1">
      <c r="A713" t="inlineStr">
        <is>
          <t>A 27261-2025</t>
        </is>
      </c>
      <c r="B713" s="1" t="n">
        <v>45812.47674768518</v>
      </c>
      <c r="C713" s="1" t="n">
        <v>46074</v>
      </c>
      <c r="D713" t="inlineStr">
        <is>
          <t>DALARNAS LÄN</t>
        </is>
      </c>
      <c r="E713" t="inlineStr">
        <is>
          <t>ÄLVDALEN</t>
        </is>
      </c>
      <c r="F713" t="inlineStr">
        <is>
          <t>Bergvik skog väst AB</t>
        </is>
      </c>
      <c r="G713" t="n">
        <v>9.5</v>
      </c>
      <c r="H713" t="n">
        <v>0</v>
      </c>
      <c r="I713" t="n">
        <v>0</v>
      </c>
      <c r="J713" t="n">
        <v>0</v>
      </c>
      <c r="K713" t="n">
        <v>0</v>
      </c>
      <c r="L713" t="n">
        <v>0</v>
      </c>
      <c r="M713" t="n">
        <v>0</v>
      </c>
      <c r="N713" t="n">
        <v>0</v>
      </c>
      <c r="O713" t="n">
        <v>0</v>
      </c>
      <c r="P713" t="n">
        <v>0</v>
      </c>
      <c r="Q713" t="n">
        <v>0</v>
      </c>
      <c r="R713" s="2" t="inlineStr"/>
    </row>
    <row r="714">
      <c r="A714" t="inlineStr">
        <is>
          <t>A 7998-2024</t>
        </is>
      </c>
      <c r="B714" s="1" t="n">
        <v>45350.6433912037</v>
      </c>
      <c r="C714" s="1" t="n">
        <v>46074</v>
      </c>
      <c r="D714" t="inlineStr">
        <is>
          <t>DALARNAS LÄN</t>
        </is>
      </c>
      <c r="E714" t="inlineStr">
        <is>
          <t>ÄLVDALEN</t>
        </is>
      </c>
      <c r="F714" t="inlineStr">
        <is>
          <t>Kommuner</t>
        </is>
      </c>
      <c r="G714" t="n">
        <v>7.9</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2026-02-21T11:06:26Z</dcterms:created>
  <dcterms:modified xmlns:dcterms="http://purl.org/dc/terms/" xmlns:xsi="http://www.w3.org/2001/XMLSchema-instance" xsi:type="dcterms:W3CDTF">2026-02-21T11:06:26Z</dcterms:modified>
</cp:coreProperties>
</file>