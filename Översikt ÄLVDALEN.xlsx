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46032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46032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46032</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46032</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46032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46032</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46032</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63895-2023</t>
        </is>
      </c>
      <c r="B16" s="1" t="n">
        <v>45278</v>
      </c>
      <c r="C16" s="1" t="n">
        <v>46032</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46032</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46032</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46032</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56939-2025</t>
        </is>
      </c>
      <c r="B21" s="1" t="n">
        <v>45978.6218287037</v>
      </c>
      <c r="C21" s="1" t="n">
        <v>46032</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33285-2025</t>
        </is>
      </c>
      <c r="B22" s="1" t="n">
        <v>45840</v>
      </c>
      <c r="C22" s="1" t="n">
        <v>46032</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28823-2023</t>
        </is>
      </c>
      <c r="B23" s="1" t="n">
        <v>45104.38712962963</v>
      </c>
      <c r="C23" s="1" t="n">
        <v>46032</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46032</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46032</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46032</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46032</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46032</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46032</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46032</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46032</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5813-2025</t>
        </is>
      </c>
      <c r="B32" s="1" t="n">
        <v>45694</v>
      </c>
      <c r="C32" s="1" t="n">
        <v>46032</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46032</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49247-2025</t>
        </is>
      </c>
      <c r="B34" s="1" t="n">
        <v>45938.48887731481</v>
      </c>
      <c r="C34" s="1" t="n">
        <v>46032</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46032</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46032</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57095-2025</t>
        </is>
      </c>
      <c r="B37" s="1" t="n">
        <v>45979.43158564815</v>
      </c>
      <c r="C37" s="1" t="n">
        <v>46032</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46032</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36371-2025</t>
        </is>
      </c>
      <c r="B39" s="1" t="n">
        <v>45868</v>
      </c>
      <c r="C39" s="1" t="n">
        <v>46032</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46032</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47008-2025</t>
        </is>
      </c>
      <c r="B41" s="1" t="n">
        <v>45929.56971064815</v>
      </c>
      <c r="C41" s="1" t="n">
        <v>46032</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29154-2025</t>
        </is>
      </c>
      <c r="B42" s="1" t="n">
        <v>45821.65135416666</v>
      </c>
      <c r="C42" s="1" t="n">
        <v>46032</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49064-2025</t>
        </is>
      </c>
      <c r="B43" s="1" t="n">
        <v>45937.6440162037</v>
      </c>
      <c r="C43" s="1" t="n">
        <v>46032</v>
      </c>
      <c r="D43" t="inlineStr">
        <is>
          <t>DALARNAS LÄN</t>
        </is>
      </c>
      <c r="E43" t="inlineStr">
        <is>
          <t>ÄLVDALEN</t>
        </is>
      </c>
      <c r="F43" t="inlineStr">
        <is>
          <t>Allmännings- och besparingsskogar</t>
        </is>
      </c>
      <c r="G43" t="n">
        <v>16.7</v>
      </c>
      <c r="H43" t="n">
        <v>4</v>
      </c>
      <c r="I43" t="n">
        <v>2</v>
      </c>
      <c r="J43" t="n">
        <v>7</v>
      </c>
      <c r="K43" t="n">
        <v>0</v>
      </c>
      <c r="L43" t="n">
        <v>0</v>
      </c>
      <c r="M43" t="n">
        <v>0</v>
      </c>
      <c r="N43" t="n">
        <v>0</v>
      </c>
      <c r="O43" t="n">
        <v>7</v>
      </c>
      <c r="P43" t="n">
        <v>0</v>
      </c>
      <c r="Q43" t="n">
        <v>11</v>
      </c>
      <c r="R43" s="2" t="inlineStr">
        <is>
          <t>Garnlav
Kolflarnlav
Mörk kolflarnlav
Spillkråka
Talltita
Vedflamlav
Vedskivlav
Dropptaggsvamp
Mindre märgborre
Kungsfågel
Tjäder</t>
        </is>
      </c>
      <c r="S43">
        <f>HYPERLINK("https://klasma.github.io/Logging_2039/artfynd/A 49064-2025 artfynd.xlsx", "A 49064-2025")</f>
        <v/>
      </c>
      <c r="T43">
        <f>HYPERLINK("https://klasma.github.io/Logging_2039/kartor/A 49064-2025 karta.png", "A 49064-2025")</f>
        <v/>
      </c>
      <c r="V43">
        <f>HYPERLINK("https://klasma.github.io/Logging_2039/klagomål/A 49064-2025 FSC-klagomål.docx", "A 49064-2025")</f>
        <v/>
      </c>
      <c r="W43">
        <f>HYPERLINK("https://klasma.github.io/Logging_2039/klagomålsmail/A 49064-2025 FSC-klagomål mail.docx", "A 49064-2025")</f>
        <v/>
      </c>
      <c r="X43">
        <f>HYPERLINK("https://klasma.github.io/Logging_2039/tillsyn/A 49064-2025 tillsynsbegäran.docx", "A 49064-2025")</f>
        <v/>
      </c>
      <c r="Y43">
        <f>HYPERLINK("https://klasma.github.io/Logging_2039/tillsynsmail/A 49064-2025 tillsynsbegäran mail.docx", "A 49064-2025")</f>
        <v/>
      </c>
      <c r="Z43">
        <f>HYPERLINK("https://klasma.github.io/Logging_2039/fåglar/A 49064-2025 prioriterade fågelarter.docx", "A 49064-2025")</f>
        <v/>
      </c>
    </row>
    <row r="44" ht="15" customHeight="1">
      <c r="A44" t="inlineStr">
        <is>
          <t>A 39759-2025</t>
        </is>
      </c>
      <c r="B44" s="1" t="n">
        <v>45891.43167824074</v>
      </c>
      <c r="C44" s="1" t="n">
        <v>46032</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43867-2025</t>
        </is>
      </c>
      <c r="B45" s="1" t="n">
        <v>45912.65945601852</v>
      </c>
      <c r="C45" s="1" t="n">
        <v>46032</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32048-2025</t>
        </is>
      </c>
      <c r="B46" s="1" t="n">
        <v>45835</v>
      </c>
      <c r="C46" s="1" t="n">
        <v>46032</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38364-2021</t>
        </is>
      </c>
      <c r="B47" s="1" t="n">
        <v>44406</v>
      </c>
      <c r="C47" s="1" t="n">
        <v>46032</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31658-2025</t>
        </is>
      </c>
      <c r="B48" s="1" t="n">
        <v>45834.34892361111</v>
      </c>
      <c r="C48" s="1" t="n">
        <v>46032</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30220-2023</t>
        </is>
      </c>
      <c r="B49" s="1" t="n">
        <v>45110.64706018518</v>
      </c>
      <c r="C49" s="1" t="n">
        <v>46032</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34765-2025</t>
        </is>
      </c>
      <c r="B50" s="1" t="n">
        <v>45848</v>
      </c>
      <c r="C50" s="1" t="n">
        <v>46032</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46032</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46032</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16370-2024</t>
        </is>
      </c>
      <c r="B53" s="1" t="n">
        <v>45407</v>
      </c>
      <c r="C53" s="1" t="n">
        <v>46032</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55981-2025</t>
        </is>
      </c>
      <c r="B54" s="1" t="n">
        <v>45973.53064814815</v>
      </c>
      <c r="C54" s="1" t="n">
        <v>46032</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41753-2025</t>
        </is>
      </c>
      <c r="B55" s="1" t="n">
        <v>45902.49891203704</v>
      </c>
      <c r="C55" s="1" t="n">
        <v>46032</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38582-2023</t>
        </is>
      </c>
      <c r="B56" s="1" t="n">
        <v>45162</v>
      </c>
      <c r="C56" s="1" t="n">
        <v>46032</v>
      </c>
      <c r="D56" t="inlineStr">
        <is>
          <t>DALARNAS LÄN</t>
        </is>
      </c>
      <c r="E56" t="inlineStr">
        <is>
          <t>ÄLVDALEN</t>
        </is>
      </c>
      <c r="F56" t="inlineStr">
        <is>
          <t>Sveaskog</t>
        </is>
      </c>
      <c r="G56" t="n">
        <v>4.4</v>
      </c>
      <c r="H56" t="n">
        <v>1</v>
      </c>
      <c r="I56" t="n">
        <v>3</v>
      </c>
      <c r="J56" t="n">
        <v>5</v>
      </c>
      <c r="K56" t="n">
        <v>1</v>
      </c>
      <c r="L56" t="n">
        <v>0</v>
      </c>
      <c r="M56" t="n">
        <v>0</v>
      </c>
      <c r="N56" t="n">
        <v>0</v>
      </c>
      <c r="O56" t="n">
        <v>6</v>
      </c>
      <c r="P56" t="n">
        <v>1</v>
      </c>
      <c r="Q56" t="n">
        <v>9</v>
      </c>
      <c r="R56" s="2" t="inlineStr">
        <is>
          <t>Gräddporing
Blanksvart spiklav
Blå taggsvamp
Kolflarnlav
Mörk kolflarnlav
Vedskivlav
Dropptaggsvamp
Plattlummer
Skarp dropptaggsvamp</t>
        </is>
      </c>
      <c r="S56">
        <f>HYPERLINK("https://klasma.github.io/Logging_2039/artfynd/A 38582-2023 artfynd.xlsx", "A 38582-2023")</f>
        <v/>
      </c>
      <c r="T56">
        <f>HYPERLINK("https://klasma.github.io/Logging_2039/kartor/A 38582-2023 karta.png", "A 38582-2023")</f>
        <v/>
      </c>
      <c r="V56">
        <f>HYPERLINK("https://klasma.github.io/Logging_2039/klagomål/A 38582-2023 FSC-klagomål.docx", "A 38582-2023")</f>
        <v/>
      </c>
      <c r="W56">
        <f>HYPERLINK("https://klasma.github.io/Logging_2039/klagomålsmail/A 38582-2023 FSC-klagomål mail.docx", "A 38582-2023")</f>
        <v/>
      </c>
      <c r="X56">
        <f>HYPERLINK("https://klasma.github.io/Logging_2039/tillsyn/A 38582-2023 tillsynsbegäran.docx", "A 38582-2023")</f>
        <v/>
      </c>
      <c r="Y56">
        <f>HYPERLINK("https://klasma.github.io/Logging_2039/tillsynsmail/A 38582-2023 tillsynsbegäran mail.docx", "A 38582-2023")</f>
        <v/>
      </c>
    </row>
    <row r="57" ht="15" customHeight="1">
      <c r="A57" t="inlineStr">
        <is>
          <t>A 33487-2025</t>
        </is>
      </c>
      <c r="B57" s="1" t="n">
        <v>45841.50515046297</v>
      </c>
      <c r="C57" s="1" t="n">
        <v>46032</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46032</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46032</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46032</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71652-2021</t>
        </is>
      </c>
      <c r="B61" s="1" t="n">
        <v>44543</v>
      </c>
      <c r="C61" s="1" t="n">
        <v>46032</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41755-2025</t>
        </is>
      </c>
      <c r="B62" s="1" t="n">
        <v>45902.50262731482</v>
      </c>
      <c r="C62" s="1" t="n">
        <v>46032</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46032</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46032</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46032</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50070-2025</t>
        </is>
      </c>
      <c r="B66" s="1" t="n">
        <v>45943</v>
      </c>
      <c r="C66" s="1" t="n">
        <v>46032</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23427-2025</t>
        </is>
      </c>
      <c r="B67" s="1" t="n">
        <v>45792</v>
      </c>
      <c r="C67" s="1" t="n">
        <v>46032</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43051-2025</t>
        </is>
      </c>
      <c r="B68" s="1" t="n">
        <v>45909.56883101852</v>
      </c>
      <c r="C68" s="1" t="n">
        <v>46032</v>
      </c>
      <c r="D68" t="inlineStr">
        <is>
          <t>DALARNAS LÄN</t>
        </is>
      </c>
      <c r="E68" t="inlineStr">
        <is>
          <t>ÄLVDALEN</t>
        </is>
      </c>
      <c r="G68" t="n">
        <v>1.1</v>
      </c>
      <c r="H68" t="n">
        <v>4</v>
      </c>
      <c r="I68" t="n">
        <v>1</v>
      </c>
      <c r="J68" t="n">
        <v>4</v>
      </c>
      <c r="K68" t="n">
        <v>0</v>
      </c>
      <c r="L68" t="n">
        <v>0</v>
      </c>
      <c r="M68" t="n">
        <v>0</v>
      </c>
      <c r="N68" t="n">
        <v>0</v>
      </c>
      <c r="O68" t="n">
        <v>4</v>
      </c>
      <c r="P68" t="n">
        <v>0</v>
      </c>
      <c r="Q68" t="n">
        <v>8</v>
      </c>
      <c r="R68" s="2" t="inlineStr">
        <is>
          <t>Garnlav
Skrovellav
Tretåig hackspett
Vitgrynig nållav
Bronshjon
Pärluggla
Tjäder
Revlummer</t>
        </is>
      </c>
      <c r="S68">
        <f>HYPERLINK("https://klasma.github.io/Logging_2039/artfynd/A 43051-2025 artfynd.xlsx", "A 43051-2025")</f>
        <v/>
      </c>
      <c r="T68">
        <f>HYPERLINK("https://klasma.github.io/Logging_2039/kartor/A 43051-2025 karta.png", "A 43051-2025")</f>
        <v/>
      </c>
      <c r="V68">
        <f>HYPERLINK("https://klasma.github.io/Logging_2039/klagomål/A 43051-2025 FSC-klagomål.docx", "A 43051-2025")</f>
        <v/>
      </c>
      <c r="W68">
        <f>HYPERLINK("https://klasma.github.io/Logging_2039/klagomålsmail/A 43051-2025 FSC-klagomål mail.docx", "A 43051-2025")</f>
        <v/>
      </c>
      <c r="X68">
        <f>HYPERLINK("https://klasma.github.io/Logging_2039/tillsyn/A 43051-2025 tillsynsbegäran.docx", "A 43051-2025")</f>
        <v/>
      </c>
      <c r="Y68">
        <f>HYPERLINK("https://klasma.github.io/Logging_2039/tillsynsmail/A 43051-2025 tillsynsbegäran mail.docx", "A 43051-2025")</f>
        <v/>
      </c>
      <c r="Z68">
        <f>HYPERLINK("https://klasma.github.io/Logging_2039/fåglar/A 43051-2025 prioriterade fågelarter.docx", "A 43051-2025")</f>
        <v/>
      </c>
    </row>
    <row r="69" ht="15" customHeight="1">
      <c r="A69" t="inlineStr">
        <is>
          <t>A 17715-2024</t>
        </is>
      </c>
      <c r="B69" s="1" t="n">
        <v>45415</v>
      </c>
      <c r="C69" s="1" t="n">
        <v>46032</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14277-2024</t>
        </is>
      </c>
      <c r="B70" s="1" t="n">
        <v>45393</v>
      </c>
      <c r="C70" s="1" t="n">
        <v>46032</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25754-2025</t>
        </is>
      </c>
      <c r="B71" s="1" t="n">
        <v>45804.32020833333</v>
      </c>
      <c r="C71" s="1" t="n">
        <v>46032</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46032</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9783-2024</t>
        </is>
      </c>
      <c r="B73" s="1" t="n">
        <v>45362</v>
      </c>
      <c r="C73" s="1" t="n">
        <v>46032</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33882-2024</t>
        </is>
      </c>
      <c r="B74" s="1" t="n">
        <v>45522</v>
      </c>
      <c r="C74" s="1" t="n">
        <v>46032</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46032</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46032</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46032</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46032</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41750-2025</t>
        </is>
      </c>
      <c r="B79" s="1" t="n">
        <v>45902.49466435185</v>
      </c>
      <c r="C79" s="1" t="n">
        <v>46032</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46032</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46032</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46032</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46032</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46032</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40417-2025</t>
        </is>
      </c>
      <c r="B85" s="1" t="n">
        <v>45895</v>
      </c>
      <c r="C85" s="1" t="n">
        <v>46032</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58889-2025</t>
        </is>
      </c>
      <c r="B86" s="1" t="n">
        <v>45987.48891203704</v>
      </c>
      <c r="C86" s="1" t="n">
        <v>46032</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19534-2025</t>
        </is>
      </c>
      <c r="B87" s="1" t="n">
        <v>45770.47667824074</v>
      </c>
      <c r="C87" s="1" t="n">
        <v>46032</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19262-2025</t>
        </is>
      </c>
      <c r="B88" s="1" t="n">
        <v>45769.51054398148</v>
      </c>
      <c r="C88" s="1" t="n">
        <v>46032</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46032</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10282-2024</t>
        </is>
      </c>
      <c r="B90" s="1" t="n">
        <v>45365</v>
      </c>
      <c r="C90" s="1" t="n">
        <v>46032</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46032</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38585-2023</t>
        </is>
      </c>
      <c r="B92" s="1" t="n">
        <v>45162</v>
      </c>
      <c r="C92" s="1" t="n">
        <v>46032</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61591-2025</t>
        </is>
      </c>
      <c r="B93" s="1" t="n">
        <v>46002.34777777778</v>
      </c>
      <c r="C93" s="1" t="n">
        <v>46032</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16894-2025</t>
        </is>
      </c>
      <c r="B94" s="1" t="n">
        <v>45755.33045138889</v>
      </c>
      <c r="C94" s="1" t="n">
        <v>46032</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19616-2024</t>
        </is>
      </c>
      <c r="B95" s="1" t="n">
        <v>45432.31541666666</v>
      </c>
      <c r="C95" s="1" t="n">
        <v>46032</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46032</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46032</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22291-2025</t>
        </is>
      </c>
      <c r="B98" s="1" t="n">
        <v>45786.34568287037</v>
      </c>
      <c r="C98" s="1" t="n">
        <v>46032</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25090-2025</t>
        </is>
      </c>
      <c r="B99" s="1" t="n">
        <v>45800.31733796297</v>
      </c>
      <c r="C99" s="1" t="n">
        <v>46032</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25090-2025 artfynd.xlsx", "A 25090-2025")</f>
        <v/>
      </c>
      <c r="T99">
        <f>HYPERLINK("https://klasma.github.io/Logging_2039/kartor/A 25090-2025 karta.png", "A 25090-2025")</f>
        <v/>
      </c>
      <c r="V99">
        <f>HYPERLINK("https://klasma.github.io/Logging_2039/klagomål/A 25090-2025 FSC-klagomål.docx", "A 25090-2025")</f>
        <v/>
      </c>
      <c r="W99">
        <f>HYPERLINK("https://klasma.github.io/Logging_2039/klagomålsmail/A 25090-2025 FSC-klagomål mail.docx", "A 25090-2025")</f>
        <v/>
      </c>
      <c r="X99">
        <f>HYPERLINK("https://klasma.github.io/Logging_2039/tillsyn/A 25090-2025 tillsynsbegäran.docx", "A 25090-2025")</f>
        <v/>
      </c>
      <c r="Y99">
        <f>HYPERLINK("https://klasma.github.io/Logging_2039/tillsynsmail/A 25090-2025 tillsynsbegäran mail.docx", "A 25090-2025")</f>
        <v/>
      </c>
    </row>
    <row r="100" ht="15" customHeight="1">
      <c r="A100" t="inlineStr">
        <is>
          <t>A 43344-2025</t>
        </is>
      </c>
      <c r="B100" s="1" t="n">
        <v>45910.76924768519</v>
      </c>
      <c r="C100" s="1" t="n">
        <v>46032</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51896-2025</t>
        </is>
      </c>
      <c r="B101" s="1" t="n">
        <v>45952.43372685185</v>
      </c>
      <c r="C101" s="1" t="n">
        <v>46032</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61583-2025</t>
        </is>
      </c>
      <c r="B102" s="1" t="n">
        <v>46002.34027777778</v>
      </c>
      <c r="C102" s="1" t="n">
        <v>46032</v>
      </c>
      <c r="D102" t="inlineStr">
        <is>
          <t>DALARNAS LÄN</t>
        </is>
      </c>
      <c r="E102" t="inlineStr">
        <is>
          <t>ÄLVDALEN</t>
        </is>
      </c>
      <c r="F102" t="inlineStr">
        <is>
          <t>Sveaskog</t>
        </is>
      </c>
      <c r="G102" t="n">
        <v>6.7</v>
      </c>
      <c r="H102" t="n">
        <v>2</v>
      </c>
      <c r="I102" t="n">
        <v>1</v>
      </c>
      <c r="J102" t="n">
        <v>3</v>
      </c>
      <c r="K102" t="n">
        <v>0</v>
      </c>
      <c r="L102" t="n">
        <v>0</v>
      </c>
      <c r="M102" t="n">
        <v>0</v>
      </c>
      <c r="N102" t="n">
        <v>0</v>
      </c>
      <c r="O102" t="n">
        <v>3</v>
      </c>
      <c r="P102" t="n">
        <v>0</v>
      </c>
      <c r="Q102" t="n">
        <v>4</v>
      </c>
      <c r="R102" s="2" t="inlineStr">
        <is>
          <t>Kolflarnlav
Mörk kolflarnlav
Varglav
Plattlummer</t>
        </is>
      </c>
      <c r="S102">
        <f>HYPERLINK("https://klasma.github.io/Logging_2039/artfynd/A 61583-2025 artfynd.xlsx", "A 61583-2025")</f>
        <v/>
      </c>
      <c r="T102">
        <f>HYPERLINK("https://klasma.github.io/Logging_2039/kartor/A 61583-2025 karta.png", "A 61583-2025")</f>
        <v/>
      </c>
      <c r="V102">
        <f>HYPERLINK("https://klasma.github.io/Logging_2039/klagomål/A 61583-2025 FSC-klagomål.docx", "A 61583-2025")</f>
        <v/>
      </c>
      <c r="W102">
        <f>HYPERLINK("https://klasma.github.io/Logging_2039/klagomålsmail/A 61583-2025 FSC-klagomål mail.docx", "A 61583-2025")</f>
        <v/>
      </c>
      <c r="X102">
        <f>HYPERLINK("https://klasma.github.io/Logging_2039/tillsyn/A 61583-2025 tillsynsbegäran.docx", "A 61583-2025")</f>
        <v/>
      </c>
      <c r="Y102">
        <f>HYPERLINK("https://klasma.github.io/Logging_2039/tillsynsmail/A 61583-2025 tillsynsbegäran mail.docx", "A 61583-2025")</f>
        <v/>
      </c>
    </row>
    <row r="103" ht="15" customHeight="1">
      <c r="A103" t="inlineStr">
        <is>
          <t>A 61585-2025</t>
        </is>
      </c>
      <c r="B103" s="1" t="n">
        <v>46002.34267361111</v>
      </c>
      <c r="C103" s="1" t="n">
        <v>46032</v>
      </c>
      <c r="D103" t="inlineStr">
        <is>
          <t>DALARNAS LÄN</t>
        </is>
      </c>
      <c r="E103" t="inlineStr">
        <is>
          <t>ÄLVDALEN</t>
        </is>
      </c>
      <c r="F103" t="inlineStr">
        <is>
          <t>Sveaskog</t>
        </is>
      </c>
      <c r="G103" t="n">
        <v>11.2</v>
      </c>
      <c r="H103" t="n">
        <v>0</v>
      </c>
      <c r="I103" t="n">
        <v>0</v>
      </c>
      <c r="J103" t="n">
        <v>4</v>
      </c>
      <c r="K103" t="n">
        <v>0</v>
      </c>
      <c r="L103" t="n">
        <v>0</v>
      </c>
      <c r="M103" t="n">
        <v>0</v>
      </c>
      <c r="N103" t="n">
        <v>0</v>
      </c>
      <c r="O103" t="n">
        <v>4</v>
      </c>
      <c r="P103" t="n">
        <v>0</v>
      </c>
      <c r="Q103" t="n">
        <v>4</v>
      </c>
      <c r="R103" s="2" t="inlineStr">
        <is>
          <t>Dvärgbägarlav
Kolflarnlav
Skrovellav
Vedflamlav</t>
        </is>
      </c>
      <c r="S103">
        <f>HYPERLINK("https://klasma.github.io/Logging_2039/artfynd/A 61585-2025 artfynd.xlsx", "A 61585-2025")</f>
        <v/>
      </c>
      <c r="T103">
        <f>HYPERLINK("https://klasma.github.io/Logging_2039/kartor/A 61585-2025 karta.png", "A 61585-2025")</f>
        <v/>
      </c>
      <c r="V103">
        <f>HYPERLINK("https://klasma.github.io/Logging_2039/klagomål/A 61585-2025 FSC-klagomål.docx", "A 61585-2025")</f>
        <v/>
      </c>
      <c r="W103">
        <f>HYPERLINK("https://klasma.github.io/Logging_2039/klagomålsmail/A 61585-2025 FSC-klagomål mail.docx", "A 61585-2025")</f>
        <v/>
      </c>
      <c r="X103">
        <f>HYPERLINK("https://klasma.github.io/Logging_2039/tillsyn/A 61585-2025 tillsynsbegäran.docx", "A 61585-2025")</f>
        <v/>
      </c>
      <c r="Y103">
        <f>HYPERLINK("https://klasma.github.io/Logging_2039/tillsynsmail/A 61585-2025 tillsynsbegäran mail.docx", "A 61585-2025")</f>
        <v/>
      </c>
    </row>
    <row r="104" ht="15" customHeight="1">
      <c r="A104" t="inlineStr">
        <is>
          <t>A 29252-2023</t>
        </is>
      </c>
      <c r="B104" s="1" t="n">
        <v>45105</v>
      </c>
      <c r="C104" s="1" t="n">
        <v>46032</v>
      </c>
      <c r="D104" t="inlineStr">
        <is>
          <t>DALARNAS LÄN</t>
        </is>
      </c>
      <c r="E104" t="inlineStr">
        <is>
          <t>ÄLVDALEN</t>
        </is>
      </c>
      <c r="F104" t="inlineStr">
        <is>
          <t>Allmännings- och besparingsskogar</t>
        </is>
      </c>
      <c r="G104" t="n">
        <v>3.5</v>
      </c>
      <c r="H104" t="n">
        <v>1</v>
      </c>
      <c r="I104" t="n">
        <v>0</v>
      </c>
      <c r="J104" t="n">
        <v>4</v>
      </c>
      <c r="K104" t="n">
        <v>0</v>
      </c>
      <c r="L104" t="n">
        <v>0</v>
      </c>
      <c r="M104" t="n">
        <v>0</v>
      </c>
      <c r="N104" t="n">
        <v>0</v>
      </c>
      <c r="O104" t="n">
        <v>4</v>
      </c>
      <c r="P104" t="n">
        <v>0</v>
      </c>
      <c r="Q104" t="n">
        <v>4</v>
      </c>
      <c r="R104" s="2" t="inlineStr">
        <is>
          <t>Knottrig blåslav
Kolflarnlav
Varglav
Vedflamlav</t>
        </is>
      </c>
      <c r="S104">
        <f>HYPERLINK("https://klasma.github.io/Logging_2039/artfynd/A 29252-2023 artfynd.xlsx", "A 29252-2023")</f>
        <v/>
      </c>
      <c r="T104">
        <f>HYPERLINK("https://klasma.github.io/Logging_2039/kartor/A 29252-2023 karta.png", "A 29252-2023")</f>
        <v/>
      </c>
      <c r="V104">
        <f>HYPERLINK("https://klasma.github.io/Logging_2039/klagomål/A 29252-2023 FSC-klagomål.docx", "A 29252-2023")</f>
        <v/>
      </c>
      <c r="W104">
        <f>HYPERLINK("https://klasma.github.io/Logging_2039/klagomålsmail/A 29252-2023 FSC-klagomål mail.docx", "A 29252-2023")</f>
        <v/>
      </c>
      <c r="X104">
        <f>HYPERLINK("https://klasma.github.io/Logging_2039/tillsyn/A 29252-2023 tillsynsbegäran.docx", "A 29252-2023")</f>
        <v/>
      </c>
      <c r="Y104">
        <f>HYPERLINK("https://klasma.github.io/Logging_2039/tillsynsmail/A 29252-2023 tillsynsbegäran mail.docx", "A 29252-2023")</f>
        <v/>
      </c>
    </row>
    <row r="105" ht="15" customHeight="1">
      <c r="A105" t="inlineStr">
        <is>
          <t>A 36580-2024</t>
        </is>
      </c>
      <c r="B105" s="1" t="n">
        <v>45537.50400462963</v>
      </c>
      <c r="C105" s="1" t="n">
        <v>46032</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55222-2025</t>
        </is>
      </c>
      <c r="B106" s="1" t="n">
        <v>45968.59255787037</v>
      </c>
      <c r="C106" s="1" t="n">
        <v>46032</v>
      </c>
      <c r="D106" t="inlineStr">
        <is>
          <t>DALARNAS LÄN</t>
        </is>
      </c>
      <c r="E106" t="inlineStr">
        <is>
          <t>ÄLVDALEN</t>
        </is>
      </c>
      <c r="F106" t="inlineStr">
        <is>
          <t>Sveaskog</t>
        </is>
      </c>
      <c r="G106" t="n">
        <v>2.8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55222-2025 artfynd.xlsx", "A 55222-2025")</f>
        <v/>
      </c>
      <c r="T106">
        <f>HYPERLINK("https://klasma.github.io/Logging_2039/kartor/A 55222-2025 karta.png", "A 55222-2025")</f>
        <v/>
      </c>
      <c r="V106">
        <f>HYPERLINK("https://klasma.github.io/Logging_2039/klagomål/A 55222-2025 FSC-klagomål.docx", "A 55222-2025")</f>
        <v/>
      </c>
      <c r="W106">
        <f>HYPERLINK("https://klasma.github.io/Logging_2039/klagomålsmail/A 55222-2025 FSC-klagomål mail.docx", "A 55222-2025")</f>
        <v/>
      </c>
      <c r="X106">
        <f>HYPERLINK("https://klasma.github.io/Logging_2039/tillsyn/A 55222-2025 tillsynsbegäran.docx", "A 55222-2025")</f>
        <v/>
      </c>
      <c r="Y106">
        <f>HYPERLINK("https://klasma.github.io/Logging_2039/tillsynsmail/A 55222-2025 tillsynsbegäran mail.docx", "A 55222-2025")</f>
        <v/>
      </c>
    </row>
    <row r="107" ht="15" customHeight="1">
      <c r="A107" t="inlineStr">
        <is>
          <t>A 38819-2024</t>
        </is>
      </c>
      <c r="B107" s="1" t="n">
        <v>45547.5541087963</v>
      </c>
      <c r="C107" s="1" t="n">
        <v>46032</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46032</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32204-2024</t>
        </is>
      </c>
      <c r="B109" s="1" t="n">
        <v>45511.67277777778</v>
      </c>
      <c r="C109" s="1" t="n">
        <v>46032</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45511.67440972223</v>
      </c>
      <c r="C110" s="1" t="n">
        <v>46032</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59587-2025</t>
        </is>
      </c>
      <c r="B111" s="1" t="n">
        <v>45992.33722222222</v>
      </c>
      <c r="C111" s="1" t="n">
        <v>46032</v>
      </c>
      <c r="D111" t="inlineStr">
        <is>
          <t>DALARNAS LÄN</t>
        </is>
      </c>
      <c r="E111" t="inlineStr">
        <is>
          <t>ÄLVDALEN</t>
        </is>
      </c>
      <c r="F111" t="inlineStr">
        <is>
          <t>Sveaskog</t>
        </is>
      </c>
      <c r="G111" t="n">
        <v>10.7</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59587-2025 artfynd.xlsx", "A 59587-2025")</f>
        <v/>
      </c>
      <c r="T111">
        <f>HYPERLINK("https://klasma.github.io/Logging_2039/kartor/A 59587-2025 karta.png", "A 59587-2025")</f>
        <v/>
      </c>
      <c r="V111">
        <f>HYPERLINK("https://klasma.github.io/Logging_2039/klagomål/A 59587-2025 FSC-klagomål.docx", "A 59587-2025")</f>
        <v/>
      </c>
      <c r="W111">
        <f>HYPERLINK("https://klasma.github.io/Logging_2039/klagomålsmail/A 59587-2025 FSC-klagomål mail.docx", "A 59587-2025")</f>
        <v/>
      </c>
      <c r="X111">
        <f>HYPERLINK("https://klasma.github.io/Logging_2039/tillsyn/A 59587-2025 tillsynsbegäran.docx", "A 59587-2025")</f>
        <v/>
      </c>
      <c r="Y111">
        <f>HYPERLINK("https://klasma.github.io/Logging_2039/tillsynsmail/A 59587-2025 tillsynsbegäran mail.docx", "A 59587-2025")</f>
        <v/>
      </c>
    </row>
    <row r="112" ht="15" customHeight="1">
      <c r="A112" t="inlineStr">
        <is>
          <t>A 7024-2024</t>
        </is>
      </c>
      <c r="B112" s="1" t="n">
        <v>45343.57924768519</v>
      </c>
      <c r="C112" s="1" t="n">
        <v>46032</v>
      </c>
      <c r="D112" t="inlineStr">
        <is>
          <t>DALARNAS LÄN</t>
        </is>
      </c>
      <c r="E112" t="inlineStr">
        <is>
          <t>ÄLVDALEN</t>
        </is>
      </c>
      <c r="F112" t="inlineStr">
        <is>
          <t>Sveaskog</t>
        </is>
      </c>
      <c r="G112" t="n">
        <v>30.1</v>
      </c>
      <c r="H112" t="n">
        <v>0</v>
      </c>
      <c r="I112" t="n">
        <v>0</v>
      </c>
      <c r="J112" t="n">
        <v>2</v>
      </c>
      <c r="K112" t="n">
        <v>1</v>
      </c>
      <c r="L112" t="n">
        <v>0</v>
      </c>
      <c r="M112" t="n">
        <v>0</v>
      </c>
      <c r="N112" t="n">
        <v>0</v>
      </c>
      <c r="O112" t="n">
        <v>3</v>
      </c>
      <c r="P112" t="n">
        <v>1</v>
      </c>
      <c r="Q112" t="n">
        <v>3</v>
      </c>
      <c r="R112" s="2" t="inlineStr">
        <is>
          <t>Gräddporing
Nordtagging
Vaddporing</t>
        </is>
      </c>
      <c r="S112">
        <f>HYPERLINK("https://klasma.github.io/Logging_2039/artfynd/A 7024-2024 artfynd.xlsx", "A 7024-2024")</f>
        <v/>
      </c>
      <c r="T112">
        <f>HYPERLINK("https://klasma.github.io/Logging_2039/kartor/A 7024-2024 karta.png", "A 7024-2024")</f>
        <v/>
      </c>
      <c r="V112">
        <f>HYPERLINK("https://klasma.github.io/Logging_2039/klagomål/A 7024-2024 FSC-klagomål.docx", "A 7024-2024")</f>
        <v/>
      </c>
      <c r="W112">
        <f>HYPERLINK("https://klasma.github.io/Logging_2039/klagomålsmail/A 7024-2024 FSC-klagomål mail.docx", "A 7024-2024")</f>
        <v/>
      </c>
      <c r="X112">
        <f>HYPERLINK("https://klasma.github.io/Logging_2039/tillsyn/A 7024-2024 tillsynsbegäran.docx", "A 7024-2024")</f>
        <v/>
      </c>
      <c r="Y112">
        <f>HYPERLINK("https://klasma.github.io/Logging_2039/tillsynsmail/A 7024-2024 tillsynsbegäran mail.docx", "A 7024-2024")</f>
        <v/>
      </c>
    </row>
    <row r="113" ht="15" customHeight="1">
      <c r="A113" t="inlineStr">
        <is>
          <t>A 25758-2025</t>
        </is>
      </c>
      <c r="B113" s="1" t="n">
        <v>45804.33314814815</v>
      </c>
      <c r="C113" s="1" t="n">
        <v>46032</v>
      </c>
      <c r="D113" t="inlineStr">
        <is>
          <t>DALARNAS LÄN</t>
        </is>
      </c>
      <c r="E113" t="inlineStr">
        <is>
          <t>ÄLVDALEN</t>
        </is>
      </c>
      <c r="F113" t="inlineStr">
        <is>
          <t>Kommuner</t>
        </is>
      </c>
      <c r="G113" t="n">
        <v>2.2</v>
      </c>
      <c r="H113" t="n">
        <v>1</v>
      </c>
      <c r="I113" t="n">
        <v>1</v>
      </c>
      <c r="J113" t="n">
        <v>2</v>
      </c>
      <c r="K113" t="n">
        <v>0</v>
      </c>
      <c r="L113" t="n">
        <v>0</v>
      </c>
      <c r="M113" t="n">
        <v>0</v>
      </c>
      <c r="N113" t="n">
        <v>0</v>
      </c>
      <c r="O113" t="n">
        <v>2</v>
      </c>
      <c r="P113" t="n">
        <v>0</v>
      </c>
      <c r="Q113" t="n">
        <v>3</v>
      </c>
      <c r="R113" s="2" t="inlineStr">
        <is>
          <t>Garnlav
Spillkråka
Dropptaggsvamp</t>
        </is>
      </c>
      <c r="S113">
        <f>HYPERLINK("https://klasma.github.io/Logging_2039/artfynd/A 25758-2025 artfynd.xlsx", "A 25758-2025")</f>
        <v/>
      </c>
      <c r="T113">
        <f>HYPERLINK("https://klasma.github.io/Logging_2039/kartor/A 25758-2025 karta.png", "A 25758-2025")</f>
        <v/>
      </c>
      <c r="V113">
        <f>HYPERLINK("https://klasma.github.io/Logging_2039/klagomål/A 25758-2025 FSC-klagomål.docx", "A 25758-2025")</f>
        <v/>
      </c>
      <c r="W113">
        <f>HYPERLINK("https://klasma.github.io/Logging_2039/klagomålsmail/A 25758-2025 FSC-klagomål mail.docx", "A 25758-2025")</f>
        <v/>
      </c>
      <c r="X113">
        <f>HYPERLINK("https://klasma.github.io/Logging_2039/tillsyn/A 25758-2025 tillsynsbegäran.docx", "A 25758-2025")</f>
        <v/>
      </c>
      <c r="Y113">
        <f>HYPERLINK("https://klasma.github.io/Logging_2039/tillsynsmail/A 25758-2025 tillsynsbegäran mail.docx", "A 25758-2025")</f>
        <v/>
      </c>
      <c r="Z113">
        <f>HYPERLINK("https://klasma.github.io/Logging_2039/fåglar/A 25758-2025 prioriterade fågelarter.docx", "A 25758-2025")</f>
        <v/>
      </c>
    </row>
    <row r="114" ht="15" customHeight="1">
      <c r="A114" t="inlineStr">
        <is>
          <t>A 26751-2025</t>
        </is>
      </c>
      <c r="B114" s="1" t="n">
        <v>45810.55134259259</v>
      </c>
      <c r="C114" s="1" t="n">
        <v>46032</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27933-2025</t>
        </is>
      </c>
      <c r="B115" s="1" t="n">
        <v>45817.49630787037</v>
      </c>
      <c r="C115" s="1" t="n">
        <v>46032</v>
      </c>
      <c r="D115" t="inlineStr">
        <is>
          <t>DALARNAS LÄN</t>
        </is>
      </c>
      <c r="E115" t="inlineStr">
        <is>
          <t>ÄLVDALEN</t>
        </is>
      </c>
      <c r="F115" t="inlineStr">
        <is>
          <t>Sveaskog</t>
        </is>
      </c>
      <c r="G115" t="n">
        <v>2.5</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27933-2025 artfynd.xlsx", "A 27933-2025")</f>
        <v/>
      </c>
      <c r="T115">
        <f>HYPERLINK("https://klasma.github.io/Logging_2039/kartor/A 27933-2025 karta.png", "A 27933-2025")</f>
        <v/>
      </c>
      <c r="V115">
        <f>HYPERLINK("https://klasma.github.io/Logging_2039/klagomål/A 27933-2025 FSC-klagomål.docx", "A 27933-2025")</f>
        <v/>
      </c>
      <c r="W115">
        <f>HYPERLINK("https://klasma.github.io/Logging_2039/klagomålsmail/A 27933-2025 FSC-klagomål mail.docx", "A 27933-2025")</f>
        <v/>
      </c>
      <c r="X115">
        <f>HYPERLINK("https://klasma.github.io/Logging_2039/tillsyn/A 27933-2025 tillsynsbegäran.docx", "A 27933-2025")</f>
        <v/>
      </c>
      <c r="Y115">
        <f>HYPERLINK("https://klasma.github.io/Logging_2039/tillsynsmail/A 27933-2025 tillsynsbegäran mail.docx", "A 27933-2025")</f>
        <v/>
      </c>
    </row>
    <row r="116" ht="15" customHeight="1">
      <c r="A116" t="inlineStr">
        <is>
          <t>A 35141-2023</t>
        </is>
      </c>
      <c r="B116" s="1" t="n">
        <v>45145</v>
      </c>
      <c r="C116" s="1" t="n">
        <v>46032</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18839-2024</t>
        </is>
      </c>
      <c r="B117" s="1" t="n">
        <v>45426</v>
      </c>
      <c r="C117" s="1" t="n">
        <v>46032</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49125-2025</t>
        </is>
      </c>
      <c r="B118" s="1" t="n">
        <v>45937.86962962963</v>
      </c>
      <c r="C118" s="1" t="n">
        <v>46032</v>
      </c>
      <c r="D118" t="inlineStr">
        <is>
          <t>DALARNAS LÄN</t>
        </is>
      </c>
      <c r="E118" t="inlineStr">
        <is>
          <t>ÄLVDALEN</t>
        </is>
      </c>
      <c r="F118" t="inlineStr">
        <is>
          <t>Sveaskog</t>
        </is>
      </c>
      <c r="G118" t="n">
        <v>1.8</v>
      </c>
      <c r="H118" t="n">
        <v>0</v>
      </c>
      <c r="I118" t="n">
        <v>0</v>
      </c>
      <c r="J118" t="n">
        <v>3</v>
      </c>
      <c r="K118" t="n">
        <v>0</v>
      </c>
      <c r="L118" t="n">
        <v>0</v>
      </c>
      <c r="M118" t="n">
        <v>0</v>
      </c>
      <c r="N118" t="n">
        <v>0</v>
      </c>
      <c r="O118" t="n">
        <v>3</v>
      </c>
      <c r="P118" t="n">
        <v>0</v>
      </c>
      <c r="Q118" t="n">
        <v>3</v>
      </c>
      <c r="R118" s="2" t="inlineStr">
        <is>
          <t>Blanksvart spiklav
Kolflarnlav
Mörk kolflarnlav</t>
        </is>
      </c>
      <c r="S118">
        <f>HYPERLINK("https://klasma.github.io/Logging_2039/artfynd/A 49125-2025 artfynd.xlsx", "A 49125-2025")</f>
        <v/>
      </c>
      <c r="T118">
        <f>HYPERLINK("https://klasma.github.io/Logging_2039/kartor/A 49125-2025 karta.png", "A 49125-2025")</f>
        <v/>
      </c>
      <c r="V118">
        <f>HYPERLINK("https://klasma.github.io/Logging_2039/klagomål/A 49125-2025 FSC-klagomål.docx", "A 49125-2025")</f>
        <v/>
      </c>
      <c r="W118">
        <f>HYPERLINK("https://klasma.github.io/Logging_2039/klagomålsmail/A 49125-2025 FSC-klagomål mail.docx", "A 49125-2025")</f>
        <v/>
      </c>
      <c r="X118">
        <f>HYPERLINK("https://klasma.github.io/Logging_2039/tillsyn/A 49125-2025 tillsynsbegäran.docx", "A 49125-2025")</f>
        <v/>
      </c>
      <c r="Y118">
        <f>HYPERLINK("https://klasma.github.io/Logging_2039/tillsynsmail/A 49125-2025 tillsynsbegäran mail.docx", "A 49125-2025")</f>
        <v/>
      </c>
    </row>
    <row r="119" ht="15" customHeight="1">
      <c r="A119" t="inlineStr">
        <is>
          <t>A 33645-2025</t>
        </is>
      </c>
      <c r="B119" s="1" t="n">
        <v>45841.65282407407</v>
      </c>
      <c r="C119" s="1" t="n">
        <v>46032</v>
      </c>
      <c r="D119" t="inlineStr">
        <is>
          <t>DALARNAS LÄN</t>
        </is>
      </c>
      <c r="E119" t="inlineStr">
        <is>
          <t>ÄLVDALEN</t>
        </is>
      </c>
      <c r="F119" t="inlineStr">
        <is>
          <t>Sveaskog</t>
        </is>
      </c>
      <c r="G119" t="n">
        <v>1.6</v>
      </c>
      <c r="H119" t="n">
        <v>0</v>
      </c>
      <c r="I119" t="n">
        <v>0</v>
      </c>
      <c r="J119" t="n">
        <v>3</v>
      </c>
      <c r="K119" t="n">
        <v>0</v>
      </c>
      <c r="L119" t="n">
        <v>0</v>
      </c>
      <c r="M119" t="n">
        <v>0</v>
      </c>
      <c r="N119" t="n">
        <v>0</v>
      </c>
      <c r="O119" t="n">
        <v>3</v>
      </c>
      <c r="P119" t="n">
        <v>0</v>
      </c>
      <c r="Q119" t="n">
        <v>3</v>
      </c>
      <c r="R119" s="2" t="inlineStr">
        <is>
          <t>Dvärgbägarlav
Kolflarnlav
Vedflamlav</t>
        </is>
      </c>
      <c r="S119">
        <f>HYPERLINK("https://klasma.github.io/Logging_2039/artfynd/A 33645-2025 artfynd.xlsx", "A 33645-2025")</f>
        <v/>
      </c>
      <c r="T119">
        <f>HYPERLINK("https://klasma.github.io/Logging_2039/kartor/A 33645-2025 karta.png", "A 33645-2025")</f>
        <v/>
      </c>
      <c r="V119">
        <f>HYPERLINK("https://klasma.github.io/Logging_2039/klagomål/A 33645-2025 FSC-klagomål.docx", "A 33645-2025")</f>
        <v/>
      </c>
      <c r="W119">
        <f>HYPERLINK("https://klasma.github.io/Logging_2039/klagomålsmail/A 33645-2025 FSC-klagomål mail.docx", "A 33645-2025")</f>
        <v/>
      </c>
      <c r="X119">
        <f>HYPERLINK("https://klasma.github.io/Logging_2039/tillsyn/A 33645-2025 tillsynsbegäran.docx", "A 33645-2025")</f>
        <v/>
      </c>
      <c r="Y119">
        <f>HYPERLINK("https://klasma.github.io/Logging_2039/tillsynsmail/A 33645-2025 tillsynsbegäran mail.docx", "A 33645-2025")</f>
        <v/>
      </c>
    </row>
    <row r="120" ht="15" customHeight="1">
      <c r="A120" t="inlineStr">
        <is>
          <t>A 41909-2022</t>
        </is>
      </c>
      <c r="B120" s="1" t="n">
        <v>44830</v>
      </c>
      <c r="C120" s="1" t="n">
        <v>46032</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44128-2023</t>
        </is>
      </c>
      <c r="B121" s="1" t="n">
        <v>45188.45712962963</v>
      </c>
      <c r="C121" s="1" t="n">
        <v>46032</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55218-2025</t>
        </is>
      </c>
      <c r="B122" s="1" t="n">
        <v>45968.58936342593</v>
      </c>
      <c r="C122" s="1" t="n">
        <v>46032</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31057-2024</t>
        </is>
      </c>
      <c r="B123" s="1" t="n">
        <v>45502.37813657407</v>
      </c>
      <c r="C123" s="1" t="n">
        <v>46032</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45569.65748842592</v>
      </c>
      <c r="C124" s="1" t="n">
        <v>46032</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32403-2023</t>
        </is>
      </c>
      <c r="B125" s="1" t="n">
        <v>45120</v>
      </c>
      <c r="C125" s="1" t="n">
        <v>46032</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41921-2022</t>
        </is>
      </c>
      <c r="B126" s="1" t="n">
        <v>44830</v>
      </c>
      <c r="C126" s="1" t="n">
        <v>46032</v>
      </c>
      <c r="D126" t="inlineStr">
        <is>
          <t>DALARNAS LÄN</t>
        </is>
      </c>
      <c r="E126" t="inlineStr">
        <is>
          <t>ÄLVDALEN</t>
        </is>
      </c>
      <c r="F126" t="inlineStr">
        <is>
          <t>Sveaskog</t>
        </is>
      </c>
      <c r="G126" t="n">
        <v>5.4</v>
      </c>
      <c r="H126" t="n">
        <v>1</v>
      </c>
      <c r="I126" t="n">
        <v>0</v>
      </c>
      <c r="J126" t="n">
        <v>3</v>
      </c>
      <c r="K126" t="n">
        <v>0</v>
      </c>
      <c r="L126" t="n">
        <v>0</v>
      </c>
      <c r="M126" t="n">
        <v>0</v>
      </c>
      <c r="N126" t="n">
        <v>0</v>
      </c>
      <c r="O126" t="n">
        <v>3</v>
      </c>
      <c r="P126" t="n">
        <v>0</v>
      </c>
      <c r="Q126" t="n">
        <v>3</v>
      </c>
      <c r="R126" s="2" t="inlineStr">
        <is>
          <t>Blågrå svartspik
Tretåig hackspett
Vedskivlav</t>
        </is>
      </c>
      <c r="S126">
        <f>HYPERLINK("https://klasma.github.io/Logging_2039/artfynd/A 41921-2022 artfynd.xlsx", "A 41921-2022")</f>
        <v/>
      </c>
      <c r="T126">
        <f>HYPERLINK("https://klasma.github.io/Logging_2039/kartor/A 41921-2022 karta.png", "A 41921-2022")</f>
        <v/>
      </c>
      <c r="V126">
        <f>HYPERLINK("https://klasma.github.io/Logging_2039/klagomål/A 41921-2022 FSC-klagomål.docx", "A 41921-2022")</f>
        <v/>
      </c>
      <c r="W126">
        <f>HYPERLINK("https://klasma.github.io/Logging_2039/klagomålsmail/A 41921-2022 FSC-klagomål mail.docx", "A 41921-2022")</f>
        <v/>
      </c>
      <c r="X126">
        <f>HYPERLINK("https://klasma.github.io/Logging_2039/tillsyn/A 41921-2022 tillsynsbegäran.docx", "A 41921-2022")</f>
        <v/>
      </c>
      <c r="Y126">
        <f>HYPERLINK("https://klasma.github.io/Logging_2039/tillsynsmail/A 41921-2022 tillsynsbegäran mail.docx", "A 41921-2022")</f>
        <v/>
      </c>
      <c r="Z126">
        <f>HYPERLINK("https://klasma.github.io/Logging_2039/fåglar/A 41921-2022 prioriterade fågelarter.docx", "A 41921-2022")</f>
        <v/>
      </c>
    </row>
    <row r="127" ht="15" customHeight="1">
      <c r="A127" t="inlineStr">
        <is>
          <t>A 51732-2021</t>
        </is>
      </c>
      <c r="B127" s="1" t="n">
        <v>44461</v>
      </c>
      <c r="C127" s="1" t="n">
        <v>46032</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67709-2021</t>
        </is>
      </c>
      <c r="B128" s="1" t="n">
        <v>44525</v>
      </c>
      <c r="C128" s="1" t="n">
        <v>46032</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46032</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46032</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46032</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46032</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30727-2024</t>
        </is>
      </c>
      <c r="B133" s="1" t="n">
        <v>45496.55789351852</v>
      </c>
      <c r="C133" s="1" t="n">
        <v>46032</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21629-2022</t>
        </is>
      </c>
      <c r="B134" s="1" t="n">
        <v>44706</v>
      </c>
      <c r="C134" s="1" t="n">
        <v>46032</v>
      </c>
      <c r="D134" t="inlineStr">
        <is>
          <t>DALARNAS LÄN</t>
        </is>
      </c>
      <c r="E134" t="inlineStr">
        <is>
          <t>ÄLVDALEN</t>
        </is>
      </c>
      <c r="F134" t="inlineStr">
        <is>
          <t>Övriga statliga verk och myndigheter</t>
        </is>
      </c>
      <c r="G134" t="n">
        <v>19.2</v>
      </c>
      <c r="H134" t="n">
        <v>0</v>
      </c>
      <c r="I134" t="n">
        <v>1</v>
      </c>
      <c r="J134" t="n">
        <v>1</v>
      </c>
      <c r="K134" t="n">
        <v>0</v>
      </c>
      <c r="L134" t="n">
        <v>0</v>
      </c>
      <c r="M134" t="n">
        <v>0</v>
      </c>
      <c r="N134" t="n">
        <v>0</v>
      </c>
      <c r="O134" t="n">
        <v>1</v>
      </c>
      <c r="P134" t="n">
        <v>0</v>
      </c>
      <c r="Q134" t="n">
        <v>2</v>
      </c>
      <c r="R134" s="2" t="inlineStr">
        <is>
          <t>Vitgrynig nållav
Kransrams</t>
        </is>
      </c>
      <c r="S134">
        <f>HYPERLINK("https://klasma.github.io/Logging_2039/artfynd/A 21629-2022 artfynd.xlsx", "A 21629-2022")</f>
        <v/>
      </c>
      <c r="T134">
        <f>HYPERLINK("https://klasma.github.io/Logging_2039/kartor/A 21629-2022 karta.png", "A 21629-2022")</f>
        <v/>
      </c>
      <c r="V134">
        <f>HYPERLINK("https://klasma.github.io/Logging_2039/klagomål/A 21629-2022 FSC-klagomål.docx", "A 21629-2022")</f>
        <v/>
      </c>
      <c r="W134">
        <f>HYPERLINK("https://klasma.github.io/Logging_2039/klagomålsmail/A 21629-2022 FSC-klagomål mail.docx", "A 21629-2022")</f>
        <v/>
      </c>
      <c r="X134">
        <f>HYPERLINK("https://klasma.github.io/Logging_2039/tillsyn/A 21629-2022 tillsynsbegäran.docx", "A 21629-2022")</f>
        <v/>
      </c>
      <c r="Y134">
        <f>HYPERLINK("https://klasma.github.io/Logging_2039/tillsynsmail/A 21629-2022 tillsynsbegäran mail.docx", "A 21629-2022")</f>
        <v/>
      </c>
    </row>
    <row r="135" ht="15" customHeight="1">
      <c r="A135" t="inlineStr">
        <is>
          <t>A 40231-2021</t>
        </is>
      </c>
      <c r="B135" s="1" t="n">
        <v>44419.31553240741</v>
      </c>
      <c r="C135" s="1" t="n">
        <v>46032</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59951-2025</t>
        </is>
      </c>
      <c r="B136" s="1" t="n">
        <v>45993.45759259259</v>
      </c>
      <c r="C136" s="1" t="n">
        <v>46032</v>
      </c>
      <c r="D136" t="inlineStr">
        <is>
          <t>DALARNAS LÄN</t>
        </is>
      </c>
      <c r="E136" t="inlineStr">
        <is>
          <t>ÄLVDALEN</t>
        </is>
      </c>
      <c r="F136" t="inlineStr">
        <is>
          <t>Bergvik skog väst AB</t>
        </is>
      </c>
      <c r="G136" t="n">
        <v>13</v>
      </c>
      <c r="H136" t="n">
        <v>0</v>
      </c>
      <c r="I136" t="n">
        <v>0</v>
      </c>
      <c r="J136" t="n">
        <v>2</v>
      </c>
      <c r="K136" t="n">
        <v>0</v>
      </c>
      <c r="L136" t="n">
        <v>0</v>
      </c>
      <c r="M136" t="n">
        <v>0</v>
      </c>
      <c r="N136" t="n">
        <v>0</v>
      </c>
      <c r="O136" t="n">
        <v>2</v>
      </c>
      <c r="P136" t="n">
        <v>0</v>
      </c>
      <c r="Q136" t="n">
        <v>2</v>
      </c>
      <c r="R136" s="2" t="inlineStr">
        <is>
          <t>Garnlav
Mörk kolflarnlav</t>
        </is>
      </c>
      <c r="S136">
        <f>HYPERLINK("https://klasma.github.io/Logging_2039/artfynd/A 59951-2025 artfynd.xlsx", "A 59951-2025")</f>
        <v/>
      </c>
      <c r="T136">
        <f>HYPERLINK("https://klasma.github.io/Logging_2039/kartor/A 59951-2025 karta.png", "A 59951-2025")</f>
        <v/>
      </c>
      <c r="V136">
        <f>HYPERLINK("https://klasma.github.io/Logging_2039/klagomål/A 59951-2025 FSC-klagomål.docx", "A 59951-2025")</f>
        <v/>
      </c>
      <c r="W136">
        <f>HYPERLINK("https://klasma.github.io/Logging_2039/klagomålsmail/A 59951-2025 FSC-klagomål mail.docx", "A 59951-2025")</f>
        <v/>
      </c>
      <c r="X136">
        <f>HYPERLINK("https://klasma.github.io/Logging_2039/tillsyn/A 59951-2025 tillsynsbegäran.docx", "A 59951-2025")</f>
        <v/>
      </c>
      <c r="Y136">
        <f>HYPERLINK("https://klasma.github.io/Logging_2039/tillsynsmail/A 59951-2025 tillsynsbegäran mail.docx", "A 59951-2025")</f>
        <v/>
      </c>
    </row>
    <row r="137" ht="15" customHeight="1">
      <c r="A137" t="inlineStr">
        <is>
          <t>A 27937-2025</t>
        </is>
      </c>
      <c r="B137" s="1" t="n">
        <v>45817.50025462963</v>
      </c>
      <c r="C137" s="1" t="n">
        <v>46032</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32206-2024</t>
        </is>
      </c>
      <c r="B138" s="1" t="n">
        <v>45511.67366898148</v>
      </c>
      <c r="C138" s="1" t="n">
        <v>46032</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31264-2025</t>
        </is>
      </c>
      <c r="B139" s="1" t="n">
        <v>45833.3283912037</v>
      </c>
      <c r="C139" s="1" t="n">
        <v>46032</v>
      </c>
      <c r="D139" t="inlineStr">
        <is>
          <t>DALARNAS LÄN</t>
        </is>
      </c>
      <c r="E139" t="inlineStr">
        <is>
          <t>ÄLVDALEN</t>
        </is>
      </c>
      <c r="F139" t="inlineStr">
        <is>
          <t>Sveaskog</t>
        </is>
      </c>
      <c r="G139" t="n">
        <v>1.3</v>
      </c>
      <c r="H139" t="n">
        <v>2</v>
      </c>
      <c r="I139" t="n">
        <v>0</v>
      </c>
      <c r="J139" t="n">
        <v>1</v>
      </c>
      <c r="K139" t="n">
        <v>0</v>
      </c>
      <c r="L139" t="n">
        <v>1</v>
      </c>
      <c r="M139" t="n">
        <v>0</v>
      </c>
      <c r="N139" t="n">
        <v>0</v>
      </c>
      <c r="O139" t="n">
        <v>2</v>
      </c>
      <c r="P139" t="n">
        <v>1</v>
      </c>
      <c r="Q139" t="n">
        <v>2</v>
      </c>
      <c r="R139" s="2" t="inlineStr">
        <is>
          <t>Mosippa
Drillsnäppa</t>
        </is>
      </c>
      <c r="S139">
        <f>HYPERLINK("https://klasma.github.io/Logging_2039/artfynd/A 31264-2025 artfynd.xlsx", "A 31264-2025")</f>
        <v/>
      </c>
      <c r="T139">
        <f>HYPERLINK("https://klasma.github.io/Logging_2039/kartor/A 31264-2025 karta.png", "A 31264-2025")</f>
        <v/>
      </c>
      <c r="V139">
        <f>HYPERLINK("https://klasma.github.io/Logging_2039/klagomål/A 31264-2025 FSC-klagomål.docx", "A 31264-2025")</f>
        <v/>
      </c>
      <c r="W139">
        <f>HYPERLINK("https://klasma.github.io/Logging_2039/klagomålsmail/A 31264-2025 FSC-klagomål mail.docx", "A 31264-2025")</f>
        <v/>
      </c>
      <c r="X139">
        <f>HYPERLINK("https://klasma.github.io/Logging_2039/tillsyn/A 31264-2025 tillsynsbegäran.docx", "A 31264-2025")</f>
        <v/>
      </c>
      <c r="Y139">
        <f>HYPERLINK("https://klasma.github.io/Logging_2039/tillsynsmail/A 31264-2025 tillsynsbegäran mail.docx", "A 31264-2025")</f>
        <v/>
      </c>
    </row>
    <row r="140" ht="15" customHeight="1">
      <c r="A140" t="inlineStr">
        <is>
          <t>A 54632-2021</t>
        </is>
      </c>
      <c r="B140" s="1" t="n">
        <v>44473</v>
      </c>
      <c r="C140" s="1" t="n">
        <v>46032</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59429-2024</t>
        </is>
      </c>
      <c r="B141" s="1" t="n">
        <v>45638.42091435185</v>
      </c>
      <c r="C141" s="1" t="n">
        <v>46032</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42848-2023</t>
        </is>
      </c>
      <c r="B142" s="1" t="n">
        <v>45182</v>
      </c>
      <c r="C142" s="1" t="n">
        <v>46032</v>
      </c>
      <c r="D142" t="inlineStr">
        <is>
          <t>DALARNAS LÄN</t>
        </is>
      </c>
      <c r="E142" t="inlineStr">
        <is>
          <t>ÄLVDALEN</t>
        </is>
      </c>
      <c r="F142" t="inlineStr">
        <is>
          <t>Allmännings- och besparingsskogar</t>
        </is>
      </c>
      <c r="G142" t="n">
        <v>1.9</v>
      </c>
      <c r="H142" t="n">
        <v>0</v>
      </c>
      <c r="I142" t="n">
        <v>1</v>
      </c>
      <c r="J142" t="n">
        <v>1</v>
      </c>
      <c r="K142" t="n">
        <v>0</v>
      </c>
      <c r="L142" t="n">
        <v>0</v>
      </c>
      <c r="M142" t="n">
        <v>0</v>
      </c>
      <c r="N142" t="n">
        <v>0</v>
      </c>
      <c r="O142" t="n">
        <v>1</v>
      </c>
      <c r="P142" t="n">
        <v>0</v>
      </c>
      <c r="Q142" t="n">
        <v>2</v>
      </c>
      <c r="R142" s="2" t="inlineStr">
        <is>
          <t>Blå taggsvamp
Dropptaggsvamp</t>
        </is>
      </c>
      <c r="S142">
        <f>HYPERLINK("https://klasma.github.io/Logging_2039/artfynd/A 42848-2023 artfynd.xlsx", "A 42848-2023")</f>
        <v/>
      </c>
      <c r="T142">
        <f>HYPERLINK("https://klasma.github.io/Logging_2039/kartor/A 42848-2023 karta.png", "A 42848-2023")</f>
        <v/>
      </c>
      <c r="V142">
        <f>HYPERLINK("https://klasma.github.io/Logging_2039/klagomål/A 42848-2023 FSC-klagomål.docx", "A 42848-2023")</f>
        <v/>
      </c>
      <c r="W142">
        <f>HYPERLINK("https://klasma.github.io/Logging_2039/klagomålsmail/A 42848-2023 FSC-klagomål mail.docx", "A 42848-2023")</f>
        <v/>
      </c>
      <c r="X142">
        <f>HYPERLINK("https://klasma.github.io/Logging_2039/tillsyn/A 42848-2023 tillsynsbegäran.docx", "A 42848-2023")</f>
        <v/>
      </c>
      <c r="Y142">
        <f>HYPERLINK("https://klasma.github.io/Logging_2039/tillsynsmail/A 42848-2023 tillsynsbegäran mail.docx", "A 42848-2023")</f>
        <v/>
      </c>
    </row>
    <row r="143" ht="15" customHeight="1">
      <c r="A143" t="inlineStr">
        <is>
          <t>A 40461-2025</t>
        </is>
      </c>
      <c r="B143" s="1" t="n">
        <v>45895</v>
      </c>
      <c r="C143" s="1" t="n">
        <v>46032</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55227-2025</t>
        </is>
      </c>
      <c r="B144" s="1" t="n">
        <v>45968.59744212963</v>
      </c>
      <c r="C144" s="1" t="n">
        <v>46032</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55225-2025</t>
        </is>
      </c>
      <c r="B145" s="1" t="n">
        <v>45968.59571759259</v>
      </c>
      <c r="C145" s="1" t="n">
        <v>46032</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58476-2025</t>
        </is>
      </c>
      <c r="B146" s="1" t="n">
        <v>45985.64229166666</v>
      </c>
      <c r="C146" s="1" t="n">
        <v>46032</v>
      </c>
      <c r="D146" t="inlineStr">
        <is>
          <t>DALARNAS LÄN</t>
        </is>
      </c>
      <c r="E146" t="inlineStr">
        <is>
          <t>ÄLVDALEN</t>
        </is>
      </c>
      <c r="F146" t="inlineStr">
        <is>
          <t>Allmännings- och besparingsskogar</t>
        </is>
      </c>
      <c r="G146" t="n">
        <v>17.9</v>
      </c>
      <c r="H146" t="n">
        <v>2</v>
      </c>
      <c r="I146" t="n">
        <v>0</v>
      </c>
      <c r="J146" t="n">
        <v>0</v>
      </c>
      <c r="K146" t="n">
        <v>0</v>
      </c>
      <c r="L146" t="n">
        <v>0</v>
      </c>
      <c r="M146" t="n">
        <v>0</v>
      </c>
      <c r="N146" t="n">
        <v>0</v>
      </c>
      <c r="O146" t="n">
        <v>0</v>
      </c>
      <c r="P146" t="n">
        <v>0</v>
      </c>
      <c r="Q146" t="n">
        <v>2</v>
      </c>
      <c r="R146" s="2" t="inlineStr">
        <is>
          <t>Tjäder
Huggorm</t>
        </is>
      </c>
      <c r="S146">
        <f>HYPERLINK("https://klasma.github.io/Logging_2039/artfynd/A 58476-2025 artfynd.xlsx", "A 58476-2025")</f>
        <v/>
      </c>
      <c r="T146">
        <f>HYPERLINK("https://klasma.github.io/Logging_2039/kartor/A 58476-2025 karta.png", "A 58476-2025")</f>
        <v/>
      </c>
      <c r="V146">
        <f>HYPERLINK("https://klasma.github.io/Logging_2039/klagomål/A 58476-2025 FSC-klagomål.docx", "A 58476-2025")</f>
        <v/>
      </c>
      <c r="W146">
        <f>HYPERLINK("https://klasma.github.io/Logging_2039/klagomålsmail/A 58476-2025 FSC-klagomål mail.docx", "A 58476-2025")</f>
        <v/>
      </c>
      <c r="X146">
        <f>HYPERLINK("https://klasma.github.io/Logging_2039/tillsyn/A 58476-2025 tillsynsbegäran.docx", "A 58476-2025")</f>
        <v/>
      </c>
      <c r="Y146">
        <f>HYPERLINK("https://klasma.github.io/Logging_2039/tillsynsmail/A 58476-2025 tillsynsbegäran mail.docx", "A 58476-2025")</f>
        <v/>
      </c>
      <c r="Z146">
        <f>HYPERLINK("https://klasma.github.io/Logging_2039/fåglar/A 58476-2025 prioriterade fågelarter.docx", "A 58476-2025")</f>
        <v/>
      </c>
    </row>
    <row r="147" ht="15" customHeight="1">
      <c r="A147" t="inlineStr">
        <is>
          <t>A 27967-2023</t>
        </is>
      </c>
      <c r="B147" s="1" t="n">
        <v>45098.70354166667</v>
      </c>
      <c r="C147" s="1" t="n">
        <v>46032</v>
      </c>
      <c r="D147" t="inlineStr">
        <is>
          <t>DALARNAS LÄN</t>
        </is>
      </c>
      <c r="E147" t="inlineStr">
        <is>
          <t>ÄLVDALEN</t>
        </is>
      </c>
      <c r="F147" t="inlineStr">
        <is>
          <t>Sveaskog</t>
        </is>
      </c>
      <c r="G147" t="n">
        <v>1.9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HYPERLINK("https://klasma.github.io/Logging_2039/artfynd/A 27967-2023 artfynd.xlsx", "A 27967-2023")</f>
        <v/>
      </c>
      <c r="T147">
        <f>HYPERLINK("https://klasma.github.io/Logging_2039/kartor/A 27967-2023 karta.png", "A 27967-2023")</f>
        <v/>
      </c>
      <c r="V147">
        <f>HYPERLINK("https://klasma.github.io/Logging_2039/klagomål/A 27967-2023 FSC-klagomål.docx", "A 27967-2023")</f>
        <v/>
      </c>
      <c r="W147">
        <f>HYPERLINK("https://klasma.github.io/Logging_2039/klagomålsmail/A 27967-2023 FSC-klagomål mail.docx", "A 27967-2023")</f>
        <v/>
      </c>
      <c r="X147">
        <f>HYPERLINK("https://klasma.github.io/Logging_2039/tillsyn/A 27967-2023 tillsynsbegäran.docx", "A 27967-2023")</f>
        <v/>
      </c>
      <c r="Y147">
        <f>HYPERLINK("https://klasma.github.io/Logging_2039/tillsynsmail/A 27967-2023 tillsynsbegäran mail.docx", "A 27967-2023")</f>
        <v/>
      </c>
    </row>
    <row r="148" ht="15" customHeight="1">
      <c r="A148" t="inlineStr">
        <is>
          <t>A 52490-2022</t>
        </is>
      </c>
      <c r="B148" s="1" t="n">
        <v>44874</v>
      </c>
      <c r="C148" s="1" t="n">
        <v>46032</v>
      </c>
      <c r="D148" t="inlineStr">
        <is>
          <t>DALARNAS LÄN</t>
        </is>
      </c>
      <c r="E148" t="inlineStr">
        <is>
          <t>ÄLVDALEN</t>
        </is>
      </c>
      <c r="G148" t="n">
        <v>4.3</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52490-2022 artfynd.xlsx", "A 52490-2022")</f>
        <v/>
      </c>
      <c r="T148">
        <f>HYPERLINK("https://klasma.github.io/Logging_2039/kartor/A 52490-2022 karta.png", "A 52490-2022")</f>
        <v/>
      </c>
      <c r="V148">
        <f>HYPERLINK("https://klasma.github.io/Logging_2039/klagomål/A 52490-2022 FSC-klagomål.docx", "A 52490-2022")</f>
        <v/>
      </c>
      <c r="W148">
        <f>HYPERLINK("https://klasma.github.io/Logging_2039/klagomålsmail/A 52490-2022 FSC-klagomål mail.docx", "A 52490-2022")</f>
        <v/>
      </c>
      <c r="X148">
        <f>HYPERLINK("https://klasma.github.io/Logging_2039/tillsyn/A 52490-2022 tillsynsbegäran.docx", "A 52490-2022")</f>
        <v/>
      </c>
      <c r="Y148">
        <f>HYPERLINK("https://klasma.github.io/Logging_2039/tillsynsmail/A 52490-2022 tillsynsbegäran mail.docx", "A 52490-2022")</f>
        <v/>
      </c>
    </row>
    <row r="149" ht="15" customHeight="1">
      <c r="A149" t="inlineStr">
        <is>
          <t>A 31761-2021</t>
        </is>
      </c>
      <c r="B149" s="1" t="n">
        <v>44370</v>
      </c>
      <c r="C149" s="1" t="n">
        <v>46032</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46032</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46032</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46032</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46032</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46032</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46032</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46032</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46032</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46032</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46032</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46032</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46032</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30691-2024</t>
        </is>
      </c>
      <c r="B162" s="1" t="n">
        <v>45496.26998842593</v>
      </c>
      <c r="C162" s="1" t="n">
        <v>46032</v>
      </c>
      <c r="D162" t="inlineStr">
        <is>
          <t>DALARNAS LÄN</t>
        </is>
      </c>
      <c r="E162" t="inlineStr">
        <is>
          <t>ÄLVDALEN</t>
        </is>
      </c>
      <c r="G162" t="n">
        <v>2.9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30691-2024 artfynd.xlsx", "A 30691-2024")</f>
        <v/>
      </c>
      <c r="T162">
        <f>HYPERLINK("https://klasma.github.io/Logging_2039/kartor/A 30691-2024 karta.png", "A 30691-2024")</f>
        <v/>
      </c>
      <c r="V162">
        <f>HYPERLINK("https://klasma.github.io/Logging_2039/klagomål/A 30691-2024 FSC-klagomål.docx", "A 30691-2024")</f>
        <v/>
      </c>
      <c r="W162">
        <f>HYPERLINK("https://klasma.github.io/Logging_2039/klagomålsmail/A 30691-2024 FSC-klagomål mail.docx", "A 30691-2024")</f>
        <v/>
      </c>
      <c r="X162">
        <f>HYPERLINK("https://klasma.github.io/Logging_2039/tillsyn/A 30691-2024 tillsynsbegäran.docx", "A 30691-2024")</f>
        <v/>
      </c>
      <c r="Y162">
        <f>HYPERLINK("https://klasma.github.io/Logging_2039/tillsynsmail/A 30691-2024 tillsynsbegäran mail.docx", "A 30691-2024")</f>
        <v/>
      </c>
    </row>
    <row r="163" ht="15" customHeight="1">
      <c r="A163" t="inlineStr">
        <is>
          <t>A 41932-2025</t>
        </is>
      </c>
      <c r="B163" s="1" t="n">
        <v>45903.43458333334</v>
      </c>
      <c r="C163" s="1" t="n">
        <v>46032</v>
      </c>
      <c r="D163" t="inlineStr">
        <is>
          <t>DALARNAS LÄN</t>
        </is>
      </c>
      <c r="E163" t="inlineStr">
        <is>
          <t>ÄLVDALEN</t>
        </is>
      </c>
      <c r="F163" t="inlineStr">
        <is>
          <t>Sveaskog</t>
        </is>
      </c>
      <c r="G163" t="n">
        <v>5.5</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41932-2025 artfynd.xlsx", "A 41932-2025")</f>
        <v/>
      </c>
      <c r="T163">
        <f>HYPERLINK("https://klasma.github.io/Logging_2039/kartor/A 41932-2025 karta.png", "A 41932-2025")</f>
        <v/>
      </c>
      <c r="V163">
        <f>HYPERLINK("https://klasma.github.io/Logging_2039/klagomål/A 41932-2025 FSC-klagomål.docx", "A 41932-2025")</f>
        <v/>
      </c>
      <c r="W163">
        <f>HYPERLINK("https://klasma.github.io/Logging_2039/klagomålsmail/A 41932-2025 FSC-klagomål mail.docx", "A 41932-2025")</f>
        <v/>
      </c>
      <c r="X163">
        <f>HYPERLINK("https://klasma.github.io/Logging_2039/tillsyn/A 41932-2025 tillsynsbegäran.docx", "A 41932-2025")</f>
        <v/>
      </c>
      <c r="Y163">
        <f>HYPERLINK("https://klasma.github.io/Logging_2039/tillsynsmail/A 41932-2025 tillsynsbegäran mail.docx", "A 41932-2025")</f>
        <v/>
      </c>
    </row>
    <row r="164" ht="15" customHeight="1">
      <c r="A164" t="inlineStr">
        <is>
          <t>A 41728-2025</t>
        </is>
      </c>
      <c r="B164" s="1" t="n">
        <v>45902.45748842593</v>
      </c>
      <c r="C164" s="1" t="n">
        <v>46032</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23872-2023</t>
        </is>
      </c>
      <c r="B165" s="1" t="n">
        <v>45078</v>
      </c>
      <c r="C165" s="1" t="n">
        <v>46032</v>
      </c>
      <c r="D165" t="inlineStr">
        <is>
          <t>DALARNAS LÄN</t>
        </is>
      </c>
      <c r="E165" t="inlineStr">
        <is>
          <t>ÄLVDALEN</t>
        </is>
      </c>
      <c r="F165" t="inlineStr">
        <is>
          <t>Allmännings- och besparingsskogar</t>
        </is>
      </c>
      <c r="G165" t="n">
        <v>79.5</v>
      </c>
      <c r="H165" t="n">
        <v>1</v>
      </c>
      <c r="I165" t="n">
        <v>0</v>
      </c>
      <c r="J165" t="n">
        <v>0</v>
      </c>
      <c r="K165" t="n">
        <v>0</v>
      </c>
      <c r="L165" t="n">
        <v>0</v>
      </c>
      <c r="M165" t="n">
        <v>0</v>
      </c>
      <c r="N165" t="n">
        <v>0</v>
      </c>
      <c r="O165" t="n">
        <v>0</v>
      </c>
      <c r="P165" t="n">
        <v>0</v>
      </c>
      <c r="Q165" t="n">
        <v>1</v>
      </c>
      <c r="R165" s="2" t="inlineStr">
        <is>
          <t>Vanlig groda</t>
        </is>
      </c>
      <c r="S165">
        <f>HYPERLINK("https://klasma.github.io/Logging_2039/artfynd/A 23872-2023 artfynd.xlsx", "A 23872-2023")</f>
        <v/>
      </c>
      <c r="T165">
        <f>HYPERLINK("https://klasma.github.io/Logging_2039/kartor/A 23872-2023 karta.png", "A 23872-2023")</f>
        <v/>
      </c>
      <c r="V165">
        <f>HYPERLINK("https://klasma.github.io/Logging_2039/klagomål/A 23872-2023 FSC-klagomål.docx", "A 23872-2023")</f>
        <v/>
      </c>
      <c r="W165">
        <f>HYPERLINK("https://klasma.github.io/Logging_2039/klagomålsmail/A 23872-2023 FSC-klagomål mail.docx", "A 23872-2023")</f>
        <v/>
      </c>
      <c r="X165">
        <f>HYPERLINK("https://klasma.github.io/Logging_2039/tillsyn/A 23872-2023 tillsynsbegäran.docx", "A 23872-2023")</f>
        <v/>
      </c>
      <c r="Y165">
        <f>HYPERLINK("https://klasma.github.io/Logging_2039/tillsynsmail/A 23872-2023 tillsynsbegäran mail.docx", "A 23872-2023")</f>
        <v/>
      </c>
    </row>
    <row r="166" ht="15" customHeight="1">
      <c r="A166" t="inlineStr">
        <is>
          <t>A 19614-2024</t>
        </is>
      </c>
      <c r="B166" s="1" t="n">
        <v>45432.30798611111</v>
      </c>
      <c r="C166" s="1" t="n">
        <v>46032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27929-2025</t>
        </is>
      </c>
      <c r="B167" s="1" t="n">
        <v>45817.49222222222</v>
      </c>
      <c r="C167" s="1" t="n">
        <v>46032</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27923-2025</t>
        </is>
      </c>
      <c r="B168" s="1" t="n">
        <v>45817.48814814815</v>
      </c>
      <c r="C168" s="1" t="n">
        <v>46032</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50385-2024</t>
        </is>
      </c>
      <c r="B169" s="1" t="n">
        <v>45600</v>
      </c>
      <c r="C169" s="1" t="n">
        <v>46032</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60082-2025</t>
        </is>
      </c>
      <c r="B170" s="1" t="n">
        <v>45993</v>
      </c>
      <c r="C170" s="1" t="n">
        <v>46032</v>
      </c>
      <c r="D170" t="inlineStr">
        <is>
          <t>DALARNAS LÄN</t>
        </is>
      </c>
      <c r="E170" t="inlineStr">
        <is>
          <t>ÄLVDALEN</t>
        </is>
      </c>
      <c r="G170" t="n">
        <v>7.5</v>
      </c>
      <c r="H170" t="n">
        <v>1</v>
      </c>
      <c r="I170" t="n">
        <v>0</v>
      </c>
      <c r="J170" t="n">
        <v>0</v>
      </c>
      <c r="K170" t="n">
        <v>0</v>
      </c>
      <c r="L170" t="n">
        <v>0</v>
      </c>
      <c r="M170" t="n">
        <v>0</v>
      </c>
      <c r="N170" t="n">
        <v>0</v>
      </c>
      <c r="O170" t="n">
        <v>0</v>
      </c>
      <c r="P170" t="n">
        <v>0</v>
      </c>
      <c r="Q170" t="n">
        <v>1</v>
      </c>
      <c r="R170" s="2" t="inlineStr">
        <is>
          <t>Revlummer</t>
        </is>
      </c>
      <c r="S170">
        <f>HYPERLINK("https://klasma.github.io/Logging_2039/artfynd/A 60082-2025 artfynd.xlsx", "A 60082-2025")</f>
        <v/>
      </c>
      <c r="T170">
        <f>HYPERLINK("https://klasma.github.io/Logging_2039/kartor/A 60082-2025 karta.png", "A 60082-2025")</f>
        <v/>
      </c>
      <c r="V170">
        <f>HYPERLINK("https://klasma.github.io/Logging_2039/klagomål/A 60082-2025 FSC-klagomål.docx", "A 60082-2025")</f>
        <v/>
      </c>
      <c r="W170">
        <f>HYPERLINK("https://klasma.github.io/Logging_2039/klagomålsmail/A 60082-2025 FSC-klagomål mail.docx", "A 60082-2025")</f>
        <v/>
      </c>
      <c r="X170">
        <f>HYPERLINK("https://klasma.github.io/Logging_2039/tillsyn/A 60082-2025 tillsynsbegäran.docx", "A 60082-2025")</f>
        <v/>
      </c>
      <c r="Y170">
        <f>HYPERLINK("https://klasma.github.io/Logging_2039/tillsynsmail/A 60082-2025 tillsynsbegäran mail.docx", "A 60082-2025")</f>
        <v/>
      </c>
    </row>
    <row r="171" ht="15" customHeight="1">
      <c r="A171" t="inlineStr">
        <is>
          <t>A 49141-2025</t>
        </is>
      </c>
      <c r="B171" s="1" t="n">
        <v>45938.31905092593</v>
      </c>
      <c r="C171" s="1" t="n">
        <v>46032</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31145-2024</t>
        </is>
      </c>
      <c r="B172" s="1" t="n">
        <v>45502.85956018518</v>
      </c>
      <c r="C172" s="1" t="n">
        <v>46032</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35352-2025</t>
        </is>
      </c>
      <c r="B173" s="1" t="n">
        <v>45853</v>
      </c>
      <c r="C173" s="1" t="n">
        <v>46032</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36574-2021</t>
        </is>
      </c>
      <c r="B174" s="1" t="n">
        <v>44391</v>
      </c>
      <c r="C174" s="1" t="n">
        <v>46032</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62684-2025</t>
        </is>
      </c>
      <c r="B175" s="1" t="n">
        <v>46008.45831018518</v>
      </c>
      <c r="C175" s="1" t="n">
        <v>46032</v>
      </c>
      <c r="D175" t="inlineStr">
        <is>
          <t>DALARNAS LÄN</t>
        </is>
      </c>
      <c r="E175" t="inlineStr">
        <is>
          <t>ÄLVDALEN</t>
        </is>
      </c>
      <c r="G175" t="n">
        <v>20.3</v>
      </c>
      <c r="H175" t="n">
        <v>0</v>
      </c>
      <c r="I175" t="n">
        <v>1</v>
      </c>
      <c r="J175" t="n">
        <v>0</v>
      </c>
      <c r="K175" t="n">
        <v>0</v>
      </c>
      <c r="L175" t="n">
        <v>0</v>
      </c>
      <c r="M175" t="n">
        <v>0</v>
      </c>
      <c r="N175" t="n">
        <v>0</v>
      </c>
      <c r="O175" t="n">
        <v>0</v>
      </c>
      <c r="P175" t="n">
        <v>0</v>
      </c>
      <c r="Q175" t="n">
        <v>1</v>
      </c>
      <c r="R175" s="2" t="inlineStr">
        <is>
          <t>Mindre märgborre</t>
        </is>
      </c>
      <c r="S175">
        <f>HYPERLINK("https://klasma.github.io/Logging_2039/artfynd/A 62684-2025 artfynd.xlsx", "A 62684-2025")</f>
        <v/>
      </c>
      <c r="T175">
        <f>HYPERLINK("https://klasma.github.io/Logging_2039/kartor/A 62684-2025 karta.png", "A 62684-2025")</f>
        <v/>
      </c>
      <c r="V175">
        <f>HYPERLINK("https://klasma.github.io/Logging_2039/klagomål/A 62684-2025 FSC-klagomål.docx", "A 62684-2025")</f>
        <v/>
      </c>
      <c r="W175">
        <f>HYPERLINK("https://klasma.github.io/Logging_2039/klagomålsmail/A 62684-2025 FSC-klagomål mail.docx", "A 62684-2025")</f>
        <v/>
      </c>
      <c r="X175">
        <f>HYPERLINK("https://klasma.github.io/Logging_2039/tillsyn/A 62684-2025 tillsynsbegäran.docx", "A 62684-2025")</f>
        <v/>
      </c>
      <c r="Y175">
        <f>HYPERLINK("https://klasma.github.io/Logging_2039/tillsynsmail/A 62684-2025 tillsynsbegäran mail.docx", "A 62684-2025")</f>
        <v/>
      </c>
    </row>
    <row r="176" ht="15" customHeight="1">
      <c r="A176" t="inlineStr">
        <is>
          <t>A 45201-2024</t>
        </is>
      </c>
      <c r="B176" s="1" t="n">
        <v>45575</v>
      </c>
      <c r="C176" s="1" t="n">
        <v>46032</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55062-2022</t>
        </is>
      </c>
      <c r="B177" s="1" t="n">
        <v>44881</v>
      </c>
      <c r="C177" s="1" t="n">
        <v>46032</v>
      </c>
      <c r="D177" t="inlineStr">
        <is>
          <t>DALARNAS LÄN</t>
        </is>
      </c>
      <c r="E177" t="inlineStr">
        <is>
          <t>ÄLVDALEN</t>
        </is>
      </c>
      <c r="F177" t="inlineStr">
        <is>
          <t>Övriga statliga verk och myndigheter</t>
        </is>
      </c>
      <c r="G177" t="n">
        <v>28.1</v>
      </c>
      <c r="H177" t="n">
        <v>1</v>
      </c>
      <c r="I177" t="n">
        <v>0</v>
      </c>
      <c r="J177" t="n">
        <v>1</v>
      </c>
      <c r="K177" t="n">
        <v>0</v>
      </c>
      <c r="L177" t="n">
        <v>0</v>
      </c>
      <c r="M177" t="n">
        <v>0</v>
      </c>
      <c r="N177" t="n">
        <v>0</v>
      </c>
      <c r="O177" t="n">
        <v>1</v>
      </c>
      <c r="P177" t="n">
        <v>0</v>
      </c>
      <c r="Q177" t="n">
        <v>1</v>
      </c>
      <c r="R177" s="2" t="inlineStr">
        <is>
          <t>Utter</t>
        </is>
      </c>
      <c r="S177">
        <f>HYPERLINK("https://klasma.github.io/Logging_2039/artfynd/A 55062-2022 artfynd.xlsx", "A 55062-2022")</f>
        <v/>
      </c>
      <c r="T177">
        <f>HYPERLINK("https://klasma.github.io/Logging_2039/kartor/A 55062-2022 karta.png", "A 55062-2022")</f>
        <v/>
      </c>
      <c r="V177">
        <f>HYPERLINK("https://klasma.github.io/Logging_2039/klagomål/A 55062-2022 FSC-klagomål.docx", "A 55062-2022")</f>
        <v/>
      </c>
      <c r="W177">
        <f>HYPERLINK("https://klasma.github.io/Logging_2039/klagomålsmail/A 55062-2022 FSC-klagomål mail.docx", "A 55062-2022")</f>
        <v/>
      </c>
      <c r="X177">
        <f>HYPERLINK("https://klasma.github.io/Logging_2039/tillsyn/A 55062-2022 tillsynsbegäran.docx", "A 55062-2022")</f>
        <v/>
      </c>
      <c r="Y177">
        <f>HYPERLINK("https://klasma.github.io/Logging_2039/tillsynsmail/A 55062-2022 tillsynsbegäran mail.docx", "A 55062-2022")</f>
        <v/>
      </c>
    </row>
    <row r="178" ht="15" customHeight="1">
      <c r="A178" t="inlineStr">
        <is>
          <t>A 59380-2025</t>
        </is>
      </c>
      <c r="B178" s="1" t="n">
        <v>45989.4540625</v>
      </c>
      <c r="C178" s="1" t="n">
        <v>46032</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45202-2024</t>
        </is>
      </c>
      <c r="B179" s="1" t="n">
        <v>45575</v>
      </c>
      <c r="C179" s="1" t="n">
        <v>46032</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11061-2021</t>
        </is>
      </c>
      <c r="B180" s="1" t="n">
        <v>44260</v>
      </c>
      <c r="C180" s="1" t="n">
        <v>46032</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46032</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50981-2024</t>
        </is>
      </c>
      <c r="B182" s="1" t="n">
        <v>45603.36233796296</v>
      </c>
      <c r="C182" s="1" t="n">
        <v>46032</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32199-2024</t>
        </is>
      </c>
      <c r="B183" s="1" t="n">
        <v>45511.66325231481</v>
      </c>
      <c r="C183" s="1" t="n">
        <v>46032</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19313-2021</t>
        </is>
      </c>
      <c r="B184" s="1" t="n">
        <v>44309</v>
      </c>
      <c r="C184" s="1" t="n">
        <v>46032</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46032</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46032</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46032</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46032</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46032</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46032</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46032</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40235-2021</t>
        </is>
      </c>
      <c r="B192" s="1" t="n">
        <v>44419.31731481481</v>
      </c>
      <c r="C192" s="1" t="n">
        <v>46032</v>
      </c>
      <c r="D192" t="inlineStr">
        <is>
          <t>DALARNAS LÄN</t>
        </is>
      </c>
      <c r="E192" t="inlineStr">
        <is>
          <t>ÄLVDALEN</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45783-2022</t>
        </is>
      </c>
      <c r="B193" s="1" t="n">
        <v>44846</v>
      </c>
      <c r="C193" s="1" t="n">
        <v>46032</v>
      </c>
      <c r="D193" t="inlineStr">
        <is>
          <t>DALARNAS LÄN</t>
        </is>
      </c>
      <c r="E193" t="inlineStr">
        <is>
          <t>ÄLVDALEN</t>
        </is>
      </c>
      <c r="G193" t="n">
        <v>9.1</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46032</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46032</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46032</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46032</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54292-2021</t>
        </is>
      </c>
      <c r="B198" s="1" t="n">
        <v>44471</v>
      </c>
      <c r="C198" s="1" t="n">
        <v>46032</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46032</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46032</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46032</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46032</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46032</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46032</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46032</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46032</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46032</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46032</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46032</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46032</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46032</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46032</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46032</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46032</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46032</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46032</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46032</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46032</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46032</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46032</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46032</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46032</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46032</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46032</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46032</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46032</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46032</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46032</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46032</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46032</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46032</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46032</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46032</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46032</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46032</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46032</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46032</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46032</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46032</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46032</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46032</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46032</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46032</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46032</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46032</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46032</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46032</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46032</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46032</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46032</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37009-2021</t>
        </is>
      </c>
      <c r="B252" s="1" t="n">
        <v>44393.6384837963</v>
      </c>
      <c r="C252" s="1" t="n">
        <v>46032</v>
      </c>
      <c r="D252" t="inlineStr">
        <is>
          <t>DALARNAS LÄN</t>
        </is>
      </c>
      <c r="E252" t="inlineStr">
        <is>
          <t>ÄLVDALEN</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19759-2021</t>
        </is>
      </c>
      <c r="B253" s="1" t="n">
        <v>44309</v>
      </c>
      <c r="C253" s="1" t="n">
        <v>46032</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46032</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46032</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46032</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46032</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46032</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37490-2021</t>
        </is>
      </c>
      <c r="B259" s="1" t="n">
        <v>44399</v>
      </c>
      <c r="C259" s="1" t="n">
        <v>46032</v>
      </c>
      <c r="D259" t="inlineStr">
        <is>
          <t>DALARNAS LÄN</t>
        </is>
      </c>
      <c r="E259" t="inlineStr">
        <is>
          <t>ÄLVDALEN</t>
        </is>
      </c>
      <c r="G259" t="n">
        <v>1.5</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46032</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46032</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71282-2021</t>
        </is>
      </c>
      <c r="B262" s="1" t="n">
        <v>44539</v>
      </c>
      <c r="C262" s="1" t="n">
        <v>46032</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70252-2021</t>
        </is>
      </c>
      <c r="B263" s="1" t="n">
        <v>44536</v>
      </c>
      <c r="C263" s="1" t="n">
        <v>46032</v>
      </c>
      <c r="D263" t="inlineStr">
        <is>
          <t>DALARNAS LÄN</t>
        </is>
      </c>
      <c r="E263" t="inlineStr">
        <is>
          <t>ÄLVDALEN</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46032</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46032</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46032</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46032</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46032</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46032</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46032</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46032</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46032</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24009-2024</t>
        </is>
      </c>
      <c r="B273" s="1" t="n">
        <v>45456.40030092592</v>
      </c>
      <c r="C273" s="1" t="n">
        <v>46032</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46032</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55778-2021</t>
        </is>
      </c>
      <c r="B275" s="1" t="n">
        <v>44476</v>
      </c>
      <c r="C275" s="1" t="n">
        <v>46032</v>
      </c>
      <c r="D275" t="inlineStr">
        <is>
          <t>DALARNAS LÄN</t>
        </is>
      </c>
      <c r="E275" t="inlineStr">
        <is>
          <t>ÄLVDALEN</t>
        </is>
      </c>
      <c r="G275" t="n">
        <v>3.2</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46032</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27615-2023</t>
        </is>
      </c>
      <c r="B277" s="1" t="n">
        <v>45097</v>
      </c>
      <c r="C277" s="1" t="n">
        <v>46032</v>
      </c>
      <c r="D277" t="inlineStr">
        <is>
          <t>DALARNAS LÄN</t>
        </is>
      </c>
      <c r="E277" t="inlineStr">
        <is>
          <t>ÄLVDALEN</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37061-2024</t>
        </is>
      </c>
      <c r="B278" s="1" t="n">
        <v>45539</v>
      </c>
      <c r="C278" s="1" t="n">
        <v>46032</v>
      </c>
      <c r="D278" t="inlineStr">
        <is>
          <t>DALARNAS LÄN</t>
        </is>
      </c>
      <c r="E278" t="inlineStr">
        <is>
          <t>ÄLVDALEN</t>
        </is>
      </c>
      <c r="G278" t="n">
        <v>0.8</v>
      </c>
      <c r="H278" t="n">
        <v>0</v>
      </c>
      <c r="I278" t="n">
        <v>0</v>
      </c>
      <c r="J278" t="n">
        <v>0</v>
      </c>
      <c r="K278" t="n">
        <v>0</v>
      </c>
      <c r="L278" t="n">
        <v>0</v>
      </c>
      <c r="M278" t="n">
        <v>0</v>
      </c>
      <c r="N278" t="n">
        <v>0</v>
      </c>
      <c r="O278" t="n">
        <v>0</v>
      </c>
      <c r="P278" t="n">
        <v>0</v>
      </c>
      <c r="Q278" t="n">
        <v>0</v>
      </c>
      <c r="R278" s="2" t="inlineStr"/>
    </row>
    <row r="279" ht="15" customHeight="1">
      <c r="A279" t="inlineStr">
        <is>
          <t>A 74324-2021</t>
        </is>
      </c>
      <c r="B279" s="1" t="n">
        <v>44558</v>
      </c>
      <c r="C279" s="1" t="n">
        <v>46032</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22189-2025</t>
        </is>
      </c>
      <c r="B280" s="1" t="n">
        <v>45785.62479166667</v>
      </c>
      <c r="C280" s="1" t="n">
        <v>46032</v>
      </c>
      <c r="D280" t="inlineStr">
        <is>
          <t>DALARNAS LÄN</t>
        </is>
      </c>
      <c r="E280" t="inlineStr">
        <is>
          <t>ÄLVDALEN</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19708-2024</t>
        </is>
      </c>
      <c r="B281" s="1" t="n">
        <v>45432.55324074074</v>
      </c>
      <c r="C281" s="1" t="n">
        <v>46032</v>
      </c>
      <c r="D281" t="inlineStr">
        <is>
          <t>DALARNAS LÄN</t>
        </is>
      </c>
      <c r="E281" t="inlineStr">
        <is>
          <t>ÄLVDALEN</t>
        </is>
      </c>
      <c r="G281" t="n">
        <v>12.4</v>
      </c>
      <c r="H281" t="n">
        <v>0</v>
      </c>
      <c r="I281" t="n">
        <v>0</v>
      </c>
      <c r="J281" t="n">
        <v>0</v>
      </c>
      <c r="K281" t="n">
        <v>0</v>
      </c>
      <c r="L281" t="n">
        <v>0</v>
      </c>
      <c r="M281" t="n">
        <v>0</v>
      </c>
      <c r="N281" t="n">
        <v>0</v>
      </c>
      <c r="O281" t="n">
        <v>0</v>
      </c>
      <c r="P281" t="n">
        <v>0</v>
      </c>
      <c r="Q281" t="n">
        <v>0</v>
      </c>
      <c r="R281" s="2" t="inlineStr"/>
    </row>
    <row r="282" ht="15" customHeight="1">
      <c r="A282" t="inlineStr">
        <is>
          <t>A 36285-2024</t>
        </is>
      </c>
      <c r="B282" s="1" t="n">
        <v>45534.59008101852</v>
      </c>
      <c r="C282" s="1" t="n">
        <v>46032</v>
      </c>
      <c r="D282" t="inlineStr">
        <is>
          <t>DALARNAS LÄN</t>
        </is>
      </c>
      <c r="E282" t="inlineStr">
        <is>
          <t>ÄLVDALEN</t>
        </is>
      </c>
      <c r="G282" t="n">
        <v>4.9</v>
      </c>
      <c r="H282" t="n">
        <v>0</v>
      </c>
      <c r="I282" t="n">
        <v>0</v>
      </c>
      <c r="J282" t="n">
        <v>0</v>
      </c>
      <c r="K282" t="n">
        <v>0</v>
      </c>
      <c r="L282" t="n">
        <v>0</v>
      </c>
      <c r="M282" t="n">
        <v>0</v>
      </c>
      <c r="N282" t="n">
        <v>0</v>
      </c>
      <c r="O282" t="n">
        <v>0</v>
      </c>
      <c r="P282" t="n">
        <v>0</v>
      </c>
      <c r="Q282" t="n">
        <v>0</v>
      </c>
      <c r="R282" s="2" t="inlineStr"/>
    </row>
    <row r="283" ht="15" customHeight="1">
      <c r="A283" t="inlineStr">
        <is>
          <t>A 21469-2024</t>
        </is>
      </c>
      <c r="B283" s="1" t="n">
        <v>45441.486875</v>
      </c>
      <c r="C283" s="1" t="n">
        <v>46032</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38754-2025</t>
        </is>
      </c>
      <c r="B284" s="1" t="n">
        <v>45887.39354166666</v>
      </c>
      <c r="C284" s="1" t="n">
        <v>46032</v>
      </c>
      <c r="D284" t="inlineStr">
        <is>
          <t>DALARNAS LÄN</t>
        </is>
      </c>
      <c r="E284" t="inlineStr">
        <is>
          <t>ÄLVDALEN</t>
        </is>
      </c>
      <c r="F284" t="inlineStr">
        <is>
          <t>Bergvik skog väst AB</t>
        </is>
      </c>
      <c r="G284" t="n">
        <v>7.1</v>
      </c>
      <c r="H284" t="n">
        <v>0</v>
      </c>
      <c r="I284" t="n">
        <v>0</v>
      </c>
      <c r="J284" t="n">
        <v>0</v>
      </c>
      <c r="K284" t="n">
        <v>0</v>
      </c>
      <c r="L284" t="n">
        <v>0</v>
      </c>
      <c r="M284" t="n">
        <v>0</v>
      </c>
      <c r="N284" t="n">
        <v>0</v>
      </c>
      <c r="O284" t="n">
        <v>0</v>
      </c>
      <c r="P284" t="n">
        <v>0</v>
      </c>
      <c r="Q284" t="n">
        <v>0</v>
      </c>
      <c r="R284" s="2" t="inlineStr"/>
    </row>
    <row r="285" ht="15" customHeight="1">
      <c r="A285" t="inlineStr">
        <is>
          <t>A 32594-2023</t>
        </is>
      </c>
      <c r="B285" s="1" t="n">
        <v>45121.50986111111</v>
      </c>
      <c r="C285" s="1" t="n">
        <v>46032</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7581-2024</t>
        </is>
      </c>
      <c r="B286" s="1" t="n">
        <v>45348.49204861111</v>
      </c>
      <c r="C286" s="1" t="n">
        <v>46032</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22631-2025</t>
        </is>
      </c>
      <c r="B287" s="1" t="n">
        <v>45789.44056712963</v>
      </c>
      <c r="C287" s="1" t="n">
        <v>46032</v>
      </c>
      <c r="D287" t="inlineStr">
        <is>
          <t>DALARNAS LÄN</t>
        </is>
      </c>
      <c r="E287" t="inlineStr">
        <is>
          <t>ÄLVDALEN</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22559-2025</t>
        </is>
      </c>
      <c r="B288" s="1" t="n">
        <v>45789.32916666667</v>
      </c>
      <c r="C288" s="1" t="n">
        <v>46032</v>
      </c>
      <c r="D288" t="inlineStr">
        <is>
          <t>DALARNAS LÄN</t>
        </is>
      </c>
      <c r="E288" t="inlineStr">
        <is>
          <t>ÄLVDALEN</t>
        </is>
      </c>
      <c r="F288" t="inlineStr">
        <is>
          <t>Allmännings- och besparingsskogar</t>
        </is>
      </c>
      <c r="G288" t="n">
        <v>6.4</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46032</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22577-2025</t>
        </is>
      </c>
      <c r="B290" s="1" t="n">
        <v>45789.36928240741</v>
      </c>
      <c r="C290" s="1" t="n">
        <v>46032</v>
      </c>
      <c r="D290" t="inlineStr">
        <is>
          <t>DALARNAS LÄN</t>
        </is>
      </c>
      <c r="E290" t="inlineStr">
        <is>
          <t>ÄLVDALEN</t>
        </is>
      </c>
      <c r="F290" t="inlineStr">
        <is>
          <t>Allmännings- och besparingsskogar</t>
        </is>
      </c>
      <c r="G290" t="n">
        <v>18.1</v>
      </c>
      <c r="H290" t="n">
        <v>0</v>
      </c>
      <c r="I290" t="n">
        <v>0</v>
      </c>
      <c r="J290" t="n">
        <v>0</v>
      </c>
      <c r="K290" t="n">
        <v>0</v>
      </c>
      <c r="L290" t="n">
        <v>0</v>
      </c>
      <c r="M290" t="n">
        <v>0</v>
      </c>
      <c r="N290" t="n">
        <v>0</v>
      </c>
      <c r="O290" t="n">
        <v>0</v>
      </c>
      <c r="P290" t="n">
        <v>0</v>
      </c>
      <c r="Q290" t="n">
        <v>0</v>
      </c>
      <c r="R290" s="2" t="inlineStr"/>
    </row>
    <row r="291" ht="15" customHeight="1">
      <c r="A291" t="inlineStr">
        <is>
          <t>A 22303-2025</t>
        </is>
      </c>
      <c r="B291" s="1" t="n">
        <v>45786</v>
      </c>
      <c r="C291" s="1" t="n">
        <v>46032</v>
      </c>
      <c r="D291" t="inlineStr">
        <is>
          <t>DALARNAS LÄN</t>
        </is>
      </c>
      <c r="E291" t="inlineStr">
        <is>
          <t>ÄLVDALEN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51058-2025</t>
        </is>
      </c>
      <c r="B292" s="1" t="n">
        <v>45947.44518518518</v>
      </c>
      <c r="C292" s="1" t="n">
        <v>46032</v>
      </c>
      <c r="D292" t="inlineStr">
        <is>
          <t>DALARNAS LÄN</t>
        </is>
      </c>
      <c r="E292" t="inlineStr">
        <is>
          <t>ÄLVDALEN</t>
        </is>
      </c>
      <c r="G292" t="n">
        <v>3.8</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46032</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46032</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22909-2025</t>
        </is>
      </c>
      <c r="B295" s="1" t="n">
        <v>45790.42219907408</v>
      </c>
      <c r="C295" s="1" t="n">
        <v>46032</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51442-2025</t>
        </is>
      </c>
      <c r="B296" s="1" t="n">
        <v>45950.57458333333</v>
      </c>
      <c r="C296" s="1" t="n">
        <v>46032</v>
      </c>
      <c r="D296" t="inlineStr">
        <is>
          <t>DALARNAS LÄN</t>
        </is>
      </c>
      <c r="E296" t="inlineStr">
        <is>
          <t>ÄLVDALEN</t>
        </is>
      </c>
      <c r="F296" t="inlineStr">
        <is>
          <t>Bergvik skog väst AB</t>
        </is>
      </c>
      <c r="G296" t="n">
        <v>6.3</v>
      </c>
      <c r="H296" t="n">
        <v>0</v>
      </c>
      <c r="I296" t="n">
        <v>0</v>
      </c>
      <c r="J296" t="n">
        <v>0</v>
      </c>
      <c r="K296" t="n">
        <v>0</v>
      </c>
      <c r="L296" t="n">
        <v>0</v>
      </c>
      <c r="M296" t="n">
        <v>0</v>
      </c>
      <c r="N296" t="n">
        <v>0</v>
      </c>
      <c r="O296" t="n">
        <v>0</v>
      </c>
      <c r="P296" t="n">
        <v>0</v>
      </c>
      <c r="Q296" t="n">
        <v>0</v>
      </c>
      <c r="R296" s="2" t="inlineStr"/>
    </row>
    <row r="297" ht="15" customHeight="1">
      <c r="A297" t="inlineStr">
        <is>
          <t>A 51381-2025</t>
        </is>
      </c>
      <c r="B297" s="1" t="n">
        <v>45950.45982638889</v>
      </c>
      <c r="C297" s="1" t="n">
        <v>46032</v>
      </c>
      <c r="D297" t="inlineStr">
        <is>
          <t>DALARNAS LÄN</t>
        </is>
      </c>
      <c r="E297" t="inlineStr">
        <is>
          <t>ÄLVDALEN</t>
        </is>
      </c>
      <c r="G297" t="n">
        <v>1.3</v>
      </c>
      <c r="H297" t="n">
        <v>0</v>
      </c>
      <c r="I297" t="n">
        <v>0</v>
      </c>
      <c r="J297" t="n">
        <v>0</v>
      </c>
      <c r="K297" t="n">
        <v>0</v>
      </c>
      <c r="L297" t="n">
        <v>0</v>
      </c>
      <c r="M297" t="n">
        <v>0</v>
      </c>
      <c r="N297" t="n">
        <v>0</v>
      </c>
      <c r="O297" t="n">
        <v>0</v>
      </c>
      <c r="P297" t="n">
        <v>0</v>
      </c>
      <c r="Q297" t="n">
        <v>0</v>
      </c>
      <c r="R297" s="2" t="inlineStr"/>
    </row>
    <row r="298" ht="15" customHeight="1">
      <c r="A298" t="inlineStr">
        <is>
          <t>A 51392-2025</t>
        </is>
      </c>
      <c r="B298" s="1" t="n">
        <v>45950.46956018519</v>
      </c>
      <c r="C298" s="1" t="n">
        <v>46032</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1804-2024</t>
        </is>
      </c>
      <c r="B299" s="1" t="n">
        <v>45307.59216435185</v>
      </c>
      <c r="C299" s="1" t="n">
        <v>46032</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23219-2025</t>
        </is>
      </c>
      <c r="B300" s="1" t="n">
        <v>45791.47893518519</v>
      </c>
      <c r="C300" s="1" t="n">
        <v>46032</v>
      </c>
      <c r="D300" t="inlineStr">
        <is>
          <t>DALARNAS LÄN</t>
        </is>
      </c>
      <c r="E300" t="inlineStr">
        <is>
          <t>ÄLVDALEN</t>
        </is>
      </c>
      <c r="F300" t="inlineStr">
        <is>
          <t>Bergvik skog öst AB</t>
        </is>
      </c>
      <c r="G300" t="n">
        <v>16.7</v>
      </c>
      <c r="H300" t="n">
        <v>0</v>
      </c>
      <c r="I300" t="n">
        <v>0</v>
      </c>
      <c r="J300" t="n">
        <v>0</v>
      </c>
      <c r="K300" t="n">
        <v>0</v>
      </c>
      <c r="L300" t="n">
        <v>0</v>
      </c>
      <c r="M300" t="n">
        <v>0</v>
      </c>
      <c r="N300" t="n">
        <v>0</v>
      </c>
      <c r="O300" t="n">
        <v>0</v>
      </c>
      <c r="P300" t="n">
        <v>0</v>
      </c>
      <c r="Q300" t="n">
        <v>0</v>
      </c>
      <c r="R300" s="2" t="inlineStr"/>
    </row>
    <row r="301" ht="15" customHeight="1">
      <c r="A301" t="inlineStr">
        <is>
          <t>A 59588-2025</t>
        </is>
      </c>
      <c r="B301" s="1" t="n">
        <v>45992.33900462963</v>
      </c>
      <c r="C301" s="1" t="n">
        <v>46032</v>
      </c>
      <c r="D301" t="inlineStr">
        <is>
          <t>DALARNAS LÄN</t>
        </is>
      </c>
      <c r="E301" t="inlineStr">
        <is>
          <t>ÄLVDALEN</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46032</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46032</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23555-2025</t>
        </is>
      </c>
      <c r="B304" s="1" t="n">
        <v>45792.57824074074</v>
      </c>
      <c r="C304" s="1" t="n">
        <v>46032</v>
      </c>
      <c r="D304" t="inlineStr">
        <is>
          <t>DALARNAS LÄN</t>
        </is>
      </c>
      <c r="E304" t="inlineStr">
        <is>
          <t>ÄLVDALEN</t>
        </is>
      </c>
      <c r="G304" t="n">
        <v>3.1</v>
      </c>
      <c r="H304" t="n">
        <v>0</v>
      </c>
      <c r="I304" t="n">
        <v>0</v>
      </c>
      <c r="J304" t="n">
        <v>0</v>
      </c>
      <c r="K304" t="n">
        <v>0</v>
      </c>
      <c r="L304" t="n">
        <v>0</v>
      </c>
      <c r="M304" t="n">
        <v>0</v>
      </c>
      <c r="N304" t="n">
        <v>0</v>
      </c>
      <c r="O304" t="n">
        <v>0</v>
      </c>
      <c r="P304" t="n">
        <v>0</v>
      </c>
      <c r="Q304" t="n">
        <v>0</v>
      </c>
      <c r="R304" s="2" t="inlineStr"/>
    </row>
    <row r="305" ht="15" customHeight="1">
      <c r="A305" t="inlineStr">
        <is>
          <t>A 49063-2023</t>
        </is>
      </c>
      <c r="B305" s="1" t="n">
        <v>45210</v>
      </c>
      <c r="C305" s="1" t="n">
        <v>46032</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46032</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39893-2025</t>
        </is>
      </c>
      <c r="B307" s="1" t="n">
        <v>45891.63013888889</v>
      </c>
      <c r="C307" s="1" t="n">
        <v>46032</v>
      </c>
      <c r="D307" t="inlineStr">
        <is>
          <t>DALARNAS LÄN</t>
        </is>
      </c>
      <c r="E307" t="inlineStr">
        <is>
          <t>ÄLVDALEN</t>
        </is>
      </c>
      <c r="F307" t="inlineStr">
        <is>
          <t>Kommuner</t>
        </is>
      </c>
      <c r="G307" t="n">
        <v>5.8</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46032</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68204-2021</t>
        </is>
      </c>
      <c r="B309" s="1" t="n">
        <v>44526</v>
      </c>
      <c r="C309" s="1" t="n">
        <v>46032</v>
      </c>
      <c r="D309" t="inlineStr">
        <is>
          <t>DALARNAS LÄN</t>
        </is>
      </c>
      <c r="E309" t="inlineStr">
        <is>
          <t>ÄLVDALEN</t>
        </is>
      </c>
      <c r="F309" t="inlineStr">
        <is>
          <t>Kyrkan</t>
        </is>
      </c>
      <c r="G309" t="n">
        <v>5</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46032</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47645-2024</t>
        </is>
      </c>
      <c r="B311" s="1" t="n">
        <v>45588.37167824074</v>
      </c>
      <c r="C311" s="1" t="n">
        <v>46032</v>
      </c>
      <c r="D311" t="inlineStr">
        <is>
          <t>DALARNAS LÄN</t>
        </is>
      </c>
      <c r="E311" t="inlineStr">
        <is>
          <t>ÄLVDALEN</t>
        </is>
      </c>
      <c r="G311" t="n">
        <v>4.6</v>
      </c>
      <c r="H311" t="n">
        <v>0</v>
      </c>
      <c r="I311" t="n">
        <v>0</v>
      </c>
      <c r="J311" t="n">
        <v>0</v>
      </c>
      <c r="K311" t="n">
        <v>0</v>
      </c>
      <c r="L311" t="n">
        <v>0</v>
      </c>
      <c r="M311" t="n">
        <v>0</v>
      </c>
      <c r="N311" t="n">
        <v>0</v>
      </c>
      <c r="O311" t="n">
        <v>0</v>
      </c>
      <c r="P311" t="n">
        <v>0</v>
      </c>
      <c r="Q311" t="n">
        <v>0</v>
      </c>
      <c r="R311" s="2" t="inlineStr"/>
    </row>
    <row r="312" ht="15" customHeight="1">
      <c r="A312" t="inlineStr">
        <is>
          <t>A 23328-2024</t>
        </is>
      </c>
      <c r="B312" s="1" t="n">
        <v>45453.46716435185</v>
      </c>
      <c r="C312" s="1" t="n">
        <v>46032</v>
      </c>
      <c r="D312" t="inlineStr">
        <is>
          <t>DALARNAS LÄN</t>
        </is>
      </c>
      <c r="E312" t="inlineStr">
        <is>
          <t>ÄLVDALEN</t>
        </is>
      </c>
      <c r="G312" t="n">
        <v>2.7</v>
      </c>
      <c r="H312" t="n">
        <v>0</v>
      </c>
      <c r="I312" t="n">
        <v>0</v>
      </c>
      <c r="J312" t="n">
        <v>0</v>
      </c>
      <c r="K312" t="n">
        <v>0</v>
      </c>
      <c r="L312" t="n">
        <v>0</v>
      </c>
      <c r="M312" t="n">
        <v>0</v>
      </c>
      <c r="N312" t="n">
        <v>0</v>
      </c>
      <c r="O312" t="n">
        <v>0</v>
      </c>
      <c r="P312" t="n">
        <v>0</v>
      </c>
      <c r="Q312" t="n">
        <v>0</v>
      </c>
      <c r="R312" s="2" t="inlineStr"/>
    </row>
    <row r="313" ht="15" customHeight="1">
      <c r="A313" t="inlineStr">
        <is>
          <t>A 39755-2025</t>
        </is>
      </c>
      <c r="B313" s="1" t="n">
        <v>45891</v>
      </c>
      <c r="C313" s="1" t="n">
        <v>46032</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61070-2024</t>
        </is>
      </c>
      <c r="B314" s="1" t="n">
        <v>45645.50170138889</v>
      </c>
      <c r="C314" s="1" t="n">
        <v>46032</v>
      </c>
      <c r="D314" t="inlineStr">
        <is>
          <t>DALARNAS LÄN</t>
        </is>
      </c>
      <c r="E314" t="inlineStr">
        <is>
          <t>ÄLVDALEN</t>
        </is>
      </c>
      <c r="G314" t="n">
        <v>5.6</v>
      </c>
      <c r="H314" t="n">
        <v>0</v>
      </c>
      <c r="I314" t="n">
        <v>0</v>
      </c>
      <c r="J314" t="n">
        <v>0</v>
      </c>
      <c r="K314" t="n">
        <v>0</v>
      </c>
      <c r="L314" t="n">
        <v>0</v>
      </c>
      <c r="M314" t="n">
        <v>0</v>
      </c>
      <c r="N314" t="n">
        <v>0</v>
      </c>
      <c r="O314" t="n">
        <v>0</v>
      </c>
      <c r="P314" t="n">
        <v>0</v>
      </c>
      <c r="Q314" t="n">
        <v>0</v>
      </c>
      <c r="R314" s="2" t="inlineStr"/>
    </row>
    <row r="315" ht="15" customHeight="1">
      <c r="A315" t="inlineStr">
        <is>
          <t>A 40081-2025</t>
        </is>
      </c>
      <c r="B315" s="1" t="n">
        <v>45894.46609953704</v>
      </c>
      <c r="C315" s="1" t="n">
        <v>46032</v>
      </c>
      <c r="D315" t="inlineStr">
        <is>
          <t>DALARNAS LÄN</t>
        </is>
      </c>
      <c r="E315" t="inlineStr">
        <is>
          <t>ÄLVDALEN</t>
        </is>
      </c>
      <c r="F315" t="inlineStr">
        <is>
          <t>Övriga statliga verk och myndigheter</t>
        </is>
      </c>
      <c r="G315" t="n">
        <v>1.4</v>
      </c>
      <c r="H315" t="n">
        <v>0</v>
      </c>
      <c r="I315" t="n">
        <v>0</v>
      </c>
      <c r="J315" t="n">
        <v>0</v>
      </c>
      <c r="K315" t="n">
        <v>0</v>
      </c>
      <c r="L315" t="n">
        <v>0</v>
      </c>
      <c r="M315" t="n">
        <v>0</v>
      </c>
      <c r="N315" t="n">
        <v>0</v>
      </c>
      <c r="O315" t="n">
        <v>0</v>
      </c>
      <c r="P315" t="n">
        <v>0</v>
      </c>
      <c r="Q315" t="n">
        <v>0</v>
      </c>
      <c r="R315" s="2" t="inlineStr"/>
    </row>
    <row r="316" ht="15" customHeight="1">
      <c r="A316" t="inlineStr">
        <is>
          <t>A 47666-2024</t>
        </is>
      </c>
      <c r="B316" s="1" t="n">
        <v>45588.39283564815</v>
      </c>
      <c r="C316" s="1" t="n">
        <v>46032</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57470-2023</t>
        </is>
      </c>
      <c r="B317" s="1" t="n">
        <v>45246</v>
      </c>
      <c r="C317" s="1" t="n">
        <v>46032</v>
      </c>
      <c r="D317" t="inlineStr">
        <is>
          <t>DALARNAS LÄN</t>
        </is>
      </c>
      <c r="E317" t="inlineStr">
        <is>
          <t>ÄLVDALEN</t>
        </is>
      </c>
      <c r="G317" t="n">
        <v>0.4</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46032</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40954-2025</t>
        </is>
      </c>
      <c r="B319" s="1" t="n">
        <v>45897.67196759259</v>
      </c>
      <c r="C319" s="1" t="n">
        <v>46032</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46032</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59590-2025</t>
        </is>
      </c>
      <c r="B321" s="1" t="n">
        <v>45992.34043981481</v>
      </c>
      <c r="C321" s="1" t="n">
        <v>46032</v>
      </c>
      <c r="D321" t="inlineStr">
        <is>
          <t>DALARNAS LÄN</t>
        </is>
      </c>
      <c r="E321" t="inlineStr">
        <is>
          <t>ÄLVDALEN</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32359-2024</t>
        </is>
      </c>
      <c r="B322" s="1" t="n">
        <v>45512.56623842593</v>
      </c>
      <c r="C322" s="1" t="n">
        <v>46032</v>
      </c>
      <c r="D322" t="inlineStr">
        <is>
          <t>DALARNAS LÄN</t>
        </is>
      </c>
      <c r="E322" t="inlineStr">
        <is>
          <t>ÄLVDALEN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24950-2025</t>
        </is>
      </c>
      <c r="B323" s="1" t="n">
        <v>45799.56943287037</v>
      </c>
      <c r="C323" s="1" t="n">
        <v>46032</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51461-2025</t>
        </is>
      </c>
      <c r="B324" s="1" t="n">
        <v>45950.6047337963</v>
      </c>
      <c r="C324" s="1" t="n">
        <v>46032</v>
      </c>
      <c r="D324" t="inlineStr">
        <is>
          <t>DALARNAS LÄN</t>
        </is>
      </c>
      <c r="E324" t="inlineStr">
        <is>
          <t>ÄLVDALEN</t>
        </is>
      </c>
      <c r="F324" t="inlineStr">
        <is>
          <t>Allmännings- och besparingsskogar</t>
        </is>
      </c>
      <c r="G324" t="n">
        <v>5</v>
      </c>
      <c r="H324" t="n">
        <v>0</v>
      </c>
      <c r="I324" t="n">
        <v>0</v>
      </c>
      <c r="J324" t="n">
        <v>0</v>
      </c>
      <c r="K324" t="n">
        <v>0</v>
      </c>
      <c r="L324" t="n">
        <v>0</v>
      </c>
      <c r="M324" t="n">
        <v>0</v>
      </c>
      <c r="N324" t="n">
        <v>0</v>
      </c>
      <c r="O324" t="n">
        <v>0</v>
      </c>
      <c r="P324" t="n">
        <v>0</v>
      </c>
      <c r="Q324" t="n">
        <v>0</v>
      </c>
      <c r="R324" s="2" t="inlineStr"/>
    </row>
    <row r="325" ht="15" customHeight="1">
      <c r="A325" t="inlineStr">
        <is>
          <t>A 57817-2023</t>
        </is>
      </c>
      <c r="B325" s="1" t="n">
        <v>45247</v>
      </c>
      <c r="C325" s="1" t="n">
        <v>46032</v>
      </c>
      <c r="D325" t="inlineStr">
        <is>
          <t>DALARNAS LÄN</t>
        </is>
      </c>
      <c r="E325" t="inlineStr">
        <is>
          <t>ÄLVDALEN</t>
        </is>
      </c>
      <c r="G325" t="n">
        <v>6.4</v>
      </c>
      <c r="H325" t="n">
        <v>0</v>
      </c>
      <c r="I325" t="n">
        <v>0</v>
      </c>
      <c r="J325" t="n">
        <v>0</v>
      </c>
      <c r="K325" t="n">
        <v>0</v>
      </c>
      <c r="L325" t="n">
        <v>0</v>
      </c>
      <c r="M325" t="n">
        <v>0</v>
      </c>
      <c r="N325" t="n">
        <v>0</v>
      </c>
      <c r="O325" t="n">
        <v>0</v>
      </c>
      <c r="P325" t="n">
        <v>0</v>
      </c>
      <c r="Q325" t="n">
        <v>0</v>
      </c>
      <c r="R325" s="2" t="inlineStr"/>
    </row>
    <row r="326" ht="15" customHeight="1">
      <c r="A326" t="inlineStr">
        <is>
          <t>A 41566-2025</t>
        </is>
      </c>
      <c r="B326" s="1" t="n">
        <v>45901.6049537037</v>
      </c>
      <c r="C326" s="1" t="n">
        <v>46032</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41571-2025</t>
        </is>
      </c>
      <c r="B327" s="1" t="n">
        <v>45901.61150462963</v>
      </c>
      <c r="C327" s="1" t="n">
        <v>46032</v>
      </c>
      <c r="D327" t="inlineStr">
        <is>
          <t>DALARNAS LÄN</t>
        </is>
      </c>
      <c r="E327" t="inlineStr">
        <is>
          <t>ÄLVDALEN</t>
        </is>
      </c>
      <c r="G327" t="n">
        <v>1.8</v>
      </c>
      <c r="H327" t="n">
        <v>0</v>
      </c>
      <c r="I327" t="n">
        <v>0</v>
      </c>
      <c r="J327" t="n">
        <v>0</v>
      </c>
      <c r="K327" t="n">
        <v>0</v>
      </c>
      <c r="L327" t="n">
        <v>0</v>
      </c>
      <c r="M327" t="n">
        <v>0</v>
      </c>
      <c r="N327" t="n">
        <v>0</v>
      </c>
      <c r="O327" t="n">
        <v>0</v>
      </c>
      <c r="P327" t="n">
        <v>0</v>
      </c>
      <c r="Q327" t="n">
        <v>0</v>
      </c>
      <c r="R327" s="2" t="inlineStr"/>
    </row>
    <row r="328" ht="15" customHeight="1">
      <c r="A328" t="inlineStr">
        <is>
          <t>A 57560-2024</t>
        </is>
      </c>
      <c r="B328" s="1" t="n">
        <v>45630.4566550926</v>
      </c>
      <c r="C328" s="1" t="n">
        <v>46032</v>
      </c>
      <c r="D328" t="inlineStr">
        <is>
          <t>DALARNAS LÄN</t>
        </is>
      </c>
      <c r="E328" t="inlineStr">
        <is>
          <t>ÄLVDALEN</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24637-2025</t>
        </is>
      </c>
      <c r="B329" s="1" t="n">
        <v>45798.616875</v>
      </c>
      <c r="C329" s="1" t="n">
        <v>46032</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51399-2025</t>
        </is>
      </c>
      <c r="B330" s="1" t="n">
        <v>45950.47741898148</v>
      </c>
      <c r="C330" s="1" t="n">
        <v>46032</v>
      </c>
      <c r="D330" t="inlineStr">
        <is>
          <t>DALARNAS LÄN</t>
        </is>
      </c>
      <c r="E330" t="inlineStr">
        <is>
          <t>ÄLVDALEN</t>
        </is>
      </c>
      <c r="G330" t="n">
        <v>5.9</v>
      </c>
      <c r="H330" t="n">
        <v>0</v>
      </c>
      <c r="I330" t="n">
        <v>0</v>
      </c>
      <c r="J330" t="n">
        <v>0</v>
      </c>
      <c r="K330" t="n">
        <v>0</v>
      </c>
      <c r="L330" t="n">
        <v>0</v>
      </c>
      <c r="M330" t="n">
        <v>0</v>
      </c>
      <c r="N330" t="n">
        <v>0</v>
      </c>
      <c r="O330" t="n">
        <v>0</v>
      </c>
      <c r="P330" t="n">
        <v>0</v>
      </c>
      <c r="Q330" t="n">
        <v>0</v>
      </c>
      <c r="R330" s="2" t="inlineStr"/>
    </row>
    <row r="331" ht="15" customHeight="1">
      <c r="A331" t="inlineStr">
        <is>
          <t>A 25086-2025</t>
        </is>
      </c>
      <c r="B331" s="1" t="n">
        <v>45800</v>
      </c>
      <c r="C331" s="1" t="n">
        <v>46032</v>
      </c>
      <c r="D331" t="inlineStr">
        <is>
          <t>DALARNAS LÄN</t>
        </is>
      </c>
      <c r="E331" t="inlineStr">
        <is>
          <t>ÄLVDALEN</t>
        </is>
      </c>
      <c r="F331" t="inlineStr">
        <is>
          <t>Sveaskog</t>
        </is>
      </c>
      <c r="G331" t="n">
        <v>10.7</v>
      </c>
      <c r="H331" t="n">
        <v>0</v>
      </c>
      <c r="I331" t="n">
        <v>0</v>
      </c>
      <c r="J331" t="n">
        <v>0</v>
      </c>
      <c r="K331" t="n">
        <v>0</v>
      </c>
      <c r="L331" t="n">
        <v>0</v>
      </c>
      <c r="M331" t="n">
        <v>0</v>
      </c>
      <c r="N331" t="n">
        <v>0</v>
      </c>
      <c r="O331" t="n">
        <v>0</v>
      </c>
      <c r="P331" t="n">
        <v>0</v>
      </c>
      <c r="Q331" t="n">
        <v>0</v>
      </c>
      <c r="R331" s="2" t="inlineStr"/>
    </row>
    <row r="332" ht="15" customHeight="1">
      <c r="A332" t="inlineStr">
        <is>
          <t>A 41115-2025</t>
        </is>
      </c>
      <c r="B332" s="1" t="n">
        <v>45898.46256944445</v>
      </c>
      <c r="C332" s="1" t="n">
        <v>46032</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52167-2024</t>
        </is>
      </c>
      <c r="B333" s="1" t="n">
        <v>45608.53949074074</v>
      </c>
      <c r="C333" s="1" t="n">
        <v>46032</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68383-2021</t>
        </is>
      </c>
      <c r="B334" s="1" t="n">
        <v>44529</v>
      </c>
      <c r="C334" s="1" t="n">
        <v>46032</v>
      </c>
      <c r="D334" t="inlineStr">
        <is>
          <t>DALARNAS LÄN</t>
        </is>
      </c>
      <c r="E334" t="inlineStr">
        <is>
          <t>ÄLVDALEN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45122-2023</t>
        </is>
      </c>
      <c r="B335" s="1" t="n">
        <v>45191.44871527778</v>
      </c>
      <c r="C335" s="1" t="n">
        <v>46032</v>
      </c>
      <c r="D335" t="inlineStr">
        <is>
          <t>DALARNAS LÄN</t>
        </is>
      </c>
      <c r="E335" t="inlineStr">
        <is>
          <t>ÄLVDALEN</t>
        </is>
      </c>
      <c r="G335" t="n">
        <v>2.7</v>
      </c>
      <c r="H335" t="n">
        <v>0</v>
      </c>
      <c r="I335" t="n">
        <v>0</v>
      </c>
      <c r="J335" t="n">
        <v>0</v>
      </c>
      <c r="K335" t="n">
        <v>0</v>
      </c>
      <c r="L335" t="n">
        <v>0</v>
      </c>
      <c r="M335" t="n">
        <v>0</v>
      </c>
      <c r="N335" t="n">
        <v>0</v>
      </c>
      <c r="O335" t="n">
        <v>0</v>
      </c>
      <c r="P335" t="n">
        <v>0</v>
      </c>
      <c r="Q335" t="n">
        <v>0</v>
      </c>
      <c r="R335" s="2" t="inlineStr"/>
    </row>
    <row r="336" ht="15" customHeight="1">
      <c r="A336" t="inlineStr">
        <is>
          <t>A 28473-2024</t>
        </is>
      </c>
      <c r="B336" s="1" t="n">
        <v>45477.73017361111</v>
      </c>
      <c r="C336" s="1" t="n">
        <v>46032</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28479-2024</t>
        </is>
      </c>
      <c r="B337" s="1" t="n">
        <v>45477.74017361111</v>
      </c>
      <c r="C337" s="1" t="n">
        <v>46032</v>
      </c>
      <c r="D337" t="inlineStr">
        <is>
          <t>DALARNAS LÄN</t>
        </is>
      </c>
      <c r="E337" t="inlineStr">
        <is>
          <t>ÄLVDALEN</t>
        </is>
      </c>
      <c r="G337" t="n">
        <v>4.1</v>
      </c>
      <c r="H337" t="n">
        <v>0</v>
      </c>
      <c r="I337" t="n">
        <v>0</v>
      </c>
      <c r="J337" t="n">
        <v>0</v>
      </c>
      <c r="K337" t="n">
        <v>0</v>
      </c>
      <c r="L337" t="n">
        <v>0</v>
      </c>
      <c r="M337" t="n">
        <v>0</v>
      </c>
      <c r="N337" t="n">
        <v>0</v>
      </c>
      <c r="O337" t="n">
        <v>0</v>
      </c>
      <c r="P337" t="n">
        <v>0</v>
      </c>
      <c r="Q337" t="n">
        <v>0</v>
      </c>
      <c r="R337" s="2" t="inlineStr"/>
    </row>
    <row r="338" ht="15" customHeight="1">
      <c r="A338" t="inlineStr">
        <is>
          <t>A 713-2022</t>
        </is>
      </c>
      <c r="B338" s="1" t="n">
        <v>44568</v>
      </c>
      <c r="C338" s="1" t="n">
        <v>46032</v>
      </c>
      <c r="D338" t="inlineStr">
        <is>
          <t>DALARNAS LÄN</t>
        </is>
      </c>
      <c r="E338" t="inlineStr">
        <is>
          <t>ÄLVDALEN</t>
        </is>
      </c>
      <c r="G338" t="n">
        <v>1.6</v>
      </c>
      <c r="H338" t="n">
        <v>0</v>
      </c>
      <c r="I338" t="n">
        <v>0</v>
      </c>
      <c r="J338" t="n">
        <v>0</v>
      </c>
      <c r="K338" t="n">
        <v>0</v>
      </c>
      <c r="L338" t="n">
        <v>0</v>
      </c>
      <c r="M338" t="n">
        <v>0</v>
      </c>
      <c r="N338" t="n">
        <v>0</v>
      </c>
      <c r="O338" t="n">
        <v>0</v>
      </c>
      <c r="P338" t="n">
        <v>0</v>
      </c>
      <c r="Q338" t="n">
        <v>0</v>
      </c>
      <c r="R338" s="2" t="inlineStr"/>
    </row>
    <row r="339" ht="15" customHeight="1">
      <c r="A339" t="inlineStr">
        <is>
          <t>A 26285-2025</t>
        </is>
      </c>
      <c r="B339" s="1" t="n">
        <v>45805.61885416666</v>
      </c>
      <c r="C339" s="1" t="n">
        <v>46032</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50037-2022</t>
        </is>
      </c>
      <c r="B340" s="1" t="n">
        <v>44865.46136574074</v>
      </c>
      <c r="C340" s="1" t="n">
        <v>46032</v>
      </c>
      <c r="D340" t="inlineStr">
        <is>
          <t>DALARNAS LÄN</t>
        </is>
      </c>
      <c r="E340" t="inlineStr">
        <is>
          <t>ÄLVDALEN</t>
        </is>
      </c>
      <c r="F340" t="inlineStr">
        <is>
          <t>Allmännings- och besparingsskogar</t>
        </is>
      </c>
      <c r="G340" t="n">
        <v>5.8</v>
      </c>
      <c r="H340" t="n">
        <v>0</v>
      </c>
      <c r="I340" t="n">
        <v>0</v>
      </c>
      <c r="J340" t="n">
        <v>0</v>
      </c>
      <c r="K340" t="n">
        <v>0</v>
      </c>
      <c r="L340" t="n">
        <v>0</v>
      </c>
      <c r="M340" t="n">
        <v>0</v>
      </c>
      <c r="N340" t="n">
        <v>0</v>
      </c>
      <c r="O340" t="n">
        <v>0</v>
      </c>
      <c r="P340" t="n">
        <v>0</v>
      </c>
      <c r="Q340" t="n">
        <v>0</v>
      </c>
      <c r="R340" s="2" t="inlineStr"/>
    </row>
    <row r="341" ht="15" customHeight="1">
      <c r="A341" t="inlineStr">
        <is>
          <t>A 25879-2025</t>
        </is>
      </c>
      <c r="B341" s="1" t="n">
        <v>45804.49605324074</v>
      </c>
      <c r="C341" s="1" t="n">
        <v>46032</v>
      </c>
      <c r="D341" t="inlineStr">
        <is>
          <t>DALARNAS LÄN</t>
        </is>
      </c>
      <c r="E341" t="inlineStr">
        <is>
          <t>ÄLVDALEN</t>
        </is>
      </c>
      <c r="F341" t="inlineStr">
        <is>
          <t>Allmännings- och besparingsskogar</t>
        </is>
      </c>
      <c r="G341" t="n">
        <v>0.2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46032</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26704-2025</t>
        </is>
      </c>
      <c r="B343" s="1" t="n">
        <v>45810.45271990741</v>
      </c>
      <c r="C343" s="1" t="n">
        <v>46032</v>
      </c>
      <c r="D343" t="inlineStr">
        <is>
          <t>DALARNAS LÄN</t>
        </is>
      </c>
      <c r="E343" t="inlineStr">
        <is>
          <t>ÄLVDALEN</t>
        </is>
      </c>
      <c r="F343" t="inlineStr">
        <is>
          <t>Bergvik skog väst AB</t>
        </is>
      </c>
      <c r="G343" t="n">
        <v>32.3</v>
      </c>
      <c r="H343" t="n">
        <v>0</v>
      </c>
      <c r="I343" t="n">
        <v>0</v>
      </c>
      <c r="J343" t="n">
        <v>0</v>
      </c>
      <c r="K343" t="n">
        <v>0</v>
      </c>
      <c r="L343" t="n">
        <v>0</v>
      </c>
      <c r="M343" t="n">
        <v>0</v>
      </c>
      <c r="N343" t="n">
        <v>0</v>
      </c>
      <c r="O343" t="n">
        <v>0</v>
      </c>
      <c r="P343" t="n">
        <v>0</v>
      </c>
      <c r="Q343" t="n">
        <v>0</v>
      </c>
      <c r="R343" s="2" t="inlineStr"/>
    </row>
    <row r="344" ht="15" customHeight="1">
      <c r="A344" t="inlineStr">
        <is>
          <t>A 2546-2025</t>
        </is>
      </c>
      <c r="B344" s="1" t="n">
        <v>45674.62240740741</v>
      </c>
      <c r="C344" s="1" t="n">
        <v>46032</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49203-2023</t>
        </is>
      </c>
      <c r="B345" s="1" t="n">
        <v>45210</v>
      </c>
      <c r="C345" s="1" t="n">
        <v>46032</v>
      </c>
      <c r="D345" t="inlineStr">
        <is>
          <t>DALARNAS LÄN</t>
        </is>
      </c>
      <c r="E345" t="inlineStr">
        <is>
          <t>ÄLVDALEN</t>
        </is>
      </c>
      <c r="F345" t="inlineStr">
        <is>
          <t>Bergvik skog väst AB</t>
        </is>
      </c>
      <c r="G345" t="n">
        <v>18.2</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46032</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59444-2024</t>
        </is>
      </c>
      <c r="B347" s="1" t="n">
        <v>45638.45292824074</v>
      </c>
      <c r="C347" s="1" t="n">
        <v>46032</v>
      </c>
      <c r="D347" t="inlineStr">
        <is>
          <t>DALARNAS LÄN</t>
        </is>
      </c>
      <c r="E347" t="inlineStr">
        <is>
          <t>ÄLVDALEN</t>
        </is>
      </c>
      <c r="G347" t="n">
        <v>3.9</v>
      </c>
      <c r="H347" t="n">
        <v>0</v>
      </c>
      <c r="I347" t="n">
        <v>0</v>
      </c>
      <c r="J347" t="n">
        <v>0</v>
      </c>
      <c r="K347" t="n">
        <v>0</v>
      </c>
      <c r="L347" t="n">
        <v>0</v>
      </c>
      <c r="M347" t="n">
        <v>0</v>
      </c>
      <c r="N347" t="n">
        <v>0</v>
      </c>
      <c r="O347" t="n">
        <v>0</v>
      </c>
      <c r="P347" t="n">
        <v>0</v>
      </c>
      <c r="Q347" t="n">
        <v>0</v>
      </c>
      <c r="R347" s="2" t="inlineStr"/>
    </row>
    <row r="348" ht="15" customHeight="1">
      <c r="A348" t="inlineStr">
        <is>
          <t>A 43602-2025</t>
        </is>
      </c>
      <c r="B348" s="1" t="n">
        <v>45911.66576388889</v>
      </c>
      <c r="C348" s="1" t="n">
        <v>46032</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48552-2024</t>
        </is>
      </c>
      <c r="B349" s="1" t="n">
        <v>45593.37266203704</v>
      </c>
      <c r="C349" s="1" t="n">
        <v>46032</v>
      </c>
      <c r="D349" t="inlineStr">
        <is>
          <t>DALARNAS LÄN</t>
        </is>
      </c>
      <c r="E349" t="inlineStr">
        <is>
          <t>ÄLVDALEN</t>
        </is>
      </c>
      <c r="G349" t="n">
        <v>4.1</v>
      </c>
      <c r="H349" t="n">
        <v>0</v>
      </c>
      <c r="I349" t="n">
        <v>0</v>
      </c>
      <c r="J349" t="n">
        <v>0</v>
      </c>
      <c r="K349" t="n">
        <v>0</v>
      </c>
      <c r="L349" t="n">
        <v>0</v>
      </c>
      <c r="M349" t="n">
        <v>0</v>
      </c>
      <c r="N349" t="n">
        <v>0</v>
      </c>
      <c r="O349" t="n">
        <v>0</v>
      </c>
      <c r="P349" t="n">
        <v>0</v>
      </c>
      <c r="Q349" t="n">
        <v>0</v>
      </c>
      <c r="R349" s="2" t="inlineStr"/>
    </row>
    <row r="350" ht="15" customHeight="1">
      <c r="A350" t="inlineStr">
        <is>
          <t>A 43581-2025</t>
        </is>
      </c>
      <c r="B350" s="1" t="n">
        <v>45911.64846064815</v>
      </c>
      <c r="C350" s="1" t="n">
        <v>46032</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43514-2025</t>
        </is>
      </c>
      <c r="B351" s="1" t="n">
        <v>45911.56475694444</v>
      </c>
      <c r="C351" s="1" t="n">
        <v>46032</v>
      </c>
      <c r="D351" t="inlineStr">
        <is>
          <t>DALARNAS LÄN</t>
        </is>
      </c>
      <c r="E351" t="inlineStr">
        <is>
          <t>ÄLVDALEN</t>
        </is>
      </c>
      <c r="F351" t="inlineStr">
        <is>
          <t>Allmännings- och besparingsskogar</t>
        </is>
      </c>
      <c r="G351" t="n">
        <v>1.3</v>
      </c>
      <c r="H351" t="n">
        <v>0</v>
      </c>
      <c r="I351" t="n">
        <v>0</v>
      </c>
      <c r="J351" t="n">
        <v>0</v>
      </c>
      <c r="K351" t="n">
        <v>0</v>
      </c>
      <c r="L351" t="n">
        <v>0</v>
      </c>
      <c r="M351" t="n">
        <v>0</v>
      </c>
      <c r="N351" t="n">
        <v>0</v>
      </c>
      <c r="O351" t="n">
        <v>0</v>
      </c>
      <c r="P351" t="n">
        <v>0</v>
      </c>
      <c r="Q351" t="n">
        <v>0</v>
      </c>
      <c r="R351" s="2" t="inlineStr"/>
    </row>
    <row r="352" ht="15" customHeight="1">
      <c r="A352" t="inlineStr">
        <is>
          <t>A 43342-2025</t>
        </is>
      </c>
      <c r="B352" s="1" t="n">
        <v>45910.7628125</v>
      </c>
      <c r="C352" s="1" t="n">
        <v>46032</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27230-2025</t>
        </is>
      </c>
      <c r="B353" s="1" t="n">
        <v>45812.43825231482</v>
      </c>
      <c r="C353" s="1" t="n">
        <v>46032</v>
      </c>
      <c r="D353" t="inlineStr">
        <is>
          <t>DALARNAS LÄN</t>
        </is>
      </c>
      <c r="E353" t="inlineStr">
        <is>
          <t>ÄLVDALEN</t>
        </is>
      </c>
      <c r="F353" t="inlineStr">
        <is>
          <t>Allmännings- och besparingsskogar</t>
        </is>
      </c>
      <c r="G353" t="n">
        <v>4</v>
      </c>
      <c r="H353" t="n">
        <v>0</v>
      </c>
      <c r="I353" t="n">
        <v>0</v>
      </c>
      <c r="J353" t="n">
        <v>0</v>
      </c>
      <c r="K353" t="n">
        <v>0</v>
      </c>
      <c r="L353" t="n">
        <v>0</v>
      </c>
      <c r="M353" t="n">
        <v>0</v>
      </c>
      <c r="N353" t="n">
        <v>0</v>
      </c>
      <c r="O353" t="n">
        <v>0</v>
      </c>
      <c r="P353" t="n">
        <v>0</v>
      </c>
      <c r="Q353" t="n">
        <v>0</v>
      </c>
      <c r="R353" s="2" t="inlineStr"/>
    </row>
    <row r="354" ht="15" customHeight="1">
      <c r="A354" t="inlineStr">
        <is>
          <t>A 27261-2025</t>
        </is>
      </c>
      <c r="B354" s="1" t="n">
        <v>45812.47674768518</v>
      </c>
      <c r="C354" s="1" t="n">
        <v>46032</v>
      </c>
      <c r="D354" t="inlineStr">
        <is>
          <t>DALARNAS LÄN</t>
        </is>
      </c>
      <c r="E354" t="inlineStr">
        <is>
          <t>ÄLVDALEN</t>
        </is>
      </c>
      <c r="F354" t="inlineStr">
        <is>
          <t>Bergvik skog väst AB</t>
        </is>
      </c>
      <c r="G354" t="n">
        <v>9.5</v>
      </c>
      <c r="H354" t="n">
        <v>0</v>
      </c>
      <c r="I354" t="n">
        <v>0</v>
      </c>
      <c r="J354" t="n">
        <v>0</v>
      </c>
      <c r="K354" t="n">
        <v>0</v>
      </c>
      <c r="L354" t="n">
        <v>0</v>
      </c>
      <c r="M354" t="n">
        <v>0</v>
      </c>
      <c r="N354" t="n">
        <v>0</v>
      </c>
      <c r="O354" t="n">
        <v>0</v>
      </c>
      <c r="P354" t="n">
        <v>0</v>
      </c>
      <c r="Q354" t="n">
        <v>0</v>
      </c>
      <c r="R354" s="2" t="inlineStr"/>
    </row>
    <row r="355" ht="15" customHeight="1">
      <c r="A355" t="inlineStr">
        <is>
          <t>A 43585-2025</t>
        </is>
      </c>
      <c r="B355" s="1" t="n">
        <v>45911.65087962963</v>
      </c>
      <c r="C355" s="1" t="n">
        <v>46032</v>
      </c>
      <c r="D355" t="inlineStr">
        <is>
          <t>DALARNAS LÄN</t>
        </is>
      </c>
      <c r="E355" t="inlineStr">
        <is>
          <t>ÄLVDALEN</t>
        </is>
      </c>
      <c r="G355" t="n">
        <v>2.8</v>
      </c>
      <c r="H355" t="n">
        <v>0</v>
      </c>
      <c r="I355" t="n">
        <v>0</v>
      </c>
      <c r="J355" t="n">
        <v>0</v>
      </c>
      <c r="K355" t="n">
        <v>0</v>
      </c>
      <c r="L355" t="n">
        <v>0</v>
      </c>
      <c r="M355" t="n">
        <v>0</v>
      </c>
      <c r="N355" t="n">
        <v>0</v>
      </c>
      <c r="O355" t="n">
        <v>0</v>
      </c>
      <c r="P355" t="n">
        <v>0</v>
      </c>
      <c r="Q355" t="n">
        <v>0</v>
      </c>
      <c r="R355" s="2" t="inlineStr"/>
    </row>
    <row r="356" ht="15" customHeight="1">
      <c r="A356" t="inlineStr">
        <is>
          <t>A 30147-2024</t>
        </is>
      </c>
      <c r="B356" s="1" t="n">
        <v>45488</v>
      </c>
      <c r="C356" s="1" t="n">
        <v>46032</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52152-2025</t>
        </is>
      </c>
      <c r="B357" s="1" t="n">
        <v>45953.34563657407</v>
      </c>
      <c r="C357" s="1" t="n">
        <v>46032</v>
      </c>
      <c r="D357" t="inlineStr">
        <is>
          <t>DALARNAS LÄN</t>
        </is>
      </c>
      <c r="E357" t="inlineStr">
        <is>
          <t>ÄLVDALEN</t>
        </is>
      </c>
      <c r="F357" t="inlineStr">
        <is>
          <t>Allmännings- och besparingsskogar</t>
        </is>
      </c>
      <c r="G357" t="n">
        <v>22.3</v>
      </c>
      <c r="H357" t="n">
        <v>0</v>
      </c>
      <c r="I357" t="n">
        <v>0</v>
      </c>
      <c r="J357" t="n">
        <v>0</v>
      </c>
      <c r="K357" t="n">
        <v>0</v>
      </c>
      <c r="L357" t="n">
        <v>0</v>
      </c>
      <c r="M357" t="n">
        <v>0</v>
      </c>
      <c r="N357" t="n">
        <v>0</v>
      </c>
      <c r="O357" t="n">
        <v>0</v>
      </c>
      <c r="P357" t="n">
        <v>0</v>
      </c>
      <c r="Q357" t="n">
        <v>0</v>
      </c>
      <c r="R357" s="2" t="inlineStr"/>
    </row>
    <row r="358" ht="15" customHeight="1">
      <c r="A358" t="inlineStr">
        <is>
          <t>A 43998-2025</t>
        </is>
      </c>
      <c r="B358" s="1" t="n">
        <v>45915</v>
      </c>
      <c r="C358" s="1" t="n">
        <v>46032</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7998-2024</t>
        </is>
      </c>
      <c r="B359" s="1" t="n">
        <v>45350.6433912037</v>
      </c>
      <c r="C359" s="1" t="n">
        <v>46032</v>
      </c>
      <c r="D359" t="inlineStr">
        <is>
          <t>DALARNAS LÄN</t>
        </is>
      </c>
      <c r="E359" t="inlineStr">
        <is>
          <t>ÄLVDALEN</t>
        </is>
      </c>
      <c r="F359" t="inlineStr">
        <is>
          <t>Kommuner</t>
        </is>
      </c>
      <c r="G359" t="n">
        <v>7.9</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46032</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3904-2024</t>
        </is>
      </c>
      <c r="B361" s="1" t="n">
        <v>45322</v>
      </c>
      <c r="C361" s="1" t="n">
        <v>46032</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27739-2025</t>
        </is>
      </c>
      <c r="B362" s="1" t="n">
        <v>45815.49082175926</v>
      </c>
      <c r="C362" s="1" t="n">
        <v>46032</v>
      </c>
      <c r="D362" t="inlineStr">
        <is>
          <t>DALARNAS LÄN</t>
        </is>
      </c>
      <c r="E362" t="inlineStr">
        <is>
          <t>ÄLVDALEN</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46559-2023</t>
        </is>
      </c>
      <c r="B363" s="1" t="n">
        <v>45187</v>
      </c>
      <c r="C363" s="1" t="n">
        <v>46032</v>
      </c>
      <c r="D363" t="inlineStr">
        <is>
          <t>DALARNAS LÄN</t>
        </is>
      </c>
      <c r="E363" t="inlineStr">
        <is>
          <t>ÄLVDALEN</t>
        </is>
      </c>
      <c r="G363" t="n">
        <v>9.6</v>
      </c>
      <c r="H363" t="n">
        <v>0</v>
      </c>
      <c r="I363" t="n">
        <v>0</v>
      </c>
      <c r="J363" t="n">
        <v>0</v>
      </c>
      <c r="K363" t="n">
        <v>0</v>
      </c>
      <c r="L363" t="n">
        <v>0</v>
      </c>
      <c r="M363" t="n">
        <v>0</v>
      </c>
      <c r="N363" t="n">
        <v>0</v>
      </c>
      <c r="O363" t="n">
        <v>0</v>
      </c>
      <c r="P363" t="n">
        <v>0</v>
      </c>
      <c r="Q363" t="n">
        <v>0</v>
      </c>
      <c r="R363" s="2" t="inlineStr"/>
    </row>
    <row r="364" ht="15" customHeight="1">
      <c r="A364" t="inlineStr">
        <is>
          <t>A 19553-2025</t>
        </is>
      </c>
      <c r="B364" s="1" t="n">
        <v>45770</v>
      </c>
      <c r="C364" s="1" t="n">
        <v>46032</v>
      </c>
      <c r="D364" t="inlineStr">
        <is>
          <t>DALARNAS LÄN</t>
        </is>
      </c>
      <c r="E364" t="inlineStr">
        <is>
          <t>ÄLVDALEN</t>
        </is>
      </c>
      <c r="F364" t="inlineStr">
        <is>
          <t>Sveaskog</t>
        </is>
      </c>
      <c r="G364" t="n">
        <v>25.2</v>
      </c>
      <c r="H364" t="n">
        <v>0</v>
      </c>
      <c r="I364" t="n">
        <v>0</v>
      </c>
      <c r="J364" t="n">
        <v>0</v>
      </c>
      <c r="K364" t="n">
        <v>0</v>
      </c>
      <c r="L364" t="n">
        <v>0</v>
      </c>
      <c r="M364" t="n">
        <v>0</v>
      </c>
      <c r="N364" t="n">
        <v>0</v>
      </c>
      <c r="O364" t="n">
        <v>0</v>
      </c>
      <c r="P364" t="n">
        <v>0</v>
      </c>
      <c r="Q364" t="n">
        <v>0</v>
      </c>
      <c r="R364" s="2" t="inlineStr"/>
    </row>
    <row r="365" ht="15" customHeight="1">
      <c r="A365" t="inlineStr">
        <is>
          <t>A 45173-2025</t>
        </is>
      </c>
      <c r="B365" s="1" t="n">
        <v>45919.51228009259</v>
      </c>
      <c r="C365" s="1" t="n">
        <v>46032</v>
      </c>
      <c r="D365" t="inlineStr">
        <is>
          <t>DALARNAS LÄN</t>
        </is>
      </c>
      <c r="E365" t="inlineStr">
        <is>
          <t>ÄLVDALEN</t>
        </is>
      </c>
      <c r="F365" t="inlineStr">
        <is>
          <t>Allmännings- och besparingsskogar</t>
        </is>
      </c>
      <c r="G365" t="n">
        <v>40.5</v>
      </c>
      <c r="H365" t="n">
        <v>0</v>
      </c>
      <c r="I365" t="n">
        <v>0</v>
      </c>
      <c r="J365" t="n">
        <v>0</v>
      </c>
      <c r="K365" t="n">
        <v>0</v>
      </c>
      <c r="L365" t="n">
        <v>0</v>
      </c>
      <c r="M365" t="n">
        <v>0</v>
      </c>
      <c r="N365" t="n">
        <v>0</v>
      </c>
      <c r="O365" t="n">
        <v>0</v>
      </c>
      <c r="P365" t="n">
        <v>0</v>
      </c>
      <c r="Q365" t="n">
        <v>0</v>
      </c>
      <c r="R365" s="2" t="inlineStr"/>
    </row>
    <row r="366" ht="15" customHeight="1">
      <c r="A366" t="inlineStr">
        <is>
          <t>A 28838-2025</t>
        </is>
      </c>
      <c r="B366" s="1" t="n">
        <v>45820.56359953704</v>
      </c>
      <c r="C366" s="1" t="n">
        <v>46032</v>
      </c>
      <c r="D366" t="inlineStr">
        <is>
          <t>DALARNAS LÄN</t>
        </is>
      </c>
      <c r="E366" t="inlineStr">
        <is>
          <t>ÄLVDALEN</t>
        </is>
      </c>
      <c r="F366" t="inlineStr">
        <is>
          <t>Allmännings- och besparingsskogar</t>
        </is>
      </c>
      <c r="G366" t="n">
        <v>7.5</v>
      </c>
      <c r="H366" t="n">
        <v>0</v>
      </c>
      <c r="I366" t="n">
        <v>0</v>
      </c>
      <c r="J366" t="n">
        <v>0</v>
      </c>
      <c r="K366" t="n">
        <v>0</v>
      </c>
      <c r="L366" t="n">
        <v>0</v>
      </c>
      <c r="M366" t="n">
        <v>0</v>
      </c>
      <c r="N366" t="n">
        <v>0</v>
      </c>
      <c r="O366" t="n">
        <v>0</v>
      </c>
      <c r="P366" t="n">
        <v>0</v>
      </c>
      <c r="Q366" t="n">
        <v>0</v>
      </c>
      <c r="R366" s="2" t="inlineStr"/>
    </row>
    <row r="367" ht="15" customHeight="1">
      <c r="A367" t="inlineStr">
        <is>
          <t>A 32237-2025</t>
        </is>
      </c>
      <c r="B367" s="1" t="n">
        <v>45835</v>
      </c>
      <c r="C367" s="1" t="n">
        <v>46032</v>
      </c>
      <c r="D367" t="inlineStr">
        <is>
          <t>DALARNAS LÄN</t>
        </is>
      </c>
      <c r="E367" t="inlineStr">
        <is>
          <t>ÄLVDALEN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28844-2025</t>
        </is>
      </c>
      <c r="B368" s="1" t="n">
        <v>45820.57053240741</v>
      </c>
      <c r="C368" s="1" t="n">
        <v>46032</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5567-2021</t>
        </is>
      </c>
      <c r="B369" s="1" t="n">
        <v>44230</v>
      </c>
      <c r="C369" s="1" t="n">
        <v>46032</v>
      </c>
      <c r="D369" t="inlineStr">
        <is>
          <t>DALARNAS LÄN</t>
        </is>
      </c>
      <c r="E369" t="inlineStr">
        <is>
          <t>ÄLVDALEN</t>
        </is>
      </c>
      <c r="F369" t="inlineStr">
        <is>
          <t>Övriga statliga verk och myndigheter</t>
        </is>
      </c>
      <c r="G369" t="n">
        <v>29.1</v>
      </c>
      <c r="H369" t="n">
        <v>0</v>
      </c>
      <c r="I369" t="n">
        <v>0</v>
      </c>
      <c r="J369" t="n">
        <v>0</v>
      </c>
      <c r="K369" t="n">
        <v>0</v>
      </c>
      <c r="L369" t="n">
        <v>0</v>
      </c>
      <c r="M369" t="n">
        <v>0</v>
      </c>
      <c r="N369" t="n">
        <v>0</v>
      </c>
      <c r="O369" t="n">
        <v>0</v>
      </c>
      <c r="P369" t="n">
        <v>0</v>
      </c>
      <c r="Q369" t="n">
        <v>0</v>
      </c>
      <c r="R369" s="2" t="inlineStr"/>
    </row>
    <row r="370" ht="15" customHeight="1">
      <c r="A370" t="inlineStr">
        <is>
          <t>A 47087-2024</t>
        </is>
      </c>
      <c r="B370" s="1" t="n">
        <v>45586.50946759259</v>
      </c>
      <c r="C370" s="1" t="n">
        <v>46032</v>
      </c>
      <c r="D370" t="inlineStr">
        <is>
          <t>DALARNAS LÄN</t>
        </is>
      </c>
      <c r="E370" t="inlineStr">
        <is>
          <t>ÄLVDALEN</t>
        </is>
      </c>
      <c r="G370" t="n">
        <v>2.6</v>
      </c>
      <c r="H370" t="n">
        <v>0</v>
      </c>
      <c r="I370" t="n">
        <v>0</v>
      </c>
      <c r="J370" t="n">
        <v>0</v>
      </c>
      <c r="K370" t="n">
        <v>0</v>
      </c>
      <c r="L370" t="n">
        <v>0</v>
      </c>
      <c r="M370" t="n">
        <v>0</v>
      </c>
      <c r="N370" t="n">
        <v>0</v>
      </c>
      <c r="O370" t="n">
        <v>0</v>
      </c>
      <c r="P370" t="n">
        <v>0</v>
      </c>
      <c r="Q370" t="n">
        <v>0</v>
      </c>
      <c r="R370" s="2" t="inlineStr"/>
    </row>
    <row r="371" ht="15" customHeight="1">
      <c r="A371" t="inlineStr">
        <is>
          <t>A 45156-2025</t>
        </is>
      </c>
      <c r="B371" s="1" t="n">
        <v>45919.48063657407</v>
      </c>
      <c r="C371" s="1" t="n">
        <v>46032</v>
      </c>
      <c r="D371" t="inlineStr">
        <is>
          <t>DALARNAS LÄN</t>
        </is>
      </c>
      <c r="E371" t="inlineStr">
        <is>
          <t>ÄLVDALEN</t>
        </is>
      </c>
      <c r="F371" t="inlineStr">
        <is>
          <t>Allmännings- och besparingsskogar</t>
        </is>
      </c>
      <c r="G371" t="n">
        <v>3.8</v>
      </c>
      <c r="H371" t="n">
        <v>0</v>
      </c>
      <c r="I371" t="n">
        <v>0</v>
      </c>
      <c r="J371" t="n">
        <v>0</v>
      </c>
      <c r="K371" t="n">
        <v>0</v>
      </c>
      <c r="L371" t="n">
        <v>0</v>
      </c>
      <c r="M371" t="n">
        <v>0</v>
      </c>
      <c r="N371" t="n">
        <v>0</v>
      </c>
      <c r="O371" t="n">
        <v>0</v>
      </c>
      <c r="P371" t="n">
        <v>0</v>
      </c>
      <c r="Q371" t="n">
        <v>0</v>
      </c>
      <c r="R371" s="2" t="inlineStr"/>
    </row>
    <row r="372" ht="15" customHeight="1">
      <c r="A372" t="inlineStr">
        <is>
          <t>A 28842-2025</t>
        </is>
      </c>
      <c r="B372" s="1" t="n">
        <v>45820.56780092593</v>
      </c>
      <c r="C372" s="1" t="n">
        <v>46032</v>
      </c>
      <c r="D372" t="inlineStr">
        <is>
          <t>DALARNAS LÄN</t>
        </is>
      </c>
      <c r="E372" t="inlineStr">
        <is>
          <t>ÄLVDALEN</t>
        </is>
      </c>
      <c r="F372" t="inlineStr">
        <is>
          <t>Allmännings- och besparingsskogar</t>
        </is>
      </c>
      <c r="G372" t="n">
        <v>3.7</v>
      </c>
      <c r="H372" t="n">
        <v>0</v>
      </c>
      <c r="I372" t="n">
        <v>0</v>
      </c>
      <c r="J372" t="n">
        <v>0</v>
      </c>
      <c r="K372" t="n">
        <v>0</v>
      </c>
      <c r="L372" t="n">
        <v>0</v>
      </c>
      <c r="M372" t="n">
        <v>0</v>
      </c>
      <c r="N372" t="n">
        <v>0</v>
      </c>
      <c r="O372" t="n">
        <v>0</v>
      </c>
      <c r="P372" t="n">
        <v>0</v>
      </c>
      <c r="Q372" t="n">
        <v>0</v>
      </c>
      <c r="R372" s="2" t="inlineStr"/>
    </row>
    <row r="373" ht="15" customHeight="1">
      <c r="A373" t="inlineStr">
        <is>
          <t>A 38277-2024</t>
        </is>
      </c>
      <c r="B373" s="1" t="n">
        <v>45545.61171296296</v>
      </c>
      <c r="C373" s="1" t="n">
        <v>46032</v>
      </c>
      <c r="D373" t="inlineStr">
        <is>
          <t>DALARNAS LÄN</t>
        </is>
      </c>
      <c r="E373" t="inlineStr">
        <is>
          <t>ÄLVDALEN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5883-2024</t>
        </is>
      </c>
      <c r="B374" s="1" t="n">
        <v>45335.69585648148</v>
      </c>
      <c r="C374" s="1" t="n">
        <v>46032</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59177-2023</t>
        </is>
      </c>
      <c r="B375" s="1" t="n">
        <v>45253</v>
      </c>
      <c r="C375" s="1" t="n">
        <v>46032</v>
      </c>
      <c r="D375" t="inlineStr">
        <is>
          <t>DALARNAS LÄN</t>
        </is>
      </c>
      <c r="E375" t="inlineStr">
        <is>
          <t>ÄLVDALEN</t>
        </is>
      </c>
      <c r="G375" t="n">
        <v>0.6</v>
      </c>
      <c r="H375" t="n">
        <v>0</v>
      </c>
      <c r="I375" t="n">
        <v>0</v>
      </c>
      <c r="J375" t="n">
        <v>0</v>
      </c>
      <c r="K375" t="n">
        <v>0</v>
      </c>
      <c r="L375" t="n">
        <v>0</v>
      </c>
      <c r="M375" t="n">
        <v>0</v>
      </c>
      <c r="N375" t="n">
        <v>0</v>
      </c>
      <c r="O375" t="n">
        <v>0</v>
      </c>
      <c r="P375" t="n">
        <v>0</v>
      </c>
      <c r="Q375" t="n">
        <v>0</v>
      </c>
      <c r="R375" s="2" t="inlineStr"/>
    </row>
    <row r="376" ht="15" customHeight="1">
      <c r="A376" t="inlineStr">
        <is>
          <t>A 52072-2025</t>
        </is>
      </c>
      <c r="B376" s="1" t="n">
        <v>45952.64829861111</v>
      </c>
      <c r="C376" s="1" t="n">
        <v>46032</v>
      </c>
      <c r="D376" t="inlineStr">
        <is>
          <t>DALARNAS LÄN</t>
        </is>
      </c>
      <c r="E376" t="inlineStr">
        <is>
          <t>ÄLVDALEN</t>
        </is>
      </c>
      <c r="F376" t="inlineStr">
        <is>
          <t>Allmännings- och besparingsskogar</t>
        </is>
      </c>
      <c r="G376" t="n">
        <v>54.2</v>
      </c>
      <c r="H376" t="n">
        <v>0</v>
      </c>
      <c r="I376" t="n">
        <v>0</v>
      </c>
      <c r="J376" t="n">
        <v>0</v>
      </c>
      <c r="K376" t="n">
        <v>0</v>
      </c>
      <c r="L376" t="n">
        <v>0</v>
      </c>
      <c r="M376" t="n">
        <v>0</v>
      </c>
      <c r="N376" t="n">
        <v>0</v>
      </c>
      <c r="O376" t="n">
        <v>0</v>
      </c>
      <c r="P376" t="n">
        <v>0</v>
      </c>
      <c r="Q376" t="n">
        <v>0</v>
      </c>
      <c r="R376" s="2" t="inlineStr"/>
    </row>
    <row r="377" ht="15" customHeight="1">
      <c r="A377" t="inlineStr">
        <is>
          <t>A 35161-2023</t>
        </is>
      </c>
      <c r="B377" s="1" t="n">
        <v>45145.57525462963</v>
      </c>
      <c r="C377" s="1" t="n">
        <v>46032</v>
      </c>
      <c r="D377" t="inlineStr">
        <is>
          <t>DALARNAS LÄN</t>
        </is>
      </c>
      <c r="E377" t="inlineStr">
        <is>
          <t>ÄLVDALEN</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30025-2025</t>
        </is>
      </c>
      <c r="B378" s="1" t="n">
        <v>45826.56265046296</v>
      </c>
      <c r="C378" s="1" t="n">
        <v>46032</v>
      </c>
      <c r="D378" t="inlineStr">
        <is>
          <t>DALARNAS LÄN</t>
        </is>
      </c>
      <c r="E378" t="inlineStr">
        <is>
          <t>ÄLVDALEN</t>
        </is>
      </c>
      <c r="G378" t="n">
        <v>9</v>
      </c>
      <c r="H378" t="n">
        <v>0</v>
      </c>
      <c r="I378" t="n">
        <v>0</v>
      </c>
      <c r="J378" t="n">
        <v>0</v>
      </c>
      <c r="K378" t="n">
        <v>0</v>
      </c>
      <c r="L378" t="n">
        <v>0</v>
      </c>
      <c r="M378" t="n">
        <v>0</v>
      </c>
      <c r="N378" t="n">
        <v>0</v>
      </c>
      <c r="O378" t="n">
        <v>0</v>
      </c>
      <c r="P378" t="n">
        <v>0</v>
      </c>
      <c r="Q378" t="n">
        <v>0</v>
      </c>
      <c r="R378" s="2" t="inlineStr"/>
    </row>
    <row r="379" ht="15" customHeight="1">
      <c r="A379" t="inlineStr">
        <is>
          <t>A 29710-2022</t>
        </is>
      </c>
      <c r="B379" s="1" t="n">
        <v>44755</v>
      </c>
      <c r="C379" s="1" t="n">
        <v>46032</v>
      </c>
      <c r="D379" t="inlineStr">
        <is>
          <t>DALARNAS LÄN</t>
        </is>
      </c>
      <c r="E379" t="inlineStr">
        <is>
          <t>ÄLVDALEN</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43903-2024</t>
        </is>
      </c>
      <c r="B380" s="1" t="n">
        <v>45572</v>
      </c>
      <c r="C380" s="1" t="n">
        <v>46032</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47525-2024</t>
        </is>
      </c>
      <c r="B381" s="1" t="n">
        <v>45587.6328587963</v>
      </c>
      <c r="C381" s="1" t="n">
        <v>46032</v>
      </c>
      <c r="D381" t="inlineStr">
        <is>
          <t>DALARNAS LÄN</t>
        </is>
      </c>
      <c r="E381" t="inlineStr">
        <is>
          <t>ÄLVDALEN</t>
        </is>
      </c>
      <c r="F381" t="inlineStr">
        <is>
          <t>Bergvik skog väst AB</t>
        </is>
      </c>
      <c r="G381" t="n">
        <v>4.6</v>
      </c>
      <c r="H381" t="n">
        <v>0</v>
      </c>
      <c r="I381" t="n">
        <v>0</v>
      </c>
      <c r="J381" t="n">
        <v>0</v>
      </c>
      <c r="K381" t="n">
        <v>0</v>
      </c>
      <c r="L381" t="n">
        <v>0</v>
      </c>
      <c r="M381" t="n">
        <v>0</v>
      </c>
      <c r="N381" t="n">
        <v>0</v>
      </c>
      <c r="O381" t="n">
        <v>0</v>
      </c>
      <c r="P381" t="n">
        <v>0</v>
      </c>
      <c r="Q381" t="n">
        <v>0</v>
      </c>
      <c r="R381" s="2" t="inlineStr"/>
    </row>
    <row r="382" ht="15" customHeight="1">
      <c r="A382" t="inlineStr">
        <is>
          <t>A 46409-2025</t>
        </is>
      </c>
      <c r="B382" s="1" t="n">
        <v>45925.56752314815</v>
      </c>
      <c r="C382" s="1" t="n">
        <v>46032</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51915-2025</t>
        </is>
      </c>
      <c r="B383" s="1" t="n">
        <v>45952.47706018519</v>
      </c>
      <c r="C383" s="1" t="n">
        <v>46032</v>
      </c>
      <c r="D383" t="inlineStr">
        <is>
          <t>DALARNAS LÄN</t>
        </is>
      </c>
      <c r="E383" t="inlineStr">
        <is>
          <t>ÄLVDALEN</t>
        </is>
      </c>
      <c r="F383" t="inlineStr">
        <is>
          <t>Allmännings- och besparingsskogar</t>
        </is>
      </c>
      <c r="G383" t="n">
        <v>66.7</v>
      </c>
      <c r="H383" t="n">
        <v>0</v>
      </c>
      <c r="I383" t="n">
        <v>0</v>
      </c>
      <c r="J383" t="n">
        <v>0</v>
      </c>
      <c r="K383" t="n">
        <v>0</v>
      </c>
      <c r="L383" t="n">
        <v>0</v>
      </c>
      <c r="M383" t="n">
        <v>0</v>
      </c>
      <c r="N383" t="n">
        <v>0</v>
      </c>
      <c r="O383" t="n">
        <v>0</v>
      </c>
      <c r="P383" t="n">
        <v>0</v>
      </c>
      <c r="Q383" t="n">
        <v>0</v>
      </c>
      <c r="R383" s="2" t="inlineStr"/>
    </row>
    <row r="384" ht="15" customHeight="1">
      <c r="A384" t="inlineStr">
        <is>
          <t>A 30032-2025</t>
        </is>
      </c>
      <c r="B384" s="1" t="n">
        <v>45826.56873842593</v>
      </c>
      <c r="C384" s="1" t="n">
        <v>46032</v>
      </c>
      <c r="D384" t="inlineStr">
        <is>
          <t>DALARNAS LÄN</t>
        </is>
      </c>
      <c r="E384" t="inlineStr">
        <is>
          <t>ÄLVDALEN</t>
        </is>
      </c>
      <c r="G384" t="n">
        <v>5.5</v>
      </c>
      <c r="H384" t="n">
        <v>0</v>
      </c>
      <c r="I384" t="n">
        <v>0</v>
      </c>
      <c r="J384" t="n">
        <v>0</v>
      </c>
      <c r="K384" t="n">
        <v>0</v>
      </c>
      <c r="L384" t="n">
        <v>0</v>
      </c>
      <c r="M384" t="n">
        <v>0</v>
      </c>
      <c r="N384" t="n">
        <v>0</v>
      </c>
      <c r="O384" t="n">
        <v>0</v>
      </c>
      <c r="P384" t="n">
        <v>0</v>
      </c>
      <c r="Q384" t="n">
        <v>0</v>
      </c>
      <c r="R384" s="2" t="inlineStr"/>
    </row>
    <row r="385" ht="15" customHeight="1">
      <c r="A385" t="inlineStr">
        <is>
          <t>A 51975-2025</t>
        </is>
      </c>
      <c r="B385" s="1" t="n">
        <v>45952</v>
      </c>
      <c r="C385" s="1" t="n">
        <v>46032</v>
      </c>
      <c r="D385" t="inlineStr">
        <is>
          <t>DALARNAS LÄN</t>
        </is>
      </c>
      <c r="E385" t="inlineStr">
        <is>
          <t>ÄLVDALEN</t>
        </is>
      </c>
      <c r="F385" t="inlineStr">
        <is>
          <t>Allmännings- och besparingsskogar</t>
        </is>
      </c>
      <c r="G385" t="n">
        <v>3.5</v>
      </c>
      <c r="H385" t="n">
        <v>0</v>
      </c>
      <c r="I385" t="n">
        <v>0</v>
      </c>
      <c r="J385" t="n">
        <v>0</v>
      </c>
      <c r="K385" t="n">
        <v>0</v>
      </c>
      <c r="L385" t="n">
        <v>0</v>
      </c>
      <c r="M385" t="n">
        <v>0</v>
      </c>
      <c r="N385" t="n">
        <v>0</v>
      </c>
      <c r="O385" t="n">
        <v>0</v>
      </c>
      <c r="P385" t="n">
        <v>0</v>
      </c>
      <c r="Q385" t="n">
        <v>0</v>
      </c>
      <c r="R385" s="2" t="inlineStr"/>
    </row>
    <row r="386" ht="15" customHeight="1">
      <c r="A386" t="inlineStr">
        <is>
          <t>A 5583-2025</t>
        </is>
      </c>
      <c r="B386" s="1" t="n">
        <v>45693.55244212963</v>
      </c>
      <c r="C386" s="1" t="n">
        <v>46032</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30502-2025</t>
        </is>
      </c>
      <c r="B387" s="1" t="n">
        <v>45830.82903935185</v>
      </c>
      <c r="C387" s="1" t="n">
        <v>46032</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47018-2025</t>
        </is>
      </c>
      <c r="B388" s="1" t="n">
        <v>45929.57569444444</v>
      </c>
      <c r="C388" s="1" t="n">
        <v>46032</v>
      </c>
      <c r="D388" t="inlineStr">
        <is>
          <t>DALARNAS LÄN</t>
        </is>
      </c>
      <c r="E388" t="inlineStr">
        <is>
          <t>ÄLVDALEN</t>
        </is>
      </c>
      <c r="F388" t="inlineStr">
        <is>
          <t>Allmännings- och besparingsskogar</t>
        </is>
      </c>
      <c r="G388" t="n">
        <v>3.4</v>
      </c>
      <c r="H388" t="n">
        <v>0</v>
      </c>
      <c r="I388" t="n">
        <v>0</v>
      </c>
      <c r="J388" t="n">
        <v>0</v>
      </c>
      <c r="K388" t="n">
        <v>0</v>
      </c>
      <c r="L388" t="n">
        <v>0</v>
      </c>
      <c r="M388" t="n">
        <v>0</v>
      </c>
      <c r="N388" t="n">
        <v>0</v>
      </c>
      <c r="O388" t="n">
        <v>0</v>
      </c>
      <c r="P388" t="n">
        <v>0</v>
      </c>
      <c r="Q388" t="n">
        <v>0</v>
      </c>
      <c r="R388" s="2" t="inlineStr"/>
    </row>
    <row r="389" ht="15" customHeight="1">
      <c r="A389" t="inlineStr">
        <is>
          <t>A 46582-2025</t>
        </is>
      </c>
      <c r="B389" s="1" t="n">
        <v>45926.37971064815</v>
      </c>
      <c r="C389" s="1" t="n">
        <v>46032</v>
      </c>
      <c r="D389" t="inlineStr">
        <is>
          <t>DALARNAS LÄN</t>
        </is>
      </c>
      <c r="E389" t="inlineStr">
        <is>
          <t>ÄLVDALEN</t>
        </is>
      </c>
      <c r="F389" t="inlineStr">
        <is>
          <t>Allmännings- och besparingsskogar</t>
        </is>
      </c>
      <c r="G389" t="n">
        <v>20.7</v>
      </c>
      <c r="H389" t="n">
        <v>0</v>
      </c>
      <c r="I389" t="n">
        <v>0</v>
      </c>
      <c r="J389" t="n">
        <v>0</v>
      </c>
      <c r="K389" t="n">
        <v>0</v>
      </c>
      <c r="L389" t="n">
        <v>0</v>
      </c>
      <c r="M389" t="n">
        <v>0</v>
      </c>
      <c r="N389" t="n">
        <v>0</v>
      </c>
      <c r="O389" t="n">
        <v>0</v>
      </c>
      <c r="P389" t="n">
        <v>0</v>
      </c>
      <c r="Q389" t="n">
        <v>0</v>
      </c>
      <c r="R389" s="2" t="inlineStr"/>
    </row>
    <row r="390" ht="15" customHeight="1">
      <c r="A390" t="inlineStr">
        <is>
          <t>A 52033-2025</t>
        </is>
      </c>
      <c r="B390" s="1" t="n">
        <v>45952.6122337963</v>
      </c>
      <c r="C390" s="1" t="n">
        <v>46032</v>
      </c>
      <c r="D390" t="inlineStr">
        <is>
          <t>DALARNAS LÄN</t>
        </is>
      </c>
      <c r="E390" t="inlineStr">
        <is>
          <t>ÄLVDALEN</t>
        </is>
      </c>
      <c r="F390" t="inlineStr">
        <is>
          <t>Allmännings- och besparingsskogar</t>
        </is>
      </c>
      <c r="G390" t="n">
        <v>3.5</v>
      </c>
      <c r="H390" t="n">
        <v>0</v>
      </c>
      <c r="I390" t="n">
        <v>0</v>
      </c>
      <c r="J390" t="n">
        <v>0</v>
      </c>
      <c r="K390" t="n">
        <v>0</v>
      </c>
      <c r="L390" t="n">
        <v>0</v>
      </c>
      <c r="M390" t="n">
        <v>0</v>
      </c>
      <c r="N390" t="n">
        <v>0</v>
      </c>
      <c r="O390" t="n">
        <v>0</v>
      </c>
      <c r="P390" t="n">
        <v>0</v>
      </c>
      <c r="Q390" t="n">
        <v>0</v>
      </c>
      <c r="R390" s="2" t="inlineStr"/>
    </row>
    <row r="391" ht="15" customHeight="1">
      <c r="A391" t="inlineStr">
        <is>
          <t>A 46882-2025</t>
        </is>
      </c>
      <c r="B391" s="1" t="n">
        <v>45929.36357638889</v>
      </c>
      <c r="C391" s="1" t="n">
        <v>46032</v>
      </c>
      <c r="D391" t="inlineStr">
        <is>
          <t>DALARNAS LÄN</t>
        </is>
      </c>
      <c r="E391" t="inlineStr">
        <is>
          <t>ÄLVDALEN</t>
        </is>
      </c>
      <c r="F391" t="inlineStr">
        <is>
          <t>Allmännings- och besparingsskogar</t>
        </is>
      </c>
      <c r="G391" t="n">
        <v>4.9</v>
      </c>
      <c r="H391" t="n">
        <v>0</v>
      </c>
      <c r="I391" t="n">
        <v>0</v>
      </c>
      <c r="J391" t="n">
        <v>0</v>
      </c>
      <c r="K391" t="n">
        <v>0</v>
      </c>
      <c r="L391" t="n">
        <v>0</v>
      </c>
      <c r="M391" t="n">
        <v>0</v>
      </c>
      <c r="N391" t="n">
        <v>0</v>
      </c>
      <c r="O391" t="n">
        <v>0</v>
      </c>
      <c r="P391" t="n">
        <v>0</v>
      </c>
      <c r="Q391" t="n">
        <v>0</v>
      </c>
      <c r="R391" s="2" t="inlineStr"/>
    </row>
    <row r="392" ht="15" customHeight="1">
      <c r="A392" t="inlineStr">
        <is>
          <t>A 44119-2022</t>
        </is>
      </c>
      <c r="B392" s="1" t="n">
        <v>44839.39157407408</v>
      </c>
      <c r="C392" s="1" t="n">
        <v>46032</v>
      </c>
      <c r="D392" t="inlineStr">
        <is>
          <t>DALARNAS LÄN</t>
        </is>
      </c>
      <c r="E392" t="inlineStr">
        <is>
          <t>ÄLVDALEN</t>
        </is>
      </c>
      <c r="G392" t="n">
        <v>3.2</v>
      </c>
      <c r="H392" t="n">
        <v>0</v>
      </c>
      <c r="I392" t="n">
        <v>0</v>
      </c>
      <c r="J392" t="n">
        <v>0</v>
      </c>
      <c r="K392" t="n">
        <v>0</v>
      </c>
      <c r="L392" t="n">
        <v>0</v>
      </c>
      <c r="M392" t="n">
        <v>0</v>
      </c>
      <c r="N392" t="n">
        <v>0</v>
      </c>
      <c r="O392" t="n">
        <v>0</v>
      </c>
      <c r="P392" t="n">
        <v>0</v>
      </c>
      <c r="Q392" t="n">
        <v>0</v>
      </c>
      <c r="R392" s="2" t="inlineStr"/>
    </row>
    <row r="393" ht="15" customHeight="1">
      <c r="A393" t="inlineStr">
        <is>
          <t>A 39006-2024</t>
        </is>
      </c>
      <c r="B393" s="1" t="n">
        <v>45548.42846064815</v>
      </c>
      <c r="C393" s="1" t="n">
        <v>46032</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60292-2025</t>
        </is>
      </c>
      <c r="B394" s="1" t="n">
        <v>45994.65491898148</v>
      </c>
      <c r="C394" s="1" t="n">
        <v>46032</v>
      </c>
      <c r="D394" t="inlineStr">
        <is>
          <t>DALARNAS LÄN</t>
        </is>
      </c>
      <c r="E394" t="inlineStr">
        <is>
          <t>ÄLVDALEN</t>
        </is>
      </c>
      <c r="F394" t="inlineStr">
        <is>
          <t>Allmännings- och besparingsskogar</t>
        </is>
      </c>
      <c r="G394" t="n">
        <v>11.8</v>
      </c>
      <c r="H394" t="n">
        <v>0</v>
      </c>
      <c r="I394" t="n">
        <v>0</v>
      </c>
      <c r="J394" t="n">
        <v>0</v>
      </c>
      <c r="K394" t="n">
        <v>0</v>
      </c>
      <c r="L394" t="n">
        <v>0</v>
      </c>
      <c r="M394" t="n">
        <v>0</v>
      </c>
      <c r="N394" t="n">
        <v>0</v>
      </c>
      <c r="O394" t="n">
        <v>0</v>
      </c>
      <c r="P394" t="n">
        <v>0</v>
      </c>
      <c r="Q394" t="n">
        <v>0</v>
      </c>
      <c r="R394" s="2" t="inlineStr"/>
    </row>
    <row r="395" ht="15" customHeight="1">
      <c r="A395" t="inlineStr">
        <is>
          <t>A 15251-2021</t>
        </is>
      </c>
      <c r="B395" s="1" t="n">
        <v>44284</v>
      </c>
      <c r="C395" s="1" t="n">
        <v>46032</v>
      </c>
      <c r="D395" t="inlineStr">
        <is>
          <t>DALARNAS LÄN</t>
        </is>
      </c>
      <c r="E395" t="inlineStr">
        <is>
          <t>ÄLVDALEN</t>
        </is>
      </c>
      <c r="G395" t="n">
        <v>6.1</v>
      </c>
      <c r="H395" t="n">
        <v>0</v>
      </c>
      <c r="I395" t="n">
        <v>0</v>
      </c>
      <c r="J395" t="n">
        <v>0</v>
      </c>
      <c r="K395" t="n">
        <v>0</v>
      </c>
      <c r="L395" t="n">
        <v>0</v>
      </c>
      <c r="M395" t="n">
        <v>0</v>
      </c>
      <c r="N395" t="n">
        <v>0</v>
      </c>
      <c r="O395" t="n">
        <v>0</v>
      </c>
      <c r="P395" t="n">
        <v>0</v>
      </c>
      <c r="Q395" t="n">
        <v>0</v>
      </c>
      <c r="R395" s="2" t="inlineStr"/>
    </row>
    <row r="396" ht="15" customHeight="1">
      <c r="A396" t="inlineStr">
        <is>
          <t>A 47936-2024</t>
        </is>
      </c>
      <c r="B396" s="1" t="n">
        <v>45589.34738425926</v>
      </c>
      <c r="C396" s="1" t="n">
        <v>46032</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3900-2024</t>
        </is>
      </c>
      <c r="B397" s="1" t="n">
        <v>45322</v>
      </c>
      <c r="C397" s="1" t="n">
        <v>46032</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3903-2024</t>
        </is>
      </c>
      <c r="B398" s="1" t="n">
        <v>45322</v>
      </c>
      <c r="C398" s="1" t="n">
        <v>46032</v>
      </c>
      <c r="D398" t="inlineStr">
        <is>
          <t>DALARNAS LÄN</t>
        </is>
      </c>
      <c r="E398" t="inlineStr">
        <is>
          <t>ÄLVDALEN</t>
        </is>
      </c>
      <c r="G398" t="n">
        <v>0.7</v>
      </c>
      <c r="H398" t="n">
        <v>0</v>
      </c>
      <c r="I398" t="n">
        <v>0</v>
      </c>
      <c r="J398" t="n">
        <v>0</v>
      </c>
      <c r="K398" t="n">
        <v>0</v>
      </c>
      <c r="L398" t="n">
        <v>0</v>
      </c>
      <c r="M398" t="n">
        <v>0</v>
      </c>
      <c r="N398" t="n">
        <v>0</v>
      </c>
      <c r="O398" t="n">
        <v>0</v>
      </c>
      <c r="P398" t="n">
        <v>0</v>
      </c>
      <c r="Q398" t="n">
        <v>0</v>
      </c>
      <c r="R398" s="2" t="inlineStr"/>
    </row>
    <row r="399" ht="15" customHeight="1">
      <c r="A399" t="inlineStr">
        <is>
          <t>A 3914-2024</t>
        </is>
      </c>
      <c r="B399" s="1" t="n">
        <v>45322</v>
      </c>
      <c r="C399" s="1" t="n">
        <v>46032</v>
      </c>
      <c r="D399" t="inlineStr">
        <is>
          <t>DALARNAS LÄN</t>
        </is>
      </c>
      <c r="E399" t="inlineStr">
        <is>
          <t>ÄLVDALEN</t>
        </is>
      </c>
      <c r="G399" t="n">
        <v>0.3</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46032</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30414-2024</t>
        </is>
      </c>
      <c r="B401" s="1" t="n">
        <v>45491.63538194444</v>
      </c>
      <c r="C401" s="1" t="n">
        <v>46032</v>
      </c>
      <c r="D401" t="inlineStr">
        <is>
          <t>DALARNAS LÄN</t>
        </is>
      </c>
      <c r="E401" t="inlineStr">
        <is>
          <t>ÄLVDALEN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32063-2025</t>
        </is>
      </c>
      <c r="B402" s="1" t="n">
        <v>45835.44703703704</v>
      </c>
      <c r="C402" s="1" t="n">
        <v>46032</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59108-2022</t>
        </is>
      </c>
      <c r="B403" s="1" t="n">
        <v>44904</v>
      </c>
      <c r="C403" s="1" t="n">
        <v>46032</v>
      </c>
      <c r="D403" t="inlineStr">
        <is>
          <t>DALARNAS LÄN</t>
        </is>
      </c>
      <c r="E403" t="inlineStr">
        <is>
          <t>ÄLVDALEN</t>
        </is>
      </c>
      <c r="G403" t="n">
        <v>1.3</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46032</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3196-2025</t>
        </is>
      </c>
      <c r="B405" s="1" t="n">
        <v>45679.42957175926</v>
      </c>
      <c r="C405" s="1" t="n">
        <v>46032</v>
      </c>
      <c r="D405" t="inlineStr">
        <is>
          <t>DALARNAS LÄN</t>
        </is>
      </c>
      <c r="E405" t="inlineStr">
        <is>
          <t>ÄLVDALEN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46032</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31796-2025</t>
        </is>
      </c>
      <c r="B407" s="1" t="n">
        <v>45834.54943287037</v>
      </c>
      <c r="C407" s="1" t="n">
        <v>46032</v>
      </c>
      <c r="D407" t="inlineStr">
        <is>
          <t>DALARNAS LÄN</t>
        </is>
      </c>
      <c r="E407" t="inlineStr">
        <is>
          <t>ÄLVDALEN</t>
        </is>
      </c>
      <c r="G407" t="n">
        <v>65.5</v>
      </c>
      <c r="H407" t="n">
        <v>0</v>
      </c>
      <c r="I407" t="n">
        <v>0</v>
      </c>
      <c r="J407" t="n">
        <v>0</v>
      </c>
      <c r="K407" t="n">
        <v>0</v>
      </c>
      <c r="L407" t="n">
        <v>0</v>
      </c>
      <c r="M407" t="n">
        <v>0</v>
      </c>
      <c r="N407" t="n">
        <v>0</v>
      </c>
      <c r="O407" t="n">
        <v>0</v>
      </c>
      <c r="P407" t="n">
        <v>0</v>
      </c>
      <c r="Q407" t="n">
        <v>0</v>
      </c>
      <c r="R407" s="2" t="inlineStr"/>
    </row>
    <row r="408" ht="15" customHeight="1">
      <c r="A408" t="inlineStr">
        <is>
          <t>A 54219-2025</t>
        </is>
      </c>
      <c r="B408" s="1" t="n">
        <v>45964</v>
      </c>
      <c r="C408" s="1" t="n">
        <v>46032</v>
      </c>
      <c r="D408" t="inlineStr">
        <is>
          <t>DALARNAS LÄN</t>
        </is>
      </c>
      <c r="E408" t="inlineStr">
        <is>
          <t>ÄLVDALEN</t>
        </is>
      </c>
      <c r="G408" t="n">
        <v>11.5</v>
      </c>
      <c r="H408" t="n">
        <v>0</v>
      </c>
      <c r="I408" t="n">
        <v>0</v>
      </c>
      <c r="J408" t="n">
        <v>0</v>
      </c>
      <c r="K408" t="n">
        <v>0</v>
      </c>
      <c r="L408" t="n">
        <v>0</v>
      </c>
      <c r="M408" t="n">
        <v>0</v>
      </c>
      <c r="N408" t="n">
        <v>0</v>
      </c>
      <c r="O408" t="n">
        <v>0</v>
      </c>
      <c r="P408" t="n">
        <v>0</v>
      </c>
      <c r="Q408" t="n">
        <v>0</v>
      </c>
      <c r="R408" s="2" t="inlineStr"/>
    </row>
    <row r="409" ht="15" customHeight="1">
      <c r="A409" t="inlineStr">
        <is>
          <t>A 42649-2023</t>
        </is>
      </c>
      <c r="B409" s="1" t="n">
        <v>45181.53310185186</v>
      </c>
      <c r="C409" s="1" t="n">
        <v>46032</v>
      </c>
      <c r="D409" t="inlineStr">
        <is>
          <t>DALARNAS LÄN</t>
        </is>
      </c>
      <c r="E409" t="inlineStr">
        <is>
          <t>ÄLVDALEN</t>
        </is>
      </c>
      <c r="G409" t="n">
        <v>5.3</v>
      </c>
      <c r="H409" t="n">
        <v>0</v>
      </c>
      <c r="I409" t="n">
        <v>0</v>
      </c>
      <c r="J409" t="n">
        <v>0</v>
      </c>
      <c r="K409" t="n">
        <v>0</v>
      </c>
      <c r="L409" t="n">
        <v>0</v>
      </c>
      <c r="M409" t="n">
        <v>0</v>
      </c>
      <c r="N409" t="n">
        <v>0</v>
      </c>
      <c r="O409" t="n">
        <v>0</v>
      </c>
      <c r="P409" t="n">
        <v>0</v>
      </c>
      <c r="Q409" t="n">
        <v>0</v>
      </c>
      <c r="R409" s="2" t="inlineStr"/>
    </row>
    <row r="410" ht="15" customHeight="1">
      <c r="A410" t="inlineStr">
        <is>
          <t>A 32668-2025</t>
        </is>
      </c>
      <c r="B410" s="1" t="n">
        <v>45838.69678240741</v>
      </c>
      <c r="C410" s="1" t="n">
        <v>46032</v>
      </c>
      <c r="D410" t="inlineStr">
        <is>
          <t>DALARNAS LÄN</t>
        </is>
      </c>
      <c r="E410" t="inlineStr">
        <is>
          <t>ÄLVDALEN</t>
        </is>
      </c>
      <c r="F410" t="inlineStr">
        <is>
          <t>Övriga Aktiebolag</t>
        </is>
      </c>
      <c r="G410" t="n">
        <v>29.5</v>
      </c>
      <c r="H410" t="n">
        <v>0</v>
      </c>
      <c r="I410" t="n">
        <v>0</v>
      </c>
      <c r="J410" t="n">
        <v>0</v>
      </c>
      <c r="K410" t="n">
        <v>0</v>
      </c>
      <c r="L410" t="n">
        <v>0</v>
      </c>
      <c r="M410" t="n">
        <v>0</v>
      </c>
      <c r="N410" t="n">
        <v>0</v>
      </c>
      <c r="O410" t="n">
        <v>0</v>
      </c>
      <c r="P410" t="n">
        <v>0</v>
      </c>
      <c r="Q410" t="n">
        <v>0</v>
      </c>
      <c r="R410" s="2" t="inlineStr"/>
    </row>
    <row r="411" ht="15" customHeight="1">
      <c r="A411" t="inlineStr">
        <is>
          <t>A 48135-2025</t>
        </is>
      </c>
      <c r="B411" s="1" t="n">
        <v>45933.37452546296</v>
      </c>
      <c r="C411" s="1" t="n">
        <v>46032</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46032</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14938-2023</t>
        </is>
      </c>
      <c r="B413" s="1" t="n">
        <v>45015</v>
      </c>
      <c r="C413" s="1" t="n">
        <v>46032</v>
      </c>
      <c r="D413" t="inlineStr">
        <is>
          <t>DALARNAS LÄN</t>
        </is>
      </c>
      <c r="E413" t="inlineStr">
        <is>
          <t>ÄLVDALEN</t>
        </is>
      </c>
      <c r="G413" t="n">
        <v>1.8</v>
      </c>
      <c r="H413" t="n">
        <v>0</v>
      </c>
      <c r="I413" t="n">
        <v>0</v>
      </c>
      <c r="J413" t="n">
        <v>0</v>
      </c>
      <c r="K413" t="n">
        <v>0</v>
      </c>
      <c r="L413" t="n">
        <v>0</v>
      </c>
      <c r="M413" t="n">
        <v>0</v>
      </c>
      <c r="N413" t="n">
        <v>0</v>
      </c>
      <c r="O413" t="n">
        <v>0</v>
      </c>
      <c r="P413" t="n">
        <v>0</v>
      </c>
      <c r="Q413" t="n">
        <v>0</v>
      </c>
      <c r="R413" s="2" t="inlineStr"/>
    </row>
    <row r="414" ht="15" customHeight="1">
      <c r="A414" t="inlineStr">
        <is>
          <t>A 49906-2024</t>
        </is>
      </c>
      <c r="B414" s="1" t="n">
        <v>45597.55230324074</v>
      </c>
      <c r="C414" s="1" t="n">
        <v>46032</v>
      </c>
      <c r="D414" t="inlineStr">
        <is>
          <t>DALARNAS LÄN</t>
        </is>
      </c>
      <c r="E414" t="inlineStr">
        <is>
          <t>ÄLVDALEN</t>
        </is>
      </c>
      <c r="G414" t="n">
        <v>4.2</v>
      </c>
      <c r="H414" t="n">
        <v>0</v>
      </c>
      <c r="I414" t="n">
        <v>0</v>
      </c>
      <c r="J414" t="n">
        <v>0</v>
      </c>
      <c r="K414" t="n">
        <v>0</v>
      </c>
      <c r="L414" t="n">
        <v>0</v>
      </c>
      <c r="M414" t="n">
        <v>0</v>
      </c>
      <c r="N414" t="n">
        <v>0</v>
      </c>
      <c r="O414" t="n">
        <v>0</v>
      </c>
      <c r="P414" t="n">
        <v>0</v>
      </c>
      <c r="Q414" t="n">
        <v>0</v>
      </c>
      <c r="R414" s="2" t="inlineStr"/>
    </row>
    <row r="415" ht="15" customHeight="1">
      <c r="A415" t="inlineStr">
        <is>
          <t>A 38814-2025</t>
        </is>
      </c>
      <c r="B415" s="1" t="n">
        <v>45887</v>
      </c>
      <c r="C415" s="1" t="n">
        <v>46032</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5885-2024</t>
        </is>
      </c>
      <c r="B416" s="1" t="n">
        <v>45335</v>
      </c>
      <c r="C416" s="1" t="n">
        <v>46032</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52060-2022</t>
        </is>
      </c>
      <c r="B417" s="1" t="n">
        <v>44873.34417824074</v>
      </c>
      <c r="C417" s="1" t="n">
        <v>46032</v>
      </c>
      <c r="D417" t="inlineStr">
        <is>
          <t>DALARNAS LÄN</t>
        </is>
      </c>
      <c r="E417" t="inlineStr">
        <is>
          <t>ÄLVDALEN</t>
        </is>
      </c>
      <c r="G417" t="n">
        <v>1</v>
      </c>
      <c r="H417" t="n">
        <v>0</v>
      </c>
      <c r="I417" t="n">
        <v>0</v>
      </c>
      <c r="J417" t="n">
        <v>0</v>
      </c>
      <c r="K417" t="n">
        <v>0</v>
      </c>
      <c r="L417" t="n">
        <v>0</v>
      </c>
      <c r="M417" t="n">
        <v>0</v>
      </c>
      <c r="N417" t="n">
        <v>0</v>
      </c>
      <c r="O417" t="n">
        <v>0</v>
      </c>
      <c r="P417" t="n">
        <v>0</v>
      </c>
      <c r="Q417" t="n">
        <v>0</v>
      </c>
      <c r="R417" s="2" t="inlineStr"/>
    </row>
    <row r="418" ht="15" customHeight="1">
      <c r="A418" t="inlineStr">
        <is>
          <t>A 50314-2025</t>
        </is>
      </c>
      <c r="B418" s="1" t="n">
        <v>45944.44439814815</v>
      </c>
      <c r="C418" s="1" t="n">
        <v>46032</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46032</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34526-2025</t>
        </is>
      </c>
      <c r="B420" s="1" t="n">
        <v>45847.47820601852</v>
      </c>
      <c r="C420" s="1" t="n">
        <v>46032</v>
      </c>
      <c r="D420" t="inlineStr">
        <is>
          <t>DALARNAS LÄN</t>
        </is>
      </c>
      <c r="E420" t="inlineStr">
        <is>
          <t>ÄLVDALEN</t>
        </is>
      </c>
      <c r="F420" t="inlineStr">
        <is>
          <t>Allmännings- och besparingsskogar</t>
        </is>
      </c>
      <c r="G420" t="n">
        <v>3.9</v>
      </c>
      <c r="H420" t="n">
        <v>0</v>
      </c>
      <c r="I420" t="n">
        <v>0</v>
      </c>
      <c r="J420" t="n">
        <v>0</v>
      </c>
      <c r="K420" t="n">
        <v>0</v>
      </c>
      <c r="L420" t="n">
        <v>0</v>
      </c>
      <c r="M420" t="n">
        <v>0</v>
      </c>
      <c r="N420" t="n">
        <v>0</v>
      </c>
      <c r="O420" t="n">
        <v>0</v>
      </c>
      <c r="P420" t="n">
        <v>0</v>
      </c>
      <c r="Q420" t="n">
        <v>0</v>
      </c>
      <c r="R420" s="2" t="inlineStr"/>
    </row>
    <row r="421" ht="15" customHeight="1">
      <c r="A421" t="inlineStr">
        <is>
          <t>A 60672-2025</t>
        </is>
      </c>
      <c r="B421" s="1" t="n">
        <v>45996.53233796296</v>
      </c>
      <c r="C421" s="1" t="n">
        <v>46032</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34914-2025</t>
        </is>
      </c>
      <c r="B422" s="1" t="n">
        <v>45849.54108796296</v>
      </c>
      <c r="C422" s="1" t="n">
        <v>46032</v>
      </c>
      <c r="D422" t="inlineStr">
        <is>
          <t>DALARNAS LÄN</t>
        </is>
      </c>
      <c r="E422" t="inlineStr">
        <is>
          <t>ÄLVDALEN</t>
        </is>
      </c>
      <c r="F422" t="inlineStr">
        <is>
          <t>Allmännings- och besparingsskogar</t>
        </is>
      </c>
      <c r="G422" t="n">
        <v>19.2</v>
      </c>
      <c r="H422" t="n">
        <v>0</v>
      </c>
      <c r="I422" t="n">
        <v>0</v>
      </c>
      <c r="J422" t="n">
        <v>0</v>
      </c>
      <c r="K422" t="n">
        <v>0</v>
      </c>
      <c r="L422" t="n">
        <v>0</v>
      </c>
      <c r="M422" t="n">
        <v>0</v>
      </c>
      <c r="N422" t="n">
        <v>0</v>
      </c>
      <c r="O422" t="n">
        <v>0</v>
      </c>
      <c r="P422" t="n">
        <v>0</v>
      </c>
      <c r="Q422" t="n">
        <v>0</v>
      </c>
      <c r="R422" s="2" t="inlineStr"/>
    </row>
    <row r="423" ht="15" customHeight="1">
      <c r="A423" t="inlineStr">
        <is>
          <t>A 34778-2025</t>
        </is>
      </c>
      <c r="B423" s="1" t="n">
        <v>45848.66840277778</v>
      </c>
      <c r="C423" s="1" t="n">
        <v>46032</v>
      </c>
      <c r="D423" t="inlineStr">
        <is>
          <t>DALARNAS LÄN</t>
        </is>
      </c>
      <c r="E423" t="inlineStr">
        <is>
          <t>ÄLVDALEN</t>
        </is>
      </c>
      <c r="G423" t="n">
        <v>2.2</v>
      </c>
      <c r="H423" t="n">
        <v>0</v>
      </c>
      <c r="I423" t="n">
        <v>0</v>
      </c>
      <c r="J423" t="n">
        <v>0</v>
      </c>
      <c r="K423" t="n">
        <v>0</v>
      </c>
      <c r="L423" t="n">
        <v>0</v>
      </c>
      <c r="M423" t="n">
        <v>0</v>
      </c>
      <c r="N423" t="n">
        <v>0</v>
      </c>
      <c r="O423" t="n">
        <v>0</v>
      </c>
      <c r="P423" t="n">
        <v>0</v>
      </c>
      <c r="Q423" t="n">
        <v>0</v>
      </c>
      <c r="R423" s="2" t="inlineStr"/>
    </row>
    <row r="424" ht="15" customHeight="1">
      <c r="A424" t="inlineStr">
        <is>
          <t>A 34645-2025</t>
        </is>
      </c>
      <c r="B424" s="1" t="n">
        <v>45848.33440972222</v>
      </c>
      <c r="C424" s="1" t="n">
        <v>46032</v>
      </c>
      <c r="D424" t="inlineStr">
        <is>
          <t>DALARNAS LÄN</t>
        </is>
      </c>
      <c r="E424" t="inlineStr">
        <is>
          <t>ÄLVDALEN</t>
        </is>
      </c>
      <c r="G424" t="n">
        <v>7.1</v>
      </c>
      <c r="H424" t="n">
        <v>0</v>
      </c>
      <c r="I424" t="n">
        <v>0</v>
      </c>
      <c r="J424" t="n">
        <v>0</v>
      </c>
      <c r="K424" t="n">
        <v>0</v>
      </c>
      <c r="L424" t="n">
        <v>0</v>
      </c>
      <c r="M424" t="n">
        <v>0</v>
      </c>
      <c r="N424" t="n">
        <v>0</v>
      </c>
      <c r="O424" t="n">
        <v>0</v>
      </c>
      <c r="P424" t="n">
        <v>0</v>
      </c>
      <c r="Q424" t="n">
        <v>0</v>
      </c>
      <c r="R424" s="2" t="inlineStr"/>
    </row>
    <row r="425" ht="15" customHeight="1">
      <c r="A425" t="inlineStr">
        <is>
          <t>A 34697-2025</t>
        </is>
      </c>
      <c r="B425" s="1" t="n">
        <v>45848.46181712963</v>
      </c>
      <c r="C425" s="1" t="n">
        <v>46032</v>
      </c>
      <c r="D425" t="inlineStr">
        <is>
          <t>DALARNAS LÄN</t>
        </is>
      </c>
      <c r="E425" t="inlineStr">
        <is>
          <t>ÄLVDALEN</t>
        </is>
      </c>
      <c r="F425" t="inlineStr">
        <is>
          <t>Allmännings- och besparingsskogar</t>
        </is>
      </c>
      <c r="G425" t="n">
        <v>7.8</v>
      </c>
      <c r="H425" t="n">
        <v>0</v>
      </c>
      <c r="I425" t="n">
        <v>0</v>
      </c>
      <c r="J425" t="n">
        <v>0</v>
      </c>
      <c r="K425" t="n">
        <v>0</v>
      </c>
      <c r="L425" t="n">
        <v>0</v>
      </c>
      <c r="M425" t="n">
        <v>0</v>
      </c>
      <c r="N425" t="n">
        <v>0</v>
      </c>
      <c r="O425" t="n">
        <v>0</v>
      </c>
      <c r="P425" t="n">
        <v>0</v>
      </c>
      <c r="Q425" t="n">
        <v>0</v>
      </c>
      <c r="R425" s="2" t="inlineStr"/>
    </row>
    <row r="426" ht="15" customHeight="1">
      <c r="A426" t="inlineStr">
        <is>
          <t>A 34705-2025</t>
        </is>
      </c>
      <c r="B426" s="1" t="n">
        <v>45848.49012731481</v>
      </c>
      <c r="C426" s="1" t="n">
        <v>46032</v>
      </c>
      <c r="D426" t="inlineStr">
        <is>
          <t>DALARNAS LÄN</t>
        </is>
      </c>
      <c r="E426" t="inlineStr">
        <is>
          <t>ÄLVDALEN</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61495-2025</t>
        </is>
      </c>
      <c r="B427" s="1" t="n">
        <v>46001.64834490741</v>
      </c>
      <c r="C427" s="1" t="n">
        <v>46032</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61529-2025</t>
        </is>
      </c>
      <c r="B428" s="1" t="n">
        <v>46001.7033912037</v>
      </c>
      <c r="C428" s="1" t="n">
        <v>46032</v>
      </c>
      <c r="D428" t="inlineStr">
        <is>
          <t>DALARNAS LÄN</t>
        </is>
      </c>
      <c r="E428" t="inlineStr">
        <is>
          <t>ÄLVDALEN</t>
        </is>
      </c>
      <c r="G428" t="n">
        <v>3</v>
      </c>
      <c r="H428" t="n">
        <v>0</v>
      </c>
      <c r="I428" t="n">
        <v>0</v>
      </c>
      <c r="J428" t="n">
        <v>0</v>
      </c>
      <c r="K428" t="n">
        <v>0</v>
      </c>
      <c r="L428" t="n">
        <v>0</v>
      </c>
      <c r="M428" t="n">
        <v>0</v>
      </c>
      <c r="N428" t="n">
        <v>0</v>
      </c>
      <c r="O428" t="n">
        <v>0</v>
      </c>
      <c r="P428" t="n">
        <v>0</v>
      </c>
      <c r="Q428" t="n">
        <v>0</v>
      </c>
      <c r="R428" s="2" t="inlineStr"/>
    </row>
    <row r="429" ht="15" customHeight="1">
      <c r="A429" t="inlineStr">
        <is>
          <t>A 34850-2025</t>
        </is>
      </c>
      <c r="B429" s="1" t="n">
        <v>45849.42398148148</v>
      </c>
      <c r="C429" s="1" t="n">
        <v>46032</v>
      </c>
      <c r="D429" t="inlineStr">
        <is>
          <t>DALARNAS LÄN</t>
        </is>
      </c>
      <c r="E429" t="inlineStr">
        <is>
          <t>ÄLVDALEN</t>
        </is>
      </c>
      <c r="F429" t="inlineStr">
        <is>
          <t>Allmännings- och besparingsskogar</t>
        </is>
      </c>
      <c r="G429" t="n">
        <v>12.1</v>
      </c>
      <c r="H429" t="n">
        <v>0</v>
      </c>
      <c r="I429" t="n">
        <v>0</v>
      </c>
      <c r="J429" t="n">
        <v>0</v>
      </c>
      <c r="K429" t="n">
        <v>0</v>
      </c>
      <c r="L429" t="n">
        <v>0</v>
      </c>
      <c r="M429" t="n">
        <v>0</v>
      </c>
      <c r="N429" t="n">
        <v>0</v>
      </c>
      <c r="O429" t="n">
        <v>0</v>
      </c>
      <c r="P429" t="n">
        <v>0</v>
      </c>
      <c r="Q429" t="n">
        <v>0</v>
      </c>
      <c r="R429" s="2" t="inlineStr"/>
    </row>
    <row r="430" ht="15" customHeight="1">
      <c r="A430" t="inlineStr">
        <is>
          <t>A 34739-2025</t>
        </is>
      </c>
      <c r="B430" s="1" t="n">
        <v>45848.60682870371</v>
      </c>
      <c r="C430" s="1" t="n">
        <v>46032</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61477-2025</t>
        </is>
      </c>
      <c r="B431" s="1" t="n">
        <v>46001.62087962963</v>
      </c>
      <c r="C431" s="1" t="n">
        <v>46032</v>
      </c>
      <c r="D431" t="inlineStr">
        <is>
          <t>DALARNAS LÄN</t>
        </is>
      </c>
      <c r="E431" t="inlineStr">
        <is>
          <t>ÄLVDALEN</t>
        </is>
      </c>
      <c r="G431" t="n">
        <v>1.1</v>
      </c>
      <c r="H431" t="n">
        <v>0</v>
      </c>
      <c r="I431" t="n">
        <v>0</v>
      </c>
      <c r="J431" t="n">
        <v>0</v>
      </c>
      <c r="K431" t="n">
        <v>0</v>
      </c>
      <c r="L431" t="n">
        <v>0</v>
      </c>
      <c r="M431" t="n">
        <v>0</v>
      </c>
      <c r="N431" t="n">
        <v>0</v>
      </c>
      <c r="O431" t="n">
        <v>0</v>
      </c>
      <c r="P431" t="n">
        <v>0</v>
      </c>
      <c r="Q431" t="n">
        <v>0</v>
      </c>
      <c r="R431" s="2" t="inlineStr"/>
    </row>
    <row r="432" ht="15" customHeight="1">
      <c r="A432" t="inlineStr">
        <is>
          <t>A 40003-2022</t>
        </is>
      </c>
      <c r="B432" s="1" t="n">
        <v>44820.36509259259</v>
      </c>
      <c r="C432" s="1" t="n">
        <v>46032</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27187-2025</t>
        </is>
      </c>
      <c r="B433" s="1" t="n">
        <v>45812</v>
      </c>
      <c r="C433" s="1" t="n">
        <v>46032</v>
      </c>
      <c r="D433" t="inlineStr">
        <is>
          <t>DALARNAS LÄN</t>
        </is>
      </c>
      <c r="E433" t="inlineStr">
        <is>
          <t>ÄLVDALEN</t>
        </is>
      </c>
      <c r="F433" t="inlineStr">
        <is>
          <t>Allmännings- och besparingsskogar</t>
        </is>
      </c>
      <c r="G433" t="n">
        <v>3</v>
      </c>
      <c r="H433" t="n">
        <v>0</v>
      </c>
      <c r="I433" t="n">
        <v>0</v>
      </c>
      <c r="J433" t="n">
        <v>0</v>
      </c>
      <c r="K433" t="n">
        <v>0</v>
      </c>
      <c r="L433" t="n">
        <v>0</v>
      </c>
      <c r="M433" t="n">
        <v>0</v>
      </c>
      <c r="N433" t="n">
        <v>0</v>
      </c>
      <c r="O433" t="n">
        <v>0</v>
      </c>
      <c r="P433" t="n">
        <v>0</v>
      </c>
      <c r="Q433" t="n">
        <v>0</v>
      </c>
      <c r="R433" s="2" t="inlineStr"/>
    </row>
    <row r="434" ht="15" customHeight="1">
      <c r="A434" t="inlineStr">
        <is>
          <t>A 42679-2024</t>
        </is>
      </c>
      <c r="B434" s="1" t="n">
        <v>45566.37706018519</v>
      </c>
      <c r="C434" s="1" t="n">
        <v>46032</v>
      </c>
      <c r="D434" t="inlineStr">
        <is>
          <t>DALARNAS LÄN</t>
        </is>
      </c>
      <c r="E434" t="inlineStr">
        <is>
          <t>ÄLVDALEN</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63079-2021</t>
        </is>
      </c>
      <c r="B435" s="1" t="n">
        <v>44505.56753472222</v>
      </c>
      <c r="C435" s="1" t="n">
        <v>46032</v>
      </c>
      <c r="D435" t="inlineStr">
        <is>
          <t>DALARNAS LÄN</t>
        </is>
      </c>
      <c r="E435" t="inlineStr">
        <is>
          <t>ÄLVDALEN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46800-2025</t>
        </is>
      </c>
      <c r="B436" s="1" t="n">
        <v>45926</v>
      </c>
      <c r="C436" s="1" t="n">
        <v>46032</v>
      </c>
      <c r="D436" t="inlineStr">
        <is>
          <t>DALARNAS LÄN</t>
        </is>
      </c>
      <c r="E436" t="inlineStr">
        <is>
          <t>ÄLVDALEN</t>
        </is>
      </c>
      <c r="F436" t="inlineStr">
        <is>
          <t>Allmännings- och besparingsskogar</t>
        </is>
      </c>
      <c r="G436" t="n">
        <v>0.8</v>
      </c>
      <c r="H436" t="n">
        <v>0</v>
      </c>
      <c r="I436" t="n">
        <v>0</v>
      </c>
      <c r="J436" t="n">
        <v>0</v>
      </c>
      <c r="K436" t="n">
        <v>0</v>
      </c>
      <c r="L436" t="n">
        <v>0</v>
      </c>
      <c r="M436" t="n">
        <v>0</v>
      </c>
      <c r="N436" t="n">
        <v>0</v>
      </c>
      <c r="O436" t="n">
        <v>0</v>
      </c>
      <c r="P436" t="n">
        <v>0</v>
      </c>
      <c r="Q436" t="n">
        <v>0</v>
      </c>
      <c r="R436" s="2" t="inlineStr"/>
      <c r="T436">
        <f>HYPERLINK("https://klasma.github.io/Logging_2039/kartor/A 46800-2025 karta.png", "A 46800-2025")</f>
        <v/>
      </c>
      <c r="V436">
        <f>HYPERLINK("https://klasma.github.io/Logging_2039/klagomål/A 46800-2025 FSC-klagomål.docx", "A 46800-2025")</f>
        <v/>
      </c>
      <c r="W436">
        <f>HYPERLINK("https://klasma.github.io/Logging_2039/klagomålsmail/A 46800-2025 FSC-klagomål mail.docx", "A 46800-2025")</f>
        <v/>
      </c>
      <c r="X436">
        <f>HYPERLINK("https://klasma.github.io/Logging_2039/tillsyn/A 46800-2025 tillsynsbegäran.docx", "A 46800-2025")</f>
        <v/>
      </c>
      <c r="Y436">
        <f>HYPERLINK("https://klasma.github.io/Logging_2039/tillsynsmail/A 46800-2025 tillsynsbegäran mail.docx", "A 46800-2025")</f>
        <v/>
      </c>
      <c r="Z436">
        <f>HYPERLINK("https://klasma.github.io/Logging_2039/fåglar/A 46800-2025 prioriterade fågelarter.docx", "A 46800-2025")</f>
        <v/>
      </c>
    </row>
    <row r="437" ht="15" customHeight="1">
      <c r="A437" t="inlineStr">
        <is>
          <t>A 510-2024</t>
        </is>
      </c>
      <c r="B437" s="1" t="n">
        <v>45299.39997685186</v>
      </c>
      <c r="C437" s="1" t="n">
        <v>46032</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54632-2021</t>
        </is>
      </c>
      <c r="B438" s="1" t="n">
        <v>44473</v>
      </c>
      <c r="C438" s="1" t="n">
        <v>46032</v>
      </c>
      <c r="D438" t="inlineStr">
        <is>
          <t>DALARNAS LÄN</t>
        </is>
      </c>
      <c r="E438" t="inlineStr">
        <is>
          <t>ÄLVDALEN</t>
        </is>
      </c>
      <c r="G438" t="n">
        <v>0.5</v>
      </c>
      <c r="H438" t="n">
        <v>0</v>
      </c>
      <c r="I438" t="n">
        <v>0</v>
      </c>
      <c r="J438" t="n">
        <v>0</v>
      </c>
      <c r="K438" t="n">
        <v>0</v>
      </c>
      <c r="L438" t="n">
        <v>0</v>
      </c>
      <c r="M438" t="n">
        <v>0</v>
      </c>
      <c r="N438" t="n">
        <v>0</v>
      </c>
      <c r="O438" t="n">
        <v>0</v>
      </c>
      <c r="P438" t="n">
        <v>0</v>
      </c>
      <c r="Q438" t="n">
        <v>0</v>
      </c>
      <c r="R438" s="2" t="inlineStr"/>
      <c r="T438">
        <f>HYPERLINK("https://klasma.github.io/Logging_2039/kartor/A 54632-2021 karta.png", "A 54632-2021")</f>
        <v/>
      </c>
      <c r="V438">
        <f>HYPERLINK("https://klasma.github.io/Logging_2039/klagomål/A 54632-2021 FSC-klagomål.docx", "A 54632-2021")</f>
        <v/>
      </c>
      <c r="W438">
        <f>HYPERLINK("https://klasma.github.io/Logging_2039/klagomålsmail/A 54632-2021 FSC-klagomål mail.docx", "A 54632-2021")</f>
        <v/>
      </c>
      <c r="X438">
        <f>HYPERLINK("https://klasma.github.io/Logging_2039/tillsyn/A 54632-2021 tillsynsbegäran.docx", "A 54632-2021")</f>
        <v/>
      </c>
      <c r="Y438">
        <f>HYPERLINK("https://klasma.github.io/Logging_2039/tillsynsmail/A 54632-2021 tillsynsbegäran mail.docx", "A 54632-2021")</f>
        <v/>
      </c>
    </row>
    <row r="439" ht="15" customHeight="1">
      <c r="A439" t="inlineStr">
        <is>
          <t>A 2377-2024</t>
        </is>
      </c>
      <c r="B439" s="1" t="n">
        <v>45310.63633101852</v>
      </c>
      <c r="C439" s="1" t="n">
        <v>46032</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2384-2024</t>
        </is>
      </c>
      <c r="B440" s="1" t="n">
        <v>45310.65099537037</v>
      </c>
      <c r="C440" s="1" t="n">
        <v>46032</v>
      </c>
      <c r="D440" t="inlineStr">
        <is>
          <t>DALARNAS LÄN</t>
        </is>
      </c>
      <c r="E440" t="inlineStr">
        <is>
          <t>ÄLVDALEN</t>
        </is>
      </c>
      <c r="G440" t="n">
        <v>2.7</v>
      </c>
      <c r="H440" t="n">
        <v>0</v>
      </c>
      <c r="I440" t="n">
        <v>0</v>
      </c>
      <c r="J440" t="n">
        <v>0</v>
      </c>
      <c r="K440" t="n">
        <v>0</v>
      </c>
      <c r="L440" t="n">
        <v>0</v>
      </c>
      <c r="M440" t="n">
        <v>0</v>
      </c>
      <c r="N440" t="n">
        <v>0</v>
      </c>
      <c r="O440" t="n">
        <v>0</v>
      </c>
      <c r="P440" t="n">
        <v>0</v>
      </c>
      <c r="Q440" t="n">
        <v>0</v>
      </c>
      <c r="R440" s="2" t="inlineStr"/>
    </row>
    <row r="441" ht="15" customHeight="1">
      <c r="A441" t="inlineStr">
        <is>
          <t>A 42426-2023</t>
        </is>
      </c>
      <c r="B441" s="1" t="n">
        <v>45175</v>
      </c>
      <c r="C441" s="1" t="n">
        <v>46032</v>
      </c>
      <c r="D441" t="inlineStr">
        <is>
          <t>DALARNAS LÄN</t>
        </is>
      </c>
      <c r="E441" t="inlineStr">
        <is>
          <t>ÄLVDALEN</t>
        </is>
      </c>
      <c r="G441" t="n">
        <v>3.6</v>
      </c>
      <c r="H441" t="n">
        <v>0</v>
      </c>
      <c r="I441" t="n">
        <v>0</v>
      </c>
      <c r="J441" t="n">
        <v>0</v>
      </c>
      <c r="K441" t="n">
        <v>0</v>
      </c>
      <c r="L441" t="n">
        <v>0</v>
      </c>
      <c r="M441" t="n">
        <v>0</v>
      </c>
      <c r="N441" t="n">
        <v>0</v>
      </c>
      <c r="O441" t="n">
        <v>0</v>
      </c>
      <c r="P441" t="n">
        <v>0</v>
      </c>
      <c r="Q441" t="n">
        <v>0</v>
      </c>
      <c r="R441" s="2" t="inlineStr"/>
    </row>
    <row r="442" ht="15" customHeight="1">
      <c r="A442" t="inlineStr">
        <is>
          <t>A 36593-2023</t>
        </is>
      </c>
      <c r="B442" s="1" t="n">
        <v>45153.47732638889</v>
      </c>
      <c r="C442" s="1" t="n">
        <v>46032</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35993-2025</t>
        </is>
      </c>
      <c r="B443" s="1" t="n">
        <v>45863.48056712963</v>
      </c>
      <c r="C443" s="1" t="n">
        <v>46032</v>
      </c>
      <c r="D443" t="inlineStr">
        <is>
          <t>DALARNAS LÄN</t>
        </is>
      </c>
      <c r="E443" t="inlineStr">
        <is>
          <t>ÄLVDALEN</t>
        </is>
      </c>
      <c r="F443" t="inlineStr">
        <is>
          <t>Bergvik skog öst AB</t>
        </is>
      </c>
      <c r="G443" t="n">
        <v>6.1</v>
      </c>
      <c r="H443" t="n">
        <v>0</v>
      </c>
      <c r="I443" t="n">
        <v>0</v>
      </c>
      <c r="J443" t="n">
        <v>0</v>
      </c>
      <c r="K443" t="n">
        <v>0</v>
      </c>
      <c r="L443" t="n">
        <v>0</v>
      </c>
      <c r="M443" t="n">
        <v>0</v>
      </c>
      <c r="N443" t="n">
        <v>0</v>
      </c>
      <c r="O443" t="n">
        <v>0</v>
      </c>
      <c r="P443" t="n">
        <v>0</v>
      </c>
      <c r="Q443" t="n">
        <v>0</v>
      </c>
      <c r="R443" s="2" t="inlineStr"/>
    </row>
    <row r="444" ht="15" customHeight="1">
      <c r="A444" t="inlineStr">
        <is>
          <t>A 760-2025</t>
        </is>
      </c>
      <c r="B444" s="1" t="n">
        <v>45665.44936342593</v>
      </c>
      <c r="C444" s="1" t="n">
        <v>46032</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55589-2022</t>
        </is>
      </c>
      <c r="B445" s="1" t="n">
        <v>44888.40673611111</v>
      </c>
      <c r="C445" s="1" t="n">
        <v>46032</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41004-2023</t>
        </is>
      </c>
      <c r="B446" s="1" t="n">
        <v>45173</v>
      </c>
      <c r="C446" s="1" t="n">
        <v>46032</v>
      </c>
      <c r="D446" t="inlineStr">
        <is>
          <t>DALARNAS LÄN</t>
        </is>
      </c>
      <c r="E446" t="inlineStr">
        <is>
          <t>ÄLVDALEN</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30799-2021</t>
        </is>
      </c>
      <c r="B447" s="1" t="n">
        <v>44365.51483796296</v>
      </c>
      <c r="C447" s="1" t="n">
        <v>46032</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36257-2025</t>
        </is>
      </c>
      <c r="B448" s="1" t="n">
        <v>45867.591875</v>
      </c>
      <c r="C448" s="1" t="n">
        <v>46032</v>
      </c>
      <c r="D448" t="inlineStr">
        <is>
          <t>DALARNAS LÄN</t>
        </is>
      </c>
      <c r="E448" t="inlineStr">
        <is>
          <t>ÄLVDALEN</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17558-2024</t>
        </is>
      </c>
      <c r="B449" s="1" t="n">
        <v>45415.66295138889</v>
      </c>
      <c r="C449" s="1" t="n">
        <v>46032</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47071-2023</t>
        </is>
      </c>
      <c r="B450" s="1" t="n">
        <v>45201.60141203704</v>
      </c>
      <c r="C450" s="1" t="n">
        <v>46032</v>
      </c>
      <c r="D450" t="inlineStr">
        <is>
          <t>DALARNAS LÄN</t>
        </is>
      </c>
      <c r="E450" t="inlineStr">
        <is>
          <t>ÄLVDALEN</t>
        </is>
      </c>
      <c r="F450" t="inlineStr">
        <is>
          <t>Bergvik skog väst AB</t>
        </is>
      </c>
      <c r="G450" t="n">
        <v>2.6</v>
      </c>
      <c r="H450" t="n">
        <v>0</v>
      </c>
      <c r="I450" t="n">
        <v>0</v>
      </c>
      <c r="J450" t="n">
        <v>0</v>
      </c>
      <c r="K450" t="n">
        <v>0</v>
      </c>
      <c r="L450" t="n">
        <v>0</v>
      </c>
      <c r="M450" t="n">
        <v>0</v>
      </c>
      <c r="N450" t="n">
        <v>0</v>
      </c>
      <c r="O450" t="n">
        <v>0</v>
      </c>
      <c r="P450" t="n">
        <v>0</v>
      </c>
      <c r="Q450" t="n">
        <v>0</v>
      </c>
      <c r="R450" s="2" t="inlineStr"/>
    </row>
    <row r="451" ht="15" customHeight="1">
      <c r="A451" t="inlineStr">
        <is>
          <t>A 26734-2021</t>
        </is>
      </c>
      <c r="B451" s="1" t="n">
        <v>44349.39537037037</v>
      </c>
      <c r="C451" s="1" t="n">
        <v>46032</v>
      </c>
      <c r="D451" t="inlineStr">
        <is>
          <t>DALARNAS LÄN</t>
        </is>
      </c>
      <c r="E451" t="inlineStr">
        <is>
          <t>ÄLVDALEN</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61575-2024</t>
        </is>
      </c>
      <c r="B452" s="1" t="n">
        <v>45646.61907407407</v>
      </c>
      <c r="C452" s="1" t="n">
        <v>46032</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57665-2024</t>
        </is>
      </c>
      <c r="B453" s="1" t="n">
        <v>45630.62005787037</v>
      </c>
      <c r="C453" s="1" t="n">
        <v>46032</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19583-2025</t>
        </is>
      </c>
      <c r="B454" s="1" t="n">
        <v>45770</v>
      </c>
      <c r="C454" s="1" t="n">
        <v>46032</v>
      </c>
      <c r="D454" t="inlineStr">
        <is>
          <t>DALARNAS LÄN</t>
        </is>
      </c>
      <c r="E454" t="inlineStr">
        <is>
          <t>ÄLVDALEN</t>
        </is>
      </c>
      <c r="F454" t="inlineStr">
        <is>
          <t>Sveaskog</t>
        </is>
      </c>
      <c r="G454" t="n">
        <v>24.1</v>
      </c>
      <c r="H454" t="n">
        <v>0</v>
      </c>
      <c r="I454" t="n">
        <v>0</v>
      </c>
      <c r="J454" t="n">
        <v>0</v>
      </c>
      <c r="K454" t="n">
        <v>0</v>
      </c>
      <c r="L454" t="n">
        <v>0</v>
      </c>
      <c r="M454" t="n">
        <v>0</v>
      </c>
      <c r="N454" t="n">
        <v>0</v>
      </c>
      <c r="O454" t="n">
        <v>0</v>
      </c>
      <c r="P454" t="n">
        <v>0</v>
      </c>
      <c r="Q454" t="n">
        <v>0</v>
      </c>
      <c r="R454" s="2" t="inlineStr"/>
    </row>
    <row r="455" ht="15" customHeight="1">
      <c r="A455" t="inlineStr">
        <is>
          <t>A 19578-2025</t>
        </is>
      </c>
      <c r="B455" s="1" t="n">
        <v>45770</v>
      </c>
      <c r="C455" s="1" t="n">
        <v>46032</v>
      </c>
      <c r="D455" t="inlineStr">
        <is>
          <t>DALARNAS LÄN</t>
        </is>
      </c>
      <c r="E455" t="inlineStr">
        <is>
          <t>ÄLVDALEN</t>
        </is>
      </c>
      <c r="F455" t="inlineStr">
        <is>
          <t>Sveaskog</t>
        </is>
      </c>
      <c r="G455" t="n">
        <v>15.2</v>
      </c>
      <c r="H455" t="n">
        <v>0</v>
      </c>
      <c r="I455" t="n">
        <v>0</v>
      </c>
      <c r="J455" t="n">
        <v>0</v>
      </c>
      <c r="K455" t="n">
        <v>0</v>
      </c>
      <c r="L455" t="n">
        <v>0</v>
      </c>
      <c r="M455" t="n">
        <v>0</v>
      </c>
      <c r="N455" t="n">
        <v>0</v>
      </c>
      <c r="O455" t="n">
        <v>0</v>
      </c>
      <c r="P455" t="n">
        <v>0</v>
      </c>
      <c r="Q455" t="n">
        <v>0</v>
      </c>
      <c r="R455" s="2" t="inlineStr"/>
    </row>
    <row r="456" ht="15" customHeight="1">
      <c r="A456" t="inlineStr">
        <is>
          <t>A 6001-2024</t>
        </is>
      </c>
      <c r="B456" s="1" t="n">
        <v>45336</v>
      </c>
      <c r="C456" s="1" t="n">
        <v>46032</v>
      </c>
      <c r="D456" t="inlineStr">
        <is>
          <t>DALARNAS LÄN</t>
        </is>
      </c>
      <c r="E456" t="inlineStr">
        <is>
          <t>ÄLVDALEN</t>
        </is>
      </c>
      <c r="G456" t="n">
        <v>1.4</v>
      </c>
      <c r="H456" t="n">
        <v>0</v>
      </c>
      <c r="I456" t="n">
        <v>0</v>
      </c>
      <c r="J456" t="n">
        <v>0</v>
      </c>
      <c r="K456" t="n">
        <v>0</v>
      </c>
      <c r="L456" t="n">
        <v>0</v>
      </c>
      <c r="M456" t="n">
        <v>0</v>
      </c>
      <c r="N456" t="n">
        <v>0</v>
      </c>
      <c r="O456" t="n">
        <v>0</v>
      </c>
      <c r="P456" t="n">
        <v>0</v>
      </c>
      <c r="Q456" t="n">
        <v>0</v>
      </c>
      <c r="R456" s="2" t="inlineStr"/>
    </row>
    <row r="457" ht="15" customHeight="1">
      <c r="A457" t="inlineStr">
        <is>
          <t>A 505-2024</t>
        </is>
      </c>
      <c r="B457" s="1" t="n">
        <v>45299</v>
      </c>
      <c r="C457" s="1" t="n">
        <v>46032</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54493-2023</t>
        </is>
      </c>
      <c r="B458" s="1" t="n">
        <v>45233.50606481481</v>
      </c>
      <c r="C458" s="1" t="n">
        <v>46032</v>
      </c>
      <c r="D458" t="inlineStr">
        <is>
          <t>DALARNAS LÄN</t>
        </is>
      </c>
      <c r="E458" t="inlineStr">
        <is>
          <t>ÄLVDALEN</t>
        </is>
      </c>
      <c r="F458" t="inlineStr">
        <is>
          <t>Allmännings- och besparingsskogar</t>
        </is>
      </c>
      <c r="G458" t="n">
        <v>2</v>
      </c>
      <c r="H458" t="n">
        <v>0</v>
      </c>
      <c r="I458" t="n">
        <v>0</v>
      </c>
      <c r="J458" t="n">
        <v>0</v>
      </c>
      <c r="K458" t="n">
        <v>0</v>
      </c>
      <c r="L458" t="n">
        <v>0</v>
      </c>
      <c r="M458" t="n">
        <v>0</v>
      </c>
      <c r="N458" t="n">
        <v>0</v>
      </c>
      <c r="O458" t="n">
        <v>0</v>
      </c>
      <c r="P458" t="n">
        <v>0</v>
      </c>
      <c r="Q458" t="n">
        <v>0</v>
      </c>
      <c r="R458" s="2" t="inlineStr"/>
    </row>
    <row r="459" ht="15" customHeight="1">
      <c r="A459" t="inlineStr">
        <is>
          <t>A 2375-2024</t>
        </is>
      </c>
      <c r="B459" s="1" t="n">
        <v>45310</v>
      </c>
      <c r="C459" s="1" t="n">
        <v>46032</v>
      </c>
      <c r="D459" t="inlineStr">
        <is>
          <t>DALARNAS LÄN</t>
        </is>
      </c>
      <c r="E459" t="inlineStr">
        <is>
          <t>ÄLVDALEN</t>
        </is>
      </c>
      <c r="G459" t="n">
        <v>5.4</v>
      </c>
      <c r="H459" t="n">
        <v>0</v>
      </c>
      <c r="I459" t="n">
        <v>0</v>
      </c>
      <c r="J459" t="n">
        <v>0</v>
      </c>
      <c r="K459" t="n">
        <v>0</v>
      </c>
      <c r="L459" t="n">
        <v>0</v>
      </c>
      <c r="M459" t="n">
        <v>0</v>
      </c>
      <c r="N459" t="n">
        <v>0</v>
      </c>
      <c r="O459" t="n">
        <v>0</v>
      </c>
      <c r="P459" t="n">
        <v>0</v>
      </c>
      <c r="Q459" t="n">
        <v>0</v>
      </c>
      <c r="R459" s="2" t="inlineStr"/>
    </row>
    <row r="460" ht="15" customHeight="1">
      <c r="A460" t="inlineStr">
        <is>
          <t>A 61072-2024</t>
        </is>
      </c>
      <c r="B460" s="1" t="n">
        <v>45645.50583333334</v>
      </c>
      <c r="C460" s="1" t="n">
        <v>46032</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31047-2024</t>
        </is>
      </c>
      <c r="B461" s="1" t="n">
        <v>45502.33021990741</v>
      </c>
      <c r="C461" s="1" t="n">
        <v>46032</v>
      </c>
      <c r="D461" t="inlineStr">
        <is>
          <t>DALARNAS LÄN</t>
        </is>
      </c>
      <c r="E461" t="inlineStr">
        <is>
          <t>ÄLVDALEN</t>
        </is>
      </c>
      <c r="F461" t="inlineStr">
        <is>
          <t>Sveaskog</t>
        </is>
      </c>
      <c r="G461" t="n">
        <v>8</v>
      </c>
      <c r="H461" t="n">
        <v>0</v>
      </c>
      <c r="I461" t="n">
        <v>0</v>
      </c>
      <c r="J461" t="n">
        <v>0</v>
      </c>
      <c r="K461" t="n">
        <v>0</v>
      </c>
      <c r="L461" t="n">
        <v>0</v>
      </c>
      <c r="M461" t="n">
        <v>0</v>
      </c>
      <c r="N461" t="n">
        <v>0</v>
      </c>
      <c r="O461" t="n">
        <v>0</v>
      </c>
      <c r="P461" t="n">
        <v>0</v>
      </c>
      <c r="Q461" t="n">
        <v>0</v>
      </c>
      <c r="R461" s="2" t="inlineStr"/>
    </row>
    <row r="462" ht="15" customHeight="1">
      <c r="A462" t="inlineStr">
        <is>
          <t>A 47080-2024</t>
        </is>
      </c>
      <c r="B462" s="1" t="n">
        <v>45586.50578703704</v>
      </c>
      <c r="C462" s="1" t="n">
        <v>46032</v>
      </c>
      <c r="D462" t="inlineStr">
        <is>
          <t>DALARNAS LÄN</t>
        </is>
      </c>
      <c r="E462" t="inlineStr">
        <is>
          <t>ÄLVDALEN</t>
        </is>
      </c>
      <c r="G462" t="n">
        <v>0.9</v>
      </c>
      <c r="H462" t="n">
        <v>0</v>
      </c>
      <c r="I462" t="n">
        <v>0</v>
      </c>
      <c r="J462" t="n">
        <v>0</v>
      </c>
      <c r="K462" t="n">
        <v>0</v>
      </c>
      <c r="L462" t="n">
        <v>0</v>
      </c>
      <c r="M462" t="n">
        <v>0</v>
      </c>
      <c r="N462" t="n">
        <v>0</v>
      </c>
      <c r="O462" t="n">
        <v>0</v>
      </c>
      <c r="P462" t="n">
        <v>0</v>
      </c>
      <c r="Q462" t="n">
        <v>0</v>
      </c>
      <c r="R462" s="2" t="inlineStr"/>
    </row>
    <row r="463" ht="15" customHeight="1">
      <c r="A463" t="inlineStr">
        <is>
          <t>A 32009-2021</t>
        </is>
      </c>
      <c r="B463" s="1" t="n">
        <v>44370.63354166667</v>
      </c>
      <c r="C463" s="1" t="n">
        <v>46032</v>
      </c>
      <c r="D463" t="inlineStr">
        <is>
          <t>DALARNAS LÄN</t>
        </is>
      </c>
      <c r="E463" t="inlineStr">
        <is>
          <t>ÄLVDALEN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46032</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36830-2025</t>
        </is>
      </c>
      <c r="B465" s="1" t="n">
        <v>45874.34365740741</v>
      </c>
      <c r="C465" s="1" t="n">
        <v>46032</v>
      </c>
      <c r="D465" t="inlineStr">
        <is>
          <t>DALARNAS LÄN</t>
        </is>
      </c>
      <c r="E465" t="inlineStr">
        <is>
          <t>ÄLVDALEN</t>
        </is>
      </c>
      <c r="F465" t="inlineStr">
        <is>
          <t>Bergvik skog väst AB</t>
        </is>
      </c>
      <c r="G465" t="n">
        <v>5</v>
      </c>
      <c r="H465" t="n">
        <v>0</v>
      </c>
      <c r="I465" t="n">
        <v>0</v>
      </c>
      <c r="J465" t="n">
        <v>0</v>
      </c>
      <c r="K465" t="n">
        <v>0</v>
      </c>
      <c r="L465" t="n">
        <v>0</v>
      </c>
      <c r="M465" t="n">
        <v>0</v>
      </c>
      <c r="N465" t="n">
        <v>0</v>
      </c>
      <c r="O465" t="n">
        <v>0</v>
      </c>
      <c r="P465" t="n">
        <v>0</v>
      </c>
      <c r="Q465" t="n">
        <v>0</v>
      </c>
      <c r="R465" s="2" t="inlineStr"/>
    </row>
    <row r="466" ht="15" customHeight="1">
      <c r="A466" t="inlineStr">
        <is>
          <t>A 37186-2025</t>
        </is>
      </c>
      <c r="B466" s="1" t="n">
        <v>45875.63905092593</v>
      </c>
      <c r="C466" s="1" t="n">
        <v>46032</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22454-2021</t>
        </is>
      </c>
      <c r="B467" s="1" t="n">
        <v>44326</v>
      </c>
      <c r="C467" s="1" t="n">
        <v>46032</v>
      </c>
      <c r="D467" t="inlineStr">
        <is>
          <t>DALARNAS LÄN</t>
        </is>
      </c>
      <c r="E467" t="inlineStr">
        <is>
          <t>ÄLVDALEN</t>
        </is>
      </c>
      <c r="F467" t="inlineStr">
        <is>
          <t>Allmännings- och besparingsskogar</t>
        </is>
      </c>
      <c r="G467" t="n">
        <v>4.3</v>
      </c>
      <c r="H467" t="n">
        <v>0</v>
      </c>
      <c r="I467" t="n">
        <v>0</v>
      </c>
      <c r="J467" t="n">
        <v>0</v>
      </c>
      <c r="K467" t="n">
        <v>0</v>
      </c>
      <c r="L467" t="n">
        <v>0</v>
      </c>
      <c r="M467" t="n">
        <v>0</v>
      </c>
      <c r="N467" t="n">
        <v>0</v>
      </c>
      <c r="O467" t="n">
        <v>0</v>
      </c>
      <c r="P467" t="n">
        <v>0</v>
      </c>
      <c r="Q467" t="n">
        <v>0</v>
      </c>
      <c r="R467" s="2" t="inlineStr"/>
    </row>
    <row r="468" ht="15" customHeight="1">
      <c r="A468" t="inlineStr">
        <is>
          <t>A 6675-2025</t>
        </is>
      </c>
      <c r="B468" s="1" t="n">
        <v>45700.47643518518</v>
      </c>
      <c r="C468" s="1" t="n">
        <v>46032</v>
      </c>
      <c r="D468" t="inlineStr">
        <is>
          <t>DALARNAS LÄN</t>
        </is>
      </c>
      <c r="E468" t="inlineStr">
        <is>
          <t>ÄLVDALEN</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61973-2025</t>
        </is>
      </c>
      <c r="B469" s="1" t="n">
        <v>46003.60017361111</v>
      </c>
      <c r="C469" s="1" t="n">
        <v>46032</v>
      </c>
      <c r="D469" t="inlineStr">
        <is>
          <t>DALARNAS LÄN</t>
        </is>
      </c>
      <c r="E469" t="inlineStr">
        <is>
          <t>ÄLVDALEN</t>
        </is>
      </c>
      <c r="G469" t="n">
        <v>1.7</v>
      </c>
      <c r="H469" t="n">
        <v>0</v>
      </c>
      <c r="I469" t="n">
        <v>0</v>
      </c>
      <c r="J469" t="n">
        <v>0</v>
      </c>
      <c r="K469" t="n">
        <v>0</v>
      </c>
      <c r="L469" t="n">
        <v>0</v>
      </c>
      <c r="M469" t="n">
        <v>0</v>
      </c>
      <c r="N469" t="n">
        <v>0</v>
      </c>
      <c r="O469" t="n">
        <v>0</v>
      </c>
      <c r="P469" t="n">
        <v>0</v>
      </c>
      <c r="Q469" t="n">
        <v>0</v>
      </c>
      <c r="R469" s="2" t="inlineStr"/>
    </row>
    <row r="470" ht="15" customHeight="1">
      <c r="A470" t="inlineStr">
        <is>
          <t>A 61589-2025</t>
        </is>
      </c>
      <c r="B470" s="1" t="n">
        <v>46002.34538194445</v>
      </c>
      <c r="C470" s="1" t="n">
        <v>46032</v>
      </c>
      <c r="D470" t="inlineStr">
        <is>
          <t>DALARNAS LÄN</t>
        </is>
      </c>
      <c r="E470" t="inlineStr">
        <is>
          <t>ÄLVDALEN</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46032</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10817-2025</t>
        </is>
      </c>
      <c r="B472" s="1" t="n">
        <v>45722.54625</v>
      </c>
      <c r="C472" s="1" t="n">
        <v>46032</v>
      </c>
      <c r="D472" t="inlineStr">
        <is>
          <t>DALARNAS LÄN</t>
        </is>
      </c>
      <c r="E472" t="inlineStr">
        <is>
          <t>ÄLVDALEN</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10831-2025</t>
        </is>
      </c>
      <c r="B473" s="1" t="n">
        <v>45722.56425925926</v>
      </c>
      <c r="C473" s="1" t="n">
        <v>46032</v>
      </c>
      <c r="D473" t="inlineStr">
        <is>
          <t>DALARNAS LÄN</t>
        </is>
      </c>
      <c r="E473" t="inlineStr">
        <is>
          <t>ÄLVDALEN</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37874-2025</t>
        </is>
      </c>
      <c r="B474" s="1" t="n">
        <v>45881</v>
      </c>
      <c r="C474" s="1" t="n">
        <v>46032</v>
      </c>
      <c r="D474" t="inlineStr">
        <is>
          <t>DALARNAS LÄN</t>
        </is>
      </c>
      <c r="E474" t="inlineStr">
        <is>
          <t>ÄLVDALEN</t>
        </is>
      </c>
      <c r="F474" t="inlineStr">
        <is>
          <t>Övriga Aktiebolag</t>
        </is>
      </c>
      <c r="G474" t="n">
        <v>33.5</v>
      </c>
      <c r="H474" t="n">
        <v>0</v>
      </c>
      <c r="I474" t="n">
        <v>0</v>
      </c>
      <c r="J474" t="n">
        <v>0</v>
      </c>
      <c r="K474" t="n">
        <v>0</v>
      </c>
      <c r="L474" t="n">
        <v>0</v>
      </c>
      <c r="M474" t="n">
        <v>0</v>
      </c>
      <c r="N474" t="n">
        <v>0</v>
      </c>
      <c r="O474" t="n">
        <v>0</v>
      </c>
      <c r="P474" t="n">
        <v>0</v>
      </c>
      <c r="Q474" t="n">
        <v>0</v>
      </c>
      <c r="R474" s="2" t="inlineStr"/>
    </row>
    <row r="475" ht="15" customHeight="1">
      <c r="A475" t="inlineStr">
        <is>
          <t>A 45155-2023</t>
        </is>
      </c>
      <c r="B475" s="1" t="n">
        <v>45187</v>
      </c>
      <c r="C475" s="1" t="n">
        <v>46032</v>
      </c>
      <c r="D475" t="inlineStr">
        <is>
          <t>DALARNAS LÄN</t>
        </is>
      </c>
      <c r="E475" t="inlineStr">
        <is>
          <t>ÄLVDALEN</t>
        </is>
      </c>
      <c r="G475" t="n">
        <v>40.1</v>
      </c>
      <c r="H475" t="n">
        <v>0</v>
      </c>
      <c r="I475" t="n">
        <v>0</v>
      </c>
      <c r="J475" t="n">
        <v>0</v>
      </c>
      <c r="K475" t="n">
        <v>0</v>
      </c>
      <c r="L475" t="n">
        <v>0</v>
      </c>
      <c r="M475" t="n">
        <v>0</v>
      </c>
      <c r="N475" t="n">
        <v>0</v>
      </c>
      <c r="O475" t="n">
        <v>0</v>
      </c>
      <c r="P475" t="n">
        <v>0</v>
      </c>
      <c r="Q475" t="n">
        <v>0</v>
      </c>
      <c r="R475" s="2" t="inlineStr"/>
    </row>
    <row r="476" ht="15" customHeight="1">
      <c r="A476" t="inlineStr">
        <is>
          <t>A 61971-2025</t>
        </is>
      </c>
      <c r="B476" s="1" t="n">
        <v>46003.59724537037</v>
      </c>
      <c r="C476" s="1" t="n">
        <v>46032</v>
      </c>
      <c r="D476" t="inlineStr">
        <is>
          <t>DALARNAS LÄN</t>
        </is>
      </c>
      <c r="E476" t="inlineStr">
        <is>
          <t>ÄLVDALEN</t>
        </is>
      </c>
      <c r="G476" t="n">
        <v>3.8</v>
      </c>
      <c r="H476" t="n">
        <v>0</v>
      </c>
      <c r="I476" t="n">
        <v>0</v>
      </c>
      <c r="J476" t="n">
        <v>0</v>
      </c>
      <c r="K476" t="n">
        <v>0</v>
      </c>
      <c r="L476" t="n">
        <v>0</v>
      </c>
      <c r="M476" t="n">
        <v>0</v>
      </c>
      <c r="N476" t="n">
        <v>0</v>
      </c>
      <c r="O476" t="n">
        <v>0</v>
      </c>
      <c r="P476" t="n">
        <v>0</v>
      </c>
      <c r="Q476" t="n">
        <v>0</v>
      </c>
      <c r="R476" s="2" t="inlineStr"/>
    </row>
    <row r="477" ht="15" customHeight="1">
      <c r="A477" t="inlineStr">
        <is>
          <t>A 41446-2024</t>
        </is>
      </c>
      <c r="B477" s="1" t="n">
        <v>45560.39483796297</v>
      </c>
      <c r="C477" s="1" t="n">
        <v>46032</v>
      </c>
      <c r="D477" t="inlineStr">
        <is>
          <t>DALARNAS LÄN</t>
        </is>
      </c>
      <c r="E477" t="inlineStr">
        <is>
          <t>ÄLVDALEN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33099-2023</t>
        </is>
      </c>
      <c r="B478" s="1" t="n">
        <v>45114</v>
      </c>
      <c r="C478" s="1" t="n">
        <v>46032</v>
      </c>
      <c r="D478" t="inlineStr">
        <is>
          <t>DALARNAS LÄN</t>
        </is>
      </c>
      <c r="E478" t="inlineStr">
        <is>
          <t>ÄLVDALEN</t>
        </is>
      </c>
      <c r="G478" t="n">
        <v>3.5</v>
      </c>
      <c r="H478" t="n">
        <v>0</v>
      </c>
      <c r="I478" t="n">
        <v>0</v>
      </c>
      <c r="J478" t="n">
        <v>0</v>
      </c>
      <c r="K478" t="n">
        <v>0</v>
      </c>
      <c r="L478" t="n">
        <v>0</v>
      </c>
      <c r="M478" t="n">
        <v>0</v>
      </c>
      <c r="N478" t="n">
        <v>0</v>
      </c>
      <c r="O478" t="n">
        <v>0</v>
      </c>
      <c r="P478" t="n">
        <v>0</v>
      </c>
      <c r="Q478" t="n">
        <v>0</v>
      </c>
      <c r="R478" s="2" t="inlineStr"/>
    </row>
    <row r="479" ht="15" customHeight="1">
      <c r="A479" t="inlineStr">
        <is>
          <t>A 60793-2022</t>
        </is>
      </c>
      <c r="B479" s="1" t="n">
        <v>44911</v>
      </c>
      <c r="C479" s="1" t="n">
        <v>46032</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61999-2025</t>
        </is>
      </c>
      <c r="B480" s="1" t="n">
        <v>46003.64638888889</v>
      </c>
      <c r="C480" s="1" t="n">
        <v>46032</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14489-2025</t>
        </is>
      </c>
      <c r="B481" s="1" t="n">
        <v>45741.60680555556</v>
      </c>
      <c r="C481" s="1" t="n">
        <v>46032</v>
      </c>
      <c r="D481" t="inlineStr">
        <is>
          <t>DALARNAS LÄN</t>
        </is>
      </c>
      <c r="E481" t="inlineStr">
        <is>
          <t>ÄLVDALEN</t>
        </is>
      </c>
      <c r="G481" t="n">
        <v>7.9</v>
      </c>
      <c r="H481" t="n">
        <v>0</v>
      </c>
      <c r="I481" t="n">
        <v>0</v>
      </c>
      <c r="J481" t="n">
        <v>0</v>
      </c>
      <c r="K481" t="n">
        <v>0</v>
      </c>
      <c r="L481" t="n">
        <v>0</v>
      </c>
      <c r="M481" t="n">
        <v>0</v>
      </c>
      <c r="N481" t="n">
        <v>0</v>
      </c>
      <c r="O481" t="n">
        <v>0</v>
      </c>
      <c r="P481" t="n">
        <v>0</v>
      </c>
      <c r="Q481" t="n">
        <v>0</v>
      </c>
      <c r="R481" s="2" t="inlineStr"/>
    </row>
    <row r="482" ht="15" customHeight="1">
      <c r="A482" t="inlineStr">
        <is>
          <t>A 41158-2024</t>
        </is>
      </c>
      <c r="B482" s="1" t="n">
        <v>45559.47958333333</v>
      </c>
      <c r="C482" s="1" t="n">
        <v>46032</v>
      </c>
      <c r="D482" t="inlineStr">
        <is>
          <t>DALARNAS LÄN</t>
        </is>
      </c>
      <c r="E482" t="inlineStr">
        <is>
          <t>ÄLVDALEN</t>
        </is>
      </c>
      <c r="G482" t="n">
        <v>5.6</v>
      </c>
      <c r="H482" t="n">
        <v>0</v>
      </c>
      <c r="I482" t="n">
        <v>0</v>
      </c>
      <c r="J482" t="n">
        <v>0</v>
      </c>
      <c r="K482" t="n">
        <v>0</v>
      </c>
      <c r="L482" t="n">
        <v>0</v>
      </c>
      <c r="M482" t="n">
        <v>0</v>
      </c>
      <c r="N482" t="n">
        <v>0</v>
      </c>
      <c r="O482" t="n">
        <v>0</v>
      </c>
      <c r="P482" t="n">
        <v>0</v>
      </c>
      <c r="Q482" t="n">
        <v>0</v>
      </c>
      <c r="R482" s="2" t="inlineStr"/>
    </row>
    <row r="483" ht="15" customHeight="1">
      <c r="A483" t="inlineStr">
        <is>
          <t>A 32361-2024</t>
        </is>
      </c>
      <c r="B483" s="1" t="n">
        <v>45512.56725694444</v>
      </c>
      <c r="C483" s="1" t="n">
        <v>46032</v>
      </c>
      <c r="D483" t="inlineStr">
        <is>
          <t>DALARNAS LÄN</t>
        </is>
      </c>
      <c r="E483" t="inlineStr">
        <is>
          <t>ÄLVDALEN</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32363-2024</t>
        </is>
      </c>
      <c r="B484" s="1" t="n">
        <v>45512</v>
      </c>
      <c r="C484" s="1" t="n">
        <v>46032</v>
      </c>
      <c r="D484" t="inlineStr">
        <is>
          <t>DALARNAS LÄN</t>
        </is>
      </c>
      <c r="E484" t="inlineStr">
        <is>
          <t>ÄLVDALEN</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37665-2023</t>
        </is>
      </c>
      <c r="B485" s="1" t="n">
        <v>45159.5371875</v>
      </c>
      <c r="C485" s="1" t="n">
        <v>46032</v>
      </c>
      <c r="D485" t="inlineStr">
        <is>
          <t>DALARNAS LÄN</t>
        </is>
      </c>
      <c r="E485" t="inlineStr">
        <is>
          <t>ÄLVDALEN</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46032</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54114-2025</t>
        </is>
      </c>
      <c r="B487" s="1" t="n">
        <v>45964.44096064815</v>
      </c>
      <c r="C487" s="1" t="n">
        <v>46032</v>
      </c>
      <c r="D487" t="inlineStr">
        <is>
          <t>DALARNAS LÄN</t>
        </is>
      </c>
      <c r="E487" t="inlineStr">
        <is>
          <t>ÄLVDALEN</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62106-2025</t>
        </is>
      </c>
      <c r="B488" s="1" t="n">
        <v>46006.42576388889</v>
      </c>
      <c r="C488" s="1" t="n">
        <v>46032</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63329-2023</t>
        </is>
      </c>
      <c r="B489" s="1" t="n">
        <v>45274.38255787037</v>
      </c>
      <c r="C489" s="1" t="n">
        <v>46032</v>
      </c>
      <c r="D489" t="inlineStr">
        <is>
          <t>DALARNAS LÄN</t>
        </is>
      </c>
      <c r="E489" t="inlineStr">
        <is>
          <t>ÄLVDALEN</t>
        </is>
      </c>
      <c r="G489" t="n">
        <v>0.6</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46032</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28467-2024</t>
        </is>
      </c>
      <c r="B491" s="1" t="n">
        <v>45477.71173611111</v>
      </c>
      <c r="C491" s="1" t="n">
        <v>46032</v>
      </c>
      <c r="D491" t="inlineStr">
        <is>
          <t>DALARNAS LÄN</t>
        </is>
      </c>
      <c r="E491" t="inlineStr">
        <is>
          <t>ÄLVDALEN</t>
        </is>
      </c>
      <c r="G491" t="n">
        <v>4</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46032</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43039-2025</t>
        </is>
      </c>
      <c r="B493" s="1" t="n">
        <v>45909.55166666667</v>
      </c>
      <c r="C493" s="1" t="n">
        <v>46032</v>
      </c>
      <c r="D493" t="inlineStr">
        <is>
          <t>DALARNAS LÄN</t>
        </is>
      </c>
      <c r="E493" t="inlineStr">
        <is>
          <t>ÄLVDALEN</t>
        </is>
      </c>
      <c r="G493" t="n">
        <v>2.3</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46032</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39283-2024</t>
        </is>
      </c>
      <c r="B495" s="1" t="n">
        <v>45551.36314814815</v>
      </c>
      <c r="C495" s="1" t="n">
        <v>46032</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23553-2025</t>
        </is>
      </c>
      <c r="B496" s="1" t="n">
        <v>45792</v>
      </c>
      <c r="C496" s="1" t="n">
        <v>46032</v>
      </c>
      <c r="D496" t="inlineStr">
        <is>
          <t>DALARNAS LÄN</t>
        </is>
      </c>
      <c r="E496" t="inlineStr">
        <is>
          <t>ÄLVDALEN</t>
        </is>
      </c>
      <c r="G496" t="n">
        <v>46.2</v>
      </c>
      <c r="H496" t="n">
        <v>0</v>
      </c>
      <c r="I496" t="n">
        <v>0</v>
      </c>
      <c r="J496" t="n">
        <v>0</v>
      </c>
      <c r="K496" t="n">
        <v>0</v>
      </c>
      <c r="L496" t="n">
        <v>0</v>
      </c>
      <c r="M496" t="n">
        <v>0</v>
      </c>
      <c r="N496" t="n">
        <v>0</v>
      </c>
      <c r="O496" t="n">
        <v>0</v>
      </c>
      <c r="P496" t="n">
        <v>0</v>
      </c>
      <c r="Q496" t="n">
        <v>0</v>
      </c>
      <c r="R496" s="2" t="inlineStr"/>
    </row>
    <row r="497" ht="15" customHeight="1">
      <c r="A497" t="inlineStr">
        <is>
          <t>A 3893-2024</t>
        </is>
      </c>
      <c r="B497" s="1" t="n">
        <v>45322</v>
      </c>
      <c r="C497" s="1" t="n">
        <v>46032</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row>
    <row r="498" ht="15" customHeight="1">
      <c r="A498" t="inlineStr">
        <is>
          <t>A 63327-2025</t>
        </is>
      </c>
      <c r="B498" s="1" t="n">
        <v>46010.63902777778</v>
      </c>
      <c r="C498" s="1" t="n">
        <v>46032</v>
      </c>
      <c r="D498" t="inlineStr">
        <is>
          <t>DALARNAS LÄN</t>
        </is>
      </c>
      <c r="E498" t="inlineStr">
        <is>
          <t>ÄLVDALEN</t>
        </is>
      </c>
      <c r="F498" t="inlineStr">
        <is>
          <t>Allmännings- och besparingsskogar</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59303-2025</t>
        </is>
      </c>
      <c r="B499" s="1" t="n">
        <v>45988</v>
      </c>
      <c r="C499" s="1" t="n">
        <v>46032</v>
      </c>
      <c r="D499" t="inlineStr">
        <is>
          <t>DALARNAS LÄN</t>
        </is>
      </c>
      <c r="E499" t="inlineStr">
        <is>
          <t>ÄLVDALEN</t>
        </is>
      </c>
      <c r="F499" t="inlineStr">
        <is>
          <t>Allmännings- och besparingsskogar</t>
        </is>
      </c>
      <c r="G499" t="n">
        <v>18.2</v>
      </c>
      <c r="H499" t="n">
        <v>0</v>
      </c>
      <c r="I499" t="n">
        <v>0</v>
      </c>
      <c r="J499" t="n">
        <v>0</v>
      </c>
      <c r="K499" t="n">
        <v>0</v>
      </c>
      <c r="L499" t="n">
        <v>0</v>
      </c>
      <c r="M499" t="n">
        <v>0</v>
      </c>
      <c r="N499" t="n">
        <v>0</v>
      </c>
      <c r="O499" t="n">
        <v>0</v>
      </c>
      <c r="P499" t="n">
        <v>0</v>
      </c>
      <c r="Q499" t="n">
        <v>0</v>
      </c>
      <c r="R499" s="2" t="inlineStr"/>
    </row>
    <row r="500" ht="15" customHeight="1">
      <c r="A500" t="inlineStr">
        <is>
          <t>A 50056-2024</t>
        </is>
      </c>
      <c r="B500" s="1" t="n">
        <v>45600.34134259259</v>
      </c>
      <c r="C500" s="1" t="n">
        <v>46032</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63525-2025</t>
        </is>
      </c>
      <c r="B501" s="1" t="n">
        <v>46013.54934027778</v>
      </c>
      <c r="C501" s="1" t="n">
        <v>46032</v>
      </c>
      <c r="D501" t="inlineStr">
        <is>
          <t>DALARNAS LÄN</t>
        </is>
      </c>
      <c r="E501" t="inlineStr">
        <is>
          <t>ÄLVDALEN</t>
        </is>
      </c>
      <c r="G501" t="n">
        <v>2.9</v>
      </c>
      <c r="H501" t="n">
        <v>0</v>
      </c>
      <c r="I501" t="n">
        <v>0</v>
      </c>
      <c r="J501" t="n">
        <v>0</v>
      </c>
      <c r="K501" t="n">
        <v>0</v>
      </c>
      <c r="L501" t="n">
        <v>0</v>
      </c>
      <c r="M501" t="n">
        <v>0</v>
      </c>
      <c r="N501" t="n">
        <v>0</v>
      </c>
      <c r="O501" t="n">
        <v>0</v>
      </c>
      <c r="P501" t="n">
        <v>0</v>
      </c>
      <c r="Q501" t="n">
        <v>0</v>
      </c>
      <c r="R501" s="2" t="inlineStr"/>
    </row>
    <row r="502" ht="15" customHeight="1">
      <c r="A502" t="inlineStr">
        <is>
          <t>A 55176-2025</t>
        </is>
      </c>
      <c r="B502" s="1" t="n">
        <v>45968.51841435185</v>
      </c>
      <c r="C502" s="1" t="n">
        <v>46032</v>
      </c>
      <c r="D502" t="inlineStr">
        <is>
          <t>DALARNAS LÄN</t>
        </is>
      </c>
      <c r="E502" t="inlineStr">
        <is>
          <t>ÄLVDALEN</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5063-2025</t>
        </is>
      </c>
      <c r="B503" s="1" t="n">
        <v>45691.47466435185</v>
      </c>
      <c r="C503" s="1" t="n">
        <v>46032</v>
      </c>
      <c r="D503" t="inlineStr">
        <is>
          <t>DALARNAS LÄN</t>
        </is>
      </c>
      <c r="E503" t="inlineStr">
        <is>
          <t>ÄLVDALEN</t>
        </is>
      </c>
      <c r="F503" t="inlineStr">
        <is>
          <t>Bergvik skog väst AB</t>
        </is>
      </c>
      <c r="G503" t="n">
        <v>2.8</v>
      </c>
      <c r="H503" t="n">
        <v>0</v>
      </c>
      <c r="I503" t="n">
        <v>0</v>
      </c>
      <c r="J503" t="n">
        <v>0</v>
      </c>
      <c r="K503" t="n">
        <v>0</v>
      </c>
      <c r="L503" t="n">
        <v>0</v>
      </c>
      <c r="M503" t="n">
        <v>0</v>
      </c>
      <c r="N503" t="n">
        <v>0</v>
      </c>
      <c r="O503" t="n">
        <v>0</v>
      </c>
      <c r="P503" t="n">
        <v>0</v>
      </c>
      <c r="Q503" t="n">
        <v>0</v>
      </c>
      <c r="R503" s="2" t="inlineStr"/>
    </row>
    <row r="504" ht="15" customHeight="1">
      <c r="A504" t="inlineStr">
        <is>
          <t>A 777-2025</t>
        </is>
      </c>
      <c r="B504" s="1" t="n">
        <v>45665.47403935185</v>
      </c>
      <c r="C504" s="1" t="n">
        <v>46032</v>
      </c>
      <c r="D504" t="inlineStr">
        <is>
          <t>DALARNAS LÄN</t>
        </is>
      </c>
      <c r="E504" t="inlineStr">
        <is>
          <t>ÄLVDALEN</t>
        </is>
      </c>
      <c r="G504" t="n">
        <v>2.4</v>
      </c>
      <c r="H504" t="n">
        <v>0</v>
      </c>
      <c r="I504" t="n">
        <v>0</v>
      </c>
      <c r="J504" t="n">
        <v>0</v>
      </c>
      <c r="K504" t="n">
        <v>0</v>
      </c>
      <c r="L504" t="n">
        <v>0</v>
      </c>
      <c r="M504" t="n">
        <v>0</v>
      </c>
      <c r="N504" t="n">
        <v>0</v>
      </c>
      <c r="O504" t="n">
        <v>0</v>
      </c>
      <c r="P504" t="n">
        <v>0</v>
      </c>
      <c r="Q504" t="n">
        <v>0</v>
      </c>
      <c r="R504" s="2" t="inlineStr"/>
    </row>
    <row r="505" ht="15" customHeight="1">
      <c r="A505" t="inlineStr">
        <is>
          <t>A 12318-2025</t>
        </is>
      </c>
      <c r="B505" s="1" t="n">
        <v>45729.87777777778</v>
      </c>
      <c r="C505" s="1" t="n">
        <v>46032</v>
      </c>
      <c r="D505" t="inlineStr">
        <is>
          <t>DALARNAS LÄN</t>
        </is>
      </c>
      <c r="E505" t="inlineStr">
        <is>
          <t>ÄLVDALEN</t>
        </is>
      </c>
      <c r="G505" t="n">
        <v>3.3</v>
      </c>
      <c r="H505" t="n">
        <v>0</v>
      </c>
      <c r="I505" t="n">
        <v>0</v>
      </c>
      <c r="J505" t="n">
        <v>0</v>
      </c>
      <c r="K505" t="n">
        <v>0</v>
      </c>
      <c r="L505" t="n">
        <v>0</v>
      </c>
      <c r="M505" t="n">
        <v>0</v>
      </c>
      <c r="N505" t="n">
        <v>0</v>
      </c>
      <c r="O505" t="n">
        <v>0</v>
      </c>
      <c r="P505" t="n">
        <v>0</v>
      </c>
      <c r="Q505" t="n">
        <v>0</v>
      </c>
      <c r="R505" s="2" t="inlineStr"/>
    </row>
    <row r="506" ht="15" customHeight="1">
      <c r="A506" t="inlineStr">
        <is>
          <t>A 63601-2025</t>
        </is>
      </c>
      <c r="B506" s="1" t="n">
        <v>46014.31347222222</v>
      </c>
      <c r="C506" s="1" t="n">
        <v>46032</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46032</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46032</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46032</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46032</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18075-2024</t>
        </is>
      </c>
      <c r="B511" s="1" t="n">
        <v>45420.43453703704</v>
      </c>
      <c r="C511" s="1" t="n">
        <v>46032</v>
      </c>
      <c r="D511" t="inlineStr">
        <is>
          <t>DALARNAS LÄN</t>
        </is>
      </c>
      <c r="E511" t="inlineStr">
        <is>
          <t>ÄLVDALEN</t>
        </is>
      </c>
      <c r="F511" t="inlineStr">
        <is>
          <t>Bergvik skog väst AB</t>
        </is>
      </c>
      <c r="G511" t="n">
        <v>8.6</v>
      </c>
      <c r="H511" t="n">
        <v>0</v>
      </c>
      <c r="I511" t="n">
        <v>0</v>
      </c>
      <c r="J511" t="n">
        <v>0</v>
      </c>
      <c r="K511" t="n">
        <v>0</v>
      </c>
      <c r="L511" t="n">
        <v>0</v>
      </c>
      <c r="M511" t="n">
        <v>0</v>
      </c>
      <c r="N511" t="n">
        <v>0</v>
      </c>
      <c r="O511" t="n">
        <v>0</v>
      </c>
      <c r="P511" t="n">
        <v>0</v>
      </c>
      <c r="Q511" t="n">
        <v>0</v>
      </c>
      <c r="R511" s="2" t="inlineStr"/>
    </row>
    <row r="512" ht="15" customHeight="1">
      <c r="A512" t="inlineStr">
        <is>
          <t>A 59692-2024</t>
        </is>
      </c>
      <c r="B512" s="1" t="n">
        <v>45639.40686342592</v>
      </c>
      <c r="C512" s="1" t="n">
        <v>46032</v>
      </c>
      <c r="D512" t="inlineStr">
        <is>
          <t>DALARNAS LÄN</t>
        </is>
      </c>
      <c r="E512" t="inlineStr">
        <is>
          <t>ÄLVDALEN</t>
        </is>
      </c>
      <c r="G512" t="n">
        <v>2.2</v>
      </c>
      <c r="H512" t="n">
        <v>0</v>
      </c>
      <c r="I512" t="n">
        <v>0</v>
      </c>
      <c r="J512" t="n">
        <v>0</v>
      </c>
      <c r="K512" t="n">
        <v>0</v>
      </c>
      <c r="L512" t="n">
        <v>0</v>
      </c>
      <c r="M512" t="n">
        <v>0</v>
      </c>
      <c r="N512" t="n">
        <v>0</v>
      </c>
      <c r="O512" t="n">
        <v>0</v>
      </c>
      <c r="P512" t="n">
        <v>0</v>
      </c>
      <c r="Q512" t="n">
        <v>0</v>
      </c>
      <c r="R512" s="2" t="inlineStr"/>
    </row>
    <row r="513" ht="15" customHeight="1">
      <c r="A513" t="inlineStr">
        <is>
          <t>A 32622-2023</t>
        </is>
      </c>
      <c r="B513" s="1" t="n">
        <v>45121</v>
      </c>
      <c r="C513" s="1" t="n">
        <v>46032</v>
      </c>
      <c r="D513" t="inlineStr">
        <is>
          <t>DALARNAS LÄN</t>
        </is>
      </c>
      <c r="E513" t="inlineStr">
        <is>
          <t>ÄLVDALEN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57510-2025</t>
        </is>
      </c>
      <c r="B514" s="1" t="n">
        <v>45980.60502314815</v>
      </c>
      <c r="C514" s="1" t="n">
        <v>46032</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59483-2024</t>
        </is>
      </c>
      <c r="B515" s="1" t="n">
        <v>45638.52847222222</v>
      </c>
      <c r="C515" s="1" t="n">
        <v>46032</v>
      </c>
      <c r="D515" t="inlineStr">
        <is>
          <t>DALARNAS LÄN</t>
        </is>
      </c>
      <c r="E515" t="inlineStr">
        <is>
          <t>ÄLVDALEN</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26080-2021</t>
        </is>
      </c>
      <c r="B516" s="1" t="n">
        <v>44344</v>
      </c>
      <c r="C516" s="1" t="n">
        <v>46032</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59547-2023</t>
        </is>
      </c>
      <c r="B517" s="1" t="n">
        <v>45254.55645833333</v>
      </c>
      <c r="C517" s="1" t="n">
        <v>46032</v>
      </c>
      <c r="D517" t="inlineStr">
        <is>
          <t>DALARNAS LÄN</t>
        </is>
      </c>
      <c r="E517" t="inlineStr">
        <is>
          <t>ÄLVDALEN</t>
        </is>
      </c>
      <c r="G517" t="n">
        <v>2.5</v>
      </c>
      <c r="H517" t="n">
        <v>0</v>
      </c>
      <c r="I517" t="n">
        <v>0</v>
      </c>
      <c r="J517" t="n">
        <v>0</v>
      </c>
      <c r="K517" t="n">
        <v>0</v>
      </c>
      <c r="L517" t="n">
        <v>0</v>
      </c>
      <c r="M517" t="n">
        <v>0</v>
      </c>
      <c r="N517" t="n">
        <v>0</v>
      </c>
      <c r="O517" t="n">
        <v>0</v>
      </c>
      <c r="P517" t="n">
        <v>0</v>
      </c>
      <c r="Q517" t="n">
        <v>0</v>
      </c>
      <c r="R517" s="2" t="inlineStr"/>
    </row>
    <row r="518" ht="15" customHeight="1">
      <c r="A518" t="inlineStr">
        <is>
          <t>A 52483-2023</t>
        </is>
      </c>
      <c r="B518" s="1" t="n">
        <v>45225</v>
      </c>
      <c r="C518" s="1" t="n">
        <v>46032</v>
      </c>
      <c r="D518" t="inlineStr">
        <is>
          <t>DALARNAS LÄN</t>
        </is>
      </c>
      <c r="E518" t="inlineStr">
        <is>
          <t>ÄLVDALEN</t>
        </is>
      </c>
      <c r="F518" t="inlineStr">
        <is>
          <t>Allmännings- och besparingsskogar</t>
        </is>
      </c>
      <c r="G518" t="n">
        <v>30.9</v>
      </c>
      <c r="H518" t="n">
        <v>0</v>
      </c>
      <c r="I518" t="n">
        <v>0</v>
      </c>
      <c r="J518" t="n">
        <v>0</v>
      </c>
      <c r="K518" t="n">
        <v>0</v>
      </c>
      <c r="L518" t="n">
        <v>0</v>
      </c>
      <c r="M518" t="n">
        <v>0</v>
      </c>
      <c r="N518" t="n">
        <v>0</v>
      </c>
      <c r="O518" t="n">
        <v>0</v>
      </c>
      <c r="P518" t="n">
        <v>0</v>
      </c>
      <c r="Q518" t="n">
        <v>0</v>
      </c>
      <c r="R518" s="2" t="inlineStr"/>
      <c r="U518">
        <f>HYPERLINK("https://klasma.github.io/Logging_2039/knärot/A 52483-2023 karta knärot.png", "A 52483-2023")</f>
        <v/>
      </c>
      <c r="V518">
        <f>HYPERLINK("https://klasma.github.io/Logging_2039/klagomål/A 52483-2023 FSC-klagomål.docx", "A 52483-2023")</f>
        <v/>
      </c>
      <c r="W518">
        <f>HYPERLINK("https://klasma.github.io/Logging_2039/klagomålsmail/A 52483-2023 FSC-klagomål mail.docx", "A 52483-2023")</f>
        <v/>
      </c>
      <c r="X518">
        <f>HYPERLINK("https://klasma.github.io/Logging_2039/tillsyn/A 52483-2023 tillsynsbegäran.docx", "A 52483-2023")</f>
        <v/>
      </c>
      <c r="Y518">
        <f>HYPERLINK("https://klasma.github.io/Logging_2039/tillsynsmail/A 52483-2023 tillsynsbegäran mail.docx", "A 52483-2023")</f>
        <v/>
      </c>
    </row>
    <row r="519" ht="15" customHeight="1">
      <c r="A519" t="inlineStr">
        <is>
          <t>A 57980-2025</t>
        </is>
      </c>
      <c r="B519" s="1" t="n">
        <v>45982.40280092593</v>
      </c>
      <c r="C519" s="1" t="n">
        <v>46032</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241-2026</t>
        </is>
      </c>
      <c r="B520" s="1" t="n">
        <v>46027.38569444444</v>
      </c>
      <c r="C520" s="1" t="n">
        <v>46032</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8538-2025</t>
        </is>
      </c>
      <c r="B521" s="1" t="n">
        <v>45709.59030092593</v>
      </c>
      <c r="C521" s="1" t="n">
        <v>46032</v>
      </c>
      <c r="D521" t="inlineStr">
        <is>
          <t>DALARNAS LÄN</t>
        </is>
      </c>
      <c r="E521" t="inlineStr">
        <is>
          <t>ÄLVDALEN</t>
        </is>
      </c>
      <c r="F521" t="inlineStr">
        <is>
          <t>Allmännings- och besparingsskogar</t>
        </is>
      </c>
      <c r="G521" t="n">
        <v>0.6</v>
      </c>
      <c r="H521" t="n">
        <v>0</v>
      </c>
      <c r="I521" t="n">
        <v>0</v>
      </c>
      <c r="J521" t="n">
        <v>0</v>
      </c>
      <c r="K521" t="n">
        <v>0</v>
      </c>
      <c r="L521" t="n">
        <v>0</v>
      </c>
      <c r="M521" t="n">
        <v>0</v>
      </c>
      <c r="N521" t="n">
        <v>0</v>
      </c>
      <c r="O521" t="n">
        <v>0</v>
      </c>
      <c r="P521" t="n">
        <v>0</v>
      </c>
      <c r="Q521" t="n">
        <v>0</v>
      </c>
      <c r="R521" s="2" t="inlineStr"/>
    </row>
    <row r="522" ht="15" customHeight="1">
      <c r="A522" t="inlineStr">
        <is>
          <t>A 8784-2024</t>
        </is>
      </c>
      <c r="B522" s="1" t="n">
        <v>45356.58180555556</v>
      </c>
      <c r="C522" s="1" t="n">
        <v>46032</v>
      </c>
      <c r="D522" t="inlineStr">
        <is>
          <t>DALARNAS LÄN</t>
        </is>
      </c>
      <c r="E522" t="inlineStr">
        <is>
          <t>ÄLVDALEN</t>
        </is>
      </c>
      <c r="G522" t="n">
        <v>1.6</v>
      </c>
      <c r="H522" t="n">
        <v>0</v>
      </c>
      <c r="I522" t="n">
        <v>0</v>
      </c>
      <c r="J522" t="n">
        <v>0</v>
      </c>
      <c r="K522" t="n">
        <v>0</v>
      </c>
      <c r="L522" t="n">
        <v>0</v>
      </c>
      <c r="M522" t="n">
        <v>0</v>
      </c>
      <c r="N522" t="n">
        <v>0</v>
      </c>
      <c r="O522" t="n">
        <v>0</v>
      </c>
      <c r="P522" t="n">
        <v>0</v>
      </c>
      <c r="Q522" t="n">
        <v>0</v>
      </c>
      <c r="R522" s="2" t="inlineStr"/>
    </row>
    <row r="523" ht="15" customHeight="1">
      <c r="A523" t="inlineStr">
        <is>
          <t>A 15952-2021</t>
        </is>
      </c>
      <c r="B523" s="1" t="n">
        <v>44286</v>
      </c>
      <c r="C523" s="1" t="n">
        <v>46032</v>
      </c>
      <c r="D523" t="inlineStr">
        <is>
          <t>DALARNAS LÄN</t>
        </is>
      </c>
      <c r="E523" t="inlineStr">
        <is>
          <t>ÄLVDALEN</t>
        </is>
      </c>
      <c r="F523" t="inlineStr">
        <is>
          <t>Övriga statliga verk och myndigheter</t>
        </is>
      </c>
      <c r="G523" t="n">
        <v>6.6</v>
      </c>
      <c r="H523" t="n">
        <v>0</v>
      </c>
      <c r="I523" t="n">
        <v>0</v>
      </c>
      <c r="J523" t="n">
        <v>0</v>
      </c>
      <c r="K523" t="n">
        <v>0</v>
      </c>
      <c r="L523" t="n">
        <v>0</v>
      </c>
      <c r="M523" t="n">
        <v>0</v>
      </c>
      <c r="N523" t="n">
        <v>0</v>
      </c>
      <c r="O523" t="n">
        <v>0</v>
      </c>
      <c r="P523" t="n">
        <v>0</v>
      </c>
      <c r="Q523" t="n">
        <v>0</v>
      </c>
      <c r="R523" s="2" t="inlineStr"/>
    </row>
    <row r="524" ht="15" customHeight="1">
      <c r="A524" t="inlineStr">
        <is>
          <t>A 59207-2022</t>
        </is>
      </c>
      <c r="B524" s="1" t="n">
        <v>44904</v>
      </c>
      <c r="C524" s="1" t="n">
        <v>46032</v>
      </c>
      <c r="D524" t="inlineStr">
        <is>
          <t>DALARNAS LÄN</t>
        </is>
      </c>
      <c r="E524" t="inlineStr">
        <is>
          <t>ÄLVDALEN</t>
        </is>
      </c>
      <c r="G524" t="n">
        <v>4.7</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46032</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9045-2025</t>
        </is>
      </c>
      <c r="B526" s="1" t="n">
        <v>45713.62837962963</v>
      </c>
      <c r="C526" s="1" t="n">
        <v>46032</v>
      </c>
      <c r="D526" t="inlineStr">
        <is>
          <t>DALARNAS LÄN</t>
        </is>
      </c>
      <c r="E526" t="inlineStr">
        <is>
          <t>ÄLVDALEN</t>
        </is>
      </c>
      <c r="F526" t="inlineStr">
        <is>
          <t>Allmännings- och besparingsskogar</t>
        </is>
      </c>
      <c r="G526" t="n">
        <v>39.1</v>
      </c>
      <c r="H526" t="n">
        <v>0</v>
      </c>
      <c r="I526" t="n">
        <v>0</v>
      </c>
      <c r="J526" t="n">
        <v>0</v>
      </c>
      <c r="K526" t="n">
        <v>0</v>
      </c>
      <c r="L526" t="n">
        <v>0</v>
      </c>
      <c r="M526" t="n">
        <v>0</v>
      </c>
      <c r="N526" t="n">
        <v>0</v>
      </c>
      <c r="O526" t="n">
        <v>0</v>
      </c>
      <c r="P526" t="n">
        <v>0</v>
      </c>
      <c r="Q526" t="n">
        <v>0</v>
      </c>
      <c r="R526" s="2" t="inlineStr"/>
    </row>
    <row r="527" ht="15" customHeight="1">
      <c r="A527" t="inlineStr">
        <is>
          <t>A 48954-2023</t>
        </is>
      </c>
      <c r="B527" s="1" t="n">
        <v>45209.58488425926</v>
      </c>
      <c r="C527" s="1" t="n">
        <v>46032</v>
      </c>
      <c r="D527" t="inlineStr">
        <is>
          <t>DALARNAS LÄN</t>
        </is>
      </c>
      <c r="E527" t="inlineStr">
        <is>
          <t>ÄLVDALEN</t>
        </is>
      </c>
      <c r="G527" t="n">
        <v>7</v>
      </c>
      <c r="H527" t="n">
        <v>0</v>
      </c>
      <c r="I527" t="n">
        <v>0</v>
      </c>
      <c r="J527" t="n">
        <v>0</v>
      </c>
      <c r="K527" t="n">
        <v>0</v>
      </c>
      <c r="L527" t="n">
        <v>0</v>
      </c>
      <c r="M527" t="n">
        <v>0</v>
      </c>
      <c r="N527" t="n">
        <v>0</v>
      </c>
      <c r="O527" t="n">
        <v>0</v>
      </c>
      <c r="P527" t="n">
        <v>0</v>
      </c>
      <c r="Q527" t="n">
        <v>0</v>
      </c>
      <c r="R527" s="2" t="inlineStr"/>
    </row>
    <row r="528" ht="15" customHeight="1">
      <c r="A528" t="inlineStr">
        <is>
          <t>A 583-2026</t>
        </is>
      </c>
      <c r="B528" s="1" t="n">
        <v>46029.48274305555</v>
      </c>
      <c r="C528" s="1" t="n">
        <v>46032</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58739-2025</t>
        </is>
      </c>
      <c r="B529" s="1" t="n">
        <v>45986.63236111111</v>
      </c>
      <c r="C529" s="1" t="n">
        <v>46032</v>
      </c>
      <c r="D529" t="inlineStr">
        <is>
          <t>DALARNAS LÄN</t>
        </is>
      </c>
      <c r="E529" t="inlineStr">
        <is>
          <t>ÄLVDALEN</t>
        </is>
      </c>
      <c r="F529" t="inlineStr">
        <is>
          <t>Övriga statliga verk och myndigheter</t>
        </is>
      </c>
      <c r="G529" t="n">
        <v>0.5</v>
      </c>
      <c r="H529" t="n">
        <v>0</v>
      </c>
      <c r="I529" t="n">
        <v>0</v>
      </c>
      <c r="J529" t="n">
        <v>0</v>
      </c>
      <c r="K529" t="n">
        <v>0</v>
      </c>
      <c r="L529" t="n">
        <v>0</v>
      </c>
      <c r="M529" t="n">
        <v>0</v>
      </c>
      <c r="N529" t="n">
        <v>0</v>
      </c>
      <c r="O529" t="n">
        <v>0</v>
      </c>
      <c r="P529" t="n">
        <v>0</v>
      </c>
      <c r="Q529" t="n">
        <v>0</v>
      </c>
      <c r="R529" s="2" t="inlineStr"/>
    </row>
    <row r="530" ht="15" customHeight="1">
      <c r="A530" t="inlineStr">
        <is>
          <t>A 575-2026</t>
        </is>
      </c>
      <c r="B530" s="1" t="n">
        <v>46029.47552083333</v>
      </c>
      <c r="C530" s="1" t="n">
        <v>46032</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588-2026</t>
        </is>
      </c>
      <c r="B531" s="1" t="n">
        <v>46029.4896875</v>
      </c>
      <c r="C531" s="1" t="n">
        <v>46032</v>
      </c>
      <c r="D531" t="inlineStr">
        <is>
          <t>DALARNAS LÄN</t>
        </is>
      </c>
      <c r="E531" t="inlineStr">
        <is>
          <t>ÄLVDALEN</t>
        </is>
      </c>
      <c r="G531" t="n">
        <v>0.6</v>
      </c>
      <c r="H531" t="n">
        <v>0</v>
      </c>
      <c r="I531" t="n">
        <v>0</v>
      </c>
      <c r="J531" t="n">
        <v>0</v>
      </c>
      <c r="K531" t="n">
        <v>0</v>
      </c>
      <c r="L531" t="n">
        <v>0</v>
      </c>
      <c r="M531" t="n">
        <v>0</v>
      </c>
      <c r="N531" t="n">
        <v>0</v>
      </c>
      <c r="O531" t="n">
        <v>0</v>
      </c>
      <c r="P531" t="n">
        <v>0</v>
      </c>
      <c r="Q531" t="n">
        <v>0</v>
      </c>
      <c r="R531" s="2" t="inlineStr"/>
    </row>
    <row r="532" ht="15" customHeight="1">
      <c r="A532" t="inlineStr">
        <is>
          <t>A 59591-2025</t>
        </is>
      </c>
      <c r="B532" s="1" t="n">
        <v>45992</v>
      </c>
      <c r="C532" s="1" t="n">
        <v>46032</v>
      </c>
      <c r="D532" t="inlineStr">
        <is>
          <t>DALARNAS LÄN</t>
        </is>
      </c>
      <c r="E532" t="inlineStr">
        <is>
          <t>ÄLVDALEN</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34835-2023</t>
        </is>
      </c>
      <c r="B533" s="1" t="n">
        <v>45141</v>
      </c>
      <c r="C533" s="1" t="n">
        <v>46032</v>
      </c>
      <c r="D533" t="inlineStr">
        <is>
          <t>DALARNAS LÄN</t>
        </is>
      </c>
      <c r="E533" t="inlineStr">
        <is>
          <t>ÄLVDALEN</t>
        </is>
      </c>
      <c r="G533" t="n">
        <v>3.4</v>
      </c>
      <c r="H533" t="n">
        <v>0</v>
      </c>
      <c r="I533" t="n">
        <v>0</v>
      </c>
      <c r="J533" t="n">
        <v>0</v>
      </c>
      <c r="K533" t="n">
        <v>0</v>
      </c>
      <c r="L533" t="n">
        <v>0</v>
      </c>
      <c r="M533" t="n">
        <v>0</v>
      </c>
      <c r="N533" t="n">
        <v>0</v>
      </c>
      <c r="O533" t="n">
        <v>0</v>
      </c>
      <c r="P533" t="n">
        <v>0</v>
      </c>
      <c r="Q533" t="n">
        <v>0</v>
      </c>
      <c r="R533" s="2" t="inlineStr"/>
    </row>
    <row r="534" ht="15" customHeight="1">
      <c r="A534" t="inlineStr">
        <is>
          <t>A 1159-2026</t>
        </is>
      </c>
      <c r="B534" s="1" t="n">
        <v>46031.32924768519</v>
      </c>
      <c r="C534" s="1" t="n">
        <v>46032</v>
      </c>
      <c r="D534" t="inlineStr">
        <is>
          <t>DALARNAS LÄN</t>
        </is>
      </c>
      <c r="E534" t="inlineStr">
        <is>
          <t>ÄLVDALEN</t>
        </is>
      </c>
      <c r="F534" t="inlineStr">
        <is>
          <t>Allmännings- och besparingsskogar</t>
        </is>
      </c>
      <c r="G534" t="n">
        <v>33.9</v>
      </c>
      <c r="H534" t="n">
        <v>0</v>
      </c>
      <c r="I534" t="n">
        <v>0</v>
      </c>
      <c r="J534" t="n">
        <v>0</v>
      </c>
      <c r="K534" t="n">
        <v>0</v>
      </c>
      <c r="L534" t="n">
        <v>0</v>
      </c>
      <c r="M534" t="n">
        <v>0</v>
      </c>
      <c r="N534" t="n">
        <v>0</v>
      </c>
      <c r="O534" t="n">
        <v>0</v>
      </c>
      <c r="P534" t="n">
        <v>0</v>
      </c>
      <c r="Q534" t="n">
        <v>0</v>
      </c>
      <c r="R534" s="2" t="inlineStr"/>
    </row>
    <row r="535" ht="15" customHeight="1">
      <c r="A535" t="inlineStr">
        <is>
          <t>A 45245-2022</t>
        </is>
      </c>
      <c r="B535" s="1" t="n">
        <v>44844.48002314815</v>
      </c>
      <c r="C535" s="1" t="n">
        <v>46032</v>
      </c>
      <c r="D535" t="inlineStr">
        <is>
          <t>DALARNAS LÄN</t>
        </is>
      </c>
      <c r="E535" t="inlineStr">
        <is>
          <t>ÄLVDALEN</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8192-2025</t>
        </is>
      </c>
      <c r="B536" s="1" t="n">
        <v>45708.41151620371</v>
      </c>
      <c r="C536" s="1" t="n">
        <v>46032</v>
      </c>
      <c r="D536" t="inlineStr">
        <is>
          <t>DALARNAS LÄN</t>
        </is>
      </c>
      <c r="E536" t="inlineStr">
        <is>
          <t>ÄLVDALEN</t>
        </is>
      </c>
      <c r="F536" t="inlineStr">
        <is>
          <t>Allmännings- och besparingsskogar</t>
        </is>
      </c>
      <c r="G536" t="n">
        <v>15.1</v>
      </c>
      <c r="H536" t="n">
        <v>0</v>
      </c>
      <c r="I536" t="n">
        <v>0</v>
      </c>
      <c r="J536" t="n">
        <v>0</v>
      </c>
      <c r="K536" t="n">
        <v>0</v>
      </c>
      <c r="L536" t="n">
        <v>0</v>
      </c>
      <c r="M536" t="n">
        <v>0</v>
      </c>
      <c r="N536" t="n">
        <v>0</v>
      </c>
      <c r="O536" t="n">
        <v>0</v>
      </c>
      <c r="P536" t="n">
        <v>0</v>
      </c>
      <c r="Q536" t="n">
        <v>0</v>
      </c>
      <c r="R536" s="2" t="inlineStr"/>
    </row>
    <row r="537" ht="15" customHeight="1">
      <c r="A537" t="inlineStr">
        <is>
          <t>A 31857-2023</t>
        </is>
      </c>
      <c r="B537" s="1" t="n">
        <v>45106</v>
      </c>
      <c r="C537" s="1" t="n">
        <v>46032</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431-2023</t>
        </is>
      </c>
      <c r="B538" s="1" t="n">
        <v>44923</v>
      </c>
      <c r="C538" s="1" t="n">
        <v>46032</v>
      </c>
      <c r="D538" t="inlineStr">
        <is>
          <t>DALARNAS LÄN</t>
        </is>
      </c>
      <c r="E538" t="inlineStr">
        <is>
          <t>ÄLVDALEN</t>
        </is>
      </c>
      <c r="G538" t="n">
        <v>2.9</v>
      </c>
      <c r="H538" t="n">
        <v>0</v>
      </c>
      <c r="I538" t="n">
        <v>0</v>
      </c>
      <c r="J538" t="n">
        <v>0</v>
      </c>
      <c r="K538" t="n">
        <v>0</v>
      </c>
      <c r="L538" t="n">
        <v>0</v>
      </c>
      <c r="M538" t="n">
        <v>0</v>
      </c>
      <c r="N538" t="n">
        <v>0</v>
      </c>
      <c r="O538" t="n">
        <v>0</v>
      </c>
      <c r="P538" t="n">
        <v>0</v>
      </c>
      <c r="Q538" t="n">
        <v>0</v>
      </c>
      <c r="R538" s="2" t="inlineStr"/>
    </row>
    <row r="539" ht="15" customHeight="1">
      <c r="A539" t="inlineStr">
        <is>
          <t>A 140-2026</t>
        </is>
      </c>
      <c r="B539" s="1" t="n">
        <v>46024</v>
      </c>
      <c r="C539" s="1" t="n">
        <v>46032</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59250-2025</t>
        </is>
      </c>
      <c r="B540" s="1" t="n">
        <v>45988.65004629629</v>
      </c>
      <c r="C540" s="1" t="n">
        <v>46032</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58848-2022</t>
        </is>
      </c>
      <c r="B541" s="1" t="n">
        <v>44896</v>
      </c>
      <c r="C541" s="1" t="n">
        <v>46032</v>
      </c>
      <c r="D541" t="inlineStr">
        <is>
          <t>DALARNAS LÄN</t>
        </is>
      </c>
      <c r="E541" t="inlineStr">
        <is>
          <t>ÄLVDALEN</t>
        </is>
      </c>
      <c r="F541" t="inlineStr">
        <is>
          <t>Övriga statliga verk och myndigheter</t>
        </is>
      </c>
      <c r="G541" t="n">
        <v>18.1</v>
      </c>
      <c r="H541" t="n">
        <v>0</v>
      </c>
      <c r="I541" t="n">
        <v>0</v>
      </c>
      <c r="J541" t="n">
        <v>0</v>
      </c>
      <c r="K541" t="n">
        <v>0</v>
      </c>
      <c r="L541" t="n">
        <v>0</v>
      </c>
      <c r="M541" t="n">
        <v>0</v>
      </c>
      <c r="N541" t="n">
        <v>0</v>
      </c>
      <c r="O541" t="n">
        <v>0</v>
      </c>
      <c r="P541" t="n">
        <v>0</v>
      </c>
      <c r="Q541" t="n">
        <v>0</v>
      </c>
      <c r="R541" s="2" t="inlineStr"/>
    </row>
    <row r="542" ht="15" customHeight="1">
      <c r="A542" t="inlineStr">
        <is>
          <t>A 23570-2023</t>
        </is>
      </c>
      <c r="B542" s="1" t="n">
        <v>45077</v>
      </c>
      <c r="C542" s="1" t="n">
        <v>46032</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1011-2026</t>
        </is>
      </c>
      <c r="B543" s="1" t="n">
        <v>46030.60111111111</v>
      </c>
      <c r="C543" s="1" t="n">
        <v>46032</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59234-2025</t>
        </is>
      </c>
      <c r="B544" s="1" t="n">
        <v>45988.62946759259</v>
      </c>
      <c r="C544" s="1" t="n">
        <v>46032</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1138-2026</t>
        </is>
      </c>
      <c r="B545" s="1" t="n">
        <v>46030.78804398148</v>
      </c>
      <c r="C545" s="1" t="n">
        <v>46032</v>
      </c>
      <c r="D545" t="inlineStr">
        <is>
          <t>DALARNAS LÄN</t>
        </is>
      </c>
      <c r="E545" t="inlineStr">
        <is>
          <t>ÄLVDALEN</t>
        </is>
      </c>
      <c r="G545" t="n">
        <v>2.6</v>
      </c>
      <c r="H545" t="n">
        <v>0</v>
      </c>
      <c r="I545" t="n">
        <v>0</v>
      </c>
      <c r="J545" t="n">
        <v>0</v>
      </c>
      <c r="K545" t="n">
        <v>0</v>
      </c>
      <c r="L545" t="n">
        <v>0</v>
      </c>
      <c r="M545" t="n">
        <v>0</v>
      </c>
      <c r="N545" t="n">
        <v>0</v>
      </c>
      <c r="O545" t="n">
        <v>0</v>
      </c>
      <c r="P545" t="n">
        <v>0</v>
      </c>
      <c r="Q545" t="n">
        <v>0</v>
      </c>
      <c r="R545" s="2" t="inlineStr"/>
    </row>
    <row r="546" ht="15" customHeight="1">
      <c r="A546" t="inlineStr">
        <is>
          <t>A 59256-2025</t>
        </is>
      </c>
      <c r="B546" s="1" t="n">
        <v>45988.65612268518</v>
      </c>
      <c r="C546" s="1" t="n">
        <v>46032</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17346-2022</t>
        </is>
      </c>
      <c r="B547" s="1" t="n">
        <v>44678.56600694444</v>
      </c>
      <c r="C547" s="1" t="n">
        <v>46032</v>
      </c>
      <c r="D547" t="inlineStr">
        <is>
          <t>DALARNAS LÄN</t>
        </is>
      </c>
      <c r="E547" t="inlineStr">
        <is>
          <t>ÄLVDALEN</t>
        </is>
      </c>
      <c r="G547" t="n">
        <v>4.4</v>
      </c>
      <c r="H547" t="n">
        <v>0</v>
      </c>
      <c r="I547" t="n">
        <v>0</v>
      </c>
      <c r="J547" t="n">
        <v>0</v>
      </c>
      <c r="K547" t="n">
        <v>0</v>
      </c>
      <c r="L547" t="n">
        <v>0</v>
      </c>
      <c r="M547" t="n">
        <v>0</v>
      </c>
      <c r="N547" t="n">
        <v>0</v>
      </c>
      <c r="O547" t="n">
        <v>0</v>
      </c>
      <c r="P547" t="n">
        <v>0</v>
      </c>
      <c r="Q547" t="n">
        <v>0</v>
      </c>
      <c r="R547" s="2" t="inlineStr"/>
    </row>
    <row r="548" ht="15" customHeight="1">
      <c r="A548" t="inlineStr">
        <is>
          <t>A 19761-2021</t>
        </is>
      </c>
      <c r="B548" s="1" t="n">
        <v>44309</v>
      </c>
      <c r="C548" s="1" t="n">
        <v>46032</v>
      </c>
      <c r="D548" t="inlineStr">
        <is>
          <t>DALARNAS LÄN</t>
        </is>
      </c>
      <c r="E548" t="inlineStr">
        <is>
          <t>ÄLVDALEN</t>
        </is>
      </c>
      <c r="G548" t="n">
        <v>4.3</v>
      </c>
      <c r="H548" t="n">
        <v>0</v>
      </c>
      <c r="I548" t="n">
        <v>0</v>
      </c>
      <c r="J548" t="n">
        <v>0</v>
      </c>
      <c r="K548" t="n">
        <v>0</v>
      </c>
      <c r="L548" t="n">
        <v>0</v>
      </c>
      <c r="M548" t="n">
        <v>0</v>
      </c>
      <c r="N548" t="n">
        <v>0</v>
      </c>
      <c r="O548" t="n">
        <v>0</v>
      </c>
      <c r="P548" t="n">
        <v>0</v>
      </c>
      <c r="Q548" t="n">
        <v>0</v>
      </c>
      <c r="R548" s="2" t="inlineStr"/>
    </row>
    <row r="549" ht="15" customHeight="1">
      <c r="A549" t="inlineStr">
        <is>
          <t>A 23369-2023</t>
        </is>
      </c>
      <c r="B549" s="1" t="n">
        <v>45076</v>
      </c>
      <c r="C549" s="1" t="n">
        <v>46032</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29819-2024</t>
        </is>
      </c>
      <c r="B550" s="1" t="n">
        <v>45485.55760416666</v>
      </c>
      <c r="C550" s="1" t="n">
        <v>46032</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8146-2025</t>
        </is>
      </c>
      <c r="B551" s="1" t="n">
        <v>45708.30415509259</v>
      </c>
      <c r="C551" s="1" t="n">
        <v>46032</v>
      </c>
      <c r="D551" t="inlineStr">
        <is>
          <t>DALARNAS LÄN</t>
        </is>
      </c>
      <c r="E551" t="inlineStr">
        <is>
          <t>ÄLVDALEN</t>
        </is>
      </c>
      <c r="F551" t="inlineStr">
        <is>
          <t>Allmännings- och besparingsskogar</t>
        </is>
      </c>
      <c r="G551" t="n">
        <v>1</v>
      </c>
      <c r="H551" t="n">
        <v>0</v>
      </c>
      <c r="I551" t="n">
        <v>0</v>
      </c>
      <c r="J551" t="n">
        <v>0</v>
      </c>
      <c r="K551" t="n">
        <v>0</v>
      </c>
      <c r="L551" t="n">
        <v>0</v>
      </c>
      <c r="M551" t="n">
        <v>0</v>
      </c>
      <c r="N551" t="n">
        <v>0</v>
      </c>
      <c r="O551" t="n">
        <v>0</v>
      </c>
      <c r="P551" t="n">
        <v>0</v>
      </c>
      <c r="Q551" t="n">
        <v>0</v>
      </c>
      <c r="R551" s="2" t="inlineStr"/>
    </row>
    <row r="552" ht="15" customHeight="1">
      <c r="A552" t="inlineStr">
        <is>
          <t>A 57467-2023</t>
        </is>
      </c>
      <c r="B552" s="1" t="n">
        <v>45246.36751157408</v>
      </c>
      <c r="C552" s="1" t="n">
        <v>46032</v>
      </c>
      <c r="D552" t="inlineStr">
        <is>
          <t>DALARNAS LÄN</t>
        </is>
      </c>
      <c r="E552" t="inlineStr">
        <is>
          <t>ÄLVDALEN</t>
        </is>
      </c>
      <c r="G552" t="n">
        <v>0.2</v>
      </c>
      <c r="H552" t="n">
        <v>0</v>
      </c>
      <c r="I552" t="n">
        <v>0</v>
      </c>
      <c r="J552" t="n">
        <v>0</v>
      </c>
      <c r="K552" t="n">
        <v>0</v>
      </c>
      <c r="L552" t="n">
        <v>0</v>
      </c>
      <c r="M552" t="n">
        <v>0</v>
      </c>
      <c r="N552" t="n">
        <v>0</v>
      </c>
      <c r="O552" t="n">
        <v>0</v>
      </c>
      <c r="P552" t="n">
        <v>0</v>
      </c>
      <c r="Q552" t="n">
        <v>0</v>
      </c>
      <c r="R552" s="2" t="inlineStr"/>
    </row>
    <row r="553" ht="15" customHeight="1">
      <c r="A553" t="inlineStr">
        <is>
          <t>A 32838-2023</t>
        </is>
      </c>
      <c r="B553" s="1" t="n">
        <v>45124</v>
      </c>
      <c r="C553" s="1" t="n">
        <v>46032</v>
      </c>
      <c r="D553" t="inlineStr">
        <is>
          <t>DALARNAS LÄN</t>
        </is>
      </c>
      <c r="E553" t="inlineStr">
        <is>
          <t>ÄLVDALEN</t>
        </is>
      </c>
      <c r="G553" t="n">
        <v>3.7</v>
      </c>
      <c r="H553" t="n">
        <v>0</v>
      </c>
      <c r="I553" t="n">
        <v>0</v>
      </c>
      <c r="J553" t="n">
        <v>0</v>
      </c>
      <c r="K553" t="n">
        <v>0</v>
      </c>
      <c r="L553" t="n">
        <v>0</v>
      </c>
      <c r="M553" t="n">
        <v>0</v>
      </c>
      <c r="N553" t="n">
        <v>0</v>
      </c>
      <c r="O553" t="n">
        <v>0</v>
      </c>
      <c r="P553" t="n">
        <v>0</v>
      </c>
      <c r="Q553" t="n">
        <v>0</v>
      </c>
      <c r="R553" s="2" t="inlineStr"/>
    </row>
    <row r="554" ht="15" customHeight="1">
      <c r="A554" t="inlineStr">
        <is>
          <t>A 48849-2022</t>
        </is>
      </c>
      <c r="B554" s="1" t="n">
        <v>44859</v>
      </c>
      <c r="C554" s="1" t="n">
        <v>46032</v>
      </c>
      <c r="D554" t="inlineStr">
        <is>
          <t>DALARNAS LÄN</t>
        </is>
      </c>
      <c r="E554" t="inlineStr">
        <is>
          <t>ÄLVDALEN</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15760-2024</t>
        </is>
      </c>
      <c r="B555" s="1" t="n">
        <v>45404</v>
      </c>
      <c r="C555" s="1" t="n">
        <v>46032</v>
      </c>
      <c r="D555" t="inlineStr">
        <is>
          <t>DALARNAS LÄN</t>
        </is>
      </c>
      <c r="E555" t="inlineStr">
        <is>
          <t>ÄLVDALEN</t>
        </is>
      </c>
      <c r="G555" t="n">
        <v>1.9</v>
      </c>
      <c r="H555" t="n">
        <v>0</v>
      </c>
      <c r="I555" t="n">
        <v>0</v>
      </c>
      <c r="J555" t="n">
        <v>0</v>
      </c>
      <c r="K555" t="n">
        <v>0</v>
      </c>
      <c r="L555" t="n">
        <v>0</v>
      </c>
      <c r="M555" t="n">
        <v>0</v>
      </c>
      <c r="N555" t="n">
        <v>0</v>
      </c>
      <c r="O555" t="n">
        <v>0</v>
      </c>
      <c r="P555" t="n">
        <v>0</v>
      </c>
      <c r="Q555" t="n">
        <v>0</v>
      </c>
      <c r="R555" s="2" t="inlineStr"/>
    </row>
    <row r="556" ht="15" customHeight="1">
      <c r="A556" t="inlineStr">
        <is>
          <t>A 39227-2024</t>
        </is>
      </c>
      <c r="B556" s="1" t="n">
        <v>45550.50548611111</v>
      </c>
      <c r="C556" s="1" t="n">
        <v>46032</v>
      </c>
      <c r="D556" t="inlineStr">
        <is>
          <t>DALARNAS LÄN</t>
        </is>
      </c>
      <c r="E556" t="inlineStr">
        <is>
          <t>ÄLVDALEN</t>
        </is>
      </c>
      <c r="G556" t="n">
        <v>0.2</v>
      </c>
      <c r="H556" t="n">
        <v>0</v>
      </c>
      <c r="I556" t="n">
        <v>0</v>
      </c>
      <c r="J556" t="n">
        <v>0</v>
      </c>
      <c r="K556" t="n">
        <v>0</v>
      </c>
      <c r="L556" t="n">
        <v>0</v>
      </c>
      <c r="M556" t="n">
        <v>0</v>
      </c>
      <c r="N556" t="n">
        <v>0</v>
      </c>
      <c r="O556" t="n">
        <v>0</v>
      </c>
      <c r="P556" t="n">
        <v>0</v>
      </c>
      <c r="Q556" t="n">
        <v>0</v>
      </c>
      <c r="R556" s="2" t="inlineStr"/>
    </row>
    <row r="557" ht="15" customHeight="1">
      <c r="A557" t="inlineStr">
        <is>
          <t>A 54076-2024</t>
        </is>
      </c>
      <c r="B557" s="1" t="n">
        <v>45616</v>
      </c>
      <c r="C557" s="1" t="n">
        <v>46032</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7164-2021</t>
        </is>
      </c>
      <c r="B558" s="1" t="n">
        <v>44238</v>
      </c>
      <c r="C558" s="1" t="n">
        <v>46032</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39010-2024</t>
        </is>
      </c>
      <c r="B559" s="1" t="n">
        <v>45548</v>
      </c>
      <c r="C559" s="1" t="n">
        <v>46032</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74322-2021</t>
        </is>
      </c>
      <c r="B560" s="1" t="n">
        <v>44558</v>
      </c>
      <c r="C560" s="1" t="n">
        <v>46032</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60265-2021</t>
        </is>
      </c>
      <c r="B561" s="1" t="n">
        <v>44495.68053240741</v>
      </c>
      <c r="C561" s="1" t="n">
        <v>46032</v>
      </c>
      <c r="D561" t="inlineStr">
        <is>
          <t>DALARNAS LÄN</t>
        </is>
      </c>
      <c r="E561" t="inlineStr">
        <is>
          <t>ÄLVDALEN</t>
        </is>
      </c>
      <c r="F561" t="inlineStr">
        <is>
          <t>Allmännings- och besparingsskogar</t>
        </is>
      </c>
      <c r="G561" t="n">
        <v>10</v>
      </c>
      <c r="H561" t="n">
        <v>0</v>
      </c>
      <c r="I561" t="n">
        <v>0</v>
      </c>
      <c r="J561" t="n">
        <v>0</v>
      </c>
      <c r="K561" t="n">
        <v>0</v>
      </c>
      <c r="L561" t="n">
        <v>0</v>
      </c>
      <c r="M561" t="n">
        <v>0</v>
      </c>
      <c r="N561" t="n">
        <v>0</v>
      </c>
      <c r="O561" t="n">
        <v>0</v>
      </c>
      <c r="P561" t="n">
        <v>0</v>
      </c>
      <c r="Q561" t="n">
        <v>0</v>
      </c>
      <c r="R561" s="2" t="inlineStr"/>
    </row>
    <row r="562" ht="15" customHeight="1">
      <c r="A562" t="inlineStr">
        <is>
          <t>A 14089-2022</t>
        </is>
      </c>
      <c r="B562" s="1" t="n">
        <v>44651</v>
      </c>
      <c r="C562" s="1" t="n">
        <v>46032</v>
      </c>
      <c r="D562" t="inlineStr">
        <is>
          <t>DALARNAS LÄN</t>
        </is>
      </c>
      <c r="E562" t="inlineStr">
        <is>
          <t>ÄLVDALEN</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46011-2023</t>
        </is>
      </c>
      <c r="B563" s="1" t="n">
        <v>45196.38245370371</v>
      </c>
      <c r="C563" s="1" t="n">
        <v>46032</v>
      </c>
      <c r="D563" t="inlineStr">
        <is>
          <t>DALARNAS LÄN</t>
        </is>
      </c>
      <c r="E563" t="inlineStr">
        <is>
          <t>ÄLVDALEN</t>
        </is>
      </c>
      <c r="F563" t="inlineStr">
        <is>
          <t>Bergvik skog väst AB</t>
        </is>
      </c>
      <c r="G563" t="n">
        <v>2</v>
      </c>
      <c r="H563" t="n">
        <v>0</v>
      </c>
      <c r="I563" t="n">
        <v>0</v>
      </c>
      <c r="J563" t="n">
        <v>0</v>
      </c>
      <c r="K563" t="n">
        <v>0</v>
      </c>
      <c r="L563" t="n">
        <v>0</v>
      </c>
      <c r="M563" t="n">
        <v>0</v>
      </c>
      <c r="N563" t="n">
        <v>0</v>
      </c>
      <c r="O563" t="n">
        <v>0</v>
      </c>
      <c r="P563" t="n">
        <v>0</v>
      </c>
      <c r="Q563" t="n">
        <v>0</v>
      </c>
      <c r="R563" s="2" t="inlineStr"/>
    </row>
    <row r="564" ht="15" customHeight="1">
      <c r="A564" t="inlineStr">
        <is>
          <t>A 23999-2024</t>
        </is>
      </c>
      <c r="B564" s="1" t="n">
        <v>45456.37555555555</v>
      </c>
      <c r="C564" s="1" t="n">
        <v>46032</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24002-2024</t>
        </is>
      </c>
      <c r="B565" s="1" t="n">
        <v>45456.3827662037</v>
      </c>
      <c r="C565" s="1" t="n">
        <v>46032</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4380-2024</t>
        </is>
      </c>
      <c r="B566" s="1" t="n">
        <v>45327</v>
      </c>
      <c r="C566" s="1" t="n">
        <v>46032</v>
      </c>
      <c r="D566" t="inlineStr">
        <is>
          <t>DALARNAS LÄN</t>
        </is>
      </c>
      <c r="E566" t="inlineStr">
        <is>
          <t>ÄLVDALEN</t>
        </is>
      </c>
      <c r="G566" t="n">
        <v>6.3</v>
      </c>
      <c r="H566" t="n">
        <v>0</v>
      </c>
      <c r="I566" t="n">
        <v>0</v>
      </c>
      <c r="J566" t="n">
        <v>0</v>
      </c>
      <c r="K566" t="n">
        <v>0</v>
      </c>
      <c r="L566" t="n">
        <v>0</v>
      </c>
      <c r="M566" t="n">
        <v>0</v>
      </c>
      <c r="N566" t="n">
        <v>0</v>
      </c>
      <c r="O566" t="n">
        <v>0</v>
      </c>
      <c r="P566" t="n">
        <v>0</v>
      </c>
      <c r="Q566" t="n">
        <v>0</v>
      </c>
      <c r="R566" s="2" t="inlineStr"/>
    </row>
    <row r="567" ht="15" customHeight="1">
      <c r="A567" t="inlineStr">
        <is>
          <t>A 30225-2023</t>
        </is>
      </c>
      <c r="B567" s="1" t="n">
        <v>45110.64971064815</v>
      </c>
      <c r="C567" s="1" t="n">
        <v>46032</v>
      </c>
      <c r="D567" t="inlineStr">
        <is>
          <t>DALARNAS LÄN</t>
        </is>
      </c>
      <c r="E567" t="inlineStr">
        <is>
          <t>ÄLVDALEN</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22847-2023</t>
        </is>
      </c>
      <c r="B568" s="1" t="n">
        <v>45072</v>
      </c>
      <c r="C568" s="1" t="n">
        <v>46032</v>
      </c>
      <c r="D568" t="inlineStr">
        <is>
          <t>DALARNAS LÄN</t>
        </is>
      </c>
      <c r="E568" t="inlineStr">
        <is>
          <t>ÄLVDALEN</t>
        </is>
      </c>
      <c r="F568" t="inlineStr">
        <is>
          <t>Bergvik skog väst AB</t>
        </is>
      </c>
      <c r="G568" t="n">
        <v>8.1</v>
      </c>
      <c r="H568" t="n">
        <v>0</v>
      </c>
      <c r="I568" t="n">
        <v>0</v>
      </c>
      <c r="J568" t="n">
        <v>0</v>
      </c>
      <c r="K568" t="n">
        <v>0</v>
      </c>
      <c r="L568" t="n">
        <v>0</v>
      </c>
      <c r="M568" t="n">
        <v>0</v>
      </c>
      <c r="N568" t="n">
        <v>0</v>
      </c>
      <c r="O568" t="n">
        <v>0</v>
      </c>
      <c r="P568" t="n">
        <v>0</v>
      </c>
      <c r="Q568" t="n">
        <v>0</v>
      </c>
      <c r="R568" s="2" t="inlineStr"/>
    </row>
    <row r="569" ht="15" customHeight="1">
      <c r="A569" t="inlineStr">
        <is>
          <t>A 59478-2024</t>
        </is>
      </c>
      <c r="B569" s="1" t="n">
        <v>45638.52181712963</v>
      </c>
      <c r="C569" s="1" t="n">
        <v>46032</v>
      </c>
      <c r="D569" t="inlineStr">
        <is>
          <t>DALARNAS LÄN</t>
        </is>
      </c>
      <c r="E569" t="inlineStr">
        <is>
          <t>ÄLVDALEN</t>
        </is>
      </c>
      <c r="F569" t="inlineStr">
        <is>
          <t>Allmännings- och besparingsskogar</t>
        </is>
      </c>
      <c r="G569" t="n">
        <v>6.9</v>
      </c>
      <c r="H569" t="n">
        <v>0</v>
      </c>
      <c r="I569" t="n">
        <v>0</v>
      </c>
      <c r="J569" t="n">
        <v>0</v>
      </c>
      <c r="K569" t="n">
        <v>0</v>
      </c>
      <c r="L569" t="n">
        <v>0</v>
      </c>
      <c r="M569" t="n">
        <v>0</v>
      </c>
      <c r="N569" t="n">
        <v>0</v>
      </c>
      <c r="O569" t="n">
        <v>0</v>
      </c>
      <c r="P569" t="n">
        <v>0</v>
      </c>
      <c r="Q569" t="n">
        <v>0</v>
      </c>
      <c r="R569" s="2" t="inlineStr"/>
    </row>
    <row r="570" ht="15" customHeight="1">
      <c r="A570" t="inlineStr">
        <is>
          <t>A 771-2025</t>
        </is>
      </c>
      <c r="B570" s="1" t="n">
        <v>45665.46518518519</v>
      </c>
      <c r="C570" s="1" t="n">
        <v>46032</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6791-2025</t>
        </is>
      </c>
      <c r="B571" s="1" t="n">
        <v>45700.66315972222</v>
      </c>
      <c r="C571" s="1" t="n">
        <v>46032</v>
      </c>
      <c r="D571" t="inlineStr">
        <is>
          <t>DALARNAS LÄN</t>
        </is>
      </c>
      <c r="E571" t="inlineStr">
        <is>
          <t>ÄLVDALEN</t>
        </is>
      </c>
      <c r="G571" t="n">
        <v>30.2</v>
      </c>
      <c r="H571" t="n">
        <v>0</v>
      </c>
      <c r="I571" t="n">
        <v>0</v>
      </c>
      <c r="J571" t="n">
        <v>0</v>
      </c>
      <c r="K571" t="n">
        <v>0</v>
      </c>
      <c r="L571" t="n">
        <v>0</v>
      </c>
      <c r="M571" t="n">
        <v>0</v>
      </c>
      <c r="N571" t="n">
        <v>0</v>
      </c>
      <c r="O571" t="n">
        <v>0</v>
      </c>
      <c r="P571" t="n">
        <v>0</v>
      </c>
      <c r="Q571" t="n">
        <v>0</v>
      </c>
      <c r="R571" s="2" t="inlineStr"/>
    </row>
    <row r="572" ht="15" customHeight="1">
      <c r="A572" t="inlineStr">
        <is>
          <t>A 46927-2024</t>
        </is>
      </c>
      <c r="B572" s="1" t="n">
        <v>45584.69063657407</v>
      </c>
      <c r="C572" s="1" t="n">
        <v>46032</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29713-2022</t>
        </is>
      </c>
      <c r="B573" s="1" t="n">
        <v>44755</v>
      </c>
      <c r="C573" s="1" t="n">
        <v>46032</v>
      </c>
      <c r="D573" t="inlineStr">
        <is>
          <t>DALARNAS LÄN</t>
        </is>
      </c>
      <c r="E573" t="inlineStr">
        <is>
          <t>ÄLVDALEN</t>
        </is>
      </c>
      <c r="G573" t="n">
        <v>2.8</v>
      </c>
      <c r="H573" t="n">
        <v>0</v>
      </c>
      <c r="I573" t="n">
        <v>0</v>
      </c>
      <c r="J573" t="n">
        <v>0</v>
      </c>
      <c r="K573" t="n">
        <v>0</v>
      </c>
      <c r="L573" t="n">
        <v>0</v>
      </c>
      <c r="M573" t="n">
        <v>0</v>
      </c>
      <c r="N573" t="n">
        <v>0</v>
      </c>
      <c r="O573" t="n">
        <v>0</v>
      </c>
      <c r="P573" t="n">
        <v>0</v>
      </c>
      <c r="Q573" t="n">
        <v>0</v>
      </c>
      <c r="R573" s="2" t="inlineStr"/>
    </row>
    <row r="574" ht="15" customHeight="1">
      <c r="A574" t="inlineStr">
        <is>
          <t>A 52107-2022</t>
        </is>
      </c>
      <c r="B574" s="1" t="n">
        <v>44873.41295138889</v>
      </c>
      <c r="C574" s="1" t="n">
        <v>46032</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56222-2023</t>
        </is>
      </c>
      <c r="B575" s="1" t="n">
        <v>45240</v>
      </c>
      <c r="C575" s="1" t="n">
        <v>46032</v>
      </c>
      <c r="D575" t="inlineStr">
        <is>
          <t>DALARNAS LÄN</t>
        </is>
      </c>
      <c r="E575" t="inlineStr">
        <is>
          <t>ÄLVDALEN</t>
        </is>
      </c>
      <c r="F575" t="inlineStr">
        <is>
          <t>Övriga Aktiebolag</t>
        </is>
      </c>
      <c r="G575" t="n">
        <v>3.2</v>
      </c>
      <c r="H575" t="n">
        <v>0</v>
      </c>
      <c r="I575" t="n">
        <v>0</v>
      </c>
      <c r="J575" t="n">
        <v>0</v>
      </c>
      <c r="K575" t="n">
        <v>0</v>
      </c>
      <c r="L575" t="n">
        <v>0</v>
      </c>
      <c r="M575" t="n">
        <v>0</v>
      </c>
      <c r="N575" t="n">
        <v>0</v>
      </c>
      <c r="O575" t="n">
        <v>0</v>
      </c>
      <c r="P575" t="n">
        <v>0</v>
      </c>
      <c r="Q575" t="n">
        <v>0</v>
      </c>
      <c r="R575" s="2" t="inlineStr"/>
    </row>
    <row r="576" ht="15" customHeight="1">
      <c r="A576" t="inlineStr">
        <is>
          <t>A 56224-2023</t>
        </is>
      </c>
      <c r="B576" s="1" t="n">
        <v>45240</v>
      </c>
      <c r="C576" s="1" t="n">
        <v>46032</v>
      </c>
      <c r="D576" t="inlineStr">
        <is>
          <t>DALARNAS LÄN</t>
        </is>
      </c>
      <c r="E576" t="inlineStr">
        <is>
          <t>ÄLVDALEN</t>
        </is>
      </c>
      <c r="F576" t="inlineStr">
        <is>
          <t>Övriga Aktiebolag</t>
        </is>
      </c>
      <c r="G576" t="n">
        <v>10.9</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46032</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32187-2024</t>
        </is>
      </c>
      <c r="B578" s="1" t="n">
        <v>45511.64925925926</v>
      </c>
      <c r="C578" s="1" t="n">
        <v>46032</v>
      </c>
      <c r="D578" t="inlineStr">
        <is>
          <t>DALARNAS LÄN</t>
        </is>
      </c>
      <c r="E578" t="inlineStr">
        <is>
          <t>ÄLVDALEN</t>
        </is>
      </c>
      <c r="F578" t="inlineStr">
        <is>
          <t>Allmännings- och besparingsskogar</t>
        </is>
      </c>
      <c r="G578" t="n">
        <v>20</v>
      </c>
      <c r="H578" t="n">
        <v>0</v>
      </c>
      <c r="I578" t="n">
        <v>0</v>
      </c>
      <c r="J578" t="n">
        <v>0</v>
      </c>
      <c r="K578" t="n">
        <v>0</v>
      </c>
      <c r="L578" t="n">
        <v>0</v>
      </c>
      <c r="M578" t="n">
        <v>0</v>
      </c>
      <c r="N578" t="n">
        <v>0</v>
      </c>
      <c r="O578" t="n">
        <v>0</v>
      </c>
      <c r="P578" t="n">
        <v>0</v>
      </c>
      <c r="Q578" t="n">
        <v>0</v>
      </c>
      <c r="R578" s="2" t="inlineStr"/>
    </row>
    <row r="579" ht="15" customHeight="1">
      <c r="A579" t="inlineStr">
        <is>
          <t>A 19587-2025</t>
        </is>
      </c>
      <c r="B579" s="1" t="n">
        <v>45770.56820601852</v>
      </c>
      <c r="C579" s="1" t="n">
        <v>46032</v>
      </c>
      <c r="D579" t="inlineStr">
        <is>
          <t>DALARNAS LÄN</t>
        </is>
      </c>
      <c r="E579" t="inlineStr">
        <is>
          <t>ÄLVDALEN</t>
        </is>
      </c>
      <c r="F579" t="inlineStr">
        <is>
          <t>Allmännings- och besparingsskogar</t>
        </is>
      </c>
      <c r="G579" t="n">
        <v>1.4</v>
      </c>
      <c r="H579" t="n">
        <v>0</v>
      </c>
      <c r="I579" t="n">
        <v>0</v>
      </c>
      <c r="J579" t="n">
        <v>0</v>
      </c>
      <c r="K579" t="n">
        <v>0</v>
      </c>
      <c r="L579" t="n">
        <v>0</v>
      </c>
      <c r="M579" t="n">
        <v>0</v>
      </c>
      <c r="N579" t="n">
        <v>0</v>
      </c>
      <c r="O579" t="n">
        <v>0</v>
      </c>
      <c r="P579" t="n">
        <v>0</v>
      </c>
      <c r="Q579" t="n">
        <v>0</v>
      </c>
      <c r="R579" s="2" t="inlineStr"/>
    </row>
    <row r="580" ht="15" customHeight="1">
      <c r="A580" t="inlineStr">
        <is>
          <t>A 57821-2023</t>
        </is>
      </c>
      <c r="B580" s="1" t="n">
        <v>45247</v>
      </c>
      <c r="C580" s="1" t="n">
        <v>46032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45167-2022</t>
        </is>
      </c>
      <c r="B581" s="1" t="n">
        <v>44844</v>
      </c>
      <c r="C581" s="1" t="n">
        <v>46032</v>
      </c>
      <c r="D581" t="inlineStr">
        <is>
          <t>DALARNAS LÄN</t>
        </is>
      </c>
      <c r="E581" t="inlineStr">
        <is>
          <t>ÄLVDALEN</t>
        </is>
      </c>
      <c r="G581" t="n">
        <v>1.2</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46032</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52249-2022</t>
        </is>
      </c>
      <c r="B583" s="1" t="n">
        <v>44873</v>
      </c>
      <c r="C583" s="1" t="n">
        <v>46032</v>
      </c>
      <c r="D583" t="inlineStr">
        <is>
          <t>DALARNAS LÄN</t>
        </is>
      </c>
      <c r="E583" t="inlineStr">
        <is>
          <t>ÄLVDALEN</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46032</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46032</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46032</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19567-2025</t>
        </is>
      </c>
      <c r="B587" s="1" t="n">
        <v>45770.5349537037</v>
      </c>
      <c r="C587" s="1" t="n">
        <v>46032</v>
      </c>
      <c r="D587" t="inlineStr">
        <is>
          <t>DALARNAS LÄN</t>
        </is>
      </c>
      <c r="E587" t="inlineStr">
        <is>
          <t>ÄLVDALEN</t>
        </is>
      </c>
      <c r="F587" t="inlineStr">
        <is>
          <t>Allmännings- och besparingsskogar</t>
        </is>
      </c>
      <c r="G587" t="n">
        <v>3.7</v>
      </c>
      <c r="H587" t="n">
        <v>0</v>
      </c>
      <c r="I587" t="n">
        <v>0</v>
      </c>
      <c r="J587" t="n">
        <v>0</v>
      </c>
      <c r="K587" t="n">
        <v>0</v>
      </c>
      <c r="L587" t="n">
        <v>0</v>
      </c>
      <c r="M587" t="n">
        <v>0</v>
      </c>
      <c r="N587" t="n">
        <v>0</v>
      </c>
      <c r="O587" t="n">
        <v>0</v>
      </c>
      <c r="P587" t="n">
        <v>0</v>
      </c>
      <c r="Q587" t="n">
        <v>0</v>
      </c>
      <c r="R587" s="2" t="inlineStr"/>
    </row>
    <row r="588" ht="15" customHeight="1">
      <c r="A588" t="inlineStr">
        <is>
          <t>A 4662-2024</t>
        </is>
      </c>
      <c r="B588" s="1" t="n">
        <v>45328.465625</v>
      </c>
      <c r="C588" s="1" t="n">
        <v>46032</v>
      </c>
      <c r="D588" t="inlineStr">
        <is>
          <t>DALARNAS LÄN</t>
        </is>
      </c>
      <c r="E588" t="inlineStr">
        <is>
          <t>ÄLVDALEN</t>
        </is>
      </c>
      <c r="G588" t="n">
        <v>4.9</v>
      </c>
      <c r="H588" t="n">
        <v>0</v>
      </c>
      <c r="I588" t="n">
        <v>0</v>
      </c>
      <c r="J588" t="n">
        <v>0</v>
      </c>
      <c r="K588" t="n">
        <v>0</v>
      </c>
      <c r="L588" t="n">
        <v>0</v>
      </c>
      <c r="M588" t="n">
        <v>0</v>
      </c>
      <c r="N588" t="n">
        <v>0</v>
      </c>
      <c r="O588" t="n">
        <v>0</v>
      </c>
      <c r="P588" t="n">
        <v>0</v>
      </c>
      <c r="Q588" t="n">
        <v>0</v>
      </c>
      <c r="R588" s="2" t="inlineStr"/>
    </row>
    <row r="589" ht="15" customHeight="1">
      <c r="A589" t="inlineStr">
        <is>
          <t>A 9719-2023</t>
        </is>
      </c>
      <c r="B589" s="1" t="n">
        <v>44978</v>
      </c>
      <c r="C589" s="1" t="n">
        <v>46032</v>
      </c>
      <c r="D589" t="inlineStr">
        <is>
          <t>DALARNAS LÄN</t>
        </is>
      </c>
      <c r="E589" t="inlineStr">
        <is>
          <t>ÄLVDALEN</t>
        </is>
      </c>
      <c r="G589" t="n">
        <v>20.2</v>
      </c>
      <c r="H589" t="n">
        <v>0</v>
      </c>
      <c r="I589" t="n">
        <v>0</v>
      </c>
      <c r="J589" t="n">
        <v>0</v>
      </c>
      <c r="K589" t="n">
        <v>0</v>
      </c>
      <c r="L589" t="n">
        <v>0</v>
      </c>
      <c r="M589" t="n">
        <v>0</v>
      </c>
      <c r="N589" t="n">
        <v>0</v>
      </c>
      <c r="O589" t="n">
        <v>0</v>
      </c>
      <c r="P589" t="n">
        <v>0</v>
      </c>
      <c r="Q589" t="n">
        <v>0</v>
      </c>
      <c r="R589" s="2" t="inlineStr"/>
    </row>
    <row r="590" ht="15" customHeight="1">
      <c r="A590" t="inlineStr">
        <is>
          <t>A 29129-2024</t>
        </is>
      </c>
      <c r="B590" s="1" t="n">
        <v>45482.35762731481</v>
      </c>
      <c r="C590" s="1" t="n">
        <v>46032</v>
      </c>
      <c r="D590" t="inlineStr">
        <is>
          <t>DALARNAS LÄN</t>
        </is>
      </c>
      <c r="E590" t="inlineStr">
        <is>
          <t>ÄLVDALEN</t>
        </is>
      </c>
      <c r="F590" t="inlineStr">
        <is>
          <t>Allmännings- och besparingsskogar</t>
        </is>
      </c>
      <c r="G590" t="n">
        <v>19.8</v>
      </c>
      <c r="H590" t="n">
        <v>0</v>
      </c>
      <c r="I590" t="n">
        <v>0</v>
      </c>
      <c r="J590" t="n">
        <v>0</v>
      </c>
      <c r="K590" t="n">
        <v>0</v>
      </c>
      <c r="L590" t="n">
        <v>0</v>
      </c>
      <c r="M590" t="n">
        <v>0</v>
      </c>
      <c r="N590" t="n">
        <v>0</v>
      </c>
      <c r="O590" t="n">
        <v>0</v>
      </c>
      <c r="P590" t="n">
        <v>0</v>
      </c>
      <c r="Q590" t="n">
        <v>0</v>
      </c>
      <c r="R590" s="2" t="inlineStr"/>
    </row>
    <row r="591" ht="15" customHeight="1">
      <c r="A591" t="inlineStr">
        <is>
          <t>A 20584-2025</t>
        </is>
      </c>
      <c r="B591" s="1" t="n">
        <v>45775.695</v>
      </c>
      <c r="C591" s="1" t="n">
        <v>46032</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23129-2023</t>
        </is>
      </c>
      <c r="B592" s="1" t="n">
        <v>45075</v>
      </c>
      <c r="C592" s="1" t="n">
        <v>46032</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36284-2024</t>
        </is>
      </c>
      <c r="B593" s="1" t="n">
        <v>45534.5897337963</v>
      </c>
      <c r="C593" s="1" t="n">
        <v>46032</v>
      </c>
      <c r="D593" t="inlineStr">
        <is>
          <t>DALARNAS LÄN</t>
        </is>
      </c>
      <c r="E593" t="inlineStr">
        <is>
          <t>ÄLVDALEN</t>
        </is>
      </c>
      <c r="G593" t="n">
        <v>3.4</v>
      </c>
      <c r="H593" t="n">
        <v>0</v>
      </c>
      <c r="I593" t="n">
        <v>0</v>
      </c>
      <c r="J593" t="n">
        <v>0</v>
      </c>
      <c r="K593" t="n">
        <v>0</v>
      </c>
      <c r="L593" t="n">
        <v>0</v>
      </c>
      <c r="M593" t="n">
        <v>0</v>
      </c>
      <c r="N593" t="n">
        <v>0</v>
      </c>
      <c r="O593" t="n">
        <v>0</v>
      </c>
      <c r="P593" t="n">
        <v>0</v>
      </c>
      <c r="Q593" t="n">
        <v>0</v>
      </c>
      <c r="R593" s="2" t="inlineStr"/>
    </row>
    <row r="594" ht="15" customHeight="1">
      <c r="A594" t="inlineStr">
        <is>
          <t>A 52469-2022</t>
        </is>
      </c>
      <c r="B594" s="1" t="n">
        <v>44874</v>
      </c>
      <c r="C594" s="1" t="n">
        <v>46032</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46032</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44386-2021</t>
        </is>
      </c>
      <c r="B596" s="1" t="n">
        <v>44435</v>
      </c>
      <c r="C596" s="1" t="n">
        <v>46032</v>
      </c>
      <c r="D596" t="inlineStr">
        <is>
          <t>DALARNAS LÄN</t>
        </is>
      </c>
      <c r="E596" t="inlineStr">
        <is>
          <t>ÄLVDALEN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30987-2023</t>
        </is>
      </c>
      <c r="B597" s="1" t="n">
        <v>45113</v>
      </c>
      <c r="C597" s="1" t="n">
        <v>46032</v>
      </c>
      <c r="D597" t="inlineStr">
        <is>
          <t>DALARNAS LÄN</t>
        </is>
      </c>
      <c r="E597" t="inlineStr">
        <is>
          <t>ÄLVDALEN</t>
        </is>
      </c>
      <c r="F597" t="inlineStr">
        <is>
          <t>Allmännings- och besparingsskogar</t>
        </is>
      </c>
      <c r="G597" t="n">
        <v>3.8</v>
      </c>
      <c r="H597" t="n">
        <v>0</v>
      </c>
      <c r="I597" t="n">
        <v>0</v>
      </c>
      <c r="J597" t="n">
        <v>0</v>
      </c>
      <c r="K597" t="n">
        <v>0</v>
      </c>
      <c r="L597" t="n">
        <v>0</v>
      </c>
      <c r="M597" t="n">
        <v>0</v>
      </c>
      <c r="N597" t="n">
        <v>0</v>
      </c>
      <c r="O597" t="n">
        <v>0</v>
      </c>
      <c r="P597" t="n">
        <v>0</v>
      </c>
      <c r="Q597" t="n">
        <v>0</v>
      </c>
      <c r="R597" s="2" t="inlineStr"/>
    </row>
    <row r="598" ht="15" customHeight="1">
      <c r="A598" t="inlineStr">
        <is>
          <t>A 33107-2023</t>
        </is>
      </c>
      <c r="B598" s="1" t="n">
        <v>45114</v>
      </c>
      <c r="C598" s="1" t="n">
        <v>46032</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1081-2025</t>
        </is>
      </c>
      <c r="B599" s="1" t="n">
        <v>45666.61589120371</v>
      </c>
      <c r="C599" s="1" t="n">
        <v>46032</v>
      </c>
      <c r="D599" t="inlineStr">
        <is>
          <t>DALARNAS LÄN</t>
        </is>
      </c>
      <c r="E599" t="inlineStr">
        <is>
          <t>ÄLVDALEN</t>
        </is>
      </c>
      <c r="G599" t="n">
        <v>5.8</v>
      </c>
      <c r="H599" t="n">
        <v>0</v>
      </c>
      <c r="I599" t="n">
        <v>0</v>
      </c>
      <c r="J599" t="n">
        <v>0</v>
      </c>
      <c r="K599" t="n">
        <v>0</v>
      </c>
      <c r="L599" t="n">
        <v>0</v>
      </c>
      <c r="M599" t="n">
        <v>0</v>
      </c>
      <c r="N599" t="n">
        <v>0</v>
      </c>
      <c r="O599" t="n">
        <v>0</v>
      </c>
      <c r="P599" t="n">
        <v>0</v>
      </c>
      <c r="Q599" t="n">
        <v>0</v>
      </c>
      <c r="R599" s="2" t="inlineStr"/>
    </row>
    <row r="600" ht="15" customHeight="1">
      <c r="A600" t="inlineStr">
        <is>
          <t>A 1088-2025</t>
        </is>
      </c>
      <c r="B600" s="1" t="n">
        <v>45666.62162037037</v>
      </c>
      <c r="C600" s="1" t="n">
        <v>46032</v>
      </c>
      <c r="D600" t="inlineStr">
        <is>
          <t>DALARNAS LÄN</t>
        </is>
      </c>
      <c r="E600" t="inlineStr">
        <is>
          <t>ÄLVDALEN</t>
        </is>
      </c>
      <c r="G600" t="n">
        <v>5.4</v>
      </c>
      <c r="H600" t="n">
        <v>0</v>
      </c>
      <c r="I600" t="n">
        <v>0</v>
      </c>
      <c r="J600" t="n">
        <v>0</v>
      </c>
      <c r="K600" t="n">
        <v>0</v>
      </c>
      <c r="L600" t="n">
        <v>0</v>
      </c>
      <c r="M600" t="n">
        <v>0</v>
      </c>
      <c r="N600" t="n">
        <v>0</v>
      </c>
      <c r="O600" t="n">
        <v>0</v>
      </c>
      <c r="P600" t="n">
        <v>0</v>
      </c>
      <c r="Q600" t="n">
        <v>0</v>
      </c>
      <c r="R600" s="2" t="inlineStr"/>
    </row>
    <row r="601" ht="15" customHeight="1">
      <c r="A601" t="inlineStr">
        <is>
          <t>A 30985-2023</t>
        </is>
      </c>
      <c r="B601" s="1" t="n">
        <v>45113</v>
      </c>
      <c r="C601" s="1" t="n">
        <v>46032</v>
      </c>
      <c r="D601" t="inlineStr">
        <is>
          <t>DALARNAS LÄN</t>
        </is>
      </c>
      <c r="E601" t="inlineStr">
        <is>
          <t>ÄLVDALEN</t>
        </is>
      </c>
      <c r="F601" t="inlineStr">
        <is>
          <t>Allmännings- och besparingsskogar</t>
        </is>
      </c>
      <c r="G601" t="n">
        <v>2.9</v>
      </c>
      <c r="H601" t="n">
        <v>0</v>
      </c>
      <c r="I601" t="n">
        <v>0</v>
      </c>
      <c r="J601" t="n">
        <v>0</v>
      </c>
      <c r="K601" t="n">
        <v>0</v>
      </c>
      <c r="L601" t="n">
        <v>0</v>
      </c>
      <c r="M601" t="n">
        <v>0</v>
      </c>
      <c r="N601" t="n">
        <v>0</v>
      </c>
      <c r="O601" t="n">
        <v>0</v>
      </c>
      <c r="P601" t="n">
        <v>0</v>
      </c>
      <c r="Q601" t="n">
        <v>0</v>
      </c>
      <c r="R601" s="2" t="inlineStr"/>
    </row>
    <row r="602" ht="15" customHeight="1">
      <c r="A602" t="inlineStr">
        <is>
          <t>A 33100-2023</t>
        </is>
      </c>
      <c r="B602" s="1" t="n">
        <v>45114</v>
      </c>
      <c r="C602" s="1" t="n">
        <v>46032</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37438-2024</t>
        </is>
      </c>
      <c r="B603" s="1" t="n">
        <v>45540</v>
      </c>
      <c r="C603" s="1" t="n">
        <v>46032</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15759-2024</t>
        </is>
      </c>
      <c r="B604" s="1" t="n">
        <v>45404</v>
      </c>
      <c r="C604" s="1" t="n">
        <v>46032</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627-2025</t>
        </is>
      </c>
      <c r="B605" s="1" t="n">
        <v>45660</v>
      </c>
      <c r="C605" s="1" t="n">
        <v>46032</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41137-2024</t>
        </is>
      </c>
      <c r="B606" s="1" t="n">
        <v>45559.46734953704</v>
      </c>
      <c r="C606" s="1" t="n">
        <v>46032</v>
      </c>
      <c r="D606" t="inlineStr">
        <is>
          <t>DALARNAS LÄN</t>
        </is>
      </c>
      <c r="E606" t="inlineStr">
        <is>
          <t>ÄLVDALEN</t>
        </is>
      </c>
      <c r="G606" t="n">
        <v>4.8</v>
      </c>
      <c r="H606" t="n">
        <v>0</v>
      </c>
      <c r="I606" t="n">
        <v>0</v>
      </c>
      <c r="J606" t="n">
        <v>0</v>
      </c>
      <c r="K606" t="n">
        <v>0</v>
      </c>
      <c r="L606" t="n">
        <v>0</v>
      </c>
      <c r="M606" t="n">
        <v>0</v>
      </c>
      <c r="N606" t="n">
        <v>0</v>
      </c>
      <c r="O606" t="n">
        <v>0</v>
      </c>
      <c r="P606" t="n">
        <v>0</v>
      </c>
      <c r="Q606" t="n">
        <v>0</v>
      </c>
      <c r="R606" s="2" t="inlineStr"/>
    </row>
    <row r="607" ht="15" customHeight="1">
      <c r="A607" t="inlineStr">
        <is>
          <t>A 32352-2023</t>
        </is>
      </c>
      <c r="B607" s="1" t="n">
        <v>45120</v>
      </c>
      <c r="C607" s="1" t="n">
        <v>46032</v>
      </c>
      <c r="D607" t="inlineStr">
        <is>
          <t>DALARNAS LÄN</t>
        </is>
      </c>
      <c r="E607" t="inlineStr">
        <is>
          <t>ÄLVDALEN</t>
        </is>
      </c>
      <c r="G607" t="n">
        <v>2</v>
      </c>
      <c r="H607" t="n">
        <v>0</v>
      </c>
      <c r="I607" t="n">
        <v>0</v>
      </c>
      <c r="J607" t="n">
        <v>0</v>
      </c>
      <c r="K607" t="n">
        <v>0</v>
      </c>
      <c r="L607" t="n">
        <v>0</v>
      </c>
      <c r="M607" t="n">
        <v>0</v>
      </c>
      <c r="N607" t="n">
        <v>0</v>
      </c>
      <c r="O607" t="n">
        <v>0</v>
      </c>
      <c r="P607" t="n">
        <v>0</v>
      </c>
      <c r="Q607" t="n">
        <v>0</v>
      </c>
      <c r="R607" s="2" t="inlineStr"/>
    </row>
    <row r="608" ht="15" customHeight="1">
      <c r="A608" t="inlineStr">
        <is>
          <t>A 47081-2023</t>
        </is>
      </c>
      <c r="B608" s="1" t="n">
        <v>45201.61148148148</v>
      </c>
      <c r="C608" s="1" t="n">
        <v>46032</v>
      </c>
      <c r="D608" t="inlineStr">
        <is>
          <t>DALARNAS LÄN</t>
        </is>
      </c>
      <c r="E608" t="inlineStr">
        <is>
          <t>ÄLVDALEN</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59209-2022</t>
        </is>
      </c>
      <c r="B609" s="1" t="n">
        <v>44904</v>
      </c>
      <c r="C609" s="1" t="n">
        <v>46032</v>
      </c>
      <c r="D609" t="inlineStr">
        <is>
          <t>DALARNAS LÄN</t>
        </is>
      </c>
      <c r="E609" t="inlineStr">
        <is>
          <t>ÄLVDALEN</t>
        </is>
      </c>
      <c r="G609" t="n">
        <v>2.6</v>
      </c>
      <c r="H609" t="n">
        <v>0</v>
      </c>
      <c r="I609" t="n">
        <v>0</v>
      </c>
      <c r="J609" t="n">
        <v>0</v>
      </c>
      <c r="K609" t="n">
        <v>0</v>
      </c>
      <c r="L609" t="n">
        <v>0</v>
      </c>
      <c r="M609" t="n">
        <v>0</v>
      </c>
      <c r="N609" t="n">
        <v>0</v>
      </c>
      <c r="O609" t="n">
        <v>0</v>
      </c>
      <c r="P609" t="n">
        <v>0</v>
      </c>
      <c r="Q609" t="n">
        <v>0</v>
      </c>
      <c r="R609" s="2" t="inlineStr"/>
    </row>
    <row r="610" ht="15" customHeight="1">
      <c r="A610" t="inlineStr">
        <is>
          <t>A 7937-2025</t>
        </is>
      </c>
      <c r="B610" s="1" t="n">
        <v>45707.3953125</v>
      </c>
      <c r="C610" s="1" t="n">
        <v>46032</v>
      </c>
      <c r="D610" t="inlineStr">
        <is>
          <t>DALARNAS LÄN</t>
        </is>
      </c>
      <c r="E610" t="inlineStr">
        <is>
          <t>ÄLVDALEN</t>
        </is>
      </c>
      <c r="F610" t="inlineStr">
        <is>
          <t>Allmännings- och besparingsskogar</t>
        </is>
      </c>
      <c r="G610" t="n">
        <v>1.2</v>
      </c>
      <c r="H610" t="n">
        <v>0</v>
      </c>
      <c r="I610" t="n">
        <v>0</v>
      </c>
      <c r="J610" t="n">
        <v>0</v>
      </c>
      <c r="K610" t="n">
        <v>0</v>
      </c>
      <c r="L610" t="n">
        <v>0</v>
      </c>
      <c r="M610" t="n">
        <v>0</v>
      </c>
      <c r="N610" t="n">
        <v>0</v>
      </c>
      <c r="O610" t="n">
        <v>0</v>
      </c>
      <c r="P610" t="n">
        <v>0</v>
      </c>
      <c r="Q610" t="n">
        <v>0</v>
      </c>
      <c r="R610" s="2" t="inlineStr"/>
    </row>
    <row r="611" ht="15" customHeight="1">
      <c r="A611" t="inlineStr">
        <is>
          <t>A 59138-2023</t>
        </is>
      </c>
      <c r="B611" s="1" t="n">
        <v>45253</v>
      </c>
      <c r="C611" s="1" t="n">
        <v>46032</v>
      </c>
      <c r="D611" t="inlineStr">
        <is>
          <t>DALARNAS LÄN</t>
        </is>
      </c>
      <c r="E611" t="inlineStr">
        <is>
          <t>ÄLVDALEN</t>
        </is>
      </c>
      <c r="G611" t="n">
        <v>0.4</v>
      </c>
      <c r="H611" t="n">
        <v>0</v>
      </c>
      <c r="I611" t="n">
        <v>0</v>
      </c>
      <c r="J611" t="n">
        <v>0</v>
      </c>
      <c r="K611" t="n">
        <v>0</v>
      </c>
      <c r="L611" t="n">
        <v>0</v>
      </c>
      <c r="M611" t="n">
        <v>0</v>
      </c>
      <c r="N611" t="n">
        <v>0</v>
      </c>
      <c r="O611" t="n">
        <v>0</v>
      </c>
      <c r="P611" t="n">
        <v>0</v>
      </c>
      <c r="Q611" t="n">
        <v>0</v>
      </c>
      <c r="R611" s="2" t="inlineStr"/>
    </row>
    <row r="612" ht="15" customHeight="1">
      <c r="A612" t="inlineStr">
        <is>
          <t>A 19588-2025</t>
        </is>
      </c>
      <c r="B612" s="1" t="n">
        <v>45770</v>
      </c>
      <c r="C612" s="1" t="n">
        <v>46032</v>
      </c>
      <c r="D612" t="inlineStr">
        <is>
          <t>DALARNAS LÄN</t>
        </is>
      </c>
      <c r="E612" t="inlineStr">
        <is>
          <t>ÄLVDALEN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33102-2023</t>
        </is>
      </c>
      <c r="B613" s="1" t="n">
        <v>45114</v>
      </c>
      <c r="C613" s="1" t="n">
        <v>46032</v>
      </c>
      <c r="D613" t="inlineStr">
        <is>
          <t>DALARNAS LÄN</t>
        </is>
      </c>
      <c r="E613" t="inlineStr">
        <is>
          <t>ÄLVDALEN</t>
        </is>
      </c>
      <c r="G613" t="n">
        <v>1.6</v>
      </c>
      <c r="H613" t="n">
        <v>0</v>
      </c>
      <c r="I613" t="n">
        <v>0</v>
      </c>
      <c r="J613" t="n">
        <v>0</v>
      </c>
      <c r="K613" t="n">
        <v>0</v>
      </c>
      <c r="L613" t="n">
        <v>0</v>
      </c>
      <c r="M613" t="n">
        <v>0</v>
      </c>
      <c r="N613" t="n">
        <v>0</v>
      </c>
      <c r="O613" t="n">
        <v>0</v>
      </c>
      <c r="P613" t="n">
        <v>0</v>
      </c>
      <c r="Q613" t="n">
        <v>0</v>
      </c>
      <c r="R613" s="2" t="inlineStr"/>
    </row>
    <row r="614" ht="15" customHeight="1">
      <c r="A614" t="inlineStr">
        <is>
          <t>A 62315-2022</t>
        </is>
      </c>
      <c r="B614" s="1" t="n">
        <v>44916</v>
      </c>
      <c r="C614" s="1" t="n">
        <v>46032</v>
      </c>
      <c r="D614" t="inlineStr">
        <is>
          <t>DALARNAS LÄN</t>
        </is>
      </c>
      <c r="E614" t="inlineStr">
        <is>
          <t>ÄLVDALEN</t>
        </is>
      </c>
      <c r="G614" t="n">
        <v>2.1</v>
      </c>
      <c r="H614" t="n">
        <v>0</v>
      </c>
      <c r="I614" t="n">
        <v>0</v>
      </c>
      <c r="J614" t="n">
        <v>0</v>
      </c>
      <c r="K614" t="n">
        <v>0</v>
      </c>
      <c r="L614" t="n">
        <v>0</v>
      </c>
      <c r="M614" t="n">
        <v>0</v>
      </c>
      <c r="N614" t="n">
        <v>0</v>
      </c>
      <c r="O614" t="n">
        <v>0</v>
      </c>
      <c r="P614" t="n">
        <v>0</v>
      </c>
      <c r="Q614" t="n">
        <v>0</v>
      </c>
      <c r="R614" s="2" t="inlineStr"/>
    </row>
    <row r="615" ht="15" customHeight="1">
      <c r="A615" t="inlineStr">
        <is>
          <t>A 53168-2024</t>
        </is>
      </c>
      <c r="B615" s="1" t="n">
        <v>45611.65569444445</v>
      </c>
      <c r="C615" s="1" t="n">
        <v>46032</v>
      </c>
      <c r="D615" t="inlineStr">
        <is>
          <t>DALARNAS LÄN</t>
        </is>
      </c>
      <c r="E615" t="inlineStr">
        <is>
          <t>ÄLVDALEN</t>
        </is>
      </c>
      <c r="G615" t="n">
        <v>3.4</v>
      </c>
      <c r="H615" t="n">
        <v>0</v>
      </c>
      <c r="I615" t="n">
        <v>0</v>
      </c>
      <c r="J615" t="n">
        <v>0</v>
      </c>
      <c r="K615" t="n">
        <v>0</v>
      </c>
      <c r="L615" t="n">
        <v>0</v>
      </c>
      <c r="M615" t="n">
        <v>0</v>
      </c>
      <c r="N615" t="n">
        <v>0</v>
      </c>
      <c r="O615" t="n">
        <v>0</v>
      </c>
      <c r="P615" t="n">
        <v>0</v>
      </c>
      <c r="Q615" t="n">
        <v>0</v>
      </c>
      <c r="R615" s="2" t="inlineStr"/>
    </row>
    <row r="616" ht="15" customHeight="1">
      <c r="A616" t="inlineStr">
        <is>
          <t>A 6230-2024</t>
        </is>
      </c>
      <c r="B616" s="1" t="n">
        <v>45337</v>
      </c>
      <c r="C616" s="1" t="n">
        <v>46032</v>
      </c>
      <c r="D616" t="inlineStr">
        <is>
          <t>DALARNAS LÄN</t>
        </is>
      </c>
      <c r="E616" t="inlineStr">
        <is>
          <t>ÄLVDALEN</t>
        </is>
      </c>
      <c r="G616" t="n">
        <v>6.2</v>
      </c>
      <c r="H616" t="n">
        <v>0</v>
      </c>
      <c r="I616" t="n">
        <v>0</v>
      </c>
      <c r="J616" t="n">
        <v>0</v>
      </c>
      <c r="K616" t="n">
        <v>0</v>
      </c>
      <c r="L616" t="n">
        <v>0</v>
      </c>
      <c r="M616" t="n">
        <v>0</v>
      </c>
      <c r="N616" t="n">
        <v>0</v>
      </c>
      <c r="O616" t="n">
        <v>0</v>
      </c>
      <c r="P616" t="n">
        <v>0</v>
      </c>
      <c r="Q616" t="n">
        <v>0</v>
      </c>
      <c r="R616" s="2" t="inlineStr"/>
    </row>
    <row r="617" ht="15" customHeight="1">
      <c r="A617" t="inlineStr">
        <is>
          <t>A 56882-2022</t>
        </is>
      </c>
      <c r="B617" s="1" t="n">
        <v>44894</v>
      </c>
      <c r="C617" s="1" t="n">
        <v>46032</v>
      </c>
      <c r="D617" t="inlineStr">
        <is>
          <t>DALARNAS LÄN</t>
        </is>
      </c>
      <c r="E617" t="inlineStr">
        <is>
          <t>ÄLVDALEN</t>
        </is>
      </c>
      <c r="G617" t="n">
        <v>7.4</v>
      </c>
      <c r="H617" t="n">
        <v>0</v>
      </c>
      <c r="I617" t="n">
        <v>0</v>
      </c>
      <c r="J617" t="n">
        <v>0</v>
      </c>
      <c r="K617" t="n">
        <v>0</v>
      </c>
      <c r="L617" t="n">
        <v>0</v>
      </c>
      <c r="M617" t="n">
        <v>0</v>
      </c>
      <c r="N617" t="n">
        <v>0</v>
      </c>
      <c r="O617" t="n">
        <v>0</v>
      </c>
      <c r="P617" t="n">
        <v>0</v>
      </c>
      <c r="Q617" t="n">
        <v>0</v>
      </c>
      <c r="R617" s="2" t="inlineStr"/>
    </row>
    <row r="618" ht="15" customHeight="1">
      <c r="A618" t="inlineStr">
        <is>
          <t>A 47877-2023</t>
        </is>
      </c>
      <c r="B618" s="1" t="n">
        <v>45204</v>
      </c>
      <c r="C618" s="1" t="n">
        <v>46032</v>
      </c>
      <c r="D618" t="inlineStr">
        <is>
          <t>DALARNAS LÄN</t>
        </is>
      </c>
      <c r="E618" t="inlineStr">
        <is>
          <t>ÄLVDALEN</t>
        </is>
      </c>
      <c r="G618" t="n">
        <v>4.8</v>
      </c>
      <c r="H618" t="n">
        <v>0</v>
      </c>
      <c r="I618" t="n">
        <v>0</v>
      </c>
      <c r="J618" t="n">
        <v>0</v>
      </c>
      <c r="K618" t="n">
        <v>0</v>
      </c>
      <c r="L618" t="n">
        <v>0</v>
      </c>
      <c r="M618" t="n">
        <v>0</v>
      </c>
      <c r="N618" t="n">
        <v>0</v>
      </c>
      <c r="O618" t="n">
        <v>0</v>
      </c>
      <c r="P618" t="n">
        <v>0</v>
      </c>
      <c r="Q618" t="n">
        <v>0</v>
      </c>
      <c r="R618" s="2" t="inlineStr"/>
    </row>
    <row r="619" ht="15" customHeight="1">
      <c r="A619" t="inlineStr">
        <is>
          <t>A 5826-2023</t>
        </is>
      </c>
      <c r="B619" s="1" t="n">
        <v>44963.52038194444</v>
      </c>
      <c r="C619" s="1" t="n">
        <v>46032</v>
      </c>
      <c r="D619" t="inlineStr">
        <is>
          <t>DALARNAS LÄN</t>
        </is>
      </c>
      <c r="E619" t="inlineStr">
        <is>
          <t>ÄLVDALEN</t>
        </is>
      </c>
      <c r="G619" t="n">
        <v>1.7</v>
      </c>
      <c r="H619" t="n">
        <v>0</v>
      </c>
      <c r="I619" t="n">
        <v>0</v>
      </c>
      <c r="J619" t="n">
        <v>0</v>
      </c>
      <c r="K619" t="n">
        <v>0</v>
      </c>
      <c r="L619" t="n">
        <v>0</v>
      </c>
      <c r="M619" t="n">
        <v>0</v>
      </c>
      <c r="N619" t="n">
        <v>0</v>
      </c>
      <c r="O619" t="n">
        <v>0</v>
      </c>
      <c r="P619" t="n">
        <v>0</v>
      </c>
      <c r="Q619" t="n">
        <v>0</v>
      </c>
      <c r="R619" s="2" t="inlineStr"/>
    </row>
    <row r="620" ht="15" customHeight="1">
      <c r="A620" t="inlineStr">
        <is>
          <t>A 747-2025</t>
        </is>
      </c>
      <c r="B620" s="1" t="n">
        <v>45665.43965277778</v>
      </c>
      <c r="C620" s="1" t="n">
        <v>46032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7917-2025</t>
        </is>
      </c>
      <c r="B621" s="1" t="n">
        <v>45707.35225694445</v>
      </c>
      <c r="C621" s="1" t="n">
        <v>46032</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19527-2025</t>
        </is>
      </c>
      <c r="B622" s="1" t="n">
        <v>45770.46546296297</v>
      </c>
      <c r="C622" s="1" t="n">
        <v>46032</v>
      </c>
      <c r="D622" t="inlineStr">
        <is>
          <t>DALARNAS LÄN</t>
        </is>
      </c>
      <c r="E622" t="inlineStr">
        <is>
          <t>ÄLVDALEN</t>
        </is>
      </c>
      <c r="F622" t="inlineStr">
        <is>
          <t>Allmännings- och besparingsskogar</t>
        </is>
      </c>
      <c r="G622" t="n">
        <v>4.2</v>
      </c>
      <c r="H622" t="n">
        <v>0</v>
      </c>
      <c r="I622" t="n">
        <v>0</v>
      </c>
      <c r="J622" t="n">
        <v>0</v>
      </c>
      <c r="K622" t="n">
        <v>0</v>
      </c>
      <c r="L622" t="n">
        <v>0</v>
      </c>
      <c r="M622" t="n">
        <v>0</v>
      </c>
      <c r="N622" t="n">
        <v>0</v>
      </c>
      <c r="O622" t="n">
        <v>0</v>
      </c>
      <c r="P622" t="n">
        <v>0</v>
      </c>
      <c r="Q622" t="n">
        <v>0</v>
      </c>
      <c r="R622" s="2" t="inlineStr"/>
    </row>
    <row r="623" ht="15" customHeight="1">
      <c r="A623" t="inlineStr">
        <is>
          <t>A 30355-2021</t>
        </is>
      </c>
      <c r="B623" s="1" t="n">
        <v>44364</v>
      </c>
      <c r="C623" s="1" t="n">
        <v>46032</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47743-2024</t>
        </is>
      </c>
      <c r="B624" s="1" t="n">
        <v>45588.52550925926</v>
      </c>
      <c r="C624" s="1" t="n">
        <v>46032</v>
      </c>
      <c r="D624" t="inlineStr">
        <is>
          <t>DALARNAS LÄN</t>
        </is>
      </c>
      <c r="E624" t="inlineStr">
        <is>
          <t>ÄLVDALEN</t>
        </is>
      </c>
      <c r="G624" t="n">
        <v>4.4</v>
      </c>
      <c r="H624" t="n">
        <v>0</v>
      </c>
      <c r="I624" t="n">
        <v>0</v>
      </c>
      <c r="J624" t="n">
        <v>0</v>
      </c>
      <c r="K624" t="n">
        <v>0</v>
      </c>
      <c r="L624" t="n">
        <v>0</v>
      </c>
      <c r="M624" t="n">
        <v>0</v>
      </c>
      <c r="N624" t="n">
        <v>0</v>
      </c>
      <c r="O624" t="n">
        <v>0</v>
      </c>
      <c r="P624" t="n">
        <v>0</v>
      </c>
      <c r="Q624" t="n">
        <v>0</v>
      </c>
      <c r="R624" s="2" t="inlineStr"/>
    </row>
    <row r="625" ht="15" customHeight="1">
      <c r="A625" t="inlineStr">
        <is>
          <t>A 53408-2023</t>
        </is>
      </c>
      <c r="B625" s="1" t="n">
        <v>45229</v>
      </c>
      <c r="C625" s="1" t="n">
        <v>46032</v>
      </c>
      <c r="D625" t="inlineStr">
        <is>
          <t>DALARNAS LÄN</t>
        </is>
      </c>
      <c r="E625" t="inlineStr">
        <is>
          <t>ÄLVDALEN</t>
        </is>
      </c>
      <c r="G625" t="n">
        <v>2</v>
      </c>
      <c r="H625" t="n">
        <v>0</v>
      </c>
      <c r="I625" t="n">
        <v>0</v>
      </c>
      <c r="J625" t="n">
        <v>0</v>
      </c>
      <c r="K625" t="n">
        <v>0</v>
      </c>
      <c r="L625" t="n">
        <v>0</v>
      </c>
      <c r="M625" t="n">
        <v>0</v>
      </c>
      <c r="N625" t="n">
        <v>0</v>
      </c>
      <c r="O625" t="n">
        <v>0</v>
      </c>
      <c r="P625" t="n">
        <v>0</v>
      </c>
      <c r="Q625" t="n">
        <v>0</v>
      </c>
      <c r="R625" s="2" t="inlineStr"/>
    </row>
    <row r="626" ht="15" customHeight="1">
      <c r="A626" t="inlineStr">
        <is>
          <t>A 70140-2021</t>
        </is>
      </c>
      <c r="B626" s="1" t="n">
        <v>44533</v>
      </c>
      <c r="C626" s="1" t="n">
        <v>46032</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31332-2023</t>
        </is>
      </c>
      <c r="B627" s="1" t="n">
        <v>45114</v>
      </c>
      <c r="C627" s="1" t="n">
        <v>46032</v>
      </c>
      <c r="D627" t="inlineStr">
        <is>
          <t>DALARNAS LÄN</t>
        </is>
      </c>
      <c r="E627" t="inlineStr">
        <is>
          <t>ÄLVDALEN</t>
        </is>
      </c>
      <c r="F627" t="inlineStr">
        <is>
          <t>Övriga statliga verk och myndigheter</t>
        </is>
      </c>
      <c r="G627" t="n">
        <v>0.5</v>
      </c>
      <c r="H627" t="n">
        <v>0</v>
      </c>
      <c r="I627" t="n">
        <v>0</v>
      </c>
      <c r="J627" t="n">
        <v>0</v>
      </c>
      <c r="K627" t="n">
        <v>0</v>
      </c>
      <c r="L627" t="n">
        <v>0</v>
      </c>
      <c r="M627" t="n">
        <v>0</v>
      </c>
      <c r="N627" t="n">
        <v>0</v>
      </c>
      <c r="O627" t="n">
        <v>0</v>
      </c>
      <c r="P627" t="n">
        <v>0</v>
      </c>
      <c r="Q627" t="n">
        <v>0</v>
      </c>
      <c r="R627" s="2" t="inlineStr"/>
    </row>
    <row r="628" ht="15" customHeight="1">
      <c r="A628" t="inlineStr">
        <is>
          <t>A 37439-2024</t>
        </is>
      </c>
      <c r="B628" s="1" t="n">
        <v>45540</v>
      </c>
      <c r="C628" s="1" t="n">
        <v>46032</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49236-2023</t>
        </is>
      </c>
      <c r="B629" s="1" t="n">
        <v>45210.63995370371</v>
      </c>
      <c r="C629" s="1" t="n">
        <v>46032</v>
      </c>
      <c r="D629" t="inlineStr">
        <is>
          <t>DALARNAS LÄN</t>
        </is>
      </c>
      <c r="E629" t="inlineStr">
        <is>
          <t>ÄLVDALEN</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32362-2021</t>
        </is>
      </c>
      <c r="B630" s="1" t="n">
        <v>44371</v>
      </c>
      <c r="C630" s="1" t="n">
        <v>46032</v>
      </c>
      <c r="D630" t="inlineStr">
        <is>
          <t>DALARNAS LÄN</t>
        </is>
      </c>
      <c r="E630" t="inlineStr">
        <is>
          <t>ÄLVDALEN</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1310-2024</t>
        </is>
      </c>
      <c r="B631" s="1" t="n">
        <v>45303</v>
      </c>
      <c r="C631" s="1" t="n">
        <v>46032</v>
      </c>
      <c r="D631" t="inlineStr">
        <is>
          <t>DALARNAS LÄN</t>
        </is>
      </c>
      <c r="E631" t="inlineStr">
        <is>
          <t>ÄLVDALEN</t>
        </is>
      </c>
      <c r="G631" t="n">
        <v>4.3</v>
      </c>
      <c r="H631" t="n">
        <v>0</v>
      </c>
      <c r="I631" t="n">
        <v>0</v>
      </c>
      <c r="J631" t="n">
        <v>0</v>
      </c>
      <c r="K631" t="n">
        <v>0</v>
      </c>
      <c r="L631" t="n">
        <v>0</v>
      </c>
      <c r="M631" t="n">
        <v>0</v>
      </c>
      <c r="N631" t="n">
        <v>0</v>
      </c>
      <c r="O631" t="n">
        <v>0</v>
      </c>
      <c r="P631" t="n">
        <v>0</v>
      </c>
      <c r="Q631" t="n">
        <v>0</v>
      </c>
      <c r="R631" s="2" t="inlineStr"/>
    </row>
    <row r="632" ht="15" customHeight="1">
      <c r="A632" t="inlineStr">
        <is>
          <t>A 62314-2022</t>
        </is>
      </c>
      <c r="B632" s="1" t="n">
        <v>44916</v>
      </c>
      <c r="C632" s="1" t="n">
        <v>46032</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47869-2023</t>
        </is>
      </c>
      <c r="B633" s="1" t="n">
        <v>45204</v>
      </c>
      <c r="C633" s="1" t="n">
        <v>46032</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5170-2024</t>
        </is>
      </c>
      <c r="B634" s="1" t="n">
        <v>45330.55390046296</v>
      </c>
      <c r="C634" s="1" t="n">
        <v>46032</v>
      </c>
      <c r="D634" t="inlineStr">
        <is>
          <t>DALARNAS LÄN</t>
        </is>
      </c>
      <c r="E634" t="inlineStr">
        <is>
          <t>ÄLVDALEN</t>
        </is>
      </c>
      <c r="G634" t="n">
        <v>15.8</v>
      </c>
      <c r="H634" t="n">
        <v>0</v>
      </c>
      <c r="I634" t="n">
        <v>0</v>
      </c>
      <c r="J634" t="n">
        <v>0</v>
      </c>
      <c r="K634" t="n">
        <v>0</v>
      </c>
      <c r="L634" t="n">
        <v>0</v>
      </c>
      <c r="M634" t="n">
        <v>0</v>
      </c>
      <c r="N634" t="n">
        <v>0</v>
      </c>
      <c r="O634" t="n">
        <v>0</v>
      </c>
      <c r="P634" t="n">
        <v>0</v>
      </c>
      <c r="Q634" t="n">
        <v>0</v>
      </c>
      <c r="R634" s="2" t="inlineStr"/>
    </row>
    <row r="635" ht="15" customHeight="1">
      <c r="A635" t="inlineStr">
        <is>
          <t>A 7232-2025</t>
        </is>
      </c>
      <c r="B635" s="1" t="n">
        <v>45702.51415509259</v>
      </c>
      <c r="C635" s="1" t="n">
        <v>46032</v>
      </c>
      <c r="D635" t="inlineStr">
        <is>
          <t>DALARNAS LÄN</t>
        </is>
      </c>
      <c r="E635" t="inlineStr">
        <is>
          <t>ÄLVDALEN</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36462-2024</t>
        </is>
      </c>
      <c r="B636" s="1" t="n">
        <v>45537.35211805555</v>
      </c>
      <c r="C636" s="1" t="n">
        <v>46032</v>
      </c>
      <c r="D636" t="inlineStr">
        <is>
          <t>DALARNAS LÄN</t>
        </is>
      </c>
      <c r="E636" t="inlineStr">
        <is>
          <t>ÄLVDALEN</t>
        </is>
      </c>
      <c r="G636" t="n">
        <v>5</v>
      </c>
      <c r="H636" t="n">
        <v>0</v>
      </c>
      <c r="I636" t="n">
        <v>0</v>
      </c>
      <c r="J636" t="n">
        <v>0</v>
      </c>
      <c r="K636" t="n">
        <v>0</v>
      </c>
      <c r="L636" t="n">
        <v>0</v>
      </c>
      <c r="M636" t="n">
        <v>0</v>
      </c>
      <c r="N636" t="n">
        <v>0</v>
      </c>
      <c r="O636" t="n">
        <v>0</v>
      </c>
      <c r="P636" t="n">
        <v>0</v>
      </c>
      <c r="Q636" t="n">
        <v>0</v>
      </c>
      <c r="R636" s="2" t="inlineStr"/>
    </row>
    <row r="637" ht="15" customHeight="1">
      <c r="A637" t="inlineStr">
        <is>
          <t>A 32740-2024</t>
        </is>
      </c>
      <c r="B637" s="1" t="n">
        <v>45516.43834490741</v>
      </c>
      <c r="C637" s="1" t="n">
        <v>46032</v>
      </c>
      <c r="D637" t="inlineStr">
        <is>
          <t>DALARNAS LÄN</t>
        </is>
      </c>
      <c r="E637" t="inlineStr">
        <is>
          <t>ÄLVDALEN</t>
        </is>
      </c>
      <c r="G637" t="n">
        <v>2.1</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46032</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30143-2024</t>
        </is>
      </c>
      <c r="B639" s="1" t="n">
        <v>45488</v>
      </c>
      <c r="C639" s="1" t="n">
        <v>46032</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30146-2024</t>
        </is>
      </c>
      <c r="B640" s="1" t="n">
        <v>45488</v>
      </c>
      <c r="C640" s="1" t="n">
        <v>46032</v>
      </c>
      <c r="D640" t="inlineStr">
        <is>
          <t>DALARNAS LÄN</t>
        </is>
      </c>
      <c r="E640" t="inlineStr">
        <is>
          <t>ÄLVDALEN</t>
        </is>
      </c>
      <c r="G640" t="n">
        <v>1.1</v>
      </c>
      <c r="H640" t="n">
        <v>0</v>
      </c>
      <c r="I640" t="n">
        <v>0</v>
      </c>
      <c r="J640" t="n">
        <v>0</v>
      </c>
      <c r="K640" t="n">
        <v>0</v>
      </c>
      <c r="L640" t="n">
        <v>0</v>
      </c>
      <c r="M640" t="n">
        <v>0</v>
      </c>
      <c r="N640" t="n">
        <v>0</v>
      </c>
      <c r="O640" t="n">
        <v>0</v>
      </c>
      <c r="P640" t="n">
        <v>0</v>
      </c>
      <c r="Q640" t="n">
        <v>0</v>
      </c>
      <c r="R640" s="2" t="inlineStr"/>
    </row>
    <row r="641" ht="15" customHeight="1">
      <c r="A641" t="inlineStr">
        <is>
          <t>A 42332-2023</t>
        </is>
      </c>
      <c r="B641" s="1" t="n">
        <v>45175</v>
      </c>
      <c r="C641" s="1" t="n">
        <v>46032</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36640-2023</t>
        </is>
      </c>
      <c r="B642" s="1" t="n">
        <v>45153.54498842593</v>
      </c>
      <c r="C642" s="1" t="n">
        <v>46032</v>
      </c>
      <c r="D642" t="inlineStr">
        <is>
          <t>DALARNAS LÄN</t>
        </is>
      </c>
      <c r="E642" t="inlineStr">
        <is>
          <t>ÄLVDALEN</t>
        </is>
      </c>
      <c r="G642" t="n">
        <v>2.3</v>
      </c>
      <c r="H642" t="n">
        <v>0</v>
      </c>
      <c r="I642" t="n">
        <v>0</v>
      </c>
      <c r="J642" t="n">
        <v>0</v>
      </c>
      <c r="K642" t="n">
        <v>0</v>
      </c>
      <c r="L642" t="n">
        <v>0</v>
      </c>
      <c r="M642" t="n">
        <v>0</v>
      </c>
      <c r="N642" t="n">
        <v>0</v>
      </c>
      <c r="O642" t="n">
        <v>0</v>
      </c>
      <c r="P642" t="n">
        <v>0</v>
      </c>
      <c r="Q642" t="n">
        <v>0</v>
      </c>
      <c r="R642" s="2" t="inlineStr"/>
    </row>
    <row r="643" ht="15" customHeight="1">
      <c r="A643" t="inlineStr">
        <is>
          <t>A 19182-2023</t>
        </is>
      </c>
      <c r="B643" s="1" t="n">
        <v>45048</v>
      </c>
      <c r="C643" s="1" t="n">
        <v>46032</v>
      </c>
      <c r="D643" t="inlineStr">
        <is>
          <t>DALARNAS LÄN</t>
        </is>
      </c>
      <c r="E643" t="inlineStr">
        <is>
          <t>ÄLVDALEN</t>
        </is>
      </c>
      <c r="G643" t="n">
        <v>0.6</v>
      </c>
      <c r="H643" t="n">
        <v>0</v>
      </c>
      <c r="I643" t="n">
        <v>0</v>
      </c>
      <c r="J643" t="n">
        <v>0</v>
      </c>
      <c r="K643" t="n">
        <v>0</v>
      </c>
      <c r="L643" t="n">
        <v>0</v>
      </c>
      <c r="M643" t="n">
        <v>0</v>
      </c>
      <c r="N643" t="n">
        <v>0</v>
      </c>
      <c r="O643" t="n">
        <v>0</v>
      </c>
      <c r="P643" t="n">
        <v>0</v>
      </c>
      <c r="Q643" t="n">
        <v>0</v>
      </c>
      <c r="R643" s="2" t="inlineStr"/>
    </row>
    <row r="644" ht="15" customHeight="1">
      <c r="A644" t="inlineStr">
        <is>
          <t>A 13000-2022</t>
        </is>
      </c>
      <c r="B644" s="1" t="n">
        <v>44643.44597222222</v>
      </c>
      <c r="C644" s="1" t="n">
        <v>46032</v>
      </c>
      <c r="D644" t="inlineStr">
        <is>
          <t>DALARNAS LÄN</t>
        </is>
      </c>
      <c r="E644" t="inlineStr">
        <is>
          <t>ÄLVDALEN</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43900-2024</t>
        </is>
      </c>
      <c r="B645" s="1" t="n">
        <v>45572.41975694444</v>
      </c>
      <c r="C645" s="1" t="n">
        <v>46032</v>
      </c>
      <c r="D645" t="inlineStr">
        <is>
          <t>DALARNAS LÄN</t>
        </is>
      </c>
      <c r="E645" t="inlineStr">
        <is>
          <t>ÄLVDALEN</t>
        </is>
      </c>
      <c r="F645" t="inlineStr">
        <is>
          <t>Bergvik skog väst AB</t>
        </is>
      </c>
      <c r="G645" t="n">
        <v>7.3</v>
      </c>
      <c r="H645" t="n">
        <v>0</v>
      </c>
      <c r="I645" t="n">
        <v>0</v>
      </c>
      <c r="J645" t="n">
        <v>0</v>
      </c>
      <c r="K645" t="n">
        <v>0</v>
      </c>
      <c r="L645" t="n">
        <v>0</v>
      </c>
      <c r="M645" t="n">
        <v>0</v>
      </c>
      <c r="N645" t="n">
        <v>0</v>
      </c>
      <c r="O645" t="n">
        <v>0</v>
      </c>
      <c r="P645" t="n">
        <v>0</v>
      </c>
      <c r="Q645" t="n">
        <v>0</v>
      </c>
      <c r="R645" s="2" t="inlineStr"/>
    </row>
    <row r="646" ht="15" customHeight="1">
      <c r="A646" t="inlineStr">
        <is>
          <t>A 61450-2022</t>
        </is>
      </c>
      <c r="B646" s="1" t="n">
        <v>44910</v>
      </c>
      <c r="C646" s="1" t="n">
        <v>46032</v>
      </c>
      <c r="D646" t="inlineStr">
        <is>
          <t>DALARNAS LÄN</t>
        </is>
      </c>
      <c r="E646" t="inlineStr">
        <is>
          <t>ÄLVDALEN</t>
        </is>
      </c>
      <c r="G646" t="n">
        <v>0.7</v>
      </c>
      <c r="H646" t="n">
        <v>0</v>
      </c>
      <c r="I646" t="n">
        <v>0</v>
      </c>
      <c r="J646" t="n">
        <v>0</v>
      </c>
      <c r="K646" t="n">
        <v>0</v>
      </c>
      <c r="L646" t="n">
        <v>0</v>
      </c>
      <c r="M646" t="n">
        <v>0</v>
      </c>
      <c r="N646" t="n">
        <v>0</v>
      </c>
      <c r="O646" t="n">
        <v>0</v>
      </c>
      <c r="P646" t="n">
        <v>0</v>
      </c>
      <c r="Q646" t="n">
        <v>0</v>
      </c>
      <c r="R646" s="2" t="inlineStr"/>
    </row>
    <row r="647" ht="15" customHeight="1">
      <c r="A647" t="inlineStr">
        <is>
          <t>A 8492-2025</t>
        </is>
      </c>
      <c r="B647" s="1" t="n">
        <v>45709.50980324074</v>
      </c>
      <c r="C647" s="1" t="n">
        <v>46032</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8496-2025</t>
        </is>
      </c>
      <c r="B648" s="1" t="n">
        <v>45709.51084490741</v>
      </c>
      <c r="C648" s="1" t="n">
        <v>46032</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59668-2024</t>
        </is>
      </c>
      <c r="B649" s="1" t="n">
        <v>45639.37899305556</v>
      </c>
      <c r="C649" s="1" t="n">
        <v>46032</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59671-2024</t>
        </is>
      </c>
      <c r="B650" s="1" t="n">
        <v>45639.3862962963</v>
      </c>
      <c r="C650" s="1" t="n">
        <v>46032</v>
      </c>
      <c r="D650" t="inlineStr">
        <is>
          <t>DALARNAS LÄN</t>
        </is>
      </c>
      <c r="E650" t="inlineStr">
        <is>
          <t>ÄLVDALEN</t>
        </is>
      </c>
      <c r="G650" t="n">
        <v>2.2</v>
      </c>
      <c r="H650" t="n">
        <v>0</v>
      </c>
      <c r="I650" t="n">
        <v>0</v>
      </c>
      <c r="J650" t="n">
        <v>0</v>
      </c>
      <c r="K650" t="n">
        <v>0</v>
      </c>
      <c r="L650" t="n">
        <v>0</v>
      </c>
      <c r="M650" t="n">
        <v>0</v>
      </c>
      <c r="N650" t="n">
        <v>0</v>
      </c>
      <c r="O650" t="n">
        <v>0</v>
      </c>
      <c r="P650" t="n">
        <v>0</v>
      </c>
      <c r="Q650" t="n">
        <v>0</v>
      </c>
      <c r="R650" s="2" t="inlineStr"/>
    </row>
    <row r="651" ht="15" customHeight="1">
      <c r="A651" t="inlineStr">
        <is>
          <t>A 39064-2021</t>
        </is>
      </c>
      <c r="B651" s="1" t="n">
        <v>44411</v>
      </c>
      <c r="C651" s="1" t="n">
        <v>46032</v>
      </c>
      <c r="D651" t="inlineStr">
        <is>
          <t>DALARNAS LÄN</t>
        </is>
      </c>
      <c r="E651" t="inlineStr">
        <is>
          <t>ÄLVDALEN</t>
        </is>
      </c>
      <c r="F651" t="inlineStr">
        <is>
          <t>Övriga statliga verk och myndigheter</t>
        </is>
      </c>
      <c r="G651" t="n">
        <v>4.5</v>
      </c>
      <c r="H651" t="n">
        <v>0</v>
      </c>
      <c r="I651" t="n">
        <v>0</v>
      </c>
      <c r="J651" t="n">
        <v>0</v>
      </c>
      <c r="K651" t="n">
        <v>0</v>
      </c>
      <c r="L651" t="n">
        <v>0</v>
      </c>
      <c r="M651" t="n">
        <v>0</v>
      </c>
      <c r="N651" t="n">
        <v>0</v>
      </c>
      <c r="O651" t="n">
        <v>0</v>
      </c>
      <c r="P651" t="n">
        <v>0</v>
      </c>
      <c r="Q651" t="n">
        <v>0</v>
      </c>
      <c r="R651" s="2" t="inlineStr"/>
    </row>
    <row r="652" ht="15" customHeight="1">
      <c r="A652" t="inlineStr">
        <is>
          <t>A 27480-2022</t>
        </is>
      </c>
      <c r="B652" s="1" t="n">
        <v>44742.60590277778</v>
      </c>
      <c r="C652" s="1" t="n">
        <v>46032</v>
      </c>
      <c r="D652" t="inlineStr">
        <is>
          <t>DALARNAS LÄN</t>
        </is>
      </c>
      <c r="E652" t="inlineStr">
        <is>
          <t>ÄLVDALEN</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32031-2023</t>
        </is>
      </c>
      <c r="B653" s="1" t="n">
        <v>45107</v>
      </c>
      <c r="C653" s="1" t="n">
        <v>46032</v>
      </c>
      <c r="D653" t="inlineStr">
        <is>
          <t>DALARNAS LÄN</t>
        </is>
      </c>
      <c r="E653" t="inlineStr">
        <is>
          <t>ÄLVDALEN</t>
        </is>
      </c>
      <c r="G653" t="n">
        <v>2.7</v>
      </c>
      <c r="H653" t="n">
        <v>0</v>
      </c>
      <c r="I653" t="n">
        <v>0</v>
      </c>
      <c r="J653" t="n">
        <v>0</v>
      </c>
      <c r="K653" t="n">
        <v>0</v>
      </c>
      <c r="L653" t="n">
        <v>0</v>
      </c>
      <c r="M653" t="n">
        <v>0</v>
      </c>
      <c r="N653" t="n">
        <v>0</v>
      </c>
      <c r="O653" t="n">
        <v>0</v>
      </c>
      <c r="P653" t="n">
        <v>0</v>
      </c>
      <c r="Q653" t="n">
        <v>0</v>
      </c>
      <c r="R653" s="2" t="inlineStr"/>
    </row>
    <row r="654" ht="15" customHeight="1">
      <c r="A654" t="inlineStr">
        <is>
          <t>A 17051-2023</t>
        </is>
      </c>
      <c r="B654" s="1" t="n">
        <v>45034</v>
      </c>
      <c r="C654" s="1" t="n">
        <v>46032</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7576-2024</t>
        </is>
      </c>
      <c r="B655" s="1" t="n">
        <v>45348.47555555555</v>
      </c>
      <c r="C655" s="1" t="n">
        <v>46032</v>
      </c>
      <c r="D655" t="inlineStr">
        <is>
          <t>DALARNAS LÄN</t>
        </is>
      </c>
      <c r="E655" t="inlineStr">
        <is>
          <t>ÄLVDALEN</t>
        </is>
      </c>
      <c r="G655" t="n">
        <v>11.1</v>
      </c>
      <c r="H655" t="n">
        <v>0</v>
      </c>
      <c r="I655" t="n">
        <v>0</v>
      </c>
      <c r="J655" t="n">
        <v>0</v>
      </c>
      <c r="K655" t="n">
        <v>0</v>
      </c>
      <c r="L655" t="n">
        <v>0</v>
      </c>
      <c r="M655" t="n">
        <v>0</v>
      </c>
      <c r="N655" t="n">
        <v>0</v>
      </c>
      <c r="O655" t="n">
        <v>0</v>
      </c>
      <c r="P655" t="n">
        <v>0</v>
      </c>
      <c r="Q655" t="n">
        <v>0</v>
      </c>
      <c r="R655" s="2" t="inlineStr"/>
    </row>
    <row r="656" ht="15" customHeight="1">
      <c r="A656" t="inlineStr">
        <is>
          <t>A 2381-2024</t>
        </is>
      </c>
      <c r="B656" s="1" t="n">
        <v>45310.64228009259</v>
      </c>
      <c r="C656" s="1" t="n">
        <v>46032</v>
      </c>
      <c r="D656" t="inlineStr">
        <is>
          <t>DALARNAS LÄN</t>
        </is>
      </c>
      <c r="E656" t="inlineStr">
        <is>
          <t>ÄLVDALEN</t>
        </is>
      </c>
      <c r="G656" t="n">
        <v>1.1</v>
      </c>
      <c r="H656" t="n">
        <v>0</v>
      </c>
      <c r="I656" t="n">
        <v>0</v>
      </c>
      <c r="J656" t="n">
        <v>0</v>
      </c>
      <c r="K656" t="n">
        <v>0</v>
      </c>
      <c r="L656" t="n">
        <v>0</v>
      </c>
      <c r="M656" t="n">
        <v>0</v>
      </c>
      <c r="N656" t="n">
        <v>0</v>
      </c>
      <c r="O656" t="n">
        <v>0</v>
      </c>
      <c r="P656" t="n">
        <v>0</v>
      </c>
      <c r="Q656" t="n">
        <v>0</v>
      </c>
      <c r="R656" s="2" t="inlineStr"/>
    </row>
    <row r="657" ht="15" customHeight="1">
      <c r="A657" t="inlineStr">
        <is>
          <t>A 60642-2021</t>
        </is>
      </c>
      <c r="B657" s="1" t="n">
        <v>44496.61677083333</v>
      </c>
      <c r="C657" s="1" t="n">
        <v>46032</v>
      </c>
      <c r="D657" t="inlineStr">
        <is>
          <t>DALARNAS LÄN</t>
        </is>
      </c>
      <c r="E657" t="inlineStr">
        <is>
          <t>ÄLVDALEN</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20924-2025</t>
        </is>
      </c>
      <c r="B658" s="1" t="n">
        <v>45777</v>
      </c>
      <c r="C658" s="1" t="n">
        <v>46032</v>
      </c>
      <c r="D658" t="inlineStr">
        <is>
          <t>DALARNAS LÄN</t>
        </is>
      </c>
      <c r="E658" t="inlineStr">
        <is>
          <t>ÄLVDALEN</t>
        </is>
      </c>
      <c r="G658" t="n">
        <v>2.3</v>
      </c>
      <c r="H658" t="n">
        <v>0</v>
      </c>
      <c r="I658" t="n">
        <v>0</v>
      </c>
      <c r="J658" t="n">
        <v>0</v>
      </c>
      <c r="K658" t="n">
        <v>0</v>
      </c>
      <c r="L658" t="n">
        <v>0</v>
      </c>
      <c r="M658" t="n">
        <v>0</v>
      </c>
      <c r="N658" t="n">
        <v>0</v>
      </c>
      <c r="O658" t="n">
        <v>0</v>
      </c>
      <c r="P658" t="n">
        <v>0</v>
      </c>
      <c r="Q658" t="n">
        <v>0</v>
      </c>
      <c r="R658" s="2" t="inlineStr"/>
    </row>
    <row r="659" ht="15" customHeight="1">
      <c r="A659" t="inlineStr">
        <is>
          <t>A 21395-2025</t>
        </is>
      </c>
      <c r="B659" s="1" t="n">
        <v>45782.48197916667</v>
      </c>
      <c r="C659" s="1" t="n">
        <v>46032</v>
      </c>
      <c r="D659" t="inlineStr">
        <is>
          <t>DALARNAS LÄN</t>
        </is>
      </c>
      <c r="E659" t="inlineStr">
        <is>
          <t>ÄLVDALEN</t>
        </is>
      </c>
      <c r="G659" t="n">
        <v>6.4</v>
      </c>
      <c r="H659" t="n">
        <v>0</v>
      </c>
      <c r="I659" t="n">
        <v>0</v>
      </c>
      <c r="J659" t="n">
        <v>0</v>
      </c>
      <c r="K659" t="n">
        <v>0</v>
      </c>
      <c r="L659" t="n">
        <v>0</v>
      </c>
      <c r="M659" t="n">
        <v>0</v>
      </c>
      <c r="N659" t="n">
        <v>0</v>
      </c>
      <c r="O659" t="n">
        <v>0</v>
      </c>
      <c r="P659" t="n">
        <v>0</v>
      </c>
      <c r="Q659" t="n">
        <v>0</v>
      </c>
      <c r="R659" s="2" t="inlineStr"/>
    </row>
    <row r="660" ht="15" customHeight="1">
      <c r="A660" t="inlineStr">
        <is>
          <t>A 21613-2025</t>
        </is>
      </c>
      <c r="B660" s="1" t="n">
        <v>45783.39542824074</v>
      </c>
      <c r="C660" s="1" t="n">
        <v>46032</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c r="A661" t="inlineStr">
        <is>
          <t>A 21629-2025</t>
        </is>
      </c>
      <c r="B661" s="1" t="n">
        <v>45783.4247337963</v>
      </c>
      <c r="C661" s="1" t="n">
        <v>46032</v>
      </c>
      <c r="D661" t="inlineStr">
        <is>
          <t>DALARNAS LÄN</t>
        </is>
      </c>
      <c r="E661" t="inlineStr">
        <is>
          <t>ÄLVDALEN</t>
        </is>
      </c>
      <c r="G661" t="n">
        <v>1.8</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2026-01-10T10:48:49Z</dcterms:created>
  <dcterms:modified xmlns:dcterms="http://purl.org/dc/terms/" xmlns:xsi="http://www.w3.org/2001/XMLSchema-instance" xsi:type="dcterms:W3CDTF">2026-01-10T10:48:50Z</dcterms:modified>
</cp:coreProperties>
</file>