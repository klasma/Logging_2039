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45789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45789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45789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45789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45789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45789</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45789</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45789</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45789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45789</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45789</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45789</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45789</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45789</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45789</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45789</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45789</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45789</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45789</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45789</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45789</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45789</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45789</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45789</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45789</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45789</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45789</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45789</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45789</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45789</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45789</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45789</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45789</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45789</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45789</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45789</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45789</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45789</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45789</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45789</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45789</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45789</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45789</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45789</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45789</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45789</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45789</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45789</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45789</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45789</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45789</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45789</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45789</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45789</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45789</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45789</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45789</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45789</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45789</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45789</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45789</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45789</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45789</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45789</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45789</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45789</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45789</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45789</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45789</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45789</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45789</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45789</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45789</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45789</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45789</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45789</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45789</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45789</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45789</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45789</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45789</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45789</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45789</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45789</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45789</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45789</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45789</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45789</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45789</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45789</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45789</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45789</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45789</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45789</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45789</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45789</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45789</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45789</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45789</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45789</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45789</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45789</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45789</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45789</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45789</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45789</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45789</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45789</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45789</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45789</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45789</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45789</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45789</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45789</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45789</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45789</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45789</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45789</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45789</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45789</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45789</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45789</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45789</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45789</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45789</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45789</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45789</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45789</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45789</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45789</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45789</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45789</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45789</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45789</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45789</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45789</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45789</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45789</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45789</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45789</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45789</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45789</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45789</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45789</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45789</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45789</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45789</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45789</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45789</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45789</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45789</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45789</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45789</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45789</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45789</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45789</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45789</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45789</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45789</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45789</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45789</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45789</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45789</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45789</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45789</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45789</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45789</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45789</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45789</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45789</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45789</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45789</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45789</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45789</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45789</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45789</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45789</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31771-2024</t>
        </is>
      </c>
      <c r="B179" s="1" t="n">
        <v>45509</v>
      </c>
      <c r="C179" s="1" t="n">
        <v>45789</v>
      </c>
      <c r="D179" t="inlineStr">
        <is>
          <t>DALARNAS LÄN</t>
        </is>
      </c>
      <c r="E179" t="inlineStr">
        <is>
          <t>ÄLVDALEN</t>
        </is>
      </c>
      <c r="F179" t="inlineStr">
        <is>
          <t>Allmännings- och besparingsskogar</t>
        </is>
      </c>
      <c r="G179" t="n">
        <v>17.8</v>
      </c>
      <c r="H179" t="n">
        <v>1</v>
      </c>
      <c r="I179" t="n">
        <v>0</v>
      </c>
      <c r="J179" t="n">
        <v>0</v>
      </c>
      <c r="K179" t="n">
        <v>0</v>
      </c>
      <c r="L179" t="n">
        <v>1</v>
      </c>
      <c r="M179" t="n">
        <v>0</v>
      </c>
      <c r="N179" t="n">
        <v>0</v>
      </c>
      <c r="O179" t="n">
        <v>1</v>
      </c>
      <c r="P179" t="n">
        <v>1</v>
      </c>
      <c r="Q179" t="n">
        <v>1</v>
      </c>
      <c r="R179" s="2" t="inlineStr">
        <is>
          <t>Mosippa</t>
        </is>
      </c>
      <c r="S179">
        <f>HYPERLINK("https://klasma.github.io/Logging_2039/artfynd/A 31771-2024 artfynd.xlsx", "A 31771-2024")</f>
        <v/>
      </c>
      <c r="T179">
        <f>HYPERLINK("https://klasma.github.io/Logging_2039/kartor/A 31771-2024 karta.png", "A 31771-2024")</f>
        <v/>
      </c>
      <c r="V179">
        <f>HYPERLINK("https://klasma.github.io/Logging_2039/klagomål/A 31771-2024 FSC-klagomål.docx", "A 31771-2024")</f>
        <v/>
      </c>
      <c r="W179">
        <f>HYPERLINK("https://klasma.github.io/Logging_2039/klagomålsmail/A 31771-2024 FSC-klagomål mail.docx", "A 31771-2024")</f>
        <v/>
      </c>
      <c r="X179">
        <f>HYPERLINK("https://klasma.github.io/Logging_2039/tillsyn/A 31771-2024 tillsynsbegäran.docx", "A 31771-2024")</f>
        <v/>
      </c>
      <c r="Y179">
        <f>HYPERLINK("https://klasma.github.io/Logging_2039/tillsynsmail/A 31771-2024 tillsynsbegäran mail.docx", "A 31771-2024")</f>
        <v/>
      </c>
    </row>
    <row r="180" ht="15" customHeight="1">
      <c r="A180" t="inlineStr">
        <is>
          <t>A 32199-2024</t>
        </is>
      </c>
      <c r="B180" s="1" t="n">
        <v>45511</v>
      </c>
      <c r="C180" s="1" t="n">
        <v>45789</v>
      </c>
      <c r="D180" t="inlineStr">
        <is>
          <t>DALARNAS LÄN</t>
        </is>
      </c>
      <c r="E180" t="inlineStr">
        <is>
          <t>ÄLVDALEN</t>
        </is>
      </c>
      <c r="F180" t="inlineStr">
        <is>
          <t>Sveaskog</t>
        </is>
      </c>
      <c r="G180" t="n">
        <v>4.6</v>
      </c>
      <c r="H180" t="n">
        <v>1</v>
      </c>
      <c r="I180" t="n">
        <v>0</v>
      </c>
      <c r="J180" t="n">
        <v>1</v>
      </c>
      <c r="K180" t="n">
        <v>0</v>
      </c>
      <c r="L180" t="n">
        <v>0</v>
      </c>
      <c r="M180" t="n">
        <v>0</v>
      </c>
      <c r="N180" t="n">
        <v>0</v>
      </c>
      <c r="O180" t="n">
        <v>1</v>
      </c>
      <c r="P180" t="n">
        <v>0</v>
      </c>
      <c r="Q180" t="n">
        <v>1</v>
      </c>
      <c r="R180" s="2" t="inlineStr">
        <is>
          <t>Varglav</t>
        </is>
      </c>
      <c r="S180">
        <f>HYPERLINK("https://klasma.github.io/Logging_2039/artfynd/A 32199-2024 artfynd.xlsx", "A 32199-2024")</f>
        <v/>
      </c>
      <c r="T180">
        <f>HYPERLINK("https://klasma.github.io/Logging_2039/kartor/A 32199-2024 karta.png", "A 32199-2024")</f>
        <v/>
      </c>
      <c r="V180">
        <f>HYPERLINK("https://klasma.github.io/Logging_2039/klagomål/A 32199-2024 FSC-klagomål.docx", "A 32199-2024")</f>
        <v/>
      </c>
      <c r="W180">
        <f>HYPERLINK("https://klasma.github.io/Logging_2039/klagomålsmail/A 32199-2024 FSC-klagomål mail.docx", "A 32199-2024")</f>
        <v/>
      </c>
      <c r="X180">
        <f>HYPERLINK("https://klasma.github.io/Logging_2039/tillsyn/A 32199-2024 tillsynsbegäran.docx", "A 32199-2024")</f>
        <v/>
      </c>
      <c r="Y180">
        <f>HYPERLINK("https://klasma.github.io/Logging_2039/tillsynsmail/A 32199-2024 tillsynsbegäran mail.docx", "A 32199-2024")</f>
        <v/>
      </c>
    </row>
    <row r="181" ht="15" customHeight="1">
      <c r="A181" t="inlineStr">
        <is>
          <t>A 45202-2024</t>
        </is>
      </c>
      <c r="B181" s="1" t="n">
        <v>45575</v>
      </c>
      <c r="C181" s="1" t="n">
        <v>45789</v>
      </c>
      <c r="D181" t="inlineStr">
        <is>
          <t>DALARNAS LÄN</t>
        </is>
      </c>
      <c r="E181" t="inlineStr">
        <is>
          <t>ÄLVDALEN</t>
        </is>
      </c>
      <c r="G181" t="n">
        <v>184.5</v>
      </c>
      <c r="H181" t="n">
        <v>1</v>
      </c>
      <c r="I181" t="n">
        <v>0</v>
      </c>
      <c r="J181" t="n">
        <v>0</v>
      </c>
      <c r="K181" t="n">
        <v>0</v>
      </c>
      <c r="L181" t="n">
        <v>0</v>
      </c>
      <c r="M181" t="n">
        <v>0</v>
      </c>
      <c r="N181" t="n">
        <v>0</v>
      </c>
      <c r="O181" t="n">
        <v>0</v>
      </c>
      <c r="P181" t="n">
        <v>0</v>
      </c>
      <c r="Q181" t="n">
        <v>1</v>
      </c>
      <c r="R181" s="2" t="inlineStr">
        <is>
          <t>Lavskrika</t>
        </is>
      </c>
      <c r="S181">
        <f>HYPERLINK("https://klasma.github.io/Logging_2039/artfynd/A 45202-2024 artfynd.xlsx", "A 45202-2024")</f>
        <v/>
      </c>
      <c r="T181">
        <f>HYPERLINK("https://klasma.github.io/Logging_2039/kartor/A 45202-2024 karta.png", "A 45202-2024")</f>
        <v/>
      </c>
      <c r="V181">
        <f>HYPERLINK("https://klasma.github.io/Logging_2039/klagomål/A 45202-2024 FSC-klagomål.docx", "A 45202-2024")</f>
        <v/>
      </c>
      <c r="W181">
        <f>HYPERLINK("https://klasma.github.io/Logging_2039/klagomålsmail/A 45202-2024 FSC-klagomål mail.docx", "A 45202-2024")</f>
        <v/>
      </c>
      <c r="X181">
        <f>HYPERLINK("https://klasma.github.io/Logging_2039/tillsyn/A 45202-2024 tillsynsbegäran.docx", "A 45202-2024")</f>
        <v/>
      </c>
      <c r="Y181">
        <f>HYPERLINK("https://klasma.github.io/Logging_2039/tillsynsmail/A 45202-2024 tillsynsbegäran mail.docx", "A 45202-2024")</f>
        <v/>
      </c>
      <c r="Z181">
        <f>HYPERLINK("https://klasma.github.io/Logging_2039/fåglar/A 45202-2024 prioriterade fågelarter.docx", "A 45202-2024")</f>
        <v/>
      </c>
    </row>
    <row r="182" ht="15" customHeight="1">
      <c r="A182" t="inlineStr">
        <is>
          <t>A 45201-2024</t>
        </is>
      </c>
      <c r="B182" s="1" t="n">
        <v>45575</v>
      </c>
      <c r="C182" s="1" t="n">
        <v>45789</v>
      </c>
      <c r="D182" t="inlineStr">
        <is>
          <t>DALARNAS LÄN</t>
        </is>
      </c>
      <c r="E182" t="inlineStr">
        <is>
          <t>ÄLVDALEN</t>
        </is>
      </c>
      <c r="G182" t="n">
        <v>24.6</v>
      </c>
      <c r="H182" t="n">
        <v>1</v>
      </c>
      <c r="I182" t="n">
        <v>0</v>
      </c>
      <c r="J182" t="n">
        <v>1</v>
      </c>
      <c r="K182" t="n">
        <v>0</v>
      </c>
      <c r="L182" t="n">
        <v>0</v>
      </c>
      <c r="M182" t="n">
        <v>0</v>
      </c>
      <c r="N182" t="n">
        <v>0</v>
      </c>
      <c r="O182" t="n">
        <v>1</v>
      </c>
      <c r="P182" t="n">
        <v>0</v>
      </c>
      <c r="Q182" t="n">
        <v>1</v>
      </c>
      <c r="R182" s="2" t="inlineStr">
        <is>
          <t>Varglav</t>
        </is>
      </c>
      <c r="S182">
        <f>HYPERLINK("https://klasma.github.io/Logging_2039/artfynd/A 45201-2024 artfynd.xlsx", "A 45201-2024")</f>
        <v/>
      </c>
      <c r="T182">
        <f>HYPERLINK("https://klasma.github.io/Logging_2039/kartor/A 45201-2024 karta.png", "A 45201-2024")</f>
        <v/>
      </c>
      <c r="V182">
        <f>HYPERLINK("https://klasma.github.io/Logging_2039/klagomål/A 45201-2024 FSC-klagomål.docx", "A 45201-2024")</f>
        <v/>
      </c>
      <c r="W182">
        <f>HYPERLINK("https://klasma.github.io/Logging_2039/klagomålsmail/A 45201-2024 FSC-klagomål mail.docx", "A 45201-2024")</f>
        <v/>
      </c>
      <c r="X182">
        <f>HYPERLINK("https://klasma.github.io/Logging_2039/tillsyn/A 45201-2024 tillsynsbegäran.docx", "A 45201-2024")</f>
        <v/>
      </c>
      <c r="Y182">
        <f>HYPERLINK("https://klasma.github.io/Logging_2039/tillsynsmail/A 45201-2024 tillsynsbegäran mail.docx", "A 45201-2024")</f>
        <v/>
      </c>
    </row>
    <row r="183" ht="15" customHeight="1">
      <c r="A183" t="inlineStr">
        <is>
          <t>A 50981-2024</t>
        </is>
      </c>
      <c r="B183" s="1" t="n">
        <v>45603</v>
      </c>
      <c r="C183" s="1" t="n">
        <v>45789</v>
      </c>
      <c r="D183" t="inlineStr">
        <is>
          <t>DALARNAS LÄN</t>
        </is>
      </c>
      <c r="E183" t="inlineStr">
        <is>
          <t>ÄLVDALEN</t>
        </is>
      </c>
      <c r="G183" t="n">
        <v>5.1</v>
      </c>
      <c r="H183" t="n">
        <v>0</v>
      </c>
      <c r="I183" t="n">
        <v>0</v>
      </c>
      <c r="J183" t="n">
        <v>1</v>
      </c>
      <c r="K183" t="n">
        <v>0</v>
      </c>
      <c r="L183" t="n">
        <v>0</v>
      </c>
      <c r="M183" t="n">
        <v>0</v>
      </c>
      <c r="N183" t="n">
        <v>0</v>
      </c>
      <c r="O183" t="n">
        <v>1</v>
      </c>
      <c r="P183" t="n">
        <v>0</v>
      </c>
      <c r="Q183" t="n">
        <v>1</v>
      </c>
      <c r="R183" s="2" t="inlineStr">
        <is>
          <t>Vedskivlav</t>
        </is>
      </c>
      <c r="S183">
        <f>HYPERLINK("https://klasma.github.io/Logging_2039/artfynd/A 50981-2024 artfynd.xlsx", "A 50981-2024")</f>
        <v/>
      </c>
      <c r="T183">
        <f>HYPERLINK("https://klasma.github.io/Logging_2039/kartor/A 50981-2024 karta.png", "A 50981-2024")</f>
        <v/>
      </c>
      <c r="V183">
        <f>HYPERLINK("https://klasma.github.io/Logging_2039/klagomål/A 50981-2024 FSC-klagomål.docx", "A 50981-2024")</f>
        <v/>
      </c>
      <c r="W183">
        <f>HYPERLINK("https://klasma.github.io/Logging_2039/klagomålsmail/A 50981-2024 FSC-klagomål mail.docx", "A 50981-2024")</f>
        <v/>
      </c>
      <c r="X183">
        <f>HYPERLINK("https://klasma.github.io/Logging_2039/tillsyn/A 50981-2024 tillsynsbegäran.docx", "A 50981-2024")</f>
        <v/>
      </c>
      <c r="Y183">
        <f>HYPERLINK("https://klasma.github.io/Logging_2039/tillsynsmail/A 50981-2024 tillsynsbegäran mail.docx", "A 50981-2024")</f>
        <v/>
      </c>
    </row>
    <row r="184" ht="15" customHeight="1">
      <c r="A184" t="inlineStr">
        <is>
          <t>A 662-2025</t>
        </is>
      </c>
      <c r="B184" s="1" t="n">
        <v>45664</v>
      </c>
      <c r="C184" s="1" t="n">
        <v>45789</v>
      </c>
      <c r="D184" t="inlineStr">
        <is>
          <t>DALARNAS LÄN</t>
        </is>
      </c>
      <c r="E184" t="inlineStr">
        <is>
          <t>ÄLVDALEN</t>
        </is>
      </c>
      <c r="G184" t="n">
        <v>20</v>
      </c>
      <c r="H184" t="n">
        <v>0</v>
      </c>
      <c r="I184" t="n">
        <v>0</v>
      </c>
      <c r="J184" t="n">
        <v>1</v>
      </c>
      <c r="K184" t="n">
        <v>0</v>
      </c>
      <c r="L184" t="n">
        <v>0</v>
      </c>
      <c r="M184" t="n">
        <v>0</v>
      </c>
      <c r="N184" t="n">
        <v>0</v>
      </c>
      <c r="O184" t="n">
        <v>1</v>
      </c>
      <c r="P184" t="n">
        <v>0</v>
      </c>
      <c r="Q184" t="n">
        <v>1</v>
      </c>
      <c r="R184" s="2" t="inlineStr">
        <is>
          <t>Garnlav</t>
        </is>
      </c>
      <c r="S184">
        <f>HYPERLINK("https://klasma.github.io/Logging_2039/artfynd/A 662-2025 artfynd.xlsx", "A 662-2025")</f>
        <v/>
      </c>
      <c r="T184">
        <f>HYPERLINK("https://klasma.github.io/Logging_2039/kartor/A 662-2025 karta.png", "A 662-2025")</f>
        <v/>
      </c>
      <c r="V184">
        <f>HYPERLINK("https://klasma.github.io/Logging_2039/klagomål/A 662-2025 FSC-klagomål.docx", "A 662-2025")</f>
        <v/>
      </c>
      <c r="W184">
        <f>HYPERLINK("https://klasma.github.io/Logging_2039/klagomålsmail/A 662-2025 FSC-klagomål mail.docx", "A 662-2025")</f>
        <v/>
      </c>
      <c r="X184">
        <f>HYPERLINK("https://klasma.github.io/Logging_2039/tillsyn/A 662-2025 tillsynsbegäran.docx", "A 662-2025")</f>
        <v/>
      </c>
      <c r="Y184">
        <f>HYPERLINK("https://klasma.github.io/Logging_2039/tillsynsmail/A 662-2025 tillsynsbegäran mail.docx", "A 662-2025")</f>
        <v/>
      </c>
    </row>
    <row r="185" ht="15" customHeight="1">
      <c r="A185" t="inlineStr">
        <is>
          <t>A 19338-2025</t>
        </is>
      </c>
      <c r="B185" s="1" t="n">
        <v>45769</v>
      </c>
      <c r="C185" s="1" t="n">
        <v>45789</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19338-2025 artfynd.xlsx", "A 19338-2025")</f>
        <v/>
      </c>
      <c r="T185">
        <f>HYPERLINK("https://klasma.github.io/Logging_202039/kartor/A 19338-2025 karta.png", "A 19338-2025")</f>
        <v/>
      </c>
      <c r="V185">
        <f>HYPERLINK("https://klasma.github.io/Logging_202039/klagomål/A 19338-2025 FSC-klagomål.docx", "A 19338-2025")</f>
        <v/>
      </c>
      <c r="W185">
        <f>HYPERLINK("https://klasma.github.io/Logging_202039/klagomålsmail/A 19338-2025 FSC-klagomål mail.docx", "A 19338-2025")</f>
        <v/>
      </c>
      <c r="X185">
        <f>HYPERLINK("https://klasma.github.io/Logging_202039/tillsyn/A 19338-2025 tillsynsbegäran.docx", "A 19338-2025")</f>
        <v/>
      </c>
      <c r="Y185">
        <f>HYPERLINK("https://klasma.github.io/Logging_202039/tillsynsmail/A 19338-2025 tillsynsbegäran mail.docx", "A 19338-2025")</f>
        <v/>
      </c>
    </row>
    <row r="186" ht="15" customHeight="1">
      <c r="A186" t="inlineStr">
        <is>
          <t>A 19443-2025</t>
        </is>
      </c>
      <c r="B186" s="1" t="n">
        <v>45770</v>
      </c>
      <c r="C186" s="1" t="n">
        <v>45789</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19443-2025 artfynd.xlsx", "A 19443-2025")</f>
        <v/>
      </c>
      <c r="T186">
        <f>HYPERLINK("https://klasma.github.io/Logging_202039/kartor/A 19443-2025 karta.png", "A 19443-2025")</f>
        <v/>
      </c>
      <c r="V186">
        <f>HYPERLINK("https://klasma.github.io/Logging_202039/klagomål/A 19443-2025 FSC-klagomål.docx", "A 19443-2025")</f>
        <v/>
      </c>
      <c r="W186">
        <f>HYPERLINK("https://klasma.github.io/Logging_202039/klagomålsmail/A 19443-2025 FSC-klagomål mail.docx", "A 19443-2025")</f>
        <v/>
      </c>
      <c r="X186">
        <f>HYPERLINK("https://klasma.github.io/Logging_202039/tillsyn/A 19443-2025 tillsynsbegäran.docx", "A 19443-2025")</f>
        <v/>
      </c>
      <c r="Y186">
        <f>HYPERLINK("https://klasma.github.io/Logging_202039/tillsynsmail/A 19443-2025 tillsynsbegäran mail.docx", "A 19443-2025")</f>
        <v/>
      </c>
    </row>
    <row r="187" ht="15" customHeight="1">
      <c r="A187" t="inlineStr">
        <is>
          <t>A 17751-2019</t>
        </is>
      </c>
      <c r="B187" s="1" t="n">
        <v>43556</v>
      </c>
      <c r="C187" s="1" t="n">
        <v>45789</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17741-2019</t>
        </is>
      </c>
      <c r="B188" s="1" t="n">
        <v>43556</v>
      </c>
      <c r="C188" s="1" t="n">
        <v>45789</v>
      </c>
      <c r="D188" t="inlineStr">
        <is>
          <t>DALARNAS LÄN</t>
        </is>
      </c>
      <c r="E188" t="inlineStr">
        <is>
          <t>ÄLVDALEN</t>
        </is>
      </c>
      <c r="G188" t="n">
        <v>2.3</v>
      </c>
      <c r="H188" t="n">
        <v>0</v>
      </c>
      <c r="I188" t="n">
        <v>0</v>
      </c>
      <c r="J188" t="n">
        <v>0</v>
      </c>
      <c r="K188" t="n">
        <v>0</v>
      </c>
      <c r="L188" t="n">
        <v>0</v>
      </c>
      <c r="M188" t="n">
        <v>0</v>
      </c>
      <c r="N188" t="n">
        <v>0</v>
      </c>
      <c r="O188" t="n">
        <v>0</v>
      </c>
      <c r="P188" t="n">
        <v>0</v>
      </c>
      <c r="Q188" t="n">
        <v>0</v>
      </c>
      <c r="R188" s="2" t="inlineStr"/>
    </row>
    <row r="189" ht="15" customHeight="1">
      <c r="A189" t="inlineStr">
        <is>
          <t>A 20104-2019</t>
        </is>
      </c>
      <c r="B189" s="1" t="n">
        <v>43570</v>
      </c>
      <c r="C189" s="1" t="n">
        <v>45789</v>
      </c>
      <c r="D189" t="inlineStr">
        <is>
          <t>DALARNAS LÄN</t>
        </is>
      </c>
      <c r="E189" t="inlineStr">
        <is>
          <t>ÄLVDALEN</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20004-2019</t>
        </is>
      </c>
      <c r="B190" s="1" t="n">
        <v>43570</v>
      </c>
      <c r="C190" s="1" t="n">
        <v>45789</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20948-2019</t>
        </is>
      </c>
      <c r="B191" s="1" t="n">
        <v>43578</v>
      </c>
      <c r="C191" s="1" t="n">
        <v>45789</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20962-2019</t>
        </is>
      </c>
      <c r="B192" s="1" t="n">
        <v>43578</v>
      </c>
      <c r="C192" s="1" t="n">
        <v>45789</v>
      </c>
      <c r="D192" t="inlineStr">
        <is>
          <t>DALARNAS LÄN</t>
        </is>
      </c>
      <c r="E192" t="inlineStr">
        <is>
          <t>ÄLVDALEN</t>
        </is>
      </c>
      <c r="G192" t="n">
        <v>1.4</v>
      </c>
      <c r="H192" t="n">
        <v>0</v>
      </c>
      <c r="I192" t="n">
        <v>0</v>
      </c>
      <c r="J192" t="n">
        <v>0</v>
      </c>
      <c r="K192" t="n">
        <v>0</v>
      </c>
      <c r="L192" t="n">
        <v>0</v>
      </c>
      <c r="M192" t="n">
        <v>0</v>
      </c>
      <c r="N192" t="n">
        <v>0</v>
      </c>
      <c r="O192" t="n">
        <v>0</v>
      </c>
      <c r="P192" t="n">
        <v>0</v>
      </c>
      <c r="Q192" t="n">
        <v>0</v>
      </c>
      <c r="R192" s="2" t="inlineStr"/>
    </row>
    <row r="193" ht="15" customHeight="1">
      <c r="A193" t="inlineStr">
        <is>
          <t>A 21717-2019</t>
        </is>
      </c>
      <c r="B193" s="1" t="n">
        <v>43581</v>
      </c>
      <c r="C193" s="1" t="n">
        <v>45789</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21969-2019</t>
        </is>
      </c>
      <c r="B194" s="1" t="n">
        <v>43584</v>
      </c>
      <c r="C194" s="1" t="n">
        <v>45789</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23360-2019</t>
        </is>
      </c>
      <c r="B195" s="1" t="n">
        <v>43593</v>
      </c>
      <c r="C195" s="1" t="n">
        <v>45789</v>
      </c>
      <c r="D195" t="inlineStr">
        <is>
          <t>DALARNAS LÄN</t>
        </is>
      </c>
      <c r="E195" t="inlineStr">
        <is>
          <t>ÄLVDALEN</t>
        </is>
      </c>
      <c r="G195" t="n">
        <v>1.5</v>
      </c>
      <c r="H195" t="n">
        <v>0</v>
      </c>
      <c r="I195" t="n">
        <v>0</v>
      </c>
      <c r="J195" t="n">
        <v>0</v>
      </c>
      <c r="K195" t="n">
        <v>0</v>
      </c>
      <c r="L195" t="n">
        <v>0</v>
      </c>
      <c r="M195" t="n">
        <v>0</v>
      </c>
      <c r="N195" t="n">
        <v>0</v>
      </c>
      <c r="O195" t="n">
        <v>0</v>
      </c>
      <c r="P195" t="n">
        <v>0</v>
      </c>
      <c r="Q195" t="n">
        <v>0</v>
      </c>
      <c r="R195" s="2" t="inlineStr"/>
    </row>
    <row r="196" ht="15" customHeight="1">
      <c r="A196" t="inlineStr">
        <is>
          <t>A 23946-2019</t>
        </is>
      </c>
      <c r="B196" s="1" t="n">
        <v>43596</v>
      </c>
      <c r="C196" s="1" t="n">
        <v>45789</v>
      </c>
      <c r="D196" t="inlineStr">
        <is>
          <t>DALARNAS LÄN</t>
        </is>
      </c>
      <c r="E196" t="inlineStr">
        <is>
          <t>ÄLVDALEN</t>
        </is>
      </c>
      <c r="G196" t="n">
        <v>3.6</v>
      </c>
      <c r="H196" t="n">
        <v>0</v>
      </c>
      <c r="I196" t="n">
        <v>0</v>
      </c>
      <c r="J196" t="n">
        <v>0</v>
      </c>
      <c r="K196" t="n">
        <v>0</v>
      </c>
      <c r="L196" t="n">
        <v>0</v>
      </c>
      <c r="M196" t="n">
        <v>0</v>
      </c>
      <c r="N196" t="n">
        <v>0</v>
      </c>
      <c r="O196" t="n">
        <v>0</v>
      </c>
      <c r="P196" t="n">
        <v>0</v>
      </c>
      <c r="Q196" t="n">
        <v>0</v>
      </c>
      <c r="R196" s="2" t="inlineStr"/>
    </row>
    <row r="197" ht="15" customHeight="1">
      <c r="A197" t="inlineStr">
        <is>
          <t>A 24651-2019</t>
        </is>
      </c>
      <c r="B197" s="1" t="n">
        <v>43601</v>
      </c>
      <c r="C197" s="1" t="n">
        <v>45789</v>
      </c>
      <c r="D197" t="inlineStr">
        <is>
          <t>DALARNAS LÄN</t>
        </is>
      </c>
      <c r="E197" t="inlineStr">
        <is>
          <t>ÄLVDALEN</t>
        </is>
      </c>
      <c r="G197" t="n">
        <v>10.1</v>
      </c>
      <c r="H197" t="n">
        <v>0</v>
      </c>
      <c r="I197" t="n">
        <v>0</v>
      </c>
      <c r="J197" t="n">
        <v>0</v>
      </c>
      <c r="K197" t="n">
        <v>0</v>
      </c>
      <c r="L197" t="n">
        <v>0</v>
      </c>
      <c r="M197" t="n">
        <v>0</v>
      </c>
      <c r="N197" t="n">
        <v>0</v>
      </c>
      <c r="O197" t="n">
        <v>0</v>
      </c>
      <c r="P197" t="n">
        <v>0</v>
      </c>
      <c r="Q197" t="n">
        <v>0</v>
      </c>
      <c r="R197" s="2" t="inlineStr"/>
    </row>
    <row r="198" ht="15" customHeight="1">
      <c r="A198" t="inlineStr">
        <is>
          <t>A 25001-2019</t>
        </is>
      </c>
      <c r="B198" s="1" t="n">
        <v>43602</v>
      </c>
      <c r="C198" s="1" t="n">
        <v>45789</v>
      </c>
      <c r="D198" t="inlineStr">
        <is>
          <t>DALARNAS LÄN</t>
        </is>
      </c>
      <c r="E198" t="inlineStr">
        <is>
          <t>ÄLVDALEN</t>
        </is>
      </c>
      <c r="F198" t="inlineStr">
        <is>
          <t>Kommuner</t>
        </is>
      </c>
      <c r="G198" t="n">
        <v>4.8</v>
      </c>
      <c r="H198" t="n">
        <v>0</v>
      </c>
      <c r="I198" t="n">
        <v>0</v>
      </c>
      <c r="J198" t="n">
        <v>0</v>
      </c>
      <c r="K198" t="n">
        <v>0</v>
      </c>
      <c r="L198" t="n">
        <v>0</v>
      </c>
      <c r="M198" t="n">
        <v>0</v>
      </c>
      <c r="N198" t="n">
        <v>0</v>
      </c>
      <c r="O198" t="n">
        <v>0</v>
      </c>
      <c r="P198" t="n">
        <v>0</v>
      </c>
      <c r="Q198" t="n">
        <v>0</v>
      </c>
      <c r="R198" s="2" t="inlineStr"/>
    </row>
    <row r="199" ht="15" customHeight="1">
      <c r="A199" t="inlineStr">
        <is>
          <t>A 26164-2019</t>
        </is>
      </c>
      <c r="B199" s="1" t="n">
        <v>43609</v>
      </c>
      <c r="C199" s="1" t="n">
        <v>45789</v>
      </c>
      <c r="D199" t="inlineStr">
        <is>
          <t>DALARNAS LÄN</t>
        </is>
      </c>
      <c r="E199" t="inlineStr">
        <is>
          <t>ÄLVDALEN</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26127-2019</t>
        </is>
      </c>
      <c r="B200" s="1" t="n">
        <v>43609</v>
      </c>
      <c r="C200" s="1" t="n">
        <v>45789</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27077-2019</t>
        </is>
      </c>
      <c r="B201" s="1" t="n">
        <v>43609</v>
      </c>
      <c r="C201" s="1" t="n">
        <v>45789</v>
      </c>
      <c r="D201" t="inlineStr">
        <is>
          <t>DALARNAS LÄN</t>
        </is>
      </c>
      <c r="E201" t="inlineStr">
        <is>
          <t>ÄLVDALEN</t>
        </is>
      </c>
      <c r="G201" t="n">
        <v>7.4</v>
      </c>
      <c r="H201" t="n">
        <v>0</v>
      </c>
      <c r="I201" t="n">
        <v>0</v>
      </c>
      <c r="J201" t="n">
        <v>0</v>
      </c>
      <c r="K201" t="n">
        <v>0</v>
      </c>
      <c r="L201" t="n">
        <v>0</v>
      </c>
      <c r="M201" t="n">
        <v>0</v>
      </c>
      <c r="N201" t="n">
        <v>0</v>
      </c>
      <c r="O201" t="n">
        <v>0</v>
      </c>
      <c r="P201" t="n">
        <v>0</v>
      </c>
      <c r="Q201" t="n">
        <v>0</v>
      </c>
      <c r="R201" s="2" t="inlineStr"/>
    </row>
    <row r="202" ht="15" customHeight="1">
      <c r="A202" t="inlineStr">
        <is>
          <t>A 26103-2019</t>
        </is>
      </c>
      <c r="B202" s="1" t="n">
        <v>43609</v>
      </c>
      <c r="C202" s="1" t="n">
        <v>45789</v>
      </c>
      <c r="D202" t="inlineStr">
        <is>
          <t>DALARNAS LÄN</t>
        </is>
      </c>
      <c r="E202" t="inlineStr">
        <is>
          <t>ÄLVDALEN</t>
        </is>
      </c>
      <c r="G202" t="n">
        <v>12.7</v>
      </c>
      <c r="H202" t="n">
        <v>0</v>
      </c>
      <c r="I202" t="n">
        <v>0</v>
      </c>
      <c r="J202" t="n">
        <v>0</v>
      </c>
      <c r="K202" t="n">
        <v>0</v>
      </c>
      <c r="L202" t="n">
        <v>0</v>
      </c>
      <c r="M202" t="n">
        <v>0</v>
      </c>
      <c r="N202" t="n">
        <v>0</v>
      </c>
      <c r="O202" t="n">
        <v>0</v>
      </c>
      <c r="P202" t="n">
        <v>0</v>
      </c>
      <c r="Q202" t="n">
        <v>0</v>
      </c>
      <c r="R202" s="2" t="inlineStr"/>
    </row>
    <row r="203" ht="15" customHeight="1">
      <c r="A203" t="inlineStr">
        <is>
          <t>A 26910-2019</t>
        </is>
      </c>
      <c r="B203" s="1" t="n">
        <v>43613</v>
      </c>
      <c r="C203" s="1" t="n">
        <v>45789</v>
      </c>
      <c r="D203" t="inlineStr">
        <is>
          <t>DALARNAS LÄN</t>
        </is>
      </c>
      <c r="E203" t="inlineStr">
        <is>
          <t>ÄLVDALEN</t>
        </is>
      </c>
      <c r="G203" t="n">
        <v>4.1</v>
      </c>
      <c r="H203" t="n">
        <v>0</v>
      </c>
      <c r="I203" t="n">
        <v>0</v>
      </c>
      <c r="J203" t="n">
        <v>0</v>
      </c>
      <c r="K203" t="n">
        <v>0</v>
      </c>
      <c r="L203" t="n">
        <v>0</v>
      </c>
      <c r="M203" t="n">
        <v>0</v>
      </c>
      <c r="N203" t="n">
        <v>0</v>
      </c>
      <c r="O203" t="n">
        <v>0</v>
      </c>
      <c r="P203" t="n">
        <v>0</v>
      </c>
      <c r="Q203" t="n">
        <v>0</v>
      </c>
      <c r="R203" s="2" t="inlineStr"/>
    </row>
    <row r="204" ht="15" customHeight="1">
      <c r="A204" t="inlineStr">
        <is>
          <t>A 27720-2019</t>
        </is>
      </c>
      <c r="B204" s="1" t="n">
        <v>43619</v>
      </c>
      <c r="C204" s="1" t="n">
        <v>45789</v>
      </c>
      <c r="D204" t="inlineStr">
        <is>
          <t>DALARNAS LÄN</t>
        </is>
      </c>
      <c r="E204" t="inlineStr">
        <is>
          <t>ÄLVDALEN</t>
        </is>
      </c>
      <c r="F204" t="inlineStr">
        <is>
          <t>Bergvik skog väst AB</t>
        </is>
      </c>
      <c r="G204" t="n">
        <v>12.4</v>
      </c>
      <c r="H204" t="n">
        <v>0</v>
      </c>
      <c r="I204" t="n">
        <v>0</v>
      </c>
      <c r="J204" t="n">
        <v>0</v>
      </c>
      <c r="K204" t="n">
        <v>0</v>
      </c>
      <c r="L204" t="n">
        <v>0</v>
      </c>
      <c r="M204" t="n">
        <v>0</v>
      </c>
      <c r="N204" t="n">
        <v>0</v>
      </c>
      <c r="O204" t="n">
        <v>0</v>
      </c>
      <c r="P204" t="n">
        <v>0</v>
      </c>
      <c r="Q204" t="n">
        <v>0</v>
      </c>
      <c r="R204" s="2" t="inlineStr"/>
    </row>
    <row r="205" ht="15" customHeight="1">
      <c r="A205" t="inlineStr">
        <is>
          <t>A 27691-2019</t>
        </is>
      </c>
      <c r="B205" s="1" t="n">
        <v>43619</v>
      </c>
      <c r="C205" s="1" t="n">
        <v>45789</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28350-2019</t>
        </is>
      </c>
      <c r="B206" s="1" t="n">
        <v>43624</v>
      </c>
      <c r="C206" s="1" t="n">
        <v>45789</v>
      </c>
      <c r="D206" t="inlineStr">
        <is>
          <t>DALARNAS LÄN</t>
        </is>
      </c>
      <c r="E206" t="inlineStr">
        <is>
          <t>ÄLVDALEN</t>
        </is>
      </c>
      <c r="G206" t="n">
        <v>18.2</v>
      </c>
      <c r="H206" t="n">
        <v>0</v>
      </c>
      <c r="I206" t="n">
        <v>0</v>
      </c>
      <c r="J206" t="n">
        <v>0</v>
      </c>
      <c r="K206" t="n">
        <v>0</v>
      </c>
      <c r="L206" t="n">
        <v>0</v>
      </c>
      <c r="M206" t="n">
        <v>0</v>
      </c>
      <c r="N206" t="n">
        <v>0</v>
      </c>
      <c r="O206" t="n">
        <v>0</v>
      </c>
      <c r="P206" t="n">
        <v>0</v>
      </c>
      <c r="Q206" t="n">
        <v>0</v>
      </c>
      <c r="R206" s="2" t="inlineStr"/>
    </row>
    <row r="207" ht="15" customHeight="1">
      <c r="A207" t="inlineStr">
        <is>
          <t>A 28536-2019</t>
        </is>
      </c>
      <c r="B207" s="1" t="n">
        <v>43626</v>
      </c>
      <c r="C207" s="1" t="n">
        <v>45789</v>
      </c>
      <c r="D207" t="inlineStr">
        <is>
          <t>DALARNAS LÄN</t>
        </is>
      </c>
      <c r="E207" t="inlineStr">
        <is>
          <t>ÄLVDALEN</t>
        </is>
      </c>
      <c r="G207" t="n">
        <v>6.4</v>
      </c>
      <c r="H207" t="n">
        <v>0</v>
      </c>
      <c r="I207" t="n">
        <v>0</v>
      </c>
      <c r="J207" t="n">
        <v>0</v>
      </c>
      <c r="K207" t="n">
        <v>0</v>
      </c>
      <c r="L207" t="n">
        <v>0</v>
      </c>
      <c r="M207" t="n">
        <v>0</v>
      </c>
      <c r="N207" t="n">
        <v>0</v>
      </c>
      <c r="O207" t="n">
        <v>0</v>
      </c>
      <c r="P207" t="n">
        <v>0</v>
      </c>
      <c r="Q207" t="n">
        <v>0</v>
      </c>
      <c r="R207" s="2" t="inlineStr"/>
    </row>
    <row r="208" ht="15" customHeight="1">
      <c r="A208" t="inlineStr">
        <is>
          <t>A 28544-2019</t>
        </is>
      </c>
      <c r="B208" s="1" t="n">
        <v>43626</v>
      </c>
      <c r="C208" s="1" t="n">
        <v>45789</v>
      </c>
      <c r="D208" t="inlineStr">
        <is>
          <t>DALARNAS LÄN</t>
        </is>
      </c>
      <c r="E208" t="inlineStr">
        <is>
          <t>ÄLVDALEN</t>
        </is>
      </c>
      <c r="G208" t="n">
        <v>4.3</v>
      </c>
      <c r="H208" t="n">
        <v>0</v>
      </c>
      <c r="I208" t="n">
        <v>0</v>
      </c>
      <c r="J208" t="n">
        <v>0</v>
      </c>
      <c r="K208" t="n">
        <v>0</v>
      </c>
      <c r="L208" t="n">
        <v>0</v>
      </c>
      <c r="M208" t="n">
        <v>0</v>
      </c>
      <c r="N208" t="n">
        <v>0</v>
      </c>
      <c r="O208" t="n">
        <v>0</v>
      </c>
      <c r="P208" t="n">
        <v>0</v>
      </c>
      <c r="Q208" t="n">
        <v>0</v>
      </c>
      <c r="R208" s="2" t="inlineStr"/>
    </row>
    <row r="209" ht="15" customHeight="1">
      <c r="A209" t="inlineStr">
        <is>
          <t>A 28527-2019</t>
        </is>
      </c>
      <c r="B209" s="1" t="n">
        <v>43626</v>
      </c>
      <c r="C209" s="1" t="n">
        <v>45789</v>
      </c>
      <c r="D209" t="inlineStr">
        <is>
          <t>DALARNAS LÄN</t>
        </is>
      </c>
      <c r="E209" t="inlineStr">
        <is>
          <t>ÄLVDALEN</t>
        </is>
      </c>
      <c r="G209" t="n">
        <v>1.6</v>
      </c>
      <c r="H209" t="n">
        <v>0</v>
      </c>
      <c r="I209" t="n">
        <v>0</v>
      </c>
      <c r="J209" t="n">
        <v>0</v>
      </c>
      <c r="K209" t="n">
        <v>0</v>
      </c>
      <c r="L209" t="n">
        <v>0</v>
      </c>
      <c r="M209" t="n">
        <v>0</v>
      </c>
      <c r="N209" t="n">
        <v>0</v>
      </c>
      <c r="O209" t="n">
        <v>0</v>
      </c>
      <c r="P209" t="n">
        <v>0</v>
      </c>
      <c r="Q209" t="n">
        <v>0</v>
      </c>
      <c r="R209" s="2" t="inlineStr"/>
    </row>
    <row r="210" ht="15" customHeight="1">
      <c r="A210" t="inlineStr">
        <is>
          <t>A 28549-2019</t>
        </is>
      </c>
      <c r="B210" s="1" t="n">
        <v>43626</v>
      </c>
      <c r="C210" s="1" t="n">
        <v>45789</v>
      </c>
      <c r="D210" t="inlineStr">
        <is>
          <t>DALARNAS LÄN</t>
        </is>
      </c>
      <c r="E210" t="inlineStr">
        <is>
          <t>ÄLVDALEN</t>
        </is>
      </c>
      <c r="G210" t="n">
        <v>10.5</v>
      </c>
      <c r="H210" t="n">
        <v>0</v>
      </c>
      <c r="I210" t="n">
        <v>0</v>
      </c>
      <c r="J210" t="n">
        <v>0</v>
      </c>
      <c r="K210" t="n">
        <v>0</v>
      </c>
      <c r="L210" t="n">
        <v>0</v>
      </c>
      <c r="M210" t="n">
        <v>0</v>
      </c>
      <c r="N210" t="n">
        <v>0</v>
      </c>
      <c r="O210" t="n">
        <v>0</v>
      </c>
      <c r="P210" t="n">
        <v>0</v>
      </c>
      <c r="Q210" t="n">
        <v>0</v>
      </c>
      <c r="R210" s="2" t="inlineStr"/>
    </row>
    <row r="211" ht="15" customHeight="1">
      <c r="A211" t="inlineStr">
        <is>
          <t>A 28965-2019</t>
        </is>
      </c>
      <c r="B211" s="1" t="n">
        <v>43628</v>
      </c>
      <c r="C211" s="1" t="n">
        <v>45789</v>
      </c>
      <c r="D211" t="inlineStr">
        <is>
          <t>DALARNAS LÄN</t>
        </is>
      </c>
      <c r="E211" t="inlineStr">
        <is>
          <t>ÄLVDALEN</t>
        </is>
      </c>
      <c r="G211" t="n">
        <v>3.1</v>
      </c>
      <c r="H211" t="n">
        <v>0</v>
      </c>
      <c r="I211" t="n">
        <v>0</v>
      </c>
      <c r="J211" t="n">
        <v>0</v>
      </c>
      <c r="K211" t="n">
        <v>0</v>
      </c>
      <c r="L211" t="n">
        <v>0</v>
      </c>
      <c r="M211" t="n">
        <v>0</v>
      </c>
      <c r="N211" t="n">
        <v>0</v>
      </c>
      <c r="O211" t="n">
        <v>0</v>
      </c>
      <c r="P211" t="n">
        <v>0</v>
      </c>
      <c r="Q211" t="n">
        <v>0</v>
      </c>
      <c r="R211" s="2" t="inlineStr"/>
    </row>
    <row r="212" ht="15" customHeight="1">
      <c r="A212" t="inlineStr">
        <is>
          <t>A 30506-2019</t>
        </is>
      </c>
      <c r="B212" s="1" t="n">
        <v>43635</v>
      </c>
      <c r="C212" s="1" t="n">
        <v>45789</v>
      </c>
      <c r="D212" t="inlineStr">
        <is>
          <t>DALARNAS LÄN</t>
        </is>
      </c>
      <c r="E212" t="inlineStr">
        <is>
          <t>ÄLVDALEN</t>
        </is>
      </c>
      <c r="G212" t="n">
        <v>1.5</v>
      </c>
      <c r="H212" t="n">
        <v>0</v>
      </c>
      <c r="I212" t="n">
        <v>0</v>
      </c>
      <c r="J212" t="n">
        <v>0</v>
      </c>
      <c r="K212" t="n">
        <v>0</v>
      </c>
      <c r="L212" t="n">
        <v>0</v>
      </c>
      <c r="M212" t="n">
        <v>0</v>
      </c>
      <c r="N212" t="n">
        <v>0</v>
      </c>
      <c r="O212" t="n">
        <v>0</v>
      </c>
      <c r="P212" t="n">
        <v>0</v>
      </c>
      <c r="Q212" t="n">
        <v>0</v>
      </c>
      <c r="R212" s="2" t="inlineStr"/>
    </row>
    <row r="213" ht="15" customHeight="1">
      <c r="A213" t="inlineStr">
        <is>
          <t>A 32347-2019</t>
        </is>
      </c>
      <c r="B213" s="1" t="n">
        <v>43644</v>
      </c>
      <c r="C213" s="1" t="n">
        <v>45789</v>
      </c>
      <c r="D213" t="inlineStr">
        <is>
          <t>DALARNAS LÄN</t>
        </is>
      </c>
      <c r="E213" t="inlineStr">
        <is>
          <t>ÄLVDALEN</t>
        </is>
      </c>
      <c r="G213" t="n">
        <v>0.5</v>
      </c>
      <c r="H213" t="n">
        <v>0</v>
      </c>
      <c r="I213" t="n">
        <v>0</v>
      </c>
      <c r="J213" t="n">
        <v>0</v>
      </c>
      <c r="K213" t="n">
        <v>0</v>
      </c>
      <c r="L213" t="n">
        <v>0</v>
      </c>
      <c r="M213" t="n">
        <v>0</v>
      </c>
      <c r="N213" t="n">
        <v>0</v>
      </c>
      <c r="O213" t="n">
        <v>0</v>
      </c>
      <c r="P213" t="n">
        <v>0</v>
      </c>
      <c r="Q213" t="n">
        <v>0</v>
      </c>
      <c r="R213" s="2" t="inlineStr"/>
    </row>
    <row r="214" ht="15" customHeight="1">
      <c r="A214" t="inlineStr">
        <is>
          <t>A 32357-2019</t>
        </is>
      </c>
      <c r="B214" s="1" t="n">
        <v>43644</v>
      </c>
      <c r="C214" s="1" t="n">
        <v>45789</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32359-2019</t>
        </is>
      </c>
      <c r="B215" s="1" t="n">
        <v>43644</v>
      </c>
      <c r="C215" s="1" t="n">
        <v>45789</v>
      </c>
      <c r="D215" t="inlineStr">
        <is>
          <t>DALARNAS LÄN</t>
        </is>
      </c>
      <c r="E215" t="inlineStr">
        <is>
          <t>ÄLVDALEN</t>
        </is>
      </c>
      <c r="G215" t="n">
        <v>0.7</v>
      </c>
      <c r="H215" t="n">
        <v>0</v>
      </c>
      <c r="I215" t="n">
        <v>0</v>
      </c>
      <c r="J215" t="n">
        <v>0</v>
      </c>
      <c r="K215" t="n">
        <v>0</v>
      </c>
      <c r="L215" t="n">
        <v>0</v>
      </c>
      <c r="M215" t="n">
        <v>0</v>
      </c>
      <c r="N215" t="n">
        <v>0</v>
      </c>
      <c r="O215" t="n">
        <v>0</v>
      </c>
      <c r="P215" t="n">
        <v>0</v>
      </c>
      <c r="Q215" t="n">
        <v>0</v>
      </c>
      <c r="R215" s="2" t="inlineStr"/>
    </row>
    <row r="216" ht="15" customHeight="1">
      <c r="A216" t="inlineStr">
        <is>
          <t>A 32670-2019</t>
        </is>
      </c>
      <c r="B216" s="1" t="n">
        <v>43647</v>
      </c>
      <c r="C216" s="1" t="n">
        <v>45789</v>
      </c>
      <c r="D216" t="inlineStr">
        <is>
          <t>DALARNAS LÄN</t>
        </is>
      </c>
      <c r="E216" t="inlineStr">
        <is>
          <t>ÄLVDALEN</t>
        </is>
      </c>
      <c r="G216" t="n">
        <v>0.4</v>
      </c>
      <c r="H216" t="n">
        <v>0</v>
      </c>
      <c r="I216" t="n">
        <v>0</v>
      </c>
      <c r="J216" t="n">
        <v>0</v>
      </c>
      <c r="K216" t="n">
        <v>0</v>
      </c>
      <c r="L216" t="n">
        <v>0</v>
      </c>
      <c r="M216" t="n">
        <v>0</v>
      </c>
      <c r="N216" t="n">
        <v>0</v>
      </c>
      <c r="O216" t="n">
        <v>0</v>
      </c>
      <c r="P216" t="n">
        <v>0</v>
      </c>
      <c r="Q216" t="n">
        <v>0</v>
      </c>
      <c r="R216" s="2" t="inlineStr"/>
    </row>
    <row r="217" ht="15" customHeight="1">
      <c r="A217" t="inlineStr">
        <is>
          <t>A 35529-2019</t>
        </is>
      </c>
      <c r="B217" s="1" t="n">
        <v>43654</v>
      </c>
      <c r="C217" s="1" t="n">
        <v>45789</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34550-2019</t>
        </is>
      </c>
      <c r="B218" s="1" t="n">
        <v>43657</v>
      </c>
      <c r="C218" s="1" t="n">
        <v>45789</v>
      </c>
      <c r="D218" t="inlineStr">
        <is>
          <t>DALARNAS LÄN</t>
        </is>
      </c>
      <c r="E218" t="inlineStr">
        <is>
          <t>ÄLVDALEN</t>
        </is>
      </c>
      <c r="G218" t="n">
        <v>12</v>
      </c>
      <c r="H218" t="n">
        <v>0</v>
      </c>
      <c r="I218" t="n">
        <v>0</v>
      </c>
      <c r="J218" t="n">
        <v>0</v>
      </c>
      <c r="K218" t="n">
        <v>0</v>
      </c>
      <c r="L218" t="n">
        <v>0</v>
      </c>
      <c r="M218" t="n">
        <v>0</v>
      </c>
      <c r="N218" t="n">
        <v>0</v>
      </c>
      <c r="O218" t="n">
        <v>0</v>
      </c>
      <c r="P218" t="n">
        <v>0</v>
      </c>
      <c r="Q218" t="n">
        <v>0</v>
      </c>
      <c r="R218" s="2" t="inlineStr"/>
    </row>
    <row r="219" ht="15" customHeight="1">
      <c r="A219" t="inlineStr">
        <is>
          <t>A 36080-2019</t>
        </is>
      </c>
      <c r="B219" s="1" t="n">
        <v>43657</v>
      </c>
      <c r="C219" s="1" t="n">
        <v>45789</v>
      </c>
      <c r="D219" t="inlineStr">
        <is>
          <t>DALARNAS LÄN</t>
        </is>
      </c>
      <c r="E219" t="inlineStr">
        <is>
          <t>ÄLVDALEN</t>
        </is>
      </c>
      <c r="G219" t="n">
        <v>1.7</v>
      </c>
      <c r="H219" t="n">
        <v>0</v>
      </c>
      <c r="I219" t="n">
        <v>0</v>
      </c>
      <c r="J219" t="n">
        <v>0</v>
      </c>
      <c r="K219" t="n">
        <v>0</v>
      </c>
      <c r="L219" t="n">
        <v>0</v>
      </c>
      <c r="M219" t="n">
        <v>0</v>
      </c>
      <c r="N219" t="n">
        <v>0</v>
      </c>
      <c r="O219" t="n">
        <v>0</v>
      </c>
      <c r="P219" t="n">
        <v>0</v>
      </c>
      <c r="Q219" t="n">
        <v>0</v>
      </c>
      <c r="R219" s="2" t="inlineStr"/>
    </row>
    <row r="220" ht="15" customHeight="1">
      <c r="A220" t="inlineStr">
        <is>
          <t>A 35136-2019</t>
        </is>
      </c>
      <c r="B220" s="1" t="n">
        <v>43661</v>
      </c>
      <c r="C220" s="1" t="n">
        <v>45789</v>
      </c>
      <c r="D220" t="inlineStr">
        <is>
          <t>DALARNAS LÄN</t>
        </is>
      </c>
      <c r="E220" t="inlineStr">
        <is>
          <t>ÄLVDALEN</t>
        </is>
      </c>
      <c r="G220" t="n">
        <v>0.8</v>
      </c>
      <c r="H220" t="n">
        <v>0</v>
      </c>
      <c r="I220" t="n">
        <v>0</v>
      </c>
      <c r="J220" t="n">
        <v>0</v>
      </c>
      <c r="K220" t="n">
        <v>0</v>
      </c>
      <c r="L220" t="n">
        <v>0</v>
      </c>
      <c r="M220" t="n">
        <v>0</v>
      </c>
      <c r="N220" t="n">
        <v>0</v>
      </c>
      <c r="O220" t="n">
        <v>0</v>
      </c>
      <c r="P220" t="n">
        <v>0</v>
      </c>
      <c r="Q220" t="n">
        <v>0</v>
      </c>
      <c r="R220" s="2" t="inlineStr"/>
    </row>
    <row r="221" ht="15" customHeight="1">
      <c r="A221" t="inlineStr">
        <is>
          <t>A 35463-2019</t>
        </is>
      </c>
      <c r="B221" s="1" t="n">
        <v>43663</v>
      </c>
      <c r="C221" s="1" t="n">
        <v>45789</v>
      </c>
      <c r="D221" t="inlineStr">
        <is>
          <t>DALARNAS LÄN</t>
        </is>
      </c>
      <c r="E221" t="inlineStr">
        <is>
          <t>ÄLVDALEN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35457-2019</t>
        </is>
      </c>
      <c r="B222" s="1" t="n">
        <v>43663</v>
      </c>
      <c r="C222" s="1" t="n">
        <v>45789</v>
      </c>
      <c r="D222" t="inlineStr">
        <is>
          <t>DALARNAS LÄN</t>
        </is>
      </c>
      <c r="E222" t="inlineStr">
        <is>
          <t>ÄLVDALEN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35458-2019</t>
        </is>
      </c>
      <c r="B223" s="1" t="n">
        <v>43663</v>
      </c>
      <c r="C223" s="1" t="n">
        <v>45789</v>
      </c>
      <c r="D223" t="inlineStr">
        <is>
          <t>DALARNAS LÄN</t>
        </is>
      </c>
      <c r="E223" t="inlineStr">
        <is>
          <t>ÄLVDALEN</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35609-2019</t>
        </is>
      </c>
      <c r="B224" s="1" t="n">
        <v>43664</v>
      </c>
      <c r="C224" s="1" t="n">
        <v>45789</v>
      </c>
      <c r="D224" t="inlineStr">
        <is>
          <t>DALARNAS LÄN</t>
        </is>
      </c>
      <c r="E224" t="inlineStr">
        <is>
          <t>ÄLVDALEN</t>
        </is>
      </c>
      <c r="F224" t="inlineStr">
        <is>
          <t>Övriga Aktiebolag</t>
        </is>
      </c>
      <c r="G224" t="n">
        <v>1.1</v>
      </c>
      <c r="H224" t="n">
        <v>0</v>
      </c>
      <c r="I224" t="n">
        <v>0</v>
      </c>
      <c r="J224" t="n">
        <v>0</v>
      </c>
      <c r="K224" t="n">
        <v>0</v>
      </c>
      <c r="L224" t="n">
        <v>0</v>
      </c>
      <c r="M224" t="n">
        <v>0</v>
      </c>
      <c r="N224" t="n">
        <v>0</v>
      </c>
      <c r="O224" t="n">
        <v>0</v>
      </c>
      <c r="P224" t="n">
        <v>0</v>
      </c>
      <c r="Q224" t="n">
        <v>0</v>
      </c>
      <c r="R224" s="2" t="inlineStr"/>
    </row>
    <row r="225" ht="15" customHeight="1">
      <c r="A225" t="inlineStr">
        <is>
          <t>A 35708-2019</t>
        </is>
      </c>
      <c r="B225" s="1" t="n">
        <v>43664</v>
      </c>
      <c r="C225" s="1" t="n">
        <v>45789</v>
      </c>
      <c r="D225" t="inlineStr">
        <is>
          <t>DALARNAS LÄN</t>
        </is>
      </c>
      <c r="E225" t="inlineStr">
        <is>
          <t>ÄLVDALEN</t>
        </is>
      </c>
      <c r="G225" t="n">
        <v>1</v>
      </c>
      <c r="H225" t="n">
        <v>0</v>
      </c>
      <c r="I225" t="n">
        <v>0</v>
      </c>
      <c r="J225" t="n">
        <v>0</v>
      </c>
      <c r="K225" t="n">
        <v>0</v>
      </c>
      <c r="L225" t="n">
        <v>0</v>
      </c>
      <c r="M225" t="n">
        <v>0</v>
      </c>
      <c r="N225" t="n">
        <v>0</v>
      </c>
      <c r="O225" t="n">
        <v>0</v>
      </c>
      <c r="P225" t="n">
        <v>0</v>
      </c>
      <c r="Q225" t="n">
        <v>0</v>
      </c>
      <c r="R225" s="2" t="inlineStr"/>
    </row>
    <row r="226" ht="15" customHeight="1">
      <c r="A226" t="inlineStr">
        <is>
          <t>A 35707-2019</t>
        </is>
      </c>
      <c r="B226" s="1" t="n">
        <v>43664</v>
      </c>
      <c r="C226" s="1" t="n">
        <v>45789</v>
      </c>
      <c r="D226" t="inlineStr">
        <is>
          <t>DALARNAS LÄN</t>
        </is>
      </c>
      <c r="E226" t="inlineStr">
        <is>
          <t>ÄLVDALEN</t>
        </is>
      </c>
      <c r="G226" t="n">
        <v>4.8</v>
      </c>
      <c r="H226" t="n">
        <v>0</v>
      </c>
      <c r="I226" t="n">
        <v>0</v>
      </c>
      <c r="J226" t="n">
        <v>0</v>
      </c>
      <c r="K226" t="n">
        <v>0</v>
      </c>
      <c r="L226" t="n">
        <v>0</v>
      </c>
      <c r="M226" t="n">
        <v>0</v>
      </c>
      <c r="N226" t="n">
        <v>0</v>
      </c>
      <c r="O226" t="n">
        <v>0</v>
      </c>
      <c r="P226" t="n">
        <v>0</v>
      </c>
      <c r="Q226" t="n">
        <v>0</v>
      </c>
      <c r="R226" s="2" t="inlineStr"/>
    </row>
    <row r="227" ht="15" customHeight="1">
      <c r="A227" t="inlineStr">
        <is>
          <t>A 36482-2019</t>
        </is>
      </c>
      <c r="B227" s="1" t="n">
        <v>43668</v>
      </c>
      <c r="C227" s="1" t="n">
        <v>45789</v>
      </c>
      <c r="D227" t="inlineStr">
        <is>
          <t>DALARNAS LÄN</t>
        </is>
      </c>
      <c r="E227" t="inlineStr">
        <is>
          <t>ÄLVDALEN</t>
        </is>
      </c>
      <c r="G227" t="n">
        <v>3</v>
      </c>
      <c r="H227" t="n">
        <v>0</v>
      </c>
      <c r="I227" t="n">
        <v>0</v>
      </c>
      <c r="J227" t="n">
        <v>0</v>
      </c>
      <c r="K227" t="n">
        <v>0</v>
      </c>
      <c r="L227" t="n">
        <v>0</v>
      </c>
      <c r="M227" t="n">
        <v>0</v>
      </c>
      <c r="N227" t="n">
        <v>0</v>
      </c>
      <c r="O227" t="n">
        <v>0</v>
      </c>
      <c r="P227" t="n">
        <v>0</v>
      </c>
      <c r="Q227" t="n">
        <v>0</v>
      </c>
      <c r="R227" s="2" t="inlineStr"/>
    </row>
    <row r="228" ht="15" customHeight="1">
      <c r="A228" t="inlineStr">
        <is>
          <t>A 36063-2019</t>
        </is>
      </c>
      <c r="B228" s="1" t="n">
        <v>43668</v>
      </c>
      <c r="C228" s="1" t="n">
        <v>45789</v>
      </c>
      <c r="D228" t="inlineStr">
        <is>
          <t>DALARNAS LÄN</t>
        </is>
      </c>
      <c r="E228" t="inlineStr">
        <is>
          <t>ÄLVDALEN</t>
        </is>
      </c>
      <c r="G228" t="n">
        <v>2.2</v>
      </c>
      <c r="H228" t="n">
        <v>0</v>
      </c>
      <c r="I228" t="n">
        <v>0</v>
      </c>
      <c r="J228" t="n">
        <v>0</v>
      </c>
      <c r="K228" t="n">
        <v>0</v>
      </c>
      <c r="L228" t="n">
        <v>0</v>
      </c>
      <c r="M228" t="n">
        <v>0</v>
      </c>
      <c r="N228" t="n">
        <v>0</v>
      </c>
      <c r="O228" t="n">
        <v>0</v>
      </c>
      <c r="P228" t="n">
        <v>0</v>
      </c>
      <c r="Q228" t="n">
        <v>0</v>
      </c>
      <c r="R228" s="2" t="inlineStr"/>
    </row>
    <row r="229" ht="15" customHeight="1">
      <c r="A229" t="inlineStr">
        <is>
          <t>A 37645-2019</t>
        </is>
      </c>
      <c r="B229" s="1" t="n">
        <v>43682</v>
      </c>
      <c r="C229" s="1" t="n">
        <v>45789</v>
      </c>
      <c r="D229" t="inlineStr">
        <is>
          <t>DALARNAS LÄN</t>
        </is>
      </c>
      <c r="E229" t="inlineStr">
        <is>
          <t>ÄLVDALEN</t>
        </is>
      </c>
      <c r="G229" t="n">
        <v>2</v>
      </c>
      <c r="H229" t="n">
        <v>0</v>
      </c>
      <c r="I229" t="n">
        <v>0</v>
      </c>
      <c r="J229" t="n">
        <v>0</v>
      </c>
      <c r="K229" t="n">
        <v>0</v>
      </c>
      <c r="L229" t="n">
        <v>0</v>
      </c>
      <c r="M229" t="n">
        <v>0</v>
      </c>
      <c r="N229" t="n">
        <v>0</v>
      </c>
      <c r="O229" t="n">
        <v>0</v>
      </c>
      <c r="P229" t="n">
        <v>0</v>
      </c>
      <c r="Q229" t="n">
        <v>0</v>
      </c>
      <c r="R229" s="2" t="inlineStr"/>
    </row>
    <row r="230" ht="15" customHeight="1">
      <c r="A230" t="inlineStr">
        <is>
          <t>A 37939-2019</t>
        </is>
      </c>
      <c r="B230" s="1" t="n">
        <v>43683</v>
      </c>
      <c r="C230" s="1" t="n">
        <v>45789</v>
      </c>
      <c r="D230" t="inlineStr">
        <is>
          <t>DALARNAS LÄN</t>
        </is>
      </c>
      <c r="E230" t="inlineStr">
        <is>
          <t>ÄLVDALEN</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37991-2019</t>
        </is>
      </c>
      <c r="B231" s="1" t="n">
        <v>43683</v>
      </c>
      <c r="C231" s="1" t="n">
        <v>45789</v>
      </c>
      <c r="D231" t="inlineStr">
        <is>
          <t>DALARNAS LÄN</t>
        </is>
      </c>
      <c r="E231" t="inlineStr">
        <is>
          <t>ÄLVDALEN</t>
        </is>
      </c>
      <c r="G231" t="n">
        <v>5.8</v>
      </c>
      <c r="H231" t="n">
        <v>0</v>
      </c>
      <c r="I231" t="n">
        <v>0</v>
      </c>
      <c r="J231" t="n">
        <v>0</v>
      </c>
      <c r="K231" t="n">
        <v>0</v>
      </c>
      <c r="L231" t="n">
        <v>0</v>
      </c>
      <c r="M231" t="n">
        <v>0</v>
      </c>
      <c r="N231" t="n">
        <v>0</v>
      </c>
      <c r="O231" t="n">
        <v>0</v>
      </c>
      <c r="P231" t="n">
        <v>0</v>
      </c>
      <c r="Q231" t="n">
        <v>0</v>
      </c>
      <c r="R231" s="2" t="inlineStr"/>
    </row>
    <row r="232" ht="15" customHeight="1">
      <c r="A232" t="inlineStr">
        <is>
          <t>A 38039-2019</t>
        </is>
      </c>
      <c r="B232" s="1" t="n">
        <v>43683</v>
      </c>
      <c r="C232" s="1" t="n">
        <v>45789</v>
      </c>
      <c r="D232" t="inlineStr">
        <is>
          <t>DALARNAS LÄN</t>
        </is>
      </c>
      <c r="E232" t="inlineStr">
        <is>
          <t>ÄLVDALEN</t>
        </is>
      </c>
      <c r="F232" t="inlineStr">
        <is>
          <t>Övriga statliga verk och myndigheter</t>
        </is>
      </c>
      <c r="G232" t="n">
        <v>3.6</v>
      </c>
      <c r="H232" t="n">
        <v>0</v>
      </c>
      <c r="I232" t="n">
        <v>0</v>
      </c>
      <c r="J232" t="n">
        <v>0</v>
      </c>
      <c r="K232" t="n">
        <v>0</v>
      </c>
      <c r="L232" t="n">
        <v>0</v>
      </c>
      <c r="M232" t="n">
        <v>0</v>
      </c>
      <c r="N232" t="n">
        <v>0</v>
      </c>
      <c r="O232" t="n">
        <v>0</v>
      </c>
      <c r="P232" t="n">
        <v>0</v>
      </c>
      <c r="Q232" t="n">
        <v>0</v>
      </c>
      <c r="R232" s="2" t="inlineStr"/>
    </row>
    <row r="233" ht="15" customHeight="1">
      <c r="A233" t="inlineStr">
        <is>
          <t>A 38021-2019</t>
        </is>
      </c>
      <c r="B233" s="1" t="n">
        <v>43683</v>
      </c>
      <c r="C233" s="1" t="n">
        <v>45789</v>
      </c>
      <c r="D233" t="inlineStr">
        <is>
          <t>DALARNAS LÄN</t>
        </is>
      </c>
      <c r="E233" t="inlineStr">
        <is>
          <t>ÄLVDALEN</t>
        </is>
      </c>
      <c r="F233" t="inlineStr">
        <is>
          <t>Övriga statliga verk och myndigheter</t>
        </is>
      </c>
      <c r="G233" t="n">
        <v>4.7</v>
      </c>
      <c r="H233" t="n">
        <v>0</v>
      </c>
      <c r="I233" t="n">
        <v>0</v>
      </c>
      <c r="J233" t="n">
        <v>0</v>
      </c>
      <c r="K233" t="n">
        <v>0</v>
      </c>
      <c r="L233" t="n">
        <v>0</v>
      </c>
      <c r="M233" t="n">
        <v>0</v>
      </c>
      <c r="N233" t="n">
        <v>0</v>
      </c>
      <c r="O233" t="n">
        <v>0</v>
      </c>
      <c r="P233" t="n">
        <v>0</v>
      </c>
      <c r="Q233" t="n">
        <v>0</v>
      </c>
      <c r="R233" s="2" t="inlineStr"/>
    </row>
    <row r="234" ht="15" customHeight="1">
      <c r="A234" t="inlineStr">
        <is>
          <t>A 38864-2019</t>
        </is>
      </c>
      <c r="B234" s="1" t="n">
        <v>43689</v>
      </c>
      <c r="C234" s="1" t="n">
        <v>45789</v>
      </c>
      <c r="D234" t="inlineStr">
        <is>
          <t>DALARNAS LÄN</t>
        </is>
      </c>
      <c r="E234" t="inlineStr">
        <is>
          <t>ÄLVDALEN</t>
        </is>
      </c>
      <c r="G234" t="n">
        <v>1.3</v>
      </c>
      <c r="H234" t="n">
        <v>0</v>
      </c>
      <c r="I234" t="n">
        <v>0</v>
      </c>
      <c r="J234" t="n">
        <v>0</v>
      </c>
      <c r="K234" t="n">
        <v>0</v>
      </c>
      <c r="L234" t="n">
        <v>0</v>
      </c>
      <c r="M234" t="n">
        <v>0</v>
      </c>
      <c r="N234" t="n">
        <v>0</v>
      </c>
      <c r="O234" t="n">
        <v>0</v>
      </c>
      <c r="P234" t="n">
        <v>0</v>
      </c>
      <c r="Q234" t="n">
        <v>0</v>
      </c>
      <c r="R234" s="2" t="inlineStr"/>
    </row>
    <row r="235" ht="15" customHeight="1">
      <c r="A235" t="inlineStr">
        <is>
          <t>A 41242-2019</t>
        </is>
      </c>
      <c r="B235" s="1" t="n">
        <v>43698</v>
      </c>
      <c r="C235" s="1" t="n">
        <v>45789</v>
      </c>
      <c r="D235" t="inlineStr">
        <is>
          <t>DALARNAS LÄN</t>
        </is>
      </c>
      <c r="E235" t="inlineStr">
        <is>
          <t>ÄLVDALEN</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43540-2019</t>
        </is>
      </c>
      <c r="B236" s="1" t="n">
        <v>43706</v>
      </c>
      <c r="C236" s="1" t="n">
        <v>45789</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43543-2019</t>
        </is>
      </c>
      <c r="B237" s="1" t="n">
        <v>43706</v>
      </c>
      <c r="C237" s="1" t="n">
        <v>45789</v>
      </c>
      <c r="D237" t="inlineStr">
        <is>
          <t>DALARNAS LÄN</t>
        </is>
      </c>
      <c r="E237" t="inlineStr">
        <is>
          <t>ÄLVDALEN</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46240-2019</t>
        </is>
      </c>
      <c r="B238" s="1" t="n">
        <v>43714</v>
      </c>
      <c r="C238" s="1" t="n">
        <v>45789</v>
      </c>
      <c r="D238" t="inlineStr">
        <is>
          <t>DALARNAS LÄN</t>
        </is>
      </c>
      <c r="E238" t="inlineStr">
        <is>
          <t>ÄLVDALEN</t>
        </is>
      </c>
      <c r="G238" t="n">
        <v>19.4</v>
      </c>
      <c r="H238" t="n">
        <v>0</v>
      </c>
      <c r="I238" t="n">
        <v>0</v>
      </c>
      <c r="J238" t="n">
        <v>0</v>
      </c>
      <c r="K238" t="n">
        <v>0</v>
      </c>
      <c r="L238" t="n">
        <v>0</v>
      </c>
      <c r="M238" t="n">
        <v>0</v>
      </c>
      <c r="N238" t="n">
        <v>0</v>
      </c>
      <c r="O238" t="n">
        <v>0</v>
      </c>
      <c r="P238" t="n">
        <v>0</v>
      </c>
      <c r="Q238" t="n">
        <v>0</v>
      </c>
      <c r="R238" s="2" t="inlineStr"/>
    </row>
    <row r="239" ht="15" customHeight="1">
      <c r="A239" t="inlineStr">
        <is>
          <t>A 49014-2019</t>
        </is>
      </c>
      <c r="B239" s="1" t="n">
        <v>43731</v>
      </c>
      <c r="C239" s="1" t="n">
        <v>45789</v>
      </c>
      <c r="D239" t="inlineStr">
        <is>
          <t>DALARNAS LÄN</t>
        </is>
      </c>
      <c r="E239" t="inlineStr">
        <is>
          <t>ÄLVDALEN</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49230-2019</t>
        </is>
      </c>
      <c r="B240" s="1" t="n">
        <v>43731</v>
      </c>
      <c r="C240" s="1" t="n">
        <v>45789</v>
      </c>
      <c r="D240" t="inlineStr">
        <is>
          <t>DALARNAS LÄN</t>
        </is>
      </c>
      <c r="E240" t="inlineStr">
        <is>
          <t>ÄLVDALEN</t>
        </is>
      </c>
      <c r="F240" t="inlineStr">
        <is>
          <t>Allmännings- och besparingsskogar</t>
        </is>
      </c>
      <c r="G240" t="n">
        <v>11.9</v>
      </c>
      <c r="H240" t="n">
        <v>0</v>
      </c>
      <c r="I240" t="n">
        <v>0</v>
      </c>
      <c r="J240" t="n">
        <v>0</v>
      </c>
      <c r="K240" t="n">
        <v>0</v>
      </c>
      <c r="L240" t="n">
        <v>0</v>
      </c>
      <c r="M240" t="n">
        <v>0</v>
      </c>
      <c r="N240" t="n">
        <v>0</v>
      </c>
      <c r="O240" t="n">
        <v>0</v>
      </c>
      <c r="P240" t="n">
        <v>0</v>
      </c>
      <c r="Q240" t="n">
        <v>0</v>
      </c>
      <c r="R240" s="2" t="inlineStr"/>
    </row>
    <row r="241" ht="15" customHeight="1">
      <c r="A241" t="inlineStr">
        <is>
          <t>A 50431-2019</t>
        </is>
      </c>
      <c r="B241" s="1" t="n">
        <v>43735</v>
      </c>
      <c r="C241" s="1" t="n">
        <v>45789</v>
      </c>
      <c r="D241" t="inlineStr">
        <is>
          <t>DALARNAS LÄN</t>
        </is>
      </c>
      <c r="E241" t="inlineStr">
        <is>
          <t>ÄLVDALEN</t>
        </is>
      </c>
      <c r="G241" t="n">
        <v>2.5</v>
      </c>
      <c r="H241" t="n">
        <v>0</v>
      </c>
      <c r="I241" t="n">
        <v>0</v>
      </c>
      <c r="J241" t="n">
        <v>0</v>
      </c>
      <c r="K241" t="n">
        <v>0</v>
      </c>
      <c r="L241" t="n">
        <v>0</v>
      </c>
      <c r="M241" t="n">
        <v>0</v>
      </c>
      <c r="N241" t="n">
        <v>0</v>
      </c>
      <c r="O241" t="n">
        <v>0</v>
      </c>
      <c r="P241" t="n">
        <v>0</v>
      </c>
      <c r="Q241" t="n">
        <v>0</v>
      </c>
      <c r="R241" s="2" t="inlineStr"/>
    </row>
    <row r="242" ht="15" customHeight="1">
      <c r="A242" t="inlineStr">
        <is>
          <t>A 50669-2019</t>
        </is>
      </c>
      <c r="B242" s="1" t="n">
        <v>43737</v>
      </c>
      <c r="C242" s="1" t="n">
        <v>45789</v>
      </c>
      <c r="D242" t="inlineStr">
        <is>
          <t>DALARNAS LÄN</t>
        </is>
      </c>
      <c r="E242" t="inlineStr">
        <is>
          <t>ÄLVDALEN</t>
        </is>
      </c>
      <c r="G242" t="n">
        <v>6.1</v>
      </c>
      <c r="H242" t="n">
        <v>0</v>
      </c>
      <c r="I242" t="n">
        <v>0</v>
      </c>
      <c r="J242" t="n">
        <v>0</v>
      </c>
      <c r="K242" t="n">
        <v>0</v>
      </c>
      <c r="L242" t="n">
        <v>0</v>
      </c>
      <c r="M242" t="n">
        <v>0</v>
      </c>
      <c r="N242" t="n">
        <v>0</v>
      </c>
      <c r="O242" t="n">
        <v>0</v>
      </c>
      <c r="P242" t="n">
        <v>0</v>
      </c>
      <c r="Q242" t="n">
        <v>0</v>
      </c>
      <c r="R242" s="2" t="inlineStr"/>
    </row>
    <row r="243" ht="15" customHeight="1">
      <c r="A243" t="inlineStr">
        <is>
          <t>A 50670-2019</t>
        </is>
      </c>
      <c r="B243" s="1" t="n">
        <v>43738</v>
      </c>
      <c r="C243" s="1" t="n">
        <v>45789</v>
      </c>
      <c r="D243" t="inlineStr">
        <is>
          <t>DALARNAS LÄN</t>
        </is>
      </c>
      <c r="E243" t="inlineStr">
        <is>
          <t>ÄLVDALEN</t>
        </is>
      </c>
      <c r="G243" t="n">
        <v>8.1</v>
      </c>
      <c r="H243" t="n">
        <v>0</v>
      </c>
      <c r="I243" t="n">
        <v>0</v>
      </c>
      <c r="J243" t="n">
        <v>0</v>
      </c>
      <c r="K243" t="n">
        <v>0</v>
      </c>
      <c r="L243" t="n">
        <v>0</v>
      </c>
      <c r="M243" t="n">
        <v>0</v>
      </c>
      <c r="N243" t="n">
        <v>0</v>
      </c>
      <c r="O243" t="n">
        <v>0</v>
      </c>
      <c r="P243" t="n">
        <v>0</v>
      </c>
      <c r="Q243" t="n">
        <v>0</v>
      </c>
      <c r="R243" s="2" t="inlineStr"/>
    </row>
    <row r="244" ht="15" customHeight="1">
      <c r="A244" t="inlineStr">
        <is>
          <t>A 51354-2019</t>
        </is>
      </c>
      <c r="B244" s="1" t="n">
        <v>43740</v>
      </c>
      <c r="C244" s="1" t="n">
        <v>45789</v>
      </c>
      <c r="D244" t="inlineStr">
        <is>
          <t>DALARNAS LÄN</t>
        </is>
      </c>
      <c r="E244" t="inlineStr">
        <is>
          <t>ÄLVDALEN</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51798-2019</t>
        </is>
      </c>
      <c r="B245" s="1" t="n">
        <v>43741</v>
      </c>
      <c r="C245" s="1" t="n">
        <v>45789</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52131-2019</t>
        </is>
      </c>
      <c r="B246" s="1" t="n">
        <v>43742</v>
      </c>
      <c r="C246" s="1" t="n">
        <v>45789</v>
      </c>
      <c r="D246" t="inlineStr">
        <is>
          <t>DALARNAS LÄN</t>
        </is>
      </c>
      <c r="E246" t="inlineStr">
        <is>
          <t>ÄLVDALEN</t>
        </is>
      </c>
      <c r="F246" t="inlineStr">
        <is>
          <t>Sveaskog</t>
        </is>
      </c>
      <c r="G246" t="n">
        <v>14.5</v>
      </c>
      <c r="H246" t="n">
        <v>0</v>
      </c>
      <c r="I246" t="n">
        <v>0</v>
      </c>
      <c r="J246" t="n">
        <v>0</v>
      </c>
      <c r="K246" t="n">
        <v>0</v>
      </c>
      <c r="L246" t="n">
        <v>0</v>
      </c>
      <c r="M246" t="n">
        <v>0</v>
      </c>
      <c r="N246" t="n">
        <v>0</v>
      </c>
      <c r="O246" t="n">
        <v>0</v>
      </c>
      <c r="P246" t="n">
        <v>0</v>
      </c>
      <c r="Q246" t="n">
        <v>0</v>
      </c>
      <c r="R246" s="2" t="inlineStr"/>
    </row>
    <row r="247" ht="15" customHeight="1">
      <c r="A247" t="inlineStr">
        <is>
          <t>A 52466-2019</t>
        </is>
      </c>
      <c r="B247" s="1" t="n">
        <v>43745</v>
      </c>
      <c r="C247" s="1" t="n">
        <v>45789</v>
      </c>
      <c r="D247" t="inlineStr">
        <is>
          <t>DALARNAS LÄN</t>
        </is>
      </c>
      <c r="E247" t="inlineStr">
        <is>
          <t>ÄLVDALEN</t>
        </is>
      </c>
      <c r="G247" t="n">
        <v>2.8</v>
      </c>
      <c r="H247" t="n">
        <v>0</v>
      </c>
      <c r="I247" t="n">
        <v>0</v>
      </c>
      <c r="J247" t="n">
        <v>0</v>
      </c>
      <c r="K247" t="n">
        <v>0</v>
      </c>
      <c r="L247" t="n">
        <v>0</v>
      </c>
      <c r="M247" t="n">
        <v>0</v>
      </c>
      <c r="N247" t="n">
        <v>0</v>
      </c>
      <c r="O247" t="n">
        <v>0</v>
      </c>
      <c r="P247" t="n">
        <v>0</v>
      </c>
      <c r="Q247" t="n">
        <v>0</v>
      </c>
      <c r="R247" s="2" t="inlineStr"/>
    </row>
    <row r="248" ht="15" customHeight="1">
      <c r="A248" t="inlineStr">
        <is>
          <t>A 55649-2019</t>
        </is>
      </c>
      <c r="B248" s="1" t="n">
        <v>43760</v>
      </c>
      <c r="C248" s="1" t="n">
        <v>45789</v>
      </c>
      <c r="D248" t="inlineStr">
        <is>
          <t>DALARNAS LÄN</t>
        </is>
      </c>
      <c r="E248" t="inlineStr">
        <is>
          <t>ÄLVDALEN</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59488-2019</t>
        </is>
      </c>
      <c r="B249" s="1" t="n">
        <v>43776</v>
      </c>
      <c r="C249" s="1" t="n">
        <v>45789</v>
      </c>
      <c r="D249" t="inlineStr">
        <is>
          <t>DALARNAS LÄN</t>
        </is>
      </c>
      <c r="E249" t="inlineStr">
        <is>
          <t>ÄLVDALEN</t>
        </is>
      </c>
      <c r="F249" t="inlineStr">
        <is>
          <t>Bergvik skog väst AB</t>
        </is>
      </c>
      <c r="G249" t="n">
        <v>7.2</v>
      </c>
      <c r="H249" t="n">
        <v>0</v>
      </c>
      <c r="I249" t="n">
        <v>0</v>
      </c>
      <c r="J249" t="n">
        <v>0</v>
      </c>
      <c r="K249" t="n">
        <v>0</v>
      </c>
      <c r="L249" t="n">
        <v>0</v>
      </c>
      <c r="M249" t="n">
        <v>0</v>
      </c>
      <c r="N249" t="n">
        <v>0</v>
      </c>
      <c r="O249" t="n">
        <v>0</v>
      </c>
      <c r="P249" t="n">
        <v>0</v>
      </c>
      <c r="Q249" t="n">
        <v>0</v>
      </c>
      <c r="R249" s="2" t="inlineStr"/>
    </row>
    <row r="250" ht="15" customHeight="1">
      <c r="A250" t="inlineStr">
        <is>
          <t>A 59846-2019</t>
        </is>
      </c>
      <c r="B250" s="1" t="n">
        <v>43777</v>
      </c>
      <c r="C250" s="1" t="n">
        <v>45789</v>
      </c>
      <c r="D250" t="inlineStr">
        <is>
          <t>DALARNAS LÄN</t>
        </is>
      </c>
      <c r="E250" t="inlineStr">
        <is>
          <t>ÄLVDALEN</t>
        </is>
      </c>
      <c r="G250" t="n">
        <v>3.4</v>
      </c>
      <c r="H250" t="n">
        <v>0</v>
      </c>
      <c r="I250" t="n">
        <v>0</v>
      </c>
      <c r="J250" t="n">
        <v>0</v>
      </c>
      <c r="K250" t="n">
        <v>0</v>
      </c>
      <c r="L250" t="n">
        <v>0</v>
      </c>
      <c r="M250" t="n">
        <v>0</v>
      </c>
      <c r="N250" t="n">
        <v>0</v>
      </c>
      <c r="O250" t="n">
        <v>0</v>
      </c>
      <c r="P250" t="n">
        <v>0</v>
      </c>
      <c r="Q250" t="n">
        <v>0</v>
      </c>
      <c r="R250" s="2" t="inlineStr"/>
    </row>
    <row r="251" ht="15" customHeight="1">
      <c r="A251" t="inlineStr">
        <is>
          <t>A 59959-2019</t>
        </is>
      </c>
      <c r="B251" s="1" t="n">
        <v>43777</v>
      </c>
      <c r="C251" s="1" t="n">
        <v>45789</v>
      </c>
      <c r="D251" t="inlineStr">
        <is>
          <t>DALARNAS LÄN</t>
        </is>
      </c>
      <c r="E251" t="inlineStr">
        <is>
          <t>ÄLVDALEN</t>
        </is>
      </c>
      <c r="F251" t="inlineStr">
        <is>
          <t>Allmännings- och besparingsskogar</t>
        </is>
      </c>
      <c r="G251" t="n">
        <v>3.1</v>
      </c>
      <c r="H251" t="n">
        <v>0</v>
      </c>
      <c r="I251" t="n">
        <v>0</v>
      </c>
      <c r="J251" t="n">
        <v>0</v>
      </c>
      <c r="K251" t="n">
        <v>0</v>
      </c>
      <c r="L251" t="n">
        <v>0</v>
      </c>
      <c r="M251" t="n">
        <v>0</v>
      </c>
      <c r="N251" t="n">
        <v>0</v>
      </c>
      <c r="O251" t="n">
        <v>0</v>
      </c>
      <c r="P251" t="n">
        <v>0</v>
      </c>
      <c r="Q251" t="n">
        <v>0</v>
      </c>
      <c r="R251" s="2" t="inlineStr"/>
    </row>
    <row r="252" ht="15" customHeight="1">
      <c r="A252" t="inlineStr">
        <is>
          <t>A 59947-2019</t>
        </is>
      </c>
      <c r="B252" s="1" t="n">
        <v>43777</v>
      </c>
      <c r="C252" s="1" t="n">
        <v>45789</v>
      </c>
      <c r="D252" t="inlineStr">
        <is>
          <t>DALARNAS LÄN</t>
        </is>
      </c>
      <c r="E252" t="inlineStr">
        <is>
          <t>ÄLVDALEN</t>
        </is>
      </c>
      <c r="G252" t="n">
        <v>3.6</v>
      </c>
      <c r="H252" t="n">
        <v>0</v>
      </c>
      <c r="I252" t="n">
        <v>0</v>
      </c>
      <c r="J252" t="n">
        <v>0</v>
      </c>
      <c r="K252" t="n">
        <v>0</v>
      </c>
      <c r="L252" t="n">
        <v>0</v>
      </c>
      <c r="M252" t="n">
        <v>0</v>
      </c>
      <c r="N252" t="n">
        <v>0</v>
      </c>
      <c r="O252" t="n">
        <v>0</v>
      </c>
      <c r="P252" t="n">
        <v>0</v>
      </c>
      <c r="Q252" t="n">
        <v>0</v>
      </c>
      <c r="R252" s="2" t="inlineStr"/>
    </row>
    <row r="253" ht="15" customHeight="1">
      <c r="A253" t="inlineStr">
        <is>
          <t>A 59957-2019</t>
        </is>
      </c>
      <c r="B253" s="1" t="n">
        <v>43777</v>
      </c>
      <c r="C253" s="1" t="n">
        <v>45789</v>
      </c>
      <c r="D253" t="inlineStr">
        <is>
          <t>DALARNAS LÄN</t>
        </is>
      </c>
      <c r="E253" t="inlineStr">
        <is>
          <t>ÄLVDALEN</t>
        </is>
      </c>
      <c r="G253" t="n">
        <v>4.5</v>
      </c>
      <c r="H253" t="n">
        <v>0</v>
      </c>
      <c r="I253" t="n">
        <v>0</v>
      </c>
      <c r="J253" t="n">
        <v>0</v>
      </c>
      <c r="K253" t="n">
        <v>0</v>
      </c>
      <c r="L253" t="n">
        <v>0</v>
      </c>
      <c r="M253" t="n">
        <v>0</v>
      </c>
      <c r="N253" t="n">
        <v>0</v>
      </c>
      <c r="O253" t="n">
        <v>0</v>
      </c>
      <c r="P253" t="n">
        <v>0</v>
      </c>
      <c r="Q253" t="n">
        <v>0</v>
      </c>
      <c r="R253" s="2" t="inlineStr"/>
    </row>
    <row r="254" ht="15" customHeight="1">
      <c r="A254" t="inlineStr">
        <is>
          <t>A 60345-2019</t>
        </is>
      </c>
      <c r="B254" s="1" t="n">
        <v>43780</v>
      </c>
      <c r="C254" s="1" t="n">
        <v>45789</v>
      </c>
      <c r="D254" t="inlineStr">
        <is>
          <t>DALARNAS LÄN</t>
        </is>
      </c>
      <c r="E254" t="inlineStr">
        <is>
          <t>ÄLVDALEN</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61262-2019</t>
        </is>
      </c>
      <c r="B255" s="1" t="n">
        <v>43783</v>
      </c>
      <c r="C255" s="1" t="n">
        <v>45789</v>
      </c>
      <c r="D255" t="inlineStr">
        <is>
          <t>DALARNAS LÄN</t>
        </is>
      </c>
      <c r="E255" t="inlineStr">
        <is>
          <t>ÄLVDALEN</t>
        </is>
      </c>
      <c r="F255" t="inlineStr">
        <is>
          <t>Bergvik skog väst AB</t>
        </is>
      </c>
      <c r="G255" t="n">
        <v>12.9</v>
      </c>
      <c r="H255" t="n">
        <v>0</v>
      </c>
      <c r="I255" t="n">
        <v>0</v>
      </c>
      <c r="J255" t="n">
        <v>0</v>
      </c>
      <c r="K255" t="n">
        <v>0</v>
      </c>
      <c r="L255" t="n">
        <v>0</v>
      </c>
      <c r="M255" t="n">
        <v>0</v>
      </c>
      <c r="N255" t="n">
        <v>0</v>
      </c>
      <c r="O255" t="n">
        <v>0</v>
      </c>
      <c r="P255" t="n">
        <v>0</v>
      </c>
      <c r="Q255" t="n">
        <v>0</v>
      </c>
      <c r="R255" s="2" t="inlineStr"/>
    </row>
    <row r="256" ht="15" customHeight="1">
      <c r="A256" t="inlineStr">
        <is>
          <t>A 61235-2019</t>
        </is>
      </c>
      <c r="B256" s="1" t="n">
        <v>43783</v>
      </c>
      <c r="C256" s="1" t="n">
        <v>45789</v>
      </c>
      <c r="D256" t="inlineStr">
        <is>
          <t>DALARNAS LÄN</t>
        </is>
      </c>
      <c r="E256" t="inlineStr">
        <is>
          <t>ÄLVDALEN</t>
        </is>
      </c>
      <c r="F256" t="inlineStr">
        <is>
          <t>Bergvik skog väst AB</t>
        </is>
      </c>
      <c r="G256" t="n">
        <v>9</v>
      </c>
      <c r="H256" t="n">
        <v>0</v>
      </c>
      <c r="I256" t="n">
        <v>0</v>
      </c>
      <c r="J256" t="n">
        <v>0</v>
      </c>
      <c r="K256" t="n">
        <v>0</v>
      </c>
      <c r="L256" t="n">
        <v>0</v>
      </c>
      <c r="M256" t="n">
        <v>0</v>
      </c>
      <c r="N256" t="n">
        <v>0</v>
      </c>
      <c r="O256" t="n">
        <v>0</v>
      </c>
      <c r="P256" t="n">
        <v>0</v>
      </c>
      <c r="Q256" t="n">
        <v>0</v>
      </c>
      <c r="R256" s="2" t="inlineStr"/>
    </row>
    <row r="257" ht="15" customHeight="1">
      <c r="A257" t="inlineStr">
        <is>
          <t>A 61312-2019</t>
        </is>
      </c>
      <c r="B257" s="1" t="n">
        <v>43783</v>
      </c>
      <c r="C257" s="1" t="n">
        <v>45789</v>
      </c>
      <c r="D257" t="inlineStr">
        <is>
          <t>DALARNAS LÄN</t>
        </is>
      </c>
      <c r="E257" t="inlineStr">
        <is>
          <t>ÄLVDALEN</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61303-2019</t>
        </is>
      </c>
      <c r="B258" s="1" t="n">
        <v>43783</v>
      </c>
      <c r="C258" s="1" t="n">
        <v>45789</v>
      </c>
      <c r="D258" t="inlineStr">
        <is>
          <t>DALARNAS LÄN</t>
        </is>
      </c>
      <c r="E258" t="inlineStr">
        <is>
          <t>ÄLVDALEN</t>
        </is>
      </c>
      <c r="F258" t="inlineStr">
        <is>
          <t>Allmännings- och besparingsskogar</t>
        </is>
      </c>
      <c r="G258" t="n">
        <v>0.2</v>
      </c>
      <c r="H258" t="n">
        <v>0</v>
      </c>
      <c r="I258" t="n">
        <v>0</v>
      </c>
      <c r="J258" t="n">
        <v>0</v>
      </c>
      <c r="K258" t="n">
        <v>0</v>
      </c>
      <c r="L258" t="n">
        <v>0</v>
      </c>
      <c r="M258" t="n">
        <v>0</v>
      </c>
      <c r="N258" t="n">
        <v>0</v>
      </c>
      <c r="O258" t="n">
        <v>0</v>
      </c>
      <c r="P258" t="n">
        <v>0</v>
      </c>
      <c r="Q258" t="n">
        <v>0</v>
      </c>
      <c r="R258" s="2" t="inlineStr"/>
    </row>
    <row r="259" ht="15" customHeight="1">
      <c r="A259" t="inlineStr">
        <is>
          <t>A 62630-2019</t>
        </is>
      </c>
      <c r="B259" s="1" t="n">
        <v>43789</v>
      </c>
      <c r="C259" s="1" t="n">
        <v>45789</v>
      </c>
      <c r="D259" t="inlineStr">
        <is>
          <t>DALARNAS LÄN</t>
        </is>
      </c>
      <c r="E259" t="inlineStr">
        <is>
          <t>ÄLVDALEN</t>
        </is>
      </c>
      <c r="G259" t="n">
        <v>7.2</v>
      </c>
      <c r="H259" t="n">
        <v>0</v>
      </c>
      <c r="I259" t="n">
        <v>0</v>
      </c>
      <c r="J259" t="n">
        <v>0</v>
      </c>
      <c r="K259" t="n">
        <v>0</v>
      </c>
      <c r="L259" t="n">
        <v>0</v>
      </c>
      <c r="M259" t="n">
        <v>0</v>
      </c>
      <c r="N259" t="n">
        <v>0</v>
      </c>
      <c r="O259" t="n">
        <v>0</v>
      </c>
      <c r="P259" t="n">
        <v>0</v>
      </c>
      <c r="Q259" t="n">
        <v>0</v>
      </c>
      <c r="R259" s="2" t="inlineStr"/>
    </row>
    <row r="260" ht="15" customHeight="1">
      <c r="A260" t="inlineStr">
        <is>
          <t>A 62691-2019</t>
        </is>
      </c>
      <c r="B260" s="1" t="n">
        <v>43789</v>
      </c>
      <c r="C260" s="1" t="n">
        <v>45789</v>
      </c>
      <c r="D260" t="inlineStr">
        <is>
          <t>DALARNAS LÄN</t>
        </is>
      </c>
      <c r="E260" t="inlineStr">
        <is>
          <t>ÄLVDALEN</t>
        </is>
      </c>
      <c r="G260" t="n">
        <v>1.4</v>
      </c>
      <c r="H260" t="n">
        <v>0</v>
      </c>
      <c r="I260" t="n">
        <v>0</v>
      </c>
      <c r="J260" t="n">
        <v>0</v>
      </c>
      <c r="K260" t="n">
        <v>0</v>
      </c>
      <c r="L260" t="n">
        <v>0</v>
      </c>
      <c r="M260" t="n">
        <v>0</v>
      </c>
      <c r="N260" t="n">
        <v>0</v>
      </c>
      <c r="O260" t="n">
        <v>0</v>
      </c>
      <c r="P260" t="n">
        <v>0</v>
      </c>
      <c r="Q260" t="n">
        <v>0</v>
      </c>
      <c r="R260" s="2" t="inlineStr"/>
    </row>
    <row r="261" ht="15" customHeight="1">
      <c r="A261" t="inlineStr">
        <is>
          <t>A 63161-2019</t>
        </is>
      </c>
      <c r="B261" s="1" t="n">
        <v>43791</v>
      </c>
      <c r="C261" s="1" t="n">
        <v>45789</v>
      </c>
      <c r="D261" t="inlineStr">
        <is>
          <t>DALARNAS LÄN</t>
        </is>
      </c>
      <c r="E261" t="inlineStr">
        <is>
          <t>ÄLVDALEN</t>
        </is>
      </c>
      <c r="G261" t="n">
        <v>2.6</v>
      </c>
      <c r="H261" t="n">
        <v>0</v>
      </c>
      <c r="I261" t="n">
        <v>0</v>
      </c>
      <c r="J261" t="n">
        <v>0</v>
      </c>
      <c r="K261" t="n">
        <v>0</v>
      </c>
      <c r="L261" t="n">
        <v>0</v>
      </c>
      <c r="M261" t="n">
        <v>0</v>
      </c>
      <c r="N261" t="n">
        <v>0</v>
      </c>
      <c r="O261" t="n">
        <v>0</v>
      </c>
      <c r="P261" t="n">
        <v>0</v>
      </c>
      <c r="Q261" t="n">
        <v>0</v>
      </c>
      <c r="R261" s="2" t="inlineStr"/>
    </row>
    <row r="262" ht="15" customHeight="1">
      <c r="A262" t="inlineStr">
        <is>
          <t>A 63242-2019</t>
        </is>
      </c>
      <c r="B262" s="1" t="n">
        <v>43792</v>
      </c>
      <c r="C262" s="1" t="n">
        <v>45789</v>
      </c>
      <c r="D262" t="inlineStr">
        <is>
          <t>DALARNAS LÄN</t>
        </is>
      </c>
      <c r="E262" t="inlineStr">
        <is>
          <t>ÄLVDALEN</t>
        </is>
      </c>
      <c r="G262" t="n">
        <v>2.1</v>
      </c>
      <c r="H262" t="n">
        <v>0</v>
      </c>
      <c r="I262" t="n">
        <v>0</v>
      </c>
      <c r="J262" t="n">
        <v>0</v>
      </c>
      <c r="K262" t="n">
        <v>0</v>
      </c>
      <c r="L262" t="n">
        <v>0</v>
      </c>
      <c r="M262" t="n">
        <v>0</v>
      </c>
      <c r="N262" t="n">
        <v>0</v>
      </c>
      <c r="O262" t="n">
        <v>0</v>
      </c>
      <c r="P262" t="n">
        <v>0</v>
      </c>
      <c r="Q262" t="n">
        <v>0</v>
      </c>
      <c r="R262" s="2" t="inlineStr"/>
    </row>
    <row r="263" ht="15" customHeight="1">
      <c r="A263" t="inlineStr">
        <is>
          <t>A 63470-2019</t>
        </is>
      </c>
      <c r="B263" s="1" t="n">
        <v>43794</v>
      </c>
      <c r="C263" s="1" t="n">
        <v>45789</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63536-2019</t>
        </is>
      </c>
      <c r="B264" s="1" t="n">
        <v>43794</v>
      </c>
      <c r="C264" s="1" t="n">
        <v>45789</v>
      </c>
      <c r="D264" t="inlineStr">
        <is>
          <t>DALARNAS LÄN</t>
        </is>
      </c>
      <c r="E264" t="inlineStr">
        <is>
          <t>ÄLVDALEN</t>
        </is>
      </c>
      <c r="G264" t="n">
        <v>10.5</v>
      </c>
      <c r="H264" t="n">
        <v>0</v>
      </c>
      <c r="I264" t="n">
        <v>0</v>
      </c>
      <c r="J264" t="n">
        <v>0</v>
      </c>
      <c r="K264" t="n">
        <v>0</v>
      </c>
      <c r="L264" t="n">
        <v>0</v>
      </c>
      <c r="M264" t="n">
        <v>0</v>
      </c>
      <c r="N264" t="n">
        <v>0</v>
      </c>
      <c r="O264" t="n">
        <v>0</v>
      </c>
      <c r="P264" t="n">
        <v>0</v>
      </c>
      <c r="Q264" t="n">
        <v>0</v>
      </c>
      <c r="R264" s="2" t="inlineStr"/>
    </row>
    <row r="265" ht="15" customHeight="1">
      <c r="A265" t="inlineStr">
        <is>
          <t>A 63787-2019</t>
        </is>
      </c>
      <c r="B265" s="1" t="n">
        <v>43795</v>
      </c>
      <c r="C265" s="1" t="n">
        <v>45789</v>
      </c>
      <c r="D265" t="inlineStr">
        <is>
          <t>DALARNAS LÄN</t>
        </is>
      </c>
      <c r="E265" t="inlineStr">
        <is>
          <t>ÄLVDALEN</t>
        </is>
      </c>
      <c r="F265" t="inlineStr">
        <is>
          <t>Sveaskog</t>
        </is>
      </c>
      <c r="G265" t="n">
        <v>14.1</v>
      </c>
      <c r="H265" t="n">
        <v>0</v>
      </c>
      <c r="I265" t="n">
        <v>0</v>
      </c>
      <c r="J265" t="n">
        <v>0</v>
      </c>
      <c r="K265" t="n">
        <v>0</v>
      </c>
      <c r="L265" t="n">
        <v>0</v>
      </c>
      <c r="M265" t="n">
        <v>0</v>
      </c>
      <c r="N265" t="n">
        <v>0</v>
      </c>
      <c r="O265" t="n">
        <v>0</v>
      </c>
      <c r="P265" t="n">
        <v>0</v>
      </c>
      <c r="Q265" t="n">
        <v>0</v>
      </c>
      <c r="R265" s="2" t="inlineStr"/>
    </row>
    <row r="266" ht="15" customHeight="1">
      <c r="A266" t="inlineStr">
        <is>
          <t>A 65980-2019</t>
        </is>
      </c>
      <c r="B266" s="1" t="n">
        <v>43805</v>
      </c>
      <c r="C266" s="1" t="n">
        <v>45789</v>
      </c>
      <c r="D266" t="inlineStr">
        <is>
          <t>DALARNAS LÄN</t>
        </is>
      </c>
      <c r="E266" t="inlineStr">
        <is>
          <t>ÄLVDALEN</t>
        </is>
      </c>
      <c r="G266" t="n">
        <v>0.4</v>
      </c>
      <c r="H266" t="n">
        <v>0</v>
      </c>
      <c r="I266" t="n">
        <v>0</v>
      </c>
      <c r="J266" t="n">
        <v>0</v>
      </c>
      <c r="K266" t="n">
        <v>0</v>
      </c>
      <c r="L266" t="n">
        <v>0</v>
      </c>
      <c r="M266" t="n">
        <v>0</v>
      </c>
      <c r="N266" t="n">
        <v>0</v>
      </c>
      <c r="O266" t="n">
        <v>0</v>
      </c>
      <c r="P266" t="n">
        <v>0</v>
      </c>
      <c r="Q266" t="n">
        <v>0</v>
      </c>
      <c r="R266" s="2" t="inlineStr"/>
    </row>
    <row r="267" ht="15" customHeight="1">
      <c r="A267" t="inlineStr">
        <is>
          <t>A 68854-2019</t>
        </is>
      </c>
      <c r="B267" s="1" t="n">
        <v>43820</v>
      </c>
      <c r="C267" s="1" t="n">
        <v>45789</v>
      </c>
      <c r="D267" t="inlineStr">
        <is>
          <t>DALARNAS LÄN</t>
        </is>
      </c>
      <c r="E267" t="inlineStr">
        <is>
          <t>ÄLVDALEN</t>
        </is>
      </c>
      <c r="G267" t="n">
        <v>1.6</v>
      </c>
      <c r="H267" t="n">
        <v>0</v>
      </c>
      <c r="I267" t="n">
        <v>0</v>
      </c>
      <c r="J267" t="n">
        <v>0</v>
      </c>
      <c r="K267" t="n">
        <v>0</v>
      </c>
      <c r="L267" t="n">
        <v>0</v>
      </c>
      <c r="M267" t="n">
        <v>0</v>
      </c>
      <c r="N267" t="n">
        <v>0</v>
      </c>
      <c r="O267" t="n">
        <v>0</v>
      </c>
      <c r="P267" t="n">
        <v>0</v>
      </c>
      <c r="Q267" t="n">
        <v>0</v>
      </c>
      <c r="R267" s="2" t="inlineStr"/>
    </row>
    <row r="268" ht="15" customHeight="1">
      <c r="A268" t="inlineStr">
        <is>
          <t>A 68936-2019</t>
        </is>
      </c>
      <c r="B268" s="1" t="n">
        <v>43822</v>
      </c>
      <c r="C268" s="1" t="n">
        <v>45789</v>
      </c>
      <c r="D268" t="inlineStr">
        <is>
          <t>DALARNAS LÄN</t>
        </is>
      </c>
      <c r="E268" t="inlineStr">
        <is>
          <t>ÄLVDALEN</t>
        </is>
      </c>
      <c r="G268" t="n">
        <v>3.5</v>
      </c>
      <c r="H268" t="n">
        <v>0</v>
      </c>
      <c r="I268" t="n">
        <v>0</v>
      </c>
      <c r="J268" t="n">
        <v>0</v>
      </c>
      <c r="K268" t="n">
        <v>0</v>
      </c>
      <c r="L268" t="n">
        <v>0</v>
      </c>
      <c r="M268" t="n">
        <v>0</v>
      </c>
      <c r="N268" t="n">
        <v>0</v>
      </c>
      <c r="O268" t="n">
        <v>0</v>
      </c>
      <c r="P268" t="n">
        <v>0</v>
      </c>
      <c r="Q268" t="n">
        <v>0</v>
      </c>
      <c r="R268" s="2" t="inlineStr"/>
    </row>
    <row r="269" ht="15" customHeight="1">
      <c r="A269" t="inlineStr">
        <is>
          <t>A 2050-2020</t>
        </is>
      </c>
      <c r="B269" s="1" t="n">
        <v>43845</v>
      </c>
      <c r="C269" s="1" t="n">
        <v>45789</v>
      </c>
      <c r="D269" t="inlineStr">
        <is>
          <t>DALARNAS LÄN</t>
        </is>
      </c>
      <c r="E269" t="inlineStr">
        <is>
          <t>ÄLVDALEN</t>
        </is>
      </c>
      <c r="G269" t="n">
        <v>9.5</v>
      </c>
      <c r="H269" t="n">
        <v>0</v>
      </c>
      <c r="I269" t="n">
        <v>0</v>
      </c>
      <c r="J269" t="n">
        <v>0</v>
      </c>
      <c r="K269" t="n">
        <v>0</v>
      </c>
      <c r="L269" t="n">
        <v>0</v>
      </c>
      <c r="M269" t="n">
        <v>0</v>
      </c>
      <c r="N269" t="n">
        <v>0</v>
      </c>
      <c r="O269" t="n">
        <v>0</v>
      </c>
      <c r="P269" t="n">
        <v>0</v>
      </c>
      <c r="Q269" t="n">
        <v>0</v>
      </c>
      <c r="R269" s="2" t="inlineStr"/>
    </row>
    <row r="270" ht="15" customHeight="1">
      <c r="A270" t="inlineStr">
        <is>
          <t>A 3301-2020</t>
        </is>
      </c>
      <c r="B270" s="1" t="n">
        <v>43852</v>
      </c>
      <c r="C270" s="1" t="n">
        <v>45789</v>
      </c>
      <c r="D270" t="inlineStr">
        <is>
          <t>DALARNAS LÄN</t>
        </is>
      </c>
      <c r="E270" t="inlineStr">
        <is>
          <t>ÄLVDALEN</t>
        </is>
      </c>
      <c r="G270" t="n">
        <v>3.3</v>
      </c>
      <c r="H270" t="n">
        <v>0</v>
      </c>
      <c r="I270" t="n">
        <v>0</v>
      </c>
      <c r="J270" t="n">
        <v>0</v>
      </c>
      <c r="K270" t="n">
        <v>0</v>
      </c>
      <c r="L270" t="n">
        <v>0</v>
      </c>
      <c r="M270" t="n">
        <v>0</v>
      </c>
      <c r="N270" t="n">
        <v>0</v>
      </c>
      <c r="O270" t="n">
        <v>0</v>
      </c>
      <c r="P270" t="n">
        <v>0</v>
      </c>
      <c r="Q270" t="n">
        <v>0</v>
      </c>
      <c r="R270" s="2" t="inlineStr"/>
    </row>
    <row r="271" ht="15" customHeight="1">
      <c r="A271" t="inlineStr">
        <is>
          <t>A 3917-2020</t>
        </is>
      </c>
      <c r="B271" s="1" t="n">
        <v>43854</v>
      </c>
      <c r="C271" s="1" t="n">
        <v>45789</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6317-2020</t>
        </is>
      </c>
      <c r="B272" s="1" t="n">
        <v>43866</v>
      </c>
      <c r="C272" s="1" t="n">
        <v>45789</v>
      </c>
      <c r="D272" t="inlineStr">
        <is>
          <t>DALARNAS LÄN</t>
        </is>
      </c>
      <c r="E272" t="inlineStr">
        <is>
          <t>ÄLVDALEN</t>
        </is>
      </c>
      <c r="G272" t="n">
        <v>2.8</v>
      </c>
      <c r="H272" t="n">
        <v>0</v>
      </c>
      <c r="I272" t="n">
        <v>0</v>
      </c>
      <c r="J272" t="n">
        <v>0</v>
      </c>
      <c r="K272" t="n">
        <v>0</v>
      </c>
      <c r="L272" t="n">
        <v>0</v>
      </c>
      <c r="M272" t="n">
        <v>0</v>
      </c>
      <c r="N272" t="n">
        <v>0</v>
      </c>
      <c r="O272" t="n">
        <v>0</v>
      </c>
      <c r="P272" t="n">
        <v>0</v>
      </c>
      <c r="Q272" t="n">
        <v>0</v>
      </c>
      <c r="R272" s="2" t="inlineStr"/>
    </row>
    <row r="273" ht="15" customHeight="1">
      <c r="A273" t="inlineStr">
        <is>
          <t>A 6319-2020</t>
        </is>
      </c>
      <c r="B273" s="1" t="n">
        <v>43866</v>
      </c>
      <c r="C273" s="1" t="n">
        <v>45789</v>
      </c>
      <c r="D273" t="inlineStr">
        <is>
          <t>DALARNAS LÄN</t>
        </is>
      </c>
      <c r="E273" t="inlineStr">
        <is>
          <t>ÄLVDALEN</t>
        </is>
      </c>
      <c r="G273" t="n">
        <v>1.3</v>
      </c>
      <c r="H273" t="n">
        <v>0</v>
      </c>
      <c r="I273" t="n">
        <v>0</v>
      </c>
      <c r="J273" t="n">
        <v>0</v>
      </c>
      <c r="K273" t="n">
        <v>0</v>
      </c>
      <c r="L273" t="n">
        <v>0</v>
      </c>
      <c r="M273" t="n">
        <v>0</v>
      </c>
      <c r="N273" t="n">
        <v>0</v>
      </c>
      <c r="O273" t="n">
        <v>0</v>
      </c>
      <c r="P273" t="n">
        <v>0</v>
      </c>
      <c r="Q273" t="n">
        <v>0</v>
      </c>
      <c r="R273" s="2" t="inlineStr"/>
    </row>
    <row r="274" ht="15" customHeight="1">
      <c r="A274" t="inlineStr">
        <is>
          <t>A 8751-2020</t>
        </is>
      </c>
      <c r="B274" s="1" t="n">
        <v>43878</v>
      </c>
      <c r="C274" s="1" t="n">
        <v>45789</v>
      </c>
      <c r="D274" t="inlineStr">
        <is>
          <t>DALARNAS LÄN</t>
        </is>
      </c>
      <c r="E274" t="inlineStr">
        <is>
          <t>ÄLVDALEN</t>
        </is>
      </c>
      <c r="G274" t="n">
        <v>1.9</v>
      </c>
      <c r="H274" t="n">
        <v>0</v>
      </c>
      <c r="I274" t="n">
        <v>0</v>
      </c>
      <c r="J274" t="n">
        <v>0</v>
      </c>
      <c r="K274" t="n">
        <v>0</v>
      </c>
      <c r="L274" t="n">
        <v>0</v>
      </c>
      <c r="M274" t="n">
        <v>0</v>
      </c>
      <c r="N274" t="n">
        <v>0</v>
      </c>
      <c r="O274" t="n">
        <v>0</v>
      </c>
      <c r="P274" t="n">
        <v>0</v>
      </c>
      <c r="Q274" t="n">
        <v>0</v>
      </c>
      <c r="R274" s="2" t="inlineStr"/>
    </row>
    <row r="275" ht="15" customHeight="1">
      <c r="A275" t="inlineStr">
        <is>
          <t>A 8864-2020</t>
        </is>
      </c>
      <c r="B275" s="1" t="n">
        <v>43878</v>
      </c>
      <c r="C275" s="1" t="n">
        <v>45789</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10047-2020</t>
        </is>
      </c>
      <c r="B276" s="1" t="n">
        <v>43882</v>
      </c>
      <c r="C276" s="1" t="n">
        <v>45789</v>
      </c>
      <c r="D276" t="inlineStr">
        <is>
          <t>DALARNAS LÄN</t>
        </is>
      </c>
      <c r="E276" t="inlineStr">
        <is>
          <t>ÄLVDALEN</t>
        </is>
      </c>
      <c r="G276" t="n">
        <v>5.7</v>
      </c>
      <c r="H276" t="n">
        <v>0</v>
      </c>
      <c r="I276" t="n">
        <v>0</v>
      </c>
      <c r="J276" t="n">
        <v>0</v>
      </c>
      <c r="K276" t="n">
        <v>0</v>
      </c>
      <c r="L276" t="n">
        <v>0</v>
      </c>
      <c r="M276" t="n">
        <v>0</v>
      </c>
      <c r="N276" t="n">
        <v>0</v>
      </c>
      <c r="O276" t="n">
        <v>0</v>
      </c>
      <c r="P276" t="n">
        <v>0</v>
      </c>
      <c r="Q276" t="n">
        <v>0</v>
      </c>
      <c r="R276" s="2" t="inlineStr"/>
    </row>
    <row r="277" ht="15" customHeight="1">
      <c r="A277" t="inlineStr">
        <is>
          <t>A 12540-2020</t>
        </is>
      </c>
      <c r="B277" s="1" t="n">
        <v>43897</v>
      </c>
      <c r="C277" s="1" t="n">
        <v>45789</v>
      </c>
      <c r="D277" t="inlineStr">
        <is>
          <t>DALARNAS LÄN</t>
        </is>
      </c>
      <c r="E277" t="inlineStr">
        <is>
          <t>ÄLVDALEN</t>
        </is>
      </c>
      <c r="G277" t="n">
        <v>3.7</v>
      </c>
      <c r="H277" t="n">
        <v>0</v>
      </c>
      <c r="I277" t="n">
        <v>0</v>
      </c>
      <c r="J277" t="n">
        <v>0</v>
      </c>
      <c r="K277" t="n">
        <v>0</v>
      </c>
      <c r="L277" t="n">
        <v>0</v>
      </c>
      <c r="M277" t="n">
        <v>0</v>
      </c>
      <c r="N277" t="n">
        <v>0</v>
      </c>
      <c r="O277" t="n">
        <v>0</v>
      </c>
      <c r="P277" t="n">
        <v>0</v>
      </c>
      <c r="Q277" t="n">
        <v>0</v>
      </c>
      <c r="R277" s="2" t="inlineStr"/>
    </row>
    <row r="278" ht="15" customHeight="1">
      <c r="A278" t="inlineStr">
        <is>
          <t>A 15596-2020</t>
        </is>
      </c>
      <c r="B278" s="1" t="n">
        <v>43914</v>
      </c>
      <c r="C278" s="1" t="n">
        <v>45789</v>
      </c>
      <c r="D278" t="inlineStr">
        <is>
          <t>DALARNAS LÄN</t>
        </is>
      </c>
      <c r="E278" t="inlineStr">
        <is>
          <t>ÄLVDALEN</t>
        </is>
      </c>
      <c r="F278" t="inlineStr">
        <is>
          <t>Allmännings- och besparingsskogar</t>
        </is>
      </c>
      <c r="G278" t="n">
        <v>19.5</v>
      </c>
      <c r="H278" t="n">
        <v>0</v>
      </c>
      <c r="I278" t="n">
        <v>0</v>
      </c>
      <c r="J278" t="n">
        <v>0</v>
      </c>
      <c r="K278" t="n">
        <v>0</v>
      </c>
      <c r="L278" t="n">
        <v>0</v>
      </c>
      <c r="M278" t="n">
        <v>0</v>
      </c>
      <c r="N278" t="n">
        <v>0</v>
      </c>
      <c r="O278" t="n">
        <v>0</v>
      </c>
      <c r="P278" t="n">
        <v>0</v>
      </c>
      <c r="Q278" t="n">
        <v>0</v>
      </c>
      <c r="R278" s="2" t="inlineStr"/>
    </row>
    <row r="279" ht="15" customHeight="1">
      <c r="A279" t="inlineStr">
        <is>
          <t>A 16308-2020</t>
        </is>
      </c>
      <c r="B279" s="1" t="n">
        <v>43917</v>
      </c>
      <c r="C279" s="1" t="n">
        <v>45789</v>
      </c>
      <c r="D279" t="inlineStr">
        <is>
          <t>DALARNAS LÄN</t>
        </is>
      </c>
      <c r="E279" t="inlineStr">
        <is>
          <t>ÄLVDALEN</t>
        </is>
      </c>
      <c r="F279" t="inlineStr">
        <is>
          <t>Allmännings- och besparingsskogar</t>
        </is>
      </c>
      <c r="G279" t="n">
        <v>29.7</v>
      </c>
      <c r="H279" t="n">
        <v>0</v>
      </c>
      <c r="I279" t="n">
        <v>0</v>
      </c>
      <c r="J279" t="n">
        <v>0</v>
      </c>
      <c r="K279" t="n">
        <v>0</v>
      </c>
      <c r="L279" t="n">
        <v>0</v>
      </c>
      <c r="M279" t="n">
        <v>0</v>
      </c>
      <c r="N279" t="n">
        <v>0</v>
      </c>
      <c r="O279" t="n">
        <v>0</v>
      </c>
      <c r="P279" t="n">
        <v>0</v>
      </c>
      <c r="Q279" t="n">
        <v>0</v>
      </c>
      <c r="R279" s="2" t="inlineStr"/>
    </row>
    <row r="280" ht="15" customHeight="1">
      <c r="A280" t="inlineStr">
        <is>
          <t>A 16911-2020</t>
        </is>
      </c>
      <c r="B280" s="1" t="n">
        <v>43921</v>
      </c>
      <c r="C280" s="1" t="n">
        <v>45789</v>
      </c>
      <c r="D280" t="inlineStr">
        <is>
          <t>DALARNAS LÄN</t>
        </is>
      </c>
      <c r="E280" t="inlineStr">
        <is>
          <t>ÄLVDALEN</t>
        </is>
      </c>
      <c r="G280" t="n">
        <v>0.8</v>
      </c>
      <c r="H280" t="n">
        <v>0</v>
      </c>
      <c r="I280" t="n">
        <v>0</v>
      </c>
      <c r="J280" t="n">
        <v>0</v>
      </c>
      <c r="K280" t="n">
        <v>0</v>
      </c>
      <c r="L280" t="n">
        <v>0</v>
      </c>
      <c r="M280" t="n">
        <v>0</v>
      </c>
      <c r="N280" t="n">
        <v>0</v>
      </c>
      <c r="O280" t="n">
        <v>0</v>
      </c>
      <c r="P280" t="n">
        <v>0</v>
      </c>
      <c r="Q280" t="n">
        <v>0</v>
      </c>
      <c r="R280" s="2" t="inlineStr"/>
    </row>
    <row r="281" ht="15" customHeight="1">
      <c r="A281" t="inlineStr">
        <is>
          <t>A 17096-2020</t>
        </is>
      </c>
      <c r="B281" s="1" t="n">
        <v>43922</v>
      </c>
      <c r="C281" s="1" t="n">
        <v>45789</v>
      </c>
      <c r="D281" t="inlineStr">
        <is>
          <t>DALARNAS LÄN</t>
        </is>
      </c>
      <c r="E281" t="inlineStr">
        <is>
          <t>ÄLVDALEN</t>
        </is>
      </c>
      <c r="F281" t="inlineStr">
        <is>
          <t>Allmännings- och besparingsskogar</t>
        </is>
      </c>
      <c r="G281" t="n">
        <v>66.7</v>
      </c>
      <c r="H281" t="n">
        <v>0</v>
      </c>
      <c r="I281" t="n">
        <v>0</v>
      </c>
      <c r="J281" t="n">
        <v>0</v>
      </c>
      <c r="K281" t="n">
        <v>0</v>
      </c>
      <c r="L281" t="n">
        <v>0</v>
      </c>
      <c r="M281" t="n">
        <v>0</v>
      </c>
      <c r="N281" t="n">
        <v>0</v>
      </c>
      <c r="O281" t="n">
        <v>0</v>
      </c>
      <c r="P281" t="n">
        <v>0</v>
      </c>
      <c r="Q281" t="n">
        <v>0</v>
      </c>
      <c r="R281" s="2" t="inlineStr"/>
    </row>
    <row r="282" ht="15" customHeight="1">
      <c r="A282" t="inlineStr">
        <is>
          <t>A 17109-2020</t>
        </is>
      </c>
      <c r="B282" s="1" t="n">
        <v>43922</v>
      </c>
      <c r="C282" s="1" t="n">
        <v>45789</v>
      </c>
      <c r="D282" t="inlineStr">
        <is>
          <t>DALARNAS LÄN</t>
        </is>
      </c>
      <c r="E282" t="inlineStr">
        <is>
          <t>ÄLVDALEN</t>
        </is>
      </c>
      <c r="F282" t="inlineStr">
        <is>
          <t>Allmännings- och besparingsskogar</t>
        </is>
      </c>
      <c r="G282" t="n">
        <v>22.3</v>
      </c>
      <c r="H282" t="n">
        <v>0</v>
      </c>
      <c r="I282" t="n">
        <v>0</v>
      </c>
      <c r="J282" t="n">
        <v>0</v>
      </c>
      <c r="K282" t="n">
        <v>0</v>
      </c>
      <c r="L282" t="n">
        <v>0</v>
      </c>
      <c r="M282" t="n">
        <v>0</v>
      </c>
      <c r="N282" t="n">
        <v>0</v>
      </c>
      <c r="O282" t="n">
        <v>0</v>
      </c>
      <c r="P282" t="n">
        <v>0</v>
      </c>
      <c r="Q282" t="n">
        <v>0</v>
      </c>
      <c r="R282" s="2" t="inlineStr"/>
    </row>
    <row r="283" ht="15" customHeight="1">
      <c r="A283" t="inlineStr">
        <is>
          <t>A 17099-2020</t>
        </is>
      </c>
      <c r="B283" s="1" t="n">
        <v>43922</v>
      </c>
      <c r="C283" s="1" t="n">
        <v>45789</v>
      </c>
      <c r="D283" t="inlineStr">
        <is>
          <t>DALARNAS LÄN</t>
        </is>
      </c>
      <c r="E283" t="inlineStr">
        <is>
          <t>ÄLVDALEN</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17103-2020</t>
        </is>
      </c>
      <c r="B284" s="1" t="n">
        <v>43922</v>
      </c>
      <c r="C284" s="1" t="n">
        <v>45789</v>
      </c>
      <c r="D284" t="inlineStr">
        <is>
          <t>DALARNAS LÄN</t>
        </is>
      </c>
      <c r="E284" t="inlineStr">
        <is>
          <t>ÄLVDALEN</t>
        </is>
      </c>
      <c r="F284" t="inlineStr">
        <is>
          <t>Allmännings- och besparingsskogar</t>
        </is>
      </c>
      <c r="G284" t="n">
        <v>54.1</v>
      </c>
      <c r="H284" t="n">
        <v>0</v>
      </c>
      <c r="I284" t="n">
        <v>0</v>
      </c>
      <c r="J284" t="n">
        <v>0</v>
      </c>
      <c r="K284" t="n">
        <v>0</v>
      </c>
      <c r="L284" t="n">
        <v>0</v>
      </c>
      <c r="M284" t="n">
        <v>0</v>
      </c>
      <c r="N284" t="n">
        <v>0</v>
      </c>
      <c r="O284" t="n">
        <v>0</v>
      </c>
      <c r="P284" t="n">
        <v>0</v>
      </c>
      <c r="Q284" t="n">
        <v>0</v>
      </c>
      <c r="R284" s="2" t="inlineStr"/>
    </row>
    <row r="285" ht="15" customHeight="1">
      <c r="A285" t="inlineStr">
        <is>
          <t>A 17430-2020</t>
        </is>
      </c>
      <c r="B285" s="1" t="n">
        <v>43923</v>
      </c>
      <c r="C285" s="1" t="n">
        <v>45789</v>
      </c>
      <c r="D285" t="inlineStr">
        <is>
          <t>DALARNAS LÄN</t>
        </is>
      </c>
      <c r="E285" t="inlineStr">
        <is>
          <t>ÄLVDALEN</t>
        </is>
      </c>
      <c r="G285" t="n">
        <v>1.8</v>
      </c>
      <c r="H285" t="n">
        <v>0</v>
      </c>
      <c r="I285" t="n">
        <v>0</v>
      </c>
      <c r="J285" t="n">
        <v>0</v>
      </c>
      <c r="K285" t="n">
        <v>0</v>
      </c>
      <c r="L285" t="n">
        <v>0</v>
      </c>
      <c r="M285" t="n">
        <v>0</v>
      </c>
      <c r="N285" t="n">
        <v>0</v>
      </c>
      <c r="O285" t="n">
        <v>0</v>
      </c>
      <c r="P285" t="n">
        <v>0</v>
      </c>
      <c r="Q285" t="n">
        <v>0</v>
      </c>
      <c r="R285" s="2" t="inlineStr"/>
    </row>
    <row r="286" ht="15" customHeight="1">
      <c r="A286" t="inlineStr">
        <is>
          <t>A 18378-2020</t>
        </is>
      </c>
      <c r="B286" s="1" t="n">
        <v>43928</v>
      </c>
      <c r="C286" s="1" t="n">
        <v>45789</v>
      </c>
      <c r="D286" t="inlineStr">
        <is>
          <t>DALARNAS LÄN</t>
        </is>
      </c>
      <c r="E286" t="inlineStr">
        <is>
          <t>ÄLVDALEN</t>
        </is>
      </c>
      <c r="F286" t="inlineStr">
        <is>
          <t>Allmännings- och besparingsskogar</t>
        </is>
      </c>
      <c r="G286" t="n">
        <v>48.4</v>
      </c>
      <c r="H286" t="n">
        <v>0</v>
      </c>
      <c r="I286" t="n">
        <v>0</v>
      </c>
      <c r="J286" t="n">
        <v>0</v>
      </c>
      <c r="K286" t="n">
        <v>0</v>
      </c>
      <c r="L286" t="n">
        <v>0</v>
      </c>
      <c r="M286" t="n">
        <v>0</v>
      </c>
      <c r="N286" t="n">
        <v>0</v>
      </c>
      <c r="O286" t="n">
        <v>0</v>
      </c>
      <c r="P286" t="n">
        <v>0</v>
      </c>
      <c r="Q286" t="n">
        <v>0</v>
      </c>
      <c r="R286" s="2" t="inlineStr"/>
    </row>
    <row r="287" ht="15" customHeight="1">
      <c r="A287" t="inlineStr">
        <is>
          <t>A 23179-2020</t>
        </is>
      </c>
      <c r="B287" s="1" t="n">
        <v>43937</v>
      </c>
      <c r="C287" s="1" t="n">
        <v>45789</v>
      </c>
      <c r="D287" t="inlineStr">
        <is>
          <t>DALARNAS LÄN</t>
        </is>
      </c>
      <c r="E287" t="inlineStr">
        <is>
          <t>ÄLVDALEN</t>
        </is>
      </c>
      <c r="F287" t="inlineStr">
        <is>
          <t>Sveaskog</t>
        </is>
      </c>
      <c r="G287" t="n">
        <v>75.09999999999999</v>
      </c>
      <c r="H287" t="n">
        <v>0</v>
      </c>
      <c r="I287" t="n">
        <v>0</v>
      </c>
      <c r="J287" t="n">
        <v>0</v>
      </c>
      <c r="K287" t="n">
        <v>0</v>
      </c>
      <c r="L287" t="n">
        <v>0</v>
      </c>
      <c r="M287" t="n">
        <v>0</v>
      </c>
      <c r="N287" t="n">
        <v>0</v>
      </c>
      <c r="O287" t="n">
        <v>0</v>
      </c>
      <c r="P287" t="n">
        <v>0</v>
      </c>
      <c r="Q287" t="n">
        <v>0</v>
      </c>
      <c r="R287" s="2" t="inlineStr"/>
    </row>
    <row r="288" ht="15" customHeight="1">
      <c r="A288" t="inlineStr">
        <is>
          <t>A 20189-2020</t>
        </is>
      </c>
      <c r="B288" s="1" t="n">
        <v>43944</v>
      </c>
      <c r="C288" s="1" t="n">
        <v>45789</v>
      </c>
      <c r="D288" t="inlineStr">
        <is>
          <t>DALARNAS LÄN</t>
        </is>
      </c>
      <c r="E288" t="inlineStr">
        <is>
          <t>ÄLVDALEN</t>
        </is>
      </c>
      <c r="G288" t="n">
        <v>0.7</v>
      </c>
      <c r="H288" t="n">
        <v>0</v>
      </c>
      <c r="I288" t="n">
        <v>0</v>
      </c>
      <c r="J288" t="n">
        <v>0</v>
      </c>
      <c r="K288" t="n">
        <v>0</v>
      </c>
      <c r="L288" t="n">
        <v>0</v>
      </c>
      <c r="M288" t="n">
        <v>0</v>
      </c>
      <c r="N288" t="n">
        <v>0</v>
      </c>
      <c r="O288" t="n">
        <v>0</v>
      </c>
      <c r="P288" t="n">
        <v>0</v>
      </c>
      <c r="Q288" t="n">
        <v>0</v>
      </c>
      <c r="R288" s="2" t="inlineStr"/>
    </row>
    <row r="289" ht="15" customHeight="1">
      <c r="A289" t="inlineStr">
        <is>
          <t>A 20290-2020</t>
        </is>
      </c>
      <c r="B289" s="1" t="n">
        <v>43944</v>
      </c>
      <c r="C289" s="1" t="n">
        <v>45789</v>
      </c>
      <c r="D289" t="inlineStr">
        <is>
          <t>DALARNAS LÄN</t>
        </is>
      </c>
      <c r="E289" t="inlineStr">
        <is>
          <t>ÄLVDALEN</t>
        </is>
      </c>
      <c r="G289" t="n">
        <v>1</v>
      </c>
      <c r="H289" t="n">
        <v>0</v>
      </c>
      <c r="I289" t="n">
        <v>0</v>
      </c>
      <c r="J289" t="n">
        <v>0</v>
      </c>
      <c r="K289" t="n">
        <v>0</v>
      </c>
      <c r="L289" t="n">
        <v>0</v>
      </c>
      <c r="M289" t="n">
        <v>0</v>
      </c>
      <c r="N289" t="n">
        <v>0</v>
      </c>
      <c r="O289" t="n">
        <v>0</v>
      </c>
      <c r="P289" t="n">
        <v>0</v>
      </c>
      <c r="Q289" t="n">
        <v>0</v>
      </c>
      <c r="R289" s="2" t="inlineStr"/>
    </row>
    <row r="290" ht="15" customHeight="1">
      <c r="A290" t="inlineStr">
        <is>
          <t>A 21120-2020</t>
        </is>
      </c>
      <c r="B290" s="1" t="n">
        <v>43951</v>
      </c>
      <c r="C290" s="1" t="n">
        <v>45789</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21128-2020</t>
        </is>
      </c>
      <c r="B291" s="1" t="n">
        <v>43951</v>
      </c>
      <c r="C291" s="1" t="n">
        <v>45789</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21367-2020</t>
        </is>
      </c>
      <c r="B292" s="1" t="n">
        <v>43955</v>
      </c>
      <c r="C292" s="1" t="n">
        <v>45789</v>
      </c>
      <c r="D292" t="inlineStr">
        <is>
          <t>DALARNAS LÄN</t>
        </is>
      </c>
      <c r="E292" t="inlineStr">
        <is>
          <t>ÄLVDALEN</t>
        </is>
      </c>
      <c r="G292" t="n">
        <v>4</v>
      </c>
      <c r="H292" t="n">
        <v>0</v>
      </c>
      <c r="I292" t="n">
        <v>0</v>
      </c>
      <c r="J292" t="n">
        <v>0</v>
      </c>
      <c r="K292" t="n">
        <v>0</v>
      </c>
      <c r="L292" t="n">
        <v>0</v>
      </c>
      <c r="M292" t="n">
        <v>0</v>
      </c>
      <c r="N292" t="n">
        <v>0</v>
      </c>
      <c r="O292" t="n">
        <v>0</v>
      </c>
      <c r="P292" t="n">
        <v>0</v>
      </c>
      <c r="Q292" t="n">
        <v>0</v>
      </c>
      <c r="R292" s="2" t="inlineStr"/>
    </row>
    <row r="293" ht="15" customHeight="1">
      <c r="A293" t="inlineStr">
        <is>
          <t>A 21927-2020</t>
        </is>
      </c>
      <c r="B293" s="1" t="n">
        <v>43955</v>
      </c>
      <c r="C293" s="1" t="n">
        <v>45789</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23448-2020</t>
        </is>
      </c>
      <c r="B294" s="1" t="n">
        <v>43969</v>
      </c>
      <c r="C294" s="1" t="n">
        <v>45789</v>
      </c>
      <c r="D294" t="inlineStr">
        <is>
          <t>DALARNAS LÄN</t>
        </is>
      </c>
      <c r="E294" t="inlineStr">
        <is>
          <t>ÄLVDALEN</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25966-2020</t>
        </is>
      </c>
      <c r="B295" s="1" t="n">
        <v>43985</v>
      </c>
      <c r="C295" s="1" t="n">
        <v>45789</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26792-2020</t>
        </is>
      </c>
      <c r="B296" s="1" t="n">
        <v>43990</v>
      </c>
      <c r="C296" s="1" t="n">
        <v>45789</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26808-2020</t>
        </is>
      </c>
      <c r="B297" s="1" t="n">
        <v>43990</v>
      </c>
      <c r="C297" s="1" t="n">
        <v>45789</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26788-2020</t>
        </is>
      </c>
      <c r="B298" s="1" t="n">
        <v>43990</v>
      </c>
      <c r="C298" s="1" t="n">
        <v>45789</v>
      </c>
      <c r="D298" t="inlineStr">
        <is>
          <t>DALARNAS LÄN</t>
        </is>
      </c>
      <c r="E298" t="inlineStr">
        <is>
          <t>ÄLVDALEN</t>
        </is>
      </c>
      <c r="G298" t="n">
        <v>0.2</v>
      </c>
      <c r="H298" t="n">
        <v>0</v>
      </c>
      <c r="I298" t="n">
        <v>0</v>
      </c>
      <c r="J298" t="n">
        <v>0</v>
      </c>
      <c r="K298" t="n">
        <v>0</v>
      </c>
      <c r="L298" t="n">
        <v>0</v>
      </c>
      <c r="M298" t="n">
        <v>0</v>
      </c>
      <c r="N298" t="n">
        <v>0</v>
      </c>
      <c r="O298" t="n">
        <v>0</v>
      </c>
      <c r="P298" t="n">
        <v>0</v>
      </c>
      <c r="Q298" t="n">
        <v>0</v>
      </c>
      <c r="R298" s="2" t="inlineStr"/>
    </row>
    <row r="299" ht="15" customHeight="1">
      <c r="A299" t="inlineStr">
        <is>
          <t>A 26801-2020</t>
        </is>
      </c>
      <c r="B299" s="1" t="n">
        <v>43990</v>
      </c>
      <c r="C299" s="1" t="n">
        <v>45789</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27040-2020</t>
        </is>
      </c>
      <c r="B300" s="1" t="n">
        <v>43991</v>
      </c>
      <c r="C300" s="1" t="n">
        <v>45789</v>
      </c>
      <c r="D300" t="inlineStr">
        <is>
          <t>DALARNAS LÄN</t>
        </is>
      </c>
      <c r="E300" t="inlineStr">
        <is>
          <t>ÄLVDALEN</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27038-2020</t>
        </is>
      </c>
      <c r="B301" s="1" t="n">
        <v>43991</v>
      </c>
      <c r="C301" s="1" t="n">
        <v>45789</v>
      </c>
      <c r="D301" t="inlineStr">
        <is>
          <t>DALARNAS LÄN</t>
        </is>
      </c>
      <c r="E301" t="inlineStr">
        <is>
          <t>ÄLVDALEN</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27041-2020</t>
        </is>
      </c>
      <c r="B302" s="1" t="n">
        <v>43991</v>
      </c>
      <c r="C302" s="1" t="n">
        <v>45789</v>
      </c>
      <c r="D302" t="inlineStr">
        <is>
          <t>DALARNAS LÄN</t>
        </is>
      </c>
      <c r="E302" t="inlineStr">
        <is>
          <t>ÄLVDALEN</t>
        </is>
      </c>
      <c r="F302" t="inlineStr">
        <is>
          <t>Sveaskog</t>
        </is>
      </c>
      <c r="G302" t="n">
        <v>3.8</v>
      </c>
      <c r="H302" t="n">
        <v>0</v>
      </c>
      <c r="I302" t="n">
        <v>0</v>
      </c>
      <c r="J302" t="n">
        <v>0</v>
      </c>
      <c r="K302" t="n">
        <v>0</v>
      </c>
      <c r="L302" t="n">
        <v>0</v>
      </c>
      <c r="M302" t="n">
        <v>0</v>
      </c>
      <c r="N302" t="n">
        <v>0</v>
      </c>
      <c r="O302" t="n">
        <v>0</v>
      </c>
      <c r="P302" t="n">
        <v>0</v>
      </c>
      <c r="Q302" t="n">
        <v>0</v>
      </c>
      <c r="R302" s="2" t="inlineStr"/>
    </row>
    <row r="303" ht="15" customHeight="1">
      <c r="A303" t="inlineStr">
        <is>
          <t>A 29545-2020</t>
        </is>
      </c>
      <c r="B303" s="1" t="n">
        <v>44005</v>
      </c>
      <c r="C303" s="1" t="n">
        <v>45789</v>
      </c>
      <c r="D303" t="inlineStr">
        <is>
          <t>DALARNAS LÄN</t>
        </is>
      </c>
      <c r="E303" t="inlineStr">
        <is>
          <t>ÄLVDALEN</t>
        </is>
      </c>
      <c r="F303" t="inlineStr">
        <is>
          <t>Bergvik skog väst AB</t>
        </is>
      </c>
      <c r="G303" t="n">
        <v>7.2</v>
      </c>
      <c r="H303" t="n">
        <v>0</v>
      </c>
      <c r="I303" t="n">
        <v>0</v>
      </c>
      <c r="J303" t="n">
        <v>0</v>
      </c>
      <c r="K303" t="n">
        <v>0</v>
      </c>
      <c r="L303" t="n">
        <v>0</v>
      </c>
      <c r="M303" t="n">
        <v>0</v>
      </c>
      <c r="N303" t="n">
        <v>0</v>
      </c>
      <c r="O303" t="n">
        <v>0</v>
      </c>
      <c r="P303" t="n">
        <v>0</v>
      </c>
      <c r="Q303" t="n">
        <v>0</v>
      </c>
      <c r="R303" s="2" t="inlineStr"/>
    </row>
    <row r="304" ht="15" customHeight="1">
      <c r="A304" t="inlineStr">
        <is>
          <t>A 29703-2020</t>
        </is>
      </c>
      <c r="B304" s="1" t="n">
        <v>44005</v>
      </c>
      <c r="C304" s="1" t="n">
        <v>45789</v>
      </c>
      <c r="D304" t="inlineStr">
        <is>
          <t>DALARNAS LÄN</t>
        </is>
      </c>
      <c r="E304" t="inlineStr">
        <is>
          <t>ÄLVDALEN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32286-2020</t>
        </is>
      </c>
      <c r="B305" s="1" t="n">
        <v>44015</v>
      </c>
      <c r="C305" s="1" t="n">
        <v>45789</v>
      </c>
      <c r="D305" t="inlineStr">
        <is>
          <t>DALARNAS LÄN</t>
        </is>
      </c>
      <c r="E305" t="inlineStr">
        <is>
          <t>ÄLVDALEN</t>
        </is>
      </c>
      <c r="F305" t="inlineStr">
        <is>
          <t>Sveaskog</t>
        </is>
      </c>
      <c r="G305" t="n">
        <v>10.5</v>
      </c>
      <c r="H305" t="n">
        <v>0</v>
      </c>
      <c r="I305" t="n">
        <v>0</v>
      </c>
      <c r="J305" t="n">
        <v>0</v>
      </c>
      <c r="K305" t="n">
        <v>0</v>
      </c>
      <c r="L305" t="n">
        <v>0</v>
      </c>
      <c r="M305" t="n">
        <v>0</v>
      </c>
      <c r="N305" t="n">
        <v>0</v>
      </c>
      <c r="O305" t="n">
        <v>0</v>
      </c>
      <c r="P305" t="n">
        <v>0</v>
      </c>
      <c r="Q305" t="n">
        <v>0</v>
      </c>
      <c r="R305" s="2" t="inlineStr"/>
    </row>
    <row r="306" ht="15" customHeight="1">
      <c r="A306" t="inlineStr">
        <is>
          <t>A 32282-2020</t>
        </is>
      </c>
      <c r="B306" s="1" t="n">
        <v>44015</v>
      </c>
      <c r="C306" s="1" t="n">
        <v>45789</v>
      </c>
      <c r="D306" t="inlineStr">
        <is>
          <t>DALARNAS LÄN</t>
        </is>
      </c>
      <c r="E306" t="inlineStr">
        <is>
          <t>ÄLVDALEN</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32285-2020</t>
        </is>
      </c>
      <c r="B307" s="1" t="n">
        <v>44015</v>
      </c>
      <c r="C307" s="1" t="n">
        <v>45789</v>
      </c>
      <c r="D307" t="inlineStr">
        <is>
          <t>DALARNAS LÄN</t>
        </is>
      </c>
      <c r="E307" t="inlineStr">
        <is>
          <t>ÄLVDALEN</t>
        </is>
      </c>
      <c r="F307" t="inlineStr">
        <is>
          <t>Sveaskog</t>
        </is>
      </c>
      <c r="G307" t="n">
        <v>2.5</v>
      </c>
      <c r="H307" t="n">
        <v>0</v>
      </c>
      <c r="I307" t="n">
        <v>0</v>
      </c>
      <c r="J307" t="n">
        <v>0</v>
      </c>
      <c r="K307" t="n">
        <v>0</v>
      </c>
      <c r="L307" t="n">
        <v>0</v>
      </c>
      <c r="M307" t="n">
        <v>0</v>
      </c>
      <c r="N307" t="n">
        <v>0</v>
      </c>
      <c r="O307" t="n">
        <v>0</v>
      </c>
      <c r="P307" t="n">
        <v>0</v>
      </c>
      <c r="Q307" t="n">
        <v>0</v>
      </c>
      <c r="R307" s="2" t="inlineStr"/>
    </row>
    <row r="308" ht="15" customHeight="1">
      <c r="A308" t="inlineStr">
        <is>
          <t>A 33816-2020</t>
        </is>
      </c>
      <c r="B308" s="1" t="n">
        <v>44027</v>
      </c>
      <c r="C308" s="1" t="n">
        <v>45789</v>
      </c>
      <c r="D308" t="inlineStr">
        <is>
          <t>DALARNAS LÄN</t>
        </is>
      </c>
      <c r="E308" t="inlineStr">
        <is>
          <t>ÄLVDALEN</t>
        </is>
      </c>
      <c r="G308" t="n">
        <v>1.3</v>
      </c>
      <c r="H308" t="n">
        <v>0</v>
      </c>
      <c r="I308" t="n">
        <v>0</v>
      </c>
      <c r="J308" t="n">
        <v>0</v>
      </c>
      <c r="K308" t="n">
        <v>0</v>
      </c>
      <c r="L308" t="n">
        <v>0</v>
      </c>
      <c r="M308" t="n">
        <v>0</v>
      </c>
      <c r="N308" t="n">
        <v>0</v>
      </c>
      <c r="O308" t="n">
        <v>0</v>
      </c>
      <c r="P308" t="n">
        <v>0</v>
      </c>
      <c r="Q308" t="n">
        <v>0</v>
      </c>
      <c r="R308" s="2" t="inlineStr"/>
    </row>
    <row r="309" ht="15" customHeight="1">
      <c r="A309" t="inlineStr">
        <is>
          <t>A 35833-2020</t>
        </is>
      </c>
      <c r="B309" s="1" t="n">
        <v>44047</v>
      </c>
      <c r="C309" s="1" t="n">
        <v>45789</v>
      </c>
      <c r="D309" t="inlineStr">
        <is>
          <t>DALARNAS LÄN</t>
        </is>
      </c>
      <c r="E309" t="inlineStr">
        <is>
          <t>ÄLVDALEN</t>
        </is>
      </c>
      <c r="G309" t="n">
        <v>5.8</v>
      </c>
      <c r="H309" t="n">
        <v>0</v>
      </c>
      <c r="I309" t="n">
        <v>0</v>
      </c>
      <c r="J309" t="n">
        <v>0</v>
      </c>
      <c r="K309" t="n">
        <v>0</v>
      </c>
      <c r="L309" t="n">
        <v>0</v>
      </c>
      <c r="M309" t="n">
        <v>0</v>
      </c>
      <c r="N309" t="n">
        <v>0</v>
      </c>
      <c r="O309" t="n">
        <v>0</v>
      </c>
      <c r="P309" t="n">
        <v>0</v>
      </c>
      <c r="Q309" t="n">
        <v>0</v>
      </c>
      <c r="R309" s="2" t="inlineStr"/>
    </row>
    <row r="310" ht="15" customHeight="1">
      <c r="A310" t="inlineStr">
        <is>
          <t>A 36741-2020</t>
        </is>
      </c>
      <c r="B310" s="1" t="n">
        <v>44053</v>
      </c>
      <c r="C310" s="1" t="n">
        <v>45789</v>
      </c>
      <c r="D310" t="inlineStr">
        <is>
          <t>DALARNAS LÄN</t>
        </is>
      </c>
      <c r="E310" t="inlineStr">
        <is>
          <t>ÄLVDALEN</t>
        </is>
      </c>
      <c r="G310" t="n">
        <v>2.1</v>
      </c>
      <c r="H310" t="n">
        <v>0</v>
      </c>
      <c r="I310" t="n">
        <v>0</v>
      </c>
      <c r="J310" t="n">
        <v>0</v>
      </c>
      <c r="K310" t="n">
        <v>0</v>
      </c>
      <c r="L310" t="n">
        <v>0</v>
      </c>
      <c r="M310" t="n">
        <v>0</v>
      </c>
      <c r="N310" t="n">
        <v>0</v>
      </c>
      <c r="O310" t="n">
        <v>0</v>
      </c>
      <c r="P310" t="n">
        <v>0</v>
      </c>
      <c r="Q310" t="n">
        <v>0</v>
      </c>
      <c r="R310" s="2" t="inlineStr"/>
    </row>
    <row r="311" ht="15" customHeight="1">
      <c r="A311" t="inlineStr">
        <is>
          <t>A 37580-2020</t>
        </is>
      </c>
      <c r="B311" s="1" t="n">
        <v>44056</v>
      </c>
      <c r="C311" s="1" t="n">
        <v>45789</v>
      </c>
      <c r="D311" t="inlineStr">
        <is>
          <t>DALARNAS LÄN</t>
        </is>
      </c>
      <c r="E311" t="inlineStr">
        <is>
          <t>ÄLVDALEN</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39203-2020</t>
        </is>
      </c>
      <c r="B312" s="1" t="n">
        <v>44063</v>
      </c>
      <c r="C312" s="1" t="n">
        <v>45789</v>
      </c>
      <c r="D312" t="inlineStr">
        <is>
          <t>DALARNAS LÄN</t>
        </is>
      </c>
      <c r="E312" t="inlineStr">
        <is>
          <t>ÄLVDALEN</t>
        </is>
      </c>
      <c r="G312" t="n">
        <v>1.4</v>
      </c>
      <c r="H312" t="n">
        <v>0</v>
      </c>
      <c r="I312" t="n">
        <v>0</v>
      </c>
      <c r="J312" t="n">
        <v>0</v>
      </c>
      <c r="K312" t="n">
        <v>0</v>
      </c>
      <c r="L312" t="n">
        <v>0</v>
      </c>
      <c r="M312" t="n">
        <v>0</v>
      </c>
      <c r="N312" t="n">
        <v>0</v>
      </c>
      <c r="O312" t="n">
        <v>0</v>
      </c>
      <c r="P312" t="n">
        <v>0</v>
      </c>
      <c r="Q312" t="n">
        <v>0</v>
      </c>
      <c r="R312" s="2" t="inlineStr"/>
    </row>
    <row r="313" ht="15" customHeight="1">
      <c r="A313" t="inlineStr">
        <is>
          <t>A 41831-2020</t>
        </is>
      </c>
      <c r="B313" s="1" t="n">
        <v>44074</v>
      </c>
      <c r="C313" s="1" t="n">
        <v>45789</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41814-2020</t>
        </is>
      </c>
      <c r="B314" s="1" t="n">
        <v>44074</v>
      </c>
      <c r="C314" s="1" t="n">
        <v>45789</v>
      </c>
      <c r="D314" t="inlineStr">
        <is>
          <t>DALARNAS LÄN</t>
        </is>
      </c>
      <c r="E314" t="inlineStr">
        <is>
          <t>ÄLVDALEN</t>
        </is>
      </c>
      <c r="G314" t="n">
        <v>0.3</v>
      </c>
      <c r="H314" t="n">
        <v>0</v>
      </c>
      <c r="I314" t="n">
        <v>0</v>
      </c>
      <c r="J314" t="n">
        <v>0</v>
      </c>
      <c r="K314" t="n">
        <v>0</v>
      </c>
      <c r="L314" t="n">
        <v>0</v>
      </c>
      <c r="M314" t="n">
        <v>0</v>
      </c>
      <c r="N314" t="n">
        <v>0</v>
      </c>
      <c r="O314" t="n">
        <v>0</v>
      </c>
      <c r="P314" t="n">
        <v>0</v>
      </c>
      <c r="Q314" t="n">
        <v>0</v>
      </c>
      <c r="R314" s="2" t="inlineStr"/>
    </row>
    <row r="315" ht="15" customHeight="1">
      <c r="A315" t="inlineStr">
        <is>
          <t>A 42861-2020</t>
        </is>
      </c>
      <c r="B315" s="1" t="n">
        <v>44078</v>
      </c>
      <c r="C315" s="1" t="n">
        <v>45789</v>
      </c>
      <c r="D315" t="inlineStr">
        <is>
          <t>DALARNAS LÄN</t>
        </is>
      </c>
      <c r="E315" t="inlineStr">
        <is>
          <t>ÄLVDALEN</t>
        </is>
      </c>
      <c r="G315" t="n">
        <v>0.7</v>
      </c>
      <c r="H315" t="n">
        <v>0</v>
      </c>
      <c r="I315" t="n">
        <v>0</v>
      </c>
      <c r="J315" t="n">
        <v>0</v>
      </c>
      <c r="K315" t="n">
        <v>0</v>
      </c>
      <c r="L315" t="n">
        <v>0</v>
      </c>
      <c r="M315" t="n">
        <v>0</v>
      </c>
      <c r="N315" t="n">
        <v>0</v>
      </c>
      <c r="O315" t="n">
        <v>0</v>
      </c>
      <c r="P315" t="n">
        <v>0</v>
      </c>
      <c r="Q315" t="n">
        <v>0</v>
      </c>
      <c r="R315" s="2" t="inlineStr"/>
    </row>
    <row r="316" ht="15" customHeight="1">
      <c r="A316" t="inlineStr">
        <is>
          <t>A 46881-2020</t>
        </is>
      </c>
      <c r="B316" s="1" t="n">
        <v>44096</v>
      </c>
      <c r="C316" s="1" t="n">
        <v>45789</v>
      </c>
      <c r="D316" t="inlineStr">
        <is>
          <t>DALARNAS LÄN</t>
        </is>
      </c>
      <c r="E316" t="inlineStr">
        <is>
          <t>ÄLVDALEN</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46893-2020</t>
        </is>
      </c>
      <c r="B317" s="1" t="n">
        <v>44096</v>
      </c>
      <c r="C317" s="1" t="n">
        <v>45789</v>
      </c>
      <c r="D317" t="inlineStr">
        <is>
          <t>DALARNAS LÄN</t>
        </is>
      </c>
      <c r="E317" t="inlineStr">
        <is>
          <t>ÄLVDALEN</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49737-2020</t>
        </is>
      </c>
      <c r="B318" s="1" t="n">
        <v>44106</v>
      </c>
      <c r="C318" s="1" t="n">
        <v>45789</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49587-2020</t>
        </is>
      </c>
      <c r="B319" s="1" t="n">
        <v>44106</v>
      </c>
      <c r="C319" s="1" t="n">
        <v>45789</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49734-2020</t>
        </is>
      </c>
      <c r="B320" s="1" t="n">
        <v>44106</v>
      </c>
      <c r="C320" s="1" t="n">
        <v>45789</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49956-2020</t>
        </is>
      </c>
      <c r="B321" s="1" t="n">
        <v>44109</v>
      </c>
      <c r="C321" s="1" t="n">
        <v>45789</v>
      </c>
      <c r="D321" t="inlineStr">
        <is>
          <t>DALARNAS LÄN</t>
        </is>
      </c>
      <c r="E321" t="inlineStr">
        <is>
          <t>ÄLVDALEN</t>
        </is>
      </c>
      <c r="F321" t="inlineStr">
        <is>
          <t>Övriga Aktiebolag</t>
        </is>
      </c>
      <c r="G321" t="n">
        <v>25.8</v>
      </c>
      <c r="H321" t="n">
        <v>0</v>
      </c>
      <c r="I321" t="n">
        <v>0</v>
      </c>
      <c r="J321" t="n">
        <v>0</v>
      </c>
      <c r="K321" t="n">
        <v>0</v>
      </c>
      <c r="L321" t="n">
        <v>0</v>
      </c>
      <c r="M321" t="n">
        <v>0</v>
      </c>
      <c r="N321" t="n">
        <v>0</v>
      </c>
      <c r="O321" t="n">
        <v>0</v>
      </c>
      <c r="P321" t="n">
        <v>0</v>
      </c>
      <c r="Q321" t="n">
        <v>0</v>
      </c>
      <c r="R321" s="2" t="inlineStr"/>
    </row>
    <row r="322" ht="15" customHeight="1">
      <c r="A322" t="inlineStr">
        <is>
          <t>A 49968-2020</t>
        </is>
      </c>
      <c r="B322" s="1" t="n">
        <v>44109</v>
      </c>
      <c r="C322" s="1" t="n">
        <v>45789</v>
      </c>
      <c r="D322" t="inlineStr">
        <is>
          <t>DALARNAS LÄN</t>
        </is>
      </c>
      <c r="E322" t="inlineStr">
        <is>
          <t>ÄLVDALEN</t>
        </is>
      </c>
      <c r="F322" t="inlineStr">
        <is>
          <t>Övriga Aktiebolag</t>
        </is>
      </c>
      <c r="G322" t="n">
        <v>11.8</v>
      </c>
      <c r="H322" t="n">
        <v>0</v>
      </c>
      <c r="I322" t="n">
        <v>0</v>
      </c>
      <c r="J322" t="n">
        <v>0</v>
      </c>
      <c r="K322" t="n">
        <v>0</v>
      </c>
      <c r="L322" t="n">
        <v>0</v>
      </c>
      <c r="M322" t="n">
        <v>0</v>
      </c>
      <c r="N322" t="n">
        <v>0</v>
      </c>
      <c r="O322" t="n">
        <v>0</v>
      </c>
      <c r="P322" t="n">
        <v>0</v>
      </c>
      <c r="Q322" t="n">
        <v>0</v>
      </c>
      <c r="R322" s="2" t="inlineStr"/>
    </row>
    <row r="323" ht="15" customHeight="1">
      <c r="A323" t="inlineStr">
        <is>
          <t>A 51519-2020</t>
        </is>
      </c>
      <c r="B323" s="1" t="n">
        <v>44113</v>
      </c>
      <c r="C323" s="1" t="n">
        <v>45789</v>
      </c>
      <c r="D323" t="inlineStr">
        <is>
          <t>DALARNAS LÄN</t>
        </is>
      </c>
      <c r="E323" t="inlineStr">
        <is>
          <t>ÄLVDALEN</t>
        </is>
      </c>
      <c r="G323" t="n">
        <v>0.8</v>
      </c>
      <c r="H323" t="n">
        <v>0</v>
      </c>
      <c r="I323" t="n">
        <v>0</v>
      </c>
      <c r="J323" t="n">
        <v>0</v>
      </c>
      <c r="K323" t="n">
        <v>0</v>
      </c>
      <c r="L323" t="n">
        <v>0</v>
      </c>
      <c r="M323" t="n">
        <v>0</v>
      </c>
      <c r="N323" t="n">
        <v>0</v>
      </c>
      <c r="O323" t="n">
        <v>0</v>
      </c>
      <c r="P323" t="n">
        <v>0</v>
      </c>
      <c r="Q323" t="n">
        <v>0</v>
      </c>
      <c r="R323" s="2" t="inlineStr"/>
    </row>
    <row r="324" ht="15" customHeight="1">
      <c r="A324" t="inlineStr">
        <is>
          <t>A 52401-2020</t>
        </is>
      </c>
      <c r="B324" s="1" t="n">
        <v>44113</v>
      </c>
      <c r="C324" s="1" t="n">
        <v>45789</v>
      </c>
      <c r="D324" t="inlineStr">
        <is>
          <t>DALARNAS LÄN</t>
        </is>
      </c>
      <c r="E324" t="inlineStr">
        <is>
          <t>ÄLVDALEN</t>
        </is>
      </c>
      <c r="G324" t="n">
        <v>4.4</v>
      </c>
      <c r="H324" t="n">
        <v>0</v>
      </c>
      <c r="I324" t="n">
        <v>0</v>
      </c>
      <c r="J324" t="n">
        <v>0</v>
      </c>
      <c r="K324" t="n">
        <v>0</v>
      </c>
      <c r="L324" t="n">
        <v>0</v>
      </c>
      <c r="M324" t="n">
        <v>0</v>
      </c>
      <c r="N324" t="n">
        <v>0</v>
      </c>
      <c r="O324" t="n">
        <v>0</v>
      </c>
      <c r="P324" t="n">
        <v>0</v>
      </c>
      <c r="Q324" t="n">
        <v>0</v>
      </c>
      <c r="R324" s="2" t="inlineStr"/>
    </row>
    <row r="325" ht="15" customHeight="1">
      <c r="A325" t="inlineStr">
        <is>
          <t>A 54138-2020</t>
        </is>
      </c>
      <c r="B325" s="1" t="n">
        <v>44125</v>
      </c>
      <c r="C325" s="1" t="n">
        <v>45789</v>
      </c>
      <c r="D325" t="inlineStr">
        <is>
          <t>DALARNAS LÄN</t>
        </is>
      </c>
      <c r="E325" t="inlineStr">
        <is>
          <t>ÄLVDALEN</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54338-2020</t>
        </is>
      </c>
      <c r="B326" s="1" t="n">
        <v>44126</v>
      </c>
      <c r="C326" s="1" t="n">
        <v>45789</v>
      </c>
      <c r="D326" t="inlineStr">
        <is>
          <t>DALARNAS LÄN</t>
        </is>
      </c>
      <c r="E326" t="inlineStr">
        <is>
          <t>ÄLVDALEN</t>
        </is>
      </c>
      <c r="G326" t="n">
        <v>3.4</v>
      </c>
      <c r="H326" t="n">
        <v>0</v>
      </c>
      <c r="I326" t="n">
        <v>0</v>
      </c>
      <c r="J326" t="n">
        <v>0</v>
      </c>
      <c r="K326" t="n">
        <v>0</v>
      </c>
      <c r="L326" t="n">
        <v>0</v>
      </c>
      <c r="M326" t="n">
        <v>0</v>
      </c>
      <c r="N326" t="n">
        <v>0</v>
      </c>
      <c r="O326" t="n">
        <v>0</v>
      </c>
      <c r="P326" t="n">
        <v>0</v>
      </c>
      <c r="Q326" t="n">
        <v>0</v>
      </c>
      <c r="R326" s="2" t="inlineStr"/>
    </row>
    <row r="327" ht="15" customHeight="1">
      <c r="A327" t="inlineStr">
        <is>
          <t>A 58004-2020</t>
        </is>
      </c>
      <c r="B327" s="1" t="n">
        <v>44140</v>
      </c>
      <c r="C327" s="1" t="n">
        <v>45789</v>
      </c>
      <c r="D327" t="inlineStr">
        <is>
          <t>DALARNAS LÄN</t>
        </is>
      </c>
      <c r="E327" t="inlineStr">
        <is>
          <t>ÄLVDALEN</t>
        </is>
      </c>
      <c r="G327" t="n">
        <v>2.9</v>
      </c>
      <c r="H327" t="n">
        <v>0</v>
      </c>
      <c r="I327" t="n">
        <v>0</v>
      </c>
      <c r="J327" t="n">
        <v>0</v>
      </c>
      <c r="K327" t="n">
        <v>0</v>
      </c>
      <c r="L327" t="n">
        <v>0</v>
      </c>
      <c r="M327" t="n">
        <v>0</v>
      </c>
      <c r="N327" t="n">
        <v>0</v>
      </c>
      <c r="O327" t="n">
        <v>0</v>
      </c>
      <c r="P327" t="n">
        <v>0</v>
      </c>
      <c r="Q327" t="n">
        <v>0</v>
      </c>
      <c r="R327" s="2" t="inlineStr"/>
    </row>
    <row r="328" ht="15" customHeight="1">
      <c r="A328" t="inlineStr">
        <is>
          <t>A 58571-2020</t>
        </is>
      </c>
      <c r="B328" s="1" t="n">
        <v>44145</v>
      </c>
      <c r="C328" s="1" t="n">
        <v>45789</v>
      </c>
      <c r="D328" t="inlineStr">
        <is>
          <t>DALARNAS LÄN</t>
        </is>
      </c>
      <c r="E328" t="inlineStr">
        <is>
          <t>ÄLVDALEN</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58573-2020</t>
        </is>
      </c>
      <c r="B329" s="1" t="n">
        <v>44145</v>
      </c>
      <c r="C329" s="1" t="n">
        <v>45789</v>
      </c>
      <c r="D329" t="inlineStr">
        <is>
          <t>DALARNAS LÄN</t>
        </is>
      </c>
      <c r="E329" t="inlineStr">
        <is>
          <t>ÄLVDALEN</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58719-2020</t>
        </is>
      </c>
      <c r="B330" s="1" t="n">
        <v>44146</v>
      </c>
      <c r="C330" s="1" t="n">
        <v>45789</v>
      </c>
      <c r="D330" t="inlineStr">
        <is>
          <t>DALARNAS LÄN</t>
        </is>
      </c>
      <c r="E330" t="inlineStr">
        <is>
          <t>ÄLVDALEN</t>
        </is>
      </c>
      <c r="F330" t="inlineStr">
        <is>
          <t>Sveaskog</t>
        </is>
      </c>
      <c r="G330" t="n">
        <v>0.4</v>
      </c>
      <c r="H330" t="n">
        <v>0</v>
      </c>
      <c r="I330" t="n">
        <v>0</v>
      </c>
      <c r="J330" t="n">
        <v>0</v>
      </c>
      <c r="K330" t="n">
        <v>0</v>
      </c>
      <c r="L330" t="n">
        <v>0</v>
      </c>
      <c r="M330" t="n">
        <v>0</v>
      </c>
      <c r="N330" t="n">
        <v>0</v>
      </c>
      <c r="O330" t="n">
        <v>0</v>
      </c>
      <c r="P330" t="n">
        <v>0</v>
      </c>
      <c r="Q330" t="n">
        <v>0</v>
      </c>
      <c r="R330" s="2" t="inlineStr"/>
    </row>
    <row r="331" ht="15" customHeight="1">
      <c r="A331" t="inlineStr">
        <is>
          <t>A 58718-2020</t>
        </is>
      </c>
      <c r="B331" s="1" t="n">
        <v>44146</v>
      </c>
      <c r="C331" s="1" t="n">
        <v>45789</v>
      </c>
      <c r="D331" t="inlineStr">
        <is>
          <t>DALARNAS LÄN</t>
        </is>
      </c>
      <c r="E331" t="inlineStr">
        <is>
          <t>ÄLVDALEN</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61160-2020</t>
        </is>
      </c>
      <c r="B332" s="1" t="n">
        <v>44153</v>
      </c>
      <c r="C332" s="1" t="n">
        <v>45789</v>
      </c>
      <c r="D332" t="inlineStr">
        <is>
          <t>DALARNAS LÄN</t>
        </is>
      </c>
      <c r="E332" t="inlineStr">
        <is>
          <t>ÄLVDALEN</t>
        </is>
      </c>
      <c r="F332" t="inlineStr">
        <is>
          <t>Allmännings- och besparingsskogar</t>
        </is>
      </c>
      <c r="G332" t="n">
        <v>1.7</v>
      </c>
      <c r="H332" t="n">
        <v>0</v>
      </c>
      <c r="I332" t="n">
        <v>0</v>
      </c>
      <c r="J332" t="n">
        <v>0</v>
      </c>
      <c r="K332" t="n">
        <v>0</v>
      </c>
      <c r="L332" t="n">
        <v>0</v>
      </c>
      <c r="M332" t="n">
        <v>0</v>
      </c>
      <c r="N332" t="n">
        <v>0</v>
      </c>
      <c r="O332" t="n">
        <v>0</v>
      </c>
      <c r="P332" t="n">
        <v>0</v>
      </c>
      <c r="Q332" t="n">
        <v>0</v>
      </c>
      <c r="R332" s="2" t="inlineStr"/>
    </row>
    <row r="333" ht="15" customHeight="1">
      <c r="A333" t="inlineStr">
        <is>
          <t>A 63296-2020</t>
        </is>
      </c>
      <c r="B333" s="1" t="n">
        <v>44165</v>
      </c>
      <c r="C333" s="1" t="n">
        <v>45789</v>
      </c>
      <c r="D333" t="inlineStr">
        <is>
          <t>DALARNAS LÄN</t>
        </is>
      </c>
      <c r="E333" t="inlineStr">
        <is>
          <t>ÄLVDALEN</t>
        </is>
      </c>
      <c r="F333" t="inlineStr">
        <is>
          <t>Bergvik skog väst AB</t>
        </is>
      </c>
      <c r="G333" t="n">
        <v>2.8</v>
      </c>
      <c r="H333" t="n">
        <v>0</v>
      </c>
      <c r="I333" t="n">
        <v>0</v>
      </c>
      <c r="J333" t="n">
        <v>0</v>
      </c>
      <c r="K333" t="n">
        <v>0</v>
      </c>
      <c r="L333" t="n">
        <v>0</v>
      </c>
      <c r="M333" t="n">
        <v>0</v>
      </c>
      <c r="N333" t="n">
        <v>0</v>
      </c>
      <c r="O333" t="n">
        <v>0</v>
      </c>
      <c r="P333" t="n">
        <v>0</v>
      </c>
      <c r="Q333" t="n">
        <v>0</v>
      </c>
      <c r="R333" s="2" t="inlineStr"/>
    </row>
    <row r="334" ht="15" customHeight="1">
      <c r="A334" t="inlineStr">
        <is>
          <t>A 66589-2020</t>
        </is>
      </c>
      <c r="B334" s="1" t="n">
        <v>44179</v>
      </c>
      <c r="C334" s="1" t="n">
        <v>45789</v>
      </c>
      <c r="D334" t="inlineStr">
        <is>
          <t>DALARNAS LÄN</t>
        </is>
      </c>
      <c r="E334" t="inlineStr">
        <is>
          <t>ÄLVDALEN</t>
        </is>
      </c>
      <c r="G334" t="n">
        <v>3.3</v>
      </c>
      <c r="H334" t="n">
        <v>0</v>
      </c>
      <c r="I334" t="n">
        <v>0</v>
      </c>
      <c r="J334" t="n">
        <v>0</v>
      </c>
      <c r="K334" t="n">
        <v>0</v>
      </c>
      <c r="L334" t="n">
        <v>0</v>
      </c>
      <c r="M334" t="n">
        <v>0</v>
      </c>
      <c r="N334" t="n">
        <v>0</v>
      </c>
      <c r="O334" t="n">
        <v>0</v>
      </c>
      <c r="P334" t="n">
        <v>0</v>
      </c>
      <c r="Q334" t="n">
        <v>0</v>
      </c>
      <c r="R334" s="2" t="inlineStr"/>
    </row>
    <row r="335" ht="15" customHeight="1">
      <c r="A335" t="inlineStr">
        <is>
          <t>A 33-2021</t>
        </is>
      </c>
      <c r="B335" s="1" t="n">
        <v>44198</v>
      </c>
      <c r="C335" s="1" t="n">
        <v>45789</v>
      </c>
      <c r="D335" t="inlineStr">
        <is>
          <t>DALARNAS LÄN</t>
        </is>
      </c>
      <c r="E335" t="inlineStr">
        <is>
          <t>ÄLVDALEN</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203-2021</t>
        </is>
      </c>
      <c r="B336" s="1" t="n">
        <v>44200</v>
      </c>
      <c r="C336" s="1" t="n">
        <v>45789</v>
      </c>
      <c r="D336" t="inlineStr">
        <is>
          <t>DALARNAS LÄN</t>
        </is>
      </c>
      <c r="E336" t="inlineStr">
        <is>
          <t>ÄLVDALEN</t>
        </is>
      </c>
      <c r="F336" t="inlineStr">
        <is>
          <t>Övriga statliga verk och myndigheter</t>
        </is>
      </c>
      <c r="G336" t="n">
        <v>19.1</v>
      </c>
      <c r="H336" t="n">
        <v>0</v>
      </c>
      <c r="I336" t="n">
        <v>0</v>
      </c>
      <c r="J336" t="n">
        <v>0</v>
      </c>
      <c r="K336" t="n">
        <v>0</v>
      </c>
      <c r="L336" t="n">
        <v>0</v>
      </c>
      <c r="M336" t="n">
        <v>0</v>
      </c>
      <c r="N336" t="n">
        <v>0</v>
      </c>
      <c r="O336" t="n">
        <v>0</v>
      </c>
      <c r="P336" t="n">
        <v>0</v>
      </c>
      <c r="Q336" t="n">
        <v>0</v>
      </c>
      <c r="R336" s="2" t="inlineStr"/>
    </row>
    <row r="337" ht="15" customHeight="1">
      <c r="A337" t="inlineStr">
        <is>
          <t>A 257-2021</t>
        </is>
      </c>
      <c r="B337" s="1" t="n">
        <v>44200</v>
      </c>
      <c r="C337" s="1" t="n">
        <v>45789</v>
      </c>
      <c r="D337" t="inlineStr">
        <is>
          <t>DALARNAS LÄN</t>
        </is>
      </c>
      <c r="E337" t="inlineStr">
        <is>
          <t>ÄLVDALEN</t>
        </is>
      </c>
      <c r="F337" t="inlineStr">
        <is>
          <t>Övriga statliga verk och myndigheter</t>
        </is>
      </c>
      <c r="G337" t="n">
        <v>6.1</v>
      </c>
      <c r="H337" t="n">
        <v>0</v>
      </c>
      <c r="I337" t="n">
        <v>0</v>
      </c>
      <c r="J337" t="n">
        <v>0</v>
      </c>
      <c r="K337" t="n">
        <v>0</v>
      </c>
      <c r="L337" t="n">
        <v>0</v>
      </c>
      <c r="M337" t="n">
        <v>0</v>
      </c>
      <c r="N337" t="n">
        <v>0</v>
      </c>
      <c r="O337" t="n">
        <v>0</v>
      </c>
      <c r="P337" t="n">
        <v>0</v>
      </c>
      <c r="Q337" t="n">
        <v>0</v>
      </c>
      <c r="R337" s="2" t="inlineStr"/>
    </row>
    <row r="338" ht="15" customHeight="1">
      <c r="A338" t="inlineStr">
        <is>
          <t>A 333-2021</t>
        </is>
      </c>
      <c r="B338" s="1" t="n">
        <v>44201</v>
      </c>
      <c r="C338" s="1" t="n">
        <v>45789</v>
      </c>
      <c r="D338" t="inlineStr">
        <is>
          <t>DALARNAS LÄN</t>
        </is>
      </c>
      <c r="E338" t="inlineStr">
        <is>
          <t>ÄLVDALEN</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435-2021</t>
        </is>
      </c>
      <c r="B339" s="1" t="n">
        <v>44201</v>
      </c>
      <c r="C339" s="1" t="n">
        <v>45789</v>
      </c>
      <c r="D339" t="inlineStr">
        <is>
          <t>DALARNAS LÄN</t>
        </is>
      </c>
      <c r="E339" t="inlineStr">
        <is>
          <t>ÄLVDALEN</t>
        </is>
      </c>
      <c r="F339" t="inlineStr">
        <is>
          <t>Övriga statliga verk och myndigheter</t>
        </is>
      </c>
      <c r="G339" t="n">
        <v>1.7</v>
      </c>
      <c r="H339" t="n">
        <v>0</v>
      </c>
      <c r="I339" t="n">
        <v>0</v>
      </c>
      <c r="J339" t="n">
        <v>0</v>
      </c>
      <c r="K339" t="n">
        <v>0</v>
      </c>
      <c r="L339" t="n">
        <v>0</v>
      </c>
      <c r="M339" t="n">
        <v>0</v>
      </c>
      <c r="N339" t="n">
        <v>0</v>
      </c>
      <c r="O339" t="n">
        <v>0</v>
      </c>
      <c r="P339" t="n">
        <v>0</v>
      </c>
      <c r="Q339" t="n">
        <v>0</v>
      </c>
      <c r="R339" s="2" t="inlineStr"/>
    </row>
    <row r="340" ht="15" customHeight="1">
      <c r="A340" t="inlineStr">
        <is>
          <t>A 1871-2021</t>
        </is>
      </c>
      <c r="B340" s="1" t="n">
        <v>44210</v>
      </c>
      <c r="C340" s="1" t="n">
        <v>45789</v>
      </c>
      <c r="D340" t="inlineStr">
        <is>
          <t>DALARNAS LÄN</t>
        </is>
      </c>
      <c r="E340" t="inlineStr">
        <is>
          <t>ÄLVDALEN</t>
        </is>
      </c>
      <c r="F340" t="inlineStr">
        <is>
          <t>Övriga statliga verk och myndigheter</t>
        </is>
      </c>
      <c r="G340" t="n">
        <v>4.8</v>
      </c>
      <c r="H340" t="n">
        <v>0</v>
      </c>
      <c r="I340" t="n">
        <v>0</v>
      </c>
      <c r="J340" t="n">
        <v>0</v>
      </c>
      <c r="K340" t="n">
        <v>0</v>
      </c>
      <c r="L340" t="n">
        <v>0</v>
      </c>
      <c r="M340" t="n">
        <v>0</v>
      </c>
      <c r="N340" t="n">
        <v>0</v>
      </c>
      <c r="O340" t="n">
        <v>0</v>
      </c>
      <c r="P340" t="n">
        <v>0</v>
      </c>
      <c r="Q340" t="n">
        <v>0</v>
      </c>
      <c r="R340" s="2" t="inlineStr"/>
    </row>
    <row r="341" ht="15" customHeight="1">
      <c r="A341" t="inlineStr">
        <is>
          <t>A 1872-2021</t>
        </is>
      </c>
      <c r="B341" s="1" t="n">
        <v>44210</v>
      </c>
      <c r="C341" s="1" t="n">
        <v>45789</v>
      </c>
      <c r="D341" t="inlineStr">
        <is>
          <t>DALARNAS LÄN</t>
        </is>
      </c>
      <c r="E341" t="inlineStr">
        <is>
          <t>ÄLVDALEN</t>
        </is>
      </c>
      <c r="F341" t="inlineStr">
        <is>
          <t>Övriga statliga verk och myndigheter</t>
        </is>
      </c>
      <c r="G341" t="n">
        <v>19.6</v>
      </c>
      <c r="H341" t="n">
        <v>0</v>
      </c>
      <c r="I341" t="n">
        <v>0</v>
      </c>
      <c r="J341" t="n">
        <v>0</v>
      </c>
      <c r="K341" t="n">
        <v>0</v>
      </c>
      <c r="L341" t="n">
        <v>0</v>
      </c>
      <c r="M341" t="n">
        <v>0</v>
      </c>
      <c r="N341" t="n">
        <v>0</v>
      </c>
      <c r="O341" t="n">
        <v>0</v>
      </c>
      <c r="P341" t="n">
        <v>0</v>
      </c>
      <c r="Q341" t="n">
        <v>0</v>
      </c>
      <c r="R341" s="2" t="inlineStr"/>
    </row>
    <row r="342" ht="15" customHeight="1">
      <c r="A342" t="inlineStr">
        <is>
          <t>A 2219-2021</t>
        </is>
      </c>
      <c r="B342" s="1" t="n">
        <v>44210</v>
      </c>
      <c r="C342" s="1" t="n">
        <v>45789</v>
      </c>
      <c r="D342" t="inlineStr">
        <is>
          <t>DALARNAS LÄN</t>
        </is>
      </c>
      <c r="E342" t="inlineStr">
        <is>
          <t>ÄLVDALEN</t>
        </is>
      </c>
      <c r="F342" t="inlineStr">
        <is>
          <t>Övriga statliga verk och myndigheter</t>
        </is>
      </c>
      <c r="G342" t="n">
        <v>1.3</v>
      </c>
      <c r="H342" t="n">
        <v>0</v>
      </c>
      <c r="I342" t="n">
        <v>0</v>
      </c>
      <c r="J342" t="n">
        <v>0</v>
      </c>
      <c r="K342" t="n">
        <v>0</v>
      </c>
      <c r="L342" t="n">
        <v>0</v>
      </c>
      <c r="M342" t="n">
        <v>0</v>
      </c>
      <c r="N342" t="n">
        <v>0</v>
      </c>
      <c r="O342" t="n">
        <v>0</v>
      </c>
      <c r="P342" t="n">
        <v>0</v>
      </c>
      <c r="Q342" t="n">
        <v>0</v>
      </c>
      <c r="R342" s="2" t="inlineStr"/>
    </row>
    <row r="343" ht="15" customHeight="1">
      <c r="A343" t="inlineStr">
        <is>
          <t>A 2690-2021</t>
        </is>
      </c>
      <c r="B343" s="1" t="n">
        <v>44214</v>
      </c>
      <c r="C343" s="1" t="n">
        <v>45789</v>
      </c>
      <c r="D343" t="inlineStr">
        <is>
          <t>DALARNAS LÄN</t>
        </is>
      </c>
      <c r="E343" t="inlineStr">
        <is>
          <t>ÄLVDALEN</t>
        </is>
      </c>
      <c r="F343" t="inlineStr">
        <is>
          <t>Allmännings- och besparingsskogar</t>
        </is>
      </c>
      <c r="G343" t="n">
        <v>70.3</v>
      </c>
      <c r="H343" t="n">
        <v>0</v>
      </c>
      <c r="I343" t="n">
        <v>0</v>
      </c>
      <c r="J343" t="n">
        <v>0</v>
      </c>
      <c r="K343" t="n">
        <v>0</v>
      </c>
      <c r="L343" t="n">
        <v>0</v>
      </c>
      <c r="M343" t="n">
        <v>0</v>
      </c>
      <c r="N343" t="n">
        <v>0</v>
      </c>
      <c r="O343" t="n">
        <v>0</v>
      </c>
      <c r="P343" t="n">
        <v>0</v>
      </c>
      <c r="Q343" t="n">
        <v>0</v>
      </c>
      <c r="R343" s="2" t="inlineStr"/>
    </row>
    <row r="344" ht="15" customHeight="1">
      <c r="A344" t="inlineStr">
        <is>
          <t>A 2746-2021</t>
        </is>
      </c>
      <c r="B344" s="1" t="n">
        <v>44215</v>
      </c>
      <c r="C344" s="1" t="n">
        <v>45789</v>
      </c>
      <c r="D344" t="inlineStr">
        <is>
          <t>DALARNAS LÄN</t>
        </is>
      </c>
      <c r="E344" t="inlineStr">
        <is>
          <t>ÄLVDALEN</t>
        </is>
      </c>
      <c r="F344" t="inlineStr">
        <is>
          <t>Kommuner</t>
        </is>
      </c>
      <c r="G344" t="n">
        <v>14.7</v>
      </c>
      <c r="H344" t="n">
        <v>0</v>
      </c>
      <c r="I344" t="n">
        <v>0</v>
      </c>
      <c r="J344" t="n">
        <v>0</v>
      </c>
      <c r="K344" t="n">
        <v>0</v>
      </c>
      <c r="L344" t="n">
        <v>0</v>
      </c>
      <c r="M344" t="n">
        <v>0</v>
      </c>
      <c r="N344" t="n">
        <v>0</v>
      </c>
      <c r="O344" t="n">
        <v>0</v>
      </c>
      <c r="P344" t="n">
        <v>0</v>
      </c>
      <c r="Q344" t="n">
        <v>0</v>
      </c>
      <c r="R344" s="2" t="inlineStr"/>
    </row>
    <row r="345" ht="15" customHeight="1">
      <c r="A345" t="inlineStr">
        <is>
          <t>A 4034-2021</t>
        </is>
      </c>
      <c r="B345" s="1" t="n">
        <v>44222</v>
      </c>
      <c r="C345" s="1" t="n">
        <v>45789</v>
      </c>
      <c r="D345" t="inlineStr">
        <is>
          <t>DALARNAS LÄN</t>
        </is>
      </c>
      <c r="E345" t="inlineStr">
        <is>
          <t>ÄLVDALEN</t>
        </is>
      </c>
      <c r="G345" t="n">
        <v>0.9</v>
      </c>
      <c r="H345" t="n">
        <v>0</v>
      </c>
      <c r="I345" t="n">
        <v>0</v>
      </c>
      <c r="J345" t="n">
        <v>0</v>
      </c>
      <c r="K345" t="n">
        <v>0</v>
      </c>
      <c r="L345" t="n">
        <v>0</v>
      </c>
      <c r="M345" t="n">
        <v>0</v>
      </c>
      <c r="N345" t="n">
        <v>0</v>
      </c>
      <c r="O345" t="n">
        <v>0</v>
      </c>
      <c r="P345" t="n">
        <v>0</v>
      </c>
      <c r="Q345" t="n">
        <v>0</v>
      </c>
      <c r="R345" s="2" t="inlineStr"/>
    </row>
    <row r="346" ht="15" customHeight="1">
      <c r="A346" t="inlineStr">
        <is>
          <t>A 4589-2021</t>
        </is>
      </c>
      <c r="B346" s="1" t="n">
        <v>44224</v>
      </c>
      <c r="C346" s="1" t="n">
        <v>45789</v>
      </c>
      <c r="D346" t="inlineStr">
        <is>
          <t>DALARNAS LÄN</t>
        </is>
      </c>
      <c r="E346" t="inlineStr">
        <is>
          <t>ÄLVDALEN</t>
        </is>
      </c>
      <c r="G346" t="n">
        <v>4.9</v>
      </c>
      <c r="H346" t="n">
        <v>0</v>
      </c>
      <c r="I346" t="n">
        <v>0</v>
      </c>
      <c r="J346" t="n">
        <v>0</v>
      </c>
      <c r="K346" t="n">
        <v>0</v>
      </c>
      <c r="L346" t="n">
        <v>0</v>
      </c>
      <c r="M346" t="n">
        <v>0</v>
      </c>
      <c r="N346" t="n">
        <v>0</v>
      </c>
      <c r="O346" t="n">
        <v>0</v>
      </c>
      <c r="P346" t="n">
        <v>0</v>
      </c>
      <c r="Q346" t="n">
        <v>0</v>
      </c>
      <c r="R346" s="2" t="inlineStr"/>
    </row>
    <row r="347" ht="15" customHeight="1">
      <c r="A347" t="inlineStr">
        <is>
          <t>A 5319-2021</t>
        </is>
      </c>
      <c r="B347" s="1" t="n">
        <v>44229</v>
      </c>
      <c r="C347" s="1" t="n">
        <v>45789</v>
      </c>
      <c r="D347" t="inlineStr">
        <is>
          <t>DALARNAS LÄN</t>
        </is>
      </c>
      <c r="E347" t="inlineStr">
        <is>
          <t>ÄLVDALEN</t>
        </is>
      </c>
      <c r="F347" t="inlineStr">
        <is>
          <t>Kommuner</t>
        </is>
      </c>
      <c r="G347" t="n">
        <v>15.3</v>
      </c>
      <c r="H347" t="n">
        <v>0</v>
      </c>
      <c r="I347" t="n">
        <v>0</v>
      </c>
      <c r="J347" t="n">
        <v>0</v>
      </c>
      <c r="K347" t="n">
        <v>0</v>
      </c>
      <c r="L347" t="n">
        <v>0</v>
      </c>
      <c r="M347" t="n">
        <v>0</v>
      </c>
      <c r="N347" t="n">
        <v>0</v>
      </c>
      <c r="O347" t="n">
        <v>0</v>
      </c>
      <c r="P347" t="n">
        <v>0</v>
      </c>
      <c r="Q347" t="n">
        <v>0</v>
      </c>
      <c r="R347" s="2" t="inlineStr"/>
    </row>
    <row r="348" ht="15" customHeight="1">
      <c r="A348" t="inlineStr">
        <is>
          <t>A 5567-2021</t>
        </is>
      </c>
      <c r="B348" s="1" t="n">
        <v>44230</v>
      </c>
      <c r="C348" s="1" t="n">
        <v>45789</v>
      </c>
      <c r="D348" t="inlineStr">
        <is>
          <t>DALARNAS LÄN</t>
        </is>
      </c>
      <c r="E348" t="inlineStr">
        <is>
          <t>ÄLVDALEN</t>
        </is>
      </c>
      <c r="F348" t="inlineStr">
        <is>
          <t>Övriga statliga verk och myndigheter</t>
        </is>
      </c>
      <c r="G348" t="n">
        <v>29.1</v>
      </c>
      <c r="H348" t="n">
        <v>0</v>
      </c>
      <c r="I348" t="n">
        <v>0</v>
      </c>
      <c r="J348" t="n">
        <v>0</v>
      </c>
      <c r="K348" t="n">
        <v>0</v>
      </c>
      <c r="L348" t="n">
        <v>0</v>
      </c>
      <c r="M348" t="n">
        <v>0</v>
      </c>
      <c r="N348" t="n">
        <v>0</v>
      </c>
      <c r="O348" t="n">
        <v>0</v>
      </c>
      <c r="P348" t="n">
        <v>0</v>
      </c>
      <c r="Q348" t="n">
        <v>0</v>
      </c>
      <c r="R348" s="2" t="inlineStr"/>
    </row>
    <row r="349" ht="15" customHeight="1">
      <c r="A349" t="inlineStr">
        <is>
          <t>A 7164-2021</t>
        </is>
      </c>
      <c r="B349" s="1" t="n">
        <v>44238</v>
      </c>
      <c r="C349" s="1" t="n">
        <v>45789</v>
      </c>
      <c r="D349" t="inlineStr">
        <is>
          <t>DALARNAS LÄN</t>
        </is>
      </c>
      <c r="E349" t="inlineStr">
        <is>
          <t>ÄLVDALEN</t>
        </is>
      </c>
      <c r="G349" t="n">
        <v>1.1</v>
      </c>
      <c r="H349" t="n">
        <v>0</v>
      </c>
      <c r="I349" t="n">
        <v>0</v>
      </c>
      <c r="J349" t="n">
        <v>0</v>
      </c>
      <c r="K349" t="n">
        <v>0</v>
      </c>
      <c r="L349" t="n">
        <v>0</v>
      </c>
      <c r="M349" t="n">
        <v>0</v>
      </c>
      <c r="N349" t="n">
        <v>0</v>
      </c>
      <c r="O349" t="n">
        <v>0</v>
      </c>
      <c r="P349" t="n">
        <v>0</v>
      </c>
      <c r="Q349" t="n">
        <v>0</v>
      </c>
      <c r="R349" s="2" t="inlineStr"/>
    </row>
    <row r="350" ht="15" customHeight="1">
      <c r="A350" t="inlineStr">
        <is>
          <t>A 7232-2021</t>
        </is>
      </c>
      <c r="B350" s="1" t="n">
        <v>44238</v>
      </c>
      <c r="C350" s="1" t="n">
        <v>45789</v>
      </c>
      <c r="D350" t="inlineStr">
        <is>
          <t>DALARNAS LÄN</t>
        </is>
      </c>
      <c r="E350" t="inlineStr">
        <is>
          <t>ÄLVDALEN</t>
        </is>
      </c>
      <c r="G350" t="n">
        <v>1.3</v>
      </c>
      <c r="H350" t="n">
        <v>0</v>
      </c>
      <c r="I350" t="n">
        <v>0</v>
      </c>
      <c r="J350" t="n">
        <v>0</v>
      </c>
      <c r="K350" t="n">
        <v>0</v>
      </c>
      <c r="L350" t="n">
        <v>0</v>
      </c>
      <c r="M350" t="n">
        <v>0</v>
      </c>
      <c r="N350" t="n">
        <v>0</v>
      </c>
      <c r="O350" t="n">
        <v>0</v>
      </c>
      <c r="P350" t="n">
        <v>0</v>
      </c>
      <c r="Q350" t="n">
        <v>0</v>
      </c>
      <c r="R350" s="2" t="inlineStr"/>
    </row>
    <row r="351" ht="15" customHeight="1">
      <c r="A351" t="inlineStr">
        <is>
          <t>A 11032-2021</t>
        </is>
      </c>
      <c r="B351" s="1" t="n">
        <v>44260</v>
      </c>
      <c r="C351" s="1" t="n">
        <v>45789</v>
      </c>
      <c r="D351" t="inlineStr">
        <is>
          <t>DALARNAS LÄN</t>
        </is>
      </c>
      <c r="E351" t="inlineStr">
        <is>
          <t>ÄLVDALEN</t>
        </is>
      </c>
      <c r="F351" t="inlineStr">
        <is>
          <t>Övriga statliga verk och myndigheter</t>
        </is>
      </c>
      <c r="G351" t="n">
        <v>35.9</v>
      </c>
      <c r="H351" t="n">
        <v>0</v>
      </c>
      <c r="I351" t="n">
        <v>0</v>
      </c>
      <c r="J351" t="n">
        <v>0</v>
      </c>
      <c r="K351" t="n">
        <v>0</v>
      </c>
      <c r="L351" t="n">
        <v>0</v>
      </c>
      <c r="M351" t="n">
        <v>0</v>
      </c>
      <c r="N351" t="n">
        <v>0</v>
      </c>
      <c r="O351" t="n">
        <v>0</v>
      </c>
      <c r="P351" t="n">
        <v>0</v>
      </c>
      <c r="Q351" t="n">
        <v>0</v>
      </c>
      <c r="R351" s="2" t="inlineStr"/>
    </row>
    <row r="352" ht="15" customHeight="1">
      <c r="A352" t="inlineStr">
        <is>
          <t>A 14290-2021</t>
        </is>
      </c>
      <c r="B352" s="1" t="n">
        <v>44278</v>
      </c>
      <c r="C352" s="1" t="n">
        <v>45789</v>
      </c>
      <c r="D352" t="inlineStr">
        <is>
          <t>DALARNAS LÄN</t>
        </is>
      </c>
      <c r="E352" t="inlineStr">
        <is>
          <t>ÄLVDALEN</t>
        </is>
      </c>
      <c r="G352" t="n">
        <v>1.9</v>
      </c>
      <c r="H352" t="n">
        <v>0</v>
      </c>
      <c r="I352" t="n">
        <v>0</v>
      </c>
      <c r="J352" t="n">
        <v>0</v>
      </c>
      <c r="K352" t="n">
        <v>0</v>
      </c>
      <c r="L352" t="n">
        <v>0</v>
      </c>
      <c r="M352" t="n">
        <v>0</v>
      </c>
      <c r="N352" t="n">
        <v>0</v>
      </c>
      <c r="O352" t="n">
        <v>0</v>
      </c>
      <c r="P352" t="n">
        <v>0</v>
      </c>
      <c r="Q352" t="n">
        <v>0</v>
      </c>
      <c r="R352" s="2" t="inlineStr"/>
    </row>
    <row r="353" ht="15" customHeight="1">
      <c r="A353" t="inlineStr">
        <is>
          <t>A 14548-2021</t>
        </is>
      </c>
      <c r="B353" s="1" t="n">
        <v>44279</v>
      </c>
      <c r="C353" s="1" t="n">
        <v>45789</v>
      </c>
      <c r="D353" t="inlineStr">
        <is>
          <t>DALARNAS LÄN</t>
        </is>
      </c>
      <c r="E353" t="inlineStr">
        <is>
          <t>ÄLVDALEN</t>
        </is>
      </c>
      <c r="G353" t="n">
        <v>6</v>
      </c>
      <c r="H353" t="n">
        <v>0</v>
      </c>
      <c r="I353" t="n">
        <v>0</v>
      </c>
      <c r="J353" t="n">
        <v>0</v>
      </c>
      <c r="K353" t="n">
        <v>0</v>
      </c>
      <c r="L353" t="n">
        <v>0</v>
      </c>
      <c r="M353" t="n">
        <v>0</v>
      </c>
      <c r="N353" t="n">
        <v>0</v>
      </c>
      <c r="O353" t="n">
        <v>0</v>
      </c>
      <c r="P353" t="n">
        <v>0</v>
      </c>
      <c r="Q353" t="n">
        <v>0</v>
      </c>
      <c r="R353" s="2" t="inlineStr"/>
    </row>
    <row r="354" ht="15" customHeight="1">
      <c r="A354" t="inlineStr">
        <is>
          <t>A 15045-2021</t>
        </is>
      </c>
      <c r="B354" s="1" t="n">
        <v>44281</v>
      </c>
      <c r="C354" s="1" t="n">
        <v>45789</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14995-2021</t>
        </is>
      </c>
      <c r="B355" s="1" t="n">
        <v>44281</v>
      </c>
      <c r="C355" s="1" t="n">
        <v>45789</v>
      </c>
      <c r="D355" t="inlineStr">
        <is>
          <t>DALARNAS LÄN</t>
        </is>
      </c>
      <c r="E355" t="inlineStr">
        <is>
          <t>ÄLVDALEN</t>
        </is>
      </c>
      <c r="G355" t="n">
        <v>17.8</v>
      </c>
      <c r="H355" t="n">
        <v>0</v>
      </c>
      <c r="I355" t="n">
        <v>0</v>
      </c>
      <c r="J355" t="n">
        <v>0</v>
      </c>
      <c r="K355" t="n">
        <v>0</v>
      </c>
      <c r="L355" t="n">
        <v>0</v>
      </c>
      <c r="M355" t="n">
        <v>0</v>
      </c>
      <c r="N355" t="n">
        <v>0</v>
      </c>
      <c r="O355" t="n">
        <v>0</v>
      </c>
      <c r="P355" t="n">
        <v>0</v>
      </c>
      <c r="Q355" t="n">
        <v>0</v>
      </c>
      <c r="R355" s="2" t="inlineStr"/>
    </row>
    <row r="356" ht="15" customHeight="1">
      <c r="A356" t="inlineStr">
        <is>
          <t>A 15251-2021</t>
        </is>
      </c>
      <c r="B356" s="1" t="n">
        <v>44284</v>
      </c>
      <c r="C356" s="1" t="n">
        <v>45789</v>
      </c>
      <c r="D356" t="inlineStr">
        <is>
          <t>DALARNAS LÄN</t>
        </is>
      </c>
      <c r="E356" t="inlineStr">
        <is>
          <t>ÄLVDALEN</t>
        </is>
      </c>
      <c r="G356" t="n">
        <v>6.1</v>
      </c>
      <c r="H356" t="n">
        <v>0</v>
      </c>
      <c r="I356" t="n">
        <v>0</v>
      </c>
      <c r="J356" t="n">
        <v>0</v>
      </c>
      <c r="K356" t="n">
        <v>0</v>
      </c>
      <c r="L356" t="n">
        <v>0</v>
      </c>
      <c r="M356" t="n">
        <v>0</v>
      </c>
      <c r="N356" t="n">
        <v>0</v>
      </c>
      <c r="O356" t="n">
        <v>0</v>
      </c>
      <c r="P356" t="n">
        <v>0</v>
      </c>
      <c r="Q356" t="n">
        <v>0</v>
      </c>
      <c r="R356" s="2" t="inlineStr"/>
    </row>
    <row r="357" ht="15" customHeight="1">
      <c r="A357" t="inlineStr">
        <is>
          <t>A 15952-2021</t>
        </is>
      </c>
      <c r="B357" s="1" t="n">
        <v>44286</v>
      </c>
      <c r="C357" s="1" t="n">
        <v>45789</v>
      </c>
      <c r="D357" t="inlineStr">
        <is>
          <t>DALARNAS LÄN</t>
        </is>
      </c>
      <c r="E357" t="inlineStr">
        <is>
          <t>ÄLVDALEN</t>
        </is>
      </c>
      <c r="F357" t="inlineStr">
        <is>
          <t>Övriga statliga verk och myndigheter</t>
        </is>
      </c>
      <c r="G357" t="n">
        <v>6.6</v>
      </c>
      <c r="H357" t="n">
        <v>0</v>
      </c>
      <c r="I357" t="n">
        <v>0</v>
      </c>
      <c r="J357" t="n">
        <v>0</v>
      </c>
      <c r="K357" t="n">
        <v>0</v>
      </c>
      <c r="L357" t="n">
        <v>0</v>
      </c>
      <c r="M357" t="n">
        <v>0</v>
      </c>
      <c r="N357" t="n">
        <v>0</v>
      </c>
      <c r="O357" t="n">
        <v>0</v>
      </c>
      <c r="P357" t="n">
        <v>0</v>
      </c>
      <c r="Q357" t="n">
        <v>0</v>
      </c>
      <c r="R357" s="2" t="inlineStr"/>
    </row>
    <row r="358" ht="15" customHeight="1">
      <c r="A358" t="inlineStr">
        <is>
          <t>A 16262-2021</t>
        </is>
      </c>
      <c r="B358" s="1" t="n">
        <v>44292</v>
      </c>
      <c r="C358" s="1" t="n">
        <v>45789</v>
      </c>
      <c r="D358" t="inlineStr">
        <is>
          <t>DALARNAS LÄN</t>
        </is>
      </c>
      <c r="E358" t="inlineStr">
        <is>
          <t>ÄLVDALEN</t>
        </is>
      </c>
      <c r="G358" t="n">
        <v>2.2</v>
      </c>
      <c r="H358" t="n">
        <v>0</v>
      </c>
      <c r="I358" t="n">
        <v>0</v>
      </c>
      <c r="J358" t="n">
        <v>0</v>
      </c>
      <c r="K358" t="n">
        <v>0</v>
      </c>
      <c r="L358" t="n">
        <v>0</v>
      </c>
      <c r="M358" t="n">
        <v>0</v>
      </c>
      <c r="N358" t="n">
        <v>0</v>
      </c>
      <c r="O358" t="n">
        <v>0</v>
      </c>
      <c r="P358" t="n">
        <v>0</v>
      </c>
      <c r="Q358" t="n">
        <v>0</v>
      </c>
      <c r="R358" s="2" t="inlineStr"/>
    </row>
    <row r="359" ht="15" customHeight="1">
      <c r="A359" t="inlineStr">
        <is>
          <t>A 18961-2021</t>
        </is>
      </c>
      <c r="B359" s="1" t="n">
        <v>44308</v>
      </c>
      <c r="C359" s="1" t="n">
        <v>45789</v>
      </c>
      <c r="D359" t="inlineStr">
        <is>
          <t>DALARNAS LÄN</t>
        </is>
      </c>
      <c r="E359" t="inlineStr">
        <is>
          <t>ÄLVDALEN</t>
        </is>
      </c>
      <c r="F359" t="inlineStr">
        <is>
          <t>Övriga statliga verk och myndigheter</t>
        </is>
      </c>
      <c r="G359" t="n">
        <v>17.6</v>
      </c>
      <c r="H359" t="n">
        <v>0</v>
      </c>
      <c r="I359" t="n">
        <v>0</v>
      </c>
      <c r="J359" t="n">
        <v>0</v>
      </c>
      <c r="K359" t="n">
        <v>0</v>
      </c>
      <c r="L359" t="n">
        <v>0</v>
      </c>
      <c r="M359" t="n">
        <v>0</v>
      </c>
      <c r="N359" t="n">
        <v>0</v>
      </c>
      <c r="O359" t="n">
        <v>0</v>
      </c>
      <c r="P359" t="n">
        <v>0</v>
      </c>
      <c r="Q359" t="n">
        <v>0</v>
      </c>
      <c r="R359" s="2" t="inlineStr"/>
    </row>
    <row r="360" ht="15" customHeight="1">
      <c r="A360" t="inlineStr">
        <is>
          <t>A 19766-2021</t>
        </is>
      </c>
      <c r="B360" s="1" t="n">
        <v>44309</v>
      </c>
      <c r="C360" s="1" t="n">
        <v>45789</v>
      </c>
      <c r="D360" t="inlineStr">
        <is>
          <t>DALARNAS LÄN</t>
        </is>
      </c>
      <c r="E360" t="inlineStr">
        <is>
          <t>ÄLVDALEN</t>
        </is>
      </c>
      <c r="G360" t="n">
        <v>8.9</v>
      </c>
      <c r="H360" t="n">
        <v>0</v>
      </c>
      <c r="I360" t="n">
        <v>0</v>
      </c>
      <c r="J360" t="n">
        <v>0</v>
      </c>
      <c r="K360" t="n">
        <v>0</v>
      </c>
      <c r="L360" t="n">
        <v>0</v>
      </c>
      <c r="M360" t="n">
        <v>0</v>
      </c>
      <c r="N360" t="n">
        <v>0</v>
      </c>
      <c r="O360" t="n">
        <v>0</v>
      </c>
      <c r="P360" t="n">
        <v>0</v>
      </c>
      <c r="Q360" t="n">
        <v>0</v>
      </c>
      <c r="R360" s="2" t="inlineStr"/>
    </row>
    <row r="361" ht="15" customHeight="1">
      <c r="A361" t="inlineStr">
        <is>
          <t>A 19763-2021</t>
        </is>
      </c>
      <c r="B361" s="1" t="n">
        <v>44309</v>
      </c>
      <c r="C361" s="1" t="n">
        <v>45789</v>
      </c>
      <c r="D361" t="inlineStr">
        <is>
          <t>DALARNAS LÄN</t>
        </is>
      </c>
      <c r="E361" t="inlineStr">
        <is>
          <t>ÄLVDALEN</t>
        </is>
      </c>
      <c r="G361" t="n">
        <v>1.4</v>
      </c>
      <c r="H361" t="n">
        <v>0</v>
      </c>
      <c r="I361" t="n">
        <v>0</v>
      </c>
      <c r="J361" t="n">
        <v>0</v>
      </c>
      <c r="K361" t="n">
        <v>0</v>
      </c>
      <c r="L361" t="n">
        <v>0</v>
      </c>
      <c r="M361" t="n">
        <v>0</v>
      </c>
      <c r="N361" t="n">
        <v>0</v>
      </c>
      <c r="O361" t="n">
        <v>0</v>
      </c>
      <c r="P361" t="n">
        <v>0</v>
      </c>
      <c r="Q361" t="n">
        <v>0</v>
      </c>
      <c r="R361" s="2" t="inlineStr"/>
    </row>
    <row r="362" ht="15" customHeight="1">
      <c r="A362" t="inlineStr">
        <is>
          <t>A 19313-2021</t>
        </is>
      </c>
      <c r="B362" s="1" t="n">
        <v>44309</v>
      </c>
      <c r="C362" s="1" t="n">
        <v>45789</v>
      </c>
      <c r="D362" t="inlineStr">
        <is>
          <t>DALARNAS LÄN</t>
        </is>
      </c>
      <c r="E362" t="inlineStr">
        <is>
          <t>ÄLVDALEN</t>
        </is>
      </c>
      <c r="G362" t="n">
        <v>0.2</v>
      </c>
      <c r="H362" t="n">
        <v>0</v>
      </c>
      <c r="I362" t="n">
        <v>0</v>
      </c>
      <c r="J362" t="n">
        <v>0</v>
      </c>
      <c r="K362" t="n">
        <v>0</v>
      </c>
      <c r="L362" t="n">
        <v>0</v>
      </c>
      <c r="M362" t="n">
        <v>0</v>
      </c>
      <c r="N362" t="n">
        <v>0</v>
      </c>
      <c r="O362" t="n">
        <v>0</v>
      </c>
      <c r="P362" t="n">
        <v>0</v>
      </c>
      <c r="Q362" t="n">
        <v>0</v>
      </c>
      <c r="R362" s="2" t="inlineStr"/>
    </row>
    <row r="363" ht="15" customHeight="1">
      <c r="A363" t="inlineStr">
        <is>
          <t>A 19312-2021</t>
        </is>
      </c>
      <c r="B363" s="1" t="n">
        <v>44309</v>
      </c>
      <c r="C363" s="1" t="n">
        <v>45789</v>
      </c>
      <c r="D363" t="inlineStr">
        <is>
          <t>DALARNAS LÄN</t>
        </is>
      </c>
      <c r="E363" t="inlineStr">
        <is>
          <t>ÄLVDALEN</t>
        </is>
      </c>
      <c r="G363" t="n">
        <v>0.4</v>
      </c>
      <c r="H363" t="n">
        <v>0</v>
      </c>
      <c r="I363" t="n">
        <v>0</v>
      </c>
      <c r="J363" t="n">
        <v>0</v>
      </c>
      <c r="K363" t="n">
        <v>0</v>
      </c>
      <c r="L363" t="n">
        <v>0</v>
      </c>
      <c r="M363" t="n">
        <v>0</v>
      </c>
      <c r="N363" t="n">
        <v>0</v>
      </c>
      <c r="O363" t="n">
        <v>0</v>
      </c>
      <c r="P363" t="n">
        <v>0</v>
      </c>
      <c r="Q363" t="n">
        <v>0</v>
      </c>
      <c r="R363" s="2" t="inlineStr"/>
    </row>
    <row r="364" ht="15" customHeight="1">
      <c r="A364" t="inlineStr">
        <is>
          <t>A 19761-2021</t>
        </is>
      </c>
      <c r="B364" s="1" t="n">
        <v>44309</v>
      </c>
      <c r="C364" s="1" t="n">
        <v>45789</v>
      </c>
      <c r="D364" t="inlineStr">
        <is>
          <t>DALARNAS LÄN</t>
        </is>
      </c>
      <c r="E364" t="inlineStr">
        <is>
          <t>ÄLVDALEN</t>
        </is>
      </c>
      <c r="G364" t="n">
        <v>4.3</v>
      </c>
      <c r="H364" t="n">
        <v>0</v>
      </c>
      <c r="I364" t="n">
        <v>0</v>
      </c>
      <c r="J364" t="n">
        <v>0</v>
      </c>
      <c r="K364" t="n">
        <v>0</v>
      </c>
      <c r="L364" t="n">
        <v>0</v>
      </c>
      <c r="M364" t="n">
        <v>0</v>
      </c>
      <c r="N364" t="n">
        <v>0</v>
      </c>
      <c r="O364" t="n">
        <v>0</v>
      </c>
      <c r="P364" t="n">
        <v>0</v>
      </c>
      <c r="Q364" t="n">
        <v>0</v>
      </c>
      <c r="R364" s="2" t="inlineStr"/>
    </row>
    <row r="365" ht="15" customHeight="1">
      <c r="A365" t="inlineStr">
        <is>
          <t>A 19759-2021</t>
        </is>
      </c>
      <c r="B365" s="1" t="n">
        <v>44309</v>
      </c>
      <c r="C365" s="1" t="n">
        <v>45789</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20050-2021</t>
        </is>
      </c>
      <c r="B366" s="1" t="n">
        <v>44314</v>
      </c>
      <c r="C366" s="1" t="n">
        <v>45789</v>
      </c>
      <c r="D366" t="inlineStr">
        <is>
          <t>DALARNAS LÄN</t>
        </is>
      </c>
      <c r="E366" t="inlineStr">
        <is>
          <t>ÄLVDALEN</t>
        </is>
      </c>
      <c r="G366" t="n">
        <v>1.6</v>
      </c>
      <c r="H366" t="n">
        <v>0</v>
      </c>
      <c r="I366" t="n">
        <v>0</v>
      </c>
      <c r="J366" t="n">
        <v>0</v>
      </c>
      <c r="K366" t="n">
        <v>0</v>
      </c>
      <c r="L366" t="n">
        <v>0</v>
      </c>
      <c r="M366" t="n">
        <v>0</v>
      </c>
      <c r="N366" t="n">
        <v>0</v>
      </c>
      <c r="O366" t="n">
        <v>0</v>
      </c>
      <c r="P366" t="n">
        <v>0</v>
      </c>
      <c r="Q366" t="n">
        <v>0</v>
      </c>
      <c r="R366" s="2" t="inlineStr"/>
    </row>
    <row r="367" ht="15" customHeight="1">
      <c r="A367" t="inlineStr">
        <is>
          <t>A 20162-2021</t>
        </is>
      </c>
      <c r="B367" s="1" t="n">
        <v>44314</v>
      </c>
      <c r="C367" s="1" t="n">
        <v>45789</v>
      </c>
      <c r="D367" t="inlineStr">
        <is>
          <t>DALARNAS LÄN</t>
        </is>
      </c>
      <c r="E367" t="inlineStr">
        <is>
          <t>ÄLVDALEN</t>
        </is>
      </c>
      <c r="G367" t="n">
        <v>3.9</v>
      </c>
      <c r="H367" t="n">
        <v>0</v>
      </c>
      <c r="I367" t="n">
        <v>0</v>
      </c>
      <c r="J367" t="n">
        <v>0</v>
      </c>
      <c r="K367" t="n">
        <v>0</v>
      </c>
      <c r="L367" t="n">
        <v>0</v>
      </c>
      <c r="M367" t="n">
        <v>0</v>
      </c>
      <c r="N367" t="n">
        <v>0</v>
      </c>
      <c r="O367" t="n">
        <v>0</v>
      </c>
      <c r="P367" t="n">
        <v>0</v>
      </c>
      <c r="Q367" t="n">
        <v>0</v>
      </c>
      <c r="R367" s="2" t="inlineStr"/>
    </row>
    <row r="368" ht="15" customHeight="1">
      <c r="A368" t="inlineStr">
        <is>
          <t>A 21832-2021</t>
        </is>
      </c>
      <c r="B368" s="1" t="n">
        <v>44322</v>
      </c>
      <c r="C368" s="1" t="n">
        <v>45789</v>
      </c>
      <c r="D368" t="inlineStr">
        <is>
          <t>DALARNAS LÄN</t>
        </is>
      </c>
      <c r="E368" t="inlineStr">
        <is>
          <t>ÄLVDALEN</t>
        </is>
      </c>
      <c r="F368" t="inlineStr">
        <is>
          <t>Allmännings- och besparingsskogar</t>
        </is>
      </c>
      <c r="G368" t="n">
        <v>2.5</v>
      </c>
      <c r="H368" t="n">
        <v>0</v>
      </c>
      <c r="I368" t="n">
        <v>0</v>
      </c>
      <c r="J368" t="n">
        <v>0</v>
      </c>
      <c r="K368" t="n">
        <v>0</v>
      </c>
      <c r="L368" t="n">
        <v>0</v>
      </c>
      <c r="M368" t="n">
        <v>0</v>
      </c>
      <c r="N368" t="n">
        <v>0</v>
      </c>
      <c r="O368" t="n">
        <v>0</v>
      </c>
      <c r="P368" t="n">
        <v>0</v>
      </c>
      <c r="Q368" t="n">
        <v>0</v>
      </c>
      <c r="R368" s="2" t="inlineStr"/>
    </row>
    <row r="369" ht="15" customHeight="1">
      <c r="A369" t="inlineStr">
        <is>
          <t>A 22454-2021</t>
        </is>
      </c>
      <c r="B369" s="1" t="n">
        <v>44326</v>
      </c>
      <c r="C369" s="1" t="n">
        <v>45789</v>
      </c>
      <c r="D369" t="inlineStr">
        <is>
          <t>DALARNAS LÄN</t>
        </is>
      </c>
      <c r="E369" t="inlineStr">
        <is>
          <t>ÄLVDALEN</t>
        </is>
      </c>
      <c r="F369" t="inlineStr">
        <is>
          <t>Allmännings- och besparingsskogar</t>
        </is>
      </c>
      <c r="G369" t="n">
        <v>4.3</v>
      </c>
      <c r="H369" t="n">
        <v>0</v>
      </c>
      <c r="I369" t="n">
        <v>0</v>
      </c>
      <c r="J369" t="n">
        <v>0</v>
      </c>
      <c r="K369" t="n">
        <v>0</v>
      </c>
      <c r="L369" t="n">
        <v>0</v>
      </c>
      <c r="M369" t="n">
        <v>0</v>
      </c>
      <c r="N369" t="n">
        <v>0</v>
      </c>
      <c r="O369" t="n">
        <v>0</v>
      </c>
      <c r="P369" t="n">
        <v>0</v>
      </c>
      <c r="Q369" t="n">
        <v>0</v>
      </c>
      <c r="R369" s="2" t="inlineStr"/>
    </row>
    <row r="370" ht="15" customHeight="1">
      <c r="A370" t="inlineStr">
        <is>
          <t>A 22761-2021</t>
        </is>
      </c>
      <c r="B370" s="1" t="n">
        <v>44327</v>
      </c>
      <c r="C370" s="1" t="n">
        <v>45789</v>
      </c>
      <c r="D370" t="inlineStr">
        <is>
          <t>DALARNAS LÄN</t>
        </is>
      </c>
      <c r="E370" t="inlineStr">
        <is>
          <t>ÄLVDALEN</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22760-2021</t>
        </is>
      </c>
      <c r="B371" s="1" t="n">
        <v>44327</v>
      </c>
      <c r="C371" s="1" t="n">
        <v>45789</v>
      </c>
      <c r="D371" t="inlineStr">
        <is>
          <t>DALARNAS LÄN</t>
        </is>
      </c>
      <c r="E371" t="inlineStr">
        <is>
          <t>ÄLVDALEN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22651-2021</t>
        </is>
      </c>
      <c r="B372" s="1" t="n">
        <v>44327</v>
      </c>
      <c r="C372" s="1" t="n">
        <v>45789</v>
      </c>
      <c r="D372" t="inlineStr">
        <is>
          <t>DALARNAS LÄN</t>
        </is>
      </c>
      <c r="E372" t="inlineStr">
        <is>
          <t>ÄLVDALEN</t>
        </is>
      </c>
      <c r="G372" t="n">
        <v>5.9</v>
      </c>
      <c r="H372" t="n">
        <v>0</v>
      </c>
      <c r="I372" t="n">
        <v>0</v>
      </c>
      <c r="J372" t="n">
        <v>0</v>
      </c>
      <c r="K372" t="n">
        <v>0</v>
      </c>
      <c r="L372" t="n">
        <v>0</v>
      </c>
      <c r="M372" t="n">
        <v>0</v>
      </c>
      <c r="N372" t="n">
        <v>0</v>
      </c>
      <c r="O372" t="n">
        <v>0</v>
      </c>
      <c r="P372" t="n">
        <v>0</v>
      </c>
      <c r="Q372" t="n">
        <v>0</v>
      </c>
      <c r="R372" s="2" t="inlineStr"/>
    </row>
    <row r="373" ht="15" customHeight="1">
      <c r="A373" t="inlineStr">
        <is>
          <t>A 24849-2021</t>
        </is>
      </c>
      <c r="B373" s="1" t="n">
        <v>44340</v>
      </c>
      <c r="C373" s="1" t="n">
        <v>45789</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26080-2021</t>
        </is>
      </c>
      <c r="B374" s="1" t="n">
        <v>44344</v>
      </c>
      <c r="C374" s="1" t="n">
        <v>45789</v>
      </c>
      <c r="D374" t="inlineStr">
        <is>
          <t>DALARNAS LÄN</t>
        </is>
      </c>
      <c r="E374" t="inlineStr">
        <is>
          <t>ÄLVDALEN</t>
        </is>
      </c>
      <c r="G374" t="n">
        <v>2.3</v>
      </c>
      <c r="H374" t="n">
        <v>0</v>
      </c>
      <c r="I374" t="n">
        <v>0</v>
      </c>
      <c r="J374" t="n">
        <v>0</v>
      </c>
      <c r="K374" t="n">
        <v>0</v>
      </c>
      <c r="L374" t="n">
        <v>0</v>
      </c>
      <c r="M374" t="n">
        <v>0</v>
      </c>
      <c r="N374" t="n">
        <v>0</v>
      </c>
      <c r="O374" t="n">
        <v>0</v>
      </c>
      <c r="P374" t="n">
        <v>0</v>
      </c>
      <c r="Q374" t="n">
        <v>0</v>
      </c>
      <c r="R374" s="2" t="inlineStr"/>
    </row>
    <row r="375" ht="15" customHeight="1">
      <c r="A375" t="inlineStr">
        <is>
          <t>A 26249-2021</t>
        </is>
      </c>
      <c r="B375" s="1" t="n">
        <v>44347</v>
      </c>
      <c r="C375" s="1" t="n">
        <v>45789</v>
      </c>
      <c r="D375" t="inlineStr">
        <is>
          <t>DALARNAS LÄN</t>
        </is>
      </c>
      <c r="E375" t="inlineStr">
        <is>
          <t>ÄLVDALEN</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26734-2021</t>
        </is>
      </c>
      <c r="B376" s="1" t="n">
        <v>44349</v>
      </c>
      <c r="C376" s="1" t="n">
        <v>45789</v>
      </c>
      <c r="D376" t="inlineStr">
        <is>
          <t>DALARNAS LÄN</t>
        </is>
      </c>
      <c r="E376" t="inlineStr">
        <is>
          <t>ÄLVDALEN</t>
        </is>
      </c>
      <c r="F376" t="inlineStr">
        <is>
          <t>Bergvik skog väst AB</t>
        </is>
      </c>
      <c r="G376" t="n">
        <v>0.8</v>
      </c>
      <c r="H376" t="n">
        <v>0</v>
      </c>
      <c r="I376" t="n">
        <v>0</v>
      </c>
      <c r="J376" t="n">
        <v>0</v>
      </c>
      <c r="K376" t="n">
        <v>0</v>
      </c>
      <c r="L376" t="n">
        <v>0</v>
      </c>
      <c r="M376" t="n">
        <v>0</v>
      </c>
      <c r="N376" t="n">
        <v>0</v>
      </c>
      <c r="O376" t="n">
        <v>0</v>
      </c>
      <c r="P376" t="n">
        <v>0</v>
      </c>
      <c r="Q376" t="n">
        <v>0</v>
      </c>
      <c r="R376" s="2" t="inlineStr"/>
    </row>
    <row r="377" ht="15" customHeight="1">
      <c r="A377" t="inlineStr">
        <is>
          <t>A 26726-2021</t>
        </is>
      </c>
      <c r="B377" s="1" t="n">
        <v>44349</v>
      </c>
      <c r="C377" s="1" t="n">
        <v>45789</v>
      </c>
      <c r="D377" t="inlineStr">
        <is>
          <t>DALARNAS LÄN</t>
        </is>
      </c>
      <c r="E377" t="inlineStr">
        <is>
          <t>ÄLVDALEN</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26874-2021</t>
        </is>
      </c>
      <c r="B378" s="1" t="n">
        <v>44349</v>
      </c>
      <c r="C378" s="1" t="n">
        <v>45789</v>
      </c>
      <c r="D378" t="inlineStr">
        <is>
          <t>DALARNAS LÄN</t>
        </is>
      </c>
      <c r="E378" t="inlineStr">
        <is>
          <t>ÄLVDALEN</t>
        </is>
      </c>
      <c r="F378" t="inlineStr">
        <is>
          <t>Bergvik skog öst AB</t>
        </is>
      </c>
      <c r="G378" t="n">
        <v>3.2</v>
      </c>
      <c r="H378" t="n">
        <v>0</v>
      </c>
      <c r="I378" t="n">
        <v>0</v>
      </c>
      <c r="J378" t="n">
        <v>0</v>
      </c>
      <c r="K378" t="n">
        <v>0</v>
      </c>
      <c r="L378" t="n">
        <v>0</v>
      </c>
      <c r="M378" t="n">
        <v>0</v>
      </c>
      <c r="N378" t="n">
        <v>0</v>
      </c>
      <c r="O378" t="n">
        <v>0</v>
      </c>
      <c r="P378" t="n">
        <v>0</v>
      </c>
      <c r="Q378" t="n">
        <v>0</v>
      </c>
      <c r="R378" s="2" t="inlineStr"/>
    </row>
    <row r="379" ht="15" customHeight="1">
      <c r="A379" t="inlineStr">
        <is>
          <t>A 27022-2021</t>
        </is>
      </c>
      <c r="B379" s="1" t="n">
        <v>44350</v>
      </c>
      <c r="C379" s="1" t="n">
        <v>45789</v>
      </c>
      <c r="D379" t="inlineStr">
        <is>
          <t>DALARNAS LÄN</t>
        </is>
      </c>
      <c r="E379" t="inlineStr">
        <is>
          <t>ÄLVDALEN</t>
        </is>
      </c>
      <c r="G379" t="n">
        <v>0.9</v>
      </c>
      <c r="H379" t="n">
        <v>0</v>
      </c>
      <c r="I379" t="n">
        <v>0</v>
      </c>
      <c r="J379" t="n">
        <v>0</v>
      </c>
      <c r="K379" t="n">
        <v>0</v>
      </c>
      <c r="L379" t="n">
        <v>0</v>
      </c>
      <c r="M379" t="n">
        <v>0</v>
      </c>
      <c r="N379" t="n">
        <v>0</v>
      </c>
      <c r="O379" t="n">
        <v>0</v>
      </c>
      <c r="P379" t="n">
        <v>0</v>
      </c>
      <c r="Q379" t="n">
        <v>0</v>
      </c>
      <c r="R379" s="2" t="inlineStr"/>
    </row>
    <row r="380" ht="15" customHeight="1">
      <c r="A380" t="inlineStr">
        <is>
          <t>A 28011-2021</t>
        </is>
      </c>
      <c r="B380" s="1" t="n">
        <v>44355</v>
      </c>
      <c r="C380" s="1" t="n">
        <v>45789</v>
      </c>
      <c r="D380" t="inlineStr">
        <is>
          <t>DALARNAS LÄN</t>
        </is>
      </c>
      <c r="E380" t="inlineStr">
        <is>
          <t>ÄLVDALEN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28712-2021</t>
        </is>
      </c>
      <c r="B381" s="1" t="n">
        <v>44357</v>
      </c>
      <c r="C381" s="1" t="n">
        <v>45789</v>
      </c>
      <c r="D381" t="inlineStr">
        <is>
          <t>DALARNAS LÄN</t>
        </is>
      </c>
      <c r="E381" t="inlineStr">
        <is>
          <t>ÄLVDALEN</t>
        </is>
      </c>
      <c r="G381" t="n">
        <v>2</v>
      </c>
      <c r="H381" t="n">
        <v>0</v>
      </c>
      <c r="I381" t="n">
        <v>0</v>
      </c>
      <c r="J381" t="n">
        <v>0</v>
      </c>
      <c r="K381" t="n">
        <v>0</v>
      </c>
      <c r="L381" t="n">
        <v>0</v>
      </c>
      <c r="M381" t="n">
        <v>0</v>
      </c>
      <c r="N381" t="n">
        <v>0</v>
      </c>
      <c r="O381" t="n">
        <v>0</v>
      </c>
      <c r="P381" t="n">
        <v>0</v>
      </c>
      <c r="Q381" t="n">
        <v>0</v>
      </c>
      <c r="R381" s="2" t="inlineStr"/>
    </row>
    <row r="382" ht="15" customHeight="1">
      <c r="A382" t="inlineStr">
        <is>
          <t>A 30255-2021</t>
        </is>
      </c>
      <c r="B382" s="1" t="n">
        <v>44363</v>
      </c>
      <c r="C382" s="1" t="n">
        <v>45789</v>
      </c>
      <c r="D382" t="inlineStr">
        <is>
          <t>DALARNAS LÄN</t>
        </is>
      </c>
      <c r="E382" t="inlineStr">
        <is>
          <t>ÄLVDALEN</t>
        </is>
      </c>
      <c r="F382" t="inlineStr">
        <is>
          <t>Sveaskog</t>
        </is>
      </c>
      <c r="G382" t="n">
        <v>4.1</v>
      </c>
      <c r="H382" t="n">
        <v>0</v>
      </c>
      <c r="I382" t="n">
        <v>0</v>
      </c>
      <c r="J382" t="n">
        <v>0</v>
      </c>
      <c r="K382" t="n">
        <v>0</v>
      </c>
      <c r="L382" t="n">
        <v>0</v>
      </c>
      <c r="M382" t="n">
        <v>0</v>
      </c>
      <c r="N382" t="n">
        <v>0</v>
      </c>
      <c r="O382" t="n">
        <v>0</v>
      </c>
      <c r="P382" t="n">
        <v>0</v>
      </c>
      <c r="Q382" t="n">
        <v>0</v>
      </c>
      <c r="R382" s="2" t="inlineStr"/>
    </row>
    <row r="383" ht="15" customHeight="1">
      <c r="A383" t="inlineStr">
        <is>
          <t>A 30254-2021</t>
        </is>
      </c>
      <c r="B383" s="1" t="n">
        <v>44363</v>
      </c>
      <c r="C383" s="1" t="n">
        <v>45789</v>
      </c>
      <c r="D383" t="inlineStr">
        <is>
          <t>DALARNAS LÄN</t>
        </is>
      </c>
      <c r="E383" t="inlineStr">
        <is>
          <t>ÄLVDALEN</t>
        </is>
      </c>
      <c r="F383" t="inlineStr">
        <is>
          <t>Sveaskog</t>
        </is>
      </c>
      <c r="G383" t="n">
        <v>8.1</v>
      </c>
      <c r="H383" t="n">
        <v>0</v>
      </c>
      <c r="I383" t="n">
        <v>0</v>
      </c>
      <c r="J383" t="n">
        <v>0</v>
      </c>
      <c r="K383" t="n">
        <v>0</v>
      </c>
      <c r="L383" t="n">
        <v>0</v>
      </c>
      <c r="M383" t="n">
        <v>0</v>
      </c>
      <c r="N383" t="n">
        <v>0</v>
      </c>
      <c r="O383" t="n">
        <v>0</v>
      </c>
      <c r="P383" t="n">
        <v>0</v>
      </c>
      <c r="Q383" t="n">
        <v>0</v>
      </c>
      <c r="R383" s="2" t="inlineStr"/>
    </row>
    <row r="384" ht="15" customHeight="1">
      <c r="A384" t="inlineStr">
        <is>
          <t>A 30249-2021</t>
        </is>
      </c>
      <c r="B384" s="1" t="n">
        <v>44363</v>
      </c>
      <c r="C384" s="1" t="n">
        <v>45789</v>
      </c>
      <c r="D384" t="inlineStr">
        <is>
          <t>DALARNAS LÄN</t>
        </is>
      </c>
      <c r="E384" t="inlineStr">
        <is>
          <t>ÄLVDALEN</t>
        </is>
      </c>
      <c r="F384" t="inlineStr">
        <is>
          <t>Sveaskog</t>
        </is>
      </c>
      <c r="G384" t="n">
        <v>0.2</v>
      </c>
      <c r="H384" t="n">
        <v>0</v>
      </c>
      <c r="I384" t="n">
        <v>0</v>
      </c>
      <c r="J384" t="n">
        <v>0</v>
      </c>
      <c r="K384" t="n">
        <v>0</v>
      </c>
      <c r="L384" t="n">
        <v>0</v>
      </c>
      <c r="M384" t="n">
        <v>0</v>
      </c>
      <c r="N384" t="n">
        <v>0</v>
      </c>
      <c r="O384" t="n">
        <v>0</v>
      </c>
      <c r="P384" t="n">
        <v>0</v>
      </c>
      <c r="Q384" t="n">
        <v>0</v>
      </c>
      <c r="R384" s="2" t="inlineStr"/>
    </row>
    <row r="385" ht="15" customHeight="1">
      <c r="A385" t="inlineStr">
        <is>
          <t>A 30355-2021</t>
        </is>
      </c>
      <c r="B385" s="1" t="n">
        <v>44364</v>
      </c>
      <c r="C385" s="1" t="n">
        <v>45789</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30797-2021</t>
        </is>
      </c>
      <c r="B386" s="1" t="n">
        <v>44365</v>
      </c>
      <c r="C386" s="1" t="n">
        <v>45789</v>
      </c>
      <c r="D386" t="inlineStr">
        <is>
          <t>DALARNAS LÄN</t>
        </is>
      </c>
      <c r="E386" t="inlineStr">
        <is>
          <t>ÄLVDALEN</t>
        </is>
      </c>
      <c r="G386" t="n">
        <v>2.1</v>
      </c>
      <c r="H386" t="n">
        <v>0</v>
      </c>
      <c r="I386" t="n">
        <v>0</v>
      </c>
      <c r="J386" t="n">
        <v>0</v>
      </c>
      <c r="K386" t="n">
        <v>0</v>
      </c>
      <c r="L386" t="n">
        <v>0</v>
      </c>
      <c r="M386" t="n">
        <v>0</v>
      </c>
      <c r="N386" t="n">
        <v>0</v>
      </c>
      <c r="O386" t="n">
        <v>0</v>
      </c>
      <c r="P386" t="n">
        <v>0</v>
      </c>
      <c r="Q386" t="n">
        <v>0</v>
      </c>
      <c r="R386" s="2" t="inlineStr"/>
    </row>
    <row r="387" ht="15" customHeight="1">
      <c r="A387" t="inlineStr">
        <is>
          <t>A 30799-2021</t>
        </is>
      </c>
      <c r="B387" s="1" t="n">
        <v>44365</v>
      </c>
      <c r="C387" s="1" t="n">
        <v>45789</v>
      </c>
      <c r="D387" t="inlineStr">
        <is>
          <t>DALARNAS LÄN</t>
        </is>
      </c>
      <c r="E387" t="inlineStr">
        <is>
          <t>ÄLVDALEN</t>
        </is>
      </c>
      <c r="G387" t="n">
        <v>1.2</v>
      </c>
      <c r="H387" t="n">
        <v>0</v>
      </c>
      <c r="I387" t="n">
        <v>0</v>
      </c>
      <c r="J387" t="n">
        <v>0</v>
      </c>
      <c r="K387" t="n">
        <v>0</v>
      </c>
      <c r="L387" t="n">
        <v>0</v>
      </c>
      <c r="M387" t="n">
        <v>0</v>
      </c>
      <c r="N387" t="n">
        <v>0</v>
      </c>
      <c r="O387" t="n">
        <v>0</v>
      </c>
      <c r="P387" t="n">
        <v>0</v>
      </c>
      <c r="Q387" t="n">
        <v>0</v>
      </c>
      <c r="R387" s="2" t="inlineStr"/>
    </row>
    <row r="388" ht="15" customHeight="1">
      <c r="A388" t="inlineStr">
        <is>
          <t>A 30972-2021</t>
        </is>
      </c>
      <c r="B388" s="1" t="n">
        <v>44365</v>
      </c>
      <c r="C388" s="1" t="n">
        <v>45789</v>
      </c>
      <c r="D388" t="inlineStr">
        <is>
          <t>DALARNAS LÄN</t>
        </is>
      </c>
      <c r="E388" t="inlineStr">
        <is>
          <t>ÄLVDALEN</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30969-2021</t>
        </is>
      </c>
      <c r="B389" s="1" t="n">
        <v>44365</v>
      </c>
      <c r="C389" s="1" t="n">
        <v>45789</v>
      </c>
      <c r="D389" t="inlineStr">
        <is>
          <t>DALARNAS LÄN</t>
        </is>
      </c>
      <c r="E389" t="inlineStr">
        <is>
          <t>ÄLVDALEN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31167-2021</t>
        </is>
      </c>
      <c r="B390" s="1" t="n">
        <v>44368</v>
      </c>
      <c r="C390" s="1" t="n">
        <v>45789</v>
      </c>
      <c r="D390" t="inlineStr">
        <is>
          <t>DALARNAS LÄN</t>
        </is>
      </c>
      <c r="E390" t="inlineStr">
        <is>
          <t>ÄLVDALEN</t>
        </is>
      </c>
      <c r="G390" t="n">
        <v>1.3</v>
      </c>
      <c r="H390" t="n">
        <v>0</v>
      </c>
      <c r="I390" t="n">
        <v>0</v>
      </c>
      <c r="J390" t="n">
        <v>0</v>
      </c>
      <c r="K390" t="n">
        <v>0</v>
      </c>
      <c r="L390" t="n">
        <v>0</v>
      </c>
      <c r="M390" t="n">
        <v>0</v>
      </c>
      <c r="N390" t="n">
        <v>0</v>
      </c>
      <c r="O390" t="n">
        <v>0</v>
      </c>
      <c r="P390" t="n">
        <v>0</v>
      </c>
      <c r="Q390" t="n">
        <v>0</v>
      </c>
      <c r="R390" s="2" t="inlineStr"/>
    </row>
    <row r="391" ht="15" customHeight="1">
      <c r="A391" t="inlineStr">
        <is>
          <t>A 31714-2021</t>
        </is>
      </c>
      <c r="B391" s="1" t="n">
        <v>44369</v>
      </c>
      <c r="C391" s="1" t="n">
        <v>45789</v>
      </c>
      <c r="D391" t="inlineStr">
        <is>
          <t>DALARNAS LÄN</t>
        </is>
      </c>
      <c r="E391" t="inlineStr">
        <is>
          <t>ÄLVDALEN</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32009-2021</t>
        </is>
      </c>
      <c r="B392" s="1" t="n">
        <v>44370</v>
      </c>
      <c r="C392" s="1" t="n">
        <v>45789</v>
      </c>
      <c r="D392" t="inlineStr">
        <is>
          <t>DALARNAS LÄN</t>
        </is>
      </c>
      <c r="E392" t="inlineStr">
        <is>
          <t>ÄLVDALEN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32362-2021</t>
        </is>
      </c>
      <c r="B393" s="1" t="n">
        <v>44371</v>
      </c>
      <c r="C393" s="1" t="n">
        <v>45789</v>
      </c>
      <c r="D393" t="inlineStr">
        <is>
          <t>DALARNAS LÄN</t>
        </is>
      </c>
      <c r="E393" t="inlineStr">
        <is>
          <t>ÄLVDALEN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33690-2021</t>
        </is>
      </c>
      <c r="B394" s="1" t="n">
        <v>44378</v>
      </c>
      <c r="C394" s="1" t="n">
        <v>45789</v>
      </c>
      <c r="D394" t="inlineStr">
        <is>
          <t>DALARNAS LÄN</t>
        </is>
      </c>
      <c r="E394" t="inlineStr">
        <is>
          <t>ÄLVDALEN</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33689-2021</t>
        </is>
      </c>
      <c r="B395" s="1" t="n">
        <v>44378</v>
      </c>
      <c r="C395" s="1" t="n">
        <v>45789</v>
      </c>
      <c r="D395" t="inlineStr">
        <is>
          <t>DALARNAS LÄN</t>
        </is>
      </c>
      <c r="E395" t="inlineStr">
        <is>
          <t>ÄLVDALEN</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36134-2021</t>
        </is>
      </c>
      <c r="B396" s="1" t="n">
        <v>44389</v>
      </c>
      <c r="C396" s="1" t="n">
        <v>45789</v>
      </c>
      <c r="D396" t="inlineStr">
        <is>
          <t>DALARNAS LÄN</t>
        </is>
      </c>
      <c r="E396" t="inlineStr">
        <is>
          <t>ÄLVDALEN</t>
        </is>
      </c>
      <c r="G396" t="n">
        <v>0.5</v>
      </c>
      <c r="H396" t="n">
        <v>0</v>
      </c>
      <c r="I396" t="n">
        <v>0</v>
      </c>
      <c r="J396" t="n">
        <v>0</v>
      </c>
      <c r="K396" t="n">
        <v>0</v>
      </c>
      <c r="L396" t="n">
        <v>0</v>
      </c>
      <c r="M396" t="n">
        <v>0</v>
      </c>
      <c r="N396" t="n">
        <v>0</v>
      </c>
      <c r="O396" t="n">
        <v>0</v>
      </c>
      <c r="P396" t="n">
        <v>0</v>
      </c>
      <c r="Q396" t="n">
        <v>0</v>
      </c>
      <c r="R396" s="2" t="inlineStr"/>
    </row>
    <row r="397" ht="15" customHeight="1">
      <c r="A397" t="inlineStr">
        <is>
          <t>A 36825-2021</t>
        </is>
      </c>
      <c r="B397" s="1" t="n">
        <v>44393</v>
      </c>
      <c r="C397" s="1" t="n">
        <v>45789</v>
      </c>
      <c r="D397" t="inlineStr">
        <is>
          <t>DALARNAS LÄN</t>
        </is>
      </c>
      <c r="E397" t="inlineStr">
        <is>
          <t>ÄLVDALEN</t>
        </is>
      </c>
      <c r="F397" t="inlineStr">
        <is>
          <t>Sveaskog</t>
        </is>
      </c>
      <c r="G397" t="n">
        <v>12.2</v>
      </c>
      <c r="H397" t="n">
        <v>0</v>
      </c>
      <c r="I397" t="n">
        <v>0</v>
      </c>
      <c r="J397" t="n">
        <v>0</v>
      </c>
      <c r="K397" t="n">
        <v>0</v>
      </c>
      <c r="L397" t="n">
        <v>0</v>
      </c>
      <c r="M397" t="n">
        <v>0</v>
      </c>
      <c r="N397" t="n">
        <v>0</v>
      </c>
      <c r="O397" t="n">
        <v>0</v>
      </c>
      <c r="P397" t="n">
        <v>0</v>
      </c>
      <c r="Q397" t="n">
        <v>0</v>
      </c>
      <c r="R397" s="2" t="inlineStr"/>
    </row>
    <row r="398" ht="15" customHeight="1">
      <c r="A398" t="inlineStr">
        <is>
          <t>A 36846-2021</t>
        </is>
      </c>
      <c r="B398" s="1" t="n">
        <v>44393</v>
      </c>
      <c r="C398" s="1" t="n">
        <v>45789</v>
      </c>
      <c r="D398" t="inlineStr">
        <is>
          <t>DALARNAS LÄN</t>
        </is>
      </c>
      <c r="E398" t="inlineStr">
        <is>
          <t>ÄLVDALEN</t>
        </is>
      </c>
      <c r="F398" t="inlineStr">
        <is>
          <t>Sveaskog</t>
        </is>
      </c>
      <c r="G398" t="n">
        <v>10.8</v>
      </c>
      <c r="H398" t="n">
        <v>0</v>
      </c>
      <c r="I398" t="n">
        <v>0</v>
      </c>
      <c r="J398" t="n">
        <v>0</v>
      </c>
      <c r="K398" t="n">
        <v>0</v>
      </c>
      <c r="L398" t="n">
        <v>0</v>
      </c>
      <c r="M398" t="n">
        <v>0</v>
      </c>
      <c r="N398" t="n">
        <v>0</v>
      </c>
      <c r="O398" t="n">
        <v>0</v>
      </c>
      <c r="P398" t="n">
        <v>0</v>
      </c>
      <c r="Q398" t="n">
        <v>0</v>
      </c>
      <c r="R398" s="2" t="inlineStr"/>
    </row>
    <row r="399" ht="15" customHeight="1">
      <c r="A399" t="inlineStr">
        <is>
          <t>A 36826-2021</t>
        </is>
      </c>
      <c r="B399" s="1" t="n">
        <v>44393</v>
      </c>
      <c r="C399" s="1" t="n">
        <v>45789</v>
      </c>
      <c r="D399" t="inlineStr">
        <is>
          <t>DALARNAS LÄN</t>
        </is>
      </c>
      <c r="E399" t="inlineStr">
        <is>
          <t>ÄLVDALEN</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36824-2021</t>
        </is>
      </c>
      <c r="B400" s="1" t="n">
        <v>44393</v>
      </c>
      <c r="C400" s="1" t="n">
        <v>45789</v>
      </c>
      <c r="D400" t="inlineStr">
        <is>
          <t>DALARNAS LÄN</t>
        </is>
      </c>
      <c r="E400" t="inlineStr">
        <is>
          <t>ÄLVDALEN</t>
        </is>
      </c>
      <c r="F400" t="inlineStr">
        <is>
          <t>Sveaskog</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37009-2021</t>
        </is>
      </c>
      <c r="B401" s="1" t="n">
        <v>44393</v>
      </c>
      <c r="C401" s="1" t="n">
        <v>45789</v>
      </c>
      <c r="D401" t="inlineStr">
        <is>
          <t>DALARNAS LÄN</t>
        </is>
      </c>
      <c r="E401" t="inlineStr">
        <is>
          <t>ÄLVDALEN</t>
        </is>
      </c>
      <c r="F401" t="inlineStr">
        <is>
          <t>Bergvik skog öst AB</t>
        </is>
      </c>
      <c r="G401" t="n">
        <v>3.3</v>
      </c>
      <c r="H401" t="n">
        <v>0</v>
      </c>
      <c r="I401" t="n">
        <v>0</v>
      </c>
      <c r="J401" t="n">
        <v>0</v>
      </c>
      <c r="K401" t="n">
        <v>0</v>
      </c>
      <c r="L401" t="n">
        <v>0</v>
      </c>
      <c r="M401" t="n">
        <v>0</v>
      </c>
      <c r="N401" t="n">
        <v>0</v>
      </c>
      <c r="O401" t="n">
        <v>0</v>
      </c>
      <c r="P401" t="n">
        <v>0</v>
      </c>
      <c r="Q401" t="n">
        <v>0</v>
      </c>
      <c r="R401" s="2" t="inlineStr"/>
    </row>
    <row r="402" ht="15" customHeight="1">
      <c r="A402" t="inlineStr">
        <is>
          <t>A 37490-2021</t>
        </is>
      </c>
      <c r="B402" s="1" t="n">
        <v>44399</v>
      </c>
      <c r="C402" s="1" t="n">
        <v>45789</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39064-2021</t>
        </is>
      </c>
      <c r="B403" s="1" t="n">
        <v>44411</v>
      </c>
      <c r="C403" s="1" t="n">
        <v>45789</v>
      </c>
      <c r="D403" t="inlineStr">
        <is>
          <t>DALARNAS LÄN</t>
        </is>
      </c>
      <c r="E403" t="inlineStr">
        <is>
          <t>ÄLVDALEN</t>
        </is>
      </c>
      <c r="F403" t="inlineStr">
        <is>
          <t>Övriga statliga verk och myndigheter</t>
        </is>
      </c>
      <c r="G403" t="n">
        <v>4.5</v>
      </c>
      <c r="H403" t="n">
        <v>0</v>
      </c>
      <c r="I403" t="n">
        <v>0</v>
      </c>
      <c r="J403" t="n">
        <v>0</v>
      </c>
      <c r="K403" t="n">
        <v>0</v>
      </c>
      <c r="L403" t="n">
        <v>0</v>
      </c>
      <c r="M403" t="n">
        <v>0</v>
      </c>
      <c r="N403" t="n">
        <v>0</v>
      </c>
      <c r="O403" t="n">
        <v>0</v>
      </c>
      <c r="P403" t="n">
        <v>0</v>
      </c>
      <c r="Q403" t="n">
        <v>0</v>
      </c>
      <c r="R403" s="2" t="inlineStr"/>
    </row>
    <row r="404" ht="15" customHeight="1">
      <c r="A404" t="inlineStr">
        <is>
          <t>A 38957-2021</t>
        </is>
      </c>
      <c r="B404" s="1" t="n">
        <v>44411</v>
      </c>
      <c r="C404" s="1" t="n">
        <v>45789</v>
      </c>
      <c r="D404" t="inlineStr">
        <is>
          <t>DALARNAS LÄN</t>
        </is>
      </c>
      <c r="E404" t="inlineStr">
        <is>
          <t>ÄLVDALEN</t>
        </is>
      </c>
      <c r="G404" t="n">
        <v>4.6</v>
      </c>
      <c r="H404" t="n">
        <v>0</v>
      </c>
      <c r="I404" t="n">
        <v>0</v>
      </c>
      <c r="J404" t="n">
        <v>0</v>
      </c>
      <c r="K404" t="n">
        <v>0</v>
      </c>
      <c r="L404" t="n">
        <v>0</v>
      </c>
      <c r="M404" t="n">
        <v>0</v>
      </c>
      <c r="N404" t="n">
        <v>0</v>
      </c>
      <c r="O404" t="n">
        <v>0</v>
      </c>
      <c r="P404" t="n">
        <v>0</v>
      </c>
      <c r="Q404" t="n">
        <v>0</v>
      </c>
      <c r="R404" s="2" t="inlineStr"/>
    </row>
    <row r="405" ht="15" customHeight="1">
      <c r="A405" t="inlineStr">
        <is>
          <t>A 39199-2021</t>
        </is>
      </c>
      <c r="B405" s="1" t="n">
        <v>44412</v>
      </c>
      <c r="C405" s="1" t="n">
        <v>45789</v>
      </c>
      <c r="D405" t="inlineStr">
        <is>
          <t>DALARNAS LÄN</t>
        </is>
      </c>
      <c r="E405" t="inlineStr">
        <is>
          <t>ÄLVDALEN</t>
        </is>
      </c>
      <c r="F405" t="inlineStr">
        <is>
          <t>Övriga statliga verk och myndigheter</t>
        </is>
      </c>
      <c r="G405" t="n">
        <v>5.2</v>
      </c>
      <c r="H405" t="n">
        <v>0</v>
      </c>
      <c r="I405" t="n">
        <v>0</v>
      </c>
      <c r="J405" t="n">
        <v>0</v>
      </c>
      <c r="K405" t="n">
        <v>0</v>
      </c>
      <c r="L405" t="n">
        <v>0</v>
      </c>
      <c r="M405" t="n">
        <v>0</v>
      </c>
      <c r="N405" t="n">
        <v>0</v>
      </c>
      <c r="O405" t="n">
        <v>0</v>
      </c>
      <c r="P405" t="n">
        <v>0</v>
      </c>
      <c r="Q405" t="n">
        <v>0</v>
      </c>
      <c r="R405" s="2" t="inlineStr"/>
    </row>
    <row r="406" ht="15" customHeight="1">
      <c r="A406" t="inlineStr">
        <is>
          <t>A 39267-2021</t>
        </is>
      </c>
      <c r="B406" s="1" t="n">
        <v>44413</v>
      </c>
      <c r="C406" s="1" t="n">
        <v>45789</v>
      </c>
      <c r="D406" t="inlineStr">
        <is>
          <t>DALARNAS LÄN</t>
        </is>
      </c>
      <c r="E406" t="inlineStr">
        <is>
          <t>ÄLVDALEN</t>
        </is>
      </c>
      <c r="G406" t="n">
        <v>2.4</v>
      </c>
      <c r="H406" t="n">
        <v>0</v>
      </c>
      <c r="I406" t="n">
        <v>0</v>
      </c>
      <c r="J406" t="n">
        <v>0</v>
      </c>
      <c r="K406" t="n">
        <v>0</v>
      </c>
      <c r="L406" t="n">
        <v>0</v>
      </c>
      <c r="M406" t="n">
        <v>0</v>
      </c>
      <c r="N406" t="n">
        <v>0</v>
      </c>
      <c r="O406" t="n">
        <v>0</v>
      </c>
      <c r="P406" t="n">
        <v>0</v>
      </c>
      <c r="Q406" t="n">
        <v>0</v>
      </c>
      <c r="R406" s="2" t="inlineStr"/>
    </row>
    <row r="407" ht="15" customHeight="1">
      <c r="A407" t="inlineStr">
        <is>
          <t>A 40234-2021</t>
        </is>
      </c>
      <c r="B407" s="1" t="n">
        <v>44419</v>
      </c>
      <c r="C407" s="1" t="n">
        <v>45789</v>
      </c>
      <c r="D407" t="inlineStr">
        <is>
          <t>DALARNAS LÄN</t>
        </is>
      </c>
      <c r="E407" t="inlineStr">
        <is>
          <t>ÄLVDALEN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40235-2021</t>
        </is>
      </c>
      <c r="B408" s="1" t="n">
        <v>44419</v>
      </c>
      <c r="C408" s="1" t="n">
        <v>45789</v>
      </c>
      <c r="D408" t="inlineStr">
        <is>
          <t>DALARNAS LÄN</t>
        </is>
      </c>
      <c r="E408" t="inlineStr">
        <is>
          <t>ÄLVDALEN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40919-2021</t>
        </is>
      </c>
      <c r="B409" s="1" t="n">
        <v>44421</v>
      </c>
      <c r="C409" s="1" t="n">
        <v>45789</v>
      </c>
      <c r="D409" t="inlineStr">
        <is>
          <t>DALARNAS LÄN</t>
        </is>
      </c>
      <c r="E409" t="inlineStr">
        <is>
          <t>ÄLVDALEN</t>
        </is>
      </c>
      <c r="F409" t="inlineStr">
        <is>
          <t>Kyrkan</t>
        </is>
      </c>
      <c r="G409" t="n">
        <v>3.4</v>
      </c>
      <c r="H409" t="n">
        <v>0</v>
      </c>
      <c r="I409" t="n">
        <v>0</v>
      </c>
      <c r="J409" t="n">
        <v>0</v>
      </c>
      <c r="K409" t="n">
        <v>0</v>
      </c>
      <c r="L409" t="n">
        <v>0</v>
      </c>
      <c r="M409" t="n">
        <v>0</v>
      </c>
      <c r="N409" t="n">
        <v>0</v>
      </c>
      <c r="O409" t="n">
        <v>0</v>
      </c>
      <c r="P409" t="n">
        <v>0</v>
      </c>
      <c r="Q409" t="n">
        <v>0</v>
      </c>
      <c r="R409" s="2" t="inlineStr"/>
    </row>
    <row r="410" ht="15" customHeight="1">
      <c r="A410" t="inlineStr">
        <is>
          <t>A 41020-2021</t>
        </is>
      </c>
      <c r="B410" s="1" t="n">
        <v>44421</v>
      </c>
      <c r="C410" s="1" t="n">
        <v>45789</v>
      </c>
      <c r="D410" t="inlineStr">
        <is>
          <t>DALARNAS LÄN</t>
        </is>
      </c>
      <c r="E410" t="inlineStr">
        <is>
          <t>ÄLVDALEN</t>
        </is>
      </c>
      <c r="G410" t="n">
        <v>5.5</v>
      </c>
      <c r="H410" t="n">
        <v>0</v>
      </c>
      <c r="I410" t="n">
        <v>0</v>
      </c>
      <c r="J410" t="n">
        <v>0</v>
      </c>
      <c r="K410" t="n">
        <v>0</v>
      </c>
      <c r="L410" t="n">
        <v>0</v>
      </c>
      <c r="M410" t="n">
        <v>0</v>
      </c>
      <c r="N410" t="n">
        <v>0</v>
      </c>
      <c r="O410" t="n">
        <v>0</v>
      </c>
      <c r="P410" t="n">
        <v>0</v>
      </c>
      <c r="Q410" t="n">
        <v>0</v>
      </c>
      <c r="R410" s="2" t="inlineStr"/>
    </row>
    <row r="411" ht="15" customHeight="1">
      <c r="A411" t="inlineStr">
        <is>
          <t>A 43972-2021</t>
        </is>
      </c>
      <c r="B411" s="1" t="n">
        <v>44434</v>
      </c>
      <c r="C411" s="1" t="n">
        <v>45789</v>
      </c>
      <c r="D411" t="inlineStr">
        <is>
          <t>DALARNAS LÄN</t>
        </is>
      </c>
      <c r="E411" t="inlineStr">
        <is>
          <t>ÄLVDALEN</t>
        </is>
      </c>
      <c r="F411" t="inlineStr">
        <is>
          <t>Sveaskog</t>
        </is>
      </c>
      <c r="G411" t="n">
        <v>3.5</v>
      </c>
      <c r="H411" t="n">
        <v>0</v>
      </c>
      <c r="I411" t="n">
        <v>0</v>
      </c>
      <c r="J411" t="n">
        <v>0</v>
      </c>
      <c r="K411" t="n">
        <v>0</v>
      </c>
      <c r="L411" t="n">
        <v>0</v>
      </c>
      <c r="M411" t="n">
        <v>0</v>
      </c>
      <c r="N411" t="n">
        <v>0</v>
      </c>
      <c r="O411" t="n">
        <v>0</v>
      </c>
      <c r="P411" t="n">
        <v>0</v>
      </c>
      <c r="Q411" t="n">
        <v>0</v>
      </c>
      <c r="R411" s="2" t="inlineStr"/>
    </row>
    <row r="412" ht="15" customHeight="1">
      <c r="A412" t="inlineStr">
        <is>
          <t>A 44386-2021</t>
        </is>
      </c>
      <c r="B412" s="1" t="n">
        <v>44435</v>
      </c>
      <c r="C412" s="1" t="n">
        <v>45789</v>
      </c>
      <c r="D412" t="inlineStr">
        <is>
          <t>DALARNAS LÄN</t>
        </is>
      </c>
      <c r="E412" t="inlineStr">
        <is>
          <t>ÄLVDALEN</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44413-2021</t>
        </is>
      </c>
      <c r="B413" s="1" t="n">
        <v>44435</v>
      </c>
      <c r="C413" s="1" t="n">
        <v>45789</v>
      </c>
      <c r="D413" t="inlineStr">
        <is>
          <t>DALARNAS LÄN</t>
        </is>
      </c>
      <c r="E413" t="inlineStr">
        <is>
          <t>ÄLVDALEN</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48558-2021</t>
        </is>
      </c>
      <c r="B414" s="1" t="n">
        <v>44452</v>
      </c>
      <c r="C414" s="1" t="n">
        <v>45789</v>
      </c>
      <c r="D414" t="inlineStr">
        <is>
          <t>DALARNAS LÄN</t>
        </is>
      </c>
      <c r="E414" t="inlineStr">
        <is>
          <t>ÄLVDALEN</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48608-2021</t>
        </is>
      </c>
      <c r="B415" s="1" t="n">
        <v>44452</v>
      </c>
      <c r="C415" s="1" t="n">
        <v>45789</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48772-2021</t>
        </is>
      </c>
      <c r="B416" s="1" t="n">
        <v>44452</v>
      </c>
      <c r="C416" s="1" t="n">
        <v>45789</v>
      </c>
      <c r="D416" t="inlineStr">
        <is>
          <t>DALARNAS LÄN</t>
        </is>
      </c>
      <c r="E416" t="inlineStr">
        <is>
          <t>ÄLVDALEN</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49495-2021</t>
        </is>
      </c>
      <c r="B417" s="1" t="n">
        <v>44455</v>
      </c>
      <c r="C417" s="1" t="n">
        <v>45789</v>
      </c>
      <c r="D417" t="inlineStr">
        <is>
          <t>DALARNAS LÄN</t>
        </is>
      </c>
      <c r="E417" t="inlineStr">
        <is>
          <t>ÄLVDALEN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49862-2021</t>
        </is>
      </c>
      <c r="B418" s="1" t="n">
        <v>44455</v>
      </c>
      <c r="C418" s="1" t="n">
        <v>45789</v>
      </c>
      <c r="D418" t="inlineStr">
        <is>
          <t>DALARNAS LÄN</t>
        </is>
      </c>
      <c r="E418" t="inlineStr">
        <is>
          <t>ÄLVDALEN</t>
        </is>
      </c>
      <c r="F418" t="inlineStr">
        <is>
          <t>Allmännings- och besparingsskogar</t>
        </is>
      </c>
      <c r="G418" t="n">
        <v>51.2</v>
      </c>
      <c r="H418" t="n">
        <v>0</v>
      </c>
      <c r="I418" t="n">
        <v>0</v>
      </c>
      <c r="J418" t="n">
        <v>0</v>
      </c>
      <c r="K418" t="n">
        <v>0</v>
      </c>
      <c r="L418" t="n">
        <v>0</v>
      </c>
      <c r="M418" t="n">
        <v>0</v>
      </c>
      <c r="N418" t="n">
        <v>0</v>
      </c>
      <c r="O418" t="n">
        <v>0</v>
      </c>
      <c r="P418" t="n">
        <v>0</v>
      </c>
      <c r="Q418" t="n">
        <v>0</v>
      </c>
      <c r="R418" s="2" t="inlineStr"/>
    </row>
    <row r="419" ht="15" customHeight="1">
      <c r="A419" t="inlineStr">
        <is>
          <t>A 50265-2021</t>
        </is>
      </c>
      <c r="B419" s="1" t="n">
        <v>44459</v>
      </c>
      <c r="C419" s="1" t="n">
        <v>45789</v>
      </c>
      <c r="D419" t="inlineStr">
        <is>
          <t>DALARNAS LÄN</t>
        </is>
      </c>
      <c r="E419" t="inlineStr">
        <is>
          <t>ÄLVDALEN</t>
        </is>
      </c>
      <c r="F419" t="inlineStr">
        <is>
          <t>Sveaskog</t>
        </is>
      </c>
      <c r="G419" t="n">
        <v>9.5</v>
      </c>
      <c r="H419" t="n">
        <v>0</v>
      </c>
      <c r="I419" t="n">
        <v>0</v>
      </c>
      <c r="J419" t="n">
        <v>0</v>
      </c>
      <c r="K419" t="n">
        <v>0</v>
      </c>
      <c r="L419" t="n">
        <v>0</v>
      </c>
      <c r="M419" t="n">
        <v>0</v>
      </c>
      <c r="N419" t="n">
        <v>0</v>
      </c>
      <c r="O419" t="n">
        <v>0</v>
      </c>
      <c r="P419" t="n">
        <v>0</v>
      </c>
      <c r="Q419" t="n">
        <v>0</v>
      </c>
      <c r="R419" s="2" t="inlineStr"/>
    </row>
    <row r="420" ht="15" customHeight="1">
      <c r="A420" t="inlineStr">
        <is>
          <t>A 50341-2021</t>
        </is>
      </c>
      <c r="B420" s="1" t="n">
        <v>44459</v>
      </c>
      <c r="C420" s="1" t="n">
        <v>45789</v>
      </c>
      <c r="D420" t="inlineStr">
        <is>
          <t>DALARNAS LÄN</t>
        </is>
      </c>
      <c r="E420" t="inlineStr">
        <is>
          <t>ÄLVDALEN</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50349-2021</t>
        </is>
      </c>
      <c r="B421" s="1" t="n">
        <v>44459</v>
      </c>
      <c r="C421" s="1" t="n">
        <v>45789</v>
      </c>
      <c r="D421" t="inlineStr">
        <is>
          <t>DALARNAS LÄN</t>
        </is>
      </c>
      <c r="E421" t="inlineStr">
        <is>
          <t>ÄLVDALEN</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50708-2021</t>
        </is>
      </c>
      <c r="B422" s="1" t="n">
        <v>44459</v>
      </c>
      <c r="C422" s="1" t="n">
        <v>45789</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51161-2021</t>
        </is>
      </c>
      <c r="B423" s="1" t="n">
        <v>44461</v>
      </c>
      <c r="C423" s="1" t="n">
        <v>45789</v>
      </c>
      <c r="D423" t="inlineStr">
        <is>
          <t>DALARNAS LÄN</t>
        </is>
      </c>
      <c r="E423" t="inlineStr">
        <is>
          <t>ÄLVDALEN</t>
        </is>
      </c>
      <c r="G423" t="n">
        <v>2</v>
      </c>
      <c r="H423" t="n">
        <v>0</v>
      </c>
      <c r="I423" t="n">
        <v>0</v>
      </c>
      <c r="J423" t="n">
        <v>0</v>
      </c>
      <c r="K423" t="n">
        <v>0</v>
      </c>
      <c r="L423" t="n">
        <v>0</v>
      </c>
      <c r="M423" t="n">
        <v>0</v>
      </c>
      <c r="N423" t="n">
        <v>0</v>
      </c>
      <c r="O423" t="n">
        <v>0</v>
      </c>
      <c r="P423" t="n">
        <v>0</v>
      </c>
      <c r="Q423" t="n">
        <v>0</v>
      </c>
      <c r="R423" s="2" t="inlineStr"/>
    </row>
    <row r="424" ht="15" customHeight="1">
      <c r="A424" t="inlineStr">
        <is>
          <t>A 51844-2021</t>
        </is>
      </c>
      <c r="B424" s="1" t="n">
        <v>44462</v>
      </c>
      <c r="C424" s="1" t="n">
        <v>45789</v>
      </c>
      <c r="D424" t="inlineStr">
        <is>
          <t>DALARNAS LÄN</t>
        </is>
      </c>
      <c r="E424" t="inlineStr">
        <is>
          <t>ÄLVDALEN</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52124-2021</t>
        </is>
      </c>
      <c r="B425" s="1" t="n">
        <v>44463</v>
      </c>
      <c r="C425" s="1" t="n">
        <v>45789</v>
      </c>
      <c r="D425" t="inlineStr">
        <is>
          <t>DALARNAS LÄN</t>
        </is>
      </c>
      <c r="E425" t="inlineStr">
        <is>
          <t>ÄLVDALEN</t>
        </is>
      </c>
      <c r="G425" t="n">
        <v>2.5</v>
      </c>
      <c r="H425" t="n">
        <v>0</v>
      </c>
      <c r="I425" t="n">
        <v>0</v>
      </c>
      <c r="J425" t="n">
        <v>0</v>
      </c>
      <c r="K425" t="n">
        <v>0</v>
      </c>
      <c r="L425" t="n">
        <v>0</v>
      </c>
      <c r="M425" t="n">
        <v>0</v>
      </c>
      <c r="N425" t="n">
        <v>0</v>
      </c>
      <c r="O425" t="n">
        <v>0</v>
      </c>
      <c r="P425" t="n">
        <v>0</v>
      </c>
      <c r="Q425" t="n">
        <v>0</v>
      </c>
      <c r="R425" s="2" t="inlineStr"/>
    </row>
    <row r="426" ht="15" customHeight="1">
      <c r="A426" t="inlineStr">
        <is>
          <t>A 52877-2021</t>
        </is>
      </c>
      <c r="B426" s="1" t="n">
        <v>44467</v>
      </c>
      <c r="C426" s="1" t="n">
        <v>45789</v>
      </c>
      <c r="D426" t="inlineStr">
        <is>
          <t>DALARNAS LÄN</t>
        </is>
      </c>
      <c r="E426" t="inlineStr">
        <is>
          <t>ÄLVDALEN</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52866-2021</t>
        </is>
      </c>
      <c r="B427" s="1" t="n">
        <v>44467</v>
      </c>
      <c r="C427" s="1" t="n">
        <v>45789</v>
      </c>
      <c r="D427" t="inlineStr">
        <is>
          <t>DALARNAS LÄN</t>
        </is>
      </c>
      <c r="E427" t="inlineStr">
        <is>
          <t>ÄLVDALEN</t>
        </is>
      </c>
      <c r="F427" t="inlineStr">
        <is>
          <t>Sveaskog</t>
        </is>
      </c>
      <c r="G427" t="n">
        <v>7.1</v>
      </c>
      <c r="H427" t="n">
        <v>0</v>
      </c>
      <c r="I427" t="n">
        <v>0</v>
      </c>
      <c r="J427" t="n">
        <v>0</v>
      </c>
      <c r="K427" t="n">
        <v>0</v>
      </c>
      <c r="L427" t="n">
        <v>0</v>
      </c>
      <c r="M427" t="n">
        <v>0</v>
      </c>
      <c r="N427" t="n">
        <v>0</v>
      </c>
      <c r="O427" t="n">
        <v>0</v>
      </c>
      <c r="P427" t="n">
        <v>0</v>
      </c>
      <c r="Q427" t="n">
        <v>0</v>
      </c>
      <c r="R427" s="2" t="inlineStr"/>
    </row>
    <row r="428" ht="15" customHeight="1">
      <c r="A428" t="inlineStr">
        <is>
          <t>A 52873-2021</t>
        </is>
      </c>
      <c r="B428" s="1" t="n">
        <v>44467</v>
      </c>
      <c r="C428" s="1" t="n">
        <v>45789</v>
      </c>
      <c r="D428" t="inlineStr">
        <is>
          <t>DALARNAS LÄN</t>
        </is>
      </c>
      <c r="E428" t="inlineStr">
        <is>
          <t>ÄLVDALEN</t>
        </is>
      </c>
      <c r="F428" t="inlineStr">
        <is>
          <t>Sveaskog</t>
        </is>
      </c>
      <c r="G428" t="n">
        <v>14.2</v>
      </c>
      <c r="H428" t="n">
        <v>0</v>
      </c>
      <c r="I428" t="n">
        <v>0</v>
      </c>
      <c r="J428" t="n">
        <v>0</v>
      </c>
      <c r="K428" t="n">
        <v>0</v>
      </c>
      <c r="L428" t="n">
        <v>0</v>
      </c>
      <c r="M428" t="n">
        <v>0</v>
      </c>
      <c r="N428" t="n">
        <v>0</v>
      </c>
      <c r="O428" t="n">
        <v>0</v>
      </c>
      <c r="P428" t="n">
        <v>0</v>
      </c>
      <c r="Q428" t="n">
        <v>0</v>
      </c>
      <c r="R428" s="2" t="inlineStr"/>
    </row>
    <row r="429" ht="15" customHeight="1">
      <c r="A429" t="inlineStr">
        <is>
          <t>A 54292-2021</t>
        </is>
      </c>
      <c r="B429" s="1" t="n">
        <v>44471</v>
      </c>
      <c r="C429" s="1" t="n">
        <v>45789</v>
      </c>
      <c r="D429" t="inlineStr">
        <is>
          <t>DALARNAS LÄN</t>
        </is>
      </c>
      <c r="E429" t="inlineStr">
        <is>
          <t>ÄLVDALEN</t>
        </is>
      </c>
      <c r="G429" t="n">
        <v>3.1</v>
      </c>
      <c r="H429" t="n">
        <v>0</v>
      </c>
      <c r="I429" t="n">
        <v>0</v>
      </c>
      <c r="J429" t="n">
        <v>0</v>
      </c>
      <c r="K429" t="n">
        <v>0</v>
      </c>
      <c r="L429" t="n">
        <v>0</v>
      </c>
      <c r="M429" t="n">
        <v>0</v>
      </c>
      <c r="N429" t="n">
        <v>0</v>
      </c>
      <c r="O429" t="n">
        <v>0</v>
      </c>
      <c r="P429" t="n">
        <v>0</v>
      </c>
      <c r="Q429" t="n">
        <v>0</v>
      </c>
      <c r="R429" s="2" t="inlineStr"/>
    </row>
    <row r="430" ht="15" customHeight="1">
      <c r="A430" t="inlineStr">
        <is>
          <t>A 54387-2021</t>
        </is>
      </c>
      <c r="B430" s="1" t="n">
        <v>44473</v>
      </c>
      <c r="C430" s="1" t="n">
        <v>45789</v>
      </c>
      <c r="D430" t="inlineStr">
        <is>
          <t>DALARNAS LÄN</t>
        </is>
      </c>
      <c r="E430" t="inlineStr">
        <is>
          <t>ÄLVDALEN</t>
        </is>
      </c>
      <c r="F430" t="inlineStr">
        <is>
          <t>Bergvik skog öst AB</t>
        </is>
      </c>
      <c r="G430" t="n">
        <v>2.9</v>
      </c>
      <c r="H430" t="n">
        <v>0</v>
      </c>
      <c r="I430" t="n">
        <v>0</v>
      </c>
      <c r="J430" t="n">
        <v>0</v>
      </c>
      <c r="K430" t="n">
        <v>0</v>
      </c>
      <c r="L430" t="n">
        <v>0</v>
      </c>
      <c r="M430" t="n">
        <v>0</v>
      </c>
      <c r="N430" t="n">
        <v>0</v>
      </c>
      <c r="O430" t="n">
        <v>0</v>
      </c>
      <c r="P430" t="n">
        <v>0</v>
      </c>
      <c r="Q430" t="n">
        <v>0</v>
      </c>
      <c r="R430" s="2" t="inlineStr"/>
    </row>
    <row r="431" ht="15" customHeight="1">
      <c r="A431" t="inlineStr">
        <is>
          <t>A 55778-2021</t>
        </is>
      </c>
      <c r="B431" s="1" t="n">
        <v>44476</v>
      </c>
      <c r="C431" s="1" t="n">
        <v>45789</v>
      </c>
      <c r="D431" t="inlineStr">
        <is>
          <t>DALARNAS LÄN</t>
        </is>
      </c>
      <c r="E431" t="inlineStr">
        <is>
          <t>ÄLVDALEN</t>
        </is>
      </c>
      <c r="G431" t="n">
        <v>3.2</v>
      </c>
      <c r="H431" t="n">
        <v>0</v>
      </c>
      <c r="I431" t="n">
        <v>0</v>
      </c>
      <c r="J431" t="n">
        <v>0</v>
      </c>
      <c r="K431" t="n">
        <v>0</v>
      </c>
      <c r="L431" t="n">
        <v>0</v>
      </c>
      <c r="M431" t="n">
        <v>0</v>
      </c>
      <c r="N431" t="n">
        <v>0</v>
      </c>
      <c r="O431" t="n">
        <v>0</v>
      </c>
      <c r="P431" t="n">
        <v>0</v>
      </c>
      <c r="Q431" t="n">
        <v>0</v>
      </c>
      <c r="R431" s="2" t="inlineStr"/>
    </row>
    <row r="432" ht="15" customHeight="1">
      <c r="A432" t="inlineStr">
        <is>
          <t>A 55990-2021</t>
        </is>
      </c>
      <c r="B432" s="1" t="n">
        <v>44477</v>
      </c>
      <c r="C432" s="1" t="n">
        <v>45789</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56041-2021</t>
        </is>
      </c>
      <c r="B433" s="1" t="n">
        <v>44477</v>
      </c>
      <c r="C433" s="1" t="n">
        <v>45789</v>
      </c>
      <c r="D433" t="inlineStr">
        <is>
          <t>DALARNAS LÄN</t>
        </is>
      </c>
      <c r="E433" t="inlineStr">
        <is>
          <t>ÄLVDALEN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56047-2021</t>
        </is>
      </c>
      <c r="B434" s="1" t="n">
        <v>44477</v>
      </c>
      <c r="C434" s="1" t="n">
        <v>45789</v>
      </c>
      <c r="D434" t="inlineStr">
        <is>
          <t>DALARNAS LÄN</t>
        </is>
      </c>
      <c r="E434" t="inlineStr">
        <is>
          <t>ÄLVDALEN</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56045-2021</t>
        </is>
      </c>
      <c r="B435" s="1" t="n">
        <v>44477</v>
      </c>
      <c r="C435" s="1" t="n">
        <v>45789</v>
      </c>
      <c r="D435" t="inlineStr">
        <is>
          <t>DALARNAS LÄN</t>
        </is>
      </c>
      <c r="E435" t="inlineStr">
        <is>
          <t>ÄLVDALEN</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56691-2021</t>
        </is>
      </c>
      <c r="B436" s="1" t="n">
        <v>44481</v>
      </c>
      <c r="C436" s="1" t="n">
        <v>45789</v>
      </c>
      <c r="D436" t="inlineStr">
        <is>
          <t>DALARNAS LÄN</t>
        </is>
      </c>
      <c r="E436" t="inlineStr">
        <is>
          <t>ÄLVDALEN</t>
        </is>
      </c>
      <c r="F436" t="inlineStr">
        <is>
          <t>Allmännings- och besparingsskogar</t>
        </is>
      </c>
      <c r="G436" t="n">
        <v>6.6</v>
      </c>
      <c r="H436" t="n">
        <v>0</v>
      </c>
      <c r="I436" t="n">
        <v>0</v>
      </c>
      <c r="J436" t="n">
        <v>0</v>
      </c>
      <c r="K436" t="n">
        <v>0</v>
      </c>
      <c r="L436" t="n">
        <v>0</v>
      </c>
      <c r="M436" t="n">
        <v>0</v>
      </c>
      <c r="N436" t="n">
        <v>0</v>
      </c>
      <c r="O436" t="n">
        <v>0</v>
      </c>
      <c r="P436" t="n">
        <v>0</v>
      </c>
      <c r="Q436" t="n">
        <v>0</v>
      </c>
      <c r="R436" s="2" t="inlineStr"/>
    </row>
    <row r="437" ht="15" customHeight="1">
      <c r="A437" t="inlineStr">
        <is>
          <t>A 57783-2021</t>
        </is>
      </c>
      <c r="B437" s="1" t="n">
        <v>44484</v>
      </c>
      <c r="C437" s="1" t="n">
        <v>45789</v>
      </c>
      <c r="D437" t="inlineStr">
        <is>
          <t>DALARNAS LÄN</t>
        </is>
      </c>
      <c r="E437" t="inlineStr">
        <is>
          <t>ÄLVDALEN</t>
        </is>
      </c>
      <c r="G437" t="n">
        <v>6.9</v>
      </c>
      <c r="H437" t="n">
        <v>0</v>
      </c>
      <c r="I437" t="n">
        <v>0</v>
      </c>
      <c r="J437" t="n">
        <v>0</v>
      </c>
      <c r="K437" t="n">
        <v>0</v>
      </c>
      <c r="L437" t="n">
        <v>0</v>
      </c>
      <c r="M437" t="n">
        <v>0</v>
      </c>
      <c r="N437" t="n">
        <v>0</v>
      </c>
      <c r="O437" t="n">
        <v>0</v>
      </c>
      <c r="P437" t="n">
        <v>0</v>
      </c>
      <c r="Q437" t="n">
        <v>0</v>
      </c>
      <c r="R437" s="2" t="inlineStr"/>
    </row>
    <row r="438" ht="15" customHeight="1">
      <c r="A438" t="inlineStr">
        <is>
          <t>A 57799-2021</t>
        </is>
      </c>
      <c r="B438" s="1" t="n">
        <v>44484</v>
      </c>
      <c r="C438" s="1" t="n">
        <v>45789</v>
      </c>
      <c r="D438" t="inlineStr">
        <is>
          <t>DALARNAS LÄN</t>
        </is>
      </c>
      <c r="E438" t="inlineStr">
        <is>
          <t>ÄLVDALEN</t>
        </is>
      </c>
      <c r="F438" t="inlineStr">
        <is>
          <t>Allmännings- och besparingsskogar</t>
        </is>
      </c>
      <c r="G438" t="n">
        <v>18.7</v>
      </c>
      <c r="H438" t="n">
        <v>0</v>
      </c>
      <c r="I438" t="n">
        <v>0</v>
      </c>
      <c r="J438" t="n">
        <v>0</v>
      </c>
      <c r="K438" t="n">
        <v>0</v>
      </c>
      <c r="L438" t="n">
        <v>0</v>
      </c>
      <c r="M438" t="n">
        <v>0</v>
      </c>
      <c r="N438" t="n">
        <v>0</v>
      </c>
      <c r="O438" t="n">
        <v>0</v>
      </c>
      <c r="P438" t="n">
        <v>0</v>
      </c>
      <c r="Q438" t="n">
        <v>0</v>
      </c>
      <c r="R438" s="2" t="inlineStr"/>
    </row>
    <row r="439" ht="15" customHeight="1">
      <c r="A439" t="inlineStr">
        <is>
          <t>A 58509-2021</t>
        </is>
      </c>
      <c r="B439" s="1" t="n">
        <v>44488</v>
      </c>
      <c r="C439" s="1" t="n">
        <v>45789</v>
      </c>
      <c r="D439" t="inlineStr">
        <is>
          <t>DALARNAS LÄN</t>
        </is>
      </c>
      <c r="E439" t="inlineStr">
        <is>
          <t>ÄLVDALEN</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59658-2021</t>
        </is>
      </c>
      <c r="B440" s="1" t="n">
        <v>44494</v>
      </c>
      <c r="C440" s="1" t="n">
        <v>45789</v>
      </c>
      <c r="D440" t="inlineStr">
        <is>
          <t>DALARNAS LÄN</t>
        </is>
      </c>
      <c r="E440" t="inlineStr">
        <is>
          <t>ÄLVDALEN</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60258-2021</t>
        </is>
      </c>
      <c r="B441" s="1" t="n">
        <v>44495</v>
      </c>
      <c r="C441" s="1" t="n">
        <v>45789</v>
      </c>
      <c r="D441" t="inlineStr">
        <is>
          <t>DALARNAS LÄN</t>
        </is>
      </c>
      <c r="E441" t="inlineStr">
        <is>
          <t>ÄLVDALEN</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60265-2021</t>
        </is>
      </c>
      <c r="B442" s="1" t="n">
        <v>44495</v>
      </c>
      <c r="C442" s="1" t="n">
        <v>45789</v>
      </c>
      <c r="D442" t="inlineStr">
        <is>
          <t>DALARNAS LÄN</t>
        </is>
      </c>
      <c r="E442" t="inlineStr">
        <is>
          <t>ÄLVDALEN</t>
        </is>
      </c>
      <c r="F442" t="inlineStr">
        <is>
          <t>Allmännings- och besparingsskogar</t>
        </is>
      </c>
      <c r="G442" t="n">
        <v>10</v>
      </c>
      <c r="H442" t="n">
        <v>0</v>
      </c>
      <c r="I442" t="n">
        <v>0</v>
      </c>
      <c r="J442" t="n">
        <v>0</v>
      </c>
      <c r="K442" t="n">
        <v>0</v>
      </c>
      <c r="L442" t="n">
        <v>0</v>
      </c>
      <c r="M442" t="n">
        <v>0</v>
      </c>
      <c r="N442" t="n">
        <v>0</v>
      </c>
      <c r="O442" t="n">
        <v>0</v>
      </c>
      <c r="P442" t="n">
        <v>0</v>
      </c>
      <c r="Q442" t="n">
        <v>0</v>
      </c>
      <c r="R442" s="2" t="inlineStr"/>
    </row>
    <row r="443" ht="15" customHeight="1">
      <c r="A443" t="inlineStr">
        <is>
          <t>A 60642-2021</t>
        </is>
      </c>
      <c r="B443" s="1" t="n">
        <v>44496</v>
      </c>
      <c r="C443" s="1" t="n">
        <v>45789</v>
      </c>
      <c r="D443" t="inlineStr">
        <is>
          <t>DALARNAS LÄN</t>
        </is>
      </c>
      <c r="E443" t="inlineStr">
        <is>
          <t>ÄLVDALEN</t>
        </is>
      </c>
      <c r="F443" t="inlineStr">
        <is>
          <t>Allmännings- och besparingsskogar</t>
        </is>
      </c>
      <c r="G443" t="n">
        <v>0.9</v>
      </c>
      <c r="H443" t="n">
        <v>0</v>
      </c>
      <c r="I443" t="n">
        <v>0</v>
      </c>
      <c r="J443" t="n">
        <v>0</v>
      </c>
      <c r="K443" t="n">
        <v>0</v>
      </c>
      <c r="L443" t="n">
        <v>0</v>
      </c>
      <c r="M443" t="n">
        <v>0</v>
      </c>
      <c r="N443" t="n">
        <v>0</v>
      </c>
      <c r="O443" t="n">
        <v>0</v>
      </c>
      <c r="P443" t="n">
        <v>0</v>
      </c>
      <c r="Q443" t="n">
        <v>0</v>
      </c>
      <c r="R443" s="2" t="inlineStr"/>
    </row>
    <row r="444" ht="15" customHeight="1">
      <c r="A444" t="inlineStr">
        <is>
          <t>A 61315-2021</t>
        </is>
      </c>
      <c r="B444" s="1" t="n">
        <v>44498</v>
      </c>
      <c r="C444" s="1" t="n">
        <v>45789</v>
      </c>
      <c r="D444" t="inlineStr">
        <is>
          <t>DALARNAS LÄN</t>
        </is>
      </c>
      <c r="E444" t="inlineStr">
        <is>
          <t>ÄLVDALEN</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61563-2021</t>
        </is>
      </c>
      <c r="B445" s="1" t="n">
        <v>44501</v>
      </c>
      <c r="C445" s="1" t="n">
        <v>45789</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62024-2021</t>
        </is>
      </c>
      <c r="B446" s="1" t="n">
        <v>44502</v>
      </c>
      <c r="C446" s="1" t="n">
        <v>45789</v>
      </c>
      <c r="D446" t="inlineStr">
        <is>
          <t>DALARNAS LÄN</t>
        </is>
      </c>
      <c r="E446" t="inlineStr">
        <is>
          <t>ÄLVDALEN</t>
        </is>
      </c>
      <c r="G446" t="n">
        <v>3.4</v>
      </c>
      <c r="H446" t="n">
        <v>0</v>
      </c>
      <c r="I446" t="n">
        <v>0</v>
      </c>
      <c r="J446" t="n">
        <v>0</v>
      </c>
      <c r="K446" t="n">
        <v>0</v>
      </c>
      <c r="L446" t="n">
        <v>0</v>
      </c>
      <c r="M446" t="n">
        <v>0</v>
      </c>
      <c r="N446" t="n">
        <v>0</v>
      </c>
      <c r="O446" t="n">
        <v>0</v>
      </c>
      <c r="P446" t="n">
        <v>0</v>
      </c>
      <c r="Q446" t="n">
        <v>0</v>
      </c>
      <c r="R446" s="2" t="inlineStr"/>
    </row>
    <row r="447" ht="15" customHeight="1">
      <c r="A447" t="inlineStr">
        <is>
          <t>A 62643-2021</t>
        </is>
      </c>
      <c r="B447" s="1" t="n">
        <v>44503</v>
      </c>
      <c r="C447" s="1" t="n">
        <v>45789</v>
      </c>
      <c r="D447" t="inlineStr">
        <is>
          <t>DALARNAS LÄN</t>
        </is>
      </c>
      <c r="E447" t="inlineStr">
        <is>
          <t>ÄLVDALEN</t>
        </is>
      </c>
      <c r="F447" t="inlineStr">
        <is>
          <t>Sveaskog</t>
        </is>
      </c>
      <c r="G447" t="n">
        <v>48.7</v>
      </c>
      <c r="H447" t="n">
        <v>0</v>
      </c>
      <c r="I447" t="n">
        <v>0</v>
      </c>
      <c r="J447" t="n">
        <v>0</v>
      </c>
      <c r="K447" t="n">
        <v>0</v>
      </c>
      <c r="L447" t="n">
        <v>0</v>
      </c>
      <c r="M447" t="n">
        <v>0</v>
      </c>
      <c r="N447" t="n">
        <v>0</v>
      </c>
      <c r="O447" t="n">
        <v>0</v>
      </c>
      <c r="P447" t="n">
        <v>0</v>
      </c>
      <c r="Q447" t="n">
        <v>0</v>
      </c>
      <c r="R447" s="2" t="inlineStr"/>
    </row>
    <row r="448" ht="15" customHeight="1">
      <c r="A448" t="inlineStr">
        <is>
          <t>A 62680-2021</t>
        </is>
      </c>
      <c r="B448" s="1" t="n">
        <v>44504</v>
      </c>
      <c r="C448" s="1" t="n">
        <v>45789</v>
      </c>
      <c r="D448" t="inlineStr">
        <is>
          <t>DALARNAS LÄN</t>
        </is>
      </c>
      <c r="E448" t="inlineStr">
        <is>
          <t>ÄLVDALEN</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63079-2021</t>
        </is>
      </c>
      <c r="B449" s="1" t="n">
        <v>44505</v>
      </c>
      <c r="C449" s="1" t="n">
        <v>45789</v>
      </c>
      <c r="D449" t="inlineStr">
        <is>
          <t>DALARNAS LÄN</t>
        </is>
      </c>
      <c r="E449" t="inlineStr">
        <is>
          <t>ÄLVDALEN</t>
        </is>
      </c>
      <c r="F449" t="inlineStr">
        <is>
          <t>Bergvik skog väst AB</t>
        </is>
      </c>
      <c r="G449" t="n">
        <v>4</v>
      </c>
      <c r="H449" t="n">
        <v>0</v>
      </c>
      <c r="I449" t="n">
        <v>0</v>
      </c>
      <c r="J449" t="n">
        <v>0</v>
      </c>
      <c r="K449" t="n">
        <v>0</v>
      </c>
      <c r="L449" t="n">
        <v>0</v>
      </c>
      <c r="M449" t="n">
        <v>0</v>
      </c>
      <c r="N449" t="n">
        <v>0</v>
      </c>
      <c r="O449" t="n">
        <v>0</v>
      </c>
      <c r="P449" t="n">
        <v>0</v>
      </c>
      <c r="Q449" t="n">
        <v>0</v>
      </c>
      <c r="R449" s="2" t="inlineStr"/>
    </row>
    <row r="450" ht="15" customHeight="1">
      <c r="A450" t="inlineStr">
        <is>
          <t>A 63114-2021</t>
        </is>
      </c>
      <c r="B450" s="1" t="n">
        <v>44505</v>
      </c>
      <c r="C450" s="1" t="n">
        <v>45789</v>
      </c>
      <c r="D450" t="inlineStr">
        <is>
          <t>DALARNAS LÄN</t>
        </is>
      </c>
      <c r="E450" t="inlineStr">
        <is>
          <t>ÄLVDALEN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63120-2021</t>
        </is>
      </c>
      <c r="B451" s="1" t="n">
        <v>44505</v>
      </c>
      <c r="C451" s="1" t="n">
        <v>45789</v>
      </c>
      <c r="D451" t="inlineStr">
        <is>
          <t>DALARNAS LÄN</t>
        </is>
      </c>
      <c r="E451" t="inlineStr">
        <is>
          <t>ÄLVDALEN</t>
        </is>
      </c>
      <c r="F451" t="inlineStr">
        <is>
          <t>Bergvik skog väst AB</t>
        </is>
      </c>
      <c r="G451" t="n">
        <v>18.6</v>
      </c>
      <c r="H451" t="n">
        <v>0</v>
      </c>
      <c r="I451" t="n">
        <v>0</v>
      </c>
      <c r="J451" t="n">
        <v>0</v>
      </c>
      <c r="K451" t="n">
        <v>0</v>
      </c>
      <c r="L451" t="n">
        <v>0</v>
      </c>
      <c r="M451" t="n">
        <v>0</v>
      </c>
      <c r="N451" t="n">
        <v>0</v>
      </c>
      <c r="O451" t="n">
        <v>0</v>
      </c>
      <c r="P451" t="n">
        <v>0</v>
      </c>
      <c r="Q451" t="n">
        <v>0</v>
      </c>
      <c r="R451" s="2" t="inlineStr"/>
    </row>
    <row r="452" ht="15" customHeight="1">
      <c r="A452" t="inlineStr">
        <is>
          <t>A 63273-2021</t>
        </is>
      </c>
      <c r="B452" s="1" t="n">
        <v>44508</v>
      </c>
      <c r="C452" s="1" t="n">
        <v>45789</v>
      </c>
      <c r="D452" t="inlineStr">
        <is>
          <t>DALARNAS LÄN</t>
        </is>
      </c>
      <c r="E452" t="inlineStr">
        <is>
          <t>ÄLVDALEN</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63242-2021</t>
        </is>
      </c>
      <c r="B453" s="1" t="n">
        <v>44508</v>
      </c>
      <c r="C453" s="1" t="n">
        <v>45789</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63250-2021</t>
        </is>
      </c>
      <c r="B454" s="1" t="n">
        <v>44508</v>
      </c>
      <c r="C454" s="1" t="n">
        <v>45789</v>
      </c>
      <c r="D454" t="inlineStr">
        <is>
          <t>DALARNAS LÄN</t>
        </is>
      </c>
      <c r="E454" t="inlineStr">
        <is>
          <t>ÄLVDALEN</t>
        </is>
      </c>
      <c r="G454" t="n">
        <v>2.2</v>
      </c>
      <c r="H454" t="n">
        <v>0</v>
      </c>
      <c r="I454" t="n">
        <v>0</v>
      </c>
      <c r="J454" t="n">
        <v>0</v>
      </c>
      <c r="K454" t="n">
        <v>0</v>
      </c>
      <c r="L454" t="n">
        <v>0</v>
      </c>
      <c r="M454" t="n">
        <v>0</v>
      </c>
      <c r="N454" t="n">
        <v>0</v>
      </c>
      <c r="O454" t="n">
        <v>0</v>
      </c>
      <c r="P454" t="n">
        <v>0</v>
      </c>
      <c r="Q454" t="n">
        <v>0</v>
      </c>
      <c r="R454" s="2" t="inlineStr"/>
    </row>
    <row r="455" ht="15" customHeight="1">
      <c r="A455" t="inlineStr">
        <is>
          <t>A 63325-2021</t>
        </is>
      </c>
      <c r="B455" s="1" t="n">
        <v>44508</v>
      </c>
      <c r="C455" s="1" t="n">
        <v>45789</v>
      </c>
      <c r="D455" t="inlineStr">
        <is>
          <t>DALARNAS LÄN</t>
        </is>
      </c>
      <c r="E455" t="inlineStr">
        <is>
          <t>ÄLVDALEN</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66634-2021</t>
        </is>
      </c>
      <c r="B456" s="1" t="n">
        <v>44519</v>
      </c>
      <c r="C456" s="1" t="n">
        <v>45789</v>
      </c>
      <c r="D456" t="inlineStr">
        <is>
          <t>DALARNAS LÄN</t>
        </is>
      </c>
      <c r="E456" t="inlineStr">
        <is>
          <t>ÄLVDALEN</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66887-2021</t>
        </is>
      </c>
      <c r="B457" s="1" t="n">
        <v>44522</v>
      </c>
      <c r="C457" s="1" t="n">
        <v>45789</v>
      </c>
      <c r="D457" t="inlineStr">
        <is>
          <t>DALARNAS LÄN</t>
        </is>
      </c>
      <c r="E457" t="inlineStr">
        <is>
          <t>ÄLVDALEN</t>
        </is>
      </c>
      <c r="G457" t="n">
        <v>1.8</v>
      </c>
      <c r="H457" t="n">
        <v>0</v>
      </c>
      <c r="I457" t="n">
        <v>0</v>
      </c>
      <c r="J457" t="n">
        <v>0</v>
      </c>
      <c r="K457" t="n">
        <v>0</v>
      </c>
      <c r="L457" t="n">
        <v>0</v>
      </c>
      <c r="M457" t="n">
        <v>0</v>
      </c>
      <c r="N457" t="n">
        <v>0</v>
      </c>
      <c r="O457" t="n">
        <v>0</v>
      </c>
      <c r="P457" t="n">
        <v>0</v>
      </c>
      <c r="Q457" t="n">
        <v>0</v>
      </c>
      <c r="R457" s="2" t="inlineStr"/>
    </row>
    <row r="458" ht="15" customHeight="1">
      <c r="A458" t="inlineStr">
        <is>
          <t>A 68204-2021</t>
        </is>
      </c>
      <c r="B458" s="1" t="n">
        <v>44526</v>
      </c>
      <c r="C458" s="1" t="n">
        <v>45789</v>
      </c>
      <c r="D458" t="inlineStr">
        <is>
          <t>DALARNAS LÄN</t>
        </is>
      </c>
      <c r="E458" t="inlineStr">
        <is>
          <t>ÄLVDALEN</t>
        </is>
      </c>
      <c r="F458" t="inlineStr">
        <is>
          <t>Kyrkan</t>
        </is>
      </c>
      <c r="G458" t="n">
        <v>5</v>
      </c>
      <c r="H458" t="n">
        <v>0</v>
      </c>
      <c r="I458" t="n">
        <v>0</v>
      </c>
      <c r="J458" t="n">
        <v>0</v>
      </c>
      <c r="K458" t="n">
        <v>0</v>
      </c>
      <c r="L458" t="n">
        <v>0</v>
      </c>
      <c r="M458" t="n">
        <v>0</v>
      </c>
      <c r="N458" t="n">
        <v>0</v>
      </c>
      <c r="O458" t="n">
        <v>0</v>
      </c>
      <c r="P458" t="n">
        <v>0</v>
      </c>
      <c r="Q458" t="n">
        <v>0</v>
      </c>
      <c r="R458" s="2" t="inlineStr"/>
    </row>
    <row r="459" ht="15" customHeight="1">
      <c r="A459" t="inlineStr">
        <is>
          <t>A 68219-2021</t>
        </is>
      </c>
      <c r="B459" s="1" t="n">
        <v>44526</v>
      </c>
      <c r="C459" s="1" t="n">
        <v>45789</v>
      </c>
      <c r="D459" t="inlineStr">
        <is>
          <t>DALARNAS LÄN</t>
        </is>
      </c>
      <c r="E459" t="inlineStr">
        <is>
          <t>ÄLVDALEN</t>
        </is>
      </c>
      <c r="F459" t="inlineStr">
        <is>
          <t>Kyrkan</t>
        </is>
      </c>
      <c r="G459" t="n">
        <v>2.7</v>
      </c>
      <c r="H459" t="n">
        <v>0</v>
      </c>
      <c r="I459" t="n">
        <v>0</v>
      </c>
      <c r="J459" t="n">
        <v>0</v>
      </c>
      <c r="K459" t="n">
        <v>0</v>
      </c>
      <c r="L459" t="n">
        <v>0</v>
      </c>
      <c r="M459" t="n">
        <v>0</v>
      </c>
      <c r="N459" t="n">
        <v>0</v>
      </c>
      <c r="O459" t="n">
        <v>0</v>
      </c>
      <c r="P459" t="n">
        <v>0</v>
      </c>
      <c r="Q459" t="n">
        <v>0</v>
      </c>
      <c r="R459" s="2" t="inlineStr"/>
    </row>
    <row r="460" ht="15" customHeight="1">
      <c r="A460" t="inlineStr">
        <is>
          <t>A 68383-2021</t>
        </is>
      </c>
      <c r="B460" s="1" t="n">
        <v>44529</v>
      </c>
      <c r="C460" s="1" t="n">
        <v>45789</v>
      </c>
      <c r="D460" t="inlineStr">
        <is>
          <t>DALARNAS LÄN</t>
        </is>
      </c>
      <c r="E460" t="inlineStr">
        <is>
          <t>ÄLVDALEN</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70140-2021</t>
        </is>
      </c>
      <c r="B461" s="1" t="n">
        <v>44533</v>
      </c>
      <c r="C461" s="1" t="n">
        <v>45789</v>
      </c>
      <c r="D461" t="inlineStr">
        <is>
          <t>DALARNAS LÄN</t>
        </is>
      </c>
      <c r="E461" t="inlineStr">
        <is>
          <t>ÄLVDALEN</t>
        </is>
      </c>
      <c r="G461" t="n">
        <v>2.5</v>
      </c>
      <c r="H461" t="n">
        <v>0</v>
      </c>
      <c r="I461" t="n">
        <v>0</v>
      </c>
      <c r="J461" t="n">
        <v>0</v>
      </c>
      <c r="K461" t="n">
        <v>0</v>
      </c>
      <c r="L461" t="n">
        <v>0</v>
      </c>
      <c r="M461" t="n">
        <v>0</v>
      </c>
      <c r="N461" t="n">
        <v>0</v>
      </c>
      <c r="O461" t="n">
        <v>0</v>
      </c>
      <c r="P461" t="n">
        <v>0</v>
      </c>
      <c r="Q461" t="n">
        <v>0</v>
      </c>
      <c r="R461" s="2" t="inlineStr"/>
    </row>
    <row r="462" ht="15" customHeight="1">
      <c r="A462" t="inlineStr">
        <is>
          <t>A 70252-2021</t>
        </is>
      </c>
      <c r="B462" s="1" t="n">
        <v>44536</v>
      </c>
      <c r="C462" s="1" t="n">
        <v>45789</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70990-2021</t>
        </is>
      </c>
      <c r="B463" s="1" t="n">
        <v>44538</v>
      </c>
      <c r="C463" s="1" t="n">
        <v>45789</v>
      </c>
      <c r="D463" t="inlineStr">
        <is>
          <t>DALARNAS LÄN</t>
        </is>
      </c>
      <c r="E463" t="inlineStr">
        <is>
          <t>ÄLVDALEN</t>
        </is>
      </c>
      <c r="F463" t="inlineStr">
        <is>
          <t>Kyrkan</t>
        </is>
      </c>
      <c r="G463" t="n">
        <v>3.5</v>
      </c>
      <c r="H463" t="n">
        <v>0</v>
      </c>
      <c r="I463" t="n">
        <v>0</v>
      </c>
      <c r="J463" t="n">
        <v>0</v>
      </c>
      <c r="K463" t="n">
        <v>0</v>
      </c>
      <c r="L463" t="n">
        <v>0</v>
      </c>
      <c r="M463" t="n">
        <v>0</v>
      </c>
      <c r="N463" t="n">
        <v>0</v>
      </c>
      <c r="O463" t="n">
        <v>0</v>
      </c>
      <c r="P463" t="n">
        <v>0</v>
      </c>
      <c r="Q463" t="n">
        <v>0</v>
      </c>
      <c r="R463" s="2" t="inlineStr"/>
    </row>
    <row r="464" ht="15" customHeight="1">
      <c r="A464" t="inlineStr">
        <is>
          <t>A 71282-2021</t>
        </is>
      </c>
      <c r="B464" s="1" t="n">
        <v>44539</v>
      </c>
      <c r="C464" s="1" t="n">
        <v>45789</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72813-2021</t>
        </is>
      </c>
      <c r="B465" s="1" t="n">
        <v>44546</v>
      </c>
      <c r="C465" s="1" t="n">
        <v>45789</v>
      </c>
      <c r="D465" t="inlineStr">
        <is>
          <t>DALARNAS LÄN</t>
        </is>
      </c>
      <c r="E465" t="inlineStr">
        <is>
          <t>ÄLVDALEN</t>
        </is>
      </c>
      <c r="G465" t="n">
        <v>4.2</v>
      </c>
      <c r="H465" t="n">
        <v>0</v>
      </c>
      <c r="I465" t="n">
        <v>0</v>
      </c>
      <c r="J465" t="n">
        <v>0</v>
      </c>
      <c r="K465" t="n">
        <v>0</v>
      </c>
      <c r="L465" t="n">
        <v>0</v>
      </c>
      <c r="M465" t="n">
        <v>0</v>
      </c>
      <c r="N465" t="n">
        <v>0</v>
      </c>
      <c r="O465" t="n">
        <v>0</v>
      </c>
      <c r="P465" t="n">
        <v>0</v>
      </c>
      <c r="Q465" t="n">
        <v>0</v>
      </c>
      <c r="R465" s="2" t="inlineStr"/>
    </row>
    <row r="466" ht="15" customHeight="1">
      <c r="A466" t="inlineStr">
        <is>
          <t>A 72846-2021</t>
        </is>
      </c>
      <c r="B466" s="1" t="n">
        <v>44547</v>
      </c>
      <c r="C466" s="1" t="n">
        <v>45789</v>
      </c>
      <c r="D466" t="inlineStr">
        <is>
          <t>DALARNAS LÄN</t>
        </is>
      </c>
      <c r="E466" t="inlineStr">
        <is>
          <t>ÄLVDALEN</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73691-2021</t>
        </is>
      </c>
      <c r="B467" s="1" t="n">
        <v>44552</v>
      </c>
      <c r="C467" s="1" t="n">
        <v>45789</v>
      </c>
      <c r="D467" t="inlineStr">
        <is>
          <t>DALARNAS LÄN</t>
        </is>
      </c>
      <c r="E467" t="inlineStr">
        <is>
          <t>ÄLVDALEN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73676-2021</t>
        </is>
      </c>
      <c r="B468" s="1" t="n">
        <v>44552</v>
      </c>
      <c r="C468" s="1" t="n">
        <v>45789</v>
      </c>
      <c r="D468" t="inlineStr">
        <is>
          <t>DALARNAS LÄN</t>
        </is>
      </c>
      <c r="E468" t="inlineStr">
        <is>
          <t>ÄLVDALEN</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74322-2021</t>
        </is>
      </c>
      <c r="B469" s="1" t="n">
        <v>44558</v>
      </c>
      <c r="C469" s="1" t="n">
        <v>45789</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74324-2021</t>
        </is>
      </c>
      <c r="B470" s="1" t="n">
        <v>44558</v>
      </c>
      <c r="C470" s="1" t="n">
        <v>45789</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713-2022</t>
        </is>
      </c>
      <c r="B471" s="1" t="n">
        <v>44568</v>
      </c>
      <c r="C471" s="1" t="n">
        <v>45789</v>
      </c>
      <c r="D471" t="inlineStr">
        <is>
          <t>DALARNAS LÄN</t>
        </is>
      </c>
      <c r="E471" t="inlineStr">
        <is>
          <t>ÄLVDALEN</t>
        </is>
      </c>
      <c r="G471" t="n">
        <v>1.6</v>
      </c>
      <c r="H471" t="n">
        <v>0</v>
      </c>
      <c r="I471" t="n">
        <v>0</v>
      </c>
      <c r="J471" t="n">
        <v>0</v>
      </c>
      <c r="K471" t="n">
        <v>0</v>
      </c>
      <c r="L471" t="n">
        <v>0</v>
      </c>
      <c r="M471" t="n">
        <v>0</v>
      </c>
      <c r="N471" t="n">
        <v>0</v>
      </c>
      <c r="O471" t="n">
        <v>0</v>
      </c>
      <c r="P471" t="n">
        <v>0</v>
      </c>
      <c r="Q471" t="n">
        <v>0</v>
      </c>
      <c r="R471" s="2" t="inlineStr"/>
    </row>
    <row r="472" ht="15" customHeight="1">
      <c r="A472" t="inlineStr">
        <is>
          <t>A 5422-2022</t>
        </is>
      </c>
      <c r="B472" s="1" t="n">
        <v>44595</v>
      </c>
      <c r="C472" s="1" t="n">
        <v>45789</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5549-2022</t>
        </is>
      </c>
      <c r="B473" s="1" t="n">
        <v>44595</v>
      </c>
      <c r="C473" s="1" t="n">
        <v>45789</v>
      </c>
      <c r="D473" t="inlineStr">
        <is>
          <t>DALARNAS LÄN</t>
        </is>
      </c>
      <c r="E473" t="inlineStr">
        <is>
          <t>ÄLVDALEN</t>
        </is>
      </c>
      <c r="F473" t="inlineStr">
        <is>
          <t>Allmännings- och besparingsskogar</t>
        </is>
      </c>
      <c r="G473" t="n">
        <v>3.2</v>
      </c>
      <c r="H473" t="n">
        <v>0</v>
      </c>
      <c r="I473" t="n">
        <v>0</v>
      </c>
      <c r="J473" t="n">
        <v>0</v>
      </c>
      <c r="K473" t="n">
        <v>0</v>
      </c>
      <c r="L473" t="n">
        <v>0</v>
      </c>
      <c r="M473" t="n">
        <v>0</v>
      </c>
      <c r="N473" t="n">
        <v>0</v>
      </c>
      <c r="O473" t="n">
        <v>0</v>
      </c>
      <c r="P473" t="n">
        <v>0</v>
      </c>
      <c r="Q473" t="n">
        <v>0</v>
      </c>
      <c r="R473" s="2" t="inlineStr"/>
    </row>
    <row r="474" ht="15" customHeight="1">
      <c r="A474" t="inlineStr">
        <is>
          <t>A 5981-2022</t>
        </is>
      </c>
      <c r="B474" s="1" t="n">
        <v>44599</v>
      </c>
      <c r="C474" s="1" t="n">
        <v>45789</v>
      </c>
      <c r="D474" t="inlineStr">
        <is>
          <t>DALARNAS LÄN</t>
        </is>
      </c>
      <c r="E474" t="inlineStr">
        <is>
          <t>ÄLVDALEN</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6270-2022</t>
        </is>
      </c>
      <c r="B475" s="1" t="n">
        <v>44600</v>
      </c>
      <c r="C475" s="1" t="n">
        <v>45789</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7530-2022</t>
        </is>
      </c>
      <c r="B476" s="1" t="n">
        <v>44607</v>
      </c>
      <c r="C476" s="1" t="n">
        <v>45789</v>
      </c>
      <c r="D476" t="inlineStr">
        <is>
          <t>DALARNAS LÄN</t>
        </is>
      </c>
      <c r="E476" t="inlineStr">
        <is>
          <t>ÄLVDALEN</t>
        </is>
      </c>
      <c r="G476" t="n">
        <v>1.1</v>
      </c>
      <c r="H476" t="n">
        <v>0</v>
      </c>
      <c r="I476" t="n">
        <v>0</v>
      </c>
      <c r="J476" t="n">
        <v>0</v>
      </c>
      <c r="K476" t="n">
        <v>0</v>
      </c>
      <c r="L476" t="n">
        <v>0</v>
      </c>
      <c r="M476" t="n">
        <v>0</v>
      </c>
      <c r="N476" t="n">
        <v>0</v>
      </c>
      <c r="O476" t="n">
        <v>0</v>
      </c>
      <c r="P476" t="n">
        <v>0</v>
      </c>
      <c r="Q476" t="n">
        <v>0</v>
      </c>
      <c r="R476" s="2" t="inlineStr"/>
    </row>
    <row r="477" ht="15" customHeight="1">
      <c r="A477" t="inlineStr">
        <is>
          <t>A 11180-2022</t>
        </is>
      </c>
      <c r="B477" s="1" t="n">
        <v>44629</v>
      </c>
      <c r="C477" s="1" t="n">
        <v>45789</v>
      </c>
      <c r="D477" t="inlineStr">
        <is>
          <t>DALARNAS LÄN</t>
        </is>
      </c>
      <c r="E477" t="inlineStr">
        <is>
          <t>ÄLVDALEN</t>
        </is>
      </c>
      <c r="G477" t="n">
        <v>1.3</v>
      </c>
      <c r="H477" t="n">
        <v>0</v>
      </c>
      <c r="I477" t="n">
        <v>0</v>
      </c>
      <c r="J477" t="n">
        <v>0</v>
      </c>
      <c r="K477" t="n">
        <v>0</v>
      </c>
      <c r="L477" t="n">
        <v>0</v>
      </c>
      <c r="M477" t="n">
        <v>0</v>
      </c>
      <c r="N477" t="n">
        <v>0</v>
      </c>
      <c r="O477" t="n">
        <v>0</v>
      </c>
      <c r="P477" t="n">
        <v>0</v>
      </c>
      <c r="Q477" t="n">
        <v>0</v>
      </c>
      <c r="R477" s="2" t="inlineStr"/>
    </row>
    <row r="478" ht="15" customHeight="1">
      <c r="A478" t="inlineStr">
        <is>
          <t>A 12066-2022</t>
        </is>
      </c>
      <c r="B478" s="1" t="n">
        <v>44636</v>
      </c>
      <c r="C478" s="1" t="n">
        <v>45789</v>
      </c>
      <c r="D478" t="inlineStr">
        <is>
          <t>DALARNAS LÄN</t>
        </is>
      </c>
      <c r="E478" t="inlineStr">
        <is>
          <t>ÄLVDALEN</t>
        </is>
      </c>
      <c r="G478" t="n">
        <v>4.4</v>
      </c>
      <c r="H478" t="n">
        <v>0</v>
      </c>
      <c r="I478" t="n">
        <v>0</v>
      </c>
      <c r="J478" t="n">
        <v>0</v>
      </c>
      <c r="K478" t="n">
        <v>0</v>
      </c>
      <c r="L478" t="n">
        <v>0</v>
      </c>
      <c r="M478" t="n">
        <v>0</v>
      </c>
      <c r="N478" t="n">
        <v>0</v>
      </c>
      <c r="O478" t="n">
        <v>0</v>
      </c>
      <c r="P478" t="n">
        <v>0</v>
      </c>
      <c r="Q478" t="n">
        <v>0</v>
      </c>
      <c r="R478" s="2" t="inlineStr"/>
    </row>
    <row r="479" ht="15" customHeight="1">
      <c r="A479" t="inlineStr">
        <is>
          <t>A 12995-2022</t>
        </is>
      </c>
      <c r="B479" s="1" t="n">
        <v>44643</v>
      </c>
      <c r="C479" s="1" t="n">
        <v>45789</v>
      </c>
      <c r="D479" t="inlineStr">
        <is>
          <t>DALARNAS LÄN</t>
        </is>
      </c>
      <c r="E479" t="inlineStr">
        <is>
          <t>ÄLVDALEN</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13000-2022</t>
        </is>
      </c>
      <c r="B480" s="1" t="n">
        <v>44643</v>
      </c>
      <c r="C480" s="1" t="n">
        <v>45789</v>
      </c>
      <c r="D480" t="inlineStr">
        <is>
          <t>DALARNAS LÄN</t>
        </is>
      </c>
      <c r="E480" t="inlineStr">
        <is>
          <t>ÄLVDALEN</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14089-2022</t>
        </is>
      </c>
      <c r="B481" s="1" t="n">
        <v>44651</v>
      </c>
      <c r="C481" s="1" t="n">
        <v>45789</v>
      </c>
      <c r="D481" t="inlineStr">
        <is>
          <t>DALARNAS LÄN</t>
        </is>
      </c>
      <c r="E481" t="inlineStr">
        <is>
          <t>ÄLVDALEN</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14235-2022</t>
        </is>
      </c>
      <c r="B482" s="1" t="n">
        <v>44651</v>
      </c>
      <c r="C482" s="1" t="n">
        <v>45789</v>
      </c>
      <c r="D482" t="inlineStr">
        <is>
          <t>DALARNAS LÄN</t>
        </is>
      </c>
      <c r="E482" t="inlineStr">
        <is>
          <t>ÄLVDALEN</t>
        </is>
      </c>
      <c r="G482" t="n">
        <v>1.1</v>
      </c>
      <c r="H482" t="n">
        <v>0</v>
      </c>
      <c r="I482" t="n">
        <v>0</v>
      </c>
      <c r="J482" t="n">
        <v>0</v>
      </c>
      <c r="K482" t="n">
        <v>0</v>
      </c>
      <c r="L482" t="n">
        <v>0</v>
      </c>
      <c r="M482" t="n">
        <v>0</v>
      </c>
      <c r="N482" t="n">
        <v>0</v>
      </c>
      <c r="O482" t="n">
        <v>0</v>
      </c>
      <c r="P482" t="n">
        <v>0</v>
      </c>
      <c r="Q482" t="n">
        <v>0</v>
      </c>
      <c r="R482" s="2" t="inlineStr"/>
    </row>
    <row r="483" ht="15" customHeight="1">
      <c r="A483" t="inlineStr">
        <is>
          <t>A 14795-2022</t>
        </is>
      </c>
      <c r="B483" s="1" t="n">
        <v>44656</v>
      </c>
      <c r="C483" s="1" t="n">
        <v>45789</v>
      </c>
      <c r="D483" t="inlineStr">
        <is>
          <t>DALARNAS LÄN</t>
        </is>
      </c>
      <c r="E483" t="inlineStr">
        <is>
          <t>ÄLVDALEN</t>
        </is>
      </c>
      <c r="F483" t="inlineStr">
        <is>
          <t>Övriga statliga verk och myndigheter</t>
        </is>
      </c>
      <c r="G483" t="n">
        <v>15.9</v>
      </c>
      <c r="H483" t="n">
        <v>0</v>
      </c>
      <c r="I483" t="n">
        <v>0</v>
      </c>
      <c r="J483" t="n">
        <v>0</v>
      </c>
      <c r="K483" t="n">
        <v>0</v>
      </c>
      <c r="L483" t="n">
        <v>0</v>
      </c>
      <c r="M483" t="n">
        <v>0</v>
      </c>
      <c r="N483" t="n">
        <v>0</v>
      </c>
      <c r="O483" t="n">
        <v>0</v>
      </c>
      <c r="P483" t="n">
        <v>0</v>
      </c>
      <c r="Q483" t="n">
        <v>0</v>
      </c>
      <c r="R483" s="2" t="inlineStr"/>
    </row>
    <row r="484" ht="15" customHeight="1">
      <c r="A484" t="inlineStr">
        <is>
          <t>A 15603-2022</t>
        </is>
      </c>
      <c r="B484" s="1" t="n">
        <v>44662</v>
      </c>
      <c r="C484" s="1" t="n">
        <v>45789</v>
      </c>
      <c r="D484" t="inlineStr">
        <is>
          <t>DALARNAS LÄN</t>
        </is>
      </c>
      <c r="E484" t="inlineStr">
        <is>
          <t>ÄLVDALEN</t>
        </is>
      </c>
      <c r="G484" t="n">
        <v>2.6</v>
      </c>
      <c r="H484" t="n">
        <v>0</v>
      </c>
      <c r="I484" t="n">
        <v>0</v>
      </c>
      <c r="J484" t="n">
        <v>0</v>
      </c>
      <c r="K484" t="n">
        <v>0</v>
      </c>
      <c r="L484" t="n">
        <v>0</v>
      </c>
      <c r="M484" t="n">
        <v>0</v>
      </c>
      <c r="N484" t="n">
        <v>0</v>
      </c>
      <c r="O484" t="n">
        <v>0</v>
      </c>
      <c r="P484" t="n">
        <v>0</v>
      </c>
      <c r="Q484" t="n">
        <v>0</v>
      </c>
      <c r="R484" s="2" t="inlineStr"/>
    </row>
    <row r="485" ht="15" customHeight="1">
      <c r="A485" t="inlineStr">
        <is>
          <t>A 17346-2022</t>
        </is>
      </c>
      <c r="B485" s="1" t="n">
        <v>44678</v>
      </c>
      <c r="C485" s="1" t="n">
        <v>45789</v>
      </c>
      <c r="D485" t="inlineStr">
        <is>
          <t>DALARNAS LÄN</t>
        </is>
      </c>
      <c r="E485" t="inlineStr">
        <is>
          <t>ÄLVDALEN</t>
        </is>
      </c>
      <c r="G485" t="n">
        <v>4.4</v>
      </c>
      <c r="H485" t="n">
        <v>0</v>
      </c>
      <c r="I485" t="n">
        <v>0</v>
      </c>
      <c r="J485" t="n">
        <v>0</v>
      </c>
      <c r="K485" t="n">
        <v>0</v>
      </c>
      <c r="L485" t="n">
        <v>0</v>
      </c>
      <c r="M485" t="n">
        <v>0</v>
      </c>
      <c r="N485" t="n">
        <v>0</v>
      </c>
      <c r="O485" t="n">
        <v>0</v>
      </c>
      <c r="P485" t="n">
        <v>0</v>
      </c>
      <c r="Q485" t="n">
        <v>0</v>
      </c>
      <c r="R485" s="2" t="inlineStr"/>
    </row>
    <row r="486" ht="15" customHeight="1">
      <c r="A486" t="inlineStr">
        <is>
          <t>A 17627-2022</t>
        </is>
      </c>
      <c r="B486" s="1" t="n">
        <v>44680</v>
      </c>
      <c r="C486" s="1" t="n">
        <v>45789</v>
      </c>
      <c r="D486" t="inlineStr">
        <is>
          <t>DALARNAS LÄN</t>
        </is>
      </c>
      <c r="E486" t="inlineStr">
        <is>
          <t>ÄLVDALEN</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18436-2022</t>
        </is>
      </c>
      <c r="B487" s="1" t="n">
        <v>44686</v>
      </c>
      <c r="C487" s="1" t="n">
        <v>45789</v>
      </c>
      <c r="D487" t="inlineStr">
        <is>
          <t>DALARNAS LÄN</t>
        </is>
      </c>
      <c r="E487" t="inlineStr">
        <is>
          <t>ÄLVDALEN</t>
        </is>
      </c>
      <c r="G487" t="n">
        <v>6.4</v>
      </c>
      <c r="H487" t="n">
        <v>0</v>
      </c>
      <c r="I487" t="n">
        <v>0</v>
      </c>
      <c r="J487" t="n">
        <v>0</v>
      </c>
      <c r="K487" t="n">
        <v>0</v>
      </c>
      <c r="L487" t="n">
        <v>0</v>
      </c>
      <c r="M487" t="n">
        <v>0</v>
      </c>
      <c r="N487" t="n">
        <v>0</v>
      </c>
      <c r="O487" t="n">
        <v>0</v>
      </c>
      <c r="P487" t="n">
        <v>0</v>
      </c>
      <c r="Q487" t="n">
        <v>0</v>
      </c>
      <c r="R487" s="2" t="inlineStr"/>
    </row>
    <row r="488" ht="15" customHeight="1">
      <c r="A488" t="inlineStr">
        <is>
          <t>A 18911-2022</t>
        </is>
      </c>
      <c r="B488" s="1" t="n">
        <v>44690</v>
      </c>
      <c r="C488" s="1" t="n">
        <v>45789</v>
      </c>
      <c r="D488" t="inlineStr">
        <is>
          <t>DALARNAS LÄN</t>
        </is>
      </c>
      <c r="E488" t="inlineStr">
        <is>
          <t>ÄLVDALEN</t>
        </is>
      </c>
      <c r="G488" t="n">
        <v>4.8</v>
      </c>
      <c r="H488" t="n">
        <v>0</v>
      </c>
      <c r="I488" t="n">
        <v>0</v>
      </c>
      <c r="J488" t="n">
        <v>0</v>
      </c>
      <c r="K488" t="n">
        <v>0</v>
      </c>
      <c r="L488" t="n">
        <v>0</v>
      </c>
      <c r="M488" t="n">
        <v>0</v>
      </c>
      <c r="N488" t="n">
        <v>0</v>
      </c>
      <c r="O488" t="n">
        <v>0</v>
      </c>
      <c r="P488" t="n">
        <v>0</v>
      </c>
      <c r="Q488" t="n">
        <v>0</v>
      </c>
      <c r="R488" s="2" t="inlineStr"/>
    </row>
    <row r="489" ht="15" customHeight="1">
      <c r="A489" t="inlineStr">
        <is>
          <t>A 19192-2022</t>
        </is>
      </c>
      <c r="B489" s="1" t="n">
        <v>44691</v>
      </c>
      <c r="C489" s="1" t="n">
        <v>45789</v>
      </c>
      <c r="D489" t="inlineStr">
        <is>
          <t>DALARNAS LÄN</t>
        </is>
      </c>
      <c r="E489" t="inlineStr">
        <is>
          <t>ÄLVDALEN</t>
        </is>
      </c>
      <c r="F489" t="inlineStr">
        <is>
          <t>Allmännings- och besparingsskogar</t>
        </is>
      </c>
      <c r="G489" t="n">
        <v>47.7</v>
      </c>
      <c r="H489" t="n">
        <v>0</v>
      </c>
      <c r="I489" t="n">
        <v>0</v>
      </c>
      <c r="J489" t="n">
        <v>0</v>
      </c>
      <c r="K489" t="n">
        <v>0</v>
      </c>
      <c r="L489" t="n">
        <v>0</v>
      </c>
      <c r="M489" t="n">
        <v>0</v>
      </c>
      <c r="N489" t="n">
        <v>0</v>
      </c>
      <c r="O489" t="n">
        <v>0</v>
      </c>
      <c r="P489" t="n">
        <v>0</v>
      </c>
      <c r="Q489" t="n">
        <v>0</v>
      </c>
      <c r="R489" s="2" t="inlineStr"/>
    </row>
    <row r="490" ht="15" customHeight="1">
      <c r="A490" t="inlineStr">
        <is>
          <t>A 19933-2022</t>
        </is>
      </c>
      <c r="B490" s="1" t="n">
        <v>44697</v>
      </c>
      <c r="C490" s="1" t="n">
        <v>45789</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19939-2022</t>
        </is>
      </c>
      <c r="B491" s="1" t="n">
        <v>44697</v>
      </c>
      <c r="C491" s="1" t="n">
        <v>45789</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19918-2022</t>
        </is>
      </c>
      <c r="B492" s="1" t="n">
        <v>44697</v>
      </c>
      <c r="C492" s="1" t="n">
        <v>45789</v>
      </c>
      <c r="D492" t="inlineStr">
        <is>
          <t>DALARNAS LÄN</t>
        </is>
      </c>
      <c r="E492" t="inlineStr">
        <is>
          <t>ÄLVDALEN</t>
        </is>
      </c>
      <c r="F492" t="inlineStr">
        <is>
          <t>Sveaskog</t>
        </is>
      </c>
      <c r="G492" t="n">
        <v>20.8</v>
      </c>
      <c r="H492" t="n">
        <v>0</v>
      </c>
      <c r="I492" t="n">
        <v>0</v>
      </c>
      <c r="J492" t="n">
        <v>0</v>
      </c>
      <c r="K492" t="n">
        <v>0</v>
      </c>
      <c r="L492" t="n">
        <v>0</v>
      </c>
      <c r="M492" t="n">
        <v>0</v>
      </c>
      <c r="N492" t="n">
        <v>0</v>
      </c>
      <c r="O492" t="n">
        <v>0</v>
      </c>
      <c r="P492" t="n">
        <v>0</v>
      </c>
      <c r="Q492" t="n">
        <v>0</v>
      </c>
      <c r="R492" s="2" t="inlineStr"/>
    </row>
    <row r="493" ht="15" customHeight="1">
      <c r="A493" t="inlineStr">
        <is>
          <t>A 20561-2022</t>
        </is>
      </c>
      <c r="B493" s="1" t="n">
        <v>44700</v>
      </c>
      <c r="C493" s="1" t="n">
        <v>45789</v>
      </c>
      <c r="D493" t="inlineStr">
        <is>
          <t>DALARNAS LÄN</t>
        </is>
      </c>
      <c r="E493" t="inlineStr">
        <is>
          <t>ÄLVDALEN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21280-2022</t>
        </is>
      </c>
      <c r="B494" s="1" t="n">
        <v>44705</v>
      </c>
      <c r="C494" s="1" t="n">
        <v>45789</v>
      </c>
      <c r="D494" t="inlineStr">
        <is>
          <t>DALARNAS LÄN</t>
        </is>
      </c>
      <c r="E494" t="inlineStr">
        <is>
          <t>ÄLVDALEN</t>
        </is>
      </c>
      <c r="G494" t="n">
        <v>4.5</v>
      </c>
      <c r="H494" t="n">
        <v>0</v>
      </c>
      <c r="I494" t="n">
        <v>0</v>
      </c>
      <c r="J494" t="n">
        <v>0</v>
      </c>
      <c r="K494" t="n">
        <v>0</v>
      </c>
      <c r="L494" t="n">
        <v>0</v>
      </c>
      <c r="M494" t="n">
        <v>0</v>
      </c>
      <c r="N494" t="n">
        <v>0</v>
      </c>
      <c r="O494" t="n">
        <v>0</v>
      </c>
      <c r="P494" t="n">
        <v>0</v>
      </c>
      <c r="Q494" t="n">
        <v>0</v>
      </c>
      <c r="R494" s="2" t="inlineStr"/>
    </row>
    <row r="495" ht="15" customHeight="1">
      <c r="A495" t="inlineStr">
        <is>
          <t>A 21279-2022</t>
        </is>
      </c>
      <c r="B495" s="1" t="n">
        <v>44705</v>
      </c>
      <c r="C495" s="1" t="n">
        <v>45789</v>
      </c>
      <c r="D495" t="inlineStr">
        <is>
          <t>DALARNAS LÄN</t>
        </is>
      </c>
      <c r="E495" t="inlineStr">
        <is>
          <t>ÄLVDALEN</t>
        </is>
      </c>
      <c r="G495" t="n">
        <v>4.6</v>
      </c>
      <c r="H495" t="n">
        <v>0</v>
      </c>
      <c r="I495" t="n">
        <v>0</v>
      </c>
      <c r="J495" t="n">
        <v>0</v>
      </c>
      <c r="K495" t="n">
        <v>0</v>
      </c>
      <c r="L495" t="n">
        <v>0</v>
      </c>
      <c r="M495" t="n">
        <v>0</v>
      </c>
      <c r="N495" t="n">
        <v>0</v>
      </c>
      <c r="O495" t="n">
        <v>0</v>
      </c>
      <c r="P495" t="n">
        <v>0</v>
      </c>
      <c r="Q495" t="n">
        <v>0</v>
      </c>
      <c r="R495" s="2" t="inlineStr"/>
    </row>
    <row r="496" ht="15" customHeight="1">
      <c r="A496" t="inlineStr">
        <is>
          <t>A 21630-2022</t>
        </is>
      </c>
      <c r="B496" s="1" t="n">
        <v>44706</v>
      </c>
      <c r="C496" s="1" t="n">
        <v>45789</v>
      </c>
      <c r="D496" t="inlineStr">
        <is>
          <t>DALARNAS LÄN</t>
        </is>
      </c>
      <c r="E496" t="inlineStr">
        <is>
          <t>ÄLVDALEN</t>
        </is>
      </c>
      <c r="F496" t="inlineStr">
        <is>
          <t>Övriga statliga verk och myndigheter</t>
        </is>
      </c>
      <c r="G496" t="n">
        <v>5.2</v>
      </c>
      <c r="H496" t="n">
        <v>0</v>
      </c>
      <c r="I496" t="n">
        <v>0</v>
      </c>
      <c r="J496" t="n">
        <v>0</v>
      </c>
      <c r="K496" t="n">
        <v>0</v>
      </c>
      <c r="L496" t="n">
        <v>0</v>
      </c>
      <c r="M496" t="n">
        <v>0</v>
      </c>
      <c r="N496" t="n">
        <v>0</v>
      </c>
      <c r="O496" t="n">
        <v>0</v>
      </c>
      <c r="P496" t="n">
        <v>0</v>
      </c>
      <c r="Q496" t="n">
        <v>0</v>
      </c>
      <c r="R496" s="2" t="inlineStr"/>
    </row>
    <row r="497" ht="15" customHeight="1">
      <c r="A497" t="inlineStr">
        <is>
          <t>A 22063-2022</t>
        </is>
      </c>
      <c r="B497" s="1" t="n">
        <v>44711</v>
      </c>
      <c r="C497" s="1" t="n">
        <v>45789</v>
      </c>
      <c r="D497" t="inlineStr">
        <is>
          <t>DALARNAS LÄN</t>
        </is>
      </c>
      <c r="E497" t="inlineStr">
        <is>
          <t>ÄLVDALEN</t>
        </is>
      </c>
      <c r="F497" t="inlineStr">
        <is>
          <t>Bergvik skog väst AB</t>
        </is>
      </c>
      <c r="G497" t="n">
        <v>2.7</v>
      </c>
      <c r="H497" t="n">
        <v>0</v>
      </c>
      <c r="I497" t="n">
        <v>0</v>
      </c>
      <c r="J497" t="n">
        <v>0</v>
      </c>
      <c r="K497" t="n">
        <v>0</v>
      </c>
      <c r="L497" t="n">
        <v>0</v>
      </c>
      <c r="M497" t="n">
        <v>0</v>
      </c>
      <c r="N497" t="n">
        <v>0</v>
      </c>
      <c r="O497" t="n">
        <v>0</v>
      </c>
      <c r="P497" t="n">
        <v>0</v>
      </c>
      <c r="Q497" t="n">
        <v>0</v>
      </c>
      <c r="R497" s="2" t="inlineStr"/>
    </row>
    <row r="498" ht="15" customHeight="1">
      <c r="A498" t="inlineStr">
        <is>
          <t>A 22062-2022</t>
        </is>
      </c>
      <c r="B498" s="1" t="n">
        <v>44711</v>
      </c>
      <c r="C498" s="1" t="n">
        <v>45789</v>
      </c>
      <c r="D498" t="inlineStr">
        <is>
          <t>DALARNAS LÄN</t>
        </is>
      </c>
      <c r="E498" t="inlineStr">
        <is>
          <t>ÄLVDALEN</t>
        </is>
      </c>
      <c r="F498" t="inlineStr">
        <is>
          <t>Bergvik skog väst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25162-2022</t>
        </is>
      </c>
      <c r="B499" s="1" t="n">
        <v>44729</v>
      </c>
      <c r="C499" s="1" t="n">
        <v>45789</v>
      </c>
      <c r="D499" t="inlineStr">
        <is>
          <t>DALARNAS LÄN</t>
        </is>
      </c>
      <c r="E499" t="inlineStr">
        <is>
          <t>ÄLVDALEN</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25121-2022</t>
        </is>
      </c>
      <c r="B500" s="1" t="n">
        <v>44729</v>
      </c>
      <c r="C500" s="1" t="n">
        <v>45789</v>
      </c>
      <c r="D500" t="inlineStr">
        <is>
          <t>DALARNAS LÄN</t>
        </is>
      </c>
      <c r="E500" t="inlineStr">
        <is>
          <t>ÄLVDALEN</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25602-2022</t>
        </is>
      </c>
      <c r="B501" s="1" t="n">
        <v>44732</v>
      </c>
      <c r="C501" s="1" t="n">
        <v>45789</v>
      </c>
      <c r="D501" t="inlineStr">
        <is>
          <t>DALARNAS LÄN</t>
        </is>
      </c>
      <c r="E501" t="inlineStr">
        <is>
          <t>ÄLVDALEN</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26622-2022</t>
        </is>
      </c>
      <c r="B502" s="1" t="n">
        <v>44739</v>
      </c>
      <c r="C502" s="1" t="n">
        <v>45789</v>
      </c>
      <c r="D502" t="inlineStr">
        <is>
          <t>DALARNAS LÄN</t>
        </is>
      </c>
      <c r="E502" t="inlineStr">
        <is>
          <t>ÄLVDALEN</t>
        </is>
      </c>
      <c r="F502" t="inlineStr">
        <is>
          <t>Allmännings- och besparingsskogar</t>
        </is>
      </c>
      <c r="G502" t="n">
        <v>10</v>
      </c>
      <c r="H502" t="n">
        <v>0</v>
      </c>
      <c r="I502" t="n">
        <v>0</v>
      </c>
      <c r="J502" t="n">
        <v>0</v>
      </c>
      <c r="K502" t="n">
        <v>0</v>
      </c>
      <c r="L502" t="n">
        <v>0</v>
      </c>
      <c r="M502" t="n">
        <v>0</v>
      </c>
      <c r="N502" t="n">
        <v>0</v>
      </c>
      <c r="O502" t="n">
        <v>0</v>
      </c>
      <c r="P502" t="n">
        <v>0</v>
      </c>
      <c r="Q502" t="n">
        <v>0</v>
      </c>
      <c r="R502" s="2" t="inlineStr"/>
    </row>
    <row r="503" ht="15" customHeight="1">
      <c r="A503" t="inlineStr">
        <is>
          <t>A 27480-2022</t>
        </is>
      </c>
      <c r="B503" s="1" t="n">
        <v>44742</v>
      </c>
      <c r="C503" s="1" t="n">
        <v>45789</v>
      </c>
      <c r="D503" t="inlineStr">
        <is>
          <t>DALARNAS LÄN</t>
        </is>
      </c>
      <c r="E503" t="inlineStr">
        <is>
          <t>ÄLVDALEN</t>
        </is>
      </c>
      <c r="F503" t="inlineStr">
        <is>
          <t>Bergvik skog väst AB</t>
        </is>
      </c>
      <c r="G503" t="n">
        <v>4.1</v>
      </c>
      <c r="H503" t="n">
        <v>0</v>
      </c>
      <c r="I503" t="n">
        <v>0</v>
      </c>
      <c r="J503" t="n">
        <v>0</v>
      </c>
      <c r="K503" t="n">
        <v>0</v>
      </c>
      <c r="L503" t="n">
        <v>0</v>
      </c>
      <c r="M503" t="n">
        <v>0</v>
      </c>
      <c r="N503" t="n">
        <v>0</v>
      </c>
      <c r="O503" t="n">
        <v>0</v>
      </c>
      <c r="P503" t="n">
        <v>0</v>
      </c>
      <c r="Q503" t="n">
        <v>0</v>
      </c>
      <c r="R503" s="2" t="inlineStr"/>
    </row>
    <row r="504" ht="15" customHeight="1">
      <c r="A504" t="inlineStr">
        <is>
          <t>A 27488-2022</t>
        </is>
      </c>
      <c r="B504" s="1" t="n">
        <v>44742</v>
      </c>
      <c r="C504" s="1" t="n">
        <v>45789</v>
      </c>
      <c r="D504" t="inlineStr">
        <is>
          <t>DALARNAS LÄN</t>
        </is>
      </c>
      <c r="E504" t="inlineStr">
        <is>
          <t>ÄLVDALEN</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29561-2022</t>
        </is>
      </c>
      <c r="B505" s="1" t="n">
        <v>44754</v>
      </c>
      <c r="C505" s="1" t="n">
        <v>45789</v>
      </c>
      <c r="D505" t="inlineStr">
        <is>
          <t>DALARNAS LÄN</t>
        </is>
      </c>
      <c r="E505" t="inlineStr">
        <is>
          <t>ÄLVDALEN</t>
        </is>
      </c>
      <c r="G505" t="n">
        <v>6.6</v>
      </c>
      <c r="H505" t="n">
        <v>0</v>
      </c>
      <c r="I505" t="n">
        <v>0</v>
      </c>
      <c r="J505" t="n">
        <v>0</v>
      </c>
      <c r="K505" t="n">
        <v>0</v>
      </c>
      <c r="L505" t="n">
        <v>0</v>
      </c>
      <c r="M505" t="n">
        <v>0</v>
      </c>
      <c r="N505" t="n">
        <v>0</v>
      </c>
      <c r="O505" t="n">
        <v>0</v>
      </c>
      <c r="P505" t="n">
        <v>0</v>
      </c>
      <c r="Q505" t="n">
        <v>0</v>
      </c>
      <c r="R505" s="2" t="inlineStr"/>
    </row>
    <row r="506" ht="15" customHeight="1">
      <c r="A506" t="inlineStr">
        <is>
          <t>A 29558-2022</t>
        </is>
      </c>
      <c r="B506" s="1" t="n">
        <v>44754</v>
      </c>
      <c r="C506" s="1" t="n">
        <v>45789</v>
      </c>
      <c r="D506" t="inlineStr">
        <is>
          <t>DALARNAS LÄN</t>
        </is>
      </c>
      <c r="E506" t="inlineStr">
        <is>
          <t>ÄLVDALEN</t>
        </is>
      </c>
      <c r="G506" t="n">
        <v>2.5</v>
      </c>
      <c r="H506" t="n">
        <v>0</v>
      </c>
      <c r="I506" t="n">
        <v>0</v>
      </c>
      <c r="J506" t="n">
        <v>0</v>
      </c>
      <c r="K506" t="n">
        <v>0</v>
      </c>
      <c r="L506" t="n">
        <v>0</v>
      </c>
      <c r="M506" t="n">
        <v>0</v>
      </c>
      <c r="N506" t="n">
        <v>0</v>
      </c>
      <c r="O506" t="n">
        <v>0</v>
      </c>
      <c r="P506" t="n">
        <v>0</v>
      </c>
      <c r="Q506" t="n">
        <v>0</v>
      </c>
      <c r="R506" s="2" t="inlineStr"/>
    </row>
    <row r="507" ht="15" customHeight="1">
      <c r="A507" t="inlineStr">
        <is>
          <t>A 29565-2022</t>
        </is>
      </c>
      <c r="B507" s="1" t="n">
        <v>44754</v>
      </c>
      <c r="C507" s="1" t="n">
        <v>45789</v>
      </c>
      <c r="D507" t="inlineStr">
        <is>
          <t>DALARNAS LÄN</t>
        </is>
      </c>
      <c r="E507" t="inlineStr">
        <is>
          <t>ÄLVDALEN</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29566-2022</t>
        </is>
      </c>
      <c r="B508" s="1" t="n">
        <v>44754</v>
      </c>
      <c r="C508" s="1" t="n">
        <v>45789</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29711-2022</t>
        </is>
      </c>
      <c r="B509" s="1" t="n">
        <v>44755</v>
      </c>
      <c r="C509" s="1" t="n">
        <v>45789</v>
      </c>
      <c r="D509" t="inlineStr">
        <is>
          <t>DALARNAS LÄN</t>
        </is>
      </c>
      <c r="E509" t="inlineStr">
        <is>
          <t>ÄLVDALEN</t>
        </is>
      </c>
      <c r="G509" t="n">
        <v>8</v>
      </c>
      <c r="H509" t="n">
        <v>0</v>
      </c>
      <c r="I509" t="n">
        <v>0</v>
      </c>
      <c r="J509" t="n">
        <v>0</v>
      </c>
      <c r="K509" t="n">
        <v>0</v>
      </c>
      <c r="L509" t="n">
        <v>0</v>
      </c>
      <c r="M509" t="n">
        <v>0</v>
      </c>
      <c r="N509" t="n">
        <v>0</v>
      </c>
      <c r="O509" t="n">
        <v>0</v>
      </c>
      <c r="P509" t="n">
        <v>0</v>
      </c>
      <c r="Q509" t="n">
        <v>0</v>
      </c>
      <c r="R509" s="2" t="inlineStr"/>
    </row>
    <row r="510" ht="15" customHeight="1">
      <c r="A510" t="inlineStr">
        <is>
          <t>A 29713-2022</t>
        </is>
      </c>
      <c r="B510" s="1" t="n">
        <v>44755</v>
      </c>
      <c r="C510" s="1" t="n">
        <v>45789</v>
      </c>
      <c r="D510" t="inlineStr">
        <is>
          <t>DALARNAS LÄN</t>
        </is>
      </c>
      <c r="E510" t="inlineStr">
        <is>
          <t>ÄLVDALEN</t>
        </is>
      </c>
      <c r="G510" t="n">
        <v>2.8</v>
      </c>
      <c r="H510" t="n">
        <v>0</v>
      </c>
      <c r="I510" t="n">
        <v>0</v>
      </c>
      <c r="J510" t="n">
        <v>0</v>
      </c>
      <c r="K510" t="n">
        <v>0</v>
      </c>
      <c r="L510" t="n">
        <v>0</v>
      </c>
      <c r="M510" t="n">
        <v>0</v>
      </c>
      <c r="N510" t="n">
        <v>0</v>
      </c>
      <c r="O510" t="n">
        <v>0</v>
      </c>
      <c r="P510" t="n">
        <v>0</v>
      </c>
      <c r="Q510" t="n">
        <v>0</v>
      </c>
      <c r="R510" s="2" t="inlineStr"/>
    </row>
    <row r="511" ht="15" customHeight="1">
      <c r="A511" t="inlineStr">
        <is>
          <t>A 29804-2022</t>
        </is>
      </c>
      <c r="B511" s="1" t="n">
        <v>44755</v>
      </c>
      <c r="C511" s="1" t="n">
        <v>45789</v>
      </c>
      <c r="D511" t="inlineStr">
        <is>
          <t>DALARNAS LÄN</t>
        </is>
      </c>
      <c r="E511" t="inlineStr">
        <is>
          <t>ÄLVDALEN</t>
        </is>
      </c>
      <c r="F511" t="inlineStr">
        <is>
          <t>Allmännings- och besparingsskogar</t>
        </is>
      </c>
      <c r="G511" t="n">
        <v>11.4</v>
      </c>
      <c r="H511" t="n">
        <v>0</v>
      </c>
      <c r="I511" t="n">
        <v>0</v>
      </c>
      <c r="J511" t="n">
        <v>0</v>
      </c>
      <c r="K511" t="n">
        <v>0</v>
      </c>
      <c r="L511" t="n">
        <v>0</v>
      </c>
      <c r="M511" t="n">
        <v>0</v>
      </c>
      <c r="N511" t="n">
        <v>0</v>
      </c>
      <c r="O511" t="n">
        <v>0</v>
      </c>
      <c r="P511" t="n">
        <v>0</v>
      </c>
      <c r="Q511" t="n">
        <v>0</v>
      </c>
      <c r="R511" s="2" t="inlineStr"/>
    </row>
    <row r="512" ht="15" customHeight="1">
      <c r="A512" t="inlineStr">
        <is>
          <t>A 29710-2022</t>
        </is>
      </c>
      <c r="B512" s="1" t="n">
        <v>44755</v>
      </c>
      <c r="C512" s="1" t="n">
        <v>45789</v>
      </c>
      <c r="D512" t="inlineStr">
        <is>
          <t>DALARNAS LÄN</t>
        </is>
      </c>
      <c r="E512" t="inlineStr">
        <is>
          <t>ÄLVDALEN</t>
        </is>
      </c>
      <c r="F512" t="inlineStr">
        <is>
          <t>Sveaskog</t>
        </is>
      </c>
      <c r="G512" t="n">
        <v>9.1</v>
      </c>
      <c r="H512" t="n">
        <v>0</v>
      </c>
      <c r="I512" t="n">
        <v>0</v>
      </c>
      <c r="J512" t="n">
        <v>0</v>
      </c>
      <c r="K512" t="n">
        <v>0</v>
      </c>
      <c r="L512" t="n">
        <v>0</v>
      </c>
      <c r="M512" t="n">
        <v>0</v>
      </c>
      <c r="N512" t="n">
        <v>0</v>
      </c>
      <c r="O512" t="n">
        <v>0</v>
      </c>
      <c r="P512" t="n">
        <v>0</v>
      </c>
      <c r="Q512" t="n">
        <v>0</v>
      </c>
      <c r="R512" s="2" t="inlineStr"/>
    </row>
    <row r="513" ht="15" customHeight="1">
      <c r="A513" t="inlineStr">
        <is>
          <t>A 29806-2022</t>
        </is>
      </c>
      <c r="B513" s="1" t="n">
        <v>44755</v>
      </c>
      <c r="C513" s="1" t="n">
        <v>45789</v>
      </c>
      <c r="D513" t="inlineStr">
        <is>
          <t>DALARNAS LÄN</t>
        </is>
      </c>
      <c r="E513" t="inlineStr">
        <is>
          <t>ÄLVDALEN</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29716-2022</t>
        </is>
      </c>
      <c r="B514" s="1" t="n">
        <v>44755</v>
      </c>
      <c r="C514" s="1" t="n">
        <v>45789</v>
      </c>
      <c r="D514" t="inlineStr">
        <is>
          <t>DALARNAS LÄN</t>
        </is>
      </c>
      <c r="E514" t="inlineStr">
        <is>
          <t>ÄLVDALEN</t>
        </is>
      </c>
      <c r="G514" t="n">
        <v>0.5</v>
      </c>
      <c r="H514" t="n">
        <v>0</v>
      </c>
      <c r="I514" t="n">
        <v>0</v>
      </c>
      <c r="J514" t="n">
        <v>0</v>
      </c>
      <c r="K514" t="n">
        <v>0</v>
      </c>
      <c r="L514" t="n">
        <v>0</v>
      </c>
      <c r="M514" t="n">
        <v>0</v>
      </c>
      <c r="N514" t="n">
        <v>0</v>
      </c>
      <c r="O514" t="n">
        <v>0</v>
      </c>
      <c r="P514" t="n">
        <v>0</v>
      </c>
      <c r="Q514" t="n">
        <v>0</v>
      </c>
      <c r="R514" s="2" t="inlineStr"/>
    </row>
    <row r="515" ht="15" customHeight="1">
      <c r="A515" t="inlineStr">
        <is>
          <t>A 29849-2022</t>
        </is>
      </c>
      <c r="B515" s="1" t="n">
        <v>44756</v>
      </c>
      <c r="C515" s="1" t="n">
        <v>45789</v>
      </c>
      <c r="D515" t="inlineStr">
        <is>
          <t>DALARNAS LÄN</t>
        </is>
      </c>
      <c r="E515" t="inlineStr">
        <is>
          <t>ÄLVDALEN</t>
        </is>
      </c>
      <c r="F515" t="inlineStr">
        <is>
          <t>Allmännings- och besparingsskogar</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29974-2022</t>
        </is>
      </c>
      <c r="B516" s="1" t="n">
        <v>44756</v>
      </c>
      <c r="C516" s="1" t="n">
        <v>45789</v>
      </c>
      <c r="D516" t="inlineStr">
        <is>
          <t>DALARNAS LÄN</t>
        </is>
      </c>
      <c r="E516" t="inlineStr">
        <is>
          <t>ÄLVDALEN</t>
        </is>
      </c>
      <c r="F516" t="inlineStr">
        <is>
          <t>Allmännings- och besparingsskogar</t>
        </is>
      </c>
      <c r="G516" t="n">
        <v>30</v>
      </c>
      <c r="H516" t="n">
        <v>0</v>
      </c>
      <c r="I516" t="n">
        <v>0</v>
      </c>
      <c r="J516" t="n">
        <v>0</v>
      </c>
      <c r="K516" t="n">
        <v>0</v>
      </c>
      <c r="L516" t="n">
        <v>0</v>
      </c>
      <c r="M516" t="n">
        <v>0</v>
      </c>
      <c r="N516" t="n">
        <v>0</v>
      </c>
      <c r="O516" t="n">
        <v>0</v>
      </c>
      <c r="P516" t="n">
        <v>0</v>
      </c>
      <c r="Q516" t="n">
        <v>0</v>
      </c>
      <c r="R516" s="2" t="inlineStr"/>
    </row>
    <row r="517" ht="15" customHeight="1">
      <c r="A517" t="inlineStr">
        <is>
          <t>A 30831-2022</t>
        </is>
      </c>
      <c r="B517" s="1" t="n">
        <v>44767</v>
      </c>
      <c r="C517" s="1" t="n">
        <v>45789</v>
      </c>
      <c r="D517" t="inlineStr">
        <is>
          <t>DALARNAS LÄN</t>
        </is>
      </c>
      <c r="E517" t="inlineStr">
        <is>
          <t>ÄLVDALEN</t>
        </is>
      </c>
      <c r="F517" t="inlineStr">
        <is>
          <t>Allmännings- och besparingsskogar</t>
        </is>
      </c>
      <c r="G517" t="n">
        <v>22.7</v>
      </c>
      <c r="H517" t="n">
        <v>0</v>
      </c>
      <c r="I517" t="n">
        <v>0</v>
      </c>
      <c r="J517" t="n">
        <v>0</v>
      </c>
      <c r="K517" t="n">
        <v>0</v>
      </c>
      <c r="L517" t="n">
        <v>0</v>
      </c>
      <c r="M517" t="n">
        <v>0</v>
      </c>
      <c r="N517" t="n">
        <v>0</v>
      </c>
      <c r="O517" t="n">
        <v>0</v>
      </c>
      <c r="P517" t="n">
        <v>0</v>
      </c>
      <c r="Q517" t="n">
        <v>0</v>
      </c>
      <c r="R517" s="2" t="inlineStr"/>
    </row>
    <row r="518" ht="15" customHeight="1">
      <c r="A518" t="inlineStr">
        <is>
          <t>A 31266-2022</t>
        </is>
      </c>
      <c r="B518" s="1" t="n">
        <v>44771</v>
      </c>
      <c r="C518" s="1" t="n">
        <v>45789</v>
      </c>
      <c r="D518" t="inlineStr">
        <is>
          <t>DALARNAS LÄN</t>
        </is>
      </c>
      <c r="E518" t="inlineStr">
        <is>
          <t>ÄLVDALEN</t>
        </is>
      </c>
      <c r="F518" t="inlineStr">
        <is>
          <t>Allmännings- och besparingsskogar</t>
        </is>
      </c>
      <c r="G518" t="n">
        <v>20.8</v>
      </c>
      <c r="H518" t="n">
        <v>0</v>
      </c>
      <c r="I518" t="n">
        <v>0</v>
      </c>
      <c r="J518" t="n">
        <v>0</v>
      </c>
      <c r="K518" t="n">
        <v>0</v>
      </c>
      <c r="L518" t="n">
        <v>0</v>
      </c>
      <c r="M518" t="n">
        <v>0</v>
      </c>
      <c r="N518" t="n">
        <v>0</v>
      </c>
      <c r="O518" t="n">
        <v>0</v>
      </c>
      <c r="P518" t="n">
        <v>0</v>
      </c>
      <c r="Q518" t="n">
        <v>0</v>
      </c>
      <c r="R518" s="2" t="inlineStr"/>
    </row>
    <row r="519" ht="15" customHeight="1">
      <c r="A519" t="inlineStr">
        <is>
          <t>A 32385-2022</t>
        </is>
      </c>
      <c r="B519" s="1" t="n">
        <v>44782</v>
      </c>
      <c r="C519" s="1" t="n">
        <v>45789</v>
      </c>
      <c r="D519" t="inlineStr">
        <is>
          <t>DALARNAS LÄN</t>
        </is>
      </c>
      <c r="E519" t="inlineStr">
        <is>
          <t>ÄLVDALEN</t>
        </is>
      </c>
      <c r="F519" t="inlineStr">
        <is>
          <t>Övriga statliga verk och myndigheter</t>
        </is>
      </c>
      <c r="G519" t="n">
        <v>9</v>
      </c>
      <c r="H519" t="n">
        <v>0</v>
      </c>
      <c r="I519" t="n">
        <v>0</v>
      </c>
      <c r="J519" t="n">
        <v>0</v>
      </c>
      <c r="K519" t="n">
        <v>0</v>
      </c>
      <c r="L519" t="n">
        <v>0</v>
      </c>
      <c r="M519" t="n">
        <v>0</v>
      </c>
      <c r="N519" t="n">
        <v>0</v>
      </c>
      <c r="O519" t="n">
        <v>0</v>
      </c>
      <c r="P519" t="n">
        <v>0</v>
      </c>
      <c r="Q519" t="n">
        <v>0</v>
      </c>
      <c r="R519" s="2" t="inlineStr"/>
    </row>
    <row r="520" ht="15" customHeight="1">
      <c r="A520" t="inlineStr">
        <is>
          <t>A 32467-2022</t>
        </is>
      </c>
      <c r="B520" s="1" t="n">
        <v>44782</v>
      </c>
      <c r="C520" s="1" t="n">
        <v>45789</v>
      </c>
      <c r="D520" t="inlineStr">
        <is>
          <t>DALARNAS LÄN</t>
        </is>
      </c>
      <c r="E520" t="inlineStr">
        <is>
          <t>ÄLVDALEN</t>
        </is>
      </c>
      <c r="F520" t="inlineStr">
        <is>
          <t>Bergvik skog väst AB</t>
        </is>
      </c>
      <c r="G520" t="n">
        <v>4.5</v>
      </c>
      <c r="H520" t="n">
        <v>0</v>
      </c>
      <c r="I520" t="n">
        <v>0</v>
      </c>
      <c r="J520" t="n">
        <v>0</v>
      </c>
      <c r="K520" t="n">
        <v>0</v>
      </c>
      <c r="L520" t="n">
        <v>0</v>
      </c>
      <c r="M520" t="n">
        <v>0</v>
      </c>
      <c r="N520" t="n">
        <v>0</v>
      </c>
      <c r="O520" t="n">
        <v>0</v>
      </c>
      <c r="P520" t="n">
        <v>0</v>
      </c>
      <c r="Q520" t="n">
        <v>0</v>
      </c>
      <c r="R520" s="2" t="inlineStr"/>
    </row>
    <row r="521" ht="15" customHeight="1">
      <c r="A521" t="inlineStr">
        <is>
          <t>A 32468-2022</t>
        </is>
      </c>
      <c r="B521" s="1" t="n">
        <v>44782</v>
      </c>
      <c r="C521" s="1" t="n">
        <v>45789</v>
      </c>
      <c r="D521" t="inlineStr">
        <is>
          <t>DALARNAS LÄN</t>
        </is>
      </c>
      <c r="E521" t="inlineStr">
        <is>
          <t>ÄLVDALEN</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32848-2022</t>
        </is>
      </c>
      <c r="B522" s="1" t="n">
        <v>44784</v>
      </c>
      <c r="C522" s="1" t="n">
        <v>45789</v>
      </c>
      <c r="D522" t="inlineStr">
        <is>
          <t>DALARNAS LÄN</t>
        </is>
      </c>
      <c r="E522" t="inlineStr">
        <is>
          <t>ÄLVDALEN</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32894-2022</t>
        </is>
      </c>
      <c r="B523" s="1" t="n">
        <v>44784</v>
      </c>
      <c r="C523" s="1" t="n">
        <v>45789</v>
      </c>
      <c r="D523" t="inlineStr">
        <is>
          <t>DALARNAS LÄN</t>
        </is>
      </c>
      <c r="E523" t="inlineStr">
        <is>
          <t>ÄLVDALEN</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33425-2022</t>
        </is>
      </c>
      <c r="B524" s="1" t="n">
        <v>44788</v>
      </c>
      <c r="C524" s="1" t="n">
        <v>45789</v>
      </c>
      <c r="D524" t="inlineStr">
        <is>
          <t>DALARNAS LÄN</t>
        </is>
      </c>
      <c r="E524" t="inlineStr">
        <is>
          <t>ÄLVDALEN</t>
        </is>
      </c>
      <c r="F524" t="inlineStr">
        <is>
          <t>Bergvik skog öst AB</t>
        </is>
      </c>
      <c r="G524" t="n">
        <v>21.2</v>
      </c>
      <c r="H524" t="n">
        <v>0</v>
      </c>
      <c r="I524" t="n">
        <v>0</v>
      </c>
      <c r="J524" t="n">
        <v>0</v>
      </c>
      <c r="K524" t="n">
        <v>0</v>
      </c>
      <c r="L524" t="n">
        <v>0</v>
      </c>
      <c r="M524" t="n">
        <v>0</v>
      </c>
      <c r="N524" t="n">
        <v>0</v>
      </c>
      <c r="O524" t="n">
        <v>0</v>
      </c>
      <c r="P524" t="n">
        <v>0</v>
      </c>
      <c r="Q524" t="n">
        <v>0</v>
      </c>
      <c r="R524" s="2" t="inlineStr"/>
    </row>
    <row r="525" ht="15" customHeight="1">
      <c r="A525" t="inlineStr">
        <is>
          <t>A 36161-2022</t>
        </is>
      </c>
      <c r="B525" s="1" t="n">
        <v>44803</v>
      </c>
      <c r="C525" s="1" t="n">
        <v>45789</v>
      </c>
      <c r="D525" t="inlineStr">
        <is>
          <t>DALARNAS LÄN</t>
        </is>
      </c>
      <c r="E525" t="inlineStr">
        <is>
          <t>ÄLVDALEN</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36513-2022</t>
        </is>
      </c>
      <c r="B526" s="1" t="n">
        <v>44804</v>
      </c>
      <c r="C526" s="1" t="n">
        <v>45789</v>
      </c>
      <c r="D526" t="inlineStr">
        <is>
          <t>DALARNAS LÄN</t>
        </is>
      </c>
      <c r="E526" t="inlineStr">
        <is>
          <t>ÄLVDALEN</t>
        </is>
      </c>
      <c r="G526" t="n">
        <v>3.1</v>
      </c>
      <c r="H526" t="n">
        <v>0</v>
      </c>
      <c r="I526" t="n">
        <v>0</v>
      </c>
      <c r="J526" t="n">
        <v>0</v>
      </c>
      <c r="K526" t="n">
        <v>0</v>
      </c>
      <c r="L526" t="n">
        <v>0</v>
      </c>
      <c r="M526" t="n">
        <v>0</v>
      </c>
      <c r="N526" t="n">
        <v>0</v>
      </c>
      <c r="O526" t="n">
        <v>0</v>
      </c>
      <c r="P526" t="n">
        <v>0</v>
      </c>
      <c r="Q526" t="n">
        <v>0</v>
      </c>
      <c r="R526" s="2" t="inlineStr"/>
    </row>
    <row r="527" ht="15" customHeight="1">
      <c r="A527" t="inlineStr">
        <is>
          <t>A 37399-2022</t>
        </is>
      </c>
      <c r="B527" s="1" t="n">
        <v>44809</v>
      </c>
      <c r="C527" s="1" t="n">
        <v>45789</v>
      </c>
      <c r="D527" t="inlineStr">
        <is>
          <t>DALARNAS LÄN</t>
        </is>
      </c>
      <c r="E527" t="inlineStr">
        <is>
          <t>ÄLVDALEN</t>
        </is>
      </c>
      <c r="F527" t="inlineStr">
        <is>
          <t>Allmännings- och besparingsskogar</t>
        </is>
      </c>
      <c r="G527" t="n">
        <v>0.9</v>
      </c>
      <c r="H527" t="n">
        <v>0</v>
      </c>
      <c r="I527" t="n">
        <v>0</v>
      </c>
      <c r="J527" t="n">
        <v>0</v>
      </c>
      <c r="K527" t="n">
        <v>0</v>
      </c>
      <c r="L527" t="n">
        <v>0</v>
      </c>
      <c r="M527" t="n">
        <v>0</v>
      </c>
      <c r="N527" t="n">
        <v>0</v>
      </c>
      <c r="O527" t="n">
        <v>0</v>
      </c>
      <c r="P527" t="n">
        <v>0</v>
      </c>
      <c r="Q527" t="n">
        <v>0</v>
      </c>
      <c r="R527" s="2" t="inlineStr"/>
    </row>
    <row r="528" ht="15" customHeight="1">
      <c r="A528" t="inlineStr">
        <is>
          <t>A 37740-2022</t>
        </is>
      </c>
      <c r="B528" s="1" t="n">
        <v>44810</v>
      </c>
      <c r="C528" s="1" t="n">
        <v>45789</v>
      </c>
      <c r="D528" t="inlineStr">
        <is>
          <t>DALARNAS LÄN</t>
        </is>
      </c>
      <c r="E528" t="inlineStr">
        <is>
          <t>ÄLVDALEN</t>
        </is>
      </c>
      <c r="F528" t="inlineStr">
        <is>
          <t>Bergvik skog väst AB</t>
        </is>
      </c>
      <c r="G528" t="n">
        <v>4</v>
      </c>
      <c r="H528" t="n">
        <v>0</v>
      </c>
      <c r="I528" t="n">
        <v>0</v>
      </c>
      <c r="J528" t="n">
        <v>0</v>
      </c>
      <c r="K528" t="n">
        <v>0</v>
      </c>
      <c r="L528" t="n">
        <v>0</v>
      </c>
      <c r="M528" t="n">
        <v>0</v>
      </c>
      <c r="N528" t="n">
        <v>0</v>
      </c>
      <c r="O528" t="n">
        <v>0</v>
      </c>
      <c r="P528" t="n">
        <v>0</v>
      </c>
      <c r="Q528" t="n">
        <v>0</v>
      </c>
      <c r="R528" s="2" t="inlineStr"/>
    </row>
    <row r="529" ht="15" customHeight="1">
      <c r="A529" t="inlineStr">
        <is>
          <t>A 37957-2022</t>
        </is>
      </c>
      <c r="B529" s="1" t="n">
        <v>44811</v>
      </c>
      <c r="C529" s="1" t="n">
        <v>45789</v>
      </c>
      <c r="D529" t="inlineStr">
        <is>
          <t>DALARNAS LÄN</t>
        </is>
      </c>
      <c r="E529" t="inlineStr">
        <is>
          <t>ÄLVDALEN</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37959-2022</t>
        </is>
      </c>
      <c r="B530" s="1" t="n">
        <v>44811</v>
      </c>
      <c r="C530" s="1" t="n">
        <v>45789</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38957-2022</t>
        </is>
      </c>
      <c r="B531" s="1" t="n">
        <v>44816</v>
      </c>
      <c r="C531" s="1" t="n">
        <v>45789</v>
      </c>
      <c r="D531" t="inlineStr">
        <is>
          <t>DALARNAS LÄN</t>
        </is>
      </c>
      <c r="E531" t="inlineStr">
        <is>
          <t>ÄLVDALEN</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39308-2022</t>
        </is>
      </c>
      <c r="B532" s="1" t="n">
        <v>44817</v>
      </c>
      <c r="C532" s="1" t="n">
        <v>45789</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39311-2022</t>
        </is>
      </c>
      <c r="B533" s="1" t="n">
        <v>44817</v>
      </c>
      <c r="C533" s="1" t="n">
        <v>45789</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40003-2022</t>
        </is>
      </c>
      <c r="B534" s="1" t="n">
        <v>44820</v>
      </c>
      <c r="C534" s="1" t="n">
        <v>45789</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40726-2022</t>
        </is>
      </c>
      <c r="B535" s="1" t="n">
        <v>44824</v>
      </c>
      <c r="C535" s="1" t="n">
        <v>45789</v>
      </c>
      <c r="D535" t="inlineStr">
        <is>
          <t>DALARNAS LÄN</t>
        </is>
      </c>
      <c r="E535" t="inlineStr">
        <is>
          <t>ÄLVDALEN</t>
        </is>
      </c>
      <c r="F535" t="inlineStr">
        <is>
          <t>Övriga statliga verk och myndigheter</t>
        </is>
      </c>
      <c r="G535" t="n">
        <v>12.5</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45789</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45789</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45789</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45789</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45789</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45789</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45789</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45789</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45789</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45789</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45789</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45789</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45789</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45789</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45789</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45789</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45789</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45789</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45789</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45789</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45789</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45789</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45789</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45789</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45789</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45789</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45789</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45789</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45789</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45789</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45789</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45789</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45789</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45789</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45789</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45789</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45789</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45789</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45789</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45789</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45789</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45789</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45789</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45789</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45789</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45789</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45789</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45789</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45789</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45789</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45789</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45789</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45789</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45789</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45789</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45789</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45789</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45789</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45789</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45789</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45789</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45789</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45789</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45789</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45789</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45789</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45789</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45789</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45789</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45789</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45789</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45789</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45789</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45789</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45789</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45789</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45789</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45789</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45789</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5826-2023</t>
        </is>
      </c>
      <c r="B615" s="1" t="n">
        <v>44963</v>
      </c>
      <c r="C615" s="1" t="n">
        <v>45789</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6072-2023</t>
        </is>
      </c>
      <c r="B616" s="1" t="n">
        <v>44964</v>
      </c>
      <c r="C616" s="1" t="n">
        <v>45789</v>
      </c>
      <c r="D616" t="inlineStr">
        <is>
          <t>DALARNAS LÄN</t>
        </is>
      </c>
      <c r="E616" t="inlineStr">
        <is>
          <t>ÄLVDALEN</t>
        </is>
      </c>
      <c r="G616" t="n">
        <v>1.1</v>
      </c>
      <c r="H616" t="n">
        <v>0</v>
      </c>
      <c r="I616" t="n">
        <v>0</v>
      </c>
      <c r="J616" t="n">
        <v>0</v>
      </c>
      <c r="K616" t="n">
        <v>0</v>
      </c>
      <c r="L616" t="n">
        <v>0</v>
      </c>
      <c r="M616" t="n">
        <v>0</v>
      </c>
      <c r="N616" t="n">
        <v>0</v>
      </c>
      <c r="O616" t="n">
        <v>0</v>
      </c>
      <c r="P616" t="n">
        <v>0</v>
      </c>
      <c r="Q616" t="n">
        <v>0</v>
      </c>
      <c r="R616" s="2" t="inlineStr"/>
    </row>
    <row r="617" ht="15" customHeight="1">
      <c r="A617" t="inlineStr">
        <is>
          <t>A 7836-2023</t>
        </is>
      </c>
      <c r="B617" s="1" t="n">
        <v>44973</v>
      </c>
      <c r="C617" s="1" t="n">
        <v>45789</v>
      </c>
      <c r="D617" t="inlineStr">
        <is>
          <t>DALARNAS LÄN</t>
        </is>
      </c>
      <c r="E617" t="inlineStr">
        <is>
          <t>ÄLVDALEN</t>
        </is>
      </c>
      <c r="G617" t="n">
        <v>6.1</v>
      </c>
      <c r="H617" t="n">
        <v>0</v>
      </c>
      <c r="I617" t="n">
        <v>0</v>
      </c>
      <c r="J617" t="n">
        <v>0</v>
      </c>
      <c r="K617" t="n">
        <v>0</v>
      </c>
      <c r="L617" t="n">
        <v>0</v>
      </c>
      <c r="M617" t="n">
        <v>0</v>
      </c>
      <c r="N617" t="n">
        <v>0</v>
      </c>
      <c r="O617" t="n">
        <v>0</v>
      </c>
      <c r="P617" t="n">
        <v>0</v>
      </c>
      <c r="Q617" t="n">
        <v>0</v>
      </c>
      <c r="R617" s="2" t="inlineStr"/>
    </row>
    <row r="618" ht="15" customHeight="1">
      <c r="A618" t="inlineStr">
        <is>
          <t>A 9801-2023</t>
        </is>
      </c>
      <c r="B618" s="1" t="n">
        <v>44978</v>
      </c>
      <c r="C618" s="1" t="n">
        <v>45789</v>
      </c>
      <c r="D618" t="inlineStr">
        <is>
          <t>DALARNAS LÄN</t>
        </is>
      </c>
      <c r="E618" t="inlineStr">
        <is>
          <t>ÄLVDALEN</t>
        </is>
      </c>
      <c r="G618" t="n">
        <v>7</v>
      </c>
      <c r="H618" t="n">
        <v>0</v>
      </c>
      <c r="I618" t="n">
        <v>0</v>
      </c>
      <c r="J618" t="n">
        <v>0</v>
      </c>
      <c r="K618" t="n">
        <v>0</v>
      </c>
      <c r="L618" t="n">
        <v>0</v>
      </c>
      <c r="M618" t="n">
        <v>0</v>
      </c>
      <c r="N618" t="n">
        <v>0</v>
      </c>
      <c r="O618" t="n">
        <v>0</v>
      </c>
      <c r="P618" t="n">
        <v>0</v>
      </c>
      <c r="Q618" t="n">
        <v>0</v>
      </c>
      <c r="R618" s="2" t="inlineStr"/>
    </row>
    <row r="619" ht="15" customHeight="1">
      <c r="A619" t="inlineStr">
        <is>
          <t>A 9719-2023</t>
        </is>
      </c>
      <c r="B619" s="1" t="n">
        <v>44978</v>
      </c>
      <c r="C619" s="1" t="n">
        <v>45789</v>
      </c>
      <c r="D619" t="inlineStr">
        <is>
          <t>DALARNAS LÄN</t>
        </is>
      </c>
      <c r="E619" t="inlineStr">
        <is>
          <t>ÄLVDALEN</t>
        </is>
      </c>
      <c r="G619" t="n">
        <v>20.2</v>
      </c>
      <c r="H619" t="n">
        <v>0</v>
      </c>
      <c r="I619" t="n">
        <v>0</v>
      </c>
      <c r="J619" t="n">
        <v>0</v>
      </c>
      <c r="K619" t="n">
        <v>0</v>
      </c>
      <c r="L619" t="n">
        <v>0</v>
      </c>
      <c r="M619" t="n">
        <v>0</v>
      </c>
      <c r="N619" t="n">
        <v>0</v>
      </c>
      <c r="O619" t="n">
        <v>0</v>
      </c>
      <c r="P619" t="n">
        <v>0</v>
      </c>
      <c r="Q619" t="n">
        <v>0</v>
      </c>
      <c r="R619" s="2" t="inlineStr"/>
    </row>
    <row r="620" ht="15" customHeight="1">
      <c r="A620" t="inlineStr">
        <is>
          <t>A 13124-2023</t>
        </is>
      </c>
      <c r="B620" s="1" t="n">
        <v>45002</v>
      </c>
      <c r="C620" s="1" t="n">
        <v>45789</v>
      </c>
      <c r="D620" t="inlineStr">
        <is>
          <t>DALARNAS LÄN</t>
        </is>
      </c>
      <c r="E620" t="inlineStr">
        <is>
          <t>ÄLVDALEN</t>
        </is>
      </c>
      <c r="G620" t="n">
        <v>4.5</v>
      </c>
      <c r="H620" t="n">
        <v>0</v>
      </c>
      <c r="I620" t="n">
        <v>0</v>
      </c>
      <c r="J620" t="n">
        <v>0</v>
      </c>
      <c r="K620" t="n">
        <v>0</v>
      </c>
      <c r="L620" t="n">
        <v>0</v>
      </c>
      <c r="M620" t="n">
        <v>0</v>
      </c>
      <c r="N620" t="n">
        <v>0</v>
      </c>
      <c r="O620" t="n">
        <v>0</v>
      </c>
      <c r="P620" t="n">
        <v>0</v>
      </c>
      <c r="Q620" t="n">
        <v>0</v>
      </c>
      <c r="R620" s="2" t="inlineStr"/>
    </row>
    <row r="621" ht="15" customHeight="1">
      <c r="A621" t="inlineStr">
        <is>
          <t>A 14938-2023</t>
        </is>
      </c>
      <c r="B621" s="1" t="n">
        <v>45015</v>
      </c>
      <c r="C621" s="1" t="n">
        <v>45789</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17051-2023</t>
        </is>
      </c>
      <c r="B622" s="1" t="n">
        <v>45034</v>
      </c>
      <c r="C622" s="1" t="n">
        <v>45789</v>
      </c>
      <c r="D622" t="inlineStr">
        <is>
          <t>DALARNAS LÄN</t>
        </is>
      </c>
      <c r="E622" t="inlineStr">
        <is>
          <t>ÄLVDALEN</t>
        </is>
      </c>
      <c r="G622" t="n">
        <v>4.2</v>
      </c>
      <c r="H622" t="n">
        <v>0</v>
      </c>
      <c r="I622" t="n">
        <v>0</v>
      </c>
      <c r="J622" t="n">
        <v>0</v>
      </c>
      <c r="K622" t="n">
        <v>0</v>
      </c>
      <c r="L622" t="n">
        <v>0</v>
      </c>
      <c r="M622" t="n">
        <v>0</v>
      </c>
      <c r="N622" t="n">
        <v>0</v>
      </c>
      <c r="O622" t="n">
        <v>0</v>
      </c>
      <c r="P622" t="n">
        <v>0</v>
      </c>
      <c r="Q622" t="n">
        <v>0</v>
      </c>
      <c r="R622" s="2" t="inlineStr"/>
    </row>
    <row r="623" ht="15" customHeight="1">
      <c r="A623" t="inlineStr">
        <is>
          <t>A 19182-2023</t>
        </is>
      </c>
      <c r="B623" s="1" t="n">
        <v>45048</v>
      </c>
      <c r="C623" s="1" t="n">
        <v>45789</v>
      </c>
      <c r="D623" t="inlineStr">
        <is>
          <t>DALARNAS LÄN</t>
        </is>
      </c>
      <c r="E623" t="inlineStr">
        <is>
          <t>ÄLVDALEN</t>
        </is>
      </c>
      <c r="G623" t="n">
        <v>0.6</v>
      </c>
      <c r="H623" t="n">
        <v>0</v>
      </c>
      <c r="I623" t="n">
        <v>0</v>
      </c>
      <c r="J623" t="n">
        <v>0</v>
      </c>
      <c r="K623" t="n">
        <v>0</v>
      </c>
      <c r="L623" t="n">
        <v>0</v>
      </c>
      <c r="M623" t="n">
        <v>0</v>
      </c>
      <c r="N623" t="n">
        <v>0</v>
      </c>
      <c r="O623" t="n">
        <v>0</v>
      </c>
      <c r="P623" t="n">
        <v>0</v>
      </c>
      <c r="Q623" t="n">
        <v>0</v>
      </c>
      <c r="R623" s="2" t="inlineStr"/>
    </row>
    <row r="624" ht="15" customHeight="1">
      <c r="A624" t="inlineStr">
        <is>
          <t>A 19546-2023</t>
        </is>
      </c>
      <c r="B624" s="1" t="n">
        <v>45050</v>
      </c>
      <c r="C624" s="1" t="n">
        <v>45789</v>
      </c>
      <c r="D624" t="inlineStr">
        <is>
          <t>DALARNAS LÄN</t>
        </is>
      </c>
      <c r="E624" t="inlineStr">
        <is>
          <t>ÄLVDALEN</t>
        </is>
      </c>
      <c r="G624" t="n">
        <v>5.9</v>
      </c>
      <c r="H624" t="n">
        <v>0</v>
      </c>
      <c r="I624" t="n">
        <v>0</v>
      </c>
      <c r="J624" t="n">
        <v>0</v>
      </c>
      <c r="K624" t="n">
        <v>0</v>
      </c>
      <c r="L624" t="n">
        <v>0</v>
      </c>
      <c r="M624" t="n">
        <v>0</v>
      </c>
      <c r="N624" t="n">
        <v>0</v>
      </c>
      <c r="O624" t="n">
        <v>0</v>
      </c>
      <c r="P624" t="n">
        <v>0</v>
      </c>
      <c r="Q624" t="n">
        <v>0</v>
      </c>
      <c r="R624" s="2" t="inlineStr"/>
    </row>
    <row r="625" ht="15" customHeight="1">
      <c r="A625" t="inlineStr">
        <is>
          <t>A 19992-2023</t>
        </is>
      </c>
      <c r="B625" s="1" t="n">
        <v>45054</v>
      </c>
      <c r="C625" s="1" t="n">
        <v>45789</v>
      </c>
      <c r="D625" t="inlineStr">
        <is>
          <t>DALARNAS LÄN</t>
        </is>
      </c>
      <c r="E625" t="inlineStr">
        <is>
          <t>ÄLVDALEN</t>
        </is>
      </c>
      <c r="G625" t="n">
        <v>3.9</v>
      </c>
      <c r="H625" t="n">
        <v>0</v>
      </c>
      <c r="I625" t="n">
        <v>0</v>
      </c>
      <c r="J625" t="n">
        <v>0</v>
      </c>
      <c r="K625" t="n">
        <v>0</v>
      </c>
      <c r="L625" t="n">
        <v>0</v>
      </c>
      <c r="M625" t="n">
        <v>0</v>
      </c>
      <c r="N625" t="n">
        <v>0</v>
      </c>
      <c r="O625" t="n">
        <v>0</v>
      </c>
      <c r="P625" t="n">
        <v>0</v>
      </c>
      <c r="Q625" t="n">
        <v>0</v>
      </c>
      <c r="R625" s="2" t="inlineStr"/>
    </row>
    <row r="626" ht="15" customHeight="1">
      <c r="A626" t="inlineStr">
        <is>
          <t>A 20551-2023</t>
        </is>
      </c>
      <c r="B626" s="1" t="n">
        <v>45057</v>
      </c>
      <c r="C626" s="1" t="n">
        <v>45789</v>
      </c>
      <c r="D626" t="inlineStr">
        <is>
          <t>DALARNAS LÄN</t>
        </is>
      </c>
      <c r="E626" t="inlineStr">
        <is>
          <t>ÄLVDALEN</t>
        </is>
      </c>
      <c r="G626" t="n">
        <v>29.8</v>
      </c>
      <c r="H626" t="n">
        <v>0</v>
      </c>
      <c r="I626" t="n">
        <v>0</v>
      </c>
      <c r="J626" t="n">
        <v>0</v>
      </c>
      <c r="K626" t="n">
        <v>0</v>
      </c>
      <c r="L626" t="n">
        <v>0</v>
      </c>
      <c r="M626" t="n">
        <v>0</v>
      </c>
      <c r="N626" t="n">
        <v>0</v>
      </c>
      <c r="O626" t="n">
        <v>0</v>
      </c>
      <c r="P626" t="n">
        <v>0</v>
      </c>
      <c r="Q626" t="n">
        <v>0</v>
      </c>
      <c r="R626" s="2" t="inlineStr"/>
    </row>
    <row r="627" ht="15" customHeight="1">
      <c r="A627" t="inlineStr">
        <is>
          <t>A 21936-2023</t>
        </is>
      </c>
      <c r="B627" s="1" t="n">
        <v>45068</v>
      </c>
      <c r="C627" s="1" t="n">
        <v>45789</v>
      </c>
      <c r="D627" t="inlineStr">
        <is>
          <t>DALARNAS LÄN</t>
        </is>
      </c>
      <c r="E627" t="inlineStr">
        <is>
          <t>ÄLVDALEN</t>
        </is>
      </c>
      <c r="F627" t="inlineStr">
        <is>
          <t>Bergvik skog väst AB</t>
        </is>
      </c>
      <c r="G627" t="n">
        <v>7.5</v>
      </c>
      <c r="H627" t="n">
        <v>0</v>
      </c>
      <c r="I627" t="n">
        <v>0</v>
      </c>
      <c r="J627" t="n">
        <v>0</v>
      </c>
      <c r="K627" t="n">
        <v>0</v>
      </c>
      <c r="L627" t="n">
        <v>0</v>
      </c>
      <c r="M627" t="n">
        <v>0</v>
      </c>
      <c r="N627" t="n">
        <v>0</v>
      </c>
      <c r="O627" t="n">
        <v>0</v>
      </c>
      <c r="P627" t="n">
        <v>0</v>
      </c>
      <c r="Q627" t="n">
        <v>0</v>
      </c>
      <c r="R627" s="2" t="inlineStr"/>
    </row>
    <row r="628" ht="15" customHeight="1">
      <c r="A628" t="inlineStr">
        <is>
          <t>A 22792-2023</t>
        </is>
      </c>
      <c r="B628" s="1" t="n">
        <v>45072</v>
      </c>
      <c r="C628" s="1" t="n">
        <v>45789</v>
      </c>
      <c r="D628" t="inlineStr">
        <is>
          <t>DALARNAS LÄN</t>
        </is>
      </c>
      <c r="E628" t="inlineStr">
        <is>
          <t>ÄLVDALEN</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22847-2023</t>
        </is>
      </c>
      <c r="B629" s="1" t="n">
        <v>45072</v>
      </c>
      <c r="C629" s="1" t="n">
        <v>45789</v>
      </c>
      <c r="D629" t="inlineStr">
        <is>
          <t>DALARNAS LÄN</t>
        </is>
      </c>
      <c r="E629" t="inlineStr">
        <is>
          <t>ÄLVDALEN</t>
        </is>
      </c>
      <c r="F629" t="inlineStr">
        <is>
          <t>Bergvik skog väst AB</t>
        </is>
      </c>
      <c r="G629" t="n">
        <v>8.1</v>
      </c>
      <c r="H629" t="n">
        <v>0</v>
      </c>
      <c r="I629" t="n">
        <v>0</v>
      </c>
      <c r="J629" t="n">
        <v>0</v>
      </c>
      <c r="K629" t="n">
        <v>0</v>
      </c>
      <c r="L629" t="n">
        <v>0</v>
      </c>
      <c r="M629" t="n">
        <v>0</v>
      </c>
      <c r="N629" t="n">
        <v>0</v>
      </c>
      <c r="O629" t="n">
        <v>0</v>
      </c>
      <c r="P629" t="n">
        <v>0</v>
      </c>
      <c r="Q629" t="n">
        <v>0</v>
      </c>
      <c r="R629" s="2" t="inlineStr"/>
    </row>
    <row r="630" ht="15" customHeight="1">
      <c r="A630" t="inlineStr">
        <is>
          <t>A 23129-2023</t>
        </is>
      </c>
      <c r="B630" s="1" t="n">
        <v>45075</v>
      </c>
      <c r="C630" s="1" t="n">
        <v>45789</v>
      </c>
      <c r="D630" t="inlineStr">
        <is>
          <t>DALARNAS LÄN</t>
        </is>
      </c>
      <c r="E630" t="inlineStr">
        <is>
          <t>ÄLVDALEN</t>
        </is>
      </c>
      <c r="G630" t="n">
        <v>0.8</v>
      </c>
      <c r="H630" t="n">
        <v>0</v>
      </c>
      <c r="I630" t="n">
        <v>0</v>
      </c>
      <c r="J630" t="n">
        <v>0</v>
      </c>
      <c r="K630" t="n">
        <v>0</v>
      </c>
      <c r="L630" t="n">
        <v>0</v>
      </c>
      <c r="M630" t="n">
        <v>0</v>
      </c>
      <c r="N630" t="n">
        <v>0</v>
      </c>
      <c r="O630" t="n">
        <v>0</v>
      </c>
      <c r="P630" t="n">
        <v>0</v>
      </c>
      <c r="Q630" t="n">
        <v>0</v>
      </c>
      <c r="R630" s="2" t="inlineStr"/>
    </row>
    <row r="631" ht="15" customHeight="1">
      <c r="A631" t="inlineStr">
        <is>
          <t>A 23369-2023</t>
        </is>
      </c>
      <c r="B631" s="1" t="n">
        <v>45076</v>
      </c>
      <c r="C631" s="1" t="n">
        <v>45789</v>
      </c>
      <c r="D631" t="inlineStr">
        <is>
          <t>DALARNAS LÄN</t>
        </is>
      </c>
      <c r="E631" t="inlineStr">
        <is>
          <t>ÄLVDALEN</t>
        </is>
      </c>
      <c r="G631" t="n">
        <v>1.5</v>
      </c>
      <c r="H631" t="n">
        <v>0</v>
      </c>
      <c r="I631" t="n">
        <v>0</v>
      </c>
      <c r="J631" t="n">
        <v>0</v>
      </c>
      <c r="K631" t="n">
        <v>0</v>
      </c>
      <c r="L631" t="n">
        <v>0</v>
      </c>
      <c r="M631" t="n">
        <v>0</v>
      </c>
      <c r="N631" t="n">
        <v>0</v>
      </c>
      <c r="O631" t="n">
        <v>0</v>
      </c>
      <c r="P631" t="n">
        <v>0</v>
      </c>
      <c r="Q631" t="n">
        <v>0</v>
      </c>
      <c r="R631" s="2" t="inlineStr"/>
    </row>
    <row r="632" ht="15" customHeight="1">
      <c r="A632" t="inlineStr">
        <is>
          <t>A 23570-2023</t>
        </is>
      </c>
      <c r="B632" s="1" t="n">
        <v>45077</v>
      </c>
      <c r="C632" s="1" t="n">
        <v>45789</v>
      </c>
      <c r="D632" t="inlineStr">
        <is>
          <t>DALARNAS LÄN</t>
        </is>
      </c>
      <c r="E632" t="inlineStr">
        <is>
          <t>ÄLVDALEN</t>
        </is>
      </c>
      <c r="G632" t="n">
        <v>4.9</v>
      </c>
      <c r="H632" t="n">
        <v>0</v>
      </c>
      <c r="I632" t="n">
        <v>0</v>
      </c>
      <c r="J632" t="n">
        <v>0</v>
      </c>
      <c r="K632" t="n">
        <v>0</v>
      </c>
      <c r="L632" t="n">
        <v>0</v>
      </c>
      <c r="M632" t="n">
        <v>0</v>
      </c>
      <c r="N632" t="n">
        <v>0</v>
      </c>
      <c r="O632" t="n">
        <v>0</v>
      </c>
      <c r="P632" t="n">
        <v>0</v>
      </c>
      <c r="Q632" t="n">
        <v>0</v>
      </c>
      <c r="R632" s="2" t="inlineStr"/>
    </row>
    <row r="633" ht="15" customHeight="1">
      <c r="A633" t="inlineStr">
        <is>
          <t>A 23565-2023</t>
        </is>
      </c>
      <c r="B633" s="1" t="n">
        <v>45077</v>
      </c>
      <c r="C633" s="1" t="n">
        <v>45789</v>
      </c>
      <c r="D633" t="inlineStr">
        <is>
          <t>DALARNAS LÄN</t>
        </is>
      </c>
      <c r="E633" t="inlineStr">
        <is>
          <t>ÄLVDALEN</t>
        </is>
      </c>
      <c r="G633" t="n">
        <v>3.6</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45789</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45789</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45789</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45789</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45789</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45789</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45789</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45789</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45789</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45789</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45789</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45789</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45789</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45789</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45789</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45789</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45789</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45789</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45789</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45789</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45789</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45789</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45789</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45789</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45789</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45789</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45789</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45789</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45789</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45789</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45789</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45789</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45789</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45789</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45789</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45789</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45789</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45789</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45789</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45789</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45789</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45789</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45789</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45789</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45789</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45789</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45789</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45789</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45789</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45789</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45789</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45789</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45789</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45789</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45789</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45789</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45789</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45789</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45789</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45789</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45789</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45789</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45789</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45789</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45789</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45789</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45789</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45789</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45789</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45789</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45789</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45789</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45789</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45789</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42332-2023</t>
        </is>
      </c>
      <c r="B708" s="1" t="n">
        <v>45175</v>
      </c>
      <c r="C708" s="1" t="n">
        <v>45789</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42426-2023</t>
        </is>
      </c>
      <c r="B709" s="1" t="n">
        <v>45175</v>
      </c>
      <c r="C709" s="1" t="n">
        <v>45789</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41989-2023</t>
        </is>
      </c>
      <c r="B710" s="1" t="n">
        <v>45177</v>
      </c>
      <c r="C710" s="1" t="n">
        <v>45789</v>
      </c>
      <c r="D710" t="inlineStr">
        <is>
          <t>DALARNAS LÄN</t>
        </is>
      </c>
      <c r="E710" t="inlineStr">
        <is>
          <t>ÄLVDALEN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42649-2023</t>
        </is>
      </c>
      <c r="B711" s="1" t="n">
        <v>45181</v>
      </c>
      <c r="C711" s="1" t="n">
        <v>45789</v>
      </c>
      <c r="D711" t="inlineStr">
        <is>
          <t>DALARNAS LÄN</t>
        </is>
      </c>
      <c r="E711" t="inlineStr">
        <is>
          <t>ÄLVDALEN</t>
        </is>
      </c>
      <c r="G711" t="n">
        <v>5.3</v>
      </c>
      <c r="H711" t="n">
        <v>0</v>
      </c>
      <c r="I711" t="n">
        <v>0</v>
      </c>
      <c r="J711" t="n">
        <v>0</v>
      </c>
      <c r="K711" t="n">
        <v>0</v>
      </c>
      <c r="L711" t="n">
        <v>0</v>
      </c>
      <c r="M711" t="n">
        <v>0</v>
      </c>
      <c r="N711" t="n">
        <v>0</v>
      </c>
      <c r="O711" t="n">
        <v>0</v>
      </c>
      <c r="P711" t="n">
        <v>0</v>
      </c>
      <c r="Q711" t="n">
        <v>0</v>
      </c>
      <c r="R711" s="2" t="inlineStr"/>
    </row>
    <row r="712" ht="15" customHeight="1">
      <c r="A712" t="inlineStr">
        <is>
          <t>A 45155-2023</t>
        </is>
      </c>
      <c r="B712" s="1" t="n">
        <v>45187</v>
      </c>
      <c r="C712" s="1" t="n">
        <v>45789</v>
      </c>
      <c r="D712" t="inlineStr">
        <is>
          <t>DALARNAS LÄN</t>
        </is>
      </c>
      <c r="E712" t="inlineStr">
        <is>
          <t>ÄLVDALEN</t>
        </is>
      </c>
      <c r="G712" t="n">
        <v>40.1</v>
      </c>
      <c r="H712" t="n">
        <v>0</v>
      </c>
      <c r="I712" t="n">
        <v>0</v>
      </c>
      <c r="J712" t="n">
        <v>0</v>
      </c>
      <c r="K712" t="n">
        <v>0</v>
      </c>
      <c r="L712" t="n">
        <v>0</v>
      </c>
      <c r="M712" t="n">
        <v>0</v>
      </c>
      <c r="N712" t="n">
        <v>0</v>
      </c>
      <c r="O712" t="n">
        <v>0</v>
      </c>
      <c r="P712" t="n">
        <v>0</v>
      </c>
      <c r="Q712" t="n">
        <v>0</v>
      </c>
      <c r="R712" s="2" t="inlineStr"/>
    </row>
    <row r="713" ht="15" customHeight="1">
      <c r="A713" t="inlineStr">
        <is>
          <t>A 46559-2023</t>
        </is>
      </c>
      <c r="B713" s="1" t="n">
        <v>45187</v>
      </c>
      <c r="C713" s="1" t="n">
        <v>45789</v>
      </c>
      <c r="D713" t="inlineStr">
        <is>
          <t>DALARNAS LÄN</t>
        </is>
      </c>
      <c r="E713" t="inlineStr">
        <is>
          <t>ÄLVDALEN</t>
        </is>
      </c>
      <c r="G713" t="n">
        <v>9.6</v>
      </c>
      <c r="H713" t="n">
        <v>0</v>
      </c>
      <c r="I713" t="n">
        <v>0</v>
      </c>
      <c r="J713" t="n">
        <v>0</v>
      </c>
      <c r="K713" t="n">
        <v>0</v>
      </c>
      <c r="L713" t="n">
        <v>0</v>
      </c>
      <c r="M713" t="n">
        <v>0</v>
      </c>
      <c r="N713" t="n">
        <v>0</v>
      </c>
      <c r="O713" t="n">
        <v>0</v>
      </c>
      <c r="P713" t="n">
        <v>0</v>
      </c>
      <c r="Q713" t="n">
        <v>0</v>
      </c>
      <c r="R713" s="2" t="inlineStr"/>
    </row>
    <row r="714" ht="15" customHeight="1">
      <c r="A714" t="inlineStr">
        <is>
          <t>A 44077-2023</t>
        </is>
      </c>
      <c r="B714" s="1" t="n">
        <v>45188</v>
      </c>
      <c r="C714" s="1" t="n">
        <v>45789</v>
      </c>
      <c r="D714" t="inlineStr">
        <is>
          <t>DALARNAS LÄN</t>
        </is>
      </c>
      <c r="E714" t="inlineStr">
        <is>
          <t>ÄLVDALEN</t>
        </is>
      </c>
      <c r="F714" t="inlineStr">
        <is>
          <t>Allmännings- och besparingsskogar</t>
        </is>
      </c>
      <c r="G714" t="n">
        <v>1.1</v>
      </c>
      <c r="H714" t="n">
        <v>0</v>
      </c>
      <c r="I714" t="n">
        <v>0</v>
      </c>
      <c r="J714" t="n">
        <v>0</v>
      </c>
      <c r="K714" t="n">
        <v>0</v>
      </c>
      <c r="L714" t="n">
        <v>0</v>
      </c>
      <c r="M714" t="n">
        <v>0</v>
      </c>
      <c r="N714" t="n">
        <v>0</v>
      </c>
      <c r="O714" t="n">
        <v>0</v>
      </c>
      <c r="P714" t="n">
        <v>0</v>
      </c>
      <c r="Q714" t="n">
        <v>0</v>
      </c>
      <c r="R714" s="2" t="inlineStr"/>
    </row>
    <row r="715" ht="15" customHeight="1">
      <c r="A715" t="inlineStr">
        <is>
          <t>A 44253-2023</t>
        </is>
      </c>
      <c r="B715" s="1" t="n">
        <v>45188</v>
      </c>
      <c r="C715" s="1" t="n">
        <v>45789</v>
      </c>
      <c r="D715" t="inlineStr">
        <is>
          <t>DALARNAS LÄN</t>
        </is>
      </c>
      <c r="E715" t="inlineStr">
        <is>
          <t>ÄLVDALEN</t>
        </is>
      </c>
      <c r="F715" t="inlineStr">
        <is>
          <t>Allmännings- och besparingsskogar</t>
        </is>
      </c>
      <c r="G715" t="n">
        <v>1.7</v>
      </c>
      <c r="H715" t="n">
        <v>0</v>
      </c>
      <c r="I715" t="n">
        <v>0</v>
      </c>
      <c r="J715" t="n">
        <v>0</v>
      </c>
      <c r="K715" t="n">
        <v>0</v>
      </c>
      <c r="L715" t="n">
        <v>0</v>
      </c>
      <c r="M715" t="n">
        <v>0</v>
      </c>
      <c r="N715" t="n">
        <v>0</v>
      </c>
      <c r="O715" t="n">
        <v>0</v>
      </c>
      <c r="P715" t="n">
        <v>0</v>
      </c>
      <c r="Q715" t="n">
        <v>0</v>
      </c>
      <c r="R715" s="2" t="inlineStr"/>
    </row>
    <row r="716" ht="15" customHeight="1">
      <c r="A716" t="inlineStr">
        <is>
          <t>A 44605-2023</t>
        </is>
      </c>
      <c r="B716" s="1" t="n">
        <v>45189</v>
      </c>
      <c r="C716" s="1" t="n">
        <v>45789</v>
      </c>
      <c r="D716" t="inlineStr">
        <is>
          <t>DALARNAS LÄN</t>
        </is>
      </c>
      <c r="E716" t="inlineStr">
        <is>
          <t>ÄLVDALEN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45122-2023</t>
        </is>
      </c>
      <c r="B717" s="1" t="n">
        <v>45191</v>
      </c>
      <c r="C717" s="1" t="n">
        <v>45789</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45540-2023</t>
        </is>
      </c>
      <c r="B718" s="1" t="n">
        <v>45194</v>
      </c>
      <c r="C718" s="1" t="n">
        <v>45789</v>
      </c>
      <c r="D718" t="inlineStr">
        <is>
          <t>DALARNAS LÄN</t>
        </is>
      </c>
      <c r="E718" t="inlineStr">
        <is>
          <t>ÄLVDALEN</t>
        </is>
      </c>
      <c r="G718" t="n">
        <v>14.5</v>
      </c>
      <c r="H718" t="n">
        <v>0</v>
      </c>
      <c r="I718" t="n">
        <v>0</v>
      </c>
      <c r="J718" t="n">
        <v>0</v>
      </c>
      <c r="K718" t="n">
        <v>0</v>
      </c>
      <c r="L718" t="n">
        <v>0</v>
      </c>
      <c r="M718" t="n">
        <v>0</v>
      </c>
      <c r="N718" t="n">
        <v>0</v>
      </c>
      <c r="O718" t="n">
        <v>0</v>
      </c>
      <c r="P718" t="n">
        <v>0</v>
      </c>
      <c r="Q718" t="n">
        <v>0</v>
      </c>
      <c r="R718" s="2" t="inlineStr"/>
    </row>
    <row r="719" ht="15" customHeight="1">
      <c r="A719" t="inlineStr">
        <is>
          <t>A 45544-2023</t>
        </is>
      </c>
      <c r="B719" s="1" t="n">
        <v>45194</v>
      </c>
      <c r="C719" s="1" t="n">
        <v>45789</v>
      </c>
      <c r="D719" t="inlineStr">
        <is>
          <t>DALARNAS LÄN</t>
        </is>
      </c>
      <c r="E719" t="inlineStr">
        <is>
          <t>ÄLVDALEN</t>
        </is>
      </c>
      <c r="F719" t="inlineStr">
        <is>
          <t>Allmännings- och besparingsskogar</t>
        </is>
      </c>
      <c r="G719" t="n">
        <v>9.6</v>
      </c>
      <c r="H719" t="n">
        <v>0</v>
      </c>
      <c r="I719" t="n">
        <v>0</v>
      </c>
      <c r="J719" t="n">
        <v>0</v>
      </c>
      <c r="K719" t="n">
        <v>0</v>
      </c>
      <c r="L719" t="n">
        <v>0</v>
      </c>
      <c r="M719" t="n">
        <v>0</v>
      </c>
      <c r="N719" t="n">
        <v>0</v>
      </c>
      <c r="O719" t="n">
        <v>0</v>
      </c>
      <c r="P719" t="n">
        <v>0</v>
      </c>
      <c r="Q719" t="n">
        <v>0</v>
      </c>
      <c r="R719" s="2" t="inlineStr"/>
    </row>
    <row r="720" ht="15" customHeight="1">
      <c r="A720" t="inlineStr">
        <is>
          <t>A 45898-2023</t>
        </is>
      </c>
      <c r="B720" s="1" t="n">
        <v>45195</v>
      </c>
      <c r="C720" s="1" t="n">
        <v>45789</v>
      </c>
      <c r="D720" t="inlineStr">
        <is>
          <t>DALARNAS LÄN</t>
        </is>
      </c>
      <c r="E720" t="inlineStr">
        <is>
          <t>ÄLVDALEN</t>
        </is>
      </c>
      <c r="G720" t="n">
        <v>3.6</v>
      </c>
      <c r="H720" t="n">
        <v>0</v>
      </c>
      <c r="I720" t="n">
        <v>0</v>
      </c>
      <c r="J720" t="n">
        <v>0</v>
      </c>
      <c r="K720" t="n">
        <v>0</v>
      </c>
      <c r="L720" t="n">
        <v>0</v>
      </c>
      <c r="M720" t="n">
        <v>0</v>
      </c>
      <c r="N720" t="n">
        <v>0</v>
      </c>
      <c r="O720" t="n">
        <v>0</v>
      </c>
      <c r="P720" t="n">
        <v>0</v>
      </c>
      <c r="Q720" t="n">
        <v>0</v>
      </c>
      <c r="R720" s="2" t="inlineStr"/>
    </row>
    <row r="721" ht="15" customHeight="1">
      <c r="A721" t="inlineStr">
        <is>
          <t>A 45859-2023</t>
        </is>
      </c>
      <c r="B721" s="1" t="n">
        <v>45195</v>
      </c>
      <c r="C721" s="1" t="n">
        <v>45789</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45894-2023</t>
        </is>
      </c>
      <c r="B722" s="1" t="n">
        <v>45195</v>
      </c>
      <c r="C722" s="1" t="n">
        <v>45789</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46011-2023</t>
        </is>
      </c>
      <c r="B723" s="1" t="n">
        <v>45196</v>
      </c>
      <c r="C723" s="1" t="n">
        <v>45789</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46322-2023</t>
        </is>
      </c>
      <c r="B724" s="1" t="n">
        <v>45197</v>
      </c>
      <c r="C724" s="1" t="n">
        <v>45789</v>
      </c>
      <c r="D724" t="inlineStr">
        <is>
          <t>DALARNAS LÄN</t>
        </is>
      </c>
      <c r="E724" t="inlineStr">
        <is>
          <t>ÄLVDALEN</t>
        </is>
      </c>
      <c r="G724" t="n">
        <v>1.4</v>
      </c>
      <c r="H724" t="n">
        <v>0</v>
      </c>
      <c r="I724" t="n">
        <v>0</v>
      </c>
      <c r="J724" t="n">
        <v>0</v>
      </c>
      <c r="K724" t="n">
        <v>0</v>
      </c>
      <c r="L724" t="n">
        <v>0</v>
      </c>
      <c r="M724" t="n">
        <v>0</v>
      </c>
      <c r="N724" t="n">
        <v>0</v>
      </c>
      <c r="O724" t="n">
        <v>0</v>
      </c>
      <c r="P724" t="n">
        <v>0</v>
      </c>
      <c r="Q724" t="n">
        <v>0</v>
      </c>
      <c r="R724" s="2" t="inlineStr"/>
    </row>
    <row r="725" ht="15" customHeight="1">
      <c r="A725" t="inlineStr">
        <is>
          <t>A 46329-2023</t>
        </is>
      </c>
      <c r="B725" s="1" t="n">
        <v>45197</v>
      </c>
      <c r="C725" s="1" t="n">
        <v>45789</v>
      </c>
      <c r="D725" t="inlineStr">
        <is>
          <t>DALARNAS LÄN</t>
        </is>
      </c>
      <c r="E725" t="inlineStr">
        <is>
          <t>ÄLVDALEN</t>
        </is>
      </c>
      <c r="G725" t="n">
        <v>2.8</v>
      </c>
      <c r="H725" t="n">
        <v>0</v>
      </c>
      <c r="I725" t="n">
        <v>0</v>
      </c>
      <c r="J725" t="n">
        <v>0</v>
      </c>
      <c r="K725" t="n">
        <v>0</v>
      </c>
      <c r="L725" t="n">
        <v>0</v>
      </c>
      <c r="M725" t="n">
        <v>0</v>
      </c>
      <c r="N725" t="n">
        <v>0</v>
      </c>
      <c r="O725" t="n">
        <v>0</v>
      </c>
      <c r="P725" t="n">
        <v>0</v>
      </c>
      <c r="Q725" t="n">
        <v>0</v>
      </c>
      <c r="R725" s="2" t="inlineStr"/>
    </row>
    <row r="726" ht="15" customHeight="1">
      <c r="A726" t="inlineStr">
        <is>
          <t>A 47064-2023</t>
        </is>
      </c>
      <c r="B726" s="1" t="n">
        <v>45201</v>
      </c>
      <c r="C726" s="1" t="n">
        <v>45789</v>
      </c>
      <c r="D726" t="inlineStr">
        <is>
          <t>DALARNAS LÄN</t>
        </is>
      </c>
      <c r="E726" t="inlineStr">
        <is>
          <t>ÄLVDALEN</t>
        </is>
      </c>
      <c r="F726" t="inlineStr">
        <is>
          <t>Bergvik skog väst AB</t>
        </is>
      </c>
      <c r="G726" t="n">
        <v>5.6</v>
      </c>
      <c r="H726" t="n">
        <v>0</v>
      </c>
      <c r="I726" t="n">
        <v>0</v>
      </c>
      <c r="J726" t="n">
        <v>0</v>
      </c>
      <c r="K726" t="n">
        <v>0</v>
      </c>
      <c r="L726" t="n">
        <v>0</v>
      </c>
      <c r="M726" t="n">
        <v>0</v>
      </c>
      <c r="N726" t="n">
        <v>0</v>
      </c>
      <c r="O726" t="n">
        <v>0</v>
      </c>
      <c r="P726" t="n">
        <v>0</v>
      </c>
      <c r="Q726" t="n">
        <v>0</v>
      </c>
      <c r="R726" s="2" t="inlineStr"/>
    </row>
    <row r="727" ht="15" customHeight="1">
      <c r="A727" t="inlineStr">
        <is>
          <t>A 47078-2023</t>
        </is>
      </c>
      <c r="B727" s="1" t="n">
        <v>45201</v>
      </c>
      <c r="C727" s="1" t="n">
        <v>45789</v>
      </c>
      <c r="D727" t="inlineStr">
        <is>
          <t>DALARNAS LÄN</t>
        </is>
      </c>
      <c r="E727" t="inlineStr">
        <is>
          <t>ÄLVDALEN</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47081-2023</t>
        </is>
      </c>
      <c r="B728" s="1" t="n">
        <v>45201</v>
      </c>
      <c r="C728" s="1" t="n">
        <v>45789</v>
      </c>
      <c r="D728" t="inlineStr">
        <is>
          <t>DALARNAS LÄN</t>
        </is>
      </c>
      <c r="E728" t="inlineStr">
        <is>
          <t>ÄLVDALEN</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47085-2023</t>
        </is>
      </c>
      <c r="B729" s="1" t="n">
        <v>45201</v>
      </c>
      <c r="C729" s="1" t="n">
        <v>45789</v>
      </c>
      <c r="D729" t="inlineStr">
        <is>
          <t>DALARNAS LÄN</t>
        </is>
      </c>
      <c r="E729" t="inlineStr">
        <is>
          <t>ÄLVDALEN</t>
        </is>
      </c>
      <c r="G729" t="n">
        <v>7.2</v>
      </c>
      <c r="H729" t="n">
        <v>0</v>
      </c>
      <c r="I729" t="n">
        <v>0</v>
      </c>
      <c r="J729" t="n">
        <v>0</v>
      </c>
      <c r="K729" t="n">
        <v>0</v>
      </c>
      <c r="L729" t="n">
        <v>0</v>
      </c>
      <c r="M729" t="n">
        <v>0</v>
      </c>
      <c r="N729" t="n">
        <v>0</v>
      </c>
      <c r="O729" t="n">
        <v>0</v>
      </c>
      <c r="P729" t="n">
        <v>0</v>
      </c>
      <c r="Q729" t="n">
        <v>0</v>
      </c>
      <c r="R729" s="2" t="inlineStr"/>
    </row>
    <row r="730" ht="15" customHeight="1">
      <c r="A730" t="inlineStr">
        <is>
          <t>A 47054-2023</t>
        </is>
      </c>
      <c r="B730" s="1" t="n">
        <v>45201</v>
      </c>
      <c r="C730" s="1" t="n">
        <v>45789</v>
      </c>
      <c r="D730" t="inlineStr">
        <is>
          <t>DALARNAS LÄN</t>
        </is>
      </c>
      <c r="E730" t="inlineStr">
        <is>
          <t>ÄLVDALEN</t>
        </is>
      </c>
      <c r="G730" t="n">
        <v>1.8</v>
      </c>
      <c r="H730" t="n">
        <v>0</v>
      </c>
      <c r="I730" t="n">
        <v>0</v>
      </c>
      <c r="J730" t="n">
        <v>0</v>
      </c>
      <c r="K730" t="n">
        <v>0</v>
      </c>
      <c r="L730" t="n">
        <v>0</v>
      </c>
      <c r="M730" t="n">
        <v>0</v>
      </c>
      <c r="N730" t="n">
        <v>0</v>
      </c>
      <c r="O730" t="n">
        <v>0</v>
      </c>
      <c r="P730" t="n">
        <v>0</v>
      </c>
      <c r="Q730" t="n">
        <v>0</v>
      </c>
      <c r="R730" s="2" t="inlineStr"/>
    </row>
    <row r="731" ht="15" customHeight="1">
      <c r="A731" t="inlineStr">
        <is>
          <t>A 47071-2023</t>
        </is>
      </c>
      <c r="B731" s="1" t="n">
        <v>45201</v>
      </c>
      <c r="C731" s="1" t="n">
        <v>45789</v>
      </c>
      <c r="D731" t="inlineStr">
        <is>
          <t>DALARNAS LÄN</t>
        </is>
      </c>
      <c r="E731" t="inlineStr">
        <is>
          <t>ÄLVDALEN</t>
        </is>
      </c>
      <c r="F731" t="inlineStr">
        <is>
          <t>Bergvik skog väst AB</t>
        </is>
      </c>
      <c r="G731" t="n">
        <v>2.6</v>
      </c>
      <c r="H731" t="n">
        <v>0</v>
      </c>
      <c r="I731" t="n">
        <v>0</v>
      </c>
      <c r="J731" t="n">
        <v>0</v>
      </c>
      <c r="K731" t="n">
        <v>0</v>
      </c>
      <c r="L731" t="n">
        <v>0</v>
      </c>
      <c r="M731" t="n">
        <v>0</v>
      </c>
      <c r="N731" t="n">
        <v>0</v>
      </c>
      <c r="O731" t="n">
        <v>0</v>
      </c>
      <c r="P731" t="n">
        <v>0</v>
      </c>
      <c r="Q731" t="n">
        <v>0</v>
      </c>
      <c r="R731" s="2" t="inlineStr"/>
    </row>
    <row r="732" ht="15" customHeight="1">
      <c r="A732" t="inlineStr">
        <is>
          <t>A 47873-2023</t>
        </is>
      </c>
      <c r="B732" s="1" t="n">
        <v>45204</v>
      </c>
      <c r="C732" s="1" t="n">
        <v>45789</v>
      </c>
      <c r="D732" t="inlineStr">
        <is>
          <t>DALARNAS LÄN</t>
        </is>
      </c>
      <c r="E732" t="inlineStr">
        <is>
          <t>ÄLVDALEN</t>
        </is>
      </c>
      <c r="G732" t="n">
        <v>1.3</v>
      </c>
      <c r="H732" t="n">
        <v>0</v>
      </c>
      <c r="I732" t="n">
        <v>0</v>
      </c>
      <c r="J732" t="n">
        <v>0</v>
      </c>
      <c r="K732" t="n">
        <v>0</v>
      </c>
      <c r="L732" t="n">
        <v>0</v>
      </c>
      <c r="M732" t="n">
        <v>0</v>
      </c>
      <c r="N732" t="n">
        <v>0</v>
      </c>
      <c r="O732" t="n">
        <v>0</v>
      </c>
      <c r="P732" t="n">
        <v>0</v>
      </c>
      <c r="Q732" t="n">
        <v>0</v>
      </c>
      <c r="R732" s="2" t="inlineStr"/>
    </row>
    <row r="733" ht="15" customHeight="1">
      <c r="A733" t="inlineStr">
        <is>
          <t>A 47877-2023</t>
        </is>
      </c>
      <c r="B733" s="1" t="n">
        <v>45204</v>
      </c>
      <c r="C733" s="1" t="n">
        <v>45789</v>
      </c>
      <c r="D733" t="inlineStr">
        <is>
          <t>DALARNAS LÄN</t>
        </is>
      </c>
      <c r="E733" t="inlineStr">
        <is>
          <t>ÄLVDALEN</t>
        </is>
      </c>
      <c r="G733" t="n">
        <v>4.8</v>
      </c>
      <c r="H733" t="n">
        <v>0</v>
      </c>
      <c r="I733" t="n">
        <v>0</v>
      </c>
      <c r="J733" t="n">
        <v>0</v>
      </c>
      <c r="K733" t="n">
        <v>0</v>
      </c>
      <c r="L733" t="n">
        <v>0</v>
      </c>
      <c r="M733" t="n">
        <v>0</v>
      </c>
      <c r="N733" t="n">
        <v>0</v>
      </c>
      <c r="O733" t="n">
        <v>0</v>
      </c>
      <c r="P733" t="n">
        <v>0</v>
      </c>
      <c r="Q733" t="n">
        <v>0</v>
      </c>
      <c r="R733" s="2" t="inlineStr"/>
    </row>
    <row r="734" ht="15" customHeight="1">
      <c r="A734" t="inlineStr">
        <is>
          <t>A 47869-2023</t>
        </is>
      </c>
      <c r="B734" s="1" t="n">
        <v>45204</v>
      </c>
      <c r="C734" s="1" t="n">
        <v>45789</v>
      </c>
      <c r="D734" t="inlineStr">
        <is>
          <t>DALARNAS LÄN</t>
        </is>
      </c>
      <c r="E734" t="inlineStr">
        <is>
          <t>ÄLVDALEN</t>
        </is>
      </c>
      <c r="G734" t="n">
        <v>11</v>
      </c>
      <c r="H734" t="n">
        <v>0</v>
      </c>
      <c r="I734" t="n">
        <v>0</v>
      </c>
      <c r="J734" t="n">
        <v>0</v>
      </c>
      <c r="K734" t="n">
        <v>0</v>
      </c>
      <c r="L734" t="n">
        <v>0</v>
      </c>
      <c r="M734" t="n">
        <v>0</v>
      </c>
      <c r="N734" t="n">
        <v>0</v>
      </c>
      <c r="O734" t="n">
        <v>0</v>
      </c>
      <c r="P734" t="n">
        <v>0</v>
      </c>
      <c r="Q734" t="n">
        <v>0</v>
      </c>
      <c r="R734" s="2" t="inlineStr"/>
    </row>
    <row r="735" ht="15" customHeight="1">
      <c r="A735" t="inlineStr">
        <is>
          <t>A 48652-2023</t>
        </is>
      </c>
      <c r="B735" s="1" t="n">
        <v>45208</v>
      </c>
      <c r="C735" s="1" t="n">
        <v>45789</v>
      </c>
      <c r="D735" t="inlineStr">
        <is>
          <t>DALARNAS LÄN</t>
        </is>
      </c>
      <c r="E735" t="inlineStr">
        <is>
          <t>ÄLVDALEN</t>
        </is>
      </c>
      <c r="G735" t="n">
        <v>15</v>
      </c>
      <c r="H735" t="n">
        <v>0</v>
      </c>
      <c r="I735" t="n">
        <v>0</v>
      </c>
      <c r="J735" t="n">
        <v>0</v>
      </c>
      <c r="K735" t="n">
        <v>0</v>
      </c>
      <c r="L735" t="n">
        <v>0</v>
      </c>
      <c r="M735" t="n">
        <v>0</v>
      </c>
      <c r="N735" t="n">
        <v>0</v>
      </c>
      <c r="O735" t="n">
        <v>0</v>
      </c>
      <c r="P735" t="n">
        <v>0</v>
      </c>
      <c r="Q735" t="n">
        <v>0</v>
      </c>
      <c r="R735" s="2" t="inlineStr"/>
    </row>
    <row r="736" ht="15" customHeight="1">
      <c r="A736" t="inlineStr">
        <is>
          <t>A 48951-2023</t>
        </is>
      </c>
      <c r="B736" s="1" t="n">
        <v>45209</v>
      </c>
      <c r="C736" s="1" t="n">
        <v>45789</v>
      </c>
      <c r="D736" t="inlineStr">
        <is>
          <t>DALARNAS LÄN</t>
        </is>
      </c>
      <c r="E736" t="inlineStr">
        <is>
          <t>ÄLVDALEN</t>
        </is>
      </c>
      <c r="G736" t="n">
        <v>1.6</v>
      </c>
      <c r="H736" t="n">
        <v>0</v>
      </c>
      <c r="I736" t="n">
        <v>0</v>
      </c>
      <c r="J736" t="n">
        <v>0</v>
      </c>
      <c r="K736" t="n">
        <v>0</v>
      </c>
      <c r="L736" t="n">
        <v>0</v>
      </c>
      <c r="M736" t="n">
        <v>0</v>
      </c>
      <c r="N736" t="n">
        <v>0</v>
      </c>
      <c r="O736" t="n">
        <v>0</v>
      </c>
      <c r="P736" t="n">
        <v>0</v>
      </c>
      <c r="Q736" t="n">
        <v>0</v>
      </c>
      <c r="R736" s="2" t="inlineStr"/>
    </row>
    <row r="737" ht="15" customHeight="1">
      <c r="A737" t="inlineStr">
        <is>
          <t>A 48954-2023</t>
        </is>
      </c>
      <c r="B737" s="1" t="n">
        <v>45209</v>
      </c>
      <c r="C737" s="1" t="n">
        <v>45789</v>
      </c>
      <c r="D737" t="inlineStr">
        <is>
          <t>DALARNAS LÄN</t>
        </is>
      </c>
      <c r="E737" t="inlineStr">
        <is>
          <t>ÄLVDALEN</t>
        </is>
      </c>
      <c r="G737" t="n">
        <v>7</v>
      </c>
      <c r="H737" t="n">
        <v>0</v>
      </c>
      <c r="I737" t="n">
        <v>0</v>
      </c>
      <c r="J737" t="n">
        <v>0</v>
      </c>
      <c r="K737" t="n">
        <v>0</v>
      </c>
      <c r="L737" t="n">
        <v>0</v>
      </c>
      <c r="M737" t="n">
        <v>0</v>
      </c>
      <c r="N737" t="n">
        <v>0</v>
      </c>
      <c r="O737" t="n">
        <v>0</v>
      </c>
      <c r="P737" t="n">
        <v>0</v>
      </c>
      <c r="Q737" t="n">
        <v>0</v>
      </c>
      <c r="R737" s="2" t="inlineStr"/>
    </row>
    <row r="738" ht="15" customHeight="1">
      <c r="A738" t="inlineStr">
        <is>
          <t>A 49081-2023</t>
        </is>
      </c>
      <c r="B738" s="1" t="n">
        <v>45210</v>
      </c>
      <c r="C738" s="1" t="n">
        <v>45789</v>
      </c>
      <c r="D738" t="inlineStr">
        <is>
          <t>DALARNAS LÄN</t>
        </is>
      </c>
      <c r="E738" t="inlineStr">
        <is>
          <t>ÄLVDALEN</t>
        </is>
      </c>
      <c r="G738" t="n">
        <v>16.3</v>
      </c>
      <c r="H738" t="n">
        <v>0</v>
      </c>
      <c r="I738" t="n">
        <v>0</v>
      </c>
      <c r="J738" t="n">
        <v>0</v>
      </c>
      <c r="K738" t="n">
        <v>0</v>
      </c>
      <c r="L738" t="n">
        <v>0</v>
      </c>
      <c r="M738" t="n">
        <v>0</v>
      </c>
      <c r="N738" t="n">
        <v>0</v>
      </c>
      <c r="O738" t="n">
        <v>0</v>
      </c>
      <c r="P738" t="n">
        <v>0</v>
      </c>
      <c r="Q738" t="n">
        <v>0</v>
      </c>
      <c r="R738" s="2" t="inlineStr"/>
    </row>
    <row r="739" ht="15" customHeight="1">
      <c r="A739" t="inlineStr">
        <is>
          <t>A 49063-2023</t>
        </is>
      </c>
      <c r="B739" s="1" t="n">
        <v>45210</v>
      </c>
      <c r="C739" s="1" t="n">
        <v>45789</v>
      </c>
      <c r="D739" t="inlineStr">
        <is>
          <t>DALARNAS LÄN</t>
        </is>
      </c>
      <c r="E739" t="inlineStr">
        <is>
          <t>ÄLVDALEN</t>
        </is>
      </c>
      <c r="G739" t="n">
        <v>4.1</v>
      </c>
      <c r="H739" t="n">
        <v>0</v>
      </c>
      <c r="I739" t="n">
        <v>0</v>
      </c>
      <c r="J739" t="n">
        <v>0</v>
      </c>
      <c r="K739" t="n">
        <v>0</v>
      </c>
      <c r="L739" t="n">
        <v>0</v>
      </c>
      <c r="M739" t="n">
        <v>0</v>
      </c>
      <c r="N739" t="n">
        <v>0</v>
      </c>
      <c r="O739" t="n">
        <v>0</v>
      </c>
      <c r="P739" t="n">
        <v>0</v>
      </c>
      <c r="Q739" t="n">
        <v>0</v>
      </c>
      <c r="R739" s="2" t="inlineStr"/>
    </row>
    <row r="740" ht="15" customHeight="1">
      <c r="A740" t="inlineStr">
        <is>
          <t>A 49137-2023</t>
        </is>
      </c>
      <c r="B740" s="1" t="n">
        <v>45210</v>
      </c>
      <c r="C740" s="1" t="n">
        <v>45789</v>
      </c>
      <c r="D740" t="inlineStr">
        <is>
          <t>DALARNAS LÄN</t>
        </is>
      </c>
      <c r="E740" t="inlineStr">
        <is>
          <t>ÄLVDALEN</t>
        </is>
      </c>
      <c r="F740" t="inlineStr">
        <is>
          <t>Allmännings- och besparingsskogar</t>
        </is>
      </c>
      <c r="G740" t="n">
        <v>1.9</v>
      </c>
      <c r="H740" t="n">
        <v>0</v>
      </c>
      <c r="I740" t="n">
        <v>0</v>
      </c>
      <c r="J740" t="n">
        <v>0</v>
      </c>
      <c r="K740" t="n">
        <v>0</v>
      </c>
      <c r="L740" t="n">
        <v>0</v>
      </c>
      <c r="M740" t="n">
        <v>0</v>
      </c>
      <c r="N740" t="n">
        <v>0</v>
      </c>
      <c r="O740" t="n">
        <v>0</v>
      </c>
      <c r="P740" t="n">
        <v>0</v>
      </c>
      <c r="Q740" t="n">
        <v>0</v>
      </c>
      <c r="R740" s="2" t="inlineStr"/>
    </row>
    <row r="741" ht="15" customHeight="1">
      <c r="A741" t="inlineStr">
        <is>
          <t>A 49236-2023</t>
        </is>
      </c>
      <c r="B741" s="1" t="n">
        <v>45210</v>
      </c>
      <c r="C741" s="1" t="n">
        <v>45789</v>
      </c>
      <c r="D741" t="inlineStr">
        <is>
          <t>DALARNAS LÄN</t>
        </is>
      </c>
      <c r="E741" t="inlineStr">
        <is>
          <t>ÄLVDALEN</t>
        </is>
      </c>
      <c r="F741" t="inlineStr">
        <is>
          <t>Bergvik skog väst AB</t>
        </is>
      </c>
      <c r="G741" t="n">
        <v>4.4</v>
      </c>
      <c r="H741" t="n">
        <v>0</v>
      </c>
      <c r="I741" t="n">
        <v>0</v>
      </c>
      <c r="J741" t="n">
        <v>0</v>
      </c>
      <c r="K741" t="n">
        <v>0</v>
      </c>
      <c r="L741" t="n">
        <v>0</v>
      </c>
      <c r="M741" t="n">
        <v>0</v>
      </c>
      <c r="N741" t="n">
        <v>0</v>
      </c>
      <c r="O741" t="n">
        <v>0</v>
      </c>
      <c r="P741" t="n">
        <v>0</v>
      </c>
      <c r="Q741" t="n">
        <v>0</v>
      </c>
      <c r="R741" s="2" t="inlineStr"/>
    </row>
    <row r="742" ht="15" customHeight="1">
      <c r="A742" t="inlineStr">
        <is>
          <t>A 49203-2023</t>
        </is>
      </c>
      <c r="B742" s="1" t="n">
        <v>45210</v>
      </c>
      <c r="C742" s="1" t="n">
        <v>45789</v>
      </c>
      <c r="D742" t="inlineStr">
        <is>
          <t>DALARNAS LÄN</t>
        </is>
      </c>
      <c r="E742" t="inlineStr">
        <is>
          <t>ÄLVDALEN</t>
        </is>
      </c>
      <c r="F742" t="inlineStr">
        <is>
          <t>Bergvik skog väst AB</t>
        </is>
      </c>
      <c r="G742" t="n">
        <v>18.2</v>
      </c>
      <c r="H742" t="n">
        <v>0</v>
      </c>
      <c r="I742" t="n">
        <v>0</v>
      </c>
      <c r="J742" t="n">
        <v>0</v>
      </c>
      <c r="K742" t="n">
        <v>0</v>
      </c>
      <c r="L742" t="n">
        <v>0</v>
      </c>
      <c r="M742" t="n">
        <v>0</v>
      </c>
      <c r="N742" t="n">
        <v>0</v>
      </c>
      <c r="O742" t="n">
        <v>0</v>
      </c>
      <c r="P742" t="n">
        <v>0</v>
      </c>
      <c r="Q742" t="n">
        <v>0</v>
      </c>
      <c r="R742" s="2" t="inlineStr"/>
    </row>
    <row r="743" ht="15" customHeight="1">
      <c r="A743" t="inlineStr">
        <is>
          <t>A 49272-2023</t>
        </is>
      </c>
      <c r="B743" s="1" t="n">
        <v>45210</v>
      </c>
      <c r="C743" s="1" t="n">
        <v>45789</v>
      </c>
      <c r="D743" t="inlineStr">
        <is>
          <t>DALARNAS LÄN</t>
        </is>
      </c>
      <c r="E743" t="inlineStr">
        <is>
          <t>ÄLVDALEN</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49404-2023</t>
        </is>
      </c>
      <c r="B744" s="1" t="n">
        <v>45211</v>
      </c>
      <c r="C744" s="1" t="n">
        <v>45789</v>
      </c>
      <c r="D744" t="inlineStr">
        <is>
          <t>DALARNAS LÄN</t>
        </is>
      </c>
      <c r="E744" t="inlineStr">
        <is>
          <t>ÄLVDALEN</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49723-2023</t>
        </is>
      </c>
      <c r="B745" s="1" t="n">
        <v>45212</v>
      </c>
      <c r="C745" s="1" t="n">
        <v>45789</v>
      </c>
      <c r="D745" t="inlineStr">
        <is>
          <t>DALARNAS LÄN</t>
        </is>
      </c>
      <c r="E745" t="inlineStr">
        <is>
          <t>ÄLVDALEN</t>
        </is>
      </c>
      <c r="F745" t="inlineStr">
        <is>
          <t>Bergvik skog väst AB</t>
        </is>
      </c>
      <c r="G745" t="n">
        <v>5</v>
      </c>
      <c r="H745" t="n">
        <v>0</v>
      </c>
      <c r="I745" t="n">
        <v>0</v>
      </c>
      <c r="J745" t="n">
        <v>0</v>
      </c>
      <c r="K745" t="n">
        <v>0</v>
      </c>
      <c r="L745" t="n">
        <v>0</v>
      </c>
      <c r="M745" t="n">
        <v>0</v>
      </c>
      <c r="N745" t="n">
        <v>0</v>
      </c>
      <c r="O745" t="n">
        <v>0</v>
      </c>
      <c r="P745" t="n">
        <v>0</v>
      </c>
      <c r="Q745" t="n">
        <v>0</v>
      </c>
      <c r="R745" s="2" t="inlineStr"/>
    </row>
    <row r="746" ht="15" customHeight="1">
      <c r="A746" t="inlineStr">
        <is>
          <t>A 49974-2023</t>
        </is>
      </c>
      <c r="B746" s="1" t="n">
        <v>45215</v>
      </c>
      <c r="C746" s="1" t="n">
        <v>45789</v>
      </c>
      <c r="D746" t="inlineStr">
        <is>
          <t>DALARNAS LÄN</t>
        </is>
      </c>
      <c r="E746" t="inlineStr">
        <is>
          <t>ÄLVDALEN</t>
        </is>
      </c>
      <c r="G746" t="n">
        <v>0.6</v>
      </c>
      <c r="H746" t="n">
        <v>0</v>
      </c>
      <c r="I746" t="n">
        <v>0</v>
      </c>
      <c r="J746" t="n">
        <v>0</v>
      </c>
      <c r="K746" t="n">
        <v>0</v>
      </c>
      <c r="L746" t="n">
        <v>0</v>
      </c>
      <c r="M746" t="n">
        <v>0</v>
      </c>
      <c r="N746" t="n">
        <v>0</v>
      </c>
      <c r="O746" t="n">
        <v>0</v>
      </c>
      <c r="P746" t="n">
        <v>0</v>
      </c>
      <c r="Q746" t="n">
        <v>0</v>
      </c>
      <c r="R746" s="2" t="inlineStr"/>
    </row>
    <row r="747" ht="15" customHeight="1">
      <c r="A747" t="inlineStr">
        <is>
          <t>A 50440-2023</t>
        </is>
      </c>
      <c r="B747" s="1" t="n">
        <v>45216</v>
      </c>
      <c r="C747" s="1" t="n">
        <v>45789</v>
      </c>
      <c r="D747" t="inlineStr">
        <is>
          <t>DALARNAS LÄN</t>
        </is>
      </c>
      <c r="E747" t="inlineStr">
        <is>
          <t>ÄLVDALEN</t>
        </is>
      </c>
      <c r="F747" t="inlineStr">
        <is>
          <t>Allmännings- och besparingsskogar</t>
        </is>
      </c>
      <c r="G747" t="n">
        <v>3.4</v>
      </c>
      <c r="H747" t="n">
        <v>0</v>
      </c>
      <c r="I747" t="n">
        <v>0</v>
      </c>
      <c r="J747" t="n">
        <v>0</v>
      </c>
      <c r="K747" t="n">
        <v>0</v>
      </c>
      <c r="L747" t="n">
        <v>0</v>
      </c>
      <c r="M747" t="n">
        <v>0</v>
      </c>
      <c r="N747" t="n">
        <v>0</v>
      </c>
      <c r="O747" t="n">
        <v>0</v>
      </c>
      <c r="P747" t="n">
        <v>0</v>
      </c>
      <c r="Q747" t="n">
        <v>0</v>
      </c>
      <c r="R747" s="2" t="inlineStr"/>
    </row>
    <row r="748" ht="15" customHeight="1">
      <c r="A748" t="inlineStr">
        <is>
          <t>A 51967-2023</t>
        </is>
      </c>
      <c r="B748" s="1" t="n">
        <v>45223</v>
      </c>
      <c r="C748" s="1" t="n">
        <v>45789</v>
      </c>
      <c r="D748" t="inlineStr">
        <is>
          <t>DALARNAS LÄN</t>
        </is>
      </c>
      <c r="E748" t="inlineStr">
        <is>
          <t>ÄLVDALEN</t>
        </is>
      </c>
      <c r="G748" t="n">
        <v>2.2</v>
      </c>
      <c r="H748" t="n">
        <v>0</v>
      </c>
      <c r="I748" t="n">
        <v>0</v>
      </c>
      <c r="J748" t="n">
        <v>0</v>
      </c>
      <c r="K748" t="n">
        <v>0</v>
      </c>
      <c r="L748" t="n">
        <v>0</v>
      </c>
      <c r="M748" t="n">
        <v>0</v>
      </c>
      <c r="N748" t="n">
        <v>0</v>
      </c>
      <c r="O748" t="n">
        <v>0</v>
      </c>
      <c r="P748" t="n">
        <v>0</v>
      </c>
      <c r="Q748" t="n">
        <v>0</v>
      </c>
      <c r="R748" s="2" t="inlineStr"/>
    </row>
    <row r="749" ht="15" customHeight="1">
      <c r="A749" t="inlineStr">
        <is>
          <t>A 51897-2023</t>
        </is>
      </c>
      <c r="B749" s="1" t="n">
        <v>45223</v>
      </c>
      <c r="C749" s="1" t="n">
        <v>45789</v>
      </c>
      <c r="D749" t="inlineStr">
        <is>
          <t>DALARNAS LÄN</t>
        </is>
      </c>
      <c r="E749" t="inlineStr">
        <is>
          <t>ÄLVDALEN</t>
        </is>
      </c>
      <c r="F749" t="inlineStr">
        <is>
          <t>Allmännings- och besparingsskogar</t>
        </is>
      </c>
      <c r="G749" t="n">
        <v>32.6</v>
      </c>
      <c r="H749" t="n">
        <v>0</v>
      </c>
      <c r="I749" t="n">
        <v>0</v>
      </c>
      <c r="J749" t="n">
        <v>0</v>
      </c>
      <c r="K749" t="n">
        <v>0</v>
      </c>
      <c r="L749" t="n">
        <v>0</v>
      </c>
      <c r="M749" t="n">
        <v>0</v>
      </c>
      <c r="N749" t="n">
        <v>0</v>
      </c>
      <c r="O749" t="n">
        <v>0</v>
      </c>
      <c r="P749" t="n">
        <v>0</v>
      </c>
      <c r="Q749" t="n">
        <v>0</v>
      </c>
      <c r="R749" s="2" t="inlineStr"/>
    </row>
    <row r="750" ht="15" customHeight="1">
      <c r="A750" t="inlineStr">
        <is>
          <t>A 52210-2023</t>
        </is>
      </c>
      <c r="B750" s="1" t="n">
        <v>45224</v>
      </c>
      <c r="C750" s="1" t="n">
        <v>45789</v>
      </c>
      <c r="D750" t="inlineStr">
        <is>
          <t>DALARNAS LÄN</t>
        </is>
      </c>
      <c r="E750" t="inlineStr">
        <is>
          <t>ÄLVDALEN</t>
        </is>
      </c>
      <c r="F750" t="inlineStr">
        <is>
          <t>Allmännings- och besparingsskogar</t>
        </is>
      </c>
      <c r="G750" t="n">
        <v>16.2</v>
      </c>
      <c r="H750" t="n">
        <v>0</v>
      </c>
      <c r="I750" t="n">
        <v>0</v>
      </c>
      <c r="J750" t="n">
        <v>0</v>
      </c>
      <c r="K750" t="n">
        <v>0</v>
      </c>
      <c r="L750" t="n">
        <v>0</v>
      </c>
      <c r="M750" t="n">
        <v>0</v>
      </c>
      <c r="N750" t="n">
        <v>0</v>
      </c>
      <c r="O750" t="n">
        <v>0</v>
      </c>
      <c r="P750" t="n">
        <v>0</v>
      </c>
      <c r="Q750" t="n">
        <v>0</v>
      </c>
      <c r="R750" s="2" t="inlineStr"/>
    </row>
    <row r="751" ht="15" customHeight="1">
      <c r="A751" t="inlineStr">
        <is>
          <t>A 52388-2023</t>
        </is>
      </c>
      <c r="B751" s="1" t="n">
        <v>45224</v>
      </c>
      <c r="C751" s="1" t="n">
        <v>45789</v>
      </c>
      <c r="D751" t="inlineStr">
        <is>
          <t>DALARNAS LÄN</t>
        </is>
      </c>
      <c r="E751" t="inlineStr">
        <is>
          <t>ÄLVDALEN</t>
        </is>
      </c>
      <c r="G751" t="n">
        <v>4.2</v>
      </c>
      <c r="H751" t="n">
        <v>0</v>
      </c>
      <c r="I751" t="n">
        <v>0</v>
      </c>
      <c r="J751" t="n">
        <v>0</v>
      </c>
      <c r="K751" t="n">
        <v>0</v>
      </c>
      <c r="L751" t="n">
        <v>0</v>
      </c>
      <c r="M751" t="n">
        <v>0</v>
      </c>
      <c r="N751" t="n">
        <v>0</v>
      </c>
      <c r="O751" t="n">
        <v>0</v>
      </c>
      <c r="P751" t="n">
        <v>0</v>
      </c>
      <c r="Q751" t="n">
        <v>0</v>
      </c>
      <c r="R751" s="2" t="inlineStr"/>
    </row>
    <row r="752" ht="15" customHeight="1">
      <c r="A752" t="inlineStr">
        <is>
          <t>A 52483-2023</t>
        </is>
      </c>
      <c r="B752" s="1" t="n">
        <v>45225</v>
      </c>
      <c r="C752" s="1" t="n">
        <v>45789</v>
      </c>
      <c r="D752" t="inlineStr">
        <is>
          <t>DALARNAS LÄN</t>
        </is>
      </c>
      <c r="E752" t="inlineStr">
        <is>
          <t>ÄLVDALEN</t>
        </is>
      </c>
      <c r="F752" t="inlineStr">
        <is>
          <t>Allmännings- och besparingsskogar</t>
        </is>
      </c>
      <c r="G752" t="n">
        <v>30.9</v>
      </c>
      <c r="H752" t="n">
        <v>0</v>
      </c>
      <c r="I752" t="n">
        <v>0</v>
      </c>
      <c r="J752" t="n">
        <v>0</v>
      </c>
      <c r="K752" t="n">
        <v>0</v>
      </c>
      <c r="L752" t="n">
        <v>0</v>
      </c>
      <c r="M752" t="n">
        <v>0</v>
      </c>
      <c r="N752" t="n">
        <v>0</v>
      </c>
      <c r="O752" t="n">
        <v>0</v>
      </c>
      <c r="P752" t="n">
        <v>0</v>
      </c>
      <c r="Q752" t="n">
        <v>0</v>
      </c>
      <c r="R752" s="2" t="inlineStr"/>
      <c r="U752">
        <f>HYPERLINK("https://klasma.github.io/Logging_2039/knärot/A 52483-2023 karta knärot.png", "A 52483-2023")</f>
        <v/>
      </c>
      <c r="V752">
        <f>HYPERLINK("https://klasma.github.io/Logging_2039/klagomål/A 52483-2023 FSC-klagomål.docx", "A 52483-2023")</f>
        <v/>
      </c>
      <c r="W752">
        <f>HYPERLINK("https://klasma.github.io/Logging_2039/klagomålsmail/A 52483-2023 FSC-klagomål mail.docx", "A 52483-2023")</f>
        <v/>
      </c>
      <c r="X752">
        <f>HYPERLINK("https://klasma.github.io/Logging_2039/tillsyn/A 52483-2023 tillsynsbegäran.docx", "A 52483-2023")</f>
        <v/>
      </c>
      <c r="Y752">
        <f>HYPERLINK("https://klasma.github.io/Logging_2039/tillsynsmail/A 52483-2023 tillsynsbegäran mail.docx", "A 52483-2023")</f>
        <v/>
      </c>
    </row>
    <row r="753" ht="15" customHeight="1">
      <c r="A753" t="inlineStr">
        <is>
          <t>A 53408-2023</t>
        </is>
      </c>
      <c r="B753" s="1" t="n">
        <v>45229</v>
      </c>
      <c r="C753" s="1" t="n">
        <v>45789</v>
      </c>
      <c r="D753" t="inlineStr">
        <is>
          <t>DALARNAS LÄN</t>
        </is>
      </c>
      <c r="E753" t="inlineStr">
        <is>
          <t>ÄLVDALEN</t>
        </is>
      </c>
      <c r="G753" t="n">
        <v>2</v>
      </c>
      <c r="H753" t="n">
        <v>0</v>
      </c>
      <c r="I753" t="n">
        <v>0</v>
      </c>
      <c r="J753" t="n">
        <v>0</v>
      </c>
      <c r="K753" t="n">
        <v>0</v>
      </c>
      <c r="L753" t="n">
        <v>0</v>
      </c>
      <c r="M753" t="n">
        <v>0</v>
      </c>
      <c r="N753" t="n">
        <v>0</v>
      </c>
      <c r="O753" t="n">
        <v>0</v>
      </c>
      <c r="P753" t="n">
        <v>0</v>
      </c>
      <c r="Q753" t="n">
        <v>0</v>
      </c>
      <c r="R753" s="2" t="inlineStr"/>
    </row>
    <row r="754" ht="15" customHeight="1">
      <c r="A754" t="inlineStr">
        <is>
          <t>A 53200-2023</t>
        </is>
      </c>
      <c r="B754" s="1" t="n">
        <v>45229</v>
      </c>
      <c r="C754" s="1" t="n">
        <v>45789</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54491-2023</t>
        </is>
      </c>
      <c r="B755" s="1" t="n">
        <v>45233</v>
      </c>
      <c r="C755" s="1" t="n">
        <v>45789</v>
      </c>
      <c r="D755" t="inlineStr">
        <is>
          <t>DALARNAS LÄN</t>
        </is>
      </c>
      <c r="E755" t="inlineStr">
        <is>
          <t>ÄLVDALEN</t>
        </is>
      </c>
      <c r="F755" t="inlineStr">
        <is>
          <t>Allmännings- och besparingsskogar</t>
        </is>
      </c>
      <c r="G755" t="n">
        <v>4.4</v>
      </c>
      <c r="H755" t="n">
        <v>0</v>
      </c>
      <c r="I755" t="n">
        <v>0</v>
      </c>
      <c r="J755" t="n">
        <v>0</v>
      </c>
      <c r="K755" t="n">
        <v>0</v>
      </c>
      <c r="L755" t="n">
        <v>0</v>
      </c>
      <c r="M755" t="n">
        <v>0</v>
      </c>
      <c r="N755" t="n">
        <v>0</v>
      </c>
      <c r="O755" t="n">
        <v>0</v>
      </c>
      <c r="P755" t="n">
        <v>0</v>
      </c>
      <c r="Q755" t="n">
        <v>0</v>
      </c>
      <c r="R755" s="2" t="inlineStr"/>
    </row>
    <row r="756" ht="15" customHeight="1">
      <c r="A756" t="inlineStr">
        <is>
          <t>A 54433-2023</t>
        </is>
      </c>
      <c r="B756" s="1" t="n">
        <v>45233</v>
      </c>
      <c r="C756" s="1" t="n">
        <v>45789</v>
      </c>
      <c r="D756" t="inlineStr">
        <is>
          <t>DALARNAS LÄN</t>
        </is>
      </c>
      <c r="E756" t="inlineStr">
        <is>
          <t>ÄLVDALEN</t>
        </is>
      </c>
      <c r="F756" t="inlineStr">
        <is>
          <t>Allmännings- och besparingsskogar</t>
        </is>
      </c>
      <c r="G756" t="n">
        <v>26.4</v>
      </c>
      <c r="H756" t="n">
        <v>0</v>
      </c>
      <c r="I756" t="n">
        <v>0</v>
      </c>
      <c r="J756" t="n">
        <v>0</v>
      </c>
      <c r="K756" t="n">
        <v>0</v>
      </c>
      <c r="L756" t="n">
        <v>0</v>
      </c>
      <c r="M756" t="n">
        <v>0</v>
      </c>
      <c r="N756" t="n">
        <v>0</v>
      </c>
      <c r="O756" t="n">
        <v>0</v>
      </c>
      <c r="P756" t="n">
        <v>0</v>
      </c>
      <c r="Q756" t="n">
        <v>0</v>
      </c>
      <c r="R756" s="2" t="inlineStr"/>
    </row>
    <row r="757" ht="15" customHeight="1">
      <c r="A757" t="inlineStr">
        <is>
          <t>A 54493-2023</t>
        </is>
      </c>
      <c r="B757" s="1" t="n">
        <v>45233</v>
      </c>
      <c r="C757" s="1" t="n">
        <v>45789</v>
      </c>
      <c r="D757" t="inlineStr">
        <is>
          <t>DALARNAS LÄN</t>
        </is>
      </c>
      <c r="E757" t="inlineStr">
        <is>
          <t>ÄLVDALEN</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54443-2023</t>
        </is>
      </c>
      <c r="B758" s="1" t="n">
        <v>45233</v>
      </c>
      <c r="C758" s="1" t="n">
        <v>45789</v>
      </c>
      <c r="D758" t="inlineStr">
        <is>
          <t>DALARNAS LÄN</t>
        </is>
      </c>
      <c r="E758" t="inlineStr">
        <is>
          <t>ÄLVDALEN</t>
        </is>
      </c>
      <c r="F758" t="inlineStr">
        <is>
          <t>Allmännings- och besparingsskogar</t>
        </is>
      </c>
      <c r="G758" t="n">
        <v>11.6</v>
      </c>
      <c r="H758" t="n">
        <v>0</v>
      </c>
      <c r="I758" t="n">
        <v>0</v>
      </c>
      <c r="J758" t="n">
        <v>0</v>
      </c>
      <c r="K758" t="n">
        <v>0</v>
      </c>
      <c r="L758" t="n">
        <v>0</v>
      </c>
      <c r="M758" t="n">
        <v>0</v>
      </c>
      <c r="N758" t="n">
        <v>0</v>
      </c>
      <c r="O758" t="n">
        <v>0</v>
      </c>
      <c r="P758" t="n">
        <v>0</v>
      </c>
      <c r="Q758" t="n">
        <v>0</v>
      </c>
      <c r="R758" s="2" t="inlineStr"/>
    </row>
    <row r="759" ht="15" customHeight="1">
      <c r="A759" t="inlineStr">
        <is>
          <t>A 54445-2023</t>
        </is>
      </c>
      <c r="B759" s="1" t="n">
        <v>45233</v>
      </c>
      <c r="C759" s="1" t="n">
        <v>45789</v>
      </c>
      <c r="D759" t="inlineStr">
        <is>
          <t>DALARNAS LÄN</t>
        </is>
      </c>
      <c r="E759" t="inlineStr">
        <is>
          <t>ÄLVDALEN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56229-2023</t>
        </is>
      </c>
      <c r="B760" s="1" t="n">
        <v>45240</v>
      </c>
      <c r="C760" s="1" t="n">
        <v>45789</v>
      </c>
      <c r="D760" t="inlineStr">
        <is>
          <t>DALARNAS LÄN</t>
        </is>
      </c>
      <c r="E760" t="inlineStr">
        <is>
          <t>ÄLVDALEN</t>
        </is>
      </c>
      <c r="F760" t="inlineStr">
        <is>
          <t>Övriga Aktiebolag</t>
        </is>
      </c>
      <c r="G760" t="n">
        <v>6.5</v>
      </c>
      <c r="H760" t="n">
        <v>0</v>
      </c>
      <c r="I760" t="n">
        <v>0</v>
      </c>
      <c r="J760" t="n">
        <v>0</v>
      </c>
      <c r="K760" t="n">
        <v>0</v>
      </c>
      <c r="L760" t="n">
        <v>0</v>
      </c>
      <c r="M760" t="n">
        <v>0</v>
      </c>
      <c r="N760" t="n">
        <v>0</v>
      </c>
      <c r="O760" t="n">
        <v>0</v>
      </c>
      <c r="P760" t="n">
        <v>0</v>
      </c>
      <c r="Q760" t="n">
        <v>0</v>
      </c>
      <c r="R760" s="2" t="inlineStr"/>
    </row>
    <row r="761" ht="15" customHeight="1">
      <c r="A761" t="inlineStr">
        <is>
          <t>A 56230-2023</t>
        </is>
      </c>
      <c r="B761" s="1" t="n">
        <v>45240</v>
      </c>
      <c r="C761" s="1" t="n">
        <v>45789</v>
      </c>
      <c r="D761" t="inlineStr">
        <is>
          <t>DALARNAS LÄN</t>
        </is>
      </c>
      <c r="E761" t="inlineStr">
        <is>
          <t>ÄLVDALEN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56226-2023</t>
        </is>
      </c>
      <c r="B762" s="1" t="n">
        <v>45240</v>
      </c>
      <c r="C762" s="1" t="n">
        <v>45789</v>
      </c>
      <c r="D762" t="inlineStr">
        <is>
          <t>DALARNAS LÄN</t>
        </is>
      </c>
      <c r="E762" t="inlineStr">
        <is>
          <t>ÄLVDALEN</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56222-2023</t>
        </is>
      </c>
      <c r="B763" s="1" t="n">
        <v>45240</v>
      </c>
      <c r="C763" s="1" t="n">
        <v>45789</v>
      </c>
      <c r="D763" t="inlineStr">
        <is>
          <t>DALARNAS LÄN</t>
        </is>
      </c>
      <c r="E763" t="inlineStr">
        <is>
          <t>ÄLVDALEN</t>
        </is>
      </c>
      <c r="F763" t="inlineStr">
        <is>
          <t>Övriga Aktiebolag</t>
        </is>
      </c>
      <c r="G763" t="n">
        <v>3.2</v>
      </c>
      <c r="H763" t="n">
        <v>0</v>
      </c>
      <c r="I763" t="n">
        <v>0</v>
      </c>
      <c r="J763" t="n">
        <v>0</v>
      </c>
      <c r="K763" t="n">
        <v>0</v>
      </c>
      <c r="L763" t="n">
        <v>0</v>
      </c>
      <c r="M763" t="n">
        <v>0</v>
      </c>
      <c r="N763" t="n">
        <v>0</v>
      </c>
      <c r="O763" t="n">
        <v>0</v>
      </c>
      <c r="P763" t="n">
        <v>0</v>
      </c>
      <c r="Q763" t="n">
        <v>0</v>
      </c>
      <c r="R763" s="2" t="inlineStr"/>
    </row>
    <row r="764" ht="15" customHeight="1">
      <c r="A764" t="inlineStr">
        <is>
          <t>A 56224-2023</t>
        </is>
      </c>
      <c r="B764" s="1" t="n">
        <v>45240</v>
      </c>
      <c r="C764" s="1" t="n">
        <v>45789</v>
      </c>
      <c r="D764" t="inlineStr">
        <is>
          <t>DALARNAS LÄN</t>
        </is>
      </c>
      <c r="E764" t="inlineStr">
        <is>
          <t>ÄLVDALEN</t>
        </is>
      </c>
      <c r="F764" t="inlineStr">
        <is>
          <t>Övriga Aktiebolag</t>
        </is>
      </c>
      <c r="G764" t="n">
        <v>10.9</v>
      </c>
      <c r="H764" t="n">
        <v>0</v>
      </c>
      <c r="I764" t="n">
        <v>0</v>
      </c>
      <c r="J764" t="n">
        <v>0</v>
      </c>
      <c r="K764" t="n">
        <v>0</v>
      </c>
      <c r="L764" t="n">
        <v>0</v>
      </c>
      <c r="M764" t="n">
        <v>0</v>
      </c>
      <c r="N764" t="n">
        <v>0</v>
      </c>
      <c r="O764" t="n">
        <v>0</v>
      </c>
      <c r="P764" t="n">
        <v>0</v>
      </c>
      <c r="Q764" t="n">
        <v>0</v>
      </c>
      <c r="R764" s="2" t="inlineStr"/>
    </row>
    <row r="765" ht="15" customHeight="1">
      <c r="A765" t="inlineStr">
        <is>
          <t>A 56619-2023</t>
        </is>
      </c>
      <c r="B765" s="1" t="n">
        <v>45243</v>
      </c>
      <c r="C765" s="1" t="n">
        <v>45789</v>
      </c>
      <c r="D765" t="inlineStr">
        <is>
          <t>DALARNAS LÄN</t>
        </is>
      </c>
      <c r="E765" t="inlineStr">
        <is>
          <t>ÄLVDALEN</t>
        </is>
      </c>
      <c r="G765" t="n">
        <v>5.6</v>
      </c>
      <c r="H765" t="n">
        <v>0</v>
      </c>
      <c r="I765" t="n">
        <v>0</v>
      </c>
      <c r="J765" t="n">
        <v>0</v>
      </c>
      <c r="K765" t="n">
        <v>0</v>
      </c>
      <c r="L765" t="n">
        <v>0</v>
      </c>
      <c r="M765" t="n">
        <v>0</v>
      </c>
      <c r="N765" t="n">
        <v>0</v>
      </c>
      <c r="O765" t="n">
        <v>0</v>
      </c>
      <c r="P765" t="n">
        <v>0</v>
      </c>
      <c r="Q765" t="n">
        <v>0</v>
      </c>
      <c r="R765" s="2" t="inlineStr"/>
    </row>
    <row r="766" ht="15" customHeight="1">
      <c r="A766" t="inlineStr">
        <is>
          <t>A 57435-2023</t>
        </is>
      </c>
      <c r="B766" s="1" t="n">
        <v>45246</v>
      </c>
      <c r="C766" s="1" t="n">
        <v>45789</v>
      </c>
      <c r="D766" t="inlineStr">
        <is>
          <t>DALARNAS LÄN</t>
        </is>
      </c>
      <c r="E766" t="inlineStr">
        <is>
          <t>ÄLVDALEN</t>
        </is>
      </c>
      <c r="G766" t="n">
        <v>2.3</v>
      </c>
      <c r="H766" t="n">
        <v>0</v>
      </c>
      <c r="I766" t="n">
        <v>0</v>
      </c>
      <c r="J766" t="n">
        <v>0</v>
      </c>
      <c r="K766" t="n">
        <v>0</v>
      </c>
      <c r="L766" t="n">
        <v>0</v>
      </c>
      <c r="M766" t="n">
        <v>0</v>
      </c>
      <c r="N766" t="n">
        <v>0</v>
      </c>
      <c r="O766" t="n">
        <v>0</v>
      </c>
      <c r="P766" t="n">
        <v>0</v>
      </c>
      <c r="Q766" t="n">
        <v>0</v>
      </c>
      <c r="R766" s="2" t="inlineStr"/>
    </row>
    <row r="767" ht="15" customHeight="1">
      <c r="A767" t="inlineStr">
        <is>
          <t>A 57467-2023</t>
        </is>
      </c>
      <c r="B767" s="1" t="n">
        <v>45246</v>
      </c>
      <c r="C767" s="1" t="n">
        <v>45789</v>
      </c>
      <c r="D767" t="inlineStr">
        <is>
          <t>DALARNAS LÄN</t>
        </is>
      </c>
      <c r="E767" t="inlineStr">
        <is>
          <t>ÄLVDALEN</t>
        </is>
      </c>
      <c r="G767" t="n">
        <v>0.2</v>
      </c>
      <c r="H767" t="n">
        <v>0</v>
      </c>
      <c r="I767" t="n">
        <v>0</v>
      </c>
      <c r="J767" t="n">
        <v>0</v>
      </c>
      <c r="K767" t="n">
        <v>0</v>
      </c>
      <c r="L767" t="n">
        <v>0</v>
      </c>
      <c r="M767" t="n">
        <v>0</v>
      </c>
      <c r="N767" t="n">
        <v>0</v>
      </c>
      <c r="O767" t="n">
        <v>0</v>
      </c>
      <c r="P767" t="n">
        <v>0</v>
      </c>
      <c r="Q767" t="n">
        <v>0</v>
      </c>
      <c r="R767" s="2" t="inlineStr"/>
    </row>
    <row r="768" ht="15" customHeight="1">
      <c r="A768" t="inlineStr">
        <is>
          <t>A 57470-2023</t>
        </is>
      </c>
      <c r="B768" s="1" t="n">
        <v>45246</v>
      </c>
      <c r="C768" s="1" t="n">
        <v>45789</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57817-2023</t>
        </is>
      </c>
      <c r="B769" s="1" t="n">
        <v>45247</v>
      </c>
      <c r="C769" s="1" t="n">
        <v>45789</v>
      </c>
      <c r="D769" t="inlineStr">
        <is>
          <t>DALARNAS LÄN</t>
        </is>
      </c>
      <c r="E769" t="inlineStr">
        <is>
          <t>ÄLVDALEN</t>
        </is>
      </c>
      <c r="G769" t="n">
        <v>6.4</v>
      </c>
      <c r="H769" t="n">
        <v>0</v>
      </c>
      <c r="I769" t="n">
        <v>0</v>
      </c>
      <c r="J769" t="n">
        <v>0</v>
      </c>
      <c r="K769" t="n">
        <v>0</v>
      </c>
      <c r="L769" t="n">
        <v>0</v>
      </c>
      <c r="M769" t="n">
        <v>0</v>
      </c>
      <c r="N769" t="n">
        <v>0</v>
      </c>
      <c r="O769" t="n">
        <v>0</v>
      </c>
      <c r="P769" t="n">
        <v>0</v>
      </c>
      <c r="Q769" t="n">
        <v>0</v>
      </c>
      <c r="R769" s="2" t="inlineStr"/>
    </row>
    <row r="770" ht="15" customHeight="1">
      <c r="A770" t="inlineStr">
        <is>
          <t>A 57933-2023</t>
        </is>
      </c>
      <c r="B770" s="1" t="n">
        <v>45247</v>
      </c>
      <c r="C770" s="1" t="n">
        <v>45789</v>
      </c>
      <c r="D770" t="inlineStr">
        <is>
          <t>DALARNAS LÄN</t>
        </is>
      </c>
      <c r="E770" t="inlineStr">
        <is>
          <t>ÄLVDALEN</t>
        </is>
      </c>
      <c r="F770" t="inlineStr">
        <is>
          <t>Allmännings- och besparingsskogar</t>
        </is>
      </c>
      <c r="G770" t="n">
        <v>7.6</v>
      </c>
      <c r="H770" t="n">
        <v>0</v>
      </c>
      <c r="I770" t="n">
        <v>0</v>
      </c>
      <c r="J770" t="n">
        <v>0</v>
      </c>
      <c r="K770" t="n">
        <v>0</v>
      </c>
      <c r="L770" t="n">
        <v>0</v>
      </c>
      <c r="M770" t="n">
        <v>0</v>
      </c>
      <c r="N770" t="n">
        <v>0</v>
      </c>
      <c r="O770" t="n">
        <v>0</v>
      </c>
      <c r="P770" t="n">
        <v>0</v>
      </c>
      <c r="Q770" t="n">
        <v>0</v>
      </c>
      <c r="R770" s="2" t="inlineStr"/>
    </row>
    <row r="771" ht="15" customHeight="1">
      <c r="A771" t="inlineStr">
        <is>
          <t>A 57821-2023</t>
        </is>
      </c>
      <c r="B771" s="1" t="n">
        <v>45247</v>
      </c>
      <c r="C771" s="1" t="n">
        <v>45789</v>
      </c>
      <c r="D771" t="inlineStr">
        <is>
          <t>DALARNAS LÄN</t>
        </is>
      </c>
      <c r="E771" t="inlineStr">
        <is>
          <t>ÄLVDALEN</t>
        </is>
      </c>
      <c r="G771" t="n">
        <v>0.7</v>
      </c>
      <c r="H771" t="n">
        <v>0</v>
      </c>
      <c r="I771" t="n">
        <v>0</v>
      </c>
      <c r="J771" t="n">
        <v>0</v>
      </c>
      <c r="K771" t="n">
        <v>0</v>
      </c>
      <c r="L771" t="n">
        <v>0</v>
      </c>
      <c r="M771" t="n">
        <v>0</v>
      </c>
      <c r="N771" t="n">
        <v>0</v>
      </c>
      <c r="O771" t="n">
        <v>0</v>
      </c>
      <c r="P771" t="n">
        <v>0</v>
      </c>
      <c r="Q771" t="n">
        <v>0</v>
      </c>
      <c r="R771" s="2" t="inlineStr"/>
    </row>
    <row r="772" ht="15" customHeight="1">
      <c r="A772" t="inlineStr">
        <is>
          <t>A 57941-2023</t>
        </is>
      </c>
      <c r="B772" s="1" t="n">
        <v>45247</v>
      </c>
      <c r="C772" s="1" t="n">
        <v>45789</v>
      </c>
      <c r="D772" t="inlineStr">
        <is>
          <t>DALARNAS LÄN</t>
        </is>
      </c>
      <c r="E772" t="inlineStr">
        <is>
          <t>ÄLVDALEN</t>
        </is>
      </c>
      <c r="F772" t="inlineStr">
        <is>
          <t>Allmännings- och besparingsskogar</t>
        </is>
      </c>
      <c r="G772" t="n">
        <v>14.6</v>
      </c>
      <c r="H772" t="n">
        <v>0</v>
      </c>
      <c r="I772" t="n">
        <v>0</v>
      </c>
      <c r="J772" t="n">
        <v>0</v>
      </c>
      <c r="K772" t="n">
        <v>0</v>
      </c>
      <c r="L772" t="n">
        <v>0</v>
      </c>
      <c r="M772" t="n">
        <v>0</v>
      </c>
      <c r="N772" t="n">
        <v>0</v>
      </c>
      <c r="O772" t="n">
        <v>0</v>
      </c>
      <c r="P772" t="n">
        <v>0</v>
      </c>
      <c r="Q772" t="n">
        <v>0</v>
      </c>
      <c r="R772" s="2" t="inlineStr"/>
    </row>
    <row r="773" ht="15" customHeight="1">
      <c r="A773" t="inlineStr">
        <is>
          <t>A 58223-2023</t>
        </is>
      </c>
      <c r="B773" s="1" t="n">
        <v>45250</v>
      </c>
      <c r="C773" s="1" t="n">
        <v>45789</v>
      </c>
      <c r="D773" t="inlineStr">
        <is>
          <t>DALARNAS LÄN</t>
        </is>
      </c>
      <c r="E773" t="inlineStr">
        <is>
          <t>ÄLVDALEN</t>
        </is>
      </c>
      <c r="F773" t="inlineStr">
        <is>
          <t>Allmännings- och besparingsskogar</t>
        </is>
      </c>
      <c r="G773" t="n">
        <v>6.9</v>
      </c>
      <c r="H773" t="n">
        <v>0</v>
      </c>
      <c r="I773" t="n">
        <v>0</v>
      </c>
      <c r="J773" t="n">
        <v>0</v>
      </c>
      <c r="K773" t="n">
        <v>0</v>
      </c>
      <c r="L773" t="n">
        <v>0</v>
      </c>
      <c r="M773" t="n">
        <v>0</v>
      </c>
      <c r="N773" t="n">
        <v>0</v>
      </c>
      <c r="O773" t="n">
        <v>0</v>
      </c>
      <c r="P773" t="n">
        <v>0</v>
      </c>
      <c r="Q773" t="n">
        <v>0</v>
      </c>
      <c r="R773" s="2" t="inlineStr"/>
    </row>
    <row r="774" ht="15" customHeight="1">
      <c r="A774" t="inlineStr">
        <is>
          <t>A 58303-2023</t>
        </is>
      </c>
      <c r="B774" s="1" t="n">
        <v>45250</v>
      </c>
      <c r="C774" s="1" t="n">
        <v>45789</v>
      </c>
      <c r="D774" t="inlineStr">
        <is>
          <t>DALARNAS LÄN</t>
        </is>
      </c>
      <c r="E774" t="inlineStr">
        <is>
          <t>ÄLVDALEN</t>
        </is>
      </c>
      <c r="G774" t="n">
        <v>6.9</v>
      </c>
      <c r="H774" t="n">
        <v>0</v>
      </c>
      <c r="I774" t="n">
        <v>0</v>
      </c>
      <c r="J774" t="n">
        <v>0</v>
      </c>
      <c r="K774" t="n">
        <v>0</v>
      </c>
      <c r="L774" t="n">
        <v>0</v>
      </c>
      <c r="M774" t="n">
        <v>0</v>
      </c>
      <c r="N774" t="n">
        <v>0</v>
      </c>
      <c r="O774" t="n">
        <v>0</v>
      </c>
      <c r="P774" t="n">
        <v>0</v>
      </c>
      <c r="Q774" t="n">
        <v>0</v>
      </c>
      <c r="R774" s="2" t="inlineStr"/>
    </row>
    <row r="775" ht="15" customHeight="1">
      <c r="A775" t="inlineStr">
        <is>
          <t>A 58376-2023</t>
        </is>
      </c>
      <c r="B775" s="1" t="n">
        <v>45250</v>
      </c>
      <c r="C775" s="1" t="n">
        <v>45789</v>
      </c>
      <c r="D775" t="inlineStr">
        <is>
          <t>DALARNAS LÄN</t>
        </is>
      </c>
      <c r="E775" t="inlineStr">
        <is>
          <t>ÄLVDALEN</t>
        </is>
      </c>
      <c r="G775" t="n">
        <v>4.8</v>
      </c>
      <c r="H775" t="n">
        <v>0</v>
      </c>
      <c r="I775" t="n">
        <v>0</v>
      </c>
      <c r="J775" t="n">
        <v>0</v>
      </c>
      <c r="K775" t="n">
        <v>0</v>
      </c>
      <c r="L775" t="n">
        <v>0</v>
      </c>
      <c r="M775" t="n">
        <v>0</v>
      </c>
      <c r="N775" t="n">
        <v>0</v>
      </c>
      <c r="O775" t="n">
        <v>0</v>
      </c>
      <c r="P775" t="n">
        <v>0</v>
      </c>
      <c r="Q775" t="n">
        <v>0</v>
      </c>
      <c r="R775" s="2" t="inlineStr"/>
    </row>
    <row r="776" ht="15" customHeight="1">
      <c r="A776" t="inlineStr">
        <is>
          <t>A 58374-2023</t>
        </is>
      </c>
      <c r="B776" s="1" t="n">
        <v>45250</v>
      </c>
      <c r="C776" s="1" t="n">
        <v>45789</v>
      </c>
      <c r="D776" t="inlineStr">
        <is>
          <t>DALARNAS LÄN</t>
        </is>
      </c>
      <c r="E776" t="inlineStr">
        <is>
          <t>ÄLVDALEN</t>
        </is>
      </c>
      <c r="G776" t="n">
        <v>2.4</v>
      </c>
      <c r="H776" t="n">
        <v>0</v>
      </c>
      <c r="I776" t="n">
        <v>0</v>
      </c>
      <c r="J776" t="n">
        <v>0</v>
      </c>
      <c r="K776" t="n">
        <v>0</v>
      </c>
      <c r="L776" t="n">
        <v>0</v>
      </c>
      <c r="M776" t="n">
        <v>0</v>
      </c>
      <c r="N776" t="n">
        <v>0</v>
      </c>
      <c r="O776" t="n">
        <v>0</v>
      </c>
      <c r="P776" t="n">
        <v>0</v>
      </c>
      <c r="Q776" t="n">
        <v>0</v>
      </c>
      <c r="R776" s="2" t="inlineStr"/>
    </row>
    <row r="777" ht="15" customHeight="1">
      <c r="A777" t="inlineStr">
        <is>
          <t>A 58498-2023</t>
        </is>
      </c>
      <c r="B777" s="1" t="n">
        <v>45251</v>
      </c>
      <c r="C777" s="1" t="n">
        <v>45789</v>
      </c>
      <c r="D777" t="inlineStr">
        <is>
          <t>DALARNAS LÄN</t>
        </is>
      </c>
      <c r="E777" t="inlineStr">
        <is>
          <t>ÄLVDALEN</t>
        </is>
      </c>
      <c r="F777" t="inlineStr">
        <is>
          <t>Allmännings- och besparingsskogar</t>
        </is>
      </c>
      <c r="G777" t="n">
        <v>13.4</v>
      </c>
      <c r="H777" t="n">
        <v>0</v>
      </c>
      <c r="I777" t="n">
        <v>0</v>
      </c>
      <c r="J777" t="n">
        <v>0</v>
      </c>
      <c r="K777" t="n">
        <v>0</v>
      </c>
      <c r="L777" t="n">
        <v>0</v>
      </c>
      <c r="M777" t="n">
        <v>0</v>
      </c>
      <c r="N777" t="n">
        <v>0</v>
      </c>
      <c r="O777" t="n">
        <v>0</v>
      </c>
      <c r="P777" t="n">
        <v>0</v>
      </c>
      <c r="Q777" t="n">
        <v>0</v>
      </c>
      <c r="R777" s="2" t="inlineStr"/>
    </row>
    <row r="778" ht="15" customHeight="1">
      <c r="A778" t="inlineStr">
        <is>
          <t>A 58621-2023</t>
        </is>
      </c>
      <c r="B778" s="1" t="n">
        <v>45251</v>
      </c>
      <c r="C778" s="1" t="n">
        <v>45789</v>
      </c>
      <c r="D778" t="inlineStr">
        <is>
          <t>DALARNAS LÄN</t>
        </is>
      </c>
      <c r="E778" t="inlineStr">
        <is>
          <t>ÄLVDALEN</t>
        </is>
      </c>
      <c r="G778" t="n">
        <v>2.9</v>
      </c>
      <c r="H778" t="n">
        <v>0</v>
      </c>
      <c r="I778" t="n">
        <v>0</v>
      </c>
      <c r="J778" t="n">
        <v>0</v>
      </c>
      <c r="K778" t="n">
        <v>0</v>
      </c>
      <c r="L778" t="n">
        <v>0</v>
      </c>
      <c r="M778" t="n">
        <v>0</v>
      </c>
      <c r="N778" t="n">
        <v>0</v>
      </c>
      <c r="O778" t="n">
        <v>0</v>
      </c>
      <c r="P778" t="n">
        <v>0</v>
      </c>
      <c r="Q778" t="n">
        <v>0</v>
      </c>
      <c r="R778" s="2" t="inlineStr"/>
    </row>
    <row r="779" ht="15" customHeight="1">
      <c r="A779" t="inlineStr">
        <is>
          <t>A 59129-2023</t>
        </is>
      </c>
      <c r="B779" s="1" t="n">
        <v>45253</v>
      </c>
      <c r="C779" s="1" t="n">
        <v>45789</v>
      </c>
      <c r="D779" t="inlineStr">
        <is>
          <t>DALARNAS LÄN</t>
        </is>
      </c>
      <c r="E779" t="inlineStr">
        <is>
          <t>ÄLVDALEN</t>
        </is>
      </c>
      <c r="G779" t="n">
        <v>0.7</v>
      </c>
      <c r="H779" t="n">
        <v>0</v>
      </c>
      <c r="I779" t="n">
        <v>0</v>
      </c>
      <c r="J779" t="n">
        <v>0</v>
      </c>
      <c r="K779" t="n">
        <v>0</v>
      </c>
      <c r="L779" t="n">
        <v>0</v>
      </c>
      <c r="M779" t="n">
        <v>0</v>
      </c>
      <c r="N779" t="n">
        <v>0</v>
      </c>
      <c r="O779" t="n">
        <v>0</v>
      </c>
      <c r="P779" t="n">
        <v>0</v>
      </c>
      <c r="Q779" t="n">
        <v>0</v>
      </c>
      <c r="R779" s="2" t="inlineStr"/>
    </row>
    <row r="780" ht="15" customHeight="1">
      <c r="A780" t="inlineStr">
        <is>
          <t>A 59142-2023</t>
        </is>
      </c>
      <c r="B780" s="1" t="n">
        <v>45253</v>
      </c>
      <c r="C780" s="1" t="n">
        <v>45789</v>
      </c>
      <c r="D780" t="inlineStr">
        <is>
          <t>DALARNAS LÄN</t>
        </is>
      </c>
      <c r="E780" t="inlineStr">
        <is>
          <t>ÄLVDALEN</t>
        </is>
      </c>
      <c r="G780" t="n">
        <v>0.8</v>
      </c>
      <c r="H780" t="n">
        <v>0</v>
      </c>
      <c r="I780" t="n">
        <v>0</v>
      </c>
      <c r="J780" t="n">
        <v>0</v>
      </c>
      <c r="K780" t="n">
        <v>0</v>
      </c>
      <c r="L780" t="n">
        <v>0</v>
      </c>
      <c r="M780" t="n">
        <v>0</v>
      </c>
      <c r="N780" t="n">
        <v>0</v>
      </c>
      <c r="O780" t="n">
        <v>0</v>
      </c>
      <c r="P780" t="n">
        <v>0</v>
      </c>
      <c r="Q780" t="n">
        <v>0</v>
      </c>
      <c r="R780" s="2" t="inlineStr"/>
    </row>
    <row r="781" ht="15" customHeight="1">
      <c r="A781" t="inlineStr">
        <is>
          <t>A 59138-2023</t>
        </is>
      </c>
      <c r="B781" s="1" t="n">
        <v>45253</v>
      </c>
      <c r="C781" s="1" t="n">
        <v>45789</v>
      </c>
      <c r="D781" t="inlineStr">
        <is>
          <t>DALARNAS LÄN</t>
        </is>
      </c>
      <c r="E781" t="inlineStr">
        <is>
          <t>ÄLVDALEN</t>
        </is>
      </c>
      <c r="G781" t="n">
        <v>0.4</v>
      </c>
      <c r="H781" t="n">
        <v>0</v>
      </c>
      <c r="I781" t="n">
        <v>0</v>
      </c>
      <c r="J781" t="n">
        <v>0</v>
      </c>
      <c r="K781" t="n">
        <v>0</v>
      </c>
      <c r="L781" t="n">
        <v>0</v>
      </c>
      <c r="M781" t="n">
        <v>0</v>
      </c>
      <c r="N781" t="n">
        <v>0</v>
      </c>
      <c r="O781" t="n">
        <v>0</v>
      </c>
      <c r="P781" t="n">
        <v>0</v>
      </c>
      <c r="Q781" t="n">
        <v>0</v>
      </c>
      <c r="R781" s="2" t="inlineStr"/>
    </row>
    <row r="782" ht="15" customHeight="1">
      <c r="A782" t="inlineStr">
        <is>
          <t>A 59177-2023</t>
        </is>
      </c>
      <c r="B782" s="1" t="n">
        <v>45253</v>
      </c>
      <c r="C782" s="1" t="n">
        <v>45789</v>
      </c>
      <c r="D782" t="inlineStr">
        <is>
          <t>DALARNAS LÄN</t>
        </is>
      </c>
      <c r="E782" t="inlineStr">
        <is>
          <t>ÄLVDALEN</t>
        </is>
      </c>
      <c r="G782" t="n">
        <v>0.6</v>
      </c>
      <c r="H782" t="n">
        <v>0</v>
      </c>
      <c r="I782" t="n">
        <v>0</v>
      </c>
      <c r="J782" t="n">
        <v>0</v>
      </c>
      <c r="K782" t="n">
        <v>0</v>
      </c>
      <c r="L782" t="n">
        <v>0</v>
      </c>
      <c r="M782" t="n">
        <v>0</v>
      </c>
      <c r="N782" t="n">
        <v>0</v>
      </c>
      <c r="O782" t="n">
        <v>0</v>
      </c>
      <c r="P782" t="n">
        <v>0</v>
      </c>
      <c r="Q782" t="n">
        <v>0</v>
      </c>
      <c r="R782" s="2" t="inlineStr"/>
    </row>
    <row r="783" ht="15" customHeight="1">
      <c r="A783" t="inlineStr">
        <is>
          <t>A 59510-2023</t>
        </is>
      </c>
      <c r="B783" s="1" t="n">
        <v>45254</v>
      </c>
      <c r="C783" s="1" t="n">
        <v>45789</v>
      </c>
      <c r="D783" t="inlineStr">
        <is>
          <t>DALARNAS LÄN</t>
        </is>
      </c>
      <c r="E783" t="inlineStr">
        <is>
          <t>ÄLVDALEN</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59547-2023</t>
        </is>
      </c>
      <c r="B784" s="1" t="n">
        <v>45254</v>
      </c>
      <c r="C784" s="1" t="n">
        <v>45789</v>
      </c>
      <c r="D784" t="inlineStr">
        <is>
          <t>DALARNAS LÄN</t>
        </is>
      </c>
      <c r="E784" t="inlineStr">
        <is>
          <t>ÄLVDALEN</t>
        </is>
      </c>
      <c r="G784" t="n">
        <v>2.5</v>
      </c>
      <c r="H784" t="n">
        <v>0</v>
      </c>
      <c r="I784" t="n">
        <v>0</v>
      </c>
      <c r="J784" t="n">
        <v>0</v>
      </c>
      <c r="K784" t="n">
        <v>0</v>
      </c>
      <c r="L784" t="n">
        <v>0</v>
      </c>
      <c r="M784" t="n">
        <v>0</v>
      </c>
      <c r="N784" t="n">
        <v>0</v>
      </c>
      <c r="O784" t="n">
        <v>0</v>
      </c>
      <c r="P784" t="n">
        <v>0</v>
      </c>
      <c r="Q784" t="n">
        <v>0</v>
      </c>
      <c r="R784" s="2" t="inlineStr"/>
    </row>
    <row r="785" ht="15" customHeight="1">
      <c r="A785" t="inlineStr">
        <is>
          <t>A 59786-2023</t>
        </is>
      </c>
      <c r="B785" s="1" t="n">
        <v>45254</v>
      </c>
      <c r="C785" s="1" t="n">
        <v>45789</v>
      </c>
      <c r="D785" t="inlineStr">
        <is>
          <t>DALARNAS LÄN</t>
        </is>
      </c>
      <c r="E785" t="inlineStr">
        <is>
          <t>ÄLVDALEN</t>
        </is>
      </c>
      <c r="G785" t="n">
        <v>1</v>
      </c>
      <c r="H785" t="n">
        <v>0</v>
      </c>
      <c r="I785" t="n">
        <v>0</v>
      </c>
      <c r="J785" t="n">
        <v>0</v>
      </c>
      <c r="K785" t="n">
        <v>0</v>
      </c>
      <c r="L785" t="n">
        <v>0</v>
      </c>
      <c r="M785" t="n">
        <v>0</v>
      </c>
      <c r="N785" t="n">
        <v>0</v>
      </c>
      <c r="O785" t="n">
        <v>0</v>
      </c>
      <c r="P785" t="n">
        <v>0</v>
      </c>
      <c r="Q785" t="n">
        <v>0</v>
      </c>
      <c r="R785" s="2" t="inlineStr"/>
    </row>
    <row r="786" ht="15" customHeight="1">
      <c r="A786" t="inlineStr">
        <is>
          <t>A 59778-2023</t>
        </is>
      </c>
      <c r="B786" s="1" t="n">
        <v>45254</v>
      </c>
      <c r="C786" s="1" t="n">
        <v>45789</v>
      </c>
      <c r="D786" t="inlineStr">
        <is>
          <t>DALARNAS LÄN</t>
        </is>
      </c>
      <c r="E786" t="inlineStr">
        <is>
          <t>ÄLVDALEN</t>
        </is>
      </c>
      <c r="G786" t="n">
        <v>7.1</v>
      </c>
      <c r="H786" t="n">
        <v>0</v>
      </c>
      <c r="I786" t="n">
        <v>0</v>
      </c>
      <c r="J786" t="n">
        <v>0</v>
      </c>
      <c r="K786" t="n">
        <v>0</v>
      </c>
      <c r="L786" t="n">
        <v>0</v>
      </c>
      <c r="M786" t="n">
        <v>0</v>
      </c>
      <c r="N786" t="n">
        <v>0</v>
      </c>
      <c r="O786" t="n">
        <v>0</v>
      </c>
      <c r="P786" t="n">
        <v>0</v>
      </c>
      <c r="Q786" t="n">
        <v>0</v>
      </c>
      <c r="R786" s="2" t="inlineStr"/>
    </row>
    <row r="787" ht="15" customHeight="1">
      <c r="A787" t="inlineStr">
        <is>
          <t>A 59774-2023</t>
        </is>
      </c>
      <c r="B787" s="1" t="n">
        <v>45254</v>
      </c>
      <c r="C787" s="1" t="n">
        <v>45789</v>
      </c>
      <c r="D787" t="inlineStr">
        <is>
          <t>DALARNAS LÄN</t>
        </is>
      </c>
      <c r="E787" t="inlineStr">
        <is>
          <t>ÄLVDALEN</t>
        </is>
      </c>
      <c r="G787" t="n">
        <v>6.6</v>
      </c>
      <c r="H787" t="n">
        <v>0</v>
      </c>
      <c r="I787" t="n">
        <v>0</v>
      </c>
      <c r="J787" t="n">
        <v>0</v>
      </c>
      <c r="K787" t="n">
        <v>0</v>
      </c>
      <c r="L787" t="n">
        <v>0</v>
      </c>
      <c r="M787" t="n">
        <v>0</v>
      </c>
      <c r="N787" t="n">
        <v>0</v>
      </c>
      <c r="O787" t="n">
        <v>0</v>
      </c>
      <c r="P787" t="n">
        <v>0</v>
      </c>
      <c r="Q787" t="n">
        <v>0</v>
      </c>
      <c r="R787" s="2" t="inlineStr"/>
    </row>
    <row r="788" ht="15" customHeight="1">
      <c r="A788" t="inlineStr">
        <is>
          <t>A 59947-2023</t>
        </is>
      </c>
      <c r="B788" s="1" t="n">
        <v>45257</v>
      </c>
      <c r="C788" s="1" t="n">
        <v>45789</v>
      </c>
      <c r="D788" t="inlineStr">
        <is>
          <t>DALARNAS LÄN</t>
        </is>
      </c>
      <c r="E788" t="inlineStr">
        <is>
          <t>ÄLVDALEN</t>
        </is>
      </c>
      <c r="G788" t="n">
        <v>3.1</v>
      </c>
      <c r="H788" t="n">
        <v>0</v>
      </c>
      <c r="I788" t="n">
        <v>0</v>
      </c>
      <c r="J788" t="n">
        <v>0</v>
      </c>
      <c r="K788" t="n">
        <v>0</v>
      </c>
      <c r="L788" t="n">
        <v>0</v>
      </c>
      <c r="M788" t="n">
        <v>0</v>
      </c>
      <c r="N788" t="n">
        <v>0</v>
      </c>
      <c r="O788" t="n">
        <v>0</v>
      </c>
      <c r="P788" t="n">
        <v>0</v>
      </c>
      <c r="Q788" t="n">
        <v>0</v>
      </c>
      <c r="R788" s="2" t="inlineStr"/>
    </row>
    <row r="789" ht="15" customHeight="1">
      <c r="A789" t="inlineStr">
        <is>
          <t>A 60354-2023</t>
        </is>
      </c>
      <c r="B789" s="1" t="n">
        <v>45259</v>
      </c>
      <c r="C789" s="1" t="n">
        <v>45789</v>
      </c>
      <c r="D789" t="inlineStr">
        <is>
          <t>DALARNAS LÄN</t>
        </is>
      </c>
      <c r="E789" t="inlineStr">
        <is>
          <t>ÄLVDALEN</t>
        </is>
      </c>
      <c r="F789" t="inlineStr">
        <is>
          <t>Allmännings- och besparingsskogar</t>
        </is>
      </c>
      <c r="G789" t="n">
        <v>30.3</v>
      </c>
      <c r="H789" t="n">
        <v>0</v>
      </c>
      <c r="I789" t="n">
        <v>0</v>
      </c>
      <c r="J789" t="n">
        <v>0</v>
      </c>
      <c r="K789" t="n">
        <v>0</v>
      </c>
      <c r="L789" t="n">
        <v>0</v>
      </c>
      <c r="M789" t="n">
        <v>0</v>
      </c>
      <c r="N789" t="n">
        <v>0</v>
      </c>
      <c r="O789" t="n">
        <v>0</v>
      </c>
      <c r="P789" t="n">
        <v>0</v>
      </c>
      <c r="Q789" t="n">
        <v>0</v>
      </c>
      <c r="R789" s="2" t="inlineStr"/>
    </row>
    <row r="790" ht="15" customHeight="1">
      <c r="A790" t="inlineStr">
        <is>
          <t>A 60655-2023</t>
        </is>
      </c>
      <c r="B790" s="1" t="n">
        <v>45260</v>
      </c>
      <c r="C790" s="1" t="n">
        <v>45789</v>
      </c>
      <c r="D790" t="inlineStr">
        <is>
          <t>DALARNAS LÄN</t>
        </is>
      </c>
      <c r="E790" t="inlineStr">
        <is>
          <t>ÄLVDALEN</t>
        </is>
      </c>
      <c r="G790" t="n">
        <v>3</v>
      </c>
      <c r="H790" t="n">
        <v>0</v>
      </c>
      <c r="I790" t="n">
        <v>0</v>
      </c>
      <c r="J790" t="n">
        <v>0</v>
      </c>
      <c r="K790" t="n">
        <v>0</v>
      </c>
      <c r="L790" t="n">
        <v>0</v>
      </c>
      <c r="M790" t="n">
        <v>0</v>
      </c>
      <c r="N790" t="n">
        <v>0</v>
      </c>
      <c r="O790" t="n">
        <v>0</v>
      </c>
      <c r="P790" t="n">
        <v>0</v>
      </c>
      <c r="Q790" t="n">
        <v>0</v>
      </c>
      <c r="R790" s="2" t="inlineStr"/>
    </row>
    <row r="791" ht="15" customHeight="1">
      <c r="A791" t="inlineStr">
        <is>
          <t>A 60716-2023</t>
        </is>
      </c>
      <c r="B791" s="1" t="n">
        <v>45260</v>
      </c>
      <c r="C791" s="1" t="n">
        <v>45789</v>
      </c>
      <c r="D791" t="inlineStr">
        <is>
          <t>DALARNAS LÄN</t>
        </is>
      </c>
      <c r="E791" t="inlineStr">
        <is>
          <t>ÄLVDALEN</t>
        </is>
      </c>
      <c r="G791" t="n">
        <v>1.2</v>
      </c>
      <c r="H791" t="n">
        <v>0</v>
      </c>
      <c r="I791" t="n">
        <v>0</v>
      </c>
      <c r="J791" t="n">
        <v>0</v>
      </c>
      <c r="K791" t="n">
        <v>0</v>
      </c>
      <c r="L791" t="n">
        <v>0</v>
      </c>
      <c r="M791" t="n">
        <v>0</v>
      </c>
      <c r="N791" t="n">
        <v>0</v>
      </c>
      <c r="O791" t="n">
        <v>0</v>
      </c>
      <c r="P791" t="n">
        <v>0</v>
      </c>
      <c r="Q791" t="n">
        <v>0</v>
      </c>
      <c r="R791" s="2" t="inlineStr"/>
    </row>
    <row r="792" ht="15" customHeight="1">
      <c r="A792" t="inlineStr">
        <is>
          <t>A 60676-2023</t>
        </is>
      </c>
      <c r="B792" s="1" t="n">
        <v>45260</v>
      </c>
      <c r="C792" s="1" t="n">
        <v>45789</v>
      </c>
      <c r="D792" t="inlineStr">
        <is>
          <t>DALARNAS LÄN</t>
        </is>
      </c>
      <c r="E792" t="inlineStr">
        <is>
          <t>ÄLVDALEN</t>
        </is>
      </c>
      <c r="G792" t="n">
        <v>6.2</v>
      </c>
      <c r="H792" t="n">
        <v>0</v>
      </c>
      <c r="I792" t="n">
        <v>0</v>
      </c>
      <c r="J792" t="n">
        <v>0</v>
      </c>
      <c r="K792" t="n">
        <v>0</v>
      </c>
      <c r="L792" t="n">
        <v>0</v>
      </c>
      <c r="M792" t="n">
        <v>0</v>
      </c>
      <c r="N792" t="n">
        <v>0</v>
      </c>
      <c r="O792" t="n">
        <v>0</v>
      </c>
      <c r="P792" t="n">
        <v>0</v>
      </c>
      <c r="Q792" t="n">
        <v>0</v>
      </c>
      <c r="R792" s="2" t="inlineStr"/>
    </row>
    <row r="793" ht="15" customHeight="1">
      <c r="A793" t="inlineStr">
        <is>
          <t>A 61714-2023</t>
        </is>
      </c>
      <c r="B793" s="1" t="n">
        <v>45265</v>
      </c>
      <c r="C793" s="1" t="n">
        <v>45789</v>
      </c>
      <c r="D793" t="inlineStr">
        <is>
          <t>DALARNAS LÄN</t>
        </is>
      </c>
      <c r="E793" t="inlineStr">
        <is>
          <t>ÄLVDALEN</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62525-2023</t>
        </is>
      </c>
      <c r="B794" s="1" t="n">
        <v>45268</v>
      </c>
      <c r="C794" s="1" t="n">
        <v>45789</v>
      </c>
      <c r="D794" t="inlineStr">
        <is>
          <t>DALARNAS LÄN</t>
        </is>
      </c>
      <c r="E794" t="inlineStr">
        <is>
          <t>ÄLVDALEN</t>
        </is>
      </c>
      <c r="F794" t="inlineStr">
        <is>
          <t>Allmännings- och besparingsskogar</t>
        </is>
      </c>
      <c r="G794" t="n">
        <v>3.5</v>
      </c>
      <c r="H794" t="n">
        <v>0</v>
      </c>
      <c r="I794" t="n">
        <v>0</v>
      </c>
      <c r="J794" t="n">
        <v>0</v>
      </c>
      <c r="K794" t="n">
        <v>0</v>
      </c>
      <c r="L794" t="n">
        <v>0</v>
      </c>
      <c r="M794" t="n">
        <v>0</v>
      </c>
      <c r="N794" t="n">
        <v>0</v>
      </c>
      <c r="O794" t="n">
        <v>0</v>
      </c>
      <c r="P794" t="n">
        <v>0</v>
      </c>
      <c r="Q794" t="n">
        <v>0</v>
      </c>
      <c r="R794" s="2" t="inlineStr"/>
    </row>
    <row r="795" ht="15" customHeight="1">
      <c r="A795" t="inlineStr">
        <is>
          <t>A 62935-2023</t>
        </is>
      </c>
      <c r="B795" s="1" t="n">
        <v>45272</v>
      </c>
      <c r="C795" s="1" t="n">
        <v>45789</v>
      </c>
      <c r="D795" t="inlineStr">
        <is>
          <t>DALARNAS LÄN</t>
        </is>
      </c>
      <c r="E795" t="inlineStr">
        <is>
          <t>ÄLVDALEN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63494-2023</t>
        </is>
      </c>
      <c r="B796" s="1" t="n">
        <v>45274</v>
      </c>
      <c r="C796" s="1" t="n">
        <v>45789</v>
      </c>
      <c r="D796" t="inlineStr">
        <is>
          <t>DALARNAS LÄN</t>
        </is>
      </c>
      <c r="E796" t="inlineStr">
        <is>
          <t>ÄLVDALEN</t>
        </is>
      </c>
      <c r="F796" t="inlineStr">
        <is>
          <t>Allmännings- och besparingsskogar</t>
        </is>
      </c>
      <c r="G796" t="n">
        <v>14.9</v>
      </c>
      <c r="H796" t="n">
        <v>0</v>
      </c>
      <c r="I796" t="n">
        <v>0</v>
      </c>
      <c r="J796" t="n">
        <v>0</v>
      </c>
      <c r="K796" t="n">
        <v>0</v>
      </c>
      <c r="L796" t="n">
        <v>0</v>
      </c>
      <c r="M796" t="n">
        <v>0</v>
      </c>
      <c r="N796" t="n">
        <v>0</v>
      </c>
      <c r="O796" t="n">
        <v>0</v>
      </c>
      <c r="P796" t="n">
        <v>0</v>
      </c>
      <c r="Q796" t="n">
        <v>0</v>
      </c>
      <c r="R796" s="2" t="inlineStr"/>
    </row>
    <row r="797" ht="15" customHeight="1">
      <c r="A797" t="inlineStr">
        <is>
          <t>A 63329-2023</t>
        </is>
      </c>
      <c r="B797" s="1" t="n">
        <v>45274</v>
      </c>
      <c r="C797" s="1" t="n">
        <v>45789</v>
      </c>
      <c r="D797" t="inlineStr">
        <is>
          <t>DALARNAS LÄN</t>
        </is>
      </c>
      <c r="E797" t="inlineStr">
        <is>
          <t>ÄLVDALEN</t>
        </is>
      </c>
      <c r="G797" t="n">
        <v>0.6</v>
      </c>
      <c r="H797" t="n">
        <v>0</v>
      </c>
      <c r="I797" t="n">
        <v>0</v>
      </c>
      <c r="J797" t="n">
        <v>0</v>
      </c>
      <c r="K797" t="n">
        <v>0</v>
      </c>
      <c r="L797" t="n">
        <v>0</v>
      </c>
      <c r="M797" t="n">
        <v>0</v>
      </c>
      <c r="N797" t="n">
        <v>0</v>
      </c>
      <c r="O797" t="n">
        <v>0</v>
      </c>
      <c r="P797" t="n">
        <v>0</v>
      </c>
      <c r="Q797" t="n">
        <v>0</v>
      </c>
      <c r="R797" s="2" t="inlineStr"/>
    </row>
    <row r="798" ht="15" customHeight="1">
      <c r="A798" t="inlineStr">
        <is>
          <t>A 64699-2023</t>
        </is>
      </c>
      <c r="B798" s="1" t="n">
        <v>45281</v>
      </c>
      <c r="C798" s="1" t="n">
        <v>45789</v>
      </c>
      <c r="D798" t="inlineStr">
        <is>
          <t>DALARNAS LÄN</t>
        </is>
      </c>
      <c r="E798" t="inlineStr">
        <is>
          <t>ÄLVDALEN</t>
        </is>
      </c>
      <c r="F798" t="inlineStr">
        <is>
          <t>Allmännings- och besparingsskogar</t>
        </is>
      </c>
      <c r="G798" t="n">
        <v>6.6</v>
      </c>
      <c r="H798" t="n">
        <v>0</v>
      </c>
      <c r="I798" t="n">
        <v>0</v>
      </c>
      <c r="J798" t="n">
        <v>0</v>
      </c>
      <c r="K798" t="n">
        <v>0</v>
      </c>
      <c r="L798" t="n">
        <v>0</v>
      </c>
      <c r="M798" t="n">
        <v>0</v>
      </c>
      <c r="N798" t="n">
        <v>0</v>
      </c>
      <c r="O798" t="n">
        <v>0</v>
      </c>
      <c r="P798" t="n">
        <v>0</v>
      </c>
      <c r="Q798" t="n">
        <v>0</v>
      </c>
      <c r="R798" s="2" t="inlineStr"/>
    </row>
    <row r="799" ht="15" customHeight="1">
      <c r="A799" t="inlineStr">
        <is>
          <t>A 505-2024</t>
        </is>
      </c>
      <c r="B799" s="1" t="n">
        <v>45299</v>
      </c>
      <c r="C799" s="1" t="n">
        <v>45789</v>
      </c>
      <c r="D799" t="inlineStr">
        <is>
          <t>DALARNAS LÄN</t>
        </is>
      </c>
      <c r="E799" t="inlineStr">
        <is>
          <t>ÄLVDALEN</t>
        </is>
      </c>
      <c r="G799" t="n">
        <v>1.4</v>
      </c>
      <c r="H799" t="n">
        <v>0</v>
      </c>
      <c r="I799" t="n">
        <v>0</v>
      </c>
      <c r="J799" t="n">
        <v>0</v>
      </c>
      <c r="K799" t="n">
        <v>0</v>
      </c>
      <c r="L799" t="n">
        <v>0</v>
      </c>
      <c r="M799" t="n">
        <v>0</v>
      </c>
      <c r="N799" t="n">
        <v>0</v>
      </c>
      <c r="O799" t="n">
        <v>0</v>
      </c>
      <c r="P799" t="n">
        <v>0</v>
      </c>
      <c r="Q799" t="n">
        <v>0</v>
      </c>
      <c r="R799" s="2" t="inlineStr"/>
    </row>
    <row r="800" ht="15" customHeight="1">
      <c r="A800" t="inlineStr">
        <is>
          <t>A 510-2024</t>
        </is>
      </c>
      <c r="B800" s="1" t="n">
        <v>45299</v>
      </c>
      <c r="C800" s="1" t="n">
        <v>45789</v>
      </c>
      <c r="D800" t="inlineStr">
        <is>
          <t>DALARNAS LÄN</t>
        </is>
      </c>
      <c r="E800" t="inlineStr">
        <is>
          <t>ÄLVDALEN</t>
        </is>
      </c>
      <c r="G800" t="n">
        <v>1.5</v>
      </c>
      <c r="H800" t="n">
        <v>0</v>
      </c>
      <c r="I800" t="n">
        <v>0</v>
      </c>
      <c r="J800" t="n">
        <v>0</v>
      </c>
      <c r="K800" t="n">
        <v>0</v>
      </c>
      <c r="L800" t="n">
        <v>0</v>
      </c>
      <c r="M800" t="n">
        <v>0</v>
      </c>
      <c r="N800" t="n">
        <v>0</v>
      </c>
      <c r="O800" t="n">
        <v>0</v>
      </c>
      <c r="P800" t="n">
        <v>0</v>
      </c>
      <c r="Q800" t="n">
        <v>0</v>
      </c>
      <c r="R800" s="2" t="inlineStr"/>
    </row>
    <row r="801" ht="15" customHeight="1">
      <c r="A801" t="inlineStr">
        <is>
          <t>A 1310-2024</t>
        </is>
      </c>
      <c r="B801" s="1" t="n">
        <v>45303</v>
      </c>
      <c r="C801" s="1" t="n">
        <v>45789</v>
      </c>
      <c r="D801" t="inlineStr">
        <is>
          <t>DALARNAS LÄN</t>
        </is>
      </c>
      <c r="E801" t="inlineStr">
        <is>
          <t>ÄLVDALEN</t>
        </is>
      </c>
      <c r="G801" t="n">
        <v>4.3</v>
      </c>
      <c r="H801" t="n">
        <v>0</v>
      </c>
      <c r="I801" t="n">
        <v>0</v>
      </c>
      <c r="J801" t="n">
        <v>0</v>
      </c>
      <c r="K801" t="n">
        <v>0</v>
      </c>
      <c r="L801" t="n">
        <v>0</v>
      </c>
      <c r="M801" t="n">
        <v>0</v>
      </c>
      <c r="N801" t="n">
        <v>0</v>
      </c>
      <c r="O801" t="n">
        <v>0</v>
      </c>
      <c r="P801" t="n">
        <v>0</v>
      </c>
      <c r="Q801" t="n">
        <v>0</v>
      </c>
      <c r="R801" s="2" t="inlineStr"/>
    </row>
    <row r="802" ht="15" customHeight="1">
      <c r="A802" t="inlineStr">
        <is>
          <t>A 1804-2024</t>
        </is>
      </c>
      <c r="B802" s="1" t="n">
        <v>45307</v>
      </c>
      <c r="C802" s="1" t="n">
        <v>45789</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1790-2024</t>
        </is>
      </c>
      <c r="B803" s="1" t="n">
        <v>45307</v>
      </c>
      <c r="C803" s="1" t="n">
        <v>45789</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1794-2024</t>
        </is>
      </c>
      <c r="B804" s="1" t="n">
        <v>45307</v>
      </c>
      <c r="C804" s="1" t="n">
        <v>45789</v>
      </c>
      <c r="D804" t="inlineStr">
        <is>
          <t>DALARNAS LÄN</t>
        </is>
      </c>
      <c r="E804" t="inlineStr">
        <is>
          <t>ÄLVDALEN</t>
        </is>
      </c>
      <c r="G804" t="n">
        <v>1</v>
      </c>
      <c r="H804" t="n">
        <v>0</v>
      </c>
      <c r="I804" t="n">
        <v>0</v>
      </c>
      <c r="J804" t="n">
        <v>0</v>
      </c>
      <c r="K804" t="n">
        <v>0</v>
      </c>
      <c r="L804" t="n">
        <v>0</v>
      </c>
      <c r="M804" t="n">
        <v>0</v>
      </c>
      <c r="N804" t="n">
        <v>0</v>
      </c>
      <c r="O804" t="n">
        <v>0</v>
      </c>
      <c r="P804" t="n">
        <v>0</v>
      </c>
      <c r="Q804" t="n">
        <v>0</v>
      </c>
      <c r="R804" s="2" t="inlineStr"/>
    </row>
    <row r="805" ht="15" customHeight="1">
      <c r="A805" t="inlineStr">
        <is>
          <t>A 2375-2024</t>
        </is>
      </c>
      <c r="B805" s="1" t="n">
        <v>45310</v>
      </c>
      <c r="C805" s="1" t="n">
        <v>45789</v>
      </c>
      <c r="D805" t="inlineStr">
        <is>
          <t>DALARNAS LÄN</t>
        </is>
      </c>
      <c r="E805" t="inlineStr">
        <is>
          <t>ÄLVDALEN</t>
        </is>
      </c>
      <c r="G805" t="n">
        <v>5.4</v>
      </c>
      <c r="H805" t="n">
        <v>0</v>
      </c>
      <c r="I805" t="n">
        <v>0</v>
      </c>
      <c r="J805" t="n">
        <v>0</v>
      </c>
      <c r="K805" t="n">
        <v>0</v>
      </c>
      <c r="L805" t="n">
        <v>0</v>
      </c>
      <c r="M805" t="n">
        <v>0</v>
      </c>
      <c r="N805" t="n">
        <v>0</v>
      </c>
      <c r="O805" t="n">
        <v>0</v>
      </c>
      <c r="P805" t="n">
        <v>0</v>
      </c>
      <c r="Q805" t="n">
        <v>0</v>
      </c>
      <c r="R805" s="2" t="inlineStr"/>
    </row>
    <row r="806" ht="15" customHeight="1">
      <c r="A806" t="inlineStr">
        <is>
          <t>A 2384-2024</t>
        </is>
      </c>
      <c r="B806" s="1" t="n">
        <v>45310</v>
      </c>
      <c r="C806" s="1" t="n">
        <v>45789</v>
      </c>
      <c r="D806" t="inlineStr">
        <is>
          <t>DALARNAS LÄN</t>
        </is>
      </c>
      <c r="E806" t="inlineStr">
        <is>
          <t>ÄLVDALEN</t>
        </is>
      </c>
      <c r="G806" t="n">
        <v>2.7</v>
      </c>
      <c r="H806" t="n">
        <v>0</v>
      </c>
      <c r="I806" t="n">
        <v>0</v>
      </c>
      <c r="J806" t="n">
        <v>0</v>
      </c>
      <c r="K806" t="n">
        <v>0</v>
      </c>
      <c r="L806" t="n">
        <v>0</v>
      </c>
      <c r="M806" t="n">
        <v>0</v>
      </c>
      <c r="N806" t="n">
        <v>0</v>
      </c>
      <c r="O806" t="n">
        <v>0</v>
      </c>
      <c r="P806" t="n">
        <v>0</v>
      </c>
      <c r="Q806" t="n">
        <v>0</v>
      </c>
      <c r="R806" s="2" t="inlineStr"/>
    </row>
    <row r="807" ht="15" customHeight="1">
      <c r="A807" t="inlineStr">
        <is>
          <t>A 2377-2024</t>
        </is>
      </c>
      <c r="B807" s="1" t="n">
        <v>45310</v>
      </c>
      <c r="C807" s="1" t="n">
        <v>45789</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2381-2024</t>
        </is>
      </c>
      <c r="B808" s="1" t="n">
        <v>45310</v>
      </c>
      <c r="C808" s="1" t="n">
        <v>45789</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2410-2024</t>
        </is>
      </c>
      <c r="B809" s="1" t="n">
        <v>45310</v>
      </c>
      <c r="C809" s="1" t="n">
        <v>45789</v>
      </c>
      <c r="D809" t="inlineStr">
        <is>
          <t>DALARNAS LÄN</t>
        </is>
      </c>
      <c r="E809" t="inlineStr">
        <is>
          <t>ÄLVDALEN</t>
        </is>
      </c>
      <c r="G809" t="n">
        <v>0.7</v>
      </c>
      <c r="H809" t="n">
        <v>0</v>
      </c>
      <c r="I809" t="n">
        <v>0</v>
      </c>
      <c r="J809" t="n">
        <v>0</v>
      </c>
      <c r="K809" t="n">
        <v>0</v>
      </c>
      <c r="L809" t="n">
        <v>0</v>
      </c>
      <c r="M809" t="n">
        <v>0</v>
      </c>
      <c r="N809" t="n">
        <v>0</v>
      </c>
      <c r="O809" t="n">
        <v>0</v>
      </c>
      <c r="P809" t="n">
        <v>0</v>
      </c>
      <c r="Q809" t="n">
        <v>0</v>
      </c>
      <c r="R809" s="2" t="inlineStr"/>
    </row>
    <row r="810" ht="15" customHeight="1">
      <c r="A810" t="inlineStr">
        <is>
          <t>A 3009-2024</t>
        </is>
      </c>
      <c r="B810" s="1" t="n">
        <v>45315</v>
      </c>
      <c r="C810" s="1" t="n">
        <v>45789</v>
      </c>
      <c r="D810" t="inlineStr">
        <is>
          <t>DALARNAS LÄN</t>
        </is>
      </c>
      <c r="E810" t="inlineStr">
        <is>
          <t>ÄLVDALEN</t>
        </is>
      </c>
      <c r="G810" t="n">
        <v>7</v>
      </c>
      <c r="H810" t="n">
        <v>0</v>
      </c>
      <c r="I810" t="n">
        <v>0</v>
      </c>
      <c r="J810" t="n">
        <v>0</v>
      </c>
      <c r="K810" t="n">
        <v>0</v>
      </c>
      <c r="L810" t="n">
        <v>0</v>
      </c>
      <c r="M810" t="n">
        <v>0</v>
      </c>
      <c r="N810" t="n">
        <v>0</v>
      </c>
      <c r="O810" t="n">
        <v>0</v>
      </c>
      <c r="P810" t="n">
        <v>0</v>
      </c>
      <c r="Q810" t="n">
        <v>0</v>
      </c>
      <c r="R810" s="2" t="inlineStr"/>
    </row>
    <row r="811" ht="15" customHeight="1">
      <c r="A811" t="inlineStr">
        <is>
          <t>A 3050-2024</t>
        </is>
      </c>
      <c r="B811" s="1" t="n">
        <v>45316</v>
      </c>
      <c r="C811" s="1" t="n">
        <v>45789</v>
      </c>
      <c r="D811" t="inlineStr">
        <is>
          <t>DALARNAS LÄN</t>
        </is>
      </c>
      <c r="E811" t="inlineStr">
        <is>
          <t>ÄLVDALEN</t>
        </is>
      </c>
      <c r="G811" t="n">
        <v>10</v>
      </c>
      <c r="H811" t="n">
        <v>0</v>
      </c>
      <c r="I811" t="n">
        <v>0</v>
      </c>
      <c r="J811" t="n">
        <v>0</v>
      </c>
      <c r="K811" t="n">
        <v>0</v>
      </c>
      <c r="L811" t="n">
        <v>0</v>
      </c>
      <c r="M811" t="n">
        <v>0</v>
      </c>
      <c r="N811" t="n">
        <v>0</v>
      </c>
      <c r="O811" t="n">
        <v>0</v>
      </c>
      <c r="P811" t="n">
        <v>0</v>
      </c>
      <c r="Q811" t="n">
        <v>0</v>
      </c>
      <c r="R811" s="2" t="inlineStr"/>
    </row>
    <row r="812" ht="15" customHeight="1">
      <c r="A812" t="inlineStr">
        <is>
          <t>A 3808-2024</t>
        </is>
      </c>
      <c r="B812" s="1" t="n">
        <v>45321</v>
      </c>
      <c r="C812" s="1" t="n">
        <v>45789</v>
      </c>
      <c r="D812" t="inlineStr">
        <is>
          <t>DALARNAS LÄN</t>
        </is>
      </c>
      <c r="E812" t="inlineStr">
        <is>
          <t>ÄLVDALEN</t>
        </is>
      </c>
      <c r="G812" t="n">
        <v>0.6</v>
      </c>
      <c r="H812" t="n">
        <v>0</v>
      </c>
      <c r="I812" t="n">
        <v>0</v>
      </c>
      <c r="J812" t="n">
        <v>0</v>
      </c>
      <c r="K812" t="n">
        <v>0</v>
      </c>
      <c r="L812" t="n">
        <v>0</v>
      </c>
      <c r="M812" t="n">
        <v>0</v>
      </c>
      <c r="N812" t="n">
        <v>0</v>
      </c>
      <c r="O812" t="n">
        <v>0</v>
      </c>
      <c r="P812" t="n">
        <v>0</v>
      </c>
      <c r="Q812" t="n">
        <v>0</v>
      </c>
      <c r="R812" s="2" t="inlineStr"/>
    </row>
    <row r="813" ht="15" customHeight="1">
      <c r="A813" t="inlineStr">
        <is>
          <t>A 3903-2024</t>
        </is>
      </c>
      <c r="B813" s="1" t="n">
        <v>45322</v>
      </c>
      <c r="C813" s="1" t="n">
        <v>45789</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3914-2024</t>
        </is>
      </c>
      <c r="B814" s="1" t="n">
        <v>45322</v>
      </c>
      <c r="C814" s="1" t="n">
        <v>45789</v>
      </c>
      <c r="D814" t="inlineStr">
        <is>
          <t>DALARNAS LÄN</t>
        </is>
      </c>
      <c r="E814" t="inlineStr">
        <is>
          <t>ÄLVDALEN</t>
        </is>
      </c>
      <c r="G814" t="n">
        <v>0.3</v>
      </c>
      <c r="H814" t="n">
        <v>0</v>
      </c>
      <c r="I814" t="n">
        <v>0</v>
      </c>
      <c r="J814" t="n">
        <v>0</v>
      </c>
      <c r="K814" t="n">
        <v>0</v>
      </c>
      <c r="L814" t="n">
        <v>0</v>
      </c>
      <c r="M814" t="n">
        <v>0</v>
      </c>
      <c r="N814" t="n">
        <v>0</v>
      </c>
      <c r="O814" t="n">
        <v>0</v>
      </c>
      <c r="P814" t="n">
        <v>0</v>
      </c>
      <c r="Q814" t="n">
        <v>0</v>
      </c>
      <c r="R814" s="2" t="inlineStr"/>
    </row>
    <row r="815" ht="15" customHeight="1">
      <c r="A815" t="inlineStr">
        <is>
          <t>A 3893-2024</t>
        </is>
      </c>
      <c r="B815" s="1" t="n">
        <v>45322</v>
      </c>
      <c r="C815" s="1" t="n">
        <v>45789</v>
      </c>
      <c r="D815" t="inlineStr">
        <is>
          <t>DALARNAS LÄN</t>
        </is>
      </c>
      <c r="E815" t="inlineStr">
        <is>
          <t>ÄLVDALEN</t>
        </is>
      </c>
      <c r="G815" t="n">
        <v>0.5</v>
      </c>
      <c r="H815" t="n">
        <v>0</v>
      </c>
      <c r="I815" t="n">
        <v>0</v>
      </c>
      <c r="J815" t="n">
        <v>0</v>
      </c>
      <c r="K815" t="n">
        <v>0</v>
      </c>
      <c r="L815" t="n">
        <v>0</v>
      </c>
      <c r="M815" t="n">
        <v>0</v>
      </c>
      <c r="N815" t="n">
        <v>0</v>
      </c>
      <c r="O815" t="n">
        <v>0</v>
      </c>
      <c r="P815" t="n">
        <v>0</v>
      </c>
      <c r="Q815" t="n">
        <v>0</v>
      </c>
      <c r="R815" s="2" t="inlineStr"/>
    </row>
    <row r="816" ht="15" customHeight="1">
      <c r="A816" t="inlineStr">
        <is>
          <t>A 3905-2024</t>
        </is>
      </c>
      <c r="B816" s="1" t="n">
        <v>45322</v>
      </c>
      <c r="C816" s="1" t="n">
        <v>45789</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45789</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45789</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45789</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4050-2024</t>
        </is>
      </c>
      <c r="B820" s="1" t="n">
        <v>45323</v>
      </c>
      <c r="C820" s="1" t="n">
        <v>45789</v>
      </c>
      <c r="D820" t="inlineStr">
        <is>
          <t>DALARNAS LÄN</t>
        </is>
      </c>
      <c r="E820" t="inlineStr">
        <is>
          <t>ÄLVDALEN</t>
        </is>
      </c>
      <c r="F820" t="inlineStr">
        <is>
          <t>Övriga statliga verk och myndigheter</t>
        </is>
      </c>
      <c r="G820" t="n">
        <v>1.2</v>
      </c>
      <c r="H820" t="n">
        <v>0</v>
      </c>
      <c r="I820" t="n">
        <v>0</v>
      </c>
      <c r="J820" t="n">
        <v>0</v>
      </c>
      <c r="K820" t="n">
        <v>0</v>
      </c>
      <c r="L820" t="n">
        <v>0</v>
      </c>
      <c r="M820" t="n">
        <v>0</v>
      </c>
      <c r="N820" t="n">
        <v>0</v>
      </c>
      <c r="O820" t="n">
        <v>0</v>
      </c>
      <c r="P820" t="n">
        <v>0</v>
      </c>
      <c r="Q820" t="n">
        <v>0</v>
      </c>
      <c r="R820" s="2" t="inlineStr"/>
    </row>
    <row r="821" ht="15" customHeight="1">
      <c r="A821" t="inlineStr">
        <is>
          <t>A 4380-2024</t>
        </is>
      </c>
      <c r="B821" s="1" t="n">
        <v>45327</v>
      </c>
      <c r="C821" s="1" t="n">
        <v>45789</v>
      </c>
      <c r="D821" t="inlineStr">
        <is>
          <t>DALARNAS LÄN</t>
        </is>
      </c>
      <c r="E821" t="inlineStr">
        <is>
          <t>ÄLVDALEN</t>
        </is>
      </c>
      <c r="G821" t="n">
        <v>6.3</v>
      </c>
      <c r="H821" t="n">
        <v>0</v>
      </c>
      <c r="I821" t="n">
        <v>0</v>
      </c>
      <c r="J821" t="n">
        <v>0</v>
      </c>
      <c r="K821" t="n">
        <v>0</v>
      </c>
      <c r="L821" t="n">
        <v>0</v>
      </c>
      <c r="M821" t="n">
        <v>0</v>
      </c>
      <c r="N821" t="n">
        <v>0</v>
      </c>
      <c r="O821" t="n">
        <v>0</v>
      </c>
      <c r="P821" t="n">
        <v>0</v>
      </c>
      <c r="Q821" t="n">
        <v>0</v>
      </c>
      <c r="R821" s="2" t="inlineStr"/>
    </row>
    <row r="822" ht="15" customHeight="1">
      <c r="A822" t="inlineStr">
        <is>
          <t>A 4525-2024</t>
        </is>
      </c>
      <c r="B822" s="1" t="n">
        <v>45327</v>
      </c>
      <c r="C822" s="1" t="n">
        <v>45789</v>
      </c>
      <c r="D822" t="inlineStr">
        <is>
          <t>DALARNAS LÄN</t>
        </is>
      </c>
      <c r="E822" t="inlineStr">
        <is>
          <t>ÄLVDALEN</t>
        </is>
      </c>
      <c r="G822" t="n">
        <v>12.5</v>
      </c>
      <c r="H822" t="n">
        <v>0</v>
      </c>
      <c r="I822" t="n">
        <v>0</v>
      </c>
      <c r="J822" t="n">
        <v>0</v>
      </c>
      <c r="K822" t="n">
        <v>0</v>
      </c>
      <c r="L822" t="n">
        <v>0</v>
      </c>
      <c r="M822" t="n">
        <v>0</v>
      </c>
      <c r="N822" t="n">
        <v>0</v>
      </c>
      <c r="O822" t="n">
        <v>0</v>
      </c>
      <c r="P822" t="n">
        <v>0</v>
      </c>
      <c r="Q822" t="n">
        <v>0</v>
      </c>
      <c r="R822" s="2" t="inlineStr"/>
    </row>
    <row r="823" ht="15" customHeight="1">
      <c r="A823" t="inlineStr">
        <is>
          <t>A 4662-2024</t>
        </is>
      </c>
      <c r="B823" s="1" t="n">
        <v>45328</v>
      </c>
      <c r="C823" s="1" t="n">
        <v>45789</v>
      </c>
      <c r="D823" t="inlineStr">
        <is>
          <t>DALARNAS LÄN</t>
        </is>
      </c>
      <c r="E823" t="inlineStr">
        <is>
          <t>ÄLVDALEN</t>
        </is>
      </c>
      <c r="G823" t="n">
        <v>4.9</v>
      </c>
      <c r="H823" t="n">
        <v>0</v>
      </c>
      <c r="I823" t="n">
        <v>0</v>
      </c>
      <c r="J823" t="n">
        <v>0</v>
      </c>
      <c r="K823" t="n">
        <v>0</v>
      </c>
      <c r="L823" t="n">
        <v>0</v>
      </c>
      <c r="M823" t="n">
        <v>0</v>
      </c>
      <c r="N823" t="n">
        <v>0</v>
      </c>
      <c r="O823" t="n">
        <v>0</v>
      </c>
      <c r="P823" t="n">
        <v>0</v>
      </c>
      <c r="Q823" t="n">
        <v>0</v>
      </c>
      <c r="R823" s="2" t="inlineStr"/>
    </row>
    <row r="824" ht="15" customHeight="1">
      <c r="A824" t="inlineStr">
        <is>
          <t>A 4709-2024</t>
        </is>
      </c>
      <c r="B824" s="1" t="n">
        <v>45328</v>
      </c>
      <c r="C824" s="1" t="n">
        <v>45789</v>
      </c>
      <c r="D824" t="inlineStr">
        <is>
          <t>DALARNAS LÄN</t>
        </is>
      </c>
      <c r="E824" t="inlineStr">
        <is>
          <t>ÄLVDALEN</t>
        </is>
      </c>
      <c r="G824" t="n">
        <v>9.1</v>
      </c>
      <c r="H824" t="n">
        <v>0</v>
      </c>
      <c r="I824" t="n">
        <v>0</v>
      </c>
      <c r="J824" t="n">
        <v>0</v>
      </c>
      <c r="K824" t="n">
        <v>0</v>
      </c>
      <c r="L824" t="n">
        <v>0</v>
      </c>
      <c r="M824" t="n">
        <v>0</v>
      </c>
      <c r="N824" t="n">
        <v>0</v>
      </c>
      <c r="O824" t="n">
        <v>0</v>
      </c>
      <c r="P824" t="n">
        <v>0</v>
      </c>
      <c r="Q824" t="n">
        <v>0</v>
      </c>
      <c r="R824" s="2" t="inlineStr"/>
    </row>
    <row r="825" ht="15" customHeight="1">
      <c r="A825" t="inlineStr">
        <is>
          <t>A 4671-2024</t>
        </is>
      </c>
      <c r="B825" s="1" t="n">
        <v>45328</v>
      </c>
      <c r="C825" s="1" t="n">
        <v>45789</v>
      </c>
      <c r="D825" t="inlineStr">
        <is>
          <t>DALARNAS LÄN</t>
        </is>
      </c>
      <c r="E825" t="inlineStr">
        <is>
          <t>ÄLVDALEN</t>
        </is>
      </c>
      <c r="G825" t="n">
        <v>4.8</v>
      </c>
      <c r="H825" t="n">
        <v>0</v>
      </c>
      <c r="I825" t="n">
        <v>0</v>
      </c>
      <c r="J825" t="n">
        <v>0</v>
      </c>
      <c r="K825" t="n">
        <v>0</v>
      </c>
      <c r="L825" t="n">
        <v>0</v>
      </c>
      <c r="M825" t="n">
        <v>0</v>
      </c>
      <c r="N825" t="n">
        <v>0</v>
      </c>
      <c r="O825" t="n">
        <v>0</v>
      </c>
      <c r="P825" t="n">
        <v>0</v>
      </c>
      <c r="Q825" t="n">
        <v>0</v>
      </c>
      <c r="R825" s="2" t="inlineStr"/>
    </row>
    <row r="826" ht="15" customHeight="1">
      <c r="A826" t="inlineStr">
        <is>
          <t>A 4712-2024</t>
        </is>
      </c>
      <c r="B826" s="1" t="n">
        <v>45328</v>
      </c>
      <c r="C826" s="1" t="n">
        <v>45789</v>
      </c>
      <c r="D826" t="inlineStr">
        <is>
          <t>DALARNAS LÄN</t>
        </is>
      </c>
      <c r="E826" t="inlineStr">
        <is>
          <t>ÄLVDALEN</t>
        </is>
      </c>
      <c r="G826" t="n">
        <v>6.2</v>
      </c>
      <c r="H826" t="n">
        <v>0</v>
      </c>
      <c r="I826" t="n">
        <v>0</v>
      </c>
      <c r="J826" t="n">
        <v>0</v>
      </c>
      <c r="K826" t="n">
        <v>0</v>
      </c>
      <c r="L826" t="n">
        <v>0</v>
      </c>
      <c r="M826" t="n">
        <v>0</v>
      </c>
      <c r="N826" t="n">
        <v>0</v>
      </c>
      <c r="O826" t="n">
        <v>0</v>
      </c>
      <c r="P826" t="n">
        <v>0</v>
      </c>
      <c r="Q826" t="n">
        <v>0</v>
      </c>
      <c r="R826" s="2" t="inlineStr"/>
    </row>
    <row r="827" ht="15" customHeight="1">
      <c r="A827" t="inlineStr">
        <is>
          <t>A 5170-2024</t>
        </is>
      </c>
      <c r="B827" s="1" t="n">
        <v>45330</v>
      </c>
      <c r="C827" s="1" t="n">
        <v>45789</v>
      </c>
      <c r="D827" t="inlineStr">
        <is>
          <t>DALARNAS LÄN</t>
        </is>
      </c>
      <c r="E827" t="inlineStr">
        <is>
          <t>ÄLVDALEN</t>
        </is>
      </c>
      <c r="G827" t="n">
        <v>15.8</v>
      </c>
      <c r="H827" t="n">
        <v>0</v>
      </c>
      <c r="I827" t="n">
        <v>0</v>
      </c>
      <c r="J827" t="n">
        <v>0</v>
      </c>
      <c r="K827" t="n">
        <v>0</v>
      </c>
      <c r="L827" t="n">
        <v>0</v>
      </c>
      <c r="M827" t="n">
        <v>0</v>
      </c>
      <c r="N827" t="n">
        <v>0</v>
      </c>
      <c r="O827" t="n">
        <v>0</v>
      </c>
      <c r="P827" t="n">
        <v>0</v>
      </c>
      <c r="Q827" t="n">
        <v>0</v>
      </c>
      <c r="R827" s="2" t="inlineStr"/>
    </row>
    <row r="828" ht="15" customHeight="1">
      <c r="A828" t="inlineStr">
        <is>
          <t>A 5883-2024</t>
        </is>
      </c>
      <c r="B828" s="1" t="n">
        <v>45335</v>
      </c>
      <c r="C828" s="1" t="n">
        <v>45789</v>
      </c>
      <c r="D828" t="inlineStr">
        <is>
          <t>DALARNAS LÄN</t>
        </is>
      </c>
      <c r="E828" t="inlineStr">
        <is>
          <t>ÄLVDALEN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5885-2024</t>
        </is>
      </c>
      <c r="B829" s="1" t="n">
        <v>45335</v>
      </c>
      <c r="C829" s="1" t="n">
        <v>45789</v>
      </c>
      <c r="D829" t="inlineStr">
        <is>
          <t>DALARNAS LÄN</t>
        </is>
      </c>
      <c r="E829" t="inlineStr">
        <is>
          <t>ÄLVDALEN</t>
        </is>
      </c>
      <c r="G829" t="n">
        <v>0.8</v>
      </c>
      <c r="H829" t="n">
        <v>0</v>
      </c>
      <c r="I829" t="n">
        <v>0</v>
      </c>
      <c r="J829" t="n">
        <v>0</v>
      </c>
      <c r="K829" t="n">
        <v>0</v>
      </c>
      <c r="L829" t="n">
        <v>0</v>
      </c>
      <c r="M829" t="n">
        <v>0</v>
      </c>
      <c r="N829" t="n">
        <v>0</v>
      </c>
      <c r="O829" t="n">
        <v>0</v>
      </c>
      <c r="P829" t="n">
        <v>0</v>
      </c>
      <c r="Q829" t="n">
        <v>0</v>
      </c>
      <c r="R829" s="2" t="inlineStr"/>
    </row>
    <row r="830" ht="15" customHeight="1">
      <c r="A830" t="inlineStr">
        <is>
          <t>A 6001-2024</t>
        </is>
      </c>
      <c r="B830" s="1" t="n">
        <v>45336</v>
      </c>
      <c r="C830" s="1" t="n">
        <v>45789</v>
      </c>
      <c r="D830" t="inlineStr">
        <is>
          <t>DALARNAS LÄN</t>
        </is>
      </c>
      <c r="E830" t="inlineStr">
        <is>
          <t>ÄLVDALEN</t>
        </is>
      </c>
      <c r="G830" t="n">
        <v>1.4</v>
      </c>
      <c r="H830" t="n">
        <v>0</v>
      </c>
      <c r="I830" t="n">
        <v>0</v>
      </c>
      <c r="J830" t="n">
        <v>0</v>
      </c>
      <c r="K830" t="n">
        <v>0</v>
      </c>
      <c r="L830" t="n">
        <v>0</v>
      </c>
      <c r="M830" t="n">
        <v>0</v>
      </c>
      <c r="N830" t="n">
        <v>0</v>
      </c>
      <c r="O830" t="n">
        <v>0</v>
      </c>
      <c r="P830" t="n">
        <v>0</v>
      </c>
      <c r="Q830" t="n">
        <v>0</v>
      </c>
      <c r="R830" s="2" t="inlineStr"/>
    </row>
    <row r="831" ht="15" customHeight="1">
      <c r="A831" t="inlineStr">
        <is>
          <t>A 6230-2024</t>
        </is>
      </c>
      <c r="B831" s="1" t="n">
        <v>45337</v>
      </c>
      <c r="C831" s="1" t="n">
        <v>45789</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6652-2024</t>
        </is>
      </c>
      <c r="B832" s="1" t="n">
        <v>45341</v>
      </c>
      <c r="C832" s="1" t="n">
        <v>45789</v>
      </c>
      <c r="D832" t="inlineStr">
        <is>
          <t>DALARNAS LÄN</t>
        </is>
      </c>
      <c r="E832" t="inlineStr">
        <is>
          <t>ÄLVDALEN</t>
        </is>
      </c>
      <c r="G832" t="n">
        <v>3.6</v>
      </c>
      <c r="H832" t="n">
        <v>0</v>
      </c>
      <c r="I832" t="n">
        <v>0</v>
      </c>
      <c r="J832" t="n">
        <v>0</v>
      </c>
      <c r="K832" t="n">
        <v>0</v>
      </c>
      <c r="L832" t="n">
        <v>0</v>
      </c>
      <c r="M832" t="n">
        <v>0</v>
      </c>
      <c r="N832" t="n">
        <v>0</v>
      </c>
      <c r="O832" t="n">
        <v>0</v>
      </c>
      <c r="P832" t="n">
        <v>0</v>
      </c>
      <c r="Q832" t="n">
        <v>0</v>
      </c>
      <c r="R832" s="2" t="inlineStr"/>
    </row>
    <row r="833" ht="15" customHeight="1">
      <c r="A833" t="inlineStr">
        <is>
          <t>A 7045-2024</t>
        </is>
      </c>
      <c r="B833" s="1" t="n">
        <v>45343</v>
      </c>
      <c r="C833" s="1" t="n">
        <v>45789</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7581-2024</t>
        </is>
      </c>
      <c r="B834" s="1" t="n">
        <v>45348</v>
      </c>
      <c r="C834" s="1" t="n">
        <v>45789</v>
      </c>
      <c r="D834" t="inlineStr">
        <is>
          <t>DALARNAS LÄN</t>
        </is>
      </c>
      <c r="E834" t="inlineStr">
        <is>
          <t>ÄLVDALEN</t>
        </is>
      </c>
      <c r="G834" t="n">
        <v>1.5</v>
      </c>
      <c r="H834" t="n">
        <v>0</v>
      </c>
      <c r="I834" t="n">
        <v>0</v>
      </c>
      <c r="J834" t="n">
        <v>0</v>
      </c>
      <c r="K834" t="n">
        <v>0</v>
      </c>
      <c r="L834" t="n">
        <v>0</v>
      </c>
      <c r="M834" t="n">
        <v>0</v>
      </c>
      <c r="N834" t="n">
        <v>0</v>
      </c>
      <c r="O834" t="n">
        <v>0</v>
      </c>
      <c r="P834" t="n">
        <v>0</v>
      </c>
      <c r="Q834" t="n">
        <v>0</v>
      </c>
      <c r="R834" s="2" t="inlineStr"/>
    </row>
    <row r="835" ht="15" customHeight="1">
      <c r="A835" t="inlineStr">
        <is>
          <t>A 7541-2024</t>
        </is>
      </c>
      <c r="B835" s="1" t="n">
        <v>45348</v>
      </c>
      <c r="C835" s="1" t="n">
        <v>45789</v>
      </c>
      <c r="D835" t="inlineStr">
        <is>
          <t>DALARNAS LÄN</t>
        </is>
      </c>
      <c r="E835" t="inlineStr">
        <is>
          <t>ÄLVDALEN</t>
        </is>
      </c>
      <c r="G835" t="n">
        <v>2.1</v>
      </c>
      <c r="H835" t="n">
        <v>0</v>
      </c>
      <c r="I835" t="n">
        <v>0</v>
      </c>
      <c r="J835" t="n">
        <v>0</v>
      </c>
      <c r="K835" t="n">
        <v>0</v>
      </c>
      <c r="L835" t="n">
        <v>0</v>
      </c>
      <c r="M835" t="n">
        <v>0</v>
      </c>
      <c r="N835" t="n">
        <v>0</v>
      </c>
      <c r="O835" t="n">
        <v>0</v>
      </c>
      <c r="P835" t="n">
        <v>0</v>
      </c>
      <c r="Q835" t="n">
        <v>0</v>
      </c>
      <c r="R835" s="2" t="inlineStr"/>
    </row>
    <row r="836" ht="15" customHeight="1">
      <c r="A836" t="inlineStr">
        <is>
          <t>A 7576-2024</t>
        </is>
      </c>
      <c r="B836" s="1" t="n">
        <v>45348</v>
      </c>
      <c r="C836" s="1" t="n">
        <v>45789</v>
      </c>
      <c r="D836" t="inlineStr">
        <is>
          <t>DALARNAS LÄN</t>
        </is>
      </c>
      <c r="E836" t="inlineStr">
        <is>
          <t>ÄLVDALEN</t>
        </is>
      </c>
      <c r="G836" t="n">
        <v>11.1</v>
      </c>
      <c r="H836" t="n">
        <v>0</v>
      </c>
      <c r="I836" t="n">
        <v>0</v>
      </c>
      <c r="J836" t="n">
        <v>0</v>
      </c>
      <c r="K836" t="n">
        <v>0</v>
      </c>
      <c r="L836" t="n">
        <v>0</v>
      </c>
      <c r="M836" t="n">
        <v>0</v>
      </c>
      <c r="N836" t="n">
        <v>0</v>
      </c>
      <c r="O836" t="n">
        <v>0</v>
      </c>
      <c r="P836" t="n">
        <v>0</v>
      </c>
      <c r="Q836" t="n">
        <v>0</v>
      </c>
      <c r="R836" s="2" t="inlineStr"/>
    </row>
    <row r="837" ht="15" customHeight="1">
      <c r="A837" t="inlineStr">
        <is>
          <t>A 7998-2024</t>
        </is>
      </c>
      <c r="B837" s="1" t="n">
        <v>45350</v>
      </c>
      <c r="C837" s="1" t="n">
        <v>45789</v>
      </c>
      <c r="D837" t="inlineStr">
        <is>
          <t>DALARNAS LÄN</t>
        </is>
      </c>
      <c r="E837" t="inlineStr">
        <is>
          <t>ÄLVDALEN</t>
        </is>
      </c>
      <c r="F837" t="inlineStr">
        <is>
          <t>Kommuner</t>
        </is>
      </c>
      <c r="G837" t="n">
        <v>7.9</v>
      </c>
      <c r="H837" t="n">
        <v>0</v>
      </c>
      <c r="I837" t="n">
        <v>0</v>
      </c>
      <c r="J837" t="n">
        <v>0</v>
      </c>
      <c r="K837" t="n">
        <v>0</v>
      </c>
      <c r="L837" t="n">
        <v>0</v>
      </c>
      <c r="M837" t="n">
        <v>0</v>
      </c>
      <c r="N837" t="n">
        <v>0</v>
      </c>
      <c r="O837" t="n">
        <v>0</v>
      </c>
      <c r="P837" t="n">
        <v>0</v>
      </c>
      <c r="Q837" t="n">
        <v>0</v>
      </c>
      <c r="R837" s="2" t="inlineStr"/>
    </row>
    <row r="838" ht="15" customHeight="1">
      <c r="A838" t="inlineStr">
        <is>
          <t>A 8784-2024</t>
        </is>
      </c>
      <c r="B838" s="1" t="n">
        <v>45356</v>
      </c>
      <c r="C838" s="1" t="n">
        <v>45789</v>
      </c>
      <c r="D838" t="inlineStr">
        <is>
          <t>DALARNAS LÄN</t>
        </is>
      </c>
      <c r="E838" t="inlineStr">
        <is>
          <t>ÄLVDALEN</t>
        </is>
      </c>
      <c r="G838" t="n">
        <v>1.6</v>
      </c>
      <c r="H838" t="n">
        <v>0</v>
      </c>
      <c r="I838" t="n">
        <v>0</v>
      </c>
      <c r="J838" t="n">
        <v>0</v>
      </c>
      <c r="K838" t="n">
        <v>0</v>
      </c>
      <c r="L838" t="n">
        <v>0</v>
      </c>
      <c r="M838" t="n">
        <v>0</v>
      </c>
      <c r="N838" t="n">
        <v>0</v>
      </c>
      <c r="O838" t="n">
        <v>0</v>
      </c>
      <c r="P838" t="n">
        <v>0</v>
      </c>
      <c r="Q838" t="n">
        <v>0</v>
      </c>
      <c r="R838" s="2" t="inlineStr"/>
    </row>
    <row r="839" ht="15" customHeight="1">
      <c r="A839" t="inlineStr">
        <is>
          <t>A 9084-2024</t>
        </is>
      </c>
      <c r="B839" s="1" t="n">
        <v>45357</v>
      </c>
      <c r="C839" s="1" t="n">
        <v>45789</v>
      </c>
      <c r="D839" t="inlineStr">
        <is>
          <t>DALARNAS LÄN</t>
        </is>
      </c>
      <c r="E839" t="inlineStr">
        <is>
          <t>ÄLVDALEN</t>
        </is>
      </c>
      <c r="F839" t="inlineStr">
        <is>
          <t>Övriga Aktiebolag</t>
        </is>
      </c>
      <c r="G839" t="n">
        <v>5.6</v>
      </c>
      <c r="H839" t="n">
        <v>0</v>
      </c>
      <c r="I839" t="n">
        <v>0</v>
      </c>
      <c r="J839" t="n">
        <v>0</v>
      </c>
      <c r="K839" t="n">
        <v>0</v>
      </c>
      <c r="L839" t="n">
        <v>0</v>
      </c>
      <c r="M839" t="n">
        <v>0</v>
      </c>
      <c r="N839" t="n">
        <v>0</v>
      </c>
      <c r="O839" t="n">
        <v>0</v>
      </c>
      <c r="P839" t="n">
        <v>0</v>
      </c>
      <c r="Q839" t="n">
        <v>0</v>
      </c>
      <c r="R839" s="2" t="inlineStr"/>
    </row>
    <row r="840" ht="15" customHeight="1">
      <c r="A840" t="inlineStr">
        <is>
          <t>A 9100-2024</t>
        </is>
      </c>
      <c r="B840" s="1" t="n">
        <v>45357</v>
      </c>
      <c r="C840" s="1" t="n">
        <v>45789</v>
      </c>
      <c r="D840" t="inlineStr">
        <is>
          <t>DALARNAS LÄN</t>
        </is>
      </c>
      <c r="E840" t="inlineStr">
        <is>
          <t>ÄLVDALEN</t>
        </is>
      </c>
      <c r="F840" t="inlineStr">
        <is>
          <t>Övriga Aktiebolag</t>
        </is>
      </c>
      <c r="G840" t="n">
        <v>6.3</v>
      </c>
      <c r="H840" t="n">
        <v>0</v>
      </c>
      <c r="I840" t="n">
        <v>0</v>
      </c>
      <c r="J840" t="n">
        <v>0</v>
      </c>
      <c r="K840" t="n">
        <v>0</v>
      </c>
      <c r="L840" t="n">
        <v>0</v>
      </c>
      <c r="M840" t="n">
        <v>0</v>
      </c>
      <c r="N840" t="n">
        <v>0</v>
      </c>
      <c r="O840" t="n">
        <v>0</v>
      </c>
      <c r="P840" t="n">
        <v>0</v>
      </c>
      <c r="Q840" t="n">
        <v>0</v>
      </c>
      <c r="R840" s="2" t="inlineStr"/>
    </row>
    <row r="841" ht="15" customHeight="1">
      <c r="A841" t="inlineStr">
        <is>
          <t>A 9091-2024</t>
        </is>
      </c>
      <c r="B841" s="1" t="n">
        <v>45357</v>
      </c>
      <c r="C841" s="1" t="n">
        <v>45789</v>
      </c>
      <c r="D841" t="inlineStr">
        <is>
          <t>DALARNAS LÄN</t>
        </is>
      </c>
      <c r="E841" t="inlineStr">
        <is>
          <t>ÄLVDALEN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9108-2024</t>
        </is>
      </c>
      <c r="B842" s="1" t="n">
        <v>45358</v>
      </c>
      <c r="C842" s="1" t="n">
        <v>45789</v>
      </c>
      <c r="D842" t="inlineStr">
        <is>
          <t>DALARNAS LÄN</t>
        </is>
      </c>
      <c r="E842" t="inlineStr">
        <is>
          <t>ÄLVDALEN</t>
        </is>
      </c>
      <c r="F842" t="inlineStr">
        <is>
          <t>Övriga Aktiebolag</t>
        </is>
      </c>
      <c r="G842" t="n">
        <v>24.4</v>
      </c>
      <c r="H842" t="n">
        <v>0</v>
      </c>
      <c r="I842" t="n">
        <v>0</v>
      </c>
      <c r="J842" t="n">
        <v>0</v>
      </c>
      <c r="K842" t="n">
        <v>0</v>
      </c>
      <c r="L842" t="n">
        <v>0</v>
      </c>
      <c r="M842" t="n">
        <v>0</v>
      </c>
      <c r="N842" t="n">
        <v>0</v>
      </c>
      <c r="O842" t="n">
        <v>0</v>
      </c>
      <c r="P842" t="n">
        <v>0</v>
      </c>
      <c r="Q842" t="n">
        <v>0</v>
      </c>
      <c r="R842" s="2" t="inlineStr"/>
    </row>
    <row r="843" ht="15" customHeight="1">
      <c r="A843" t="inlineStr">
        <is>
          <t>A 9085-2024</t>
        </is>
      </c>
      <c r="B843" s="1" t="n">
        <v>45357</v>
      </c>
      <c r="C843" s="1" t="n">
        <v>45789</v>
      </c>
      <c r="D843" t="inlineStr">
        <is>
          <t>DALARNAS LÄN</t>
        </is>
      </c>
      <c r="E843" t="inlineStr">
        <is>
          <t>ÄLVDALEN</t>
        </is>
      </c>
      <c r="F843" t="inlineStr">
        <is>
          <t>Övriga Aktiebolag</t>
        </is>
      </c>
      <c r="G843" t="n">
        <v>1.7</v>
      </c>
      <c r="H843" t="n">
        <v>0</v>
      </c>
      <c r="I843" t="n">
        <v>0</v>
      </c>
      <c r="J843" t="n">
        <v>0</v>
      </c>
      <c r="K843" t="n">
        <v>0</v>
      </c>
      <c r="L843" t="n">
        <v>0</v>
      </c>
      <c r="M843" t="n">
        <v>0</v>
      </c>
      <c r="N843" t="n">
        <v>0</v>
      </c>
      <c r="O843" t="n">
        <v>0</v>
      </c>
      <c r="P843" t="n">
        <v>0</v>
      </c>
      <c r="Q843" t="n">
        <v>0</v>
      </c>
      <c r="R843" s="2" t="inlineStr"/>
    </row>
    <row r="844" ht="15" customHeight="1">
      <c r="A844" t="inlineStr">
        <is>
          <t>A 11891-2024</t>
        </is>
      </c>
      <c r="B844" s="1" t="n">
        <v>45376</v>
      </c>
      <c r="C844" s="1" t="n">
        <v>45789</v>
      </c>
      <c r="D844" t="inlineStr">
        <is>
          <t>DALARNAS LÄN</t>
        </is>
      </c>
      <c r="E844" t="inlineStr">
        <is>
          <t>ÄLVDALEN</t>
        </is>
      </c>
      <c r="G844" t="n">
        <v>24.7</v>
      </c>
      <c r="H844" t="n">
        <v>0</v>
      </c>
      <c r="I844" t="n">
        <v>0</v>
      </c>
      <c r="J844" t="n">
        <v>0</v>
      </c>
      <c r="K844" t="n">
        <v>0</v>
      </c>
      <c r="L844" t="n">
        <v>0</v>
      </c>
      <c r="M844" t="n">
        <v>0</v>
      </c>
      <c r="N844" t="n">
        <v>0</v>
      </c>
      <c r="O844" t="n">
        <v>0</v>
      </c>
      <c r="P844" t="n">
        <v>0</v>
      </c>
      <c r="Q844" t="n">
        <v>0</v>
      </c>
      <c r="R844" s="2" t="inlineStr"/>
    </row>
    <row r="845" ht="15" customHeight="1">
      <c r="A845" t="inlineStr">
        <is>
          <t>A 12420-2024</t>
        </is>
      </c>
      <c r="B845" s="1" t="n">
        <v>45379</v>
      </c>
      <c r="C845" s="1" t="n">
        <v>45789</v>
      </c>
      <c r="D845" t="inlineStr">
        <is>
          <t>DALARNAS LÄN</t>
        </is>
      </c>
      <c r="E845" t="inlineStr">
        <is>
          <t>ÄLVDALEN</t>
        </is>
      </c>
      <c r="G845" t="n">
        <v>7.4</v>
      </c>
      <c r="H845" t="n">
        <v>0</v>
      </c>
      <c r="I845" t="n">
        <v>0</v>
      </c>
      <c r="J845" t="n">
        <v>0</v>
      </c>
      <c r="K845" t="n">
        <v>0</v>
      </c>
      <c r="L845" t="n">
        <v>0</v>
      </c>
      <c r="M845" t="n">
        <v>0</v>
      </c>
      <c r="N845" t="n">
        <v>0</v>
      </c>
      <c r="O845" t="n">
        <v>0</v>
      </c>
      <c r="P845" t="n">
        <v>0</v>
      </c>
      <c r="Q845" t="n">
        <v>0</v>
      </c>
      <c r="R845" s="2" t="inlineStr"/>
    </row>
    <row r="846" ht="15" customHeight="1">
      <c r="A846" t="inlineStr">
        <is>
          <t>A 13047-2024</t>
        </is>
      </c>
      <c r="B846" s="1" t="n">
        <v>45385</v>
      </c>
      <c r="C846" s="1" t="n">
        <v>45789</v>
      </c>
      <c r="D846" t="inlineStr">
        <is>
          <t>DALARNAS LÄN</t>
        </is>
      </c>
      <c r="E846" t="inlineStr">
        <is>
          <t>ÄLVDALEN</t>
        </is>
      </c>
      <c r="G846" t="n">
        <v>4.3</v>
      </c>
      <c r="H846" t="n">
        <v>0</v>
      </c>
      <c r="I846" t="n">
        <v>0</v>
      </c>
      <c r="J846" t="n">
        <v>0</v>
      </c>
      <c r="K846" t="n">
        <v>0</v>
      </c>
      <c r="L846" t="n">
        <v>0</v>
      </c>
      <c r="M846" t="n">
        <v>0</v>
      </c>
      <c r="N846" t="n">
        <v>0</v>
      </c>
      <c r="O846" t="n">
        <v>0</v>
      </c>
      <c r="P846" t="n">
        <v>0</v>
      </c>
      <c r="Q846" t="n">
        <v>0</v>
      </c>
      <c r="R846" s="2" t="inlineStr"/>
    </row>
    <row r="847" ht="15" customHeight="1">
      <c r="A847" t="inlineStr">
        <is>
          <t>A 13854-2024</t>
        </is>
      </c>
      <c r="B847" s="1" t="n">
        <v>45390</v>
      </c>
      <c r="C847" s="1" t="n">
        <v>45789</v>
      </c>
      <c r="D847" t="inlineStr">
        <is>
          <t>DALARNAS LÄN</t>
        </is>
      </c>
      <c r="E847" t="inlineStr">
        <is>
          <t>ÄLVDALEN</t>
        </is>
      </c>
      <c r="G847" t="n">
        <v>13.5</v>
      </c>
      <c r="H847" t="n">
        <v>0</v>
      </c>
      <c r="I847" t="n">
        <v>0</v>
      </c>
      <c r="J847" t="n">
        <v>0</v>
      </c>
      <c r="K847" t="n">
        <v>0</v>
      </c>
      <c r="L847" t="n">
        <v>0</v>
      </c>
      <c r="M847" t="n">
        <v>0</v>
      </c>
      <c r="N847" t="n">
        <v>0</v>
      </c>
      <c r="O847" t="n">
        <v>0</v>
      </c>
      <c r="P847" t="n">
        <v>0</v>
      </c>
      <c r="Q847" t="n">
        <v>0</v>
      </c>
      <c r="R847" s="2" t="inlineStr"/>
    </row>
    <row r="848" ht="15" customHeight="1">
      <c r="A848" t="inlineStr">
        <is>
          <t>A 14895-2024</t>
        </is>
      </c>
      <c r="B848" s="1" t="n">
        <v>45398</v>
      </c>
      <c r="C848" s="1" t="n">
        <v>45789</v>
      </c>
      <c r="D848" t="inlineStr">
        <is>
          <t>DALARNAS LÄN</t>
        </is>
      </c>
      <c r="E848" t="inlineStr">
        <is>
          <t>ÄLVDALEN</t>
        </is>
      </c>
      <c r="G848" t="n">
        <v>4.9</v>
      </c>
      <c r="H848" t="n">
        <v>0</v>
      </c>
      <c r="I848" t="n">
        <v>0</v>
      </c>
      <c r="J848" t="n">
        <v>0</v>
      </c>
      <c r="K848" t="n">
        <v>0</v>
      </c>
      <c r="L848" t="n">
        <v>0</v>
      </c>
      <c r="M848" t="n">
        <v>0</v>
      </c>
      <c r="N848" t="n">
        <v>0</v>
      </c>
      <c r="O848" t="n">
        <v>0</v>
      </c>
      <c r="P848" t="n">
        <v>0</v>
      </c>
      <c r="Q848" t="n">
        <v>0</v>
      </c>
      <c r="R848" s="2" t="inlineStr"/>
    </row>
    <row r="849" ht="15" customHeight="1">
      <c r="A849" t="inlineStr">
        <is>
          <t>A 15037-2024</t>
        </is>
      </c>
      <c r="B849" s="1" t="n">
        <v>45399</v>
      </c>
      <c r="C849" s="1" t="n">
        <v>45789</v>
      </c>
      <c r="D849" t="inlineStr">
        <is>
          <t>DALARNAS LÄN</t>
        </is>
      </c>
      <c r="E849" t="inlineStr">
        <is>
          <t>ÄLVDALEN</t>
        </is>
      </c>
      <c r="G849" t="n">
        <v>17</v>
      </c>
      <c r="H849" t="n">
        <v>0</v>
      </c>
      <c r="I849" t="n">
        <v>0</v>
      </c>
      <c r="J849" t="n">
        <v>0</v>
      </c>
      <c r="K849" t="n">
        <v>0</v>
      </c>
      <c r="L849" t="n">
        <v>0</v>
      </c>
      <c r="M849" t="n">
        <v>0</v>
      </c>
      <c r="N849" t="n">
        <v>0</v>
      </c>
      <c r="O849" t="n">
        <v>0</v>
      </c>
      <c r="P849" t="n">
        <v>0</v>
      </c>
      <c r="Q849" t="n">
        <v>0</v>
      </c>
      <c r="R849" s="2" t="inlineStr"/>
    </row>
    <row r="850" ht="15" customHeight="1">
      <c r="A850" t="inlineStr">
        <is>
          <t>A 15647-2024</t>
        </is>
      </c>
      <c r="B850" s="1" t="n">
        <v>45404</v>
      </c>
      <c r="C850" s="1" t="n">
        <v>45789</v>
      </c>
      <c r="D850" t="inlineStr">
        <is>
          <t>DALARNAS LÄN</t>
        </is>
      </c>
      <c r="E850" t="inlineStr">
        <is>
          <t>ÄLVDALEN</t>
        </is>
      </c>
      <c r="F850" t="inlineStr">
        <is>
          <t>Bergvik skog väst AB</t>
        </is>
      </c>
      <c r="G850" t="n">
        <v>16.3</v>
      </c>
      <c r="H850" t="n">
        <v>0</v>
      </c>
      <c r="I850" t="n">
        <v>0</v>
      </c>
      <c r="J850" t="n">
        <v>0</v>
      </c>
      <c r="K850" t="n">
        <v>0</v>
      </c>
      <c r="L850" t="n">
        <v>0</v>
      </c>
      <c r="M850" t="n">
        <v>0</v>
      </c>
      <c r="N850" t="n">
        <v>0</v>
      </c>
      <c r="O850" t="n">
        <v>0</v>
      </c>
      <c r="P850" t="n">
        <v>0</v>
      </c>
      <c r="Q850" t="n">
        <v>0</v>
      </c>
      <c r="R850" s="2" t="inlineStr"/>
    </row>
    <row r="851" ht="15" customHeight="1">
      <c r="A851" t="inlineStr">
        <is>
          <t>A 15760-2024</t>
        </is>
      </c>
      <c r="B851" s="1" t="n">
        <v>45404</v>
      </c>
      <c r="C851" s="1" t="n">
        <v>45789</v>
      </c>
      <c r="D851" t="inlineStr">
        <is>
          <t>DALARNAS LÄN</t>
        </is>
      </c>
      <c r="E851" t="inlineStr">
        <is>
          <t>ÄLVDALEN</t>
        </is>
      </c>
      <c r="G851" t="n">
        <v>1.9</v>
      </c>
      <c r="H851" t="n">
        <v>0</v>
      </c>
      <c r="I851" t="n">
        <v>0</v>
      </c>
      <c r="J851" t="n">
        <v>0</v>
      </c>
      <c r="K851" t="n">
        <v>0</v>
      </c>
      <c r="L851" t="n">
        <v>0</v>
      </c>
      <c r="M851" t="n">
        <v>0</v>
      </c>
      <c r="N851" t="n">
        <v>0</v>
      </c>
      <c r="O851" t="n">
        <v>0</v>
      </c>
      <c r="P851" t="n">
        <v>0</v>
      </c>
      <c r="Q851" t="n">
        <v>0</v>
      </c>
      <c r="R851" s="2" t="inlineStr"/>
    </row>
    <row r="852" ht="15" customHeight="1">
      <c r="A852" t="inlineStr">
        <is>
          <t>A 15652-2024</t>
        </is>
      </c>
      <c r="B852" s="1" t="n">
        <v>45404</v>
      </c>
      <c r="C852" s="1" t="n">
        <v>45789</v>
      </c>
      <c r="D852" t="inlineStr">
        <is>
          <t>DALARNAS LÄN</t>
        </is>
      </c>
      <c r="E852" t="inlineStr">
        <is>
          <t>ÄLVDALEN</t>
        </is>
      </c>
      <c r="F852" t="inlineStr">
        <is>
          <t>Bergvik skog väst AB</t>
        </is>
      </c>
      <c r="G852" t="n">
        <v>4.5</v>
      </c>
      <c r="H852" t="n">
        <v>0</v>
      </c>
      <c r="I852" t="n">
        <v>0</v>
      </c>
      <c r="J852" t="n">
        <v>0</v>
      </c>
      <c r="K852" t="n">
        <v>0</v>
      </c>
      <c r="L852" t="n">
        <v>0</v>
      </c>
      <c r="M852" t="n">
        <v>0</v>
      </c>
      <c r="N852" t="n">
        <v>0</v>
      </c>
      <c r="O852" t="n">
        <v>0</v>
      </c>
      <c r="P852" t="n">
        <v>0</v>
      </c>
      <c r="Q852" t="n">
        <v>0</v>
      </c>
      <c r="R852" s="2" t="inlineStr"/>
    </row>
    <row r="853" ht="15" customHeight="1">
      <c r="A853" t="inlineStr">
        <is>
          <t>A 15759-2024</t>
        </is>
      </c>
      <c r="B853" s="1" t="n">
        <v>45404</v>
      </c>
      <c r="C853" s="1" t="n">
        <v>45789</v>
      </c>
      <c r="D853" t="inlineStr">
        <is>
          <t>DALARNAS LÄN</t>
        </is>
      </c>
      <c r="E853" t="inlineStr">
        <is>
          <t>ÄLVDALEN</t>
        </is>
      </c>
      <c r="G853" t="n">
        <v>1.4</v>
      </c>
      <c r="H853" t="n">
        <v>0</v>
      </c>
      <c r="I853" t="n">
        <v>0</v>
      </c>
      <c r="J853" t="n">
        <v>0</v>
      </c>
      <c r="K853" t="n">
        <v>0</v>
      </c>
      <c r="L853" t="n">
        <v>0</v>
      </c>
      <c r="M853" t="n">
        <v>0</v>
      </c>
      <c r="N853" t="n">
        <v>0</v>
      </c>
      <c r="O853" t="n">
        <v>0</v>
      </c>
      <c r="P853" t="n">
        <v>0</v>
      </c>
      <c r="Q853" t="n">
        <v>0</v>
      </c>
      <c r="R853" s="2" t="inlineStr"/>
    </row>
    <row r="854" ht="15" customHeight="1">
      <c r="A854" t="inlineStr">
        <is>
          <t>A 17049-2024</t>
        </is>
      </c>
      <c r="B854" s="1" t="n">
        <v>45412</v>
      </c>
      <c r="C854" s="1" t="n">
        <v>45789</v>
      </c>
      <c r="D854" t="inlineStr">
        <is>
          <t>DALARNAS LÄN</t>
        </is>
      </c>
      <c r="E854" t="inlineStr">
        <is>
          <t>ÄLVDALEN</t>
        </is>
      </c>
      <c r="G854" t="n">
        <v>9.5</v>
      </c>
      <c r="H854" t="n">
        <v>0</v>
      </c>
      <c r="I854" t="n">
        <v>0</v>
      </c>
      <c r="J854" t="n">
        <v>0</v>
      </c>
      <c r="K854" t="n">
        <v>0</v>
      </c>
      <c r="L854" t="n">
        <v>0</v>
      </c>
      <c r="M854" t="n">
        <v>0</v>
      </c>
      <c r="N854" t="n">
        <v>0</v>
      </c>
      <c r="O854" t="n">
        <v>0</v>
      </c>
      <c r="P854" t="n">
        <v>0</v>
      </c>
      <c r="Q854" t="n">
        <v>0</v>
      </c>
      <c r="R854" s="2" t="inlineStr"/>
    </row>
    <row r="855" ht="15" customHeight="1">
      <c r="A855" t="inlineStr">
        <is>
          <t>A 17558-2024</t>
        </is>
      </c>
      <c r="B855" s="1" t="n">
        <v>45415</v>
      </c>
      <c r="C855" s="1" t="n">
        <v>45789</v>
      </c>
      <c r="D855" t="inlineStr">
        <is>
          <t>DALARNAS LÄN</t>
        </is>
      </c>
      <c r="E855" t="inlineStr">
        <is>
          <t>ÄLVDALEN</t>
        </is>
      </c>
      <c r="G855" t="n">
        <v>2.2</v>
      </c>
      <c r="H855" t="n">
        <v>0</v>
      </c>
      <c r="I855" t="n">
        <v>0</v>
      </c>
      <c r="J855" t="n">
        <v>0</v>
      </c>
      <c r="K855" t="n">
        <v>0</v>
      </c>
      <c r="L855" t="n">
        <v>0</v>
      </c>
      <c r="M855" t="n">
        <v>0</v>
      </c>
      <c r="N855" t="n">
        <v>0</v>
      </c>
      <c r="O855" t="n">
        <v>0</v>
      </c>
      <c r="P855" t="n">
        <v>0</v>
      </c>
      <c r="Q855" t="n">
        <v>0</v>
      </c>
      <c r="R855" s="2" t="inlineStr"/>
    </row>
    <row r="856" ht="15" customHeight="1">
      <c r="A856" t="inlineStr">
        <is>
          <t>A 17827-2024</t>
        </is>
      </c>
      <c r="B856" s="1" t="n">
        <v>45418</v>
      </c>
      <c r="C856" s="1" t="n">
        <v>45789</v>
      </c>
      <c r="D856" t="inlineStr">
        <is>
          <t>DALARNAS LÄN</t>
        </is>
      </c>
      <c r="E856" t="inlineStr">
        <is>
          <t>ÄLVDALEN</t>
        </is>
      </c>
      <c r="F856" t="inlineStr">
        <is>
          <t>Övriga statliga verk och myndigheter</t>
        </is>
      </c>
      <c r="G856" t="n">
        <v>12.3</v>
      </c>
      <c r="H856" t="n">
        <v>0</v>
      </c>
      <c r="I856" t="n">
        <v>0</v>
      </c>
      <c r="J856" t="n">
        <v>0</v>
      </c>
      <c r="K856" t="n">
        <v>0</v>
      </c>
      <c r="L856" t="n">
        <v>0</v>
      </c>
      <c r="M856" t="n">
        <v>0</v>
      </c>
      <c r="N856" t="n">
        <v>0</v>
      </c>
      <c r="O856" t="n">
        <v>0</v>
      </c>
      <c r="P856" t="n">
        <v>0</v>
      </c>
      <c r="Q856" t="n">
        <v>0</v>
      </c>
      <c r="R856" s="2" t="inlineStr"/>
    </row>
    <row r="857" ht="15" customHeight="1">
      <c r="A857" t="inlineStr">
        <is>
          <t>A 18075-2024</t>
        </is>
      </c>
      <c r="B857" s="1" t="n">
        <v>45420</v>
      </c>
      <c r="C857" s="1" t="n">
        <v>45789</v>
      </c>
      <c r="D857" t="inlineStr">
        <is>
          <t>DALARNAS LÄN</t>
        </is>
      </c>
      <c r="E857" t="inlineStr">
        <is>
          <t>ÄLVDALEN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19007-2024</t>
        </is>
      </c>
      <c r="B858" s="1" t="n">
        <v>45427</v>
      </c>
      <c r="C858" s="1" t="n">
        <v>45789</v>
      </c>
      <c r="D858" t="inlineStr">
        <is>
          <t>DALARNAS LÄN</t>
        </is>
      </c>
      <c r="E858" t="inlineStr">
        <is>
          <t>ÄLVDALEN</t>
        </is>
      </c>
      <c r="G858" t="n">
        <v>1.1</v>
      </c>
      <c r="H858" t="n">
        <v>0</v>
      </c>
      <c r="I858" t="n">
        <v>0</v>
      </c>
      <c r="J858" t="n">
        <v>0</v>
      </c>
      <c r="K858" t="n">
        <v>0</v>
      </c>
      <c r="L858" t="n">
        <v>0</v>
      </c>
      <c r="M858" t="n">
        <v>0</v>
      </c>
      <c r="N858" t="n">
        <v>0</v>
      </c>
      <c r="O858" t="n">
        <v>0</v>
      </c>
      <c r="P858" t="n">
        <v>0</v>
      </c>
      <c r="Q858" t="n">
        <v>0</v>
      </c>
      <c r="R858" s="2" t="inlineStr"/>
    </row>
    <row r="859" ht="15" customHeight="1">
      <c r="A859" t="inlineStr">
        <is>
          <t>A 19100-2024</t>
        </is>
      </c>
      <c r="B859" s="1" t="n">
        <v>45428</v>
      </c>
      <c r="C859" s="1" t="n">
        <v>45789</v>
      </c>
      <c r="D859" t="inlineStr">
        <is>
          <t>DALARNAS LÄN</t>
        </is>
      </c>
      <c r="E859" t="inlineStr">
        <is>
          <t>ÄLVDALEN</t>
        </is>
      </c>
      <c r="F859" t="inlineStr">
        <is>
          <t>Allmännings- och besparingsskogar</t>
        </is>
      </c>
      <c r="G859" t="n">
        <v>32.5</v>
      </c>
      <c r="H859" t="n">
        <v>0</v>
      </c>
      <c r="I859" t="n">
        <v>0</v>
      </c>
      <c r="J859" t="n">
        <v>0</v>
      </c>
      <c r="K859" t="n">
        <v>0</v>
      </c>
      <c r="L859" t="n">
        <v>0</v>
      </c>
      <c r="M859" t="n">
        <v>0</v>
      </c>
      <c r="N859" t="n">
        <v>0</v>
      </c>
      <c r="O859" t="n">
        <v>0</v>
      </c>
      <c r="P859" t="n">
        <v>0</v>
      </c>
      <c r="Q859" t="n">
        <v>0</v>
      </c>
      <c r="R859" s="2" t="inlineStr"/>
    </row>
    <row r="860" ht="15" customHeight="1">
      <c r="A860" t="inlineStr">
        <is>
          <t>A 19423-2024</t>
        </is>
      </c>
      <c r="B860" s="1" t="n">
        <v>45429</v>
      </c>
      <c r="C860" s="1" t="n">
        <v>45789</v>
      </c>
      <c r="D860" t="inlineStr">
        <is>
          <t>DALARNAS LÄN</t>
        </is>
      </c>
      <c r="E860" t="inlineStr">
        <is>
          <t>ÄLVDALEN</t>
        </is>
      </c>
      <c r="F860" t="inlineStr">
        <is>
          <t>Bergvik skog väst AB</t>
        </is>
      </c>
      <c r="G860" t="n">
        <v>9.5</v>
      </c>
      <c r="H860" t="n">
        <v>0</v>
      </c>
      <c r="I860" t="n">
        <v>0</v>
      </c>
      <c r="J860" t="n">
        <v>0</v>
      </c>
      <c r="K860" t="n">
        <v>0</v>
      </c>
      <c r="L860" t="n">
        <v>0</v>
      </c>
      <c r="M860" t="n">
        <v>0</v>
      </c>
      <c r="N860" t="n">
        <v>0</v>
      </c>
      <c r="O860" t="n">
        <v>0</v>
      </c>
      <c r="P860" t="n">
        <v>0</v>
      </c>
      <c r="Q860" t="n">
        <v>0</v>
      </c>
      <c r="R860" s="2" t="inlineStr"/>
    </row>
    <row r="861" ht="15" customHeight="1">
      <c r="A861" t="inlineStr">
        <is>
          <t>A 19708-2024</t>
        </is>
      </c>
      <c r="B861" s="1" t="n">
        <v>45432</v>
      </c>
      <c r="C861" s="1" t="n">
        <v>45789</v>
      </c>
      <c r="D861" t="inlineStr">
        <is>
          <t>DALARNAS LÄN</t>
        </is>
      </c>
      <c r="E861" t="inlineStr">
        <is>
          <t>ÄLVDALEN</t>
        </is>
      </c>
      <c r="G861" t="n">
        <v>12.4</v>
      </c>
      <c r="H861" t="n">
        <v>0</v>
      </c>
      <c r="I861" t="n">
        <v>0</v>
      </c>
      <c r="J861" t="n">
        <v>0</v>
      </c>
      <c r="K861" t="n">
        <v>0</v>
      </c>
      <c r="L861" t="n">
        <v>0</v>
      </c>
      <c r="M861" t="n">
        <v>0</v>
      </c>
      <c r="N861" t="n">
        <v>0</v>
      </c>
      <c r="O861" t="n">
        <v>0</v>
      </c>
      <c r="P861" t="n">
        <v>0</v>
      </c>
      <c r="Q861" t="n">
        <v>0</v>
      </c>
      <c r="R861" s="2" t="inlineStr"/>
    </row>
    <row r="862" ht="15" customHeight="1">
      <c r="A862" t="inlineStr">
        <is>
          <t>A 20569-2024</t>
        </is>
      </c>
      <c r="B862" s="1" t="n">
        <v>45436</v>
      </c>
      <c r="C862" s="1" t="n">
        <v>45789</v>
      </c>
      <c r="D862" t="inlineStr">
        <is>
          <t>DALARNAS LÄN</t>
        </is>
      </c>
      <c r="E862" t="inlineStr">
        <is>
          <t>ÄLVDALEN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21199-2024</t>
        </is>
      </c>
      <c r="B863" s="1" t="n">
        <v>45440</v>
      </c>
      <c r="C863" s="1" t="n">
        <v>45789</v>
      </c>
      <c r="D863" t="inlineStr">
        <is>
          <t>DALARNAS LÄN</t>
        </is>
      </c>
      <c r="E863" t="inlineStr">
        <is>
          <t>ÄLVDALEN</t>
        </is>
      </c>
      <c r="G863" t="n">
        <v>3</v>
      </c>
      <c r="H863" t="n">
        <v>0</v>
      </c>
      <c r="I863" t="n">
        <v>0</v>
      </c>
      <c r="J863" t="n">
        <v>0</v>
      </c>
      <c r="K863" t="n">
        <v>0</v>
      </c>
      <c r="L863" t="n">
        <v>0</v>
      </c>
      <c r="M863" t="n">
        <v>0</v>
      </c>
      <c r="N863" t="n">
        <v>0</v>
      </c>
      <c r="O863" t="n">
        <v>0</v>
      </c>
      <c r="P863" t="n">
        <v>0</v>
      </c>
      <c r="Q863" t="n">
        <v>0</v>
      </c>
      <c r="R863" s="2" t="inlineStr"/>
    </row>
    <row r="864" ht="15" customHeight="1">
      <c r="A864" t="inlineStr">
        <is>
          <t>A 21116-2024</t>
        </is>
      </c>
      <c r="B864" s="1" t="n">
        <v>45440</v>
      </c>
      <c r="C864" s="1" t="n">
        <v>45789</v>
      </c>
      <c r="D864" t="inlineStr">
        <is>
          <t>DALARNAS LÄN</t>
        </is>
      </c>
      <c r="E864" t="inlineStr">
        <is>
          <t>ÄLVDALEN</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21466-2024</t>
        </is>
      </c>
      <c r="B865" s="1" t="n">
        <v>45441</v>
      </c>
      <c r="C865" s="1" t="n">
        <v>45789</v>
      </c>
      <c r="D865" t="inlineStr">
        <is>
          <t>DALARNAS LÄN</t>
        </is>
      </c>
      <c r="E865" t="inlineStr">
        <is>
          <t>ÄLVDALEN</t>
        </is>
      </c>
      <c r="G865" t="n">
        <v>1.9</v>
      </c>
      <c r="H865" t="n">
        <v>0</v>
      </c>
      <c r="I865" t="n">
        <v>0</v>
      </c>
      <c r="J865" t="n">
        <v>0</v>
      </c>
      <c r="K865" t="n">
        <v>0</v>
      </c>
      <c r="L865" t="n">
        <v>0</v>
      </c>
      <c r="M865" t="n">
        <v>0</v>
      </c>
      <c r="N865" t="n">
        <v>0</v>
      </c>
      <c r="O865" t="n">
        <v>0</v>
      </c>
      <c r="P865" t="n">
        <v>0</v>
      </c>
      <c r="Q865" t="n">
        <v>0</v>
      </c>
      <c r="R865" s="2" t="inlineStr"/>
    </row>
    <row r="866" ht="15" customHeight="1">
      <c r="A866" t="inlineStr">
        <is>
          <t>A 21469-2024</t>
        </is>
      </c>
      <c r="B866" s="1" t="n">
        <v>45441</v>
      </c>
      <c r="C866" s="1" t="n">
        <v>45789</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21659-2024</t>
        </is>
      </c>
      <c r="B867" s="1" t="n">
        <v>45442</v>
      </c>
      <c r="C867" s="1" t="n">
        <v>45789</v>
      </c>
      <c r="D867" t="inlineStr">
        <is>
          <t>DALARNAS LÄN</t>
        </is>
      </c>
      <c r="E867" t="inlineStr">
        <is>
          <t>ÄLVDALEN</t>
        </is>
      </c>
      <c r="F867" t="inlineStr">
        <is>
          <t>Bergvik skog väst AB</t>
        </is>
      </c>
      <c r="G867" t="n">
        <v>3.2</v>
      </c>
      <c r="H867" t="n">
        <v>0</v>
      </c>
      <c r="I867" t="n">
        <v>0</v>
      </c>
      <c r="J867" t="n">
        <v>0</v>
      </c>
      <c r="K867" t="n">
        <v>0</v>
      </c>
      <c r="L867" t="n">
        <v>0</v>
      </c>
      <c r="M867" t="n">
        <v>0</v>
      </c>
      <c r="N867" t="n">
        <v>0</v>
      </c>
      <c r="O867" t="n">
        <v>0</v>
      </c>
      <c r="P867" t="n">
        <v>0</v>
      </c>
      <c r="Q867" t="n">
        <v>0</v>
      </c>
      <c r="R867" s="2" t="inlineStr"/>
    </row>
    <row r="868" ht="15" customHeight="1">
      <c r="A868" t="inlineStr">
        <is>
          <t>A 23328-2024</t>
        </is>
      </c>
      <c r="B868" s="1" t="n">
        <v>45453</v>
      </c>
      <c r="C868" s="1" t="n">
        <v>45789</v>
      </c>
      <c r="D868" t="inlineStr">
        <is>
          <t>DALARNAS LÄN</t>
        </is>
      </c>
      <c r="E868" t="inlineStr">
        <is>
          <t>ÄLVDALEN</t>
        </is>
      </c>
      <c r="G868" t="n">
        <v>2.7</v>
      </c>
      <c r="H868" t="n">
        <v>0</v>
      </c>
      <c r="I868" t="n">
        <v>0</v>
      </c>
      <c r="J868" t="n">
        <v>0</v>
      </c>
      <c r="K868" t="n">
        <v>0</v>
      </c>
      <c r="L868" t="n">
        <v>0</v>
      </c>
      <c r="M868" t="n">
        <v>0</v>
      </c>
      <c r="N868" t="n">
        <v>0</v>
      </c>
      <c r="O868" t="n">
        <v>0</v>
      </c>
      <c r="P868" t="n">
        <v>0</v>
      </c>
      <c r="Q868" t="n">
        <v>0</v>
      </c>
      <c r="R868" s="2" t="inlineStr"/>
    </row>
    <row r="869" ht="15" customHeight="1">
      <c r="A869" t="inlineStr">
        <is>
          <t>A 23370-2024</t>
        </is>
      </c>
      <c r="B869" s="1" t="n">
        <v>45453</v>
      </c>
      <c r="C869" s="1" t="n">
        <v>45789</v>
      </c>
      <c r="D869" t="inlineStr">
        <is>
          <t>DALARNAS LÄN</t>
        </is>
      </c>
      <c r="E869" t="inlineStr">
        <is>
          <t>ÄLVDALEN</t>
        </is>
      </c>
      <c r="G869" t="n">
        <v>2.4</v>
      </c>
      <c r="H869" t="n">
        <v>0</v>
      </c>
      <c r="I869" t="n">
        <v>0</v>
      </c>
      <c r="J869" t="n">
        <v>0</v>
      </c>
      <c r="K869" t="n">
        <v>0</v>
      </c>
      <c r="L869" t="n">
        <v>0</v>
      </c>
      <c r="M869" t="n">
        <v>0</v>
      </c>
      <c r="N869" t="n">
        <v>0</v>
      </c>
      <c r="O869" t="n">
        <v>0</v>
      </c>
      <c r="P869" t="n">
        <v>0</v>
      </c>
      <c r="Q869" t="n">
        <v>0</v>
      </c>
      <c r="R869" s="2" t="inlineStr"/>
    </row>
    <row r="870" ht="15" customHeight="1">
      <c r="A870" t="inlineStr">
        <is>
          <t>A 23656-2024</t>
        </is>
      </c>
      <c r="B870" s="1" t="n">
        <v>45454</v>
      </c>
      <c r="C870" s="1" t="n">
        <v>45789</v>
      </c>
      <c r="D870" t="inlineStr">
        <is>
          <t>DALARNAS LÄN</t>
        </is>
      </c>
      <c r="E870" t="inlineStr">
        <is>
          <t>ÄLVDALEN</t>
        </is>
      </c>
      <c r="F870" t="inlineStr">
        <is>
          <t>Allmännings- och besparingsskogar</t>
        </is>
      </c>
      <c r="G870" t="n">
        <v>35.2</v>
      </c>
      <c r="H870" t="n">
        <v>0</v>
      </c>
      <c r="I870" t="n">
        <v>0</v>
      </c>
      <c r="J870" t="n">
        <v>0</v>
      </c>
      <c r="K870" t="n">
        <v>0</v>
      </c>
      <c r="L870" t="n">
        <v>0</v>
      </c>
      <c r="M870" t="n">
        <v>0</v>
      </c>
      <c r="N870" t="n">
        <v>0</v>
      </c>
      <c r="O870" t="n">
        <v>0</v>
      </c>
      <c r="P870" t="n">
        <v>0</v>
      </c>
      <c r="Q870" t="n">
        <v>0</v>
      </c>
      <c r="R870" s="2" t="inlineStr"/>
    </row>
    <row r="871" ht="15" customHeight="1">
      <c r="A871" t="inlineStr">
        <is>
          <t>A 23756-2024</t>
        </is>
      </c>
      <c r="B871" s="1" t="n">
        <v>45455</v>
      </c>
      <c r="C871" s="1" t="n">
        <v>45789</v>
      </c>
      <c r="D871" t="inlineStr">
        <is>
          <t>DALARNAS LÄN</t>
        </is>
      </c>
      <c r="E871" t="inlineStr">
        <is>
          <t>ÄLVDALEN</t>
        </is>
      </c>
      <c r="F871" t="inlineStr">
        <is>
          <t>Allmännings- och besparingsskogar</t>
        </is>
      </c>
      <c r="G871" t="n">
        <v>2.9</v>
      </c>
      <c r="H871" t="n">
        <v>0</v>
      </c>
      <c r="I871" t="n">
        <v>0</v>
      </c>
      <c r="J871" t="n">
        <v>0</v>
      </c>
      <c r="K871" t="n">
        <v>0</v>
      </c>
      <c r="L871" t="n">
        <v>0</v>
      </c>
      <c r="M871" t="n">
        <v>0</v>
      </c>
      <c r="N871" t="n">
        <v>0</v>
      </c>
      <c r="O871" t="n">
        <v>0</v>
      </c>
      <c r="P871" t="n">
        <v>0</v>
      </c>
      <c r="Q871" t="n">
        <v>0</v>
      </c>
      <c r="R871" s="2" t="inlineStr"/>
    </row>
    <row r="872" ht="15" customHeight="1">
      <c r="A872" t="inlineStr">
        <is>
          <t>A 24002-2024</t>
        </is>
      </c>
      <c r="B872" s="1" t="n">
        <v>45456</v>
      </c>
      <c r="C872" s="1" t="n">
        <v>45789</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23999-2024</t>
        </is>
      </c>
      <c r="B873" s="1" t="n">
        <v>45456</v>
      </c>
      <c r="C873" s="1" t="n">
        <v>45789</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24009-2024</t>
        </is>
      </c>
      <c r="B874" s="1" t="n">
        <v>45456</v>
      </c>
      <c r="C874" s="1" t="n">
        <v>45789</v>
      </c>
      <c r="D874" t="inlineStr">
        <is>
          <t>DALARNAS LÄN</t>
        </is>
      </c>
      <c r="E874" t="inlineStr">
        <is>
          <t>ÄLVDALEN</t>
        </is>
      </c>
      <c r="G874" t="n">
        <v>1.1</v>
      </c>
      <c r="H874" t="n">
        <v>0</v>
      </c>
      <c r="I874" t="n">
        <v>0</v>
      </c>
      <c r="J874" t="n">
        <v>0</v>
      </c>
      <c r="K874" t="n">
        <v>0</v>
      </c>
      <c r="L874" t="n">
        <v>0</v>
      </c>
      <c r="M874" t="n">
        <v>0</v>
      </c>
      <c r="N874" t="n">
        <v>0</v>
      </c>
      <c r="O874" t="n">
        <v>0</v>
      </c>
      <c r="P874" t="n">
        <v>0</v>
      </c>
      <c r="Q874" t="n">
        <v>0</v>
      </c>
      <c r="R874" s="2" t="inlineStr"/>
    </row>
    <row r="875" ht="15" customHeight="1">
      <c r="A875" t="inlineStr">
        <is>
          <t>A 24597-2024</t>
        </is>
      </c>
      <c r="B875" s="1" t="n">
        <v>45460</v>
      </c>
      <c r="C875" s="1" t="n">
        <v>45789</v>
      </c>
      <c r="D875" t="inlineStr">
        <is>
          <t>DALARNAS LÄN</t>
        </is>
      </c>
      <c r="E875" t="inlineStr">
        <is>
          <t>ÄLVDALEN</t>
        </is>
      </c>
      <c r="F875" t="inlineStr">
        <is>
          <t>Allmännings- och besparingsskogar</t>
        </is>
      </c>
      <c r="G875" t="n">
        <v>21.8</v>
      </c>
      <c r="H875" t="n">
        <v>0</v>
      </c>
      <c r="I875" t="n">
        <v>0</v>
      </c>
      <c r="J875" t="n">
        <v>0</v>
      </c>
      <c r="K875" t="n">
        <v>0</v>
      </c>
      <c r="L875" t="n">
        <v>0</v>
      </c>
      <c r="M875" t="n">
        <v>0</v>
      </c>
      <c r="N875" t="n">
        <v>0</v>
      </c>
      <c r="O875" t="n">
        <v>0</v>
      </c>
      <c r="P875" t="n">
        <v>0</v>
      </c>
      <c r="Q875" t="n">
        <v>0</v>
      </c>
      <c r="R875" s="2" t="inlineStr"/>
    </row>
    <row r="876" ht="15" customHeight="1">
      <c r="A876" t="inlineStr">
        <is>
          <t>A 25257-2024</t>
        </is>
      </c>
      <c r="B876" s="1" t="n">
        <v>45462</v>
      </c>
      <c r="C876" s="1" t="n">
        <v>45789</v>
      </c>
      <c r="D876" t="inlineStr">
        <is>
          <t>DALARNAS LÄN</t>
        </is>
      </c>
      <c r="E876" t="inlineStr">
        <is>
          <t>ÄLVDALEN</t>
        </is>
      </c>
      <c r="G876" t="n">
        <v>3.5</v>
      </c>
      <c r="H876" t="n">
        <v>0</v>
      </c>
      <c r="I876" t="n">
        <v>0</v>
      </c>
      <c r="J876" t="n">
        <v>0</v>
      </c>
      <c r="K876" t="n">
        <v>0</v>
      </c>
      <c r="L876" t="n">
        <v>0</v>
      </c>
      <c r="M876" t="n">
        <v>0</v>
      </c>
      <c r="N876" t="n">
        <v>0</v>
      </c>
      <c r="O876" t="n">
        <v>0</v>
      </c>
      <c r="P876" t="n">
        <v>0</v>
      </c>
      <c r="Q876" t="n">
        <v>0</v>
      </c>
      <c r="R876" s="2" t="inlineStr"/>
    </row>
    <row r="877" ht="15" customHeight="1">
      <c r="A877" t="inlineStr">
        <is>
          <t>A 25272-2024</t>
        </is>
      </c>
      <c r="B877" s="1" t="n">
        <v>45462</v>
      </c>
      <c r="C877" s="1" t="n">
        <v>45789</v>
      </c>
      <c r="D877" t="inlineStr">
        <is>
          <t>DALARNAS LÄN</t>
        </is>
      </c>
      <c r="E877" t="inlineStr">
        <is>
          <t>ÄLVDALEN</t>
        </is>
      </c>
      <c r="G877" t="n">
        <v>23.5</v>
      </c>
      <c r="H877" t="n">
        <v>0</v>
      </c>
      <c r="I877" t="n">
        <v>0</v>
      </c>
      <c r="J877" t="n">
        <v>0</v>
      </c>
      <c r="K877" t="n">
        <v>0</v>
      </c>
      <c r="L877" t="n">
        <v>0</v>
      </c>
      <c r="M877" t="n">
        <v>0</v>
      </c>
      <c r="N877" t="n">
        <v>0</v>
      </c>
      <c r="O877" t="n">
        <v>0</v>
      </c>
      <c r="P877" t="n">
        <v>0</v>
      </c>
      <c r="Q877" t="n">
        <v>0</v>
      </c>
      <c r="R877" s="2" t="inlineStr"/>
    </row>
    <row r="878" ht="15" customHeight="1">
      <c r="A878" t="inlineStr">
        <is>
          <t>A 25505-2024</t>
        </is>
      </c>
      <c r="B878" s="1" t="n">
        <v>45463</v>
      </c>
      <c r="C878" s="1" t="n">
        <v>45789</v>
      </c>
      <c r="D878" t="inlineStr">
        <is>
          <t>DALARNAS LÄN</t>
        </is>
      </c>
      <c r="E878" t="inlineStr">
        <is>
          <t>ÄLVDALEN</t>
        </is>
      </c>
      <c r="G878" t="n">
        <v>15.2</v>
      </c>
      <c r="H878" t="n">
        <v>0</v>
      </c>
      <c r="I878" t="n">
        <v>0</v>
      </c>
      <c r="J878" t="n">
        <v>0</v>
      </c>
      <c r="K878" t="n">
        <v>0</v>
      </c>
      <c r="L878" t="n">
        <v>0</v>
      </c>
      <c r="M878" t="n">
        <v>0</v>
      </c>
      <c r="N878" t="n">
        <v>0</v>
      </c>
      <c r="O878" t="n">
        <v>0</v>
      </c>
      <c r="P878" t="n">
        <v>0</v>
      </c>
      <c r="Q878" t="n">
        <v>0</v>
      </c>
      <c r="R878" s="2" t="inlineStr"/>
    </row>
    <row r="879" ht="15" customHeight="1">
      <c r="A879" t="inlineStr">
        <is>
          <t>A 25512-2024</t>
        </is>
      </c>
      <c r="B879" s="1" t="n">
        <v>45463</v>
      </c>
      <c r="C879" s="1" t="n">
        <v>45789</v>
      </c>
      <c r="D879" t="inlineStr">
        <is>
          <t>DALARNAS LÄN</t>
        </is>
      </c>
      <c r="E879" t="inlineStr">
        <is>
          <t>ÄLVDALEN</t>
        </is>
      </c>
      <c r="F879" t="inlineStr">
        <is>
          <t>Övriga Aktiebolag</t>
        </is>
      </c>
      <c r="G879" t="n">
        <v>5.6</v>
      </c>
      <c r="H879" t="n">
        <v>0</v>
      </c>
      <c r="I879" t="n">
        <v>0</v>
      </c>
      <c r="J879" t="n">
        <v>0</v>
      </c>
      <c r="K879" t="n">
        <v>0</v>
      </c>
      <c r="L879" t="n">
        <v>0</v>
      </c>
      <c r="M879" t="n">
        <v>0</v>
      </c>
      <c r="N879" t="n">
        <v>0</v>
      </c>
      <c r="O879" t="n">
        <v>0</v>
      </c>
      <c r="P879" t="n">
        <v>0</v>
      </c>
      <c r="Q879" t="n">
        <v>0</v>
      </c>
      <c r="R879" s="2" t="inlineStr"/>
    </row>
    <row r="880" ht="15" customHeight="1">
      <c r="A880" t="inlineStr">
        <is>
          <t>A 25516-2024</t>
        </is>
      </c>
      <c r="B880" s="1" t="n">
        <v>45463</v>
      </c>
      <c r="C880" s="1" t="n">
        <v>45789</v>
      </c>
      <c r="D880" t="inlineStr">
        <is>
          <t>DALARNAS LÄN</t>
        </is>
      </c>
      <c r="E880" t="inlineStr">
        <is>
          <t>ÄLVDALEN</t>
        </is>
      </c>
      <c r="F880" t="inlineStr">
        <is>
          <t>Övriga Aktiebolag</t>
        </is>
      </c>
      <c r="G880" t="n">
        <v>9.1</v>
      </c>
      <c r="H880" t="n">
        <v>0</v>
      </c>
      <c r="I880" t="n">
        <v>0</v>
      </c>
      <c r="J880" t="n">
        <v>0</v>
      </c>
      <c r="K880" t="n">
        <v>0</v>
      </c>
      <c r="L880" t="n">
        <v>0</v>
      </c>
      <c r="M880" t="n">
        <v>0</v>
      </c>
      <c r="N880" t="n">
        <v>0</v>
      </c>
      <c r="O880" t="n">
        <v>0</v>
      </c>
      <c r="P880" t="n">
        <v>0</v>
      </c>
      <c r="Q880" t="n">
        <v>0</v>
      </c>
      <c r="R880" s="2" t="inlineStr"/>
    </row>
    <row r="881" ht="15" customHeight="1">
      <c r="A881" t="inlineStr">
        <is>
          <t>A 25511-2024</t>
        </is>
      </c>
      <c r="B881" s="1" t="n">
        <v>45463</v>
      </c>
      <c r="C881" s="1" t="n">
        <v>45789</v>
      </c>
      <c r="D881" t="inlineStr">
        <is>
          <t>DALARNAS LÄN</t>
        </is>
      </c>
      <c r="E881" t="inlineStr">
        <is>
          <t>ÄLVDALEN</t>
        </is>
      </c>
      <c r="F881" t="inlineStr">
        <is>
          <t>Övriga Aktiebolag</t>
        </is>
      </c>
      <c r="G881" t="n">
        <v>3.2</v>
      </c>
      <c r="H881" t="n">
        <v>0</v>
      </c>
      <c r="I881" t="n">
        <v>0</v>
      </c>
      <c r="J881" t="n">
        <v>0</v>
      </c>
      <c r="K881" t="n">
        <v>0</v>
      </c>
      <c r="L881" t="n">
        <v>0</v>
      </c>
      <c r="M881" t="n">
        <v>0</v>
      </c>
      <c r="N881" t="n">
        <v>0</v>
      </c>
      <c r="O881" t="n">
        <v>0</v>
      </c>
      <c r="P881" t="n">
        <v>0</v>
      </c>
      <c r="Q881" t="n">
        <v>0</v>
      </c>
      <c r="R881" s="2" t="inlineStr"/>
    </row>
    <row r="882" ht="15" customHeight="1">
      <c r="A882" t="inlineStr">
        <is>
          <t>A 25507-2024</t>
        </is>
      </c>
      <c r="B882" s="1" t="n">
        <v>45463</v>
      </c>
      <c r="C882" s="1" t="n">
        <v>45789</v>
      </c>
      <c r="D882" t="inlineStr">
        <is>
          <t>DALARNAS LÄN</t>
        </is>
      </c>
      <c r="E882" t="inlineStr">
        <is>
          <t>ÄLVDALEN</t>
        </is>
      </c>
      <c r="F882" t="inlineStr">
        <is>
          <t>Övriga Aktiebolag</t>
        </is>
      </c>
      <c r="G882" t="n">
        <v>6.5</v>
      </c>
      <c r="H882" t="n">
        <v>0</v>
      </c>
      <c r="I882" t="n">
        <v>0</v>
      </c>
      <c r="J882" t="n">
        <v>0</v>
      </c>
      <c r="K882" t="n">
        <v>0</v>
      </c>
      <c r="L882" t="n">
        <v>0</v>
      </c>
      <c r="M882" t="n">
        <v>0</v>
      </c>
      <c r="N882" t="n">
        <v>0</v>
      </c>
      <c r="O882" t="n">
        <v>0</v>
      </c>
      <c r="P882" t="n">
        <v>0</v>
      </c>
      <c r="Q882" t="n">
        <v>0</v>
      </c>
      <c r="R882" s="2" t="inlineStr"/>
    </row>
    <row r="883" ht="15" customHeight="1">
      <c r="A883" t="inlineStr">
        <is>
          <t>A 25931-2024</t>
        </is>
      </c>
      <c r="B883" s="1" t="n">
        <v>45467</v>
      </c>
      <c r="C883" s="1" t="n">
        <v>45789</v>
      </c>
      <c r="D883" t="inlineStr">
        <is>
          <t>DALARNAS LÄN</t>
        </is>
      </c>
      <c r="E883" t="inlineStr">
        <is>
          <t>ÄLVDALEN</t>
        </is>
      </c>
      <c r="G883" t="n">
        <v>15.4</v>
      </c>
      <c r="H883" t="n">
        <v>0</v>
      </c>
      <c r="I883" t="n">
        <v>0</v>
      </c>
      <c r="J883" t="n">
        <v>0</v>
      </c>
      <c r="K883" t="n">
        <v>0</v>
      </c>
      <c r="L883" t="n">
        <v>0</v>
      </c>
      <c r="M883" t="n">
        <v>0</v>
      </c>
      <c r="N883" t="n">
        <v>0</v>
      </c>
      <c r="O883" t="n">
        <v>0</v>
      </c>
      <c r="P883" t="n">
        <v>0</v>
      </c>
      <c r="Q883" t="n">
        <v>0</v>
      </c>
      <c r="R883" s="2" t="inlineStr"/>
    </row>
    <row r="884" ht="15" customHeight="1">
      <c r="A884" t="inlineStr">
        <is>
          <t>A 28239-2024</t>
        </is>
      </c>
      <c r="B884" s="1" t="n">
        <v>45468</v>
      </c>
      <c r="C884" s="1" t="n">
        <v>45789</v>
      </c>
      <c r="D884" t="inlineStr">
        <is>
          <t>DALARNAS LÄN</t>
        </is>
      </c>
      <c r="E884" t="inlineStr">
        <is>
          <t>ÄLVDALEN</t>
        </is>
      </c>
      <c r="G884" t="n">
        <v>4</v>
      </c>
      <c r="H884" t="n">
        <v>0</v>
      </c>
      <c r="I884" t="n">
        <v>0</v>
      </c>
      <c r="J884" t="n">
        <v>0</v>
      </c>
      <c r="K884" t="n">
        <v>0</v>
      </c>
      <c r="L884" t="n">
        <v>0</v>
      </c>
      <c r="M884" t="n">
        <v>0</v>
      </c>
      <c r="N884" t="n">
        <v>0</v>
      </c>
      <c r="O884" t="n">
        <v>0</v>
      </c>
      <c r="P884" t="n">
        <v>0</v>
      </c>
      <c r="Q884" t="n">
        <v>0</v>
      </c>
      <c r="R884" s="2" t="inlineStr"/>
    </row>
    <row r="885" ht="15" customHeight="1">
      <c r="A885" t="inlineStr">
        <is>
          <t>A 26094-2024</t>
        </is>
      </c>
      <c r="B885" s="1" t="n">
        <v>45468</v>
      </c>
      <c r="C885" s="1" t="n">
        <v>45789</v>
      </c>
      <c r="D885" t="inlineStr">
        <is>
          <t>DALARNAS LÄN</t>
        </is>
      </c>
      <c r="E885" t="inlineStr">
        <is>
          <t>ÄLVDALEN</t>
        </is>
      </c>
      <c r="F885" t="inlineStr">
        <is>
          <t>Allmännings- och besparingsskogar</t>
        </is>
      </c>
      <c r="G885" t="n">
        <v>33.5</v>
      </c>
      <c r="H885" t="n">
        <v>0</v>
      </c>
      <c r="I885" t="n">
        <v>0</v>
      </c>
      <c r="J885" t="n">
        <v>0</v>
      </c>
      <c r="K885" t="n">
        <v>0</v>
      </c>
      <c r="L885" t="n">
        <v>0</v>
      </c>
      <c r="M885" t="n">
        <v>0</v>
      </c>
      <c r="N885" t="n">
        <v>0</v>
      </c>
      <c r="O885" t="n">
        <v>0</v>
      </c>
      <c r="P885" t="n">
        <v>0</v>
      </c>
      <c r="Q885" t="n">
        <v>0</v>
      </c>
      <c r="R885" s="2" t="inlineStr"/>
    </row>
    <row r="886" ht="15" customHeight="1">
      <c r="A886" t="inlineStr">
        <is>
          <t>A 26862-2024</t>
        </is>
      </c>
      <c r="B886" s="1" t="n">
        <v>45470</v>
      </c>
      <c r="C886" s="1" t="n">
        <v>45789</v>
      </c>
      <c r="D886" t="inlineStr">
        <is>
          <t>DALARNAS LÄN</t>
        </is>
      </c>
      <c r="E886" t="inlineStr">
        <is>
          <t>ÄLVDALEN</t>
        </is>
      </c>
      <c r="F886" t="inlineStr">
        <is>
          <t>Allmännings- och besparingsskogar</t>
        </is>
      </c>
      <c r="G886" t="n">
        <v>4.3</v>
      </c>
      <c r="H886" t="n">
        <v>0</v>
      </c>
      <c r="I886" t="n">
        <v>0</v>
      </c>
      <c r="J886" t="n">
        <v>0</v>
      </c>
      <c r="K886" t="n">
        <v>0</v>
      </c>
      <c r="L886" t="n">
        <v>0</v>
      </c>
      <c r="M886" t="n">
        <v>0</v>
      </c>
      <c r="N886" t="n">
        <v>0</v>
      </c>
      <c r="O886" t="n">
        <v>0</v>
      </c>
      <c r="P886" t="n">
        <v>0</v>
      </c>
      <c r="Q886" t="n">
        <v>0</v>
      </c>
      <c r="R886" s="2" t="inlineStr"/>
    </row>
    <row r="887" ht="15" customHeight="1">
      <c r="A887" t="inlineStr">
        <is>
          <t>A 27036-2024</t>
        </is>
      </c>
      <c r="B887" s="1" t="n">
        <v>45471</v>
      </c>
      <c r="C887" s="1" t="n">
        <v>45789</v>
      </c>
      <c r="D887" t="inlineStr">
        <is>
          <t>DALARNAS LÄN</t>
        </is>
      </c>
      <c r="E887" t="inlineStr">
        <is>
          <t>ÄLVDALEN</t>
        </is>
      </c>
      <c r="F887" t="inlineStr">
        <is>
          <t>Allmännings- och besparingsskogar</t>
        </is>
      </c>
      <c r="G887" t="n">
        <v>8.1</v>
      </c>
      <c r="H887" t="n">
        <v>0</v>
      </c>
      <c r="I887" t="n">
        <v>0</v>
      </c>
      <c r="J887" t="n">
        <v>0</v>
      </c>
      <c r="K887" t="n">
        <v>0</v>
      </c>
      <c r="L887" t="n">
        <v>0</v>
      </c>
      <c r="M887" t="n">
        <v>0</v>
      </c>
      <c r="N887" t="n">
        <v>0</v>
      </c>
      <c r="O887" t="n">
        <v>0</v>
      </c>
      <c r="P887" t="n">
        <v>0</v>
      </c>
      <c r="Q887" t="n">
        <v>0</v>
      </c>
      <c r="R887" s="2" t="inlineStr"/>
    </row>
    <row r="888" ht="15" customHeight="1">
      <c r="A888" t="inlineStr">
        <is>
          <t>A 27858-2024</t>
        </is>
      </c>
      <c r="B888" s="1" t="n">
        <v>45475</v>
      </c>
      <c r="C888" s="1" t="n">
        <v>45789</v>
      </c>
      <c r="D888" t="inlineStr">
        <is>
          <t>DALARNAS LÄN</t>
        </is>
      </c>
      <c r="E888" t="inlineStr">
        <is>
          <t>ÄLVDALEN</t>
        </is>
      </c>
      <c r="F888" t="inlineStr">
        <is>
          <t>Allmännings- och besparingsskogar</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28473-2024</t>
        </is>
      </c>
      <c r="B889" s="1" t="n">
        <v>45477</v>
      </c>
      <c r="C889" s="1" t="n">
        <v>45789</v>
      </c>
      <c r="D889" t="inlineStr">
        <is>
          <t>DALARNAS LÄN</t>
        </is>
      </c>
      <c r="E889" t="inlineStr">
        <is>
          <t>ÄLVDALEN</t>
        </is>
      </c>
      <c r="G889" t="n">
        <v>5</v>
      </c>
      <c r="H889" t="n">
        <v>0</v>
      </c>
      <c r="I889" t="n">
        <v>0</v>
      </c>
      <c r="J889" t="n">
        <v>0</v>
      </c>
      <c r="K889" t="n">
        <v>0</v>
      </c>
      <c r="L889" t="n">
        <v>0</v>
      </c>
      <c r="M889" t="n">
        <v>0</v>
      </c>
      <c r="N889" t="n">
        <v>0</v>
      </c>
      <c r="O889" t="n">
        <v>0</v>
      </c>
      <c r="P889" t="n">
        <v>0</v>
      </c>
      <c r="Q889" t="n">
        <v>0</v>
      </c>
      <c r="R889" s="2" t="inlineStr"/>
    </row>
    <row r="890" ht="15" customHeight="1">
      <c r="A890" t="inlineStr">
        <is>
          <t>A 28479-2024</t>
        </is>
      </c>
      <c r="B890" s="1" t="n">
        <v>45477</v>
      </c>
      <c r="C890" s="1" t="n">
        <v>45789</v>
      </c>
      <c r="D890" t="inlineStr">
        <is>
          <t>DALARNAS LÄN</t>
        </is>
      </c>
      <c r="E890" t="inlineStr">
        <is>
          <t>ÄLVDALEN</t>
        </is>
      </c>
      <c r="G890" t="n">
        <v>4.1</v>
      </c>
      <c r="H890" t="n">
        <v>0</v>
      </c>
      <c r="I890" t="n">
        <v>0</v>
      </c>
      <c r="J890" t="n">
        <v>0</v>
      </c>
      <c r="K890" t="n">
        <v>0</v>
      </c>
      <c r="L890" t="n">
        <v>0</v>
      </c>
      <c r="M890" t="n">
        <v>0</v>
      </c>
      <c r="N890" t="n">
        <v>0</v>
      </c>
      <c r="O890" t="n">
        <v>0</v>
      </c>
      <c r="P890" t="n">
        <v>0</v>
      </c>
      <c r="Q890" t="n">
        <v>0</v>
      </c>
      <c r="R890" s="2" t="inlineStr"/>
    </row>
    <row r="891" ht="15" customHeight="1">
      <c r="A891" t="inlineStr">
        <is>
          <t>A 28467-2024</t>
        </is>
      </c>
      <c r="B891" s="1" t="n">
        <v>45477</v>
      </c>
      <c r="C891" s="1" t="n">
        <v>45789</v>
      </c>
      <c r="D891" t="inlineStr">
        <is>
          <t>DALARNAS LÄN</t>
        </is>
      </c>
      <c r="E891" t="inlineStr">
        <is>
          <t>ÄLVDALEN</t>
        </is>
      </c>
      <c r="G891" t="n">
        <v>4</v>
      </c>
      <c r="H891" t="n">
        <v>0</v>
      </c>
      <c r="I891" t="n">
        <v>0</v>
      </c>
      <c r="J891" t="n">
        <v>0</v>
      </c>
      <c r="K891" t="n">
        <v>0</v>
      </c>
      <c r="L891" t="n">
        <v>0</v>
      </c>
      <c r="M891" t="n">
        <v>0</v>
      </c>
      <c r="N891" t="n">
        <v>0</v>
      </c>
      <c r="O891" t="n">
        <v>0</v>
      </c>
      <c r="P891" t="n">
        <v>0</v>
      </c>
      <c r="Q891" t="n">
        <v>0</v>
      </c>
      <c r="R891" s="2" t="inlineStr"/>
    </row>
    <row r="892" ht="15" customHeight="1">
      <c r="A892" t="inlineStr">
        <is>
          <t>A 28643-2024</t>
        </is>
      </c>
      <c r="B892" s="1" t="n">
        <v>45478</v>
      </c>
      <c r="C892" s="1" t="n">
        <v>45789</v>
      </c>
      <c r="D892" t="inlineStr">
        <is>
          <t>DALARNAS LÄN</t>
        </is>
      </c>
      <c r="E892" t="inlineStr">
        <is>
          <t>ÄLVDALEN</t>
        </is>
      </c>
      <c r="G892" t="n">
        <v>3.4</v>
      </c>
      <c r="H892" t="n">
        <v>0</v>
      </c>
      <c r="I892" t="n">
        <v>0</v>
      </c>
      <c r="J892" t="n">
        <v>0</v>
      </c>
      <c r="K892" t="n">
        <v>0</v>
      </c>
      <c r="L892" t="n">
        <v>0</v>
      </c>
      <c r="M892" t="n">
        <v>0</v>
      </c>
      <c r="N892" t="n">
        <v>0</v>
      </c>
      <c r="O892" t="n">
        <v>0</v>
      </c>
      <c r="P892" t="n">
        <v>0</v>
      </c>
      <c r="Q892" t="n">
        <v>0</v>
      </c>
      <c r="R892" s="2" t="inlineStr"/>
    </row>
    <row r="893" ht="15" customHeight="1">
      <c r="A893" t="inlineStr">
        <is>
          <t>A 29129-2024</t>
        </is>
      </c>
      <c r="B893" s="1" t="n">
        <v>45482</v>
      </c>
      <c r="C893" s="1" t="n">
        <v>45789</v>
      </c>
      <c r="D893" t="inlineStr">
        <is>
          <t>DALARNAS LÄN</t>
        </is>
      </c>
      <c r="E893" t="inlineStr">
        <is>
          <t>ÄLVDALEN</t>
        </is>
      </c>
      <c r="F893" t="inlineStr">
        <is>
          <t>Allmännings- och besparingsskogar</t>
        </is>
      </c>
      <c r="G893" t="n">
        <v>19.8</v>
      </c>
      <c r="H893" t="n">
        <v>0</v>
      </c>
      <c r="I893" t="n">
        <v>0</v>
      </c>
      <c r="J893" t="n">
        <v>0</v>
      </c>
      <c r="K893" t="n">
        <v>0</v>
      </c>
      <c r="L893" t="n">
        <v>0</v>
      </c>
      <c r="M893" t="n">
        <v>0</v>
      </c>
      <c r="N893" t="n">
        <v>0</v>
      </c>
      <c r="O893" t="n">
        <v>0</v>
      </c>
      <c r="P893" t="n">
        <v>0</v>
      </c>
      <c r="Q893" t="n">
        <v>0</v>
      </c>
      <c r="R893" s="2" t="inlineStr"/>
    </row>
    <row r="894" ht="15" customHeight="1">
      <c r="A894" t="inlineStr">
        <is>
          <t>A 29645-2024</t>
        </is>
      </c>
      <c r="B894" s="1" t="n">
        <v>45484</v>
      </c>
      <c r="C894" s="1" t="n">
        <v>45789</v>
      </c>
      <c r="D894" t="inlineStr">
        <is>
          <t>DALARNAS LÄN</t>
        </is>
      </c>
      <c r="E894" t="inlineStr">
        <is>
          <t>ÄLVDALEN</t>
        </is>
      </c>
      <c r="G894" t="n">
        <v>3</v>
      </c>
      <c r="H894" t="n">
        <v>0</v>
      </c>
      <c r="I894" t="n">
        <v>0</v>
      </c>
      <c r="J894" t="n">
        <v>0</v>
      </c>
      <c r="K894" t="n">
        <v>0</v>
      </c>
      <c r="L894" t="n">
        <v>0</v>
      </c>
      <c r="M894" t="n">
        <v>0</v>
      </c>
      <c r="N894" t="n">
        <v>0</v>
      </c>
      <c r="O894" t="n">
        <v>0</v>
      </c>
      <c r="P894" t="n">
        <v>0</v>
      </c>
      <c r="Q894" t="n">
        <v>0</v>
      </c>
      <c r="R894" s="2" t="inlineStr"/>
    </row>
    <row r="895" ht="15" customHeight="1">
      <c r="A895" t="inlineStr">
        <is>
          <t>A 29646-2024</t>
        </is>
      </c>
      <c r="B895" s="1" t="n">
        <v>45484</v>
      </c>
      <c r="C895" s="1" t="n">
        <v>45789</v>
      </c>
      <c r="D895" t="inlineStr">
        <is>
          <t>DALARNAS LÄN</t>
        </is>
      </c>
      <c r="E895" t="inlineStr">
        <is>
          <t>ÄLVDALEN</t>
        </is>
      </c>
      <c r="G895" t="n">
        <v>2.5</v>
      </c>
      <c r="H895" t="n">
        <v>0</v>
      </c>
      <c r="I895" t="n">
        <v>0</v>
      </c>
      <c r="J895" t="n">
        <v>0</v>
      </c>
      <c r="K895" t="n">
        <v>0</v>
      </c>
      <c r="L895" t="n">
        <v>0</v>
      </c>
      <c r="M895" t="n">
        <v>0</v>
      </c>
      <c r="N895" t="n">
        <v>0</v>
      </c>
      <c r="O895" t="n">
        <v>0</v>
      </c>
      <c r="P895" t="n">
        <v>0</v>
      </c>
      <c r="Q895" t="n">
        <v>0</v>
      </c>
      <c r="R895" s="2" t="inlineStr"/>
    </row>
    <row r="896" ht="15" customHeight="1">
      <c r="A896" t="inlineStr">
        <is>
          <t>A 29614-2024</t>
        </is>
      </c>
      <c r="B896" s="1" t="n">
        <v>45484</v>
      </c>
      <c r="C896" s="1" t="n">
        <v>45789</v>
      </c>
      <c r="D896" t="inlineStr">
        <is>
          <t>DALARNAS LÄN</t>
        </is>
      </c>
      <c r="E896" t="inlineStr">
        <is>
          <t>ÄLVDALEN</t>
        </is>
      </c>
      <c r="G896" t="n">
        <v>2.4</v>
      </c>
      <c r="H896" t="n">
        <v>0</v>
      </c>
      <c r="I896" t="n">
        <v>0</v>
      </c>
      <c r="J896" t="n">
        <v>0</v>
      </c>
      <c r="K896" t="n">
        <v>0</v>
      </c>
      <c r="L896" t="n">
        <v>0</v>
      </c>
      <c r="M896" t="n">
        <v>0</v>
      </c>
      <c r="N896" t="n">
        <v>0</v>
      </c>
      <c r="O896" t="n">
        <v>0</v>
      </c>
      <c r="P896" t="n">
        <v>0</v>
      </c>
      <c r="Q896" t="n">
        <v>0</v>
      </c>
      <c r="R896" s="2" t="inlineStr"/>
    </row>
    <row r="897" ht="15" customHeight="1">
      <c r="A897" t="inlineStr">
        <is>
          <t>A 29610-2024</t>
        </is>
      </c>
      <c r="B897" s="1" t="n">
        <v>45484</v>
      </c>
      <c r="C897" s="1" t="n">
        <v>45789</v>
      </c>
      <c r="D897" t="inlineStr">
        <is>
          <t>DALARNAS LÄN</t>
        </is>
      </c>
      <c r="E897" t="inlineStr">
        <is>
          <t>ÄLVDALEN</t>
        </is>
      </c>
      <c r="G897" t="n">
        <v>1</v>
      </c>
      <c r="H897" t="n">
        <v>0</v>
      </c>
      <c r="I897" t="n">
        <v>0</v>
      </c>
      <c r="J897" t="n">
        <v>0</v>
      </c>
      <c r="K897" t="n">
        <v>0</v>
      </c>
      <c r="L897" t="n">
        <v>0</v>
      </c>
      <c r="M897" t="n">
        <v>0</v>
      </c>
      <c r="N897" t="n">
        <v>0</v>
      </c>
      <c r="O897" t="n">
        <v>0</v>
      </c>
      <c r="P897" t="n">
        <v>0</v>
      </c>
      <c r="Q897" t="n">
        <v>0</v>
      </c>
      <c r="R897" s="2" t="inlineStr"/>
    </row>
    <row r="898" ht="15" customHeight="1">
      <c r="A898" t="inlineStr">
        <is>
          <t>A 29819-2024</t>
        </is>
      </c>
      <c r="B898" s="1" t="n">
        <v>45485</v>
      </c>
      <c r="C898" s="1" t="n">
        <v>45789</v>
      </c>
      <c r="D898" t="inlineStr">
        <is>
          <t>DALARNAS LÄN</t>
        </is>
      </c>
      <c r="E898" t="inlineStr">
        <is>
          <t>ÄLVDALEN</t>
        </is>
      </c>
      <c r="G898" t="n">
        <v>1.4</v>
      </c>
      <c r="H898" t="n">
        <v>0</v>
      </c>
      <c r="I898" t="n">
        <v>0</v>
      </c>
      <c r="J898" t="n">
        <v>0</v>
      </c>
      <c r="K898" t="n">
        <v>0</v>
      </c>
      <c r="L898" t="n">
        <v>0</v>
      </c>
      <c r="M898" t="n">
        <v>0</v>
      </c>
      <c r="N898" t="n">
        <v>0</v>
      </c>
      <c r="O898" t="n">
        <v>0</v>
      </c>
      <c r="P898" t="n">
        <v>0</v>
      </c>
      <c r="Q898" t="n">
        <v>0</v>
      </c>
      <c r="R898" s="2" t="inlineStr"/>
    </row>
    <row r="899" ht="15" customHeight="1">
      <c r="A899" t="inlineStr">
        <is>
          <t>A 30139-2024</t>
        </is>
      </c>
      <c r="B899" s="1" t="n">
        <v>45488</v>
      </c>
      <c r="C899" s="1" t="n">
        <v>45789</v>
      </c>
      <c r="D899" t="inlineStr">
        <is>
          <t>DALARNAS LÄN</t>
        </is>
      </c>
      <c r="E899" t="inlineStr">
        <is>
          <t>ÄLVDALEN</t>
        </is>
      </c>
      <c r="G899" t="n">
        <v>7.9</v>
      </c>
      <c r="H899" t="n">
        <v>0</v>
      </c>
      <c r="I899" t="n">
        <v>0</v>
      </c>
      <c r="J899" t="n">
        <v>0</v>
      </c>
      <c r="K899" t="n">
        <v>0</v>
      </c>
      <c r="L899" t="n">
        <v>0</v>
      </c>
      <c r="M899" t="n">
        <v>0</v>
      </c>
      <c r="N899" t="n">
        <v>0</v>
      </c>
      <c r="O899" t="n">
        <v>0</v>
      </c>
      <c r="P899" t="n">
        <v>0</v>
      </c>
      <c r="Q899" t="n">
        <v>0</v>
      </c>
      <c r="R899" s="2" t="inlineStr"/>
    </row>
    <row r="900" ht="15" customHeight="1">
      <c r="A900" t="inlineStr">
        <is>
          <t>A 30147-2024</t>
        </is>
      </c>
      <c r="B900" s="1" t="n">
        <v>45488</v>
      </c>
      <c r="C900" s="1" t="n">
        <v>45789</v>
      </c>
      <c r="D900" t="inlineStr">
        <is>
          <t>DALARNAS LÄN</t>
        </is>
      </c>
      <c r="E900" t="inlineStr">
        <is>
          <t>ÄLVDALEN</t>
        </is>
      </c>
      <c r="G900" t="n">
        <v>2.1</v>
      </c>
      <c r="H900" t="n">
        <v>0</v>
      </c>
      <c r="I900" t="n">
        <v>0</v>
      </c>
      <c r="J900" t="n">
        <v>0</v>
      </c>
      <c r="K900" t="n">
        <v>0</v>
      </c>
      <c r="L900" t="n">
        <v>0</v>
      </c>
      <c r="M900" t="n">
        <v>0</v>
      </c>
      <c r="N900" t="n">
        <v>0</v>
      </c>
      <c r="O900" t="n">
        <v>0</v>
      </c>
      <c r="P900" t="n">
        <v>0</v>
      </c>
      <c r="Q900" t="n">
        <v>0</v>
      </c>
      <c r="R900" s="2" t="inlineStr"/>
    </row>
    <row r="901" ht="15" customHeight="1">
      <c r="A901" t="inlineStr">
        <is>
          <t>A 30146-2024</t>
        </is>
      </c>
      <c r="B901" s="1" t="n">
        <v>45488</v>
      </c>
      <c r="C901" s="1" t="n">
        <v>45789</v>
      </c>
      <c r="D901" t="inlineStr">
        <is>
          <t>DALARNAS LÄN</t>
        </is>
      </c>
      <c r="E901" t="inlineStr">
        <is>
          <t>ÄLVDALEN</t>
        </is>
      </c>
      <c r="G901" t="n">
        <v>1.1</v>
      </c>
      <c r="H901" t="n">
        <v>0</v>
      </c>
      <c r="I901" t="n">
        <v>0</v>
      </c>
      <c r="J901" t="n">
        <v>0</v>
      </c>
      <c r="K901" t="n">
        <v>0</v>
      </c>
      <c r="L901" t="n">
        <v>0</v>
      </c>
      <c r="M901" t="n">
        <v>0</v>
      </c>
      <c r="N901" t="n">
        <v>0</v>
      </c>
      <c r="O901" t="n">
        <v>0</v>
      </c>
      <c r="P901" t="n">
        <v>0</v>
      </c>
      <c r="Q901" t="n">
        <v>0</v>
      </c>
      <c r="R901" s="2" t="inlineStr"/>
    </row>
    <row r="902" ht="15" customHeight="1">
      <c r="A902" t="inlineStr">
        <is>
          <t>A 30141-2024</t>
        </is>
      </c>
      <c r="B902" s="1" t="n">
        <v>45488</v>
      </c>
      <c r="C902" s="1" t="n">
        <v>45789</v>
      </c>
      <c r="D902" t="inlineStr">
        <is>
          <t>DALARNAS LÄN</t>
        </is>
      </c>
      <c r="E902" t="inlineStr">
        <is>
          <t>ÄLVDALEN</t>
        </is>
      </c>
      <c r="G902" t="n">
        <v>1.7</v>
      </c>
      <c r="H902" t="n">
        <v>0</v>
      </c>
      <c r="I902" t="n">
        <v>0</v>
      </c>
      <c r="J902" t="n">
        <v>0</v>
      </c>
      <c r="K902" t="n">
        <v>0</v>
      </c>
      <c r="L902" t="n">
        <v>0</v>
      </c>
      <c r="M902" t="n">
        <v>0</v>
      </c>
      <c r="N902" t="n">
        <v>0</v>
      </c>
      <c r="O902" t="n">
        <v>0</v>
      </c>
      <c r="P902" t="n">
        <v>0</v>
      </c>
      <c r="Q902" t="n">
        <v>0</v>
      </c>
      <c r="R902" s="2" t="inlineStr"/>
    </row>
    <row r="903" ht="15" customHeight="1">
      <c r="A903" t="inlineStr">
        <is>
          <t>A 30143-2024</t>
        </is>
      </c>
      <c r="B903" s="1" t="n">
        <v>45488</v>
      </c>
      <c r="C903" s="1" t="n">
        <v>45789</v>
      </c>
      <c r="D903" t="inlineStr">
        <is>
          <t>DALARNAS LÄN</t>
        </is>
      </c>
      <c r="E903" t="inlineStr">
        <is>
          <t>ÄLVDALEN</t>
        </is>
      </c>
      <c r="G903" t="n">
        <v>1</v>
      </c>
      <c r="H903" t="n">
        <v>0</v>
      </c>
      <c r="I903" t="n">
        <v>0</v>
      </c>
      <c r="J903" t="n">
        <v>0</v>
      </c>
      <c r="K903" t="n">
        <v>0</v>
      </c>
      <c r="L903" t="n">
        <v>0</v>
      </c>
      <c r="M903" t="n">
        <v>0</v>
      </c>
      <c r="N903" t="n">
        <v>0</v>
      </c>
      <c r="O903" t="n">
        <v>0</v>
      </c>
      <c r="P903" t="n">
        <v>0</v>
      </c>
      <c r="Q903" t="n">
        <v>0</v>
      </c>
      <c r="R903" s="2" t="inlineStr"/>
    </row>
    <row r="904" ht="15" customHeight="1">
      <c r="A904" t="inlineStr">
        <is>
          <t>A 30411-2024</t>
        </is>
      </c>
      <c r="B904" s="1" t="n">
        <v>45491</v>
      </c>
      <c r="C904" s="1" t="n">
        <v>45789</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30412-2024</t>
        </is>
      </c>
      <c r="B905" s="1" t="n">
        <v>45491</v>
      </c>
      <c r="C905" s="1" t="n">
        <v>45789</v>
      </c>
      <c r="D905" t="inlineStr">
        <is>
          <t>DALARNAS LÄN</t>
        </is>
      </c>
      <c r="E905" t="inlineStr">
        <is>
          <t>ÄLVDALEN</t>
        </is>
      </c>
      <c r="G905" t="n">
        <v>1.3</v>
      </c>
      <c r="H905" t="n">
        <v>0</v>
      </c>
      <c r="I905" t="n">
        <v>0</v>
      </c>
      <c r="J905" t="n">
        <v>0</v>
      </c>
      <c r="K905" t="n">
        <v>0</v>
      </c>
      <c r="L905" t="n">
        <v>0</v>
      </c>
      <c r="M905" t="n">
        <v>0</v>
      </c>
      <c r="N905" t="n">
        <v>0</v>
      </c>
      <c r="O905" t="n">
        <v>0</v>
      </c>
      <c r="P905" t="n">
        <v>0</v>
      </c>
      <c r="Q905" t="n">
        <v>0</v>
      </c>
      <c r="R905" s="2" t="inlineStr"/>
    </row>
    <row r="906" ht="15" customHeight="1">
      <c r="A906" t="inlineStr">
        <is>
          <t>A 30414-2024</t>
        </is>
      </c>
      <c r="B906" s="1" t="n">
        <v>45491</v>
      </c>
      <c r="C906" s="1" t="n">
        <v>45789</v>
      </c>
      <c r="D906" t="inlineStr">
        <is>
          <t>DALARNAS LÄN</t>
        </is>
      </c>
      <c r="E906" t="inlineStr">
        <is>
          <t>ÄLVDALEN</t>
        </is>
      </c>
      <c r="G906" t="n">
        <v>0.7</v>
      </c>
      <c r="H906" t="n">
        <v>0</v>
      </c>
      <c r="I906" t="n">
        <v>0</v>
      </c>
      <c r="J906" t="n">
        <v>0</v>
      </c>
      <c r="K906" t="n">
        <v>0</v>
      </c>
      <c r="L906" t="n">
        <v>0</v>
      </c>
      <c r="M906" t="n">
        <v>0</v>
      </c>
      <c r="N906" t="n">
        <v>0</v>
      </c>
      <c r="O906" t="n">
        <v>0</v>
      </c>
      <c r="P906" t="n">
        <v>0</v>
      </c>
      <c r="Q906" t="n">
        <v>0</v>
      </c>
      <c r="R906" s="2" t="inlineStr"/>
    </row>
    <row r="907" ht="15" customHeight="1">
      <c r="A907" t="inlineStr">
        <is>
          <t>A 30727-2024</t>
        </is>
      </c>
      <c r="B907" s="1" t="n">
        <v>45496</v>
      </c>
      <c r="C907" s="1" t="n">
        <v>45789</v>
      </c>
      <c r="D907" t="inlineStr">
        <is>
          <t>DALARNAS LÄN</t>
        </is>
      </c>
      <c r="E907" t="inlineStr">
        <is>
          <t>ÄLVDALEN</t>
        </is>
      </c>
      <c r="F907" t="inlineStr">
        <is>
          <t>Allmännings- och besparingsskogar</t>
        </is>
      </c>
      <c r="G907" t="n">
        <v>35.7</v>
      </c>
      <c r="H907" t="n">
        <v>0</v>
      </c>
      <c r="I907" t="n">
        <v>0</v>
      </c>
      <c r="J907" t="n">
        <v>0</v>
      </c>
      <c r="K907" t="n">
        <v>0</v>
      </c>
      <c r="L907" t="n">
        <v>0</v>
      </c>
      <c r="M907" t="n">
        <v>0</v>
      </c>
      <c r="N907" t="n">
        <v>0</v>
      </c>
      <c r="O907" t="n">
        <v>0</v>
      </c>
      <c r="P907" t="n">
        <v>0</v>
      </c>
      <c r="Q907" t="n">
        <v>0</v>
      </c>
      <c r="R907" s="2" t="inlineStr"/>
    </row>
    <row r="908" ht="15" customHeight="1">
      <c r="A908" t="inlineStr">
        <is>
          <t>A 30816-2024</t>
        </is>
      </c>
      <c r="B908" s="1" t="n">
        <v>45497</v>
      </c>
      <c r="C908" s="1" t="n">
        <v>45789</v>
      </c>
      <c r="D908" t="inlineStr">
        <is>
          <t>DALARNAS LÄN</t>
        </is>
      </c>
      <c r="E908" t="inlineStr">
        <is>
          <t>ÄLVDALEN</t>
        </is>
      </c>
      <c r="G908" t="n">
        <v>4.1</v>
      </c>
      <c r="H908" t="n">
        <v>0</v>
      </c>
      <c r="I908" t="n">
        <v>0</v>
      </c>
      <c r="J908" t="n">
        <v>0</v>
      </c>
      <c r="K908" t="n">
        <v>0</v>
      </c>
      <c r="L908" t="n">
        <v>0</v>
      </c>
      <c r="M908" t="n">
        <v>0</v>
      </c>
      <c r="N908" t="n">
        <v>0</v>
      </c>
      <c r="O908" t="n">
        <v>0</v>
      </c>
      <c r="P908" t="n">
        <v>0</v>
      </c>
      <c r="Q908" t="n">
        <v>0</v>
      </c>
      <c r="R908" s="2" t="inlineStr"/>
    </row>
    <row r="909" ht="15" customHeight="1">
      <c r="A909" t="inlineStr">
        <is>
          <t>A 30927-2024</t>
        </is>
      </c>
      <c r="B909" s="1" t="n">
        <v>45498</v>
      </c>
      <c r="C909" s="1" t="n">
        <v>45789</v>
      </c>
      <c r="D909" t="inlineStr">
        <is>
          <t>DALARNAS LÄN</t>
        </is>
      </c>
      <c r="E909" t="inlineStr">
        <is>
          <t>ÄLVDALEN</t>
        </is>
      </c>
      <c r="G909" t="n">
        <v>1.7</v>
      </c>
      <c r="H909" t="n">
        <v>0</v>
      </c>
      <c r="I909" t="n">
        <v>0</v>
      </c>
      <c r="J909" t="n">
        <v>0</v>
      </c>
      <c r="K909" t="n">
        <v>0</v>
      </c>
      <c r="L909" t="n">
        <v>0</v>
      </c>
      <c r="M909" t="n">
        <v>0</v>
      </c>
      <c r="N909" t="n">
        <v>0</v>
      </c>
      <c r="O909" t="n">
        <v>0</v>
      </c>
      <c r="P909" t="n">
        <v>0</v>
      </c>
      <c r="Q909" t="n">
        <v>0</v>
      </c>
      <c r="R909" s="2" t="inlineStr"/>
    </row>
    <row r="910" ht="15" customHeight="1">
      <c r="A910" t="inlineStr">
        <is>
          <t>A 30926-2024</t>
        </is>
      </c>
      <c r="B910" s="1" t="n">
        <v>45498</v>
      </c>
      <c r="C910" s="1" t="n">
        <v>45789</v>
      </c>
      <c r="D910" t="inlineStr">
        <is>
          <t>DALARNAS LÄN</t>
        </is>
      </c>
      <c r="E910" t="inlineStr">
        <is>
          <t>ÄLVDALEN</t>
        </is>
      </c>
      <c r="G910" t="n">
        <v>6.5</v>
      </c>
      <c r="H910" t="n">
        <v>0</v>
      </c>
      <c r="I910" t="n">
        <v>0</v>
      </c>
      <c r="J910" t="n">
        <v>0</v>
      </c>
      <c r="K910" t="n">
        <v>0</v>
      </c>
      <c r="L910" t="n">
        <v>0</v>
      </c>
      <c r="M910" t="n">
        <v>0</v>
      </c>
      <c r="N910" t="n">
        <v>0</v>
      </c>
      <c r="O910" t="n">
        <v>0</v>
      </c>
      <c r="P910" t="n">
        <v>0</v>
      </c>
      <c r="Q910" t="n">
        <v>0</v>
      </c>
      <c r="R910" s="2" t="inlineStr"/>
    </row>
    <row r="911" ht="15" customHeight="1">
      <c r="A911" t="inlineStr">
        <is>
          <t>A 31047-2024</t>
        </is>
      </c>
      <c r="B911" s="1" t="n">
        <v>45502</v>
      </c>
      <c r="C911" s="1" t="n">
        <v>45789</v>
      </c>
      <c r="D911" t="inlineStr">
        <is>
          <t>DALARNAS LÄN</t>
        </is>
      </c>
      <c r="E911" t="inlineStr">
        <is>
          <t>ÄLVDALEN</t>
        </is>
      </c>
      <c r="F911" t="inlineStr">
        <is>
          <t>Sveaskog</t>
        </is>
      </c>
      <c r="G911" t="n">
        <v>8</v>
      </c>
      <c r="H911" t="n">
        <v>0</v>
      </c>
      <c r="I911" t="n">
        <v>0</v>
      </c>
      <c r="J911" t="n">
        <v>0</v>
      </c>
      <c r="K911" t="n">
        <v>0</v>
      </c>
      <c r="L911" t="n">
        <v>0</v>
      </c>
      <c r="M911" t="n">
        <v>0</v>
      </c>
      <c r="N911" t="n">
        <v>0</v>
      </c>
      <c r="O911" t="n">
        <v>0</v>
      </c>
      <c r="P911" t="n">
        <v>0</v>
      </c>
      <c r="Q911" t="n">
        <v>0</v>
      </c>
      <c r="R911" s="2" t="inlineStr"/>
    </row>
    <row r="912" ht="15" customHeight="1">
      <c r="A912" t="inlineStr">
        <is>
          <t>A 31145-2024</t>
        </is>
      </c>
      <c r="B912" s="1" t="n">
        <v>45502</v>
      </c>
      <c r="C912" s="1" t="n">
        <v>45789</v>
      </c>
      <c r="D912" t="inlineStr">
        <is>
          <t>DALARNAS LÄN</t>
        </is>
      </c>
      <c r="E912" t="inlineStr">
        <is>
          <t>ÄLVDALEN</t>
        </is>
      </c>
      <c r="G912" t="n">
        <v>1.2</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45789</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45789</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45789</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45789</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45789</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45789</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45789</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45789</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45789</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45789</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45789</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45789</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45789</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45789</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45789</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45789</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45789</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45789</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45789</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45789</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45789</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45789</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45789</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45789</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45789</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45789</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45789</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45789</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45789</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45789</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45789</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45789</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45789</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45789</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45789</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45789</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45789</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45789</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45789</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45789</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45789</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45789</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45789</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45789</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45789</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45789</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45789</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45789</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45789</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45789</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45789</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45789</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45789</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45789</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45789</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45789</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45789</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45789</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45789</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45789</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45789</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45789</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45789</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45789</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45789</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45789</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45789</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45789</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45789</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45789</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45789</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45789</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45789</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45789</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45789</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45789</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45789</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45789</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45789</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45789</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45789</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45789</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45789</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45789</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45789</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45789</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45789</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45789</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45789</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45789</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45789</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45789</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45789</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45789</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45789</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45789</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45789</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45789</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45789</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45789</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45789</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45789</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45789</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45789</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45789</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45789</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45789</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45789</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45789</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45789</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45789</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45789</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45789</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45789</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45789</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45789</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45789</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45789</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45789</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45789</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45789</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45789</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45789</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45789</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45789</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45789</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45789</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45789</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45789</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45789</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45789</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45789</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45789</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45789</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45789</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45789</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45789</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45789</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45789</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45789</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45789</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45789</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45789</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45789</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19567-2025</t>
        </is>
      </c>
      <c r="B1057" s="1" t="n">
        <v>45770</v>
      </c>
      <c r="C1057" s="1" t="n">
        <v>45789</v>
      </c>
      <c r="D1057" t="inlineStr">
        <is>
          <t>DALARNAS LÄN</t>
        </is>
      </c>
      <c r="E1057" t="inlineStr">
        <is>
          <t>ÄLVDALEN</t>
        </is>
      </c>
      <c r="F1057" t="inlineStr">
        <is>
          <t>Allmännings- och besparingsskogar</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19589-2025</t>
        </is>
      </c>
      <c r="B1058" s="1" t="n">
        <v>45770</v>
      </c>
      <c r="C1058" s="1" t="n">
        <v>45789</v>
      </c>
      <c r="D1058" t="inlineStr">
        <is>
          <t>DALARNAS LÄN</t>
        </is>
      </c>
      <c r="E1058" t="inlineStr">
        <is>
          <t>ÄLVDALEN</t>
        </is>
      </c>
      <c r="F1058" t="inlineStr">
        <is>
          <t>Sveaskog</t>
        </is>
      </c>
      <c r="G1058" t="n">
        <v>12.9</v>
      </c>
      <c r="H1058" t="n">
        <v>0</v>
      </c>
      <c r="I1058" t="n">
        <v>0</v>
      </c>
      <c r="J1058" t="n">
        <v>0</v>
      </c>
      <c r="K1058" t="n">
        <v>0</v>
      </c>
      <c r="L1058" t="n">
        <v>0</v>
      </c>
      <c r="M1058" t="n">
        <v>0</v>
      </c>
      <c r="N1058" t="n">
        <v>0</v>
      </c>
      <c r="O1058" t="n">
        <v>0</v>
      </c>
      <c r="P1058" t="n">
        <v>0</v>
      </c>
      <c r="Q1058" t="n">
        <v>0</v>
      </c>
      <c r="R1058" s="2" t="inlineStr"/>
    </row>
    <row r="1059" ht="15" customHeight="1">
      <c r="A1059" t="inlineStr">
        <is>
          <t>A 19578-2025</t>
        </is>
      </c>
      <c r="B1059" s="1" t="n">
        <v>45770</v>
      </c>
      <c r="C1059" s="1" t="n">
        <v>45789</v>
      </c>
      <c r="D1059" t="inlineStr">
        <is>
          <t>DALARNAS LÄN</t>
        </is>
      </c>
      <c r="E1059" t="inlineStr">
        <is>
          <t>ÄLVDALEN</t>
        </is>
      </c>
      <c r="F1059" t="inlineStr">
        <is>
          <t>Sveaskog</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45789</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19527-2025</t>
        </is>
      </c>
      <c r="B1061" s="1" t="n">
        <v>45770</v>
      </c>
      <c r="C1061" s="1" t="n">
        <v>45789</v>
      </c>
      <c r="D1061" t="inlineStr">
        <is>
          <t>DALARNAS LÄN</t>
        </is>
      </c>
      <c r="E1061" t="inlineStr">
        <is>
          <t>ÄLVDALEN</t>
        </is>
      </c>
      <c r="F1061" t="inlineStr">
        <is>
          <t>Allmännings- och besparingsskogar</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19588-2025</t>
        </is>
      </c>
      <c r="B1062" s="1" t="n">
        <v>45770</v>
      </c>
      <c r="C1062" s="1" t="n">
        <v>45789</v>
      </c>
      <c r="D1062" t="inlineStr">
        <is>
          <t>DALARNAS LÄN</t>
        </is>
      </c>
      <c r="E1062" t="inlineStr">
        <is>
          <t>ÄLVDALEN</t>
        </is>
      </c>
      <c r="F1062" t="inlineStr">
        <is>
          <t>Sveaskog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19587-2025</t>
        </is>
      </c>
      <c r="B1063" s="1" t="n">
        <v>45770</v>
      </c>
      <c r="C1063" s="1" t="n">
        <v>45789</v>
      </c>
      <c r="D1063" t="inlineStr">
        <is>
          <t>DALARNAS LÄN</t>
        </is>
      </c>
      <c r="E1063" t="inlineStr">
        <is>
          <t>ÄLVDALEN</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19553-2025</t>
        </is>
      </c>
      <c r="B1064" s="1" t="n">
        <v>45770</v>
      </c>
      <c r="C1064" s="1" t="n">
        <v>45789</v>
      </c>
      <c r="D1064" t="inlineStr">
        <is>
          <t>DALARNAS LÄN</t>
        </is>
      </c>
      <c r="E1064" t="inlineStr">
        <is>
          <t>ÄLVDALEN</t>
        </is>
      </c>
      <c r="F1064" t="inlineStr">
        <is>
          <t>Sveaskog</t>
        </is>
      </c>
      <c r="G1064" t="n">
        <v>25.2</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45789</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20595-2025</t>
        </is>
      </c>
      <c r="B1066" s="1" t="n">
        <v>45775</v>
      </c>
      <c r="C1066" s="1" t="n">
        <v>45789</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20584-2025</t>
        </is>
      </c>
      <c r="B1067" s="1" t="n">
        <v>45775</v>
      </c>
      <c r="C1067" s="1" t="n">
        <v>45789</v>
      </c>
      <c r="D1067" t="inlineStr">
        <is>
          <t>DALARNAS LÄN</t>
        </is>
      </c>
      <c r="E1067" t="inlineStr">
        <is>
          <t>ÄLVDALEN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21395-2025</t>
        </is>
      </c>
      <c r="B1068" s="1" t="n">
        <v>45782</v>
      </c>
      <c r="C1068" s="1" t="n">
        <v>45789</v>
      </c>
      <c r="D1068" t="inlineStr">
        <is>
          <t>DALARNAS LÄN</t>
        </is>
      </c>
      <c r="E1068" t="inlineStr">
        <is>
          <t>ÄLVDALEN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21613-2025</t>
        </is>
      </c>
      <c r="B1069" s="1" t="n">
        <v>45783</v>
      </c>
      <c r="C1069" s="1" t="n">
        <v>45789</v>
      </c>
      <c r="D1069" t="inlineStr">
        <is>
          <t>DALARNAS LÄN</t>
        </is>
      </c>
      <c r="E1069" t="inlineStr">
        <is>
          <t>ÄLVDALEN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21629-2025</t>
        </is>
      </c>
      <c r="B1070" s="1" t="n">
        <v>45783</v>
      </c>
      <c r="C1070" s="1" t="n">
        <v>45789</v>
      </c>
      <c r="D1070" t="inlineStr">
        <is>
          <t>DALARNAS LÄN</t>
        </is>
      </c>
      <c r="E1070" t="inlineStr">
        <is>
          <t>ÄLVDALEN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22189-2025</t>
        </is>
      </c>
      <c r="B1071" s="1" t="n">
        <v>45785</v>
      </c>
      <c r="C1071" s="1" t="n">
        <v>45789</v>
      </c>
      <c r="D1071" t="inlineStr">
        <is>
          <t>DALARNAS LÄN</t>
        </is>
      </c>
      <c r="E1071" t="inlineStr">
        <is>
          <t>ÄLVDALEN</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22291-2025</t>
        </is>
      </c>
      <c r="B1072" s="1" t="n">
        <v>45786</v>
      </c>
      <c r="C1072" s="1" t="n">
        <v>45789</v>
      </c>
      <c r="D1072" t="inlineStr">
        <is>
          <t>DALARNAS LÄN</t>
        </is>
      </c>
      <c r="E1072" t="inlineStr">
        <is>
          <t>ÄLVDALEN</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22286-2025</t>
        </is>
      </c>
      <c r="B1073" s="1" t="n">
        <v>45786</v>
      </c>
      <c r="C1073" s="1" t="n">
        <v>45789</v>
      </c>
      <c r="D1073" t="inlineStr">
        <is>
          <t>DALARNAS LÄN</t>
        </is>
      </c>
      <c r="E1073" t="inlineStr">
        <is>
          <t>ÄLVDALEN</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22279-2025</t>
        </is>
      </c>
      <c r="B1074" s="1" t="n">
        <v>45786</v>
      </c>
      <c r="C1074" s="1" t="n">
        <v>45789</v>
      </c>
      <c r="D1074" t="inlineStr">
        <is>
          <t>DALARNAS LÄN</t>
        </is>
      </c>
      <c r="E1074" t="inlineStr">
        <is>
          <t>ÄLVDALEN</t>
        </is>
      </c>
      <c r="F1074" t="inlineStr">
        <is>
          <t>Allmännings- och besparingsskogar</t>
        </is>
      </c>
      <c r="G1074" t="n">
        <v>11.2</v>
      </c>
      <c r="H1074" t="n">
        <v>0</v>
      </c>
      <c r="I1074" t="n">
        <v>0</v>
      </c>
      <c r="J1074" t="n">
        <v>0</v>
      </c>
      <c r="K1074" t="n">
        <v>0</v>
      </c>
      <c r="L1074" t="n">
        <v>0</v>
      </c>
      <c r="M1074" t="n">
        <v>0</v>
      </c>
      <c r="N1074" t="n">
        <v>0</v>
      </c>
      <c r="O1074" t="n">
        <v>0</v>
      </c>
      <c r="P1074" t="n">
        <v>0</v>
      </c>
      <c r="Q1074" t="n">
        <v>0</v>
      </c>
      <c r="R1074" s="2" t="inlineStr"/>
    </row>
    <row r="1075">
      <c r="A1075" t="inlineStr">
        <is>
          <t>A 22303-2025</t>
        </is>
      </c>
      <c r="B1075" s="1" t="n">
        <v>45786</v>
      </c>
      <c r="C1075" s="1" t="n">
        <v>45789</v>
      </c>
      <c r="D1075" t="inlineStr">
        <is>
          <t>DALARNAS LÄN</t>
        </is>
      </c>
      <c r="E1075" t="inlineStr">
        <is>
          <t>ÄLVDALEN</t>
        </is>
      </c>
      <c r="G1075" t="n">
        <v>3.7</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2025-05-12T17:37:43Z</dcterms:created>
  <dcterms:modified xmlns:dcterms="http://purl.org/dc/terms/" xmlns:xsi="http://www.w3.org/2001/XMLSchema-instance" xsi:type="dcterms:W3CDTF">2025-05-12T17:37:43Z</dcterms:modified>
</cp:coreProperties>
</file>