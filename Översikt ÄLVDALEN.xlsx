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45908</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45908</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45908</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45908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45908</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45908</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45908</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45908</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45908</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45908</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45908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45908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45908</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33285-2025</t>
        </is>
      </c>
      <c r="B15" s="1" t="n">
        <v>45840</v>
      </c>
      <c r="C15" s="1" t="n">
        <v>45908</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45908</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31037-2023</t>
        </is>
      </c>
      <c r="B17" s="1" t="n">
        <v>45113</v>
      </c>
      <c r="C17" s="1" t="n">
        <v>45908</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45908</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45908</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45908</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45908</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45908</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45908</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45908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45908</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45908</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45908</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34765-2025</t>
        </is>
      </c>
      <c r="B28" s="1" t="n">
        <v>45848</v>
      </c>
      <c r="C28" s="1" t="n">
        <v>45908</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16370-2024</t>
        </is>
      </c>
      <c r="B29" s="1" t="n">
        <v>45407</v>
      </c>
      <c r="C29" s="1" t="n">
        <v>45908</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38582-2023</t>
        </is>
      </c>
      <c r="B30" s="1" t="n">
        <v>45162</v>
      </c>
      <c r="C30" s="1" t="n">
        <v>45908</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36371-2025</t>
        </is>
      </c>
      <c r="B31" s="1" t="n">
        <v>45868</v>
      </c>
      <c r="C31" s="1" t="n">
        <v>45908</v>
      </c>
      <c r="D31" t="inlineStr">
        <is>
          <t>DALARNAS LÄN</t>
        </is>
      </c>
      <c r="E31" t="inlineStr">
        <is>
          <t>ÄLVDALEN</t>
        </is>
      </c>
      <c r="F31" t="inlineStr">
        <is>
          <t>Allmännings- och besparingsskogar</t>
        </is>
      </c>
      <c r="G31" t="n">
        <v>30.8</v>
      </c>
      <c r="H31" t="n">
        <v>2</v>
      </c>
      <c r="I31" t="n">
        <v>2</v>
      </c>
      <c r="J31" t="n">
        <v>6</v>
      </c>
      <c r="K31" t="n">
        <v>0</v>
      </c>
      <c r="L31" t="n">
        <v>0</v>
      </c>
      <c r="M31" t="n">
        <v>0</v>
      </c>
      <c r="N31" t="n">
        <v>0</v>
      </c>
      <c r="O31" t="n">
        <v>6</v>
      </c>
      <c r="P31" t="n">
        <v>0</v>
      </c>
      <c r="Q31" t="n">
        <v>9</v>
      </c>
      <c r="R31" s="2" t="inlineStr">
        <is>
          <t>Duvhök
Garnlav
Kolflarnlav
Mörk kolflarnlav
Vedflamlav
Vedskivlav
Gräsull
Mindre märgborre
Tjäder</t>
        </is>
      </c>
      <c r="S31">
        <f>HYPERLINK("https://klasma.github.io/Logging_2039/artfynd/A 36371-2025 artfynd.xlsx", "A 36371-2025")</f>
        <v/>
      </c>
      <c r="T31">
        <f>HYPERLINK("https://klasma.github.io/Logging_2039/kartor/A 36371-2025 karta.png", "A 36371-2025")</f>
        <v/>
      </c>
      <c r="V31">
        <f>HYPERLINK("https://klasma.github.io/Logging_2039/klagomål/A 36371-2025 FSC-klagomål.docx", "A 36371-2025")</f>
        <v/>
      </c>
      <c r="W31">
        <f>HYPERLINK("https://klasma.github.io/Logging_2039/klagomålsmail/A 36371-2025 FSC-klagomål mail.docx", "A 36371-2025")</f>
        <v/>
      </c>
      <c r="X31">
        <f>HYPERLINK("https://klasma.github.io/Logging_2039/tillsyn/A 36371-2025 tillsynsbegäran.docx", "A 36371-2025")</f>
        <v/>
      </c>
      <c r="Y31">
        <f>HYPERLINK("https://klasma.github.io/Logging_2039/tillsynsmail/A 36371-2025 tillsynsbegäran mail.docx", "A 36371-2025")</f>
        <v/>
      </c>
      <c r="Z31">
        <f>HYPERLINK("https://klasma.github.io/Logging_2039/fåglar/A 36371-2025 prioriterade fågelarter.docx", "A 36371-2025")</f>
        <v/>
      </c>
    </row>
    <row r="32" ht="15" customHeight="1">
      <c r="A32" t="inlineStr">
        <is>
          <t>A 33487-2025</t>
        </is>
      </c>
      <c r="B32" s="1" t="n">
        <v>45841.50515046297</v>
      </c>
      <c r="C32" s="1" t="n">
        <v>45908</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41639-2025</t>
        </is>
      </c>
      <c r="B33" s="1" t="n">
        <v>45901</v>
      </c>
      <c r="C33" s="1" t="n">
        <v>45908</v>
      </c>
      <c r="D33" t="inlineStr">
        <is>
          <t>DALARNAS LÄN</t>
        </is>
      </c>
      <c r="E33" t="inlineStr">
        <is>
          <t>ÄLVDALEN</t>
        </is>
      </c>
      <c r="F33" t="inlineStr">
        <is>
          <t>Övriga statliga verk och myndigheter</t>
        </is>
      </c>
      <c r="G33" t="n">
        <v>27.8</v>
      </c>
      <c r="H33" t="n">
        <v>0</v>
      </c>
      <c r="I33" t="n">
        <v>1</v>
      </c>
      <c r="J33" t="n">
        <v>7</v>
      </c>
      <c r="K33" t="n">
        <v>1</v>
      </c>
      <c r="L33" t="n">
        <v>0</v>
      </c>
      <c r="M33" t="n">
        <v>0</v>
      </c>
      <c r="N33" t="n">
        <v>0</v>
      </c>
      <c r="O33" t="n">
        <v>8</v>
      </c>
      <c r="P33" t="n">
        <v>1</v>
      </c>
      <c r="Q33" t="n">
        <v>9</v>
      </c>
      <c r="R33" s="2" t="inlineStr">
        <is>
          <t>Spadskinn
Dvärgbägarlav
Garnlav
Kolflarnlav
Mörk kolflarnlav
Ullticka
Vedflamlav
Vedskivlav
Dropptaggsvamp</t>
        </is>
      </c>
      <c r="S33">
        <f>HYPERLINK("https://klasma.github.io/Logging_2039/artfynd/A 41639-2025 artfynd.xlsx", "A 41639-2025")</f>
        <v/>
      </c>
      <c r="T33">
        <f>HYPERLINK("https://klasma.github.io/Logging_2039/kartor/A 41639-2025 karta.png", "A 41639-2025")</f>
        <v/>
      </c>
      <c r="V33">
        <f>HYPERLINK("https://klasma.github.io/Logging_2039/klagomål/A 41639-2025 FSC-klagomål.docx", "A 41639-2025")</f>
        <v/>
      </c>
      <c r="W33">
        <f>HYPERLINK("https://klasma.github.io/Logging_2039/klagomålsmail/A 41639-2025 FSC-klagomål mail.docx", "A 41639-2025")</f>
        <v/>
      </c>
      <c r="X33">
        <f>HYPERLINK("https://klasma.github.io/Logging_2039/tillsyn/A 41639-2025 tillsynsbegäran.docx", "A 41639-2025")</f>
        <v/>
      </c>
      <c r="Y33">
        <f>HYPERLINK("https://klasma.github.io/Logging_2039/tillsynsmail/A 41639-2025 tillsynsbegäran mail.docx", "A 41639-2025")</f>
        <v/>
      </c>
    </row>
    <row r="34" ht="15" customHeight="1">
      <c r="A34" t="inlineStr">
        <is>
          <t>A 41913-2022</t>
        </is>
      </c>
      <c r="B34" s="1" t="n">
        <v>44830</v>
      </c>
      <c r="C34" s="1" t="n">
        <v>45908</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66637-2021</t>
        </is>
      </c>
      <c r="B35" s="1" t="n">
        <v>44519</v>
      </c>
      <c r="C35" s="1" t="n">
        <v>45908</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41753-2025</t>
        </is>
      </c>
      <c r="B36" s="1" t="n">
        <v>45902.49891203704</v>
      </c>
      <c r="C36" s="1" t="n">
        <v>45908</v>
      </c>
      <c r="D36" t="inlineStr">
        <is>
          <t>DALARNAS LÄN</t>
        </is>
      </c>
      <c r="E36" t="inlineStr">
        <is>
          <t>ÄLVDALEN</t>
        </is>
      </c>
      <c r="F36" t="inlineStr">
        <is>
          <t>Sveaskog</t>
        </is>
      </c>
      <c r="G36" t="n">
        <v>6.2</v>
      </c>
      <c r="H36" t="n">
        <v>1</v>
      </c>
      <c r="I36" t="n">
        <v>1</v>
      </c>
      <c r="J36" t="n">
        <v>6</v>
      </c>
      <c r="K36" t="n">
        <v>1</v>
      </c>
      <c r="L36" t="n">
        <v>0</v>
      </c>
      <c r="M36" t="n">
        <v>0</v>
      </c>
      <c r="N36" t="n">
        <v>0</v>
      </c>
      <c r="O36" t="n">
        <v>7</v>
      </c>
      <c r="P36" t="n">
        <v>1</v>
      </c>
      <c r="Q36" t="n">
        <v>8</v>
      </c>
      <c r="R36" s="2" t="inlineStr">
        <is>
          <t>Fläckporing
Blå taggsvamp
Dvärgbägarlav
Kolflarnlav
Orange taggsvamp
Varglav
Vedflamlav
Dropptaggsvamp</t>
        </is>
      </c>
      <c r="S36">
        <f>HYPERLINK("https://klasma.github.io/Logging_2039/artfynd/A 41753-2025 artfynd.xlsx", "A 41753-2025")</f>
        <v/>
      </c>
      <c r="T36">
        <f>HYPERLINK("https://klasma.github.io/Logging_2039/kartor/A 41753-2025 karta.png", "A 41753-2025")</f>
        <v/>
      </c>
      <c r="V36">
        <f>HYPERLINK("https://klasma.github.io/Logging_2039/klagomål/A 41753-2025 FSC-klagomål.docx", "A 41753-2025")</f>
        <v/>
      </c>
      <c r="W36">
        <f>HYPERLINK("https://klasma.github.io/Logging_2039/klagomålsmail/A 41753-2025 FSC-klagomål mail.docx", "A 41753-2025")</f>
        <v/>
      </c>
      <c r="X36">
        <f>HYPERLINK("https://klasma.github.io/Logging_2039/tillsyn/A 41753-2025 tillsynsbegäran.docx", "A 41753-2025")</f>
        <v/>
      </c>
      <c r="Y36">
        <f>HYPERLINK("https://klasma.github.io/Logging_2039/tillsynsmail/A 41753-2025 tillsynsbegäran mail.docx", "A 41753-2025")</f>
        <v/>
      </c>
    </row>
    <row r="37" ht="15" customHeight="1">
      <c r="A37" t="inlineStr">
        <is>
          <t>A 41755-2025</t>
        </is>
      </c>
      <c r="B37" s="1" t="n">
        <v>45902.50262731482</v>
      </c>
      <c r="C37" s="1" t="n">
        <v>45908</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17715-2024</t>
        </is>
      </c>
      <c r="B38" s="1" t="n">
        <v>45415</v>
      </c>
      <c r="C38" s="1" t="n">
        <v>45908</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23427-2025</t>
        </is>
      </c>
      <c r="B39" s="1" t="n">
        <v>45792</v>
      </c>
      <c r="C39" s="1" t="n">
        <v>45908</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9783-2024</t>
        </is>
      </c>
      <c r="B40" s="1" t="n">
        <v>45362</v>
      </c>
      <c r="C40" s="1" t="n">
        <v>45908</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33882-2024</t>
        </is>
      </c>
      <c r="B41" s="1" t="n">
        <v>45522</v>
      </c>
      <c r="C41" s="1" t="n">
        <v>45908</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45908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19534-2025</t>
        </is>
      </c>
      <c r="B43" s="1" t="n">
        <v>45770.47667824074</v>
      </c>
      <c r="C43" s="1" t="n">
        <v>45908</v>
      </c>
      <c r="D43" t="inlineStr">
        <is>
          <t>DALARNAS LÄN</t>
        </is>
      </c>
      <c r="E43" t="inlineStr">
        <is>
          <t>ÄLVDALEN</t>
        </is>
      </c>
      <c r="F43" t="inlineStr">
        <is>
          <t>Sveaskog</t>
        </is>
      </c>
      <c r="G43" t="n">
        <v>34</v>
      </c>
      <c r="H43" t="n">
        <v>1</v>
      </c>
      <c r="I43" t="n">
        <v>1</v>
      </c>
      <c r="J43" t="n">
        <v>5</v>
      </c>
      <c r="K43" t="n">
        <v>0</v>
      </c>
      <c r="L43" t="n">
        <v>0</v>
      </c>
      <c r="M43" t="n">
        <v>0</v>
      </c>
      <c r="N43" t="n">
        <v>0</v>
      </c>
      <c r="O43" t="n">
        <v>5</v>
      </c>
      <c r="P43" t="n">
        <v>0</v>
      </c>
      <c r="Q43" t="n">
        <v>6</v>
      </c>
      <c r="R43" s="2" t="inlineStr">
        <is>
          <t>Dvärgbägarlav
Kolflarnlav
Mörk kolflarnlav
Varglav
Vedflamlav
Dropptaggsvamp</t>
        </is>
      </c>
      <c r="S43">
        <f>HYPERLINK("https://klasma.github.io/Logging_2039/artfynd/A 19534-2025 artfynd.xlsx", "A 19534-2025")</f>
        <v/>
      </c>
      <c r="T43">
        <f>HYPERLINK("https://klasma.github.io/Logging_2039/kartor/A 19534-2025 karta.png", "A 19534-2025")</f>
        <v/>
      </c>
      <c r="V43">
        <f>HYPERLINK("https://klasma.github.io/Logging_2039/klagomål/A 19534-2025 FSC-klagomål.docx", "A 19534-2025")</f>
        <v/>
      </c>
      <c r="W43">
        <f>HYPERLINK("https://klasma.github.io/Logging_2039/klagomålsmail/A 19534-2025 FSC-klagomål mail.docx", "A 19534-2025")</f>
        <v/>
      </c>
      <c r="X43">
        <f>HYPERLINK("https://klasma.github.io/Logging_2039/tillsyn/A 19534-2025 tillsynsbegäran.docx", "A 19534-2025")</f>
        <v/>
      </c>
      <c r="Y43">
        <f>HYPERLINK("https://klasma.github.io/Logging_2039/tillsynsmail/A 19534-2025 tillsynsbegäran mail.docx", "A 19534-2025")</f>
        <v/>
      </c>
    </row>
    <row r="44" ht="15" customHeight="1">
      <c r="A44" t="inlineStr">
        <is>
          <t>A 54671-2021</t>
        </is>
      </c>
      <c r="B44" s="1" t="n">
        <v>44473</v>
      </c>
      <c r="C44" s="1" t="n">
        <v>45908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19262-2025</t>
        </is>
      </c>
      <c r="B45" s="1" t="n">
        <v>45769.51054398148</v>
      </c>
      <c r="C45" s="1" t="n">
        <v>45908</v>
      </c>
      <c r="D45" t="inlineStr">
        <is>
          <t>DALARNAS LÄN</t>
        </is>
      </c>
      <c r="E45" t="inlineStr">
        <is>
          <t>ÄLVDALEN</t>
        </is>
      </c>
      <c r="F45" t="inlineStr">
        <is>
          <t>Allmännings- och besparingsskogar</t>
        </is>
      </c>
      <c r="G45" t="n">
        <v>8.800000000000001</v>
      </c>
      <c r="H45" t="n">
        <v>0</v>
      </c>
      <c r="I45" t="n">
        <v>1</v>
      </c>
      <c r="J45" t="n">
        <v>3</v>
      </c>
      <c r="K45" t="n">
        <v>1</v>
      </c>
      <c r="L45" t="n">
        <v>1</v>
      </c>
      <c r="M45" t="n">
        <v>0</v>
      </c>
      <c r="N45" t="n">
        <v>0</v>
      </c>
      <c r="O45" t="n">
        <v>5</v>
      </c>
      <c r="P45" t="n">
        <v>2</v>
      </c>
      <c r="Q45" t="n">
        <v>6</v>
      </c>
      <c r="R45" s="2" t="inlineStr">
        <is>
          <t>Broktagel
Gräddporing
Dvärgbägarlav
Garnlav
Nordtagging
Skuggblåslav</t>
        </is>
      </c>
      <c r="S45">
        <f>HYPERLINK("https://klasma.github.io/Logging_2039/artfynd/A 19262-2025 artfynd.xlsx", "A 19262-2025")</f>
        <v/>
      </c>
      <c r="T45">
        <f>HYPERLINK("https://klasma.github.io/Logging_2039/kartor/A 19262-2025 karta.png", "A 19262-2025")</f>
        <v/>
      </c>
      <c r="V45">
        <f>HYPERLINK("https://klasma.github.io/Logging_2039/klagomål/A 19262-2025 FSC-klagomål.docx", "A 19262-2025")</f>
        <v/>
      </c>
      <c r="W45">
        <f>HYPERLINK("https://klasma.github.io/Logging_2039/klagomålsmail/A 19262-2025 FSC-klagomål mail.docx", "A 19262-2025")</f>
        <v/>
      </c>
      <c r="X45">
        <f>HYPERLINK("https://klasma.github.io/Logging_2039/tillsyn/A 19262-2025 tillsynsbegäran.docx", "A 19262-2025")</f>
        <v/>
      </c>
      <c r="Y45">
        <f>HYPERLINK("https://klasma.github.io/Logging_2039/tillsynsmail/A 19262-2025 tillsynsbegäran mail.docx", "A 19262-2025")</f>
        <v/>
      </c>
    </row>
    <row r="46" ht="15" customHeight="1">
      <c r="A46" t="inlineStr">
        <is>
          <t>A 31631-2025</t>
        </is>
      </c>
      <c r="B46" s="1" t="n">
        <v>45834</v>
      </c>
      <c r="C46" s="1" t="n">
        <v>45908</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31821-2025</t>
        </is>
      </c>
      <c r="B47" s="1" t="n">
        <v>45834.57958333333</v>
      </c>
      <c r="C47" s="1" t="n">
        <v>45908</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33638-2025</t>
        </is>
      </c>
      <c r="B48" s="1" t="n">
        <v>45841.64807870371</v>
      </c>
      <c r="C48" s="1" t="n">
        <v>45908</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45908</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41750-2025</t>
        </is>
      </c>
      <c r="B50" s="1" t="n">
        <v>45902.49466435185</v>
      </c>
      <c r="C50" s="1" t="n">
        <v>45908</v>
      </c>
      <c r="D50" t="inlineStr">
        <is>
          <t>DALARNAS LÄN</t>
        </is>
      </c>
      <c r="E50" t="inlineStr">
        <is>
          <t>ÄLVDALEN</t>
        </is>
      </c>
      <c r="G50" t="n">
        <v>1.2</v>
      </c>
      <c r="H50" t="n">
        <v>0</v>
      </c>
      <c r="I50" t="n">
        <v>1</v>
      </c>
      <c r="J50" t="n">
        <v>4</v>
      </c>
      <c r="K50" t="n">
        <v>1</v>
      </c>
      <c r="L50" t="n">
        <v>0</v>
      </c>
      <c r="M50" t="n">
        <v>0</v>
      </c>
      <c r="N50" t="n">
        <v>0</v>
      </c>
      <c r="O50" t="n">
        <v>5</v>
      </c>
      <c r="P50" t="n">
        <v>1</v>
      </c>
      <c r="Q50" t="n">
        <v>6</v>
      </c>
      <c r="R50" s="2" t="inlineStr">
        <is>
          <t>Gräddporing
Dvärgbägarlav
Kolflarnlav
Mörk kolflarnlav
Vedflamlav
Dropptaggsvamp</t>
        </is>
      </c>
      <c r="S50">
        <f>HYPERLINK("https://klasma.github.io/Logging_2039/artfynd/A 41750-2025 artfynd.xlsx", "A 41750-2025")</f>
        <v/>
      </c>
      <c r="T50">
        <f>HYPERLINK("https://klasma.github.io/Logging_2039/kartor/A 41750-2025 karta.png", "A 41750-2025")</f>
        <v/>
      </c>
      <c r="V50">
        <f>HYPERLINK("https://klasma.github.io/Logging_2039/klagomål/A 41750-2025 FSC-klagomål.docx", "A 41750-2025")</f>
        <v/>
      </c>
      <c r="W50">
        <f>HYPERLINK("https://klasma.github.io/Logging_2039/klagomålsmail/A 41750-2025 FSC-klagomål mail.docx", "A 41750-2025")</f>
        <v/>
      </c>
      <c r="X50">
        <f>HYPERLINK("https://klasma.github.io/Logging_2039/tillsyn/A 41750-2025 tillsynsbegäran.docx", "A 41750-2025")</f>
        <v/>
      </c>
      <c r="Y50">
        <f>HYPERLINK("https://klasma.github.io/Logging_2039/tillsynsmail/A 41750-2025 tillsynsbegäran mail.docx", "A 41750-2025")</f>
        <v/>
      </c>
    </row>
    <row r="51" ht="15" customHeight="1">
      <c r="A51" t="inlineStr">
        <is>
          <t>A 39278-2022</t>
        </is>
      </c>
      <c r="B51" s="1" t="n">
        <v>44817</v>
      </c>
      <c r="C51" s="1" t="n">
        <v>45908</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22701-2024</t>
        </is>
      </c>
      <c r="B52" s="1" t="n">
        <v>45448</v>
      </c>
      <c r="C52" s="1" t="n">
        <v>45908</v>
      </c>
      <c r="D52" t="inlineStr">
        <is>
          <t>DALARNAS LÄN</t>
        </is>
      </c>
      <c r="E52" t="inlineStr">
        <is>
          <t>ÄLVDALEN</t>
        </is>
      </c>
      <c r="F52" t="inlineStr">
        <is>
          <t>Sveaskog</t>
        </is>
      </c>
      <c r="G52" t="n">
        <v>2.7</v>
      </c>
      <c r="H52" t="n">
        <v>0</v>
      </c>
      <c r="I52" t="n">
        <v>2</v>
      </c>
      <c r="J52" t="n">
        <v>1</v>
      </c>
      <c r="K52" t="n">
        <v>3</v>
      </c>
      <c r="L52" t="n">
        <v>0</v>
      </c>
      <c r="M52" t="n">
        <v>0</v>
      </c>
      <c r="N52" t="n">
        <v>0</v>
      </c>
      <c r="O52" t="n">
        <v>4</v>
      </c>
      <c r="P52" t="n">
        <v>3</v>
      </c>
      <c r="Q52" t="n">
        <v>6</v>
      </c>
      <c r="R52" s="2" t="inlineStr">
        <is>
          <t>Smalfotad taggsvamp
Tajgataggsvamp
Tallstocksticka
Dvärgbägarlav
Dropptaggsvamp
Skarp dropptaggsvamp</t>
        </is>
      </c>
      <c r="S52">
        <f>HYPERLINK("https://klasma.github.io/Logging_2039/artfynd/A 22701-2024 artfynd.xlsx", "A 22701-2024")</f>
        <v/>
      </c>
      <c r="T52">
        <f>HYPERLINK("https://klasma.github.io/Logging_2039/kartor/A 22701-2024 karta.png", "A 22701-2024")</f>
        <v/>
      </c>
      <c r="V52">
        <f>HYPERLINK("https://klasma.github.io/Logging_2039/klagomål/A 22701-2024 FSC-klagomål.docx", "A 22701-2024")</f>
        <v/>
      </c>
      <c r="W52">
        <f>HYPERLINK("https://klasma.github.io/Logging_2039/klagomålsmail/A 22701-2024 FSC-klagomål mail.docx", "A 22701-2024")</f>
        <v/>
      </c>
      <c r="X52">
        <f>HYPERLINK("https://klasma.github.io/Logging_2039/tillsyn/A 22701-2024 tillsynsbegäran.docx", "A 22701-2024")</f>
        <v/>
      </c>
      <c r="Y52">
        <f>HYPERLINK("https://klasma.github.io/Logging_2039/tillsynsmail/A 22701-2024 tillsynsbegäran mail.docx", "A 22701-2024")</f>
        <v/>
      </c>
    </row>
    <row r="53" ht="15" customHeight="1">
      <c r="A53" t="inlineStr">
        <is>
          <t>A 10282-2024</t>
        </is>
      </c>
      <c r="B53" s="1" t="n">
        <v>45365</v>
      </c>
      <c r="C53" s="1" t="n">
        <v>45908</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38585-2023</t>
        </is>
      </c>
      <c r="B54" s="1" t="n">
        <v>45162</v>
      </c>
      <c r="C54" s="1" t="n">
        <v>45908</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36327-2025</t>
        </is>
      </c>
      <c r="B55" s="1" t="n">
        <v>45868.42211805555</v>
      </c>
      <c r="C55" s="1" t="n">
        <v>45908</v>
      </c>
      <c r="D55" t="inlineStr">
        <is>
          <t>DALARNAS LÄN</t>
        </is>
      </c>
      <c r="E55" t="inlineStr">
        <is>
          <t>ÄLVDALEN</t>
        </is>
      </c>
      <c r="F55" t="inlineStr">
        <is>
          <t>Allmännings- och besparingsskogar</t>
        </is>
      </c>
      <c r="G55" t="n">
        <v>16.9</v>
      </c>
      <c r="H55" t="n">
        <v>2</v>
      </c>
      <c r="I55" t="n">
        <v>0</v>
      </c>
      <c r="J55" t="n">
        <v>3</v>
      </c>
      <c r="K55" t="n">
        <v>0</v>
      </c>
      <c r="L55" t="n">
        <v>0</v>
      </c>
      <c r="M55" t="n">
        <v>0</v>
      </c>
      <c r="N55" t="n">
        <v>0</v>
      </c>
      <c r="O55" t="n">
        <v>3</v>
      </c>
      <c r="P55" t="n">
        <v>0</v>
      </c>
      <c r="Q55" t="n">
        <v>5</v>
      </c>
      <c r="R55" s="2" t="inlineStr">
        <is>
          <t>Garnlav
Kolflarnlav
Vedskivlav
Kungsfågel
Tjäder</t>
        </is>
      </c>
      <c r="S55">
        <f>HYPERLINK("https://klasma.github.io/Logging_2039/artfynd/A 36327-2025 artfynd.xlsx", "A 36327-2025")</f>
        <v/>
      </c>
      <c r="T55">
        <f>HYPERLINK("https://klasma.github.io/Logging_2039/kartor/A 36327-2025 karta.png", "A 36327-2025")</f>
        <v/>
      </c>
      <c r="V55">
        <f>HYPERLINK("https://klasma.github.io/Logging_2039/klagomål/A 36327-2025 FSC-klagomål.docx", "A 36327-2025")</f>
        <v/>
      </c>
      <c r="W55">
        <f>HYPERLINK("https://klasma.github.io/Logging_2039/klagomålsmail/A 36327-2025 FSC-klagomål mail.docx", "A 36327-2025")</f>
        <v/>
      </c>
      <c r="X55">
        <f>HYPERLINK("https://klasma.github.io/Logging_2039/tillsyn/A 36327-2025 tillsynsbegäran.docx", "A 36327-2025")</f>
        <v/>
      </c>
      <c r="Y55">
        <f>HYPERLINK("https://klasma.github.io/Logging_2039/tillsynsmail/A 36327-2025 tillsynsbegäran mail.docx", "A 36327-2025")</f>
        <v/>
      </c>
      <c r="Z55">
        <f>HYPERLINK("https://klasma.github.io/Logging_2039/fåglar/A 36327-2025 prioriterade fågelarter.docx", "A 36327-2025")</f>
        <v/>
      </c>
    </row>
    <row r="56" ht="15" customHeight="1">
      <c r="A56" t="inlineStr">
        <is>
          <t>A 16894-2025</t>
        </is>
      </c>
      <c r="B56" s="1" t="n">
        <v>45755.33045138889</v>
      </c>
      <c r="C56" s="1" t="n">
        <v>45908</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45908</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25089-2024</t>
        </is>
      </c>
      <c r="B58" s="1" t="n">
        <v>45462.39879629629</v>
      </c>
      <c r="C58" s="1" t="n">
        <v>45908</v>
      </c>
      <c r="D58" t="inlineStr">
        <is>
          <t>DALARNAS LÄN</t>
        </is>
      </c>
      <c r="E58" t="inlineStr">
        <is>
          <t>ÄLVDALEN</t>
        </is>
      </c>
      <c r="F58" t="inlineStr">
        <is>
          <t>Sveaskog</t>
        </is>
      </c>
      <c r="G58" t="n">
        <v>3.9</v>
      </c>
      <c r="H58" t="n">
        <v>0</v>
      </c>
      <c r="I58" t="n">
        <v>1</v>
      </c>
      <c r="J58" t="n">
        <v>4</v>
      </c>
      <c r="K58" t="n">
        <v>0</v>
      </c>
      <c r="L58" t="n">
        <v>0</v>
      </c>
      <c r="M58" t="n">
        <v>0</v>
      </c>
      <c r="N58" t="n">
        <v>0</v>
      </c>
      <c r="O58" t="n">
        <v>4</v>
      </c>
      <c r="P58" t="n">
        <v>0</v>
      </c>
      <c r="Q58" t="n">
        <v>5</v>
      </c>
      <c r="R58" s="2" t="inlineStr">
        <is>
          <t>Blanksvart spiklav
Kolflarnlav
Mörk kolflarnlav
Vedflamlav
Skarp dropptaggsvamp</t>
        </is>
      </c>
      <c r="S58">
        <f>HYPERLINK("https://klasma.github.io/Logging_2039/artfynd/A 25089-2024 artfynd.xlsx", "A 25089-2024")</f>
        <v/>
      </c>
      <c r="T58">
        <f>HYPERLINK("https://klasma.github.io/Logging_2039/kartor/A 25089-2024 karta.png", "A 25089-2024")</f>
        <v/>
      </c>
      <c r="V58">
        <f>HYPERLINK("https://klasma.github.io/Logging_2039/klagomål/A 25089-2024 FSC-klagomål.docx", "A 25089-2024")</f>
        <v/>
      </c>
      <c r="W58">
        <f>HYPERLINK("https://klasma.github.io/Logging_2039/klagomålsmail/A 25089-2024 FSC-klagomål mail.docx", "A 25089-2024")</f>
        <v/>
      </c>
      <c r="X58">
        <f>HYPERLINK("https://klasma.github.io/Logging_2039/tillsyn/A 25089-2024 tillsynsbegäran.docx", "A 25089-2024")</f>
        <v/>
      </c>
      <c r="Y58">
        <f>HYPERLINK("https://klasma.github.io/Logging_2039/tillsynsmail/A 25089-2024 tillsynsbegäran mail.docx", "A 25089-2024")</f>
        <v/>
      </c>
    </row>
    <row r="59" ht="15" customHeight="1">
      <c r="A59" t="inlineStr">
        <is>
          <t>A 49053-2023</t>
        </is>
      </c>
      <c r="B59" s="1" t="n">
        <v>45210</v>
      </c>
      <c r="C59" s="1" t="n">
        <v>45908</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49052-2023</t>
        </is>
      </c>
      <c r="B60" s="1" t="n">
        <v>45210</v>
      </c>
      <c r="C60" s="1" t="n">
        <v>45908</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25090-2025</t>
        </is>
      </c>
      <c r="B61" s="1" t="n">
        <v>45800.31733796297</v>
      </c>
      <c r="C61" s="1" t="n">
        <v>45908</v>
      </c>
      <c r="D61" t="inlineStr">
        <is>
          <t>DALARNAS LÄN</t>
        </is>
      </c>
      <c r="E61" t="inlineStr">
        <is>
          <t>ÄLVDALEN</t>
        </is>
      </c>
      <c r="F61" t="inlineStr">
        <is>
          <t>Sveaskog</t>
        </is>
      </c>
      <c r="G61" t="n">
        <v>12.5</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25090-2025 artfynd.xlsx", "A 25090-2025")</f>
        <v/>
      </c>
      <c r="T61">
        <f>HYPERLINK("https://klasma.github.io/Logging_2039/kartor/A 25090-2025 karta.png", "A 25090-2025")</f>
        <v/>
      </c>
      <c r="V61">
        <f>HYPERLINK("https://klasma.github.io/Logging_2039/klagomål/A 25090-2025 FSC-klagomål.docx", "A 25090-2025")</f>
        <v/>
      </c>
      <c r="W61">
        <f>HYPERLINK("https://klasma.github.io/Logging_2039/klagomålsmail/A 25090-2025 FSC-klagomål mail.docx", "A 25090-2025")</f>
        <v/>
      </c>
      <c r="X61">
        <f>HYPERLINK("https://klasma.github.io/Logging_2039/tillsyn/A 25090-2025 tillsynsbegäran.docx", "A 25090-2025")</f>
        <v/>
      </c>
      <c r="Y61">
        <f>HYPERLINK("https://klasma.github.io/Logging_2039/tillsynsmail/A 25090-2025 tillsynsbegäran mail.docx", "A 25090-2025")</f>
        <v/>
      </c>
    </row>
    <row r="62" ht="15" customHeight="1">
      <c r="A62" t="inlineStr">
        <is>
          <t>A 32204-2024</t>
        </is>
      </c>
      <c r="B62" s="1" t="n">
        <v>45511.67277777778</v>
      </c>
      <c r="C62" s="1" t="n">
        <v>45908</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26765-2025</t>
        </is>
      </c>
      <c r="B63" s="1" t="n">
        <v>45810</v>
      </c>
      <c r="C63" s="1" t="n">
        <v>45908</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32207-2024</t>
        </is>
      </c>
      <c r="B64" s="1" t="n">
        <v>45511.67440972223</v>
      </c>
      <c r="C64" s="1" t="n">
        <v>45908</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45908</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36580-2024</t>
        </is>
      </c>
      <c r="B66" s="1" t="n">
        <v>45537.50400462963</v>
      </c>
      <c r="C66" s="1" t="n">
        <v>45908</v>
      </c>
      <c r="D66" t="inlineStr">
        <is>
          <t>DALARNAS LÄN</t>
        </is>
      </c>
      <c r="E66" t="inlineStr">
        <is>
          <t>ÄLVDALEN</t>
        </is>
      </c>
      <c r="F66" t="inlineStr">
        <is>
          <t>Sveaskog</t>
        </is>
      </c>
      <c r="G66" t="n">
        <v>4.2</v>
      </c>
      <c r="H66" t="n">
        <v>0</v>
      </c>
      <c r="I66" t="n">
        <v>0</v>
      </c>
      <c r="J66" t="n">
        <v>4</v>
      </c>
      <c r="K66" t="n">
        <v>0</v>
      </c>
      <c r="L66" t="n">
        <v>0</v>
      </c>
      <c r="M66" t="n">
        <v>0</v>
      </c>
      <c r="N66" t="n">
        <v>0</v>
      </c>
      <c r="O66" t="n">
        <v>4</v>
      </c>
      <c r="P66" t="n">
        <v>0</v>
      </c>
      <c r="Q66" t="n">
        <v>4</v>
      </c>
      <c r="R66" s="2" t="inlineStr">
        <is>
          <t>Garnlav
Kolflarnlav
Mörk kolflarnlav
Vedflamlav</t>
        </is>
      </c>
      <c r="S66">
        <f>HYPERLINK("https://klasma.github.io/Logging_2039/artfynd/A 36580-2024 artfynd.xlsx", "A 36580-2024")</f>
        <v/>
      </c>
      <c r="T66">
        <f>HYPERLINK("https://klasma.github.io/Logging_2039/kartor/A 36580-2024 karta.png", "A 36580-2024")</f>
        <v/>
      </c>
      <c r="V66">
        <f>HYPERLINK("https://klasma.github.io/Logging_2039/klagomål/A 36580-2024 FSC-klagomål.docx", "A 36580-2024")</f>
        <v/>
      </c>
      <c r="W66">
        <f>HYPERLINK("https://klasma.github.io/Logging_2039/klagomålsmail/A 36580-2024 FSC-klagomål mail.docx", "A 36580-2024")</f>
        <v/>
      </c>
      <c r="X66">
        <f>HYPERLINK("https://klasma.github.io/Logging_2039/tillsyn/A 36580-2024 tillsynsbegäran.docx", "A 36580-2024")</f>
        <v/>
      </c>
      <c r="Y66">
        <f>HYPERLINK("https://klasma.github.io/Logging_2039/tillsynsmail/A 36580-2024 tillsynsbegäran mail.docx", "A 36580-2024")</f>
        <v/>
      </c>
    </row>
    <row r="67" ht="15" customHeight="1">
      <c r="A67" t="inlineStr">
        <is>
          <t>A 38819-2024</t>
        </is>
      </c>
      <c r="B67" s="1" t="n">
        <v>45547.5541087963</v>
      </c>
      <c r="C67" s="1" t="n">
        <v>45908</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38819-2024 artfynd.xlsx", "A 38819-2024")</f>
        <v/>
      </c>
      <c r="T67">
        <f>HYPERLINK("https://klasma.github.io/Logging_2039/kartor/A 38819-2024 karta.png", "A 38819-2024")</f>
        <v/>
      </c>
      <c r="V67">
        <f>HYPERLINK("https://klasma.github.io/Logging_2039/klagomål/A 38819-2024 FSC-klagomål.docx", "A 38819-2024")</f>
        <v/>
      </c>
      <c r="W67">
        <f>HYPERLINK("https://klasma.github.io/Logging_2039/klagomålsmail/A 38819-2024 FSC-klagomål mail.docx", "A 38819-2024")</f>
        <v/>
      </c>
      <c r="X67">
        <f>HYPERLINK("https://klasma.github.io/Logging_2039/tillsyn/A 38819-2024 tillsynsbegäran.docx", "A 38819-2024")</f>
        <v/>
      </c>
      <c r="Y67">
        <f>HYPERLINK("https://klasma.github.io/Logging_2039/tillsynsmail/A 38819-2024 tillsynsbegäran mail.docx", "A 38819-2024")</f>
        <v/>
      </c>
    </row>
    <row r="68" ht="15" customHeight="1">
      <c r="A68" t="inlineStr">
        <is>
          <t>A 57505-2024</t>
        </is>
      </c>
      <c r="B68" s="1" t="n">
        <v>45630</v>
      </c>
      <c r="C68" s="1" t="n">
        <v>45908</v>
      </c>
      <c r="D68" t="inlineStr">
        <is>
          <t>DALARNAS LÄN</t>
        </is>
      </c>
      <c r="E68" t="inlineStr">
        <is>
          <t>ÄLVDALEN</t>
        </is>
      </c>
      <c r="F68" t="inlineStr">
        <is>
          <t>Allmännings- och besparingsskogar</t>
        </is>
      </c>
      <c r="G68" t="n">
        <v>2.3</v>
      </c>
      <c r="H68" t="n">
        <v>0</v>
      </c>
      <c r="I68" t="n">
        <v>2</v>
      </c>
      <c r="J68" t="n">
        <v>2</v>
      </c>
      <c r="K68" t="n">
        <v>0</v>
      </c>
      <c r="L68" t="n">
        <v>0</v>
      </c>
      <c r="M68" t="n">
        <v>0</v>
      </c>
      <c r="N68" t="n">
        <v>0</v>
      </c>
      <c r="O68" t="n">
        <v>2</v>
      </c>
      <c r="P68" t="n">
        <v>0</v>
      </c>
      <c r="Q68" t="n">
        <v>4</v>
      </c>
      <c r="R68" s="2" t="inlineStr">
        <is>
          <t>Skrovellav
Vedskivlav
Bronshjon
Vågbandad barkbock</t>
        </is>
      </c>
      <c r="S68">
        <f>HYPERLINK("https://klasma.github.io/Logging_2039/artfynd/A 57505-2024 artfynd.xlsx", "A 57505-2024")</f>
        <v/>
      </c>
      <c r="T68">
        <f>HYPERLINK("https://klasma.github.io/Logging_2039/kartor/A 57505-2024 karta.png", "A 57505-2024")</f>
        <v/>
      </c>
      <c r="V68">
        <f>HYPERLINK("https://klasma.github.io/Logging_2039/klagomål/A 57505-2024 FSC-klagomål.docx", "A 57505-2024")</f>
        <v/>
      </c>
      <c r="W68">
        <f>HYPERLINK("https://klasma.github.io/Logging_2039/klagomålsmail/A 57505-2024 FSC-klagomål mail.docx", "A 57505-2024")</f>
        <v/>
      </c>
      <c r="X68">
        <f>HYPERLINK("https://klasma.github.io/Logging_2039/tillsyn/A 57505-2024 tillsynsbegäran.docx", "A 57505-2024")</f>
        <v/>
      </c>
      <c r="Y68">
        <f>HYPERLINK("https://klasma.github.io/Logging_2039/tillsynsmail/A 57505-2024 tillsynsbegäran mail.docx", "A 57505-2024")</f>
        <v/>
      </c>
    </row>
    <row r="69" ht="15" customHeight="1">
      <c r="A69" t="inlineStr">
        <is>
          <t>A 58570-2020</t>
        </is>
      </c>
      <c r="B69" s="1" t="n">
        <v>44145</v>
      </c>
      <c r="C69" s="1" t="n">
        <v>45908</v>
      </c>
      <c r="D69" t="inlineStr">
        <is>
          <t>DALARNAS LÄN</t>
        </is>
      </c>
      <c r="E69" t="inlineStr">
        <is>
          <t>ÄLVDALEN</t>
        </is>
      </c>
      <c r="F69" t="inlineStr">
        <is>
          <t>Sveaskog</t>
        </is>
      </c>
      <c r="G69" t="n">
        <v>15.3</v>
      </c>
      <c r="H69" t="n">
        <v>0</v>
      </c>
      <c r="I69" t="n">
        <v>1</v>
      </c>
      <c r="J69" t="n">
        <v>2</v>
      </c>
      <c r="K69" t="n">
        <v>0</v>
      </c>
      <c r="L69" t="n">
        <v>0</v>
      </c>
      <c r="M69" t="n">
        <v>0</v>
      </c>
      <c r="N69" t="n">
        <v>0</v>
      </c>
      <c r="O69" t="n">
        <v>2</v>
      </c>
      <c r="P69" t="n">
        <v>0</v>
      </c>
      <c r="Q69" t="n">
        <v>3</v>
      </c>
      <c r="R69" s="2" t="inlineStr">
        <is>
          <t>Kolflarnlav
Vedflamlav
Dropptaggsvamp</t>
        </is>
      </c>
      <c r="S69">
        <f>HYPERLINK("https://klasma.github.io/Logging_2039/artfynd/A 58570-2020 artfynd.xlsx", "A 58570-2020")</f>
        <v/>
      </c>
      <c r="T69">
        <f>HYPERLINK("https://klasma.github.io/Logging_2039/kartor/A 58570-2020 karta.png", "A 58570-2020")</f>
        <v/>
      </c>
      <c r="V69">
        <f>HYPERLINK("https://klasma.github.io/Logging_2039/klagomål/A 58570-2020 FSC-klagomål.docx", "A 58570-2020")</f>
        <v/>
      </c>
      <c r="W69">
        <f>HYPERLINK("https://klasma.github.io/Logging_2039/klagomålsmail/A 58570-2020 FSC-klagomål mail.docx", "A 58570-2020")</f>
        <v/>
      </c>
      <c r="X69">
        <f>HYPERLINK("https://klasma.github.io/Logging_2039/tillsyn/A 58570-2020 tillsynsbegäran.docx", "A 58570-2020")</f>
        <v/>
      </c>
      <c r="Y69">
        <f>HYPERLINK("https://klasma.github.io/Logging_2039/tillsynsmail/A 58570-2020 tillsynsbegäran mail.docx", "A 58570-2020")</f>
        <v/>
      </c>
    </row>
    <row r="70" ht="15" customHeight="1">
      <c r="A70" t="inlineStr">
        <is>
          <t>A 22191-2025</t>
        </is>
      </c>
      <c r="B70" s="1" t="n">
        <v>45785.62809027778</v>
      </c>
      <c r="C70" s="1" t="n">
        <v>45908</v>
      </c>
      <c r="D70" t="inlineStr">
        <is>
          <t>DALARNAS LÄN</t>
        </is>
      </c>
      <c r="E70" t="inlineStr">
        <is>
          <t>ÄLVDALEN</t>
        </is>
      </c>
      <c r="F70" t="inlineStr">
        <is>
          <t>Sveaskog</t>
        </is>
      </c>
      <c r="G70" t="n">
        <v>1.7</v>
      </c>
      <c r="H70" t="n">
        <v>0</v>
      </c>
      <c r="I70" t="n">
        <v>0</v>
      </c>
      <c r="J70" t="n">
        <v>3</v>
      </c>
      <c r="K70" t="n">
        <v>0</v>
      </c>
      <c r="L70" t="n">
        <v>0</v>
      </c>
      <c r="M70" t="n">
        <v>0</v>
      </c>
      <c r="N70" t="n">
        <v>0</v>
      </c>
      <c r="O70" t="n">
        <v>3</v>
      </c>
      <c r="P70" t="n">
        <v>0</v>
      </c>
      <c r="Q70" t="n">
        <v>3</v>
      </c>
      <c r="R70" s="2" t="inlineStr">
        <is>
          <t>Kolflarnlav
Tallticka
Vedflamlav</t>
        </is>
      </c>
      <c r="S70">
        <f>HYPERLINK("https://klasma.github.io/Logging_2039/artfynd/A 22191-2025 artfynd.xlsx", "A 22191-2025")</f>
        <v/>
      </c>
      <c r="T70">
        <f>HYPERLINK("https://klasma.github.io/Logging_2039/kartor/A 22191-2025 karta.png", "A 22191-2025")</f>
        <v/>
      </c>
      <c r="V70">
        <f>HYPERLINK("https://klasma.github.io/Logging_2039/klagomål/A 22191-2025 FSC-klagomål.docx", "A 22191-2025")</f>
        <v/>
      </c>
      <c r="W70">
        <f>HYPERLINK("https://klasma.github.io/Logging_2039/klagomålsmail/A 22191-2025 FSC-klagomål mail.docx", "A 22191-2025")</f>
        <v/>
      </c>
      <c r="X70">
        <f>HYPERLINK("https://klasma.github.io/Logging_2039/tillsyn/A 22191-2025 tillsynsbegäran.docx", "A 22191-2025")</f>
        <v/>
      </c>
      <c r="Y70">
        <f>HYPERLINK("https://klasma.github.io/Logging_2039/tillsynsmail/A 22191-2025 tillsynsbegäran mail.docx", "A 22191-2025")</f>
        <v/>
      </c>
    </row>
    <row r="71" ht="15" customHeight="1">
      <c r="A71" t="inlineStr">
        <is>
          <t>A 22291-2025</t>
        </is>
      </c>
      <c r="B71" s="1" t="n">
        <v>45786.34568287037</v>
      </c>
      <c r="C71" s="1" t="n">
        <v>45908</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43740-2024</t>
        </is>
      </c>
      <c r="B72" s="1" t="n">
        <v>45569.65748842592</v>
      </c>
      <c r="C72" s="1" t="n">
        <v>45908</v>
      </c>
      <c r="D72" t="inlineStr">
        <is>
          <t>DALARNAS LÄN</t>
        </is>
      </c>
      <c r="E72" t="inlineStr">
        <is>
          <t>ÄLVDALEN</t>
        </is>
      </c>
      <c r="F72" t="inlineStr">
        <is>
          <t>Sveaskog</t>
        </is>
      </c>
      <c r="G72" t="n">
        <v>2.3</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43740-2024 artfynd.xlsx", "A 43740-2024")</f>
        <v/>
      </c>
      <c r="T72">
        <f>HYPERLINK("https://klasma.github.io/Logging_2039/kartor/A 43740-2024 karta.png", "A 43740-2024")</f>
        <v/>
      </c>
      <c r="V72">
        <f>HYPERLINK("https://klasma.github.io/Logging_2039/klagomål/A 43740-2024 FSC-klagomål.docx", "A 43740-2024")</f>
        <v/>
      </c>
      <c r="W72">
        <f>HYPERLINK("https://klasma.github.io/Logging_2039/klagomålsmail/A 43740-2024 FSC-klagomål mail.docx", "A 43740-2024")</f>
        <v/>
      </c>
      <c r="X72">
        <f>HYPERLINK("https://klasma.github.io/Logging_2039/tillsyn/A 43740-2024 tillsynsbegäran.docx", "A 43740-2024")</f>
        <v/>
      </c>
      <c r="Y72">
        <f>HYPERLINK("https://klasma.github.io/Logging_2039/tillsynsmail/A 43740-2024 tillsynsbegäran mail.docx", "A 43740-2024")</f>
        <v/>
      </c>
    </row>
    <row r="73" ht="15" customHeight="1">
      <c r="A73" t="inlineStr">
        <is>
          <t>A 32403-2023</t>
        </is>
      </c>
      <c r="B73" s="1" t="n">
        <v>45120</v>
      </c>
      <c r="C73" s="1" t="n">
        <v>45908</v>
      </c>
      <c r="D73" t="inlineStr">
        <is>
          <t>DALARNAS LÄN</t>
        </is>
      </c>
      <c r="E73" t="inlineStr">
        <is>
          <t>ÄLVDALEN</t>
        </is>
      </c>
      <c r="F73" t="inlineStr">
        <is>
          <t>Sveaskog</t>
        </is>
      </c>
      <c r="G73" t="n">
        <v>3</v>
      </c>
      <c r="H73" t="n">
        <v>0</v>
      </c>
      <c r="I73" t="n">
        <v>0</v>
      </c>
      <c r="J73" t="n">
        <v>3</v>
      </c>
      <c r="K73" t="n">
        <v>0</v>
      </c>
      <c r="L73" t="n">
        <v>0</v>
      </c>
      <c r="M73" t="n">
        <v>0</v>
      </c>
      <c r="N73" t="n">
        <v>0</v>
      </c>
      <c r="O73" t="n">
        <v>3</v>
      </c>
      <c r="P73" t="n">
        <v>0</v>
      </c>
      <c r="Q73" t="n">
        <v>3</v>
      </c>
      <c r="R73" s="2" t="inlineStr">
        <is>
          <t>Kolflarnlav
Vedflamlav
Vedskivlav</t>
        </is>
      </c>
      <c r="S73">
        <f>HYPERLINK("https://klasma.github.io/Logging_2039/artfynd/A 32403-2023 artfynd.xlsx", "A 32403-2023")</f>
        <v/>
      </c>
      <c r="T73">
        <f>HYPERLINK("https://klasma.github.io/Logging_2039/kartor/A 32403-2023 karta.png", "A 32403-2023")</f>
        <v/>
      </c>
      <c r="V73">
        <f>HYPERLINK("https://klasma.github.io/Logging_2039/klagomål/A 32403-2023 FSC-klagomål.docx", "A 32403-2023")</f>
        <v/>
      </c>
      <c r="W73">
        <f>HYPERLINK("https://klasma.github.io/Logging_2039/klagomålsmail/A 32403-2023 FSC-klagomål mail.docx", "A 32403-2023")</f>
        <v/>
      </c>
      <c r="X73">
        <f>HYPERLINK("https://klasma.github.io/Logging_2039/tillsyn/A 32403-2023 tillsynsbegäran.docx", "A 32403-2023")</f>
        <v/>
      </c>
      <c r="Y73">
        <f>HYPERLINK("https://klasma.github.io/Logging_2039/tillsynsmail/A 32403-2023 tillsynsbegäran mail.docx", "A 32403-2023")</f>
        <v/>
      </c>
    </row>
    <row r="74" ht="15" customHeight="1">
      <c r="A74" t="inlineStr">
        <is>
          <t>A 7024-2024</t>
        </is>
      </c>
      <c r="B74" s="1" t="n">
        <v>45343.57924768519</v>
      </c>
      <c r="C74" s="1" t="n">
        <v>45908</v>
      </c>
      <c r="D74" t="inlineStr">
        <is>
          <t>DALARNAS LÄN</t>
        </is>
      </c>
      <c r="E74" t="inlineStr">
        <is>
          <t>ÄLVDALEN</t>
        </is>
      </c>
      <c r="F74" t="inlineStr">
        <is>
          <t>Sveaskog</t>
        </is>
      </c>
      <c r="G74" t="n">
        <v>30.1</v>
      </c>
      <c r="H74" t="n">
        <v>0</v>
      </c>
      <c r="I74" t="n">
        <v>0</v>
      </c>
      <c r="J74" t="n">
        <v>2</v>
      </c>
      <c r="K74" t="n">
        <v>1</v>
      </c>
      <c r="L74" t="n">
        <v>0</v>
      </c>
      <c r="M74" t="n">
        <v>0</v>
      </c>
      <c r="N74" t="n">
        <v>0</v>
      </c>
      <c r="O74" t="n">
        <v>3</v>
      </c>
      <c r="P74" t="n">
        <v>1</v>
      </c>
      <c r="Q74" t="n">
        <v>3</v>
      </c>
      <c r="R74" s="2" t="inlineStr">
        <is>
          <t>Gräddporing
Nordtagging
Vaddporing</t>
        </is>
      </c>
      <c r="S74">
        <f>HYPERLINK("https://klasma.github.io/Logging_2039/artfynd/A 7024-2024 artfynd.xlsx", "A 7024-2024")</f>
        <v/>
      </c>
      <c r="T74">
        <f>HYPERLINK("https://klasma.github.io/Logging_2039/kartor/A 7024-2024 karta.png", "A 7024-2024")</f>
        <v/>
      </c>
      <c r="V74">
        <f>HYPERLINK("https://klasma.github.io/Logging_2039/klagomål/A 7024-2024 FSC-klagomål.docx", "A 7024-2024")</f>
        <v/>
      </c>
      <c r="W74">
        <f>HYPERLINK("https://klasma.github.io/Logging_2039/klagomålsmail/A 7024-2024 FSC-klagomål mail.docx", "A 7024-2024")</f>
        <v/>
      </c>
      <c r="X74">
        <f>HYPERLINK("https://klasma.github.io/Logging_2039/tillsyn/A 7024-2024 tillsynsbegäran.docx", "A 7024-2024")</f>
        <v/>
      </c>
      <c r="Y74">
        <f>HYPERLINK("https://klasma.github.io/Logging_2039/tillsynsmail/A 7024-2024 tillsynsbegäran mail.docx", "A 7024-2024")</f>
        <v/>
      </c>
    </row>
    <row r="75" ht="15" customHeight="1">
      <c r="A75" t="inlineStr">
        <is>
          <t>A 41921-2022</t>
        </is>
      </c>
      <c r="B75" s="1" t="n">
        <v>44830</v>
      </c>
      <c r="C75" s="1" t="n">
        <v>45908</v>
      </c>
      <c r="D75" t="inlineStr">
        <is>
          <t>DALARNAS LÄN</t>
        </is>
      </c>
      <c r="E75" t="inlineStr">
        <is>
          <t>ÄLVDALEN</t>
        </is>
      </c>
      <c r="F75" t="inlineStr">
        <is>
          <t>Sveaskog</t>
        </is>
      </c>
      <c r="G75" t="n">
        <v>5.4</v>
      </c>
      <c r="H75" t="n">
        <v>1</v>
      </c>
      <c r="I75" t="n">
        <v>0</v>
      </c>
      <c r="J75" t="n">
        <v>3</v>
      </c>
      <c r="K75" t="n">
        <v>0</v>
      </c>
      <c r="L75" t="n">
        <v>0</v>
      </c>
      <c r="M75" t="n">
        <v>0</v>
      </c>
      <c r="N75" t="n">
        <v>0</v>
      </c>
      <c r="O75" t="n">
        <v>3</v>
      </c>
      <c r="P75" t="n">
        <v>0</v>
      </c>
      <c r="Q75" t="n">
        <v>3</v>
      </c>
      <c r="R75" s="2" t="inlineStr">
        <is>
          <t>Blågrå svartspik
Tretåig hackspett
Vedskivlav</t>
        </is>
      </c>
      <c r="S75">
        <f>HYPERLINK("https://klasma.github.io/Logging_2039/artfynd/A 41921-2022 artfynd.xlsx", "A 41921-2022")</f>
        <v/>
      </c>
      <c r="T75">
        <f>HYPERLINK("https://klasma.github.io/Logging_2039/kartor/A 41921-2022 karta.png", "A 41921-2022")</f>
        <v/>
      </c>
      <c r="V75">
        <f>HYPERLINK("https://klasma.github.io/Logging_2039/klagomål/A 41921-2022 FSC-klagomål.docx", "A 41921-2022")</f>
        <v/>
      </c>
      <c r="W75">
        <f>HYPERLINK("https://klasma.github.io/Logging_2039/klagomålsmail/A 41921-2022 FSC-klagomål mail.docx", "A 41921-2022")</f>
        <v/>
      </c>
      <c r="X75">
        <f>HYPERLINK("https://klasma.github.io/Logging_2039/tillsyn/A 41921-2022 tillsynsbegäran.docx", "A 41921-2022")</f>
        <v/>
      </c>
      <c r="Y75">
        <f>HYPERLINK("https://klasma.github.io/Logging_2039/tillsynsmail/A 41921-2022 tillsynsbegäran mail.docx", "A 41921-2022")</f>
        <v/>
      </c>
      <c r="Z75">
        <f>HYPERLINK("https://klasma.github.io/Logging_2039/fåglar/A 41921-2022 prioriterade fågelarter.docx", "A 41921-2022")</f>
        <v/>
      </c>
    </row>
    <row r="76" ht="15" customHeight="1">
      <c r="A76" t="inlineStr">
        <is>
          <t>A 35141-2023</t>
        </is>
      </c>
      <c r="B76" s="1" t="n">
        <v>45145</v>
      </c>
      <c r="C76" s="1" t="n">
        <v>45908</v>
      </c>
      <c r="D76" t="inlineStr">
        <is>
          <t>DALARNAS LÄN</t>
        </is>
      </c>
      <c r="E76" t="inlineStr">
        <is>
          <t>ÄLVDALEN</t>
        </is>
      </c>
      <c r="F76" t="inlineStr">
        <is>
          <t>Sveaskog</t>
        </is>
      </c>
      <c r="G76" t="n">
        <v>1.8</v>
      </c>
      <c r="H76" t="n">
        <v>1</v>
      </c>
      <c r="I76" t="n">
        <v>0</v>
      </c>
      <c r="J76" t="n">
        <v>3</v>
      </c>
      <c r="K76" t="n">
        <v>0</v>
      </c>
      <c r="L76" t="n">
        <v>0</v>
      </c>
      <c r="M76" t="n">
        <v>0</v>
      </c>
      <c r="N76" t="n">
        <v>0</v>
      </c>
      <c r="O76" t="n">
        <v>3</v>
      </c>
      <c r="P76" t="n">
        <v>0</v>
      </c>
      <c r="Q76" t="n">
        <v>3</v>
      </c>
      <c r="R76" s="2" t="inlineStr">
        <is>
          <t>Garnlav
Kolflarnlav
Varglav</t>
        </is>
      </c>
      <c r="S76">
        <f>HYPERLINK("https://klasma.github.io/Logging_2039/artfynd/A 35141-2023 artfynd.xlsx", "A 35141-2023")</f>
        <v/>
      </c>
      <c r="T76">
        <f>HYPERLINK("https://klasma.github.io/Logging_2039/kartor/A 35141-2023 karta.png", "A 35141-2023")</f>
        <v/>
      </c>
      <c r="V76">
        <f>HYPERLINK("https://klasma.github.io/Logging_2039/klagomål/A 35141-2023 FSC-klagomål.docx", "A 35141-2023")</f>
        <v/>
      </c>
      <c r="W76">
        <f>HYPERLINK("https://klasma.github.io/Logging_2039/klagomålsmail/A 35141-2023 FSC-klagomål mail.docx", "A 35141-2023")</f>
        <v/>
      </c>
      <c r="X76">
        <f>HYPERLINK("https://klasma.github.io/Logging_2039/tillsyn/A 35141-2023 tillsynsbegäran.docx", "A 35141-2023")</f>
        <v/>
      </c>
      <c r="Y76">
        <f>HYPERLINK("https://klasma.github.io/Logging_2039/tillsynsmail/A 35141-2023 tillsynsbegäran mail.docx", "A 35141-2023")</f>
        <v/>
      </c>
    </row>
    <row r="77" ht="15" customHeight="1">
      <c r="A77" t="inlineStr">
        <is>
          <t>A 18839-2024</t>
        </is>
      </c>
      <c r="B77" s="1" t="n">
        <v>45426</v>
      </c>
      <c r="C77" s="1" t="n">
        <v>45908</v>
      </c>
      <c r="D77" t="inlineStr">
        <is>
          <t>DALARNAS LÄN</t>
        </is>
      </c>
      <c r="E77" t="inlineStr">
        <is>
          <t>ÄLVDALEN</t>
        </is>
      </c>
      <c r="F77" t="inlineStr">
        <is>
          <t>Sveaskog</t>
        </is>
      </c>
      <c r="G77" t="n">
        <v>1.3</v>
      </c>
      <c r="H77" t="n">
        <v>0</v>
      </c>
      <c r="I77" t="n">
        <v>1</v>
      </c>
      <c r="J77" t="n">
        <v>2</v>
      </c>
      <c r="K77" t="n">
        <v>0</v>
      </c>
      <c r="L77" t="n">
        <v>0</v>
      </c>
      <c r="M77" t="n">
        <v>0</v>
      </c>
      <c r="N77" t="n">
        <v>0</v>
      </c>
      <c r="O77" t="n">
        <v>2</v>
      </c>
      <c r="P77" t="n">
        <v>0</v>
      </c>
      <c r="Q77" t="n">
        <v>3</v>
      </c>
      <c r="R77" s="2" t="inlineStr">
        <is>
          <t>Kolflarnlav
Vedflamlav
Dropptaggsvamp</t>
        </is>
      </c>
      <c r="S77">
        <f>HYPERLINK("https://klasma.github.io/Logging_2039/artfynd/A 18839-2024 artfynd.xlsx", "A 18839-2024")</f>
        <v/>
      </c>
      <c r="T77">
        <f>HYPERLINK("https://klasma.github.io/Logging_2039/kartor/A 18839-2024 karta.png", "A 18839-2024")</f>
        <v/>
      </c>
      <c r="V77">
        <f>HYPERLINK("https://klasma.github.io/Logging_2039/klagomål/A 18839-2024 FSC-klagomål.docx", "A 18839-2024")</f>
        <v/>
      </c>
      <c r="W77">
        <f>HYPERLINK("https://klasma.github.io/Logging_2039/klagomålsmail/A 18839-2024 FSC-klagomål mail.docx", "A 18839-2024")</f>
        <v/>
      </c>
      <c r="X77">
        <f>HYPERLINK("https://klasma.github.io/Logging_2039/tillsyn/A 18839-2024 tillsynsbegäran.docx", "A 18839-2024")</f>
        <v/>
      </c>
      <c r="Y77">
        <f>HYPERLINK("https://klasma.github.io/Logging_2039/tillsynsmail/A 18839-2024 tillsynsbegäran mail.docx", "A 18839-2024")</f>
        <v/>
      </c>
    </row>
    <row r="78" ht="15" customHeight="1">
      <c r="A78" t="inlineStr">
        <is>
          <t>A 26751-2025</t>
        </is>
      </c>
      <c r="B78" s="1" t="n">
        <v>45810.55134259259</v>
      </c>
      <c r="C78" s="1" t="n">
        <v>45908</v>
      </c>
      <c r="D78" t="inlineStr">
        <is>
          <t>DALARNAS LÄN</t>
        </is>
      </c>
      <c r="E78" t="inlineStr">
        <is>
          <t>ÄLVDALEN</t>
        </is>
      </c>
      <c r="F78" t="inlineStr">
        <is>
          <t>Allmännings- och besparingsskogar</t>
        </is>
      </c>
      <c r="G78" t="n">
        <v>3.6</v>
      </c>
      <c r="H78" t="n">
        <v>1</v>
      </c>
      <c r="I78" t="n">
        <v>1</v>
      </c>
      <c r="J78" t="n">
        <v>2</v>
      </c>
      <c r="K78" t="n">
        <v>0</v>
      </c>
      <c r="L78" t="n">
        <v>0</v>
      </c>
      <c r="M78" t="n">
        <v>0</v>
      </c>
      <c r="N78" t="n">
        <v>0</v>
      </c>
      <c r="O78" t="n">
        <v>2</v>
      </c>
      <c r="P78" t="n">
        <v>0</v>
      </c>
      <c r="Q78" t="n">
        <v>3</v>
      </c>
      <c r="R78" s="2" t="inlineStr">
        <is>
          <t>Garnlav
Skrovellav
Spindelblomster</t>
        </is>
      </c>
      <c r="S78">
        <f>HYPERLINK("https://klasma.github.io/Logging_2039/artfynd/A 26751-2025 artfynd.xlsx", "A 26751-2025")</f>
        <v/>
      </c>
      <c r="T78">
        <f>HYPERLINK("https://klasma.github.io/Logging_2039/kartor/A 26751-2025 karta.png", "A 26751-2025")</f>
        <v/>
      </c>
      <c r="V78">
        <f>HYPERLINK("https://klasma.github.io/Logging_2039/klagomål/A 26751-2025 FSC-klagomål.docx", "A 26751-2025")</f>
        <v/>
      </c>
      <c r="W78">
        <f>HYPERLINK("https://klasma.github.io/Logging_2039/klagomålsmail/A 26751-2025 FSC-klagomål mail.docx", "A 26751-2025")</f>
        <v/>
      </c>
      <c r="X78">
        <f>HYPERLINK("https://klasma.github.io/Logging_2039/tillsyn/A 26751-2025 tillsynsbegäran.docx", "A 26751-2025")</f>
        <v/>
      </c>
      <c r="Y78">
        <f>HYPERLINK("https://klasma.github.io/Logging_2039/tillsynsmail/A 26751-2025 tillsynsbegäran mail.docx", "A 26751-2025")</f>
        <v/>
      </c>
    </row>
    <row r="79" ht="15" customHeight="1">
      <c r="A79" t="inlineStr">
        <is>
          <t>A 27933-2025</t>
        </is>
      </c>
      <c r="B79" s="1" t="n">
        <v>45817.49630787037</v>
      </c>
      <c r="C79" s="1" t="n">
        <v>45908</v>
      </c>
      <c r="D79" t="inlineStr">
        <is>
          <t>DALARNAS LÄN</t>
        </is>
      </c>
      <c r="E79" t="inlineStr">
        <is>
          <t>ÄLVDALEN</t>
        </is>
      </c>
      <c r="F79" t="inlineStr">
        <is>
          <t>Sveaskog</t>
        </is>
      </c>
      <c r="G79" t="n">
        <v>2.5</v>
      </c>
      <c r="H79" t="n">
        <v>0</v>
      </c>
      <c r="I79" t="n">
        <v>0</v>
      </c>
      <c r="J79" t="n">
        <v>3</v>
      </c>
      <c r="K79" t="n">
        <v>0</v>
      </c>
      <c r="L79" t="n">
        <v>0</v>
      </c>
      <c r="M79" t="n">
        <v>0</v>
      </c>
      <c r="N79" t="n">
        <v>0</v>
      </c>
      <c r="O79" t="n">
        <v>3</v>
      </c>
      <c r="P79" t="n">
        <v>0</v>
      </c>
      <c r="Q79" t="n">
        <v>3</v>
      </c>
      <c r="R79" s="2" t="inlineStr">
        <is>
          <t>Kolflarnlav
Mörk kolflarnlav
Vedflamlav</t>
        </is>
      </c>
      <c r="S79">
        <f>HYPERLINK("https://klasma.github.io/Logging_2039/artfynd/A 27933-2025 artfynd.xlsx", "A 27933-2025")</f>
        <v/>
      </c>
      <c r="T79">
        <f>HYPERLINK("https://klasma.github.io/Logging_2039/kartor/A 27933-2025 karta.png", "A 27933-2025")</f>
        <v/>
      </c>
      <c r="V79">
        <f>HYPERLINK("https://klasma.github.io/Logging_2039/klagomål/A 27933-2025 FSC-klagomål.docx", "A 27933-2025")</f>
        <v/>
      </c>
      <c r="W79">
        <f>HYPERLINK("https://klasma.github.io/Logging_2039/klagomålsmail/A 27933-2025 FSC-klagomål mail.docx", "A 27933-2025")</f>
        <v/>
      </c>
      <c r="X79">
        <f>HYPERLINK("https://klasma.github.io/Logging_2039/tillsyn/A 27933-2025 tillsynsbegäran.docx", "A 27933-2025")</f>
        <v/>
      </c>
      <c r="Y79">
        <f>HYPERLINK("https://klasma.github.io/Logging_2039/tillsynsmail/A 27933-2025 tillsynsbegäran mail.docx", "A 27933-2025")</f>
        <v/>
      </c>
    </row>
    <row r="80" ht="15" customHeight="1">
      <c r="A80" t="inlineStr">
        <is>
          <t>A 33645-2025</t>
        </is>
      </c>
      <c r="B80" s="1" t="n">
        <v>45841.65282407407</v>
      </c>
      <c r="C80" s="1" t="n">
        <v>45908</v>
      </c>
      <c r="D80" t="inlineStr">
        <is>
          <t>DALARNAS LÄN</t>
        </is>
      </c>
      <c r="E80" t="inlineStr">
        <is>
          <t>ÄLVDALEN</t>
        </is>
      </c>
      <c r="F80" t="inlineStr">
        <is>
          <t>Sveaskog</t>
        </is>
      </c>
      <c r="G80" t="n">
        <v>1.6</v>
      </c>
      <c r="H80" t="n">
        <v>0</v>
      </c>
      <c r="I80" t="n">
        <v>0</v>
      </c>
      <c r="J80" t="n">
        <v>3</v>
      </c>
      <c r="K80" t="n">
        <v>0</v>
      </c>
      <c r="L80" t="n">
        <v>0</v>
      </c>
      <c r="M80" t="n">
        <v>0</v>
      </c>
      <c r="N80" t="n">
        <v>0</v>
      </c>
      <c r="O80" t="n">
        <v>3</v>
      </c>
      <c r="P80" t="n">
        <v>0</v>
      </c>
      <c r="Q80" t="n">
        <v>3</v>
      </c>
      <c r="R80" s="2" t="inlineStr">
        <is>
          <t>Dvärgbägarlav
Kolflarnlav
Vedflamlav</t>
        </is>
      </c>
      <c r="S80">
        <f>HYPERLINK("https://klasma.github.io/Logging_2039/artfynd/A 33645-2025 artfynd.xlsx", "A 33645-2025")</f>
        <v/>
      </c>
      <c r="T80">
        <f>HYPERLINK("https://klasma.github.io/Logging_2039/kartor/A 33645-2025 karta.png", "A 33645-2025")</f>
        <v/>
      </c>
      <c r="V80">
        <f>HYPERLINK("https://klasma.github.io/Logging_2039/klagomål/A 33645-2025 FSC-klagomål.docx", "A 33645-2025")</f>
        <v/>
      </c>
      <c r="W80">
        <f>HYPERLINK("https://klasma.github.io/Logging_2039/klagomålsmail/A 33645-2025 FSC-klagomål mail.docx", "A 33645-2025")</f>
        <v/>
      </c>
      <c r="X80">
        <f>HYPERLINK("https://klasma.github.io/Logging_2039/tillsyn/A 33645-2025 tillsynsbegäran.docx", "A 33645-2025")</f>
        <v/>
      </c>
      <c r="Y80">
        <f>HYPERLINK("https://klasma.github.io/Logging_2039/tillsynsmail/A 33645-2025 tillsynsbegäran mail.docx", "A 33645-2025")</f>
        <v/>
      </c>
    </row>
    <row r="81" ht="15" customHeight="1">
      <c r="A81" t="inlineStr">
        <is>
          <t>A 41909-2022</t>
        </is>
      </c>
      <c r="B81" s="1" t="n">
        <v>44830</v>
      </c>
      <c r="C81" s="1" t="n">
        <v>45908</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41782-2025</t>
        </is>
      </c>
      <c r="B82" s="1" t="n">
        <v>45902.58693287037</v>
      </c>
      <c r="C82" s="1" t="n">
        <v>45908</v>
      </c>
      <c r="D82" t="inlineStr">
        <is>
          <t>DALARNAS LÄN</t>
        </is>
      </c>
      <c r="E82" t="inlineStr">
        <is>
          <t>ÄLVDALEN</t>
        </is>
      </c>
      <c r="F82" t="inlineStr">
        <is>
          <t>Sveaskog</t>
        </is>
      </c>
      <c r="G82" t="n">
        <v>22.8</v>
      </c>
      <c r="H82" t="n">
        <v>2</v>
      </c>
      <c r="I82" t="n">
        <v>2</v>
      </c>
      <c r="J82" t="n">
        <v>1</v>
      </c>
      <c r="K82" t="n">
        <v>0</v>
      </c>
      <c r="L82" t="n">
        <v>0</v>
      </c>
      <c r="M82" t="n">
        <v>0</v>
      </c>
      <c r="N82" t="n">
        <v>0</v>
      </c>
      <c r="O82" t="n">
        <v>1</v>
      </c>
      <c r="P82" t="n">
        <v>0</v>
      </c>
      <c r="Q82" t="n">
        <v>3</v>
      </c>
      <c r="R82" s="2" t="inlineStr">
        <is>
          <t>Talltita
Dropptaggsvamp
Plattlummer</t>
        </is>
      </c>
      <c r="S82">
        <f>HYPERLINK("https://klasma.github.io/Logging_2039/artfynd/A 41782-2025 artfynd.xlsx", "A 41782-2025")</f>
        <v/>
      </c>
      <c r="T82">
        <f>HYPERLINK("https://klasma.github.io/Logging_2039/kartor/A 41782-2025 karta.png", "A 41782-2025")</f>
        <v/>
      </c>
      <c r="V82">
        <f>HYPERLINK("https://klasma.github.io/Logging_2039/klagomål/A 41782-2025 FSC-klagomål.docx", "A 41782-2025")</f>
        <v/>
      </c>
      <c r="W82">
        <f>HYPERLINK("https://klasma.github.io/Logging_2039/klagomålsmail/A 41782-2025 FSC-klagomål mail.docx", "A 41782-2025")</f>
        <v/>
      </c>
      <c r="X82">
        <f>HYPERLINK("https://klasma.github.io/Logging_2039/tillsyn/A 41782-2025 tillsynsbegäran.docx", "A 41782-2025")</f>
        <v/>
      </c>
      <c r="Y82">
        <f>HYPERLINK("https://klasma.github.io/Logging_2039/tillsynsmail/A 41782-2025 tillsynsbegäran mail.docx", "A 41782-2025")</f>
        <v/>
      </c>
      <c r="Z82">
        <f>HYPERLINK("https://klasma.github.io/Logging_2039/fåglar/A 41782-2025 prioriterade fågelarter.docx", "A 41782-2025")</f>
        <v/>
      </c>
    </row>
    <row r="83" ht="15" customHeight="1">
      <c r="A83" t="inlineStr">
        <is>
          <t>A 51732-2021</t>
        </is>
      </c>
      <c r="B83" s="1" t="n">
        <v>44461</v>
      </c>
      <c r="C83" s="1" t="n">
        <v>45908</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44128-2023</t>
        </is>
      </c>
      <c r="B84" s="1" t="n">
        <v>45188.45712962963</v>
      </c>
      <c r="C84" s="1" t="n">
        <v>45908</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31057-2024</t>
        </is>
      </c>
      <c r="B85" s="1" t="n">
        <v>45502.37813657407</v>
      </c>
      <c r="C85" s="1" t="n">
        <v>45908</v>
      </c>
      <c r="D85" t="inlineStr">
        <is>
          <t>DALARNAS LÄN</t>
        </is>
      </c>
      <c r="E85" t="inlineStr">
        <is>
          <t>ÄLVDALEN</t>
        </is>
      </c>
      <c r="F85" t="inlineStr">
        <is>
          <t>Sveaskog</t>
        </is>
      </c>
      <c r="G85" t="n">
        <v>2.4</v>
      </c>
      <c r="H85" t="n">
        <v>0</v>
      </c>
      <c r="I85" t="n">
        <v>1</v>
      </c>
      <c r="J85" t="n">
        <v>2</v>
      </c>
      <c r="K85" t="n">
        <v>0</v>
      </c>
      <c r="L85" t="n">
        <v>0</v>
      </c>
      <c r="M85" t="n">
        <v>0</v>
      </c>
      <c r="N85" t="n">
        <v>0</v>
      </c>
      <c r="O85" t="n">
        <v>2</v>
      </c>
      <c r="P85" t="n">
        <v>0</v>
      </c>
      <c r="Q85" t="n">
        <v>3</v>
      </c>
      <c r="R85" s="2" t="inlineStr">
        <is>
          <t>Blå taggsvamp
Kolflarnlav
Skarp dropptaggsvamp</t>
        </is>
      </c>
      <c r="S85">
        <f>HYPERLINK("https://klasma.github.io/Logging_2039/artfynd/A 31057-2024 artfynd.xlsx", "A 31057-2024")</f>
        <v/>
      </c>
      <c r="T85">
        <f>HYPERLINK("https://klasma.github.io/Logging_2039/kartor/A 31057-2024 karta.png", "A 31057-2024")</f>
        <v/>
      </c>
      <c r="V85">
        <f>HYPERLINK("https://klasma.github.io/Logging_2039/klagomål/A 31057-2024 FSC-klagomål.docx", "A 31057-2024")</f>
        <v/>
      </c>
      <c r="W85">
        <f>HYPERLINK("https://klasma.github.io/Logging_2039/klagomålsmail/A 31057-2024 FSC-klagomål mail.docx", "A 31057-2024")</f>
        <v/>
      </c>
      <c r="X85">
        <f>HYPERLINK("https://klasma.github.io/Logging_2039/tillsyn/A 31057-2024 tillsynsbegäran.docx", "A 31057-2024")</f>
        <v/>
      </c>
      <c r="Y85">
        <f>HYPERLINK("https://klasma.github.io/Logging_2039/tillsynsmail/A 31057-2024 tillsynsbegäran mail.docx", "A 31057-2024")</f>
        <v/>
      </c>
    </row>
    <row r="86" ht="15" customHeight="1">
      <c r="A86" t="inlineStr">
        <is>
          <t>A 67709-2021</t>
        </is>
      </c>
      <c r="B86" s="1" t="n">
        <v>44525</v>
      </c>
      <c r="C86" s="1" t="n">
        <v>45908</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45908</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45908</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45908</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45908</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21629-2022</t>
        </is>
      </c>
      <c r="B91" s="1" t="n">
        <v>44706</v>
      </c>
      <c r="C91" s="1" t="n">
        <v>45908</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40231-2021</t>
        </is>
      </c>
      <c r="B92" s="1" t="n">
        <v>44419.31553240741</v>
      </c>
      <c r="C92" s="1" t="n">
        <v>45908</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32206-2024</t>
        </is>
      </c>
      <c r="B93" s="1" t="n">
        <v>45511.67366898148</v>
      </c>
      <c r="C93" s="1" t="n">
        <v>45908</v>
      </c>
      <c r="D93" t="inlineStr">
        <is>
          <t>DALARNAS LÄN</t>
        </is>
      </c>
      <c r="E93" t="inlineStr">
        <is>
          <t>ÄLVDALEN</t>
        </is>
      </c>
      <c r="F93" t="inlineStr">
        <is>
          <t>Sveaskog</t>
        </is>
      </c>
      <c r="G93" t="n">
        <v>8.1</v>
      </c>
      <c r="H93" t="n">
        <v>0</v>
      </c>
      <c r="I93" t="n">
        <v>0</v>
      </c>
      <c r="J93" t="n">
        <v>2</v>
      </c>
      <c r="K93" t="n">
        <v>0</v>
      </c>
      <c r="L93" t="n">
        <v>0</v>
      </c>
      <c r="M93" t="n">
        <v>0</v>
      </c>
      <c r="N93" t="n">
        <v>0</v>
      </c>
      <c r="O93" t="n">
        <v>2</v>
      </c>
      <c r="P93" t="n">
        <v>0</v>
      </c>
      <c r="Q93" t="n">
        <v>2</v>
      </c>
      <c r="R93" s="2" t="inlineStr">
        <is>
          <t>Blanksvart spiklav
Dvärgbägarlav</t>
        </is>
      </c>
      <c r="S93">
        <f>HYPERLINK("https://klasma.github.io/Logging_2039/artfynd/A 32206-2024 artfynd.xlsx", "A 32206-2024")</f>
        <v/>
      </c>
      <c r="T93">
        <f>HYPERLINK("https://klasma.github.io/Logging_2039/kartor/A 32206-2024 karta.png", "A 32206-2024")</f>
        <v/>
      </c>
      <c r="V93">
        <f>HYPERLINK("https://klasma.github.io/Logging_2039/klagomål/A 32206-2024 FSC-klagomål.docx", "A 32206-2024")</f>
        <v/>
      </c>
      <c r="W93">
        <f>HYPERLINK("https://klasma.github.io/Logging_2039/klagomålsmail/A 32206-2024 FSC-klagomål mail.docx", "A 32206-2024")</f>
        <v/>
      </c>
      <c r="X93">
        <f>HYPERLINK("https://klasma.github.io/Logging_2039/tillsyn/A 32206-2024 tillsynsbegäran.docx", "A 32206-2024")</f>
        <v/>
      </c>
      <c r="Y93">
        <f>HYPERLINK("https://klasma.github.io/Logging_2039/tillsynsmail/A 32206-2024 tillsynsbegäran mail.docx", "A 32206-2024")</f>
        <v/>
      </c>
    </row>
    <row r="94" ht="15" customHeight="1">
      <c r="A94" t="inlineStr">
        <is>
          <t>A 27937-2025</t>
        </is>
      </c>
      <c r="B94" s="1" t="n">
        <v>45817.50025462963</v>
      </c>
      <c r="C94" s="1" t="n">
        <v>45908</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45908</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54632-2021</t>
        </is>
      </c>
      <c r="B96" s="1" t="n">
        <v>44473</v>
      </c>
      <c r="C96" s="1" t="n">
        <v>45908</v>
      </c>
      <c r="D96" t="inlineStr">
        <is>
          <t>DALARNAS LÄN</t>
        </is>
      </c>
      <c r="E96" t="inlineStr">
        <is>
          <t>ÄLVDALEN</t>
        </is>
      </c>
      <c r="G96" t="n">
        <v>4.3</v>
      </c>
      <c r="H96" t="n">
        <v>1</v>
      </c>
      <c r="I96" t="n">
        <v>0</v>
      </c>
      <c r="J96" t="n">
        <v>2</v>
      </c>
      <c r="K96" t="n">
        <v>0</v>
      </c>
      <c r="L96" t="n">
        <v>0</v>
      </c>
      <c r="M96" t="n">
        <v>0</v>
      </c>
      <c r="N96" t="n">
        <v>0</v>
      </c>
      <c r="O96" t="n">
        <v>2</v>
      </c>
      <c r="P96" t="n">
        <v>0</v>
      </c>
      <c r="Q96" t="n">
        <v>2</v>
      </c>
      <c r="R96" s="2" t="inlineStr">
        <is>
          <t>Varglav
Vedflamlav</t>
        </is>
      </c>
      <c r="S96">
        <f>HYPERLINK("https://klasma.github.io/Logging_2039/artfynd/A 54632-2021 artfynd.xlsx", "A 54632-2021")</f>
        <v/>
      </c>
      <c r="T96">
        <f>HYPERLINK("https://klasma.github.io/Logging_2039/kartor/A 54632-2021 karta.png", "A 54632-2021")</f>
        <v/>
      </c>
      <c r="V96">
        <f>HYPERLINK("https://klasma.github.io/Logging_2039/klagomål/A 54632-2021 FSC-klagomål.docx", "A 54632-2021")</f>
        <v/>
      </c>
      <c r="W96">
        <f>HYPERLINK("https://klasma.github.io/Logging_2039/klagomålsmail/A 54632-2021 FSC-klagomål mail.docx", "A 54632-2021")</f>
        <v/>
      </c>
      <c r="X96">
        <f>HYPERLINK("https://klasma.github.io/Logging_2039/tillsyn/A 54632-2021 tillsynsbegäran.docx", "A 54632-2021")</f>
        <v/>
      </c>
      <c r="Y96">
        <f>HYPERLINK("https://klasma.github.io/Logging_2039/tillsynsmail/A 54632-2021 tillsynsbegäran mail.docx", "A 54632-2021")</f>
        <v/>
      </c>
    </row>
    <row r="97" ht="15" customHeight="1">
      <c r="A97" t="inlineStr">
        <is>
          <t>A 59429-2024</t>
        </is>
      </c>
      <c r="B97" s="1" t="n">
        <v>45638.42091435185</v>
      </c>
      <c r="C97" s="1" t="n">
        <v>45908</v>
      </c>
      <c r="D97" t="inlineStr">
        <is>
          <t>DALARNAS LÄN</t>
        </is>
      </c>
      <c r="E97" t="inlineStr">
        <is>
          <t>ÄLVDALEN</t>
        </is>
      </c>
      <c r="F97" t="inlineStr">
        <is>
          <t>Allmännings- och besparingsskogar</t>
        </is>
      </c>
      <c r="G97" t="n">
        <v>4.9</v>
      </c>
      <c r="H97" t="n">
        <v>0</v>
      </c>
      <c r="I97" t="n">
        <v>0</v>
      </c>
      <c r="J97" t="n">
        <v>2</v>
      </c>
      <c r="K97" t="n">
        <v>0</v>
      </c>
      <c r="L97" t="n">
        <v>0</v>
      </c>
      <c r="M97" t="n">
        <v>0</v>
      </c>
      <c r="N97" t="n">
        <v>0</v>
      </c>
      <c r="O97" t="n">
        <v>2</v>
      </c>
      <c r="P97" t="n">
        <v>0</v>
      </c>
      <c r="Q97" t="n">
        <v>2</v>
      </c>
      <c r="R97" s="2" t="inlineStr">
        <is>
          <t>Garnlav
Skrovellav</t>
        </is>
      </c>
      <c r="S97">
        <f>HYPERLINK("https://klasma.github.io/Logging_2039/artfynd/A 59429-2024 artfynd.xlsx", "A 59429-2024")</f>
        <v/>
      </c>
      <c r="T97">
        <f>HYPERLINK("https://klasma.github.io/Logging_2039/kartor/A 59429-2024 karta.png", "A 59429-2024")</f>
        <v/>
      </c>
      <c r="V97">
        <f>HYPERLINK("https://klasma.github.io/Logging_2039/klagomål/A 59429-2024 FSC-klagomål.docx", "A 59429-2024")</f>
        <v/>
      </c>
      <c r="W97">
        <f>HYPERLINK("https://klasma.github.io/Logging_2039/klagomålsmail/A 59429-2024 FSC-klagomål mail.docx", "A 59429-2024")</f>
        <v/>
      </c>
      <c r="X97">
        <f>HYPERLINK("https://klasma.github.io/Logging_2039/tillsyn/A 59429-2024 tillsynsbegäran.docx", "A 59429-2024")</f>
        <v/>
      </c>
      <c r="Y97">
        <f>HYPERLINK("https://klasma.github.io/Logging_2039/tillsynsmail/A 59429-2024 tillsynsbegäran mail.docx", "A 59429-2024")</f>
        <v/>
      </c>
    </row>
    <row r="98" ht="15" customHeight="1">
      <c r="A98" t="inlineStr">
        <is>
          <t>A 42848-2023</t>
        </is>
      </c>
      <c r="B98" s="1" t="n">
        <v>45182</v>
      </c>
      <c r="C98" s="1" t="n">
        <v>45908</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52490-2022</t>
        </is>
      </c>
      <c r="B99" s="1" t="n">
        <v>44874</v>
      </c>
      <c r="C99" s="1" t="n">
        <v>45908</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27967-2023</t>
        </is>
      </c>
      <c r="B100" s="1" t="n">
        <v>45098.70354166667</v>
      </c>
      <c r="C100" s="1" t="n">
        <v>45908</v>
      </c>
      <c r="D100" t="inlineStr">
        <is>
          <t>DALARNAS LÄN</t>
        </is>
      </c>
      <c r="E100" t="inlineStr">
        <is>
          <t>ÄLVDALEN</t>
        </is>
      </c>
      <c r="F100" t="inlineStr">
        <is>
          <t>Sveaskog</t>
        </is>
      </c>
      <c r="G100" t="n">
        <v>1.9</v>
      </c>
      <c r="H100" t="n">
        <v>0</v>
      </c>
      <c r="I100" t="n">
        <v>0</v>
      </c>
      <c r="J100" t="n">
        <v>2</v>
      </c>
      <c r="K100" t="n">
        <v>0</v>
      </c>
      <c r="L100" t="n">
        <v>0</v>
      </c>
      <c r="M100" t="n">
        <v>0</v>
      </c>
      <c r="N100" t="n">
        <v>0</v>
      </c>
      <c r="O100" t="n">
        <v>2</v>
      </c>
      <c r="P100" t="n">
        <v>0</v>
      </c>
      <c r="Q100" t="n">
        <v>2</v>
      </c>
      <c r="R100" s="2" t="inlineStr">
        <is>
          <t>Kolflarnlav
Mörk kolflarnlav</t>
        </is>
      </c>
      <c r="S100">
        <f>HYPERLINK("https://klasma.github.io/Logging_2039/artfynd/A 27967-2023 artfynd.xlsx", "A 27967-2023")</f>
        <v/>
      </c>
      <c r="T100">
        <f>HYPERLINK("https://klasma.github.io/Logging_2039/kartor/A 27967-2023 karta.png", "A 27967-2023")</f>
        <v/>
      </c>
      <c r="V100">
        <f>HYPERLINK("https://klasma.github.io/Logging_2039/klagomål/A 27967-2023 FSC-klagomål.docx", "A 27967-2023")</f>
        <v/>
      </c>
      <c r="W100">
        <f>HYPERLINK("https://klasma.github.io/Logging_2039/klagomålsmail/A 27967-2023 FSC-klagomål mail.docx", "A 27967-2023")</f>
        <v/>
      </c>
      <c r="X100">
        <f>HYPERLINK("https://klasma.github.io/Logging_2039/tillsyn/A 27967-2023 tillsynsbegäran.docx", "A 27967-2023")</f>
        <v/>
      </c>
      <c r="Y100">
        <f>HYPERLINK("https://klasma.github.io/Logging_2039/tillsynsmail/A 27967-2023 tillsynsbegäran mail.docx", "A 27967-2023")</f>
        <v/>
      </c>
    </row>
    <row r="101" ht="15" customHeight="1">
      <c r="A101" t="inlineStr">
        <is>
          <t>A 31761-2021</t>
        </is>
      </c>
      <c r="B101" s="1" t="n">
        <v>44370</v>
      </c>
      <c r="C101" s="1" t="n">
        <v>45908</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45908</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45908</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45908</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45908</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45908</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45908</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24847-2021</t>
        </is>
      </c>
      <c r="B108" s="1" t="n">
        <v>44340</v>
      </c>
      <c r="C108" s="1" t="n">
        <v>45908</v>
      </c>
      <c r="D108" t="inlineStr">
        <is>
          <t>DALARNAS LÄN</t>
        </is>
      </c>
      <c r="E108" t="inlineStr">
        <is>
          <t>ÄLVDALEN</t>
        </is>
      </c>
      <c r="F108" t="inlineStr">
        <is>
          <t>Sveaskog</t>
        </is>
      </c>
      <c r="G108" t="n">
        <v>7.1</v>
      </c>
      <c r="H108" t="n">
        <v>1</v>
      </c>
      <c r="I108" t="n">
        <v>0</v>
      </c>
      <c r="J108" t="n">
        <v>1</v>
      </c>
      <c r="K108" t="n">
        <v>0</v>
      </c>
      <c r="L108" t="n">
        <v>0</v>
      </c>
      <c r="M108" t="n">
        <v>0</v>
      </c>
      <c r="N108" t="n">
        <v>0</v>
      </c>
      <c r="O108" t="n">
        <v>1</v>
      </c>
      <c r="P108" t="n">
        <v>0</v>
      </c>
      <c r="Q108" t="n">
        <v>1</v>
      </c>
      <c r="R108" s="2" t="inlineStr">
        <is>
          <t>Varglav</t>
        </is>
      </c>
      <c r="S108">
        <f>HYPERLINK("https://klasma.github.io/Logging_2039/artfynd/A 24847-2021 artfynd.xlsx", "A 24847-2021")</f>
        <v/>
      </c>
      <c r="T108">
        <f>HYPERLINK("https://klasma.github.io/Logging_2039/kartor/A 24847-2021 karta.png", "A 24847-2021")</f>
        <v/>
      </c>
      <c r="V108">
        <f>HYPERLINK("https://klasma.github.io/Logging_2039/klagomål/A 24847-2021 FSC-klagomål.docx", "A 24847-2021")</f>
        <v/>
      </c>
      <c r="W108">
        <f>HYPERLINK("https://klasma.github.io/Logging_2039/klagomålsmail/A 24847-2021 FSC-klagomål mail.docx", "A 24847-2021")</f>
        <v/>
      </c>
      <c r="X108">
        <f>HYPERLINK("https://klasma.github.io/Logging_2039/tillsyn/A 24847-2021 tillsynsbegäran.docx", "A 24847-2021")</f>
        <v/>
      </c>
      <c r="Y108">
        <f>HYPERLINK("https://klasma.github.io/Logging_2039/tillsynsmail/A 24847-2021 tillsynsbegäran mail.docx", "A 24847-2021")</f>
        <v/>
      </c>
    </row>
    <row r="109" ht="15" customHeight="1">
      <c r="A109" t="inlineStr">
        <is>
          <t>A 22407-2021</t>
        </is>
      </c>
      <c r="B109" s="1" t="n">
        <v>44326.61526620371</v>
      </c>
      <c r="C109" s="1" t="n">
        <v>45908</v>
      </c>
      <c r="D109" t="inlineStr">
        <is>
          <t>DALARNAS LÄN</t>
        </is>
      </c>
      <c r="E109" t="inlineStr">
        <is>
          <t>ÄLVDALEN</t>
        </is>
      </c>
      <c r="F109" t="inlineStr">
        <is>
          <t>Sveaskog</t>
        </is>
      </c>
      <c r="G109" t="n">
        <v>4.2</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22407-2021 artfynd.xlsx", "A 22407-2021")</f>
        <v/>
      </c>
      <c r="T109">
        <f>HYPERLINK("https://klasma.github.io/Logging_2039/kartor/A 22407-2021 karta.png", "A 22407-2021")</f>
        <v/>
      </c>
      <c r="V109">
        <f>HYPERLINK("https://klasma.github.io/Logging_2039/klagomål/A 22407-2021 FSC-klagomål.docx", "A 22407-2021")</f>
        <v/>
      </c>
      <c r="W109">
        <f>HYPERLINK("https://klasma.github.io/Logging_2039/klagomålsmail/A 22407-2021 FSC-klagomål mail.docx", "A 22407-2021")</f>
        <v/>
      </c>
      <c r="X109">
        <f>HYPERLINK("https://klasma.github.io/Logging_2039/tillsyn/A 22407-2021 tillsynsbegäran.docx", "A 22407-2021")</f>
        <v/>
      </c>
      <c r="Y109">
        <f>HYPERLINK("https://klasma.github.io/Logging_2039/tillsynsmail/A 22407-2021 tillsynsbegäran mail.docx", "A 22407-2021")</f>
        <v/>
      </c>
    </row>
    <row r="110" ht="15" customHeight="1">
      <c r="A110" t="inlineStr">
        <is>
          <t>A 51477-2022</t>
        </is>
      </c>
      <c r="B110" s="1" t="n">
        <v>44869</v>
      </c>
      <c r="C110" s="1" t="n">
        <v>45908</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45908</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45908</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45908</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22286-2025</t>
        </is>
      </c>
      <c r="B114" s="1" t="n">
        <v>45786.34402777778</v>
      </c>
      <c r="C114" s="1" t="n">
        <v>45908</v>
      </c>
      <c r="D114" t="inlineStr">
        <is>
          <t>DALARNAS LÄN</t>
        </is>
      </c>
      <c r="E114" t="inlineStr">
        <is>
          <t>ÄLVDALEN</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HYPERLINK("https://klasma.github.io/Logging_2039/artfynd/A 22286-2025 artfynd.xlsx", "A 22286-2025")</f>
        <v/>
      </c>
      <c r="T114">
        <f>HYPERLINK("https://klasma.github.io/Logging_2039/kartor/A 22286-2025 karta.png", "A 22286-2025")</f>
        <v/>
      </c>
      <c r="V114">
        <f>HYPERLINK("https://klasma.github.io/Logging_2039/klagomål/A 22286-2025 FSC-klagomål.docx", "A 22286-2025")</f>
        <v/>
      </c>
      <c r="W114">
        <f>HYPERLINK("https://klasma.github.io/Logging_2039/klagomålsmail/A 22286-2025 FSC-klagomål mail.docx", "A 22286-2025")</f>
        <v/>
      </c>
      <c r="X114">
        <f>HYPERLINK("https://klasma.github.io/Logging_2039/tillsyn/A 22286-2025 tillsynsbegäran.docx", "A 22286-2025")</f>
        <v/>
      </c>
      <c r="Y114">
        <f>HYPERLINK("https://klasma.github.io/Logging_2039/tillsynsmail/A 22286-2025 tillsynsbegäran mail.docx", "A 22286-2025")</f>
        <v/>
      </c>
    </row>
    <row r="115" ht="15" customHeight="1">
      <c r="A115" t="inlineStr">
        <is>
          <t>A 30691-2024</t>
        </is>
      </c>
      <c r="B115" s="1" t="n">
        <v>45496.26998842593</v>
      </c>
      <c r="C115" s="1" t="n">
        <v>45908</v>
      </c>
      <c r="D115" t="inlineStr">
        <is>
          <t>DALARNAS LÄN</t>
        </is>
      </c>
      <c r="E115" t="inlineStr">
        <is>
          <t>ÄLVDALEN</t>
        </is>
      </c>
      <c r="G115" t="n">
        <v>2.9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30691-2024 artfynd.xlsx", "A 30691-2024")</f>
        <v/>
      </c>
      <c r="T115">
        <f>HYPERLINK("https://klasma.github.io/Logging_2039/kartor/A 30691-2024 karta.png", "A 30691-2024")</f>
        <v/>
      </c>
      <c r="V115">
        <f>HYPERLINK("https://klasma.github.io/Logging_2039/klagomål/A 30691-2024 FSC-klagomål.docx", "A 30691-2024")</f>
        <v/>
      </c>
      <c r="W115">
        <f>HYPERLINK("https://klasma.github.io/Logging_2039/klagomålsmail/A 30691-2024 FSC-klagomål mail.docx", "A 30691-2024")</f>
        <v/>
      </c>
      <c r="X115">
        <f>HYPERLINK("https://klasma.github.io/Logging_2039/tillsyn/A 30691-2024 tillsynsbegäran.docx", "A 30691-2024")</f>
        <v/>
      </c>
      <c r="Y115">
        <f>HYPERLINK("https://klasma.github.io/Logging_2039/tillsynsmail/A 30691-2024 tillsynsbegäran mail.docx", "A 30691-2024")</f>
        <v/>
      </c>
    </row>
    <row r="116" ht="15" customHeight="1">
      <c r="A116" t="inlineStr">
        <is>
          <t>A 23872-2023</t>
        </is>
      </c>
      <c r="B116" s="1" t="n">
        <v>45078</v>
      </c>
      <c r="C116" s="1" t="n">
        <v>45908</v>
      </c>
      <c r="D116" t="inlineStr">
        <is>
          <t>DALARNAS LÄN</t>
        </is>
      </c>
      <c r="E116" t="inlineStr">
        <is>
          <t>ÄLVDALEN</t>
        </is>
      </c>
      <c r="F116" t="inlineStr">
        <is>
          <t>Allmännings- och besparingsskogar</t>
        </is>
      </c>
      <c r="G116" t="n">
        <v>79.5</v>
      </c>
      <c r="H116" t="n">
        <v>1</v>
      </c>
      <c r="I116" t="n">
        <v>0</v>
      </c>
      <c r="J116" t="n">
        <v>0</v>
      </c>
      <c r="K116" t="n">
        <v>0</v>
      </c>
      <c r="L116" t="n">
        <v>0</v>
      </c>
      <c r="M116" t="n">
        <v>0</v>
      </c>
      <c r="N116" t="n">
        <v>0</v>
      </c>
      <c r="O116" t="n">
        <v>0</v>
      </c>
      <c r="P116" t="n">
        <v>0</v>
      </c>
      <c r="Q116" t="n">
        <v>1</v>
      </c>
      <c r="R116" s="2" t="inlineStr">
        <is>
          <t>Vanlig groda</t>
        </is>
      </c>
      <c r="S116">
        <f>HYPERLINK("https://klasma.github.io/Logging_2039/artfynd/A 23872-2023 artfynd.xlsx", "A 23872-2023")</f>
        <v/>
      </c>
      <c r="T116">
        <f>HYPERLINK("https://klasma.github.io/Logging_2039/kartor/A 23872-2023 karta.png", "A 23872-2023")</f>
        <v/>
      </c>
      <c r="V116">
        <f>HYPERLINK("https://klasma.github.io/Logging_2039/klagomål/A 23872-2023 FSC-klagomål.docx", "A 23872-2023")</f>
        <v/>
      </c>
      <c r="W116">
        <f>HYPERLINK("https://klasma.github.io/Logging_2039/klagomålsmail/A 23872-2023 FSC-klagomål mail.docx", "A 23872-2023")</f>
        <v/>
      </c>
      <c r="X116">
        <f>HYPERLINK("https://klasma.github.io/Logging_2039/tillsyn/A 23872-2023 tillsynsbegäran.docx", "A 23872-2023")</f>
        <v/>
      </c>
      <c r="Y116">
        <f>HYPERLINK("https://klasma.github.io/Logging_2039/tillsynsmail/A 23872-2023 tillsynsbegäran mail.docx", "A 23872-2023")</f>
        <v/>
      </c>
    </row>
    <row r="117" ht="15" customHeight="1">
      <c r="A117" t="inlineStr">
        <is>
          <t>A 19614-2024</t>
        </is>
      </c>
      <c r="B117" s="1" t="n">
        <v>45432.30798611111</v>
      </c>
      <c r="C117" s="1" t="n">
        <v>45908</v>
      </c>
      <c r="D117" t="inlineStr">
        <is>
          <t>DALARNAS LÄN</t>
        </is>
      </c>
      <c r="E117" t="inlineStr">
        <is>
          <t>ÄLVDALEN</t>
        </is>
      </c>
      <c r="F117" t="inlineStr">
        <is>
          <t>Sveaskog</t>
        </is>
      </c>
      <c r="G117" t="n">
        <v>2.9</v>
      </c>
      <c r="H117" t="n">
        <v>0</v>
      </c>
      <c r="I117" t="n">
        <v>0</v>
      </c>
      <c r="J117" t="n">
        <v>1</v>
      </c>
      <c r="K117" t="n">
        <v>0</v>
      </c>
      <c r="L117" t="n">
        <v>0</v>
      </c>
      <c r="M117" t="n">
        <v>0</v>
      </c>
      <c r="N117" t="n">
        <v>0</v>
      </c>
      <c r="O117" t="n">
        <v>1</v>
      </c>
      <c r="P117" t="n">
        <v>0</v>
      </c>
      <c r="Q117" t="n">
        <v>1</v>
      </c>
      <c r="R117" s="2" t="inlineStr">
        <is>
          <t>Mörk kolflarnlav</t>
        </is>
      </c>
      <c r="S117">
        <f>HYPERLINK("https://klasma.github.io/Logging_2039/artfynd/A 19614-2024 artfynd.xlsx", "A 19614-2024")</f>
        <v/>
      </c>
      <c r="T117">
        <f>HYPERLINK("https://klasma.github.io/Logging_2039/kartor/A 19614-2024 karta.png", "A 19614-2024")</f>
        <v/>
      </c>
      <c r="V117">
        <f>HYPERLINK("https://klasma.github.io/Logging_2039/klagomål/A 19614-2024 FSC-klagomål.docx", "A 19614-2024")</f>
        <v/>
      </c>
      <c r="W117">
        <f>HYPERLINK("https://klasma.github.io/Logging_2039/klagomålsmail/A 19614-2024 FSC-klagomål mail.docx", "A 19614-2024")</f>
        <v/>
      </c>
      <c r="X117">
        <f>HYPERLINK("https://klasma.github.io/Logging_2039/tillsyn/A 19614-2024 tillsynsbegäran.docx", "A 19614-2024")</f>
        <v/>
      </c>
      <c r="Y117">
        <f>HYPERLINK("https://klasma.github.io/Logging_2039/tillsynsmail/A 19614-2024 tillsynsbegäran mail.docx", "A 19614-2024")</f>
        <v/>
      </c>
    </row>
    <row r="118" ht="15" customHeight="1">
      <c r="A118" t="inlineStr">
        <is>
          <t>A 11061-2021</t>
        </is>
      </c>
      <c r="B118" s="1" t="n">
        <v>44260</v>
      </c>
      <c r="C118" s="1" t="n">
        <v>45908</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27929-2025</t>
        </is>
      </c>
      <c r="B119" s="1" t="n">
        <v>45817.49222222222</v>
      </c>
      <c r="C119" s="1" t="n">
        <v>45908</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45908</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45908</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35352-2025</t>
        </is>
      </c>
      <c r="B122" s="1" t="n">
        <v>45853</v>
      </c>
      <c r="C122" s="1" t="n">
        <v>45908</v>
      </c>
      <c r="D122" t="inlineStr">
        <is>
          <t>DALARNAS LÄN</t>
        </is>
      </c>
      <c r="E122" t="inlineStr">
        <is>
          <t>ÄLVDALEN</t>
        </is>
      </c>
      <c r="F122" t="inlineStr">
        <is>
          <t>Sveaskog</t>
        </is>
      </c>
      <c r="G122" t="n">
        <v>0.7</v>
      </c>
      <c r="H122" t="n">
        <v>0</v>
      </c>
      <c r="I122" t="n">
        <v>0</v>
      </c>
      <c r="J122" t="n">
        <v>0</v>
      </c>
      <c r="K122" t="n">
        <v>1</v>
      </c>
      <c r="L122" t="n">
        <v>0</v>
      </c>
      <c r="M122" t="n">
        <v>0</v>
      </c>
      <c r="N122" t="n">
        <v>0</v>
      </c>
      <c r="O122" t="n">
        <v>1</v>
      </c>
      <c r="P122" t="n">
        <v>1</v>
      </c>
      <c r="Q122" t="n">
        <v>1</v>
      </c>
      <c r="R122" s="2" t="inlineStr">
        <is>
          <t>Gräddporing</t>
        </is>
      </c>
      <c r="S122">
        <f>HYPERLINK("https://klasma.github.io/Logging_2039/artfynd/A 35352-2025 artfynd.xlsx", "A 35352-2025")</f>
        <v/>
      </c>
      <c r="T122">
        <f>HYPERLINK("https://klasma.github.io/Logging_2039/kartor/A 35352-2025 karta.png", "A 35352-2025")</f>
        <v/>
      </c>
      <c r="V122">
        <f>HYPERLINK("https://klasma.github.io/Logging_2039/klagomål/A 35352-2025 FSC-klagomål.docx", "A 35352-2025")</f>
        <v/>
      </c>
      <c r="W122">
        <f>HYPERLINK("https://klasma.github.io/Logging_2039/klagomålsmail/A 35352-2025 FSC-klagomål mail.docx", "A 35352-2025")</f>
        <v/>
      </c>
      <c r="X122">
        <f>HYPERLINK("https://klasma.github.io/Logging_2039/tillsyn/A 35352-2025 tillsynsbegäran.docx", "A 35352-2025")</f>
        <v/>
      </c>
      <c r="Y122">
        <f>HYPERLINK("https://klasma.github.io/Logging_2039/tillsynsmail/A 35352-2025 tillsynsbegäran mail.docx", "A 35352-2025")</f>
        <v/>
      </c>
    </row>
    <row r="123" ht="15" customHeight="1">
      <c r="A123" t="inlineStr">
        <is>
          <t>A 45202-2024</t>
        </is>
      </c>
      <c r="B123" s="1" t="n">
        <v>45575</v>
      </c>
      <c r="C123" s="1" t="n">
        <v>45908</v>
      </c>
      <c r="D123" t="inlineStr">
        <is>
          <t>DALARNAS LÄN</t>
        </is>
      </c>
      <c r="E123" t="inlineStr">
        <is>
          <t>ÄLVDALEN</t>
        </is>
      </c>
      <c r="G123" t="n">
        <v>184.5</v>
      </c>
      <c r="H123" t="n">
        <v>1</v>
      </c>
      <c r="I123" t="n">
        <v>0</v>
      </c>
      <c r="J123" t="n">
        <v>0</v>
      </c>
      <c r="K123" t="n">
        <v>0</v>
      </c>
      <c r="L123" t="n">
        <v>0</v>
      </c>
      <c r="M123" t="n">
        <v>0</v>
      </c>
      <c r="N123" t="n">
        <v>0</v>
      </c>
      <c r="O123" t="n">
        <v>0</v>
      </c>
      <c r="P123" t="n">
        <v>0</v>
      </c>
      <c r="Q123" t="n">
        <v>1</v>
      </c>
      <c r="R123" s="2" t="inlineStr">
        <is>
          <t>Lavskrika</t>
        </is>
      </c>
      <c r="S123">
        <f>HYPERLINK("https://klasma.github.io/Logging_2039/artfynd/A 45202-2024 artfynd.xlsx", "A 45202-2024")</f>
        <v/>
      </c>
      <c r="T123">
        <f>HYPERLINK("https://klasma.github.io/Logging_2039/kartor/A 45202-2024 karta.png", "A 45202-2024")</f>
        <v/>
      </c>
      <c r="V123">
        <f>HYPERLINK("https://klasma.github.io/Logging_2039/klagomål/A 45202-2024 FSC-klagomål.docx", "A 45202-2024")</f>
        <v/>
      </c>
      <c r="W123">
        <f>HYPERLINK("https://klasma.github.io/Logging_2039/klagomålsmail/A 45202-2024 FSC-klagomål mail.docx", "A 45202-2024")</f>
        <v/>
      </c>
      <c r="X123">
        <f>HYPERLINK("https://klasma.github.io/Logging_2039/tillsyn/A 45202-2024 tillsynsbegäran.docx", "A 45202-2024")</f>
        <v/>
      </c>
      <c r="Y123">
        <f>HYPERLINK("https://klasma.github.io/Logging_2039/tillsynsmail/A 45202-2024 tillsynsbegäran mail.docx", "A 45202-2024")</f>
        <v/>
      </c>
      <c r="Z123">
        <f>HYPERLINK("https://klasma.github.io/Logging_2039/fåglar/A 45202-2024 prioriterade fågelarter.docx", "A 45202-2024")</f>
        <v/>
      </c>
    </row>
    <row r="124" ht="15" customHeight="1">
      <c r="A124" t="inlineStr">
        <is>
          <t>A 45201-2024</t>
        </is>
      </c>
      <c r="B124" s="1" t="n">
        <v>45575</v>
      </c>
      <c r="C124" s="1" t="n">
        <v>45908</v>
      </c>
      <c r="D124" t="inlineStr">
        <is>
          <t>DALARNAS LÄN</t>
        </is>
      </c>
      <c r="E124" t="inlineStr">
        <is>
          <t>ÄLVDALEN</t>
        </is>
      </c>
      <c r="G124" t="n">
        <v>24.6</v>
      </c>
      <c r="H124" t="n">
        <v>1</v>
      </c>
      <c r="I124" t="n">
        <v>0</v>
      </c>
      <c r="J124" t="n">
        <v>1</v>
      </c>
      <c r="K124" t="n">
        <v>0</v>
      </c>
      <c r="L124" t="n">
        <v>0</v>
      </c>
      <c r="M124" t="n">
        <v>0</v>
      </c>
      <c r="N124" t="n">
        <v>0</v>
      </c>
      <c r="O124" t="n">
        <v>1</v>
      </c>
      <c r="P124" t="n">
        <v>0</v>
      </c>
      <c r="Q124" t="n">
        <v>1</v>
      </c>
      <c r="R124" s="2" t="inlineStr">
        <is>
          <t>Varglav</t>
        </is>
      </c>
      <c r="S124">
        <f>HYPERLINK("https://klasma.github.io/Logging_2039/artfynd/A 45201-2024 artfynd.xlsx", "A 45201-2024")</f>
        <v/>
      </c>
      <c r="T124">
        <f>HYPERLINK("https://klasma.github.io/Logging_2039/kartor/A 45201-2024 karta.png", "A 45201-2024")</f>
        <v/>
      </c>
      <c r="V124">
        <f>HYPERLINK("https://klasma.github.io/Logging_2039/klagomål/A 45201-2024 FSC-klagomål.docx", "A 45201-2024")</f>
        <v/>
      </c>
      <c r="W124">
        <f>HYPERLINK("https://klasma.github.io/Logging_2039/klagomålsmail/A 45201-2024 FSC-klagomål mail.docx", "A 45201-2024")</f>
        <v/>
      </c>
      <c r="X124">
        <f>HYPERLINK("https://klasma.github.io/Logging_2039/tillsyn/A 45201-2024 tillsynsbegäran.docx", "A 45201-2024")</f>
        <v/>
      </c>
      <c r="Y124">
        <f>HYPERLINK("https://klasma.github.io/Logging_2039/tillsynsmail/A 45201-2024 tillsynsbegäran mail.docx", "A 45201-2024")</f>
        <v/>
      </c>
    </row>
    <row r="125" ht="15" customHeight="1">
      <c r="A125" t="inlineStr">
        <is>
          <t>A 31145-2024</t>
        </is>
      </c>
      <c r="B125" s="1" t="n">
        <v>45502.85956018518</v>
      </c>
      <c r="C125" s="1" t="n">
        <v>45908</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41728-2025</t>
        </is>
      </c>
      <c r="B126" s="1" t="n">
        <v>45902.45748842593</v>
      </c>
      <c r="C126" s="1" t="n">
        <v>45908</v>
      </c>
      <c r="D126" t="inlineStr">
        <is>
          <t>DALARNAS LÄN</t>
        </is>
      </c>
      <c r="E126" t="inlineStr">
        <is>
          <t>ÄLVDALEN</t>
        </is>
      </c>
      <c r="F126" t="inlineStr">
        <is>
          <t>Sveaskog</t>
        </is>
      </c>
      <c r="G126" t="n">
        <v>0.9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41728-2025 artfynd.xlsx", "A 41728-2025")</f>
        <v/>
      </c>
      <c r="T126">
        <f>HYPERLINK("https://klasma.github.io/Logging_2039/kartor/A 41728-2025 karta.png", "A 41728-2025")</f>
        <v/>
      </c>
      <c r="V126">
        <f>HYPERLINK("https://klasma.github.io/Logging_2039/klagomål/A 41728-2025 FSC-klagomål.docx", "A 41728-2025")</f>
        <v/>
      </c>
      <c r="W126">
        <f>HYPERLINK("https://klasma.github.io/Logging_2039/klagomålsmail/A 41728-2025 FSC-klagomål mail.docx", "A 41728-2025")</f>
        <v/>
      </c>
      <c r="X126">
        <f>HYPERLINK("https://klasma.github.io/Logging_2039/tillsyn/A 41728-2025 tillsynsbegäran.docx", "A 41728-2025")</f>
        <v/>
      </c>
      <c r="Y126">
        <f>HYPERLINK("https://klasma.github.io/Logging_2039/tillsynsmail/A 41728-2025 tillsynsbegäran mail.docx", "A 41728-2025")</f>
        <v/>
      </c>
    </row>
    <row r="127" ht="15" customHeight="1">
      <c r="A127" t="inlineStr">
        <is>
          <t>A 41932-2025</t>
        </is>
      </c>
      <c r="B127" s="1" t="n">
        <v>45903.43458333334</v>
      </c>
      <c r="C127" s="1" t="n">
        <v>45908</v>
      </c>
      <c r="D127" t="inlineStr">
        <is>
          <t>DALARNAS LÄN</t>
        </is>
      </c>
      <c r="E127" t="inlineStr">
        <is>
          <t>ÄLVDALEN</t>
        </is>
      </c>
      <c r="F127" t="inlineStr">
        <is>
          <t>Sveaskog</t>
        </is>
      </c>
      <c r="G127" t="n">
        <v>5.5</v>
      </c>
      <c r="H127" t="n">
        <v>0</v>
      </c>
      <c r="I127" t="n">
        <v>1</v>
      </c>
      <c r="J127" t="n">
        <v>0</v>
      </c>
      <c r="K127" t="n">
        <v>0</v>
      </c>
      <c r="L127" t="n">
        <v>0</v>
      </c>
      <c r="M127" t="n">
        <v>0</v>
      </c>
      <c r="N127" t="n">
        <v>0</v>
      </c>
      <c r="O127" t="n">
        <v>0</v>
      </c>
      <c r="P127" t="n">
        <v>0</v>
      </c>
      <c r="Q127" t="n">
        <v>1</v>
      </c>
      <c r="R127" s="2" t="inlineStr">
        <is>
          <t>Dropptaggsvamp</t>
        </is>
      </c>
      <c r="S127">
        <f>HYPERLINK("https://klasma.github.io/Logging_2039/artfynd/A 41932-2025 artfynd.xlsx", "A 41932-2025")</f>
        <v/>
      </c>
      <c r="T127">
        <f>HYPERLINK("https://klasma.github.io/Logging_2039/kartor/A 41932-2025 karta.png", "A 41932-2025")</f>
        <v/>
      </c>
      <c r="V127">
        <f>HYPERLINK("https://klasma.github.io/Logging_2039/klagomål/A 41932-2025 FSC-klagomål.docx", "A 41932-2025")</f>
        <v/>
      </c>
      <c r="W127">
        <f>HYPERLINK("https://klasma.github.io/Logging_2039/klagomålsmail/A 41932-2025 FSC-klagomål mail.docx", "A 41932-2025")</f>
        <v/>
      </c>
      <c r="X127">
        <f>HYPERLINK("https://klasma.github.io/Logging_2039/tillsyn/A 41932-2025 tillsynsbegäran.docx", "A 41932-2025")</f>
        <v/>
      </c>
      <c r="Y127">
        <f>HYPERLINK("https://klasma.github.io/Logging_2039/tillsynsmail/A 41932-2025 tillsynsbegäran mail.docx", "A 41932-2025")</f>
        <v/>
      </c>
    </row>
    <row r="128" ht="15" customHeight="1">
      <c r="A128" t="inlineStr">
        <is>
          <t>A 662-2025</t>
        </is>
      </c>
      <c r="B128" s="1" t="n">
        <v>45664</v>
      </c>
      <c r="C128" s="1" t="n">
        <v>45908</v>
      </c>
      <c r="D128" t="inlineStr">
        <is>
          <t>DALARNAS LÄN</t>
        </is>
      </c>
      <c r="E128" t="inlineStr">
        <is>
          <t>ÄLVDALEN</t>
        </is>
      </c>
      <c r="G128" t="n">
        <v>20</v>
      </c>
      <c r="H128" t="n">
        <v>0</v>
      </c>
      <c r="I128" t="n">
        <v>0</v>
      </c>
      <c r="J128" t="n">
        <v>1</v>
      </c>
      <c r="K128" t="n">
        <v>0</v>
      </c>
      <c r="L128" t="n">
        <v>0</v>
      </c>
      <c r="M128" t="n">
        <v>0</v>
      </c>
      <c r="N128" t="n">
        <v>0</v>
      </c>
      <c r="O128" t="n">
        <v>1</v>
      </c>
      <c r="P128" t="n">
        <v>0</v>
      </c>
      <c r="Q128" t="n">
        <v>1</v>
      </c>
      <c r="R128" s="2" t="inlineStr">
        <is>
          <t>Garnlav</t>
        </is>
      </c>
      <c r="S128">
        <f>HYPERLINK("https://klasma.github.io/Logging_2039/artfynd/A 662-2025 artfynd.xlsx", "A 662-2025")</f>
        <v/>
      </c>
      <c r="T128">
        <f>HYPERLINK("https://klasma.github.io/Logging_2039/kartor/A 662-2025 karta.png", "A 662-2025")</f>
        <v/>
      </c>
      <c r="V128">
        <f>HYPERLINK("https://klasma.github.io/Logging_2039/klagomål/A 662-2025 FSC-klagomål.docx", "A 662-2025")</f>
        <v/>
      </c>
      <c r="W128">
        <f>HYPERLINK("https://klasma.github.io/Logging_2039/klagomålsmail/A 662-2025 FSC-klagomål mail.docx", "A 662-2025")</f>
        <v/>
      </c>
      <c r="X128">
        <f>HYPERLINK("https://klasma.github.io/Logging_2039/tillsyn/A 662-2025 tillsynsbegäran.docx", "A 662-2025")</f>
        <v/>
      </c>
      <c r="Y128">
        <f>HYPERLINK("https://klasma.github.io/Logging_2039/tillsynsmail/A 662-2025 tillsynsbegäran mail.docx", "A 662-2025")</f>
        <v/>
      </c>
    </row>
    <row r="129" ht="15" customHeight="1">
      <c r="A129" t="inlineStr">
        <is>
          <t>A 50981-2024</t>
        </is>
      </c>
      <c r="B129" s="1" t="n">
        <v>45603.36233796296</v>
      </c>
      <c r="C129" s="1" t="n">
        <v>45908</v>
      </c>
      <c r="D129" t="inlineStr">
        <is>
          <t>DALARNAS LÄN</t>
        </is>
      </c>
      <c r="E129" t="inlineStr">
        <is>
          <t>ÄLVDALEN</t>
        </is>
      </c>
      <c r="G129" t="n">
        <v>5.1</v>
      </c>
      <c r="H129" t="n">
        <v>0</v>
      </c>
      <c r="I129" t="n">
        <v>0</v>
      </c>
      <c r="J129" t="n">
        <v>1</v>
      </c>
      <c r="K129" t="n">
        <v>0</v>
      </c>
      <c r="L129" t="n">
        <v>0</v>
      </c>
      <c r="M129" t="n">
        <v>0</v>
      </c>
      <c r="N129" t="n">
        <v>0</v>
      </c>
      <c r="O129" t="n">
        <v>1</v>
      </c>
      <c r="P129" t="n">
        <v>0</v>
      </c>
      <c r="Q129" t="n">
        <v>1</v>
      </c>
      <c r="R129" s="2" t="inlineStr">
        <is>
          <t>Vedskivlav</t>
        </is>
      </c>
      <c r="S129">
        <f>HYPERLINK("https://klasma.github.io/Logging_2039/artfynd/A 50981-2024 artfynd.xlsx", "A 50981-2024")</f>
        <v/>
      </c>
      <c r="T129">
        <f>HYPERLINK("https://klasma.github.io/Logging_2039/kartor/A 50981-2024 karta.png", "A 50981-2024")</f>
        <v/>
      </c>
      <c r="V129">
        <f>HYPERLINK("https://klasma.github.io/Logging_2039/klagomål/A 50981-2024 FSC-klagomål.docx", "A 50981-2024")</f>
        <v/>
      </c>
      <c r="W129">
        <f>HYPERLINK("https://klasma.github.io/Logging_2039/klagomålsmail/A 50981-2024 FSC-klagomål mail.docx", "A 50981-2024")</f>
        <v/>
      </c>
      <c r="X129">
        <f>HYPERLINK("https://klasma.github.io/Logging_2039/tillsyn/A 50981-2024 tillsynsbegäran.docx", "A 50981-2024")</f>
        <v/>
      </c>
      <c r="Y129">
        <f>HYPERLINK("https://klasma.github.io/Logging_2039/tillsynsmail/A 50981-2024 tillsynsbegäran mail.docx", "A 50981-2024")</f>
        <v/>
      </c>
    </row>
    <row r="130" ht="15" customHeight="1">
      <c r="A130" t="inlineStr">
        <is>
          <t>A 36574-2021</t>
        </is>
      </c>
      <c r="B130" s="1" t="n">
        <v>44391</v>
      </c>
      <c r="C130" s="1" t="n">
        <v>45908</v>
      </c>
      <c r="D130" t="inlineStr">
        <is>
          <t>DALARNAS LÄN</t>
        </is>
      </c>
      <c r="E130" t="inlineStr">
        <is>
          <t>ÄLVDALEN</t>
        </is>
      </c>
      <c r="F130" t="inlineStr">
        <is>
          <t>Sveaskog</t>
        </is>
      </c>
      <c r="G130" t="n">
        <v>26.2</v>
      </c>
      <c r="H130" t="n">
        <v>1</v>
      </c>
      <c r="I130" t="n">
        <v>0</v>
      </c>
      <c r="J130" t="n">
        <v>0</v>
      </c>
      <c r="K130" t="n">
        <v>0</v>
      </c>
      <c r="L130" t="n">
        <v>0</v>
      </c>
      <c r="M130" t="n">
        <v>0</v>
      </c>
      <c r="N130" t="n">
        <v>0</v>
      </c>
      <c r="O130" t="n">
        <v>0</v>
      </c>
      <c r="P130" t="n">
        <v>0</v>
      </c>
      <c r="Q130" t="n">
        <v>1</v>
      </c>
      <c r="R130" s="2" t="inlineStr">
        <is>
          <t>Lavskrika</t>
        </is>
      </c>
      <c r="S130">
        <f>HYPERLINK("https://klasma.github.io/Logging_2039/artfynd/A 36574-2021 artfynd.xlsx", "A 36574-2021")</f>
        <v/>
      </c>
      <c r="T130">
        <f>HYPERLINK("https://klasma.github.io/Logging_2039/kartor/A 36574-2021 karta.png", "A 36574-2021")</f>
        <v/>
      </c>
      <c r="V130">
        <f>HYPERLINK("https://klasma.github.io/Logging_2039/klagomål/A 36574-2021 FSC-klagomål.docx", "A 36574-2021")</f>
        <v/>
      </c>
      <c r="W130">
        <f>HYPERLINK("https://klasma.github.io/Logging_2039/klagomålsmail/A 36574-2021 FSC-klagomål mail.docx", "A 36574-2021")</f>
        <v/>
      </c>
      <c r="X130">
        <f>HYPERLINK("https://klasma.github.io/Logging_2039/tillsyn/A 36574-2021 tillsynsbegäran.docx", "A 36574-2021")</f>
        <v/>
      </c>
      <c r="Y130">
        <f>HYPERLINK("https://klasma.github.io/Logging_2039/tillsynsmail/A 36574-2021 tillsynsbegäran mail.docx", "A 36574-2021")</f>
        <v/>
      </c>
      <c r="Z130">
        <f>HYPERLINK("https://klasma.github.io/Logging_2039/fåglar/A 36574-2021 prioriterade fågelarter.docx", "A 36574-2021")</f>
        <v/>
      </c>
    </row>
    <row r="131" ht="15" customHeight="1">
      <c r="A131" t="inlineStr">
        <is>
          <t>A 32199-2024</t>
        </is>
      </c>
      <c r="B131" s="1" t="n">
        <v>45511.66325231481</v>
      </c>
      <c r="C131" s="1" t="n">
        <v>45908</v>
      </c>
      <c r="D131" t="inlineStr">
        <is>
          <t>DALARNAS LÄN</t>
        </is>
      </c>
      <c r="E131" t="inlineStr">
        <is>
          <t>ÄLVDALEN</t>
        </is>
      </c>
      <c r="F131" t="inlineStr">
        <is>
          <t>Sveaskog</t>
        </is>
      </c>
      <c r="G131" t="n">
        <v>4.6</v>
      </c>
      <c r="H131" t="n">
        <v>1</v>
      </c>
      <c r="I131" t="n">
        <v>0</v>
      </c>
      <c r="J131" t="n">
        <v>1</v>
      </c>
      <c r="K131" t="n">
        <v>0</v>
      </c>
      <c r="L131" t="n">
        <v>0</v>
      </c>
      <c r="M131" t="n">
        <v>0</v>
      </c>
      <c r="N131" t="n">
        <v>0</v>
      </c>
      <c r="O131" t="n">
        <v>1</v>
      </c>
      <c r="P131" t="n">
        <v>0</v>
      </c>
      <c r="Q131" t="n">
        <v>1</v>
      </c>
      <c r="R131" s="2" t="inlineStr">
        <is>
          <t>Varglav</t>
        </is>
      </c>
      <c r="S131">
        <f>HYPERLINK("https://klasma.github.io/Logging_2039/artfynd/A 32199-2024 artfynd.xlsx", "A 32199-2024")</f>
        <v/>
      </c>
      <c r="T131">
        <f>HYPERLINK("https://klasma.github.io/Logging_2039/kartor/A 32199-2024 karta.png", "A 32199-2024")</f>
        <v/>
      </c>
      <c r="V131">
        <f>HYPERLINK("https://klasma.github.io/Logging_2039/klagomål/A 32199-2024 FSC-klagomål.docx", "A 32199-2024")</f>
        <v/>
      </c>
      <c r="W131">
        <f>HYPERLINK("https://klasma.github.io/Logging_2039/klagomålsmail/A 32199-2024 FSC-klagomål mail.docx", "A 32199-2024")</f>
        <v/>
      </c>
      <c r="X131">
        <f>HYPERLINK("https://klasma.github.io/Logging_2039/tillsyn/A 32199-2024 tillsynsbegäran.docx", "A 32199-2024")</f>
        <v/>
      </c>
      <c r="Y131">
        <f>HYPERLINK("https://klasma.github.io/Logging_2039/tillsynsmail/A 32199-2024 tillsynsbegäran mail.docx", "A 32199-2024")</f>
        <v/>
      </c>
    </row>
    <row r="132" ht="15" customHeight="1">
      <c r="A132" t="inlineStr">
        <is>
          <t>A 55062-2022</t>
        </is>
      </c>
      <c r="B132" s="1" t="n">
        <v>44881</v>
      </c>
      <c r="C132" s="1" t="n">
        <v>45908</v>
      </c>
      <c r="D132" t="inlineStr">
        <is>
          <t>DALARNAS LÄN</t>
        </is>
      </c>
      <c r="E132" t="inlineStr">
        <is>
          <t>ÄLVDALEN</t>
        </is>
      </c>
      <c r="F132" t="inlineStr">
        <is>
          <t>Övriga statliga verk och myndigheter</t>
        </is>
      </c>
      <c r="G132" t="n">
        <v>28.1</v>
      </c>
      <c r="H132" t="n">
        <v>1</v>
      </c>
      <c r="I132" t="n">
        <v>0</v>
      </c>
      <c r="J132" t="n">
        <v>1</v>
      </c>
      <c r="K132" t="n">
        <v>0</v>
      </c>
      <c r="L132" t="n">
        <v>0</v>
      </c>
      <c r="M132" t="n">
        <v>0</v>
      </c>
      <c r="N132" t="n">
        <v>0</v>
      </c>
      <c r="O132" t="n">
        <v>1</v>
      </c>
      <c r="P132" t="n">
        <v>0</v>
      </c>
      <c r="Q132" t="n">
        <v>1</v>
      </c>
      <c r="R132" s="2" t="inlineStr">
        <is>
          <t>Utter</t>
        </is>
      </c>
      <c r="S132">
        <f>HYPERLINK("https://klasma.github.io/Logging_2039/artfynd/A 55062-2022 artfynd.xlsx", "A 55062-2022")</f>
        <v/>
      </c>
      <c r="T132">
        <f>HYPERLINK("https://klasma.github.io/Logging_2039/kartor/A 55062-2022 karta.png", "A 55062-2022")</f>
        <v/>
      </c>
      <c r="V132">
        <f>HYPERLINK("https://klasma.github.io/Logging_2039/klagomål/A 55062-2022 FSC-klagomål.docx", "A 55062-2022")</f>
        <v/>
      </c>
      <c r="W132">
        <f>HYPERLINK("https://klasma.github.io/Logging_2039/klagomålsmail/A 55062-2022 FSC-klagomål mail.docx", "A 55062-2022")</f>
        <v/>
      </c>
      <c r="X132">
        <f>HYPERLINK("https://klasma.github.io/Logging_2039/tillsyn/A 55062-2022 tillsynsbegäran.docx", "A 55062-2022")</f>
        <v/>
      </c>
      <c r="Y132">
        <f>HYPERLINK("https://klasma.github.io/Logging_2039/tillsynsmail/A 55062-2022 tillsynsbegäran mail.docx", "A 55062-2022")</f>
        <v/>
      </c>
    </row>
    <row r="133" ht="15" customHeight="1">
      <c r="A133" t="inlineStr">
        <is>
          <t>A 14277-2024</t>
        </is>
      </c>
      <c r="B133" s="1" t="n">
        <v>45393.60042824074</v>
      </c>
      <c r="C133" s="1" t="n">
        <v>45908</v>
      </c>
      <c r="D133" t="inlineStr">
        <is>
          <t>DALARNAS LÄN</t>
        </is>
      </c>
      <c r="E133" t="inlineStr">
        <is>
          <t>ÄLVDALEN</t>
        </is>
      </c>
      <c r="F133" t="inlineStr">
        <is>
          <t>Allmännings- och besparingsskogar</t>
        </is>
      </c>
      <c r="G133" t="n">
        <v>2.8</v>
      </c>
      <c r="H133" t="n">
        <v>1</v>
      </c>
      <c r="I133" t="n">
        <v>0</v>
      </c>
      <c r="J133" t="n">
        <v>1</v>
      </c>
      <c r="K133" t="n">
        <v>0</v>
      </c>
      <c r="L133" t="n">
        <v>0</v>
      </c>
      <c r="M133" t="n">
        <v>0</v>
      </c>
      <c r="N133" t="n">
        <v>0</v>
      </c>
      <c r="O133" t="n">
        <v>1</v>
      </c>
      <c r="P133" t="n">
        <v>0</v>
      </c>
      <c r="Q133" t="n">
        <v>1</v>
      </c>
      <c r="R133" s="2" t="inlineStr">
        <is>
          <t>Talltita</t>
        </is>
      </c>
      <c r="S133">
        <f>HYPERLINK("https://klasma.github.io/Logging_2039/artfynd/A 14277-2024 artfynd.xlsx", "A 14277-2024")</f>
        <v/>
      </c>
      <c r="T133">
        <f>HYPERLINK("https://klasma.github.io/Logging_2039/kartor/A 14277-2024 karta.png", "A 14277-2024")</f>
        <v/>
      </c>
      <c r="V133">
        <f>HYPERLINK("https://klasma.github.io/Logging_2039/klagomål/A 14277-2024 FSC-klagomål.docx", "A 14277-2024")</f>
        <v/>
      </c>
      <c r="W133">
        <f>HYPERLINK("https://klasma.github.io/Logging_2039/klagomålsmail/A 14277-2024 FSC-klagomål mail.docx", "A 14277-2024")</f>
        <v/>
      </c>
      <c r="X133">
        <f>HYPERLINK("https://klasma.github.io/Logging_2039/tillsyn/A 14277-2024 tillsynsbegäran.docx", "A 14277-2024")</f>
        <v/>
      </c>
      <c r="Y133">
        <f>HYPERLINK("https://klasma.github.io/Logging_2039/tillsynsmail/A 14277-2024 tillsynsbegäran mail.docx", "A 14277-2024")</f>
        <v/>
      </c>
      <c r="Z133">
        <f>HYPERLINK("https://klasma.github.io/Logging_2039/fåglar/A 14277-2024 prioriterade fågelarter.docx", "A 14277-2024")</f>
        <v/>
      </c>
    </row>
    <row r="134" ht="15" customHeight="1">
      <c r="A134" t="inlineStr">
        <is>
          <t>A 19313-2021</t>
        </is>
      </c>
      <c r="B134" s="1" t="n">
        <v>44309</v>
      </c>
      <c r="C134" s="1" t="n">
        <v>45908</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31167-2021</t>
        </is>
      </c>
      <c r="B135" s="1" t="n">
        <v>44368.58009259259</v>
      </c>
      <c r="C135" s="1" t="n">
        <v>45908</v>
      </c>
      <c r="D135" t="inlineStr">
        <is>
          <t>DALARNAS LÄN</t>
        </is>
      </c>
      <c r="E135" t="inlineStr">
        <is>
          <t>ÄLVDALEN</t>
        </is>
      </c>
      <c r="G135" t="n">
        <v>1.3</v>
      </c>
      <c r="H135" t="n">
        <v>0</v>
      </c>
      <c r="I135" t="n">
        <v>0</v>
      </c>
      <c r="J135" t="n">
        <v>0</v>
      </c>
      <c r="K135" t="n">
        <v>0</v>
      </c>
      <c r="L135" t="n">
        <v>0</v>
      </c>
      <c r="M135" t="n">
        <v>0</v>
      </c>
      <c r="N135" t="n">
        <v>0</v>
      </c>
      <c r="O135" t="n">
        <v>0</v>
      </c>
      <c r="P135" t="n">
        <v>0</v>
      </c>
      <c r="Q135" t="n">
        <v>0</v>
      </c>
      <c r="R135" s="2" t="inlineStr"/>
    </row>
    <row r="136" ht="15" customHeight="1">
      <c r="A136" t="inlineStr">
        <is>
          <t>A 15603-2022</t>
        </is>
      </c>
      <c r="B136" s="1" t="n">
        <v>44662.62577546296</v>
      </c>
      <c r="C136" s="1" t="n">
        <v>45908</v>
      </c>
      <c r="D136" t="inlineStr">
        <is>
          <t>DALARNAS LÄN</t>
        </is>
      </c>
      <c r="E136" t="inlineStr">
        <is>
          <t>ÄLVDALEN</t>
        </is>
      </c>
      <c r="G136" t="n">
        <v>2.6</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45908</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45908</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45908</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45908</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45908</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45908</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45908</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52124-2021</t>
        </is>
      </c>
      <c r="B144" s="1" t="n">
        <v>44463.48194444444</v>
      </c>
      <c r="C144" s="1" t="n">
        <v>45908</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45908</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45908</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45908</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45908</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45908</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45908</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45908</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45908</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45908</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45908</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45908</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45908</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45908</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45908</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45908</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45908</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45908</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45908</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45908</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45908</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45908</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45908</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41020-2021</t>
        </is>
      </c>
      <c r="B167" s="1" t="n">
        <v>44421</v>
      </c>
      <c r="C167" s="1" t="n">
        <v>45908</v>
      </c>
      <c r="D167" t="inlineStr">
        <is>
          <t>DALARNAS LÄN</t>
        </is>
      </c>
      <c r="E167" t="inlineStr">
        <is>
          <t>ÄLVDALEN</t>
        </is>
      </c>
      <c r="G167" t="n">
        <v>5.5</v>
      </c>
      <c r="H167" t="n">
        <v>0</v>
      </c>
      <c r="I167" t="n">
        <v>0</v>
      </c>
      <c r="J167" t="n">
        <v>0</v>
      </c>
      <c r="K167" t="n">
        <v>0</v>
      </c>
      <c r="L167" t="n">
        <v>0</v>
      </c>
      <c r="M167" t="n">
        <v>0</v>
      </c>
      <c r="N167" t="n">
        <v>0</v>
      </c>
      <c r="O167" t="n">
        <v>0</v>
      </c>
      <c r="P167" t="n">
        <v>0</v>
      </c>
      <c r="Q167" t="n">
        <v>0</v>
      </c>
      <c r="R167" s="2" t="inlineStr"/>
    </row>
    <row r="168" ht="15" customHeight="1">
      <c r="A168" t="inlineStr">
        <is>
          <t>A 39311-2022</t>
        </is>
      </c>
      <c r="B168" s="1" t="n">
        <v>44817.69123842593</v>
      </c>
      <c r="C168" s="1" t="n">
        <v>45908</v>
      </c>
      <c r="D168" t="inlineStr">
        <is>
          <t>DALARNAS LÄN</t>
        </is>
      </c>
      <c r="E168" t="inlineStr">
        <is>
          <t>ÄLVDALEN</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52064-2022</t>
        </is>
      </c>
      <c r="B169" s="1" t="n">
        <v>44873.34854166667</v>
      </c>
      <c r="C169" s="1" t="n">
        <v>45908</v>
      </c>
      <c r="D169" t="inlineStr">
        <is>
          <t>DALARNAS LÄN</t>
        </is>
      </c>
      <c r="E169" t="inlineStr">
        <is>
          <t>ÄLVDALEN</t>
        </is>
      </c>
      <c r="G169" t="n">
        <v>0.3</v>
      </c>
      <c r="H169" t="n">
        <v>0</v>
      </c>
      <c r="I169" t="n">
        <v>0</v>
      </c>
      <c r="J169" t="n">
        <v>0</v>
      </c>
      <c r="K169" t="n">
        <v>0</v>
      </c>
      <c r="L169" t="n">
        <v>0</v>
      </c>
      <c r="M169" t="n">
        <v>0</v>
      </c>
      <c r="N169" t="n">
        <v>0</v>
      </c>
      <c r="O169" t="n">
        <v>0</v>
      </c>
      <c r="P169" t="n">
        <v>0</v>
      </c>
      <c r="Q169" t="n">
        <v>0</v>
      </c>
      <c r="R169" s="2" t="inlineStr"/>
    </row>
    <row r="170" ht="15" customHeight="1">
      <c r="A170" t="inlineStr">
        <is>
          <t>A 45228-2022</t>
        </is>
      </c>
      <c r="B170" s="1" t="n">
        <v>44844.47071759259</v>
      </c>
      <c r="C170" s="1" t="n">
        <v>45908</v>
      </c>
      <c r="D170" t="inlineStr">
        <is>
          <t>DALARNAS LÄN</t>
        </is>
      </c>
      <c r="E170" t="inlineStr">
        <is>
          <t>ÄLVDALEN</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45908</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45908</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45908</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45908</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45908</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45908</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45908</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45908</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45908</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45908</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45908</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45908</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45908</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45908</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36824-2021</t>
        </is>
      </c>
      <c r="B185" s="1" t="n">
        <v>44393</v>
      </c>
      <c r="C185" s="1" t="n">
        <v>45908</v>
      </c>
      <c r="D185" t="inlineStr">
        <is>
          <t>DALARNAS LÄN</t>
        </is>
      </c>
      <c r="E185" t="inlineStr">
        <is>
          <t>ÄLVDALEN</t>
        </is>
      </c>
      <c r="F185" t="inlineStr">
        <is>
          <t>Sveaskog</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51844-2021</t>
        </is>
      </c>
      <c r="B186" s="1" t="n">
        <v>44462.68480324074</v>
      </c>
      <c r="C186" s="1" t="n">
        <v>45908</v>
      </c>
      <c r="D186" t="inlineStr">
        <is>
          <t>DALARNAS LÄN</t>
        </is>
      </c>
      <c r="E186" t="inlineStr">
        <is>
          <t>ÄLVDALEN</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48558-2021</t>
        </is>
      </c>
      <c r="B187" s="1" t="n">
        <v>44452</v>
      </c>
      <c r="C187" s="1" t="n">
        <v>45908</v>
      </c>
      <c r="D187" t="inlineStr">
        <is>
          <t>DALARNAS LÄN</t>
        </is>
      </c>
      <c r="E187" t="inlineStr">
        <is>
          <t>ÄLVDALEN</t>
        </is>
      </c>
      <c r="F187" t="inlineStr">
        <is>
          <t>Sveaskog</t>
        </is>
      </c>
      <c r="G187" t="n">
        <v>0.1</v>
      </c>
      <c r="H187" t="n">
        <v>0</v>
      </c>
      <c r="I187" t="n">
        <v>0</v>
      </c>
      <c r="J187" t="n">
        <v>0</v>
      </c>
      <c r="K187" t="n">
        <v>0</v>
      </c>
      <c r="L187" t="n">
        <v>0</v>
      </c>
      <c r="M187" t="n">
        <v>0</v>
      </c>
      <c r="N187" t="n">
        <v>0</v>
      </c>
      <c r="O187" t="n">
        <v>0</v>
      </c>
      <c r="P187" t="n">
        <v>0</v>
      </c>
      <c r="Q187" t="n">
        <v>0</v>
      </c>
      <c r="R187" s="2" t="inlineStr"/>
    </row>
    <row r="188" ht="15" customHeight="1">
      <c r="A188" t="inlineStr">
        <is>
          <t>A 58571-2020</t>
        </is>
      </c>
      <c r="B188" s="1" t="n">
        <v>44145</v>
      </c>
      <c r="C188" s="1" t="n">
        <v>45908</v>
      </c>
      <c r="D188" t="inlineStr">
        <is>
          <t>DALARNAS LÄN</t>
        </is>
      </c>
      <c r="E188" t="inlineStr">
        <is>
          <t>ÄLVDALEN</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50708-2021</t>
        </is>
      </c>
      <c r="B189" s="1" t="n">
        <v>44459</v>
      </c>
      <c r="C189" s="1" t="n">
        <v>45908</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58573-2020</t>
        </is>
      </c>
      <c r="B190" s="1" t="n">
        <v>44145</v>
      </c>
      <c r="C190" s="1" t="n">
        <v>45908</v>
      </c>
      <c r="D190" t="inlineStr">
        <is>
          <t>DALARNAS LÄN</t>
        </is>
      </c>
      <c r="E190" t="inlineStr">
        <is>
          <t>ÄLVDALEN</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45908</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45908</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45908</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45908</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45908</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45908</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22454-2021</t>
        </is>
      </c>
      <c r="B197" s="1" t="n">
        <v>44326</v>
      </c>
      <c r="C197" s="1" t="n">
        <v>45908</v>
      </c>
      <c r="D197" t="inlineStr">
        <is>
          <t>DALARNAS LÄN</t>
        </is>
      </c>
      <c r="E197" t="inlineStr">
        <is>
          <t>ÄLVDALEN</t>
        </is>
      </c>
      <c r="F197" t="inlineStr">
        <is>
          <t>Allmännings- och besparingsskogar</t>
        </is>
      </c>
      <c r="G197" t="n">
        <v>4.3</v>
      </c>
      <c r="H197" t="n">
        <v>0</v>
      </c>
      <c r="I197" t="n">
        <v>0</v>
      </c>
      <c r="J197" t="n">
        <v>0</v>
      </c>
      <c r="K197" t="n">
        <v>0</v>
      </c>
      <c r="L197" t="n">
        <v>0</v>
      </c>
      <c r="M197" t="n">
        <v>0</v>
      </c>
      <c r="N197" t="n">
        <v>0</v>
      </c>
      <c r="O197" t="n">
        <v>0</v>
      </c>
      <c r="P197" t="n">
        <v>0</v>
      </c>
      <c r="Q197" t="n">
        <v>0</v>
      </c>
      <c r="R197" s="2" t="inlineStr"/>
    </row>
    <row r="198" ht="15" customHeight="1">
      <c r="A198" t="inlineStr">
        <is>
          <t>A 51161-2021</t>
        </is>
      </c>
      <c r="B198" s="1" t="n">
        <v>44461.46195601852</v>
      </c>
      <c r="C198" s="1" t="n">
        <v>45908</v>
      </c>
      <c r="D198" t="inlineStr">
        <is>
          <t>DALARNAS LÄN</t>
        </is>
      </c>
      <c r="E198" t="inlineStr">
        <is>
          <t>ÄLVDALEN</t>
        </is>
      </c>
      <c r="G198" t="n">
        <v>2</v>
      </c>
      <c r="H198" t="n">
        <v>0</v>
      </c>
      <c r="I198" t="n">
        <v>0</v>
      </c>
      <c r="J198" t="n">
        <v>0</v>
      </c>
      <c r="K198" t="n">
        <v>0</v>
      </c>
      <c r="L198" t="n">
        <v>0</v>
      </c>
      <c r="M198" t="n">
        <v>0</v>
      </c>
      <c r="N198" t="n">
        <v>0</v>
      </c>
      <c r="O198" t="n">
        <v>0</v>
      </c>
      <c r="P198" t="n">
        <v>0</v>
      </c>
      <c r="Q198" t="n">
        <v>0</v>
      </c>
      <c r="R198" s="2" t="inlineStr"/>
    </row>
    <row r="199" ht="15" customHeight="1">
      <c r="A199" t="inlineStr">
        <is>
          <t>A 51504-2022</t>
        </is>
      </c>
      <c r="B199" s="1" t="n">
        <v>44869</v>
      </c>
      <c r="C199" s="1" t="n">
        <v>45908</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30254-2021</t>
        </is>
      </c>
      <c r="B200" s="1" t="n">
        <v>44363</v>
      </c>
      <c r="C200" s="1" t="n">
        <v>45908</v>
      </c>
      <c r="D200" t="inlineStr">
        <is>
          <t>DALARNAS LÄN</t>
        </is>
      </c>
      <c r="E200" t="inlineStr">
        <is>
          <t>ÄLVDALEN</t>
        </is>
      </c>
      <c r="F200" t="inlineStr">
        <is>
          <t>Sveaskog</t>
        </is>
      </c>
      <c r="G200" t="n">
        <v>8.1</v>
      </c>
      <c r="H200" t="n">
        <v>0</v>
      </c>
      <c r="I200" t="n">
        <v>0</v>
      </c>
      <c r="J200" t="n">
        <v>0</v>
      </c>
      <c r="K200" t="n">
        <v>0</v>
      </c>
      <c r="L200" t="n">
        <v>0</v>
      </c>
      <c r="M200" t="n">
        <v>0</v>
      </c>
      <c r="N200" t="n">
        <v>0</v>
      </c>
      <c r="O200" t="n">
        <v>0</v>
      </c>
      <c r="P200" t="n">
        <v>0</v>
      </c>
      <c r="Q200" t="n">
        <v>0</v>
      </c>
      <c r="R200" s="2" t="inlineStr"/>
    </row>
    <row r="201" ht="15" customHeight="1">
      <c r="A201" t="inlineStr">
        <is>
          <t>A 40234-2021</t>
        </is>
      </c>
      <c r="B201" s="1" t="n">
        <v>44419</v>
      </c>
      <c r="C201" s="1" t="n">
        <v>45908</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57783-2021</t>
        </is>
      </c>
      <c r="B202" s="1" t="n">
        <v>44484</v>
      </c>
      <c r="C202" s="1" t="n">
        <v>45908</v>
      </c>
      <c r="D202" t="inlineStr">
        <is>
          <t>DALARNAS LÄN</t>
        </is>
      </c>
      <c r="E202" t="inlineStr">
        <is>
          <t>ÄLVDALEN</t>
        </is>
      </c>
      <c r="G202" t="n">
        <v>6.9</v>
      </c>
      <c r="H202" t="n">
        <v>0</v>
      </c>
      <c r="I202" t="n">
        <v>0</v>
      </c>
      <c r="J202" t="n">
        <v>0</v>
      </c>
      <c r="K202" t="n">
        <v>0</v>
      </c>
      <c r="L202" t="n">
        <v>0</v>
      </c>
      <c r="M202" t="n">
        <v>0</v>
      </c>
      <c r="N202" t="n">
        <v>0</v>
      </c>
      <c r="O202" t="n">
        <v>0</v>
      </c>
      <c r="P202" t="n">
        <v>0</v>
      </c>
      <c r="Q202" t="n">
        <v>0</v>
      </c>
      <c r="R202" s="2" t="inlineStr"/>
    </row>
    <row r="203" ht="15" customHeight="1">
      <c r="A203" t="inlineStr">
        <is>
          <t>A 12066-2022</t>
        </is>
      </c>
      <c r="B203" s="1" t="n">
        <v>44636</v>
      </c>
      <c r="C203" s="1" t="n">
        <v>45908</v>
      </c>
      <c r="D203" t="inlineStr">
        <is>
          <t>DALARNAS LÄN</t>
        </is>
      </c>
      <c r="E203" t="inlineStr">
        <is>
          <t>ÄLVDALEN</t>
        </is>
      </c>
      <c r="G203" t="n">
        <v>4.4</v>
      </c>
      <c r="H203" t="n">
        <v>0</v>
      </c>
      <c r="I203" t="n">
        <v>0</v>
      </c>
      <c r="J203" t="n">
        <v>0</v>
      </c>
      <c r="K203" t="n">
        <v>0</v>
      </c>
      <c r="L203" t="n">
        <v>0</v>
      </c>
      <c r="M203" t="n">
        <v>0</v>
      </c>
      <c r="N203" t="n">
        <v>0</v>
      </c>
      <c r="O203" t="n">
        <v>0</v>
      </c>
      <c r="P203" t="n">
        <v>0</v>
      </c>
      <c r="Q203" t="n">
        <v>0</v>
      </c>
      <c r="R203" s="2" t="inlineStr"/>
    </row>
    <row r="204" ht="15" customHeight="1">
      <c r="A204" t="inlineStr">
        <is>
          <t>A 38957-2022</t>
        </is>
      </c>
      <c r="B204" s="1" t="n">
        <v>44816</v>
      </c>
      <c r="C204" s="1" t="n">
        <v>45908</v>
      </c>
      <c r="D204" t="inlineStr">
        <is>
          <t>DALARNAS LÄN</t>
        </is>
      </c>
      <c r="E204" t="inlineStr">
        <is>
          <t>ÄLVDALEN</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66887-2021</t>
        </is>
      </c>
      <c r="B205" s="1" t="n">
        <v>44522.47883101852</v>
      </c>
      <c r="C205" s="1" t="n">
        <v>45908</v>
      </c>
      <c r="D205" t="inlineStr">
        <is>
          <t>DALARNAS LÄN</t>
        </is>
      </c>
      <c r="E205" t="inlineStr">
        <is>
          <t>ÄLVDALEN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45908</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45908</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45908</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59658-2021</t>
        </is>
      </c>
      <c r="B209" s="1" t="n">
        <v>44494.3159375</v>
      </c>
      <c r="C209" s="1" t="n">
        <v>45908</v>
      </c>
      <c r="D209" t="inlineStr">
        <is>
          <t>DALARNAS LÄN</t>
        </is>
      </c>
      <c r="E209" t="inlineStr">
        <is>
          <t>ÄLVDALEN</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15045-2021</t>
        </is>
      </c>
      <c r="B210" s="1" t="n">
        <v>44281</v>
      </c>
      <c r="C210" s="1" t="n">
        <v>45908</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27022-2021</t>
        </is>
      </c>
      <c r="B211" s="1" t="n">
        <v>44350.38857638889</v>
      </c>
      <c r="C211" s="1" t="n">
        <v>45908</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25602-2022</t>
        </is>
      </c>
      <c r="B212" s="1" t="n">
        <v>44732.6975</v>
      </c>
      <c r="C212" s="1" t="n">
        <v>45908</v>
      </c>
      <c r="D212" t="inlineStr">
        <is>
          <t>DALARNAS LÄN</t>
        </is>
      </c>
      <c r="E212" t="inlineStr">
        <is>
          <t>ÄLVDALEN</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54138-2020</t>
        </is>
      </c>
      <c r="B213" s="1" t="n">
        <v>44125</v>
      </c>
      <c r="C213" s="1" t="n">
        <v>45908</v>
      </c>
      <c r="D213" t="inlineStr">
        <is>
          <t>DALARNAS LÄN</t>
        </is>
      </c>
      <c r="E213" t="inlineStr">
        <is>
          <t>ÄLVDALEN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45908</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45908</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30969-2021</t>
        </is>
      </c>
      <c r="B216" s="1" t="n">
        <v>44365.89862268518</v>
      </c>
      <c r="C216" s="1" t="n">
        <v>45908</v>
      </c>
      <c r="D216" t="inlineStr">
        <is>
          <t>DALARNAS LÄN</t>
        </is>
      </c>
      <c r="E216" t="inlineStr">
        <is>
          <t>ÄLVDALEN</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71282-2021</t>
        </is>
      </c>
      <c r="B217" s="1" t="n">
        <v>44539</v>
      </c>
      <c r="C217" s="1" t="n">
        <v>45908</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70252-2021</t>
        </is>
      </c>
      <c r="B218" s="1" t="n">
        <v>44536</v>
      </c>
      <c r="C218" s="1" t="n">
        <v>45908</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19759-2021</t>
        </is>
      </c>
      <c r="B219" s="1" t="n">
        <v>44309</v>
      </c>
      <c r="C219" s="1" t="n">
        <v>45908</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45908</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45908</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37009-2021</t>
        </is>
      </c>
      <c r="B222" s="1" t="n">
        <v>44393.6384837963</v>
      </c>
      <c r="C222" s="1" t="n">
        <v>45908</v>
      </c>
      <c r="D222" t="inlineStr">
        <is>
          <t>DALARNAS LÄN</t>
        </is>
      </c>
      <c r="E222" t="inlineStr">
        <is>
          <t>ÄLVDALEN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30255-2021</t>
        </is>
      </c>
      <c r="B223" s="1" t="n">
        <v>44363</v>
      </c>
      <c r="C223" s="1" t="n">
        <v>45908</v>
      </c>
      <c r="D223" t="inlineStr">
        <is>
          <t>DALARNAS LÄN</t>
        </is>
      </c>
      <c r="E223" t="inlineStr">
        <is>
          <t>ÄLVDALEN</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7530-2022</t>
        </is>
      </c>
      <c r="B224" s="1" t="n">
        <v>44607</v>
      </c>
      <c r="C224" s="1" t="n">
        <v>45908</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55778-2021</t>
        </is>
      </c>
      <c r="B225" s="1" t="n">
        <v>44476</v>
      </c>
      <c r="C225" s="1" t="n">
        <v>45908</v>
      </c>
      <c r="D225" t="inlineStr">
        <is>
          <t>DALARNAS LÄN</t>
        </is>
      </c>
      <c r="E225" t="inlineStr">
        <is>
          <t>ÄLVDALEN</t>
        </is>
      </c>
      <c r="G225" t="n">
        <v>3.2</v>
      </c>
      <c r="H225" t="n">
        <v>0</v>
      </c>
      <c r="I225" t="n">
        <v>0</v>
      </c>
      <c r="J225" t="n">
        <v>0</v>
      </c>
      <c r="K225" t="n">
        <v>0</v>
      </c>
      <c r="L225" t="n">
        <v>0</v>
      </c>
      <c r="M225" t="n">
        <v>0</v>
      </c>
      <c r="N225" t="n">
        <v>0</v>
      </c>
      <c r="O225" t="n">
        <v>0</v>
      </c>
      <c r="P225" t="n">
        <v>0</v>
      </c>
      <c r="Q225" t="n">
        <v>0</v>
      </c>
      <c r="R225" s="2" t="inlineStr"/>
    </row>
    <row r="226" ht="15" customHeight="1">
      <c r="A226" t="inlineStr">
        <is>
          <t>A 49587-2020</t>
        </is>
      </c>
      <c r="B226" s="1" t="n">
        <v>44106</v>
      </c>
      <c r="C226" s="1" t="n">
        <v>45908</v>
      </c>
      <c r="D226" t="inlineStr">
        <is>
          <t>DALARNAS LÄN</t>
        </is>
      </c>
      <c r="E226" t="inlineStr">
        <is>
          <t>ÄLVDALEN</t>
        </is>
      </c>
      <c r="G226" t="n">
        <v>0.9</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45908</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19992-2023</t>
        </is>
      </c>
      <c r="B228" s="1" t="n">
        <v>45054.61501157407</v>
      </c>
      <c r="C228" s="1" t="n">
        <v>45908</v>
      </c>
      <c r="D228" t="inlineStr">
        <is>
          <t>DALARNAS LÄN</t>
        </is>
      </c>
      <c r="E228" t="inlineStr">
        <is>
          <t>ÄLVDALEN</t>
        </is>
      </c>
      <c r="G228" t="n">
        <v>3.9</v>
      </c>
      <c r="H228" t="n">
        <v>0</v>
      </c>
      <c r="I228" t="n">
        <v>0</v>
      </c>
      <c r="J228" t="n">
        <v>0</v>
      </c>
      <c r="K228" t="n">
        <v>0</v>
      </c>
      <c r="L228" t="n">
        <v>0</v>
      </c>
      <c r="M228" t="n">
        <v>0</v>
      </c>
      <c r="N228" t="n">
        <v>0</v>
      </c>
      <c r="O228" t="n">
        <v>0</v>
      </c>
      <c r="P228" t="n">
        <v>0</v>
      </c>
      <c r="Q228" t="n">
        <v>0</v>
      </c>
      <c r="R228" s="2" t="inlineStr"/>
    </row>
    <row r="229" ht="15" customHeight="1">
      <c r="A229" t="inlineStr">
        <is>
          <t>A 54407-2022</t>
        </is>
      </c>
      <c r="B229" s="1" t="n">
        <v>44882.54866898148</v>
      </c>
      <c r="C229" s="1" t="n">
        <v>45908</v>
      </c>
      <c r="D229" t="inlineStr">
        <is>
          <t>DALARNAS LÄN</t>
        </is>
      </c>
      <c r="E229" t="inlineStr">
        <is>
          <t>ÄLVDALEN</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31714-2021</t>
        </is>
      </c>
      <c r="B230" s="1" t="n">
        <v>44369.82663194444</v>
      </c>
      <c r="C230" s="1" t="n">
        <v>45908</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28011-2021</t>
        </is>
      </c>
      <c r="B231" s="1" t="n">
        <v>44355.35329861111</v>
      </c>
      <c r="C231" s="1" t="n">
        <v>45908</v>
      </c>
      <c r="D231" t="inlineStr">
        <is>
          <t>DALARNAS LÄN</t>
        </is>
      </c>
      <c r="E231" t="inlineStr">
        <is>
          <t>ÄLVDALEN</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27615-2023</t>
        </is>
      </c>
      <c r="B232" s="1" t="n">
        <v>45097</v>
      </c>
      <c r="C232" s="1" t="n">
        <v>45908</v>
      </c>
      <c r="D232" t="inlineStr">
        <is>
          <t>DALARNAS LÄN</t>
        </is>
      </c>
      <c r="E232" t="inlineStr">
        <is>
          <t>ÄLVDALEN</t>
        </is>
      </c>
      <c r="F232" t="inlineStr">
        <is>
          <t>Bergvik skog väst AB</t>
        </is>
      </c>
      <c r="G232" t="n">
        <v>3.7</v>
      </c>
      <c r="H232" t="n">
        <v>0</v>
      </c>
      <c r="I232" t="n">
        <v>0</v>
      </c>
      <c r="J232" t="n">
        <v>0</v>
      </c>
      <c r="K232" t="n">
        <v>0</v>
      </c>
      <c r="L232" t="n">
        <v>0</v>
      </c>
      <c r="M232" t="n">
        <v>0</v>
      </c>
      <c r="N232" t="n">
        <v>0</v>
      </c>
      <c r="O232" t="n">
        <v>0</v>
      </c>
      <c r="P232" t="n">
        <v>0</v>
      </c>
      <c r="Q232" t="n">
        <v>0</v>
      </c>
      <c r="R232" s="2" t="inlineStr"/>
    </row>
    <row r="233" ht="15" customHeight="1">
      <c r="A233" t="inlineStr">
        <is>
          <t>A 24009-2024</t>
        </is>
      </c>
      <c r="B233" s="1" t="n">
        <v>45456.40030092592</v>
      </c>
      <c r="C233" s="1" t="n">
        <v>45908</v>
      </c>
      <c r="D233" t="inlineStr">
        <is>
          <t>DALARNAS LÄN</t>
        </is>
      </c>
      <c r="E233" t="inlineStr">
        <is>
          <t>ÄLVDALEN</t>
        </is>
      </c>
      <c r="G233" t="n">
        <v>1.1</v>
      </c>
      <c r="H233" t="n">
        <v>0</v>
      </c>
      <c r="I233" t="n">
        <v>0</v>
      </c>
      <c r="J233" t="n">
        <v>0</v>
      </c>
      <c r="K233" t="n">
        <v>0</v>
      </c>
      <c r="L233" t="n">
        <v>0</v>
      </c>
      <c r="M233" t="n">
        <v>0</v>
      </c>
      <c r="N233" t="n">
        <v>0</v>
      </c>
      <c r="O233" t="n">
        <v>0</v>
      </c>
      <c r="P233" t="n">
        <v>0</v>
      </c>
      <c r="Q233" t="n">
        <v>0</v>
      </c>
      <c r="R233" s="2" t="inlineStr"/>
    </row>
    <row r="234" ht="15" customHeight="1">
      <c r="A234" t="inlineStr">
        <is>
          <t>A 74324-2021</t>
        </is>
      </c>
      <c r="B234" s="1" t="n">
        <v>44558</v>
      </c>
      <c r="C234" s="1" t="n">
        <v>45908</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21832-2021</t>
        </is>
      </c>
      <c r="B235" s="1" t="n">
        <v>44322.6378125</v>
      </c>
      <c r="C235" s="1" t="n">
        <v>45908</v>
      </c>
      <c r="D235" t="inlineStr">
        <is>
          <t>DALARNAS LÄN</t>
        </is>
      </c>
      <c r="E235" t="inlineStr">
        <is>
          <t>ÄLVDALEN</t>
        </is>
      </c>
      <c r="F235" t="inlineStr">
        <is>
          <t>Allmännings- och besparingsskogar</t>
        </is>
      </c>
      <c r="G235" t="n">
        <v>2.5</v>
      </c>
      <c r="H235" t="n">
        <v>0</v>
      </c>
      <c r="I235" t="n">
        <v>0</v>
      </c>
      <c r="J235" t="n">
        <v>0</v>
      </c>
      <c r="K235" t="n">
        <v>0</v>
      </c>
      <c r="L235" t="n">
        <v>0</v>
      </c>
      <c r="M235" t="n">
        <v>0</v>
      </c>
      <c r="N235" t="n">
        <v>0</v>
      </c>
      <c r="O235" t="n">
        <v>0</v>
      </c>
      <c r="P235" t="n">
        <v>0</v>
      </c>
      <c r="Q235" t="n">
        <v>0</v>
      </c>
      <c r="R235" s="2" t="inlineStr"/>
    </row>
    <row r="236" ht="15" customHeight="1">
      <c r="A236" t="inlineStr">
        <is>
          <t>A 21279-2022</t>
        </is>
      </c>
      <c r="B236" s="1" t="n">
        <v>44705</v>
      </c>
      <c r="C236" s="1" t="n">
        <v>45908</v>
      </c>
      <c r="D236" t="inlineStr">
        <is>
          <t>DALARNAS LÄN</t>
        </is>
      </c>
      <c r="E236" t="inlineStr">
        <is>
          <t>ÄLVDALEN</t>
        </is>
      </c>
      <c r="G236" t="n">
        <v>4.6</v>
      </c>
      <c r="H236" t="n">
        <v>0</v>
      </c>
      <c r="I236" t="n">
        <v>0</v>
      </c>
      <c r="J236" t="n">
        <v>0</v>
      </c>
      <c r="K236" t="n">
        <v>0</v>
      </c>
      <c r="L236" t="n">
        <v>0</v>
      </c>
      <c r="M236" t="n">
        <v>0</v>
      </c>
      <c r="N236" t="n">
        <v>0</v>
      </c>
      <c r="O236" t="n">
        <v>0</v>
      </c>
      <c r="P236" t="n">
        <v>0</v>
      </c>
      <c r="Q236" t="n">
        <v>0</v>
      </c>
      <c r="R236" s="2" t="inlineStr"/>
    </row>
    <row r="237" ht="15" customHeight="1">
      <c r="A237" t="inlineStr">
        <is>
          <t>A 20050-2021</t>
        </is>
      </c>
      <c r="B237" s="1" t="n">
        <v>44314</v>
      </c>
      <c r="C237" s="1" t="n">
        <v>45908</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39064-2021</t>
        </is>
      </c>
      <c r="B238" s="1" t="n">
        <v>44411</v>
      </c>
      <c r="C238" s="1" t="n">
        <v>45908</v>
      </c>
      <c r="D238" t="inlineStr">
        <is>
          <t>DALARNAS LÄN</t>
        </is>
      </c>
      <c r="E238" t="inlineStr">
        <is>
          <t>ÄLVDALEN</t>
        </is>
      </c>
      <c r="F238" t="inlineStr">
        <is>
          <t>Övriga statliga verk och myndigheter</t>
        </is>
      </c>
      <c r="G238" t="n">
        <v>4.5</v>
      </c>
      <c r="H238" t="n">
        <v>0</v>
      </c>
      <c r="I238" t="n">
        <v>0</v>
      </c>
      <c r="J238" t="n">
        <v>0</v>
      </c>
      <c r="K238" t="n">
        <v>0</v>
      </c>
      <c r="L238" t="n">
        <v>0</v>
      </c>
      <c r="M238" t="n">
        <v>0</v>
      </c>
      <c r="N238" t="n">
        <v>0</v>
      </c>
      <c r="O238" t="n">
        <v>0</v>
      </c>
      <c r="P238" t="n">
        <v>0</v>
      </c>
      <c r="Q238" t="n">
        <v>0</v>
      </c>
      <c r="R238" s="2" t="inlineStr"/>
    </row>
    <row r="239" ht="15" customHeight="1">
      <c r="A239" t="inlineStr">
        <is>
          <t>A 8146-2025</t>
        </is>
      </c>
      <c r="B239" s="1" t="n">
        <v>45708.30415509259</v>
      </c>
      <c r="C239" s="1" t="n">
        <v>45908</v>
      </c>
      <c r="D239" t="inlineStr">
        <is>
          <t>DALARNAS LÄN</t>
        </is>
      </c>
      <c r="E239" t="inlineStr">
        <is>
          <t>ÄLVDALEN</t>
        </is>
      </c>
      <c r="F239" t="inlineStr">
        <is>
          <t>Allmännings- och besparingsskogar</t>
        </is>
      </c>
      <c r="G239" t="n">
        <v>1</v>
      </c>
      <c r="H239" t="n">
        <v>0</v>
      </c>
      <c r="I239" t="n">
        <v>0</v>
      </c>
      <c r="J239" t="n">
        <v>0</v>
      </c>
      <c r="K239" t="n">
        <v>0</v>
      </c>
      <c r="L239" t="n">
        <v>0</v>
      </c>
      <c r="M239" t="n">
        <v>0</v>
      </c>
      <c r="N239" t="n">
        <v>0</v>
      </c>
      <c r="O239" t="n">
        <v>0</v>
      </c>
      <c r="P239" t="n">
        <v>0</v>
      </c>
      <c r="Q239" t="n">
        <v>0</v>
      </c>
      <c r="R239" s="2" t="inlineStr"/>
    </row>
    <row r="240" ht="15" customHeight="1">
      <c r="A240" t="inlineStr">
        <is>
          <t>A 57467-2023</t>
        </is>
      </c>
      <c r="B240" s="1" t="n">
        <v>45246.36751157408</v>
      </c>
      <c r="C240" s="1" t="n">
        <v>45908</v>
      </c>
      <c r="D240" t="inlineStr">
        <is>
          <t>DALARNAS LÄN</t>
        </is>
      </c>
      <c r="E240" t="inlineStr">
        <is>
          <t>ÄLVDALEN</t>
        </is>
      </c>
      <c r="G240" t="n">
        <v>0.2</v>
      </c>
      <c r="H240" t="n">
        <v>0</v>
      </c>
      <c r="I240" t="n">
        <v>0</v>
      </c>
      <c r="J240" t="n">
        <v>0</v>
      </c>
      <c r="K240" t="n">
        <v>0</v>
      </c>
      <c r="L240" t="n">
        <v>0</v>
      </c>
      <c r="M240" t="n">
        <v>0</v>
      </c>
      <c r="N240" t="n">
        <v>0</v>
      </c>
      <c r="O240" t="n">
        <v>0</v>
      </c>
      <c r="P240" t="n">
        <v>0</v>
      </c>
      <c r="Q240" t="n">
        <v>0</v>
      </c>
      <c r="R240" s="2" t="inlineStr"/>
    </row>
    <row r="241" ht="15" customHeight="1">
      <c r="A241" t="inlineStr">
        <is>
          <t>A 27480-2022</t>
        </is>
      </c>
      <c r="B241" s="1" t="n">
        <v>44742.60590277778</v>
      </c>
      <c r="C241" s="1" t="n">
        <v>45908</v>
      </c>
      <c r="D241" t="inlineStr">
        <is>
          <t>DALARNAS LÄN</t>
        </is>
      </c>
      <c r="E241" t="inlineStr">
        <is>
          <t>ÄLVDALEN</t>
        </is>
      </c>
      <c r="F241" t="inlineStr">
        <is>
          <t>Bergvik skog väst AB</t>
        </is>
      </c>
      <c r="G241" t="n">
        <v>4.1</v>
      </c>
      <c r="H241" t="n">
        <v>0</v>
      </c>
      <c r="I241" t="n">
        <v>0</v>
      </c>
      <c r="J241" t="n">
        <v>0</v>
      </c>
      <c r="K241" t="n">
        <v>0</v>
      </c>
      <c r="L241" t="n">
        <v>0</v>
      </c>
      <c r="M241" t="n">
        <v>0</v>
      </c>
      <c r="N241" t="n">
        <v>0</v>
      </c>
      <c r="O241" t="n">
        <v>0</v>
      </c>
      <c r="P241" t="n">
        <v>0</v>
      </c>
      <c r="Q241" t="n">
        <v>0</v>
      </c>
      <c r="R241" s="2" t="inlineStr"/>
    </row>
    <row r="242" ht="15" customHeight="1">
      <c r="A242" t="inlineStr">
        <is>
          <t>A 32031-2023</t>
        </is>
      </c>
      <c r="B242" s="1" t="n">
        <v>45107</v>
      </c>
      <c r="C242" s="1" t="n">
        <v>45908</v>
      </c>
      <c r="D242" t="inlineStr">
        <is>
          <t>DALARNAS LÄN</t>
        </is>
      </c>
      <c r="E242" t="inlineStr">
        <is>
          <t>ÄLVDALEN</t>
        </is>
      </c>
      <c r="G242" t="n">
        <v>2.7</v>
      </c>
      <c r="H242" t="n">
        <v>0</v>
      </c>
      <c r="I242" t="n">
        <v>0</v>
      </c>
      <c r="J242" t="n">
        <v>0</v>
      </c>
      <c r="K242" t="n">
        <v>0</v>
      </c>
      <c r="L242" t="n">
        <v>0</v>
      </c>
      <c r="M242" t="n">
        <v>0</v>
      </c>
      <c r="N242" t="n">
        <v>0</v>
      </c>
      <c r="O242" t="n">
        <v>0</v>
      </c>
      <c r="P242" t="n">
        <v>0</v>
      </c>
      <c r="Q242" t="n">
        <v>0</v>
      </c>
      <c r="R242" s="2" t="inlineStr"/>
    </row>
    <row r="243" ht="15" customHeight="1">
      <c r="A243" t="inlineStr">
        <is>
          <t>A 17051-2023</t>
        </is>
      </c>
      <c r="B243" s="1" t="n">
        <v>45034</v>
      </c>
      <c r="C243" s="1" t="n">
        <v>45908</v>
      </c>
      <c r="D243" t="inlineStr">
        <is>
          <t>DALARNAS LÄN</t>
        </is>
      </c>
      <c r="E243" t="inlineStr">
        <is>
          <t>ÄLVDALEN</t>
        </is>
      </c>
      <c r="G243" t="n">
        <v>4.2</v>
      </c>
      <c r="H243" t="n">
        <v>0</v>
      </c>
      <c r="I243" t="n">
        <v>0</v>
      </c>
      <c r="J243" t="n">
        <v>0</v>
      </c>
      <c r="K243" t="n">
        <v>0</v>
      </c>
      <c r="L243" t="n">
        <v>0</v>
      </c>
      <c r="M243" t="n">
        <v>0</v>
      </c>
      <c r="N243" t="n">
        <v>0</v>
      </c>
      <c r="O243" t="n">
        <v>0</v>
      </c>
      <c r="P243" t="n">
        <v>0</v>
      </c>
      <c r="Q243" t="n">
        <v>0</v>
      </c>
      <c r="R243" s="2" t="inlineStr"/>
    </row>
    <row r="244" ht="15" customHeight="1">
      <c r="A244" t="inlineStr">
        <is>
          <t>A 7576-2024</t>
        </is>
      </c>
      <c r="B244" s="1" t="n">
        <v>45348.47555555555</v>
      </c>
      <c r="C244" s="1" t="n">
        <v>45908</v>
      </c>
      <c r="D244" t="inlineStr">
        <is>
          <t>DALARNAS LÄN</t>
        </is>
      </c>
      <c r="E244" t="inlineStr">
        <is>
          <t>ÄLVDALEN</t>
        </is>
      </c>
      <c r="G244" t="n">
        <v>11.1</v>
      </c>
      <c r="H244" t="n">
        <v>0</v>
      </c>
      <c r="I244" t="n">
        <v>0</v>
      </c>
      <c r="J244" t="n">
        <v>0</v>
      </c>
      <c r="K244" t="n">
        <v>0</v>
      </c>
      <c r="L244" t="n">
        <v>0</v>
      </c>
      <c r="M244" t="n">
        <v>0</v>
      </c>
      <c r="N244" t="n">
        <v>0</v>
      </c>
      <c r="O244" t="n">
        <v>0</v>
      </c>
      <c r="P244" t="n">
        <v>0</v>
      </c>
      <c r="Q244" t="n">
        <v>0</v>
      </c>
      <c r="R244" s="2" t="inlineStr"/>
    </row>
    <row r="245" ht="15" customHeight="1">
      <c r="A245" t="inlineStr">
        <is>
          <t>A 2381-2024</t>
        </is>
      </c>
      <c r="B245" s="1" t="n">
        <v>45310.64228009259</v>
      </c>
      <c r="C245" s="1" t="n">
        <v>45908</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60642-2021</t>
        </is>
      </c>
      <c r="B246" s="1" t="n">
        <v>44496.61677083333</v>
      </c>
      <c r="C246" s="1" t="n">
        <v>45908</v>
      </c>
      <c r="D246" t="inlineStr">
        <is>
          <t>DALARNAS LÄN</t>
        </is>
      </c>
      <c r="E246" t="inlineStr">
        <is>
          <t>ÄLVDALEN</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20924-2025</t>
        </is>
      </c>
      <c r="B247" s="1" t="n">
        <v>45777</v>
      </c>
      <c r="C247" s="1" t="n">
        <v>45908</v>
      </c>
      <c r="D247" t="inlineStr">
        <is>
          <t>DALARNAS LÄN</t>
        </is>
      </c>
      <c r="E247" t="inlineStr">
        <is>
          <t>ÄLVDALEN</t>
        </is>
      </c>
      <c r="G247" t="n">
        <v>2.3</v>
      </c>
      <c r="H247" t="n">
        <v>0</v>
      </c>
      <c r="I247" t="n">
        <v>0</v>
      </c>
      <c r="J247" t="n">
        <v>0</v>
      </c>
      <c r="K247" t="n">
        <v>0</v>
      </c>
      <c r="L247" t="n">
        <v>0</v>
      </c>
      <c r="M247" t="n">
        <v>0</v>
      </c>
      <c r="N247" t="n">
        <v>0</v>
      </c>
      <c r="O247" t="n">
        <v>0</v>
      </c>
      <c r="P247" t="n">
        <v>0</v>
      </c>
      <c r="Q247" t="n">
        <v>0</v>
      </c>
      <c r="R247" s="2" t="inlineStr"/>
    </row>
    <row r="248" ht="15" customHeight="1">
      <c r="A248" t="inlineStr">
        <is>
          <t>A 32838-2023</t>
        </is>
      </c>
      <c r="B248" s="1" t="n">
        <v>45124</v>
      </c>
      <c r="C248" s="1" t="n">
        <v>45908</v>
      </c>
      <c r="D248" t="inlineStr">
        <is>
          <t>DALARNAS LÄN</t>
        </is>
      </c>
      <c r="E248" t="inlineStr">
        <is>
          <t>ÄLVDALEN</t>
        </is>
      </c>
      <c r="G248" t="n">
        <v>3.7</v>
      </c>
      <c r="H248" t="n">
        <v>0</v>
      </c>
      <c r="I248" t="n">
        <v>0</v>
      </c>
      <c r="J248" t="n">
        <v>0</v>
      </c>
      <c r="K248" t="n">
        <v>0</v>
      </c>
      <c r="L248" t="n">
        <v>0</v>
      </c>
      <c r="M248" t="n">
        <v>0</v>
      </c>
      <c r="N248" t="n">
        <v>0</v>
      </c>
      <c r="O248" t="n">
        <v>0</v>
      </c>
      <c r="P248" t="n">
        <v>0</v>
      </c>
      <c r="Q248" t="n">
        <v>0</v>
      </c>
      <c r="R248" s="2" t="inlineStr"/>
    </row>
    <row r="249" ht="15" customHeight="1">
      <c r="A249" t="inlineStr">
        <is>
          <t>A 21395-2025</t>
        </is>
      </c>
      <c r="B249" s="1" t="n">
        <v>45782.48197916667</v>
      </c>
      <c r="C249" s="1" t="n">
        <v>45908</v>
      </c>
      <c r="D249" t="inlineStr">
        <is>
          <t>DALARNAS LÄN</t>
        </is>
      </c>
      <c r="E249" t="inlineStr">
        <is>
          <t>ÄLVDALEN</t>
        </is>
      </c>
      <c r="G249" t="n">
        <v>6.4</v>
      </c>
      <c r="H249" t="n">
        <v>0</v>
      </c>
      <c r="I249" t="n">
        <v>0</v>
      </c>
      <c r="J249" t="n">
        <v>0</v>
      </c>
      <c r="K249" t="n">
        <v>0</v>
      </c>
      <c r="L249" t="n">
        <v>0</v>
      </c>
      <c r="M249" t="n">
        <v>0</v>
      </c>
      <c r="N249" t="n">
        <v>0</v>
      </c>
      <c r="O249" t="n">
        <v>0</v>
      </c>
      <c r="P249" t="n">
        <v>0</v>
      </c>
      <c r="Q249" t="n">
        <v>0</v>
      </c>
      <c r="R249" s="2" t="inlineStr"/>
    </row>
    <row r="250" ht="15" customHeight="1">
      <c r="A250" t="inlineStr">
        <is>
          <t>A 23553-2025</t>
        </is>
      </c>
      <c r="B250" s="1" t="n">
        <v>45792</v>
      </c>
      <c r="C250" s="1" t="n">
        <v>45908</v>
      </c>
      <c r="D250" t="inlineStr">
        <is>
          <t>DALARNAS LÄN</t>
        </is>
      </c>
      <c r="E250" t="inlineStr">
        <is>
          <t>ÄLVDALEN</t>
        </is>
      </c>
      <c r="G250" t="n">
        <v>46.2</v>
      </c>
      <c r="H250" t="n">
        <v>0</v>
      </c>
      <c r="I250" t="n">
        <v>0</v>
      </c>
      <c r="J250" t="n">
        <v>0</v>
      </c>
      <c r="K250" t="n">
        <v>0</v>
      </c>
      <c r="L250" t="n">
        <v>0</v>
      </c>
      <c r="M250" t="n">
        <v>0</v>
      </c>
      <c r="N250" t="n">
        <v>0</v>
      </c>
      <c r="O250" t="n">
        <v>0</v>
      </c>
      <c r="P250" t="n">
        <v>0</v>
      </c>
      <c r="Q250" t="n">
        <v>0</v>
      </c>
      <c r="R250" s="2" t="inlineStr"/>
    </row>
    <row r="251" ht="15" customHeight="1">
      <c r="A251" t="inlineStr">
        <is>
          <t>A 21613-2025</t>
        </is>
      </c>
      <c r="B251" s="1" t="n">
        <v>45783.39542824074</v>
      </c>
      <c r="C251" s="1" t="n">
        <v>45908</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68219-2021</t>
        </is>
      </c>
      <c r="B252" s="1" t="n">
        <v>44526.57060185185</v>
      </c>
      <c r="C252" s="1" t="n">
        <v>45908</v>
      </c>
      <c r="D252" t="inlineStr">
        <is>
          <t>DALARNAS LÄN</t>
        </is>
      </c>
      <c r="E252" t="inlineStr">
        <is>
          <t>ÄLVDALEN</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48849-2022</t>
        </is>
      </c>
      <c r="B253" s="1" t="n">
        <v>44859</v>
      </c>
      <c r="C253" s="1" t="n">
        <v>45908</v>
      </c>
      <c r="D253" t="inlineStr">
        <is>
          <t>DALARNAS LÄN</t>
        </is>
      </c>
      <c r="E253" t="inlineStr">
        <is>
          <t>ÄLVDALEN</t>
        </is>
      </c>
      <c r="F253" t="inlineStr">
        <is>
          <t>Allmännings- och besparingsskogar</t>
        </is>
      </c>
      <c r="G253" t="n">
        <v>2.4</v>
      </c>
      <c r="H253" t="n">
        <v>0</v>
      </c>
      <c r="I253" t="n">
        <v>0</v>
      </c>
      <c r="J253" t="n">
        <v>0</v>
      </c>
      <c r="K253" t="n">
        <v>0</v>
      </c>
      <c r="L253" t="n">
        <v>0</v>
      </c>
      <c r="M253" t="n">
        <v>0</v>
      </c>
      <c r="N253" t="n">
        <v>0</v>
      </c>
      <c r="O253" t="n">
        <v>0</v>
      </c>
      <c r="P253" t="n">
        <v>0</v>
      </c>
      <c r="Q253" t="n">
        <v>0</v>
      </c>
      <c r="R253" s="2" t="inlineStr"/>
    </row>
    <row r="254" ht="15" customHeight="1">
      <c r="A254" t="inlineStr">
        <is>
          <t>A 21629-2025</t>
        </is>
      </c>
      <c r="B254" s="1" t="n">
        <v>45783.4247337963</v>
      </c>
      <c r="C254" s="1" t="n">
        <v>45908</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37061-2024</t>
        </is>
      </c>
      <c r="B255" s="1" t="n">
        <v>45539</v>
      </c>
      <c r="C255" s="1" t="n">
        <v>45908</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22189-2025</t>
        </is>
      </c>
      <c r="B256" s="1" t="n">
        <v>45785.62479166667</v>
      </c>
      <c r="C256" s="1" t="n">
        <v>45908</v>
      </c>
      <c r="D256" t="inlineStr">
        <is>
          <t>DALARNAS LÄN</t>
        </is>
      </c>
      <c r="E256" t="inlineStr">
        <is>
          <t>ÄLVDALEN</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37730-2023</t>
        </is>
      </c>
      <c r="B257" s="1" t="n">
        <v>45159</v>
      </c>
      <c r="C257" s="1" t="n">
        <v>45908</v>
      </c>
      <c r="D257" t="inlineStr">
        <is>
          <t>DALARNAS LÄN</t>
        </is>
      </c>
      <c r="E257" t="inlineStr">
        <is>
          <t>ÄLVDALEN</t>
        </is>
      </c>
      <c r="G257" t="n">
        <v>5.4</v>
      </c>
      <c r="H257" t="n">
        <v>0</v>
      </c>
      <c r="I257" t="n">
        <v>0</v>
      </c>
      <c r="J257" t="n">
        <v>0</v>
      </c>
      <c r="K257" t="n">
        <v>0</v>
      </c>
      <c r="L257" t="n">
        <v>0</v>
      </c>
      <c r="M257" t="n">
        <v>0</v>
      </c>
      <c r="N257" t="n">
        <v>0</v>
      </c>
      <c r="O257" t="n">
        <v>0</v>
      </c>
      <c r="P257" t="n">
        <v>0</v>
      </c>
      <c r="Q257" t="n">
        <v>0</v>
      </c>
      <c r="R257" s="2" t="inlineStr"/>
    </row>
    <row r="258" ht="15" customHeight="1">
      <c r="A258" t="inlineStr">
        <is>
          <t>A 19708-2024</t>
        </is>
      </c>
      <c r="B258" s="1" t="n">
        <v>45432.55324074074</v>
      </c>
      <c r="C258" s="1" t="n">
        <v>45908</v>
      </c>
      <c r="D258" t="inlineStr">
        <is>
          <t>DALARNAS LÄN</t>
        </is>
      </c>
      <c r="E258" t="inlineStr">
        <is>
          <t>ÄLVDALEN</t>
        </is>
      </c>
      <c r="G258" t="n">
        <v>12.4</v>
      </c>
      <c r="H258" t="n">
        <v>0</v>
      </c>
      <c r="I258" t="n">
        <v>0</v>
      </c>
      <c r="J258" t="n">
        <v>0</v>
      </c>
      <c r="K258" t="n">
        <v>0</v>
      </c>
      <c r="L258" t="n">
        <v>0</v>
      </c>
      <c r="M258" t="n">
        <v>0</v>
      </c>
      <c r="N258" t="n">
        <v>0</v>
      </c>
      <c r="O258" t="n">
        <v>0</v>
      </c>
      <c r="P258" t="n">
        <v>0</v>
      </c>
      <c r="Q258" t="n">
        <v>0</v>
      </c>
      <c r="R258" s="2" t="inlineStr"/>
    </row>
    <row r="259" ht="15" customHeight="1">
      <c r="A259" t="inlineStr">
        <is>
          <t>A 30727-2024</t>
        </is>
      </c>
      <c r="B259" s="1" t="n">
        <v>45496.55789351852</v>
      </c>
      <c r="C259" s="1" t="n">
        <v>45908</v>
      </c>
      <c r="D259" t="inlineStr">
        <is>
          <t>DALARNAS LÄN</t>
        </is>
      </c>
      <c r="E259" t="inlineStr">
        <is>
          <t>ÄLVDALEN</t>
        </is>
      </c>
      <c r="F259" t="inlineStr">
        <is>
          <t>Allmännings- och besparingsskogar</t>
        </is>
      </c>
      <c r="G259" t="n">
        <v>35.7</v>
      </c>
      <c r="H259" t="n">
        <v>0</v>
      </c>
      <c r="I259" t="n">
        <v>0</v>
      </c>
      <c r="J259" t="n">
        <v>0</v>
      </c>
      <c r="K259" t="n">
        <v>0</v>
      </c>
      <c r="L259" t="n">
        <v>0</v>
      </c>
      <c r="M259" t="n">
        <v>0</v>
      </c>
      <c r="N259" t="n">
        <v>0</v>
      </c>
      <c r="O259" t="n">
        <v>0</v>
      </c>
      <c r="P259" t="n">
        <v>0</v>
      </c>
      <c r="Q259" t="n">
        <v>0</v>
      </c>
      <c r="R259" s="2" t="inlineStr"/>
    </row>
    <row r="260" ht="15" customHeight="1">
      <c r="A260" t="inlineStr">
        <is>
          <t>A 1790-2024</t>
        </is>
      </c>
      <c r="B260" s="1" t="n">
        <v>45307.5731712963</v>
      </c>
      <c r="C260" s="1" t="n">
        <v>45908</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21469-2024</t>
        </is>
      </c>
      <c r="B261" s="1" t="n">
        <v>45441.486875</v>
      </c>
      <c r="C261" s="1" t="n">
        <v>45908</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57533-2024</t>
        </is>
      </c>
      <c r="B262" s="1" t="n">
        <v>45630.4246875</v>
      </c>
      <c r="C262" s="1" t="n">
        <v>45908</v>
      </c>
      <c r="D262" t="inlineStr">
        <is>
          <t>DALARNAS LÄN</t>
        </is>
      </c>
      <c r="E262" t="inlineStr">
        <is>
          <t>ÄLVDALEN</t>
        </is>
      </c>
      <c r="G262" t="n">
        <v>2.5</v>
      </c>
      <c r="H262" t="n">
        <v>0</v>
      </c>
      <c r="I262" t="n">
        <v>0</v>
      </c>
      <c r="J262" t="n">
        <v>0</v>
      </c>
      <c r="K262" t="n">
        <v>0</v>
      </c>
      <c r="L262" t="n">
        <v>0</v>
      </c>
      <c r="M262" t="n">
        <v>0</v>
      </c>
      <c r="N262" t="n">
        <v>0</v>
      </c>
      <c r="O262" t="n">
        <v>0</v>
      </c>
      <c r="P262" t="n">
        <v>0</v>
      </c>
      <c r="Q262" t="n">
        <v>0</v>
      </c>
      <c r="R262" s="2" t="inlineStr"/>
    </row>
    <row r="263" ht="15" customHeight="1">
      <c r="A263" t="inlineStr">
        <is>
          <t>A 1804-2024</t>
        </is>
      </c>
      <c r="B263" s="1" t="n">
        <v>45307.59216435185</v>
      </c>
      <c r="C263" s="1" t="n">
        <v>45908</v>
      </c>
      <c r="D263" t="inlineStr">
        <is>
          <t>DALARNAS LÄN</t>
        </is>
      </c>
      <c r="E263" t="inlineStr">
        <is>
          <t>ÄLVDALEN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32594-2023</t>
        </is>
      </c>
      <c r="B264" s="1" t="n">
        <v>45121.50986111111</v>
      </c>
      <c r="C264" s="1" t="n">
        <v>45908</v>
      </c>
      <c r="D264" t="inlineStr">
        <is>
          <t>DALARNAS LÄN</t>
        </is>
      </c>
      <c r="E264" t="inlineStr">
        <is>
          <t>ÄLVDALEN</t>
        </is>
      </c>
      <c r="G264" t="n">
        <v>4</v>
      </c>
      <c r="H264" t="n">
        <v>0</v>
      </c>
      <c r="I264" t="n">
        <v>0</v>
      </c>
      <c r="J264" t="n">
        <v>0</v>
      </c>
      <c r="K264" t="n">
        <v>0</v>
      </c>
      <c r="L264" t="n">
        <v>0</v>
      </c>
      <c r="M264" t="n">
        <v>0</v>
      </c>
      <c r="N264" t="n">
        <v>0</v>
      </c>
      <c r="O264" t="n">
        <v>0</v>
      </c>
      <c r="P264" t="n">
        <v>0</v>
      </c>
      <c r="Q264" t="n">
        <v>0</v>
      </c>
      <c r="R264" s="2" t="inlineStr"/>
    </row>
    <row r="265" ht="15" customHeight="1">
      <c r="A265" t="inlineStr">
        <is>
          <t>A 629-2025</t>
        </is>
      </c>
      <c r="B265" s="1" t="n">
        <v>45660</v>
      </c>
      <c r="C265" s="1" t="n">
        <v>45908</v>
      </c>
      <c r="D265" t="inlineStr">
        <is>
          <t>DALARNAS LÄN</t>
        </is>
      </c>
      <c r="E265" t="inlineStr">
        <is>
          <t>ÄLVDALEN</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45908</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49063-2023</t>
        </is>
      </c>
      <c r="B267" s="1" t="n">
        <v>45210</v>
      </c>
      <c r="C267" s="1" t="n">
        <v>45908</v>
      </c>
      <c r="D267" t="inlineStr">
        <is>
          <t>DALARNAS LÄN</t>
        </is>
      </c>
      <c r="E267" t="inlineStr">
        <is>
          <t>ÄLVDALEN</t>
        </is>
      </c>
      <c r="G267" t="n">
        <v>4.1</v>
      </c>
      <c r="H267" t="n">
        <v>0</v>
      </c>
      <c r="I267" t="n">
        <v>0</v>
      </c>
      <c r="J267" t="n">
        <v>0</v>
      </c>
      <c r="K267" t="n">
        <v>0</v>
      </c>
      <c r="L267" t="n">
        <v>0</v>
      </c>
      <c r="M267" t="n">
        <v>0</v>
      </c>
      <c r="N267" t="n">
        <v>0</v>
      </c>
      <c r="O267" t="n">
        <v>0</v>
      </c>
      <c r="P267" t="n">
        <v>0</v>
      </c>
      <c r="Q267" t="n">
        <v>0</v>
      </c>
      <c r="R267" s="2" t="inlineStr"/>
    </row>
    <row r="268" ht="15" customHeight="1">
      <c r="A268" t="inlineStr">
        <is>
          <t>A 36285-2024</t>
        </is>
      </c>
      <c r="B268" s="1" t="n">
        <v>45534.59008101852</v>
      </c>
      <c r="C268" s="1" t="n">
        <v>45908</v>
      </c>
      <c r="D268" t="inlineStr">
        <is>
          <t>DALARNAS LÄN</t>
        </is>
      </c>
      <c r="E268" t="inlineStr">
        <is>
          <t>ÄLVDALEN</t>
        </is>
      </c>
      <c r="G268" t="n">
        <v>4.9</v>
      </c>
      <c r="H268" t="n">
        <v>0</v>
      </c>
      <c r="I268" t="n">
        <v>0</v>
      </c>
      <c r="J268" t="n">
        <v>0</v>
      </c>
      <c r="K268" t="n">
        <v>0</v>
      </c>
      <c r="L268" t="n">
        <v>0</v>
      </c>
      <c r="M268" t="n">
        <v>0</v>
      </c>
      <c r="N268" t="n">
        <v>0</v>
      </c>
      <c r="O268" t="n">
        <v>0</v>
      </c>
      <c r="P268" t="n">
        <v>0</v>
      </c>
      <c r="Q268" t="n">
        <v>0</v>
      </c>
      <c r="R268" s="2" t="inlineStr"/>
    </row>
    <row r="269" ht="15" customHeight="1">
      <c r="A269" t="inlineStr">
        <is>
          <t>A 15760-2024</t>
        </is>
      </c>
      <c r="B269" s="1" t="n">
        <v>45404</v>
      </c>
      <c r="C269" s="1" t="n">
        <v>45908</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39227-2024</t>
        </is>
      </c>
      <c r="B270" s="1" t="n">
        <v>45550.50548611111</v>
      </c>
      <c r="C270" s="1" t="n">
        <v>45908</v>
      </c>
      <c r="D270" t="inlineStr">
        <is>
          <t>DALARNAS LÄN</t>
        </is>
      </c>
      <c r="E270" t="inlineStr">
        <is>
          <t>ÄLVDALEN</t>
        </is>
      </c>
      <c r="G270" t="n">
        <v>0.2</v>
      </c>
      <c r="H270" t="n">
        <v>0</v>
      </c>
      <c r="I270" t="n">
        <v>0</v>
      </c>
      <c r="J270" t="n">
        <v>0</v>
      </c>
      <c r="K270" t="n">
        <v>0</v>
      </c>
      <c r="L270" t="n">
        <v>0</v>
      </c>
      <c r="M270" t="n">
        <v>0</v>
      </c>
      <c r="N270" t="n">
        <v>0</v>
      </c>
      <c r="O270" t="n">
        <v>0</v>
      </c>
      <c r="P270" t="n">
        <v>0</v>
      </c>
      <c r="Q270" t="n">
        <v>0</v>
      </c>
      <c r="R270" s="2" t="inlineStr"/>
    </row>
    <row r="271" ht="15" customHeight="1">
      <c r="A271" t="inlineStr">
        <is>
          <t>A 22631-2025</t>
        </is>
      </c>
      <c r="B271" s="1" t="n">
        <v>45789.44056712963</v>
      </c>
      <c r="C271" s="1" t="n">
        <v>45908</v>
      </c>
      <c r="D271" t="inlineStr">
        <is>
          <t>DALARNAS LÄN</t>
        </is>
      </c>
      <c r="E271" t="inlineStr">
        <is>
          <t>ÄLVDALEN</t>
        </is>
      </c>
      <c r="F271" t="inlineStr">
        <is>
          <t>Allmännings- och besparingsskogar</t>
        </is>
      </c>
      <c r="G271" t="n">
        <v>2</v>
      </c>
      <c r="H271" t="n">
        <v>0</v>
      </c>
      <c r="I271" t="n">
        <v>0</v>
      </c>
      <c r="J271" t="n">
        <v>0</v>
      </c>
      <c r="K271" t="n">
        <v>0</v>
      </c>
      <c r="L271" t="n">
        <v>0</v>
      </c>
      <c r="M271" t="n">
        <v>0</v>
      </c>
      <c r="N271" t="n">
        <v>0</v>
      </c>
      <c r="O271" t="n">
        <v>0</v>
      </c>
      <c r="P271" t="n">
        <v>0</v>
      </c>
      <c r="Q271" t="n">
        <v>0</v>
      </c>
      <c r="R271" s="2" t="inlineStr"/>
    </row>
    <row r="272" ht="15" customHeight="1">
      <c r="A272" t="inlineStr">
        <is>
          <t>A 54076-2024</t>
        </is>
      </c>
      <c r="B272" s="1" t="n">
        <v>45616</v>
      </c>
      <c r="C272" s="1" t="n">
        <v>45908</v>
      </c>
      <c r="D272" t="inlineStr">
        <is>
          <t>DALARNAS LÄN</t>
        </is>
      </c>
      <c r="E272" t="inlineStr">
        <is>
          <t>ÄLVDALEN</t>
        </is>
      </c>
      <c r="G272" t="n">
        <v>1.7</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45908</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22559-2025</t>
        </is>
      </c>
      <c r="B274" s="1" t="n">
        <v>45789.32916666667</v>
      </c>
      <c r="C274" s="1" t="n">
        <v>45908</v>
      </c>
      <c r="D274" t="inlineStr">
        <is>
          <t>DALARNAS LÄN</t>
        </is>
      </c>
      <c r="E274" t="inlineStr">
        <is>
          <t>ÄLVDALEN</t>
        </is>
      </c>
      <c r="F274" t="inlineStr">
        <is>
          <t>Allmännings- och besparingsskogar</t>
        </is>
      </c>
      <c r="G274" t="n">
        <v>6.4</v>
      </c>
      <c r="H274" t="n">
        <v>0</v>
      </c>
      <c r="I274" t="n">
        <v>0</v>
      </c>
      <c r="J274" t="n">
        <v>0</v>
      </c>
      <c r="K274" t="n">
        <v>0</v>
      </c>
      <c r="L274" t="n">
        <v>0</v>
      </c>
      <c r="M274" t="n">
        <v>0</v>
      </c>
      <c r="N274" t="n">
        <v>0</v>
      </c>
      <c r="O274" t="n">
        <v>0</v>
      </c>
      <c r="P274" t="n">
        <v>0</v>
      </c>
      <c r="Q274" t="n">
        <v>0</v>
      </c>
      <c r="R274" s="2" t="inlineStr"/>
    </row>
    <row r="275" ht="15" customHeight="1">
      <c r="A275" t="inlineStr">
        <is>
          <t>A 7164-2021</t>
        </is>
      </c>
      <c r="B275" s="1" t="n">
        <v>44238</v>
      </c>
      <c r="C275" s="1" t="n">
        <v>45908</v>
      </c>
      <c r="D275" t="inlineStr">
        <is>
          <t>DALARNAS LÄN</t>
        </is>
      </c>
      <c r="E275" t="inlineStr">
        <is>
          <t>ÄLVDALEN</t>
        </is>
      </c>
      <c r="G275" t="n">
        <v>1.1</v>
      </c>
      <c r="H275" t="n">
        <v>0</v>
      </c>
      <c r="I275" t="n">
        <v>0</v>
      </c>
      <c r="J275" t="n">
        <v>0</v>
      </c>
      <c r="K275" t="n">
        <v>0</v>
      </c>
      <c r="L275" t="n">
        <v>0</v>
      </c>
      <c r="M275" t="n">
        <v>0</v>
      </c>
      <c r="N275" t="n">
        <v>0</v>
      </c>
      <c r="O275" t="n">
        <v>0</v>
      </c>
      <c r="P275" t="n">
        <v>0</v>
      </c>
      <c r="Q275" t="n">
        <v>0</v>
      </c>
      <c r="R275" s="2" t="inlineStr"/>
    </row>
    <row r="276" ht="15" customHeight="1">
      <c r="A276" t="inlineStr">
        <is>
          <t>A 22279-2025</t>
        </is>
      </c>
      <c r="B276" s="1" t="n">
        <v>45786.33336805556</v>
      </c>
      <c r="C276" s="1" t="n">
        <v>45908</v>
      </c>
      <c r="D276" t="inlineStr">
        <is>
          <t>DALARNAS LÄN</t>
        </is>
      </c>
      <c r="E276" t="inlineStr">
        <is>
          <t>ÄLVDALEN</t>
        </is>
      </c>
      <c r="F276" t="inlineStr">
        <is>
          <t>Allmännings- och besparingsskogar</t>
        </is>
      </c>
      <c r="G276" t="n">
        <v>11.2</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45908</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22303-2025</t>
        </is>
      </c>
      <c r="B278" s="1" t="n">
        <v>45786</v>
      </c>
      <c r="C278" s="1" t="n">
        <v>45908</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61070-2024</t>
        </is>
      </c>
      <c r="B279" s="1" t="n">
        <v>45645.50170138889</v>
      </c>
      <c r="C279" s="1" t="n">
        <v>45908</v>
      </c>
      <c r="D279" t="inlineStr">
        <is>
          <t>DALARNAS LÄN</t>
        </is>
      </c>
      <c r="E279" t="inlineStr">
        <is>
          <t>ÄLVDALEN</t>
        </is>
      </c>
      <c r="G279" t="n">
        <v>5.6</v>
      </c>
      <c r="H279" t="n">
        <v>0</v>
      </c>
      <c r="I279" t="n">
        <v>0</v>
      </c>
      <c r="J279" t="n">
        <v>0</v>
      </c>
      <c r="K279" t="n">
        <v>0</v>
      </c>
      <c r="L279" t="n">
        <v>0</v>
      </c>
      <c r="M279" t="n">
        <v>0</v>
      </c>
      <c r="N279" t="n">
        <v>0</v>
      </c>
      <c r="O279" t="n">
        <v>0</v>
      </c>
      <c r="P279" t="n">
        <v>0</v>
      </c>
      <c r="Q279" t="n">
        <v>0</v>
      </c>
      <c r="R279" s="2" t="inlineStr"/>
    </row>
    <row r="280" ht="15" customHeight="1">
      <c r="A280" t="inlineStr">
        <is>
          <t>A 47666-2024</t>
        </is>
      </c>
      <c r="B280" s="1" t="n">
        <v>45588.39283564815</v>
      </c>
      <c r="C280" s="1" t="n">
        <v>45908</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57470-2023</t>
        </is>
      </c>
      <c r="B281" s="1" t="n">
        <v>45246</v>
      </c>
      <c r="C281" s="1" t="n">
        <v>45908</v>
      </c>
      <c r="D281" t="inlineStr">
        <is>
          <t>DALARNAS LÄN</t>
        </is>
      </c>
      <c r="E281" t="inlineStr">
        <is>
          <t>ÄLVDALEN</t>
        </is>
      </c>
      <c r="G281" t="n">
        <v>0.4</v>
      </c>
      <c r="H281" t="n">
        <v>0</v>
      </c>
      <c r="I281" t="n">
        <v>0</v>
      </c>
      <c r="J281" t="n">
        <v>0</v>
      </c>
      <c r="K281" t="n">
        <v>0</v>
      </c>
      <c r="L281" t="n">
        <v>0</v>
      </c>
      <c r="M281" t="n">
        <v>0</v>
      </c>
      <c r="N281" t="n">
        <v>0</v>
      </c>
      <c r="O281" t="n">
        <v>0</v>
      </c>
      <c r="P281" t="n">
        <v>0</v>
      </c>
      <c r="Q281" t="n">
        <v>0</v>
      </c>
      <c r="R281" s="2" t="inlineStr"/>
    </row>
    <row r="282" ht="15" customHeight="1">
      <c r="A282" t="inlineStr">
        <is>
          <t>A 39010-2024</t>
        </is>
      </c>
      <c r="B282" s="1" t="n">
        <v>45548</v>
      </c>
      <c r="C282" s="1" t="n">
        <v>45908</v>
      </c>
      <c r="D282" t="inlineStr">
        <is>
          <t>DALARNAS LÄN</t>
        </is>
      </c>
      <c r="E282" t="inlineStr">
        <is>
          <t>ÄLVDALEN</t>
        </is>
      </c>
      <c r="G282" t="n">
        <v>1.7</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45908</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74322-2021</t>
        </is>
      </c>
      <c r="B284" s="1" t="n">
        <v>44558</v>
      </c>
      <c r="C284" s="1" t="n">
        <v>45908</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60265-2021</t>
        </is>
      </c>
      <c r="B285" s="1" t="n">
        <v>44495.68053240741</v>
      </c>
      <c r="C285" s="1" t="n">
        <v>45908</v>
      </c>
      <c r="D285" t="inlineStr">
        <is>
          <t>DALARNAS LÄN</t>
        </is>
      </c>
      <c r="E285" t="inlineStr">
        <is>
          <t>ÄLVDALEN</t>
        </is>
      </c>
      <c r="F285" t="inlineStr">
        <is>
          <t>Allmännings- och besparingsskogar</t>
        </is>
      </c>
      <c r="G285" t="n">
        <v>10</v>
      </c>
      <c r="H285" t="n">
        <v>0</v>
      </c>
      <c r="I285" t="n">
        <v>0</v>
      </c>
      <c r="J285" t="n">
        <v>0</v>
      </c>
      <c r="K285" t="n">
        <v>0</v>
      </c>
      <c r="L285" t="n">
        <v>0</v>
      </c>
      <c r="M285" t="n">
        <v>0</v>
      </c>
      <c r="N285" t="n">
        <v>0</v>
      </c>
      <c r="O285" t="n">
        <v>0</v>
      </c>
      <c r="P285" t="n">
        <v>0</v>
      </c>
      <c r="Q285" t="n">
        <v>0</v>
      </c>
      <c r="R285" s="2" t="inlineStr"/>
    </row>
    <row r="286" ht="15" customHeight="1">
      <c r="A286" t="inlineStr">
        <is>
          <t>A 30411-2024</t>
        </is>
      </c>
      <c r="B286" s="1" t="n">
        <v>45491.62447916667</v>
      </c>
      <c r="C286" s="1" t="n">
        <v>45908</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51967-2023</t>
        </is>
      </c>
      <c r="B287" s="1" t="n">
        <v>45223.56440972222</v>
      </c>
      <c r="C287" s="1" t="n">
        <v>45908</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14089-2022</t>
        </is>
      </c>
      <c r="B288" s="1" t="n">
        <v>44651</v>
      </c>
      <c r="C288" s="1" t="n">
        <v>45908</v>
      </c>
      <c r="D288" t="inlineStr">
        <is>
          <t>DALARNAS LÄN</t>
        </is>
      </c>
      <c r="E288" t="inlineStr">
        <is>
          <t>ÄLVDALEN</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32359-2024</t>
        </is>
      </c>
      <c r="B289" s="1" t="n">
        <v>45512.56623842593</v>
      </c>
      <c r="C289" s="1" t="n">
        <v>45908</v>
      </c>
      <c r="D289" t="inlineStr">
        <is>
          <t>DALARNAS LÄN</t>
        </is>
      </c>
      <c r="E289" t="inlineStr">
        <is>
          <t>ÄLVDALEN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22909-2025</t>
        </is>
      </c>
      <c r="B290" s="1" t="n">
        <v>45790.42219907408</v>
      </c>
      <c r="C290" s="1" t="n">
        <v>45908</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46011-2023</t>
        </is>
      </c>
      <c r="B291" s="1" t="n">
        <v>45196.38245370371</v>
      </c>
      <c r="C291" s="1" t="n">
        <v>45908</v>
      </c>
      <c r="D291" t="inlineStr">
        <is>
          <t>DALARNAS LÄN</t>
        </is>
      </c>
      <c r="E291" t="inlineStr">
        <is>
          <t>ÄLVDALEN</t>
        </is>
      </c>
      <c r="F291" t="inlineStr">
        <is>
          <t>Bergvik skog väst AB</t>
        </is>
      </c>
      <c r="G291" t="n">
        <v>2</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45908</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23219-2025</t>
        </is>
      </c>
      <c r="B293" s="1" t="n">
        <v>45791.47893518519</v>
      </c>
      <c r="C293" s="1" t="n">
        <v>45908</v>
      </c>
      <c r="D293" t="inlineStr">
        <is>
          <t>DALARNAS LÄN</t>
        </is>
      </c>
      <c r="E293" t="inlineStr">
        <is>
          <t>ÄLVDALEN</t>
        </is>
      </c>
      <c r="F293" t="inlineStr">
        <is>
          <t>Bergvik skog öst AB</t>
        </is>
      </c>
      <c r="G293" t="n">
        <v>16.7</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45908</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23999-2024</t>
        </is>
      </c>
      <c r="B295" s="1" t="n">
        <v>45456.37555555555</v>
      </c>
      <c r="C295" s="1" t="n">
        <v>45908</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24002-2024</t>
        </is>
      </c>
      <c r="B296" s="1" t="n">
        <v>45456.3827662037</v>
      </c>
      <c r="C296" s="1" t="n">
        <v>45908</v>
      </c>
      <c r="D296" t="inlineStr">
        <is>
          <t>DALARNAS LÄN</t>
        </is>
      </c>
      <c r="E296" t="inlineStr">
        <is>
          <t>ÄLVDALEN</t>
        </is>
      </c>
      <c r="G296" t="n">
        <v>1</v>
      </c>
      <c r="H296" t="n">
        <v>0</v>
      </c>
      <c r="I296" t="n">
        <v>0</v>
      </c>
      <c r="J296" t="n">
        <v>0</v>
      </c>
      <c r="K296" t="n">
        <v>0</v>
      </c>
      <c r="L296" t="n">
        <v>0</v>
      </c>
      <c r="M296" t="n">
        <v>0</v>
      </c>
      <c r="N296" t="n">
        <v>0</v>
      </c>
      <c r="O296" t="n">
        <v>0</v>
      </c>
      <c r="P296" t="n">
        <v>0</v>
      </c>
      <c r="Q296" t="n">
        <v>0</v>
      </c>
      <c r="R296" s="2" t="inlineStr"/>
    </row>
    <row r="297" ht="15" customHeight="1">
      <c r="A297" t="inlineStr">
        <is>
          <t>A 4380-2024</t>
        </is>
      </c>
      <c r="B297" s="1" t="n">
        <v>45327</v>
      </c>
      <c r="C297" s="1" t="n">
        <v>45908</v>
      </c>
      <c r="D297" t="inlineStr">
        <is>
          <t>DALARNAS LÄN</t>
        </is>
      </c>
      <c r="E297" t="inlineStr">
        <is>
          <t>ÄLVDALEN</t>
        </is>
      </c>
      <c r="G297" t="n">
        <v>6.3</v>
      </c>
      <c r="H297" t="n">
        <v>0</v>
      </c>
      <c r="I297" t="n">
        <v>0</v>
      </c>
      <c r="J297" t="n">
        <v>0</v>
      </c>
      <c r="K297" t="n">
        <v>0</v>
      </c>
      <c r="L297" t="n">
        <v>0</v>
      </c>
      <c r="M297" t="n">
        <v>0</v>
      </c>
      <c r="N297" t="n">
        <v>0</v>
      </c>
      <c r="O297" t="n">
        <v>0</v>
      </c>
      <c r="P297" t="n">
        <v>0</v>
      </c>
      <c r="Q297" t="n">
        <v>0</v>
      </c>
      <c r="R297" s="2" t="inlineStr"/>
    </row>
    <row r="298" ht="15" customHeight="1">
      <c r="A298" t="inlineStr">
        <is>
          <t>A 23555-2025</t>
        </is>
      </c>
      <c r="B298" s="1" t="n">
        <v>45792.57824074074</v>
      </c>
      <c r="C298" s="1" t="n">
        <v>45908</v>
      </c>
      <c r="D298" t="inlineStr">
        <is>
          <t>DALARNAS LÄN</t>
        </is>
      </c>
      <c r="E298" t="inlineStr">
        <is>
          <t>ÄLVDALEN</t>
        </is>
      </c>
      <c r="G298" t="n">
        <v>3.1</v>
      </c>
      <c r="H298" t="n">
        <v>0</v>
      </c>
      <c r="I298" t="n">
        <v>0</v>
      </c>
      <c r="J298" t="n">
        <v>0</v>
      </c>
      <c r="K298" t="n">
        <v>0</v>
      </c>
      <c r="L298" t="n">
        <v>0</v>
      </c>
      <c r="M298" t="n">
        <v>0</v>
      </c>
      <c r="N298" t="n">
        <v>0</v>
      </c>
      <c r="O298" t="n">
        <v>0</v>
      </c>
      <c r="P298" t="n">
        <v>0</v>
      </c>
      <c r="Q298" t="n">
        <v>0</v>
      </c>
      <c r="R298" s="2" t="inlineStr"/>
    </row>
    <row r="299" ht="15" customHeight="1">
      <c r="A299" t="inlineStr">
        <is>
          <t>A 32237-2025</t>
        </is>
      </c>
      <c r="B299" s="1" t="n">
        <v>45835.61434027777</v>
      </c>
      <c r="C299" s="1" t="n">
        <v>45908</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52167-2024</t>
        </is>
      </c>
      <c r="B300" s="1" t="n">
        <v>45608.53949074074</v>
      </c>
      <c r="C300" s="1" t="n">
        <v>45908</v>
      </c>
      <c r="D300" t="inlineStr">
        <is>
          <t>DALARNAS LÄN</t>
        </is>
      </c>
      <c r="E300" t="inlineStr">
        <is>
          <t>ÄLVDALEN</t>
        </is>
      </c>
      <c r="G300" t="n">
        <v>0.6</v>
      </c>
      <c r="H300" t="n">
        <v>0</v>
      </c>
      <c r="I300" t="n">
        <v>0</v>
      </c>
      <c r="J300" t="n">
        <v>0</v>
      </c>
      <c r="K300" t="n">
        <v>0</v>
      </c>
      <c r="L300" t="n">
        <v>0</v>
      </c>
      <c r="M300" t="n">
        <v>0</v>
      </c>
      <c r="N300" t="n">
        <v>0</v>
      </c>
      <c r="O300" t="n">
        <v>0</v>
      </c>
      <c r="P300" t="n">
        <v>0</v>
      </c>
      <c r="Q300" t="n">
        <v>0</v>
      </c>
      <c r="R300" s="2" t="inlineStr"/>
    </row>
    <row r="301" ht="15" customHeight="1">
      <c r="A301" t="inlineStr">
        <is>
          <t>A 68383-2021</t>
        </is>
      </c>
      <c r="B301" s="1" t="n">
        <v>44529</v>
      </c>
      <c r="C301" s="1" t="n">
        <v>45908</v>
      </c>
      <c r="D301" t="inlineStr">
        <is>
          <t>DALARNAS LÄN</t>
        </is>
      </c>
      <c r="E301" t="inlineStr">
        <is>
          <t>ÄLVDALEN</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30225-2023</t>
        </is>
      </c>
      <c r="B302" s="1" t="n">
        <v>45110.64971064815</v>
      </c>
      <c r="C302" s="1" t="n">
        <v>45908</v>
      </c>
      <c r="D302" t="inlineStr">
        <is>
          <t>DALARNAS LÄN</t>
        </is>
      </c>
      <c r="E302" t="inlineStr">
        <is>
          <t>ÄLVDALEN</t>
        </is>
      </c>
      <c r="F302" t="inlineStr">
        <is>
          <t>Allmännings- och besparingsskogar</t>
        </is>
      </c>
      <c r="G302" t="n">
        <v>0.6</v>
      </c>
      <c r="H302" t="n">
        <v>0</v>
      </c>
      <c r="I302" t="n">
        <v>0</v>
      </c>
      <c r="J302" t="n">
        <v>0</v>
      </c>
      <c r="K302" t="n">
        <v>0</v>
      </c>
      <c r="L302" t="n">
        <v>0</v>
      </c>
      <c r="M302" t="n">
        <v>0</v>
      </c>
      <c r="N302" t="n">
        <v>0</v>
      </c>
      <c r="O302" t="n">
        <v>0</v>
      </c>
      <c r="P302" t="n">
        <v>0</v>
      </c>
      <c r="Q302" t="n">
        <v>0</v>
      </c>
      <c r="R302" s="2" t="inlineStr"/>
    </row>
    <row r="303" ht="15" customHeight="1">
      <c r="A303" t="inlineStr">
        <is>
          <t>A 45122-2023</t>
        </is>
      </c>
      <c r="B303" s="1" t="n">
        <v>45191.44871527778</v>
      </c>
      <c r="C303" s="1" t="n">
        <v>45908</v>
      </c>
      <c r="D303" t="inlineStr">
        <is>
          <t>DALARNAS LÄN</t>
        </is>
      </c>
      <c r="E303" t="inlineStr">
        <is>
          <t>ÄLVDALEN</t>
        </is>
      </c>
      <c r="G303" t="n">
        <v>2.7</v>
      </c>
      <c r="H303" t="n">
        <v>0</v>
      </c>
      <c r="I303" t="n">
        <v>0</v>
      </c>
      <c r="J303" t="n">
        <v>0</v>
      </c>
      <c r="K303" t="n">
        <v>0</v>
      </c>
      <c r="L303" t="n">
        <v>0</v>
      </c>
      <c r="M303" t="n">
        <v>0</v>
      </c>
      <c r="N303" t="n">
        <v>0</v>
      </c>
      <c r="O303" t="n">
        <v>0</v>
      </c>
      <c r="P303" t="n">
        <v>0</v>
      </c>
      <c r="Q303" t="n">
        <v>0</v>
      </c>
      <c r="R303" s="2" t="inlineStr"/>
    </row>
    <row r="304" ht="15" customHeight="1">
      <c r="A304" t="inlineStr">
        <is>
          <t>A 28473-2024</t>
        </is>
      </c>
      <c r="B304" s="1" t="n">
        <v>45477.73017361111</v>
      </c>
      <c r="C304" s="1" t="n">
        <v>45908</v>
      </c>
      <c r="D304" t="inlineStr">
        <is>
          <t>DALARNAS LÄN</t>
        </is>
      </c>
      <c r="E304" t="inlineStr">
        <is>
          <t>ÄLVDALEN</t>
        </is>
      </c>
      <c r="G304" t="n">
        <v>5</v>
      </c>
      <c r="H304" t="n">
        <v>0</v>
      </c>
      <c r="I304" t="n">
        <v>0</v>
      </c>
      <c r="J304" t="n">
        <v>0</v>
      </c>
      <c r="K304" t="n">
        <v>0</v>
      </c>
      <c r="L304" t="n">
        <v>0</v>
      </c>
      <c r="M304" t="n">
        <v>0</v>
      </c>
      <c r="N304" t="n">
        <v>0</v>
      </c>
      <c r="O304" t="n">
        <v>0</v>
      </c>
      <c r="P304" t="n">
        <v>0</v>
      </c>
      <c r="Q304" t="n">
        <v>0</v>
      </c>
      <c r="R304" s="2" t="inlineStr"/>
    </row>
    <row r="305" ht="15" customHeight="1">
      <c r="A305" t="inlineStr">
        <is>
          <t>A 28479-2024</t>
        </is>
      </c>
      <c r="B305" s="1" t="n">
        <v>45477.74017361111</v>
      </c>
      <c r="C305" s="1" t="n">
        <v>45908</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713-2022</t>
        </is>
      </c>
      <c r="B306" s="1" t="n">
        <v>44568</v>
      </c>
      <c r="C306" s="1" t="n">
        <v>45908</v>
      </c>
      <c r="D306" t="inlineStr">
        <is>
          <t>DALARNAS LÄN</t>
        </is>
      </c>
      <c r="E306" t="inlineStr">
        <is>
          <t>ÄLVDALEN</t>
        </is>
      </c>
      <c r="G306" t="n">
        <v>1.6</v>
      </c>
      <c r="H306" t="n">
        <v>0</v>
      </c>
      <c r="I306" t="n">
        <v>0</v>
      </c>
      <c r="J306" t="n">
        <v>0</v>
      </c>
      <c r="K306" t="n">
        <v>0</v>
      </c>
      <c r="L306" t="n">
        <v>0</v>
      </c>
      <c r="M306" t="n">
        <v>0</v>
      </c>
      <c r="N306" t="n">
        <v>0</v>
      </c>
      <c r="O306" t="n">
        <v>0</v>
      </c>
      <c r="P306" t="n">
        <v>0</v>
      </c>
      <c r="Q306" t="n">
        <v>0</v>
      </c>
      <c r="R306" s="2" t="inlineStr"/>
    </row>
    <row r="307" ht="15" customHeight="1">
      <c r="A307" t="inlineStr">
        <is>
          <t>A 8069-2025</t>
        </is>
      </c>
      <c r="B307" s="1" t="n">
        <v>45707.64342592593</v>
      </c>
      <c r="C307" s="1" t="n">
        <v>45908</v>
      </c>
      <c r="D307" t="inlineStr">
        <is>
          <t>DALARNAS LÄN</t>
        </is>
      </c>
      <c r="E307" t="inlineStr">
        <is>
          <t>ÄLVDALEN</t>
        </is>
      </c>
      <c r="F307" t="inlineStr">
        <is>
          <t>Allmännings- och besparingsskogar</t>
        </is>
      </c>
      <c r="G307" t="n">
        <v>4.2</v>
      </c>
      <c r="H307" t="n">
        <v>0</v>
      </c>
      <c r="I307" t="n">
        <v>0</v>
      </c>
      <c r="J307" t="n">
        <v>0</v>
      </c>
      <c r="K307" t="n">
        <v>0</v>
      </c>
      <c r="L307" t="n">
        <v>0</v>
      </c>
      <c r="M307" t="n">
        <v>0</v>
      </c>
      <c r="N307" t="n">
        <v>0</v>
      </c>
      <c r="O307" t="n">
        <v>0</v>
      </c>
      <c r="P307" t="n">
        <v>0</v>
      </c>
      <c r="Q307" t="n">
        <v>0</v>
      </c>
      <c r="R307" s="2" t="inlineStr"/>
    </row>
    <row r="308" ht="15" customHeight="1">
      <c r="A308" t="inlineStr">
        <is>
          <t>A 14489-2025</t>
        </is>
      </c>
      <c r="B308" s="1" t="n">
        <v>45741.60680555556</v>
      </c>
      <c r="C308" s="1" t="n">
        <v>45908</v>
      </c>
      <c r="D308" t="inlineStr">
        <is>
          <t>DALARNAS LÄN</t>
        </is>
      </c>
      <c r="E308" t="inlineStr">
        <is>
          <t>ÄLVDALEN</t>
        </is>
      </c>
      <c r="G308" t="n">
        <v>7.9</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45908</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23328-2024</t>
        </is>
      </c>
      <c r="B310" s="1" t="n">
        <v>45453.46716435185</v>
      </c>
      <c r="C310" s="1" t="n">
        <v>45908</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49203-2023</t>
        </is>
      </c>
      <c r="B311" s="1" t="n">
        <v>45210</v>
      </c>
      <c r="C311" s="1" t="n">
        <v>45908</v>
      </c>
      <c r="D311" t="inlineStr">
        <is>
          <t>DALARNAS LÄN</t>
        </is>
      </c>
      <c r="E311" t="inlineStr">
        <is>
          <t>ÄLVDALEN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22847-2023</t>
        </is>
      </c>
      <c r="B312" s="1" t="n">
        <v>45072</v>
      </c>
      <c r="C312" s="1" t="n">
        <v>45908</v>
      </c>
      <c r="D312" t="inlineStr">
        <is>
          <t>DALARNAS LÄN</t>
        </is>
      </c>
      <c r="E312" t="inlineStr">
        <is>
          <t>ÄLVDALEN</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59444-2024</t>
        </is>
      </c>
      <c r="B313" s="1" t="n">
        <v>45638.45292824074</v>
      </c>
      <c r="C313" s="1" t="n">
        <v>45908</v>
      </c>
      <c r="D313" t="inlineStr">
        <is>
          <t>DALARNAS LÄN</t>
        </is>
      </c>
      <c r="E313" t="inlineStr">
        <is>
          <t>ÄLVDALEN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48552-2024</t>
        </is>
      </c>
      <c r="B314" s="1" t="n">
        <v>45593.37266203704</v>
      </c>
      <c r="C314" s="1" t="n">
        <v>45908</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30147-2024</t>
        </is>
      </c>
      <c r="B315" s="1" t="n">
        <v>45488</v>
      </c>
      <c r="C315" s="1" t="n">
        <v>45908</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59478-2024</t>
        </is>
      </c>
      <c r="B316" s="1" t="n">
        <v>45638.52181712963</v>
      </c>
      <c r="C316" s="1" t="n">
        <v>45908</v>
      </c>
      <c r="D316" t="inlineStr">
        <is>
          <t>DALARNAS LÄN</t>
        </is>
      </c>
      <c r="E316" t="inlineStr">
        <is>
          <t>ÄLVDALEN</t>
        </is>
      </c>
      <c r="F316" t="inlineStr">
        <is>
          <t>Allmännings- och besparingsskogar</t>
        </is>
      </c>
      <c r="G316" t="n">
        <v>6.9</v>
      </c>
      <c r="H316" t="n">
        <v>0</v>
      </c>
      <c r="I316" t="n">
        <v>0</v>
      </c>
      <c r="J316" t="n">
        <v>0</v>
      </c>
      <c r="K316" t="n">
        <v>0</v>
      </c>
      <c r="L316" t="n">
        <v>0</v>
      </c>
      <c r="M316" t="n">
        <v>0</v>
      </c>
      <c r="N316" t="n">
        <v>0</v>
      </c>
      <c r="O316" t="n">
        <v>0</v>
      </c>
      <c r="P316" t="n">
        <v>0</v>
      </c>
      <c r="Q316" t="n">
        <v>0</v>
      </c>
      <c r="R316" s="2" t="inlineStr"/>
    </row>
    <row r="317" ht="15" customHeight="1">
      <c r="A317" t="inlineStr">
        <is>
          <t>A 771-2025</t>
        </is>
      </c>
      <c r="B317" s="1" t="n">
        <v>45665.46518518519</v>
      </c>
      <c r="C317" s="1" t="n">
        <v>45908</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6791-2025</t>
        </is>
      </c>
      <c r="B318" s="1" t="n">
        <v>45700.66315972222</v>
      </c>
      <c r="C318" s="1" t="n">
        <v>45908</v>
      </c>
      <c r="D318" t="inlineStr">
        <is>
          <t>DALARNAS LÄN</t>
        </is>
      </c>
      <c r="E318" t="inlineStr">
        <is>
          <t>ÄLVDALEN</t>
        </is>
      </c>
      <c r="G318" t="n">
        <v>30.2</v>
      </c>
      <c r="H318" t="n">
        <v>0</v>
      </c>
      <c r="I318" t="n">
        <v>0</v>
      </c>
      <c r="J318" t="n">
        <v>0</v>
      </c>
      <c r="K318" t="n">
        <v>0</v>
      </c>
      <c r="L318" t="n">
        <v>0</v>
      </c>
      <c r="M318" t="n">
        <v>0</v>
      </c>
      <c r="N318" t="n">
        <v>0</v>
      </c>
      <c r="O318" t="n">
        <v>0</v>
      </c>
      <c r="P318" t="n">
        <v>0</v>
      </c>
      <c r="Q318" t="n">
        <v>0</v>
      </c>
      <c r="R318" s="2" t="inlineStr"/>
    </row>
    <row r="319" ht="15" customHeight="1">
      <c r="A319" t="inlineStr">
        <is>
          <t>A 46927-2024</t>
        </is>
      </c>
      <c r="B319" s="1" t="n">
        <v>45584.69063657407</v>
      </c>
      <c r="C319" s="1" t="n">
        <v>45908</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46559-2023</t>
        </is>
      </c>
      <c r="B320" s="1" t="n">
        <v>45187</v>
      </c>
      <c r="C320" s="1" t="n">
        <v>45908</v>
      </c>
      <c r="D320" t="inlineStr">
        <is>
          <t>DALARNAS LÄN</t>
        </is>
      </c>
      <c r="E320" t="inlineStr">
        <is>
          <t>ÄLVDALEN</t>
        </is>
      </c>
      <c r="G320" t="n">
        <v>9.6</v>
      </c>
      <c r="H320" t="n">
        <v>0</v>
      </c>
      <c r="I320" t="n">
        <v>0</v>
      </c>
      <c r="J320" t="n">
        <v>0</v>
      </c>
      <c r="K320" t="n">
        <v>0</v>
      </c>
      <c r="L320" t="n">
        <v>0</v>
      </c>
      <c r="M320" t="n">
        <v>0</v>
      </c>
      <c r="N320" t="n">
        <v>0</v>
      </c>
      <c r="O320" t="n">
        <v>0</v>
      </c>
      <c r="P320" t="n">
        <v>0</v>
      </c>
      <c r="Q320" t="n">
        <v>0</v>
      </c>
      <c r="R320" s="2" t="inlineStr"/>
    </row>
    <row r="321" ht="15" customHeight="1">
      <c r="A321" t="inlineStr">
        <is>
          <t>A 19553-2025</t>
        </is>
      </c>
      <c r="B321" s="1" t="n">
        <v>45770</v>
      </c>
      <c r="C321" s="1" t="n">
        <v>45908</v>
      </c>
      <c r="D321" t="inlineStr">
        <is>
          <t>DALARNAS LÄN</t>
        </is>
      </c>
      <c r="E321" t="inlineStr">
        <is>
          <t>ÄLVDALEN</t>
        </is>
      </c>
      <c r="F321" t="inlineStr">
        <is>
          <t>Sveaskog</t>
        </is>
      </c>
      <c r="G321" t="n">
        <v>25.2</v>
      </c>
      <c r="H321" t="n">
        <v>0</v>
      </c>
      <c r="I321" t="n">
        <v>0</v>
      </c>
      <c r="J321" t="n">
        <v>0</v>
      </c>
      <c r="K321" t="n">
        <v>0</v>
      </c>
      <c r="L321" t="n">
        <v>0</v>
      </c>
      <c r="M321" t="n">
        <v>0</v>
      </c>
      <c r="N321" t="n">
        <v>0</v>
      </c>
      <c r="O321" t="n">
        <v>0</v>
      </c>
      <c r="P321" t="n">
        <v>0</v>
      </c>
      <c r="Q321" t="n">
        <v>0</v>
      </c>
      <c r="R321" s="2" t="inlineStr"/>
    </row>
    <row r="322" ht="15" customHeight="1">
      <c r="A322" t="inlineStr">
        <is>
          <t>A 24950-2025</t>
        </is>
      </c>
      <c r="B322" s="1" t="n">
        <v>45799.56943287037</v>
      </c>
      <c r="C322" s="1" t="n">
        <v>45908</v>
      </c>
      <c r="D322" t="inlineStr">
        <is>
          <t>DALARNAS LÄN</t>
        </is>
      </c>
      <c r="E322" t="inlineStr">
        <is>
          <t>ÄLVDALEN</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29713-2022</t>
        </is>
      </c>
      <c r="B323" s="1" t="n">
        <v>44755</v>
      </c>
      <c r="C323" s="1" t="n">
        <v>45908</v>
      </c>
      <c r="D323" t="inlineStr">
        <is>
          <t>DALARNAS LÄN</t>
        </is>
      </c>
      <c r="E323" t="inlineStr">
        <is>
          <t>ÄLVDALEN</t>
        </is>
      </c>
      <c r="G323" t="n">
        <v>2.8</v>
      </c>
      <c r="H323" t="n">
        <v>0</v>
      </c>
      <c r="I323" t="n">
        <v>0</v>
      </c>
      <c r="J323" t="n">
        <v>0</v>
      </c>
      <c r="K323" t="n">
        <v>0</v>
      </c>
      <c r="L323" t="n">
        <v>0</v>
      </c>
      <c r="M323" t="n">
        <v>0</v>
      </c>
      <c r="N323" t="n">
        <v>0</v>
      </c>
      <c r="O323" t="n">
        <v>0</v>
      </c>
      <c r="P323" t="n">
        <v>0</v>
      </c>
      <c r="Q323" t="n">
        <v>0</v>
      </c>
      <c r="R323" s="2" t="inlineStr"/>
    </row>
    <row r="324" ht="15" customHeight="1">
      <c r="A324" t="inlineStr">
        <is>
          <t>A 443-2025</t>
        </is>
      </c>
      <c r="B324" s="1" t="n">
        <v>45664.39349537037</v>
      </c>
      <c r="C324" s="1" t="n">
        <v>45908</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52107-2022</t>
        </is>
      </c>
      <c r="B325" s="1" t="n">
        <v>44873.41295138889</v>
      </c>
      <c r="C325" s="1" t="n">
        <v>45908</v>
      </c>
      <c r="D325" t="inlineStr">
        <is>
          <t>DALARNAS LÄN</t>
        </is>
      </c>
      <c r="E325" t="inlineStr">
        <is>
          <t>ÄLVDALEN</t>
        </is>
      </c>
      <c r="G325" t="n">
        <v>1.8</v>
      </c>
      <c r="H325" t="n">
        <v>0</v>
      </c>
      <c r="I325" t="n">
        <v>0</v>
      </c>
      <c r="J325" t="n">
        <v>0</v>
      </c>
      <c r="K325" t="n">
        <v>0</v>
      </c>
      <c r="L325" t="n">
        <v>0</v>
      </c>
      <c r="M325" t="n">
        <v>0</v>
      </c>
      <c r="N325" t="n">
        <v>0</v>
      </c>
      <c r="O325" t="n">
        <v>0</v>
      </c>
      <c r="P325" t="n">
        <v>0</v>
      </c>
      <c r="Q325" t="n">
        <v>0</v>
      </c>
      <c r="R325" s="2" t="inlineStr"/>
    </row>
    <row r="326" ht="15" customHeight="1">
      <c r="A326" t="inlineStr">
        <is>
          <t>A 24637-2025</t>
        </is>
      </c>
      <c r="B326" s="1" t="n">
        <v>45798.616875</v>
      </c>
      <c r="C326" s="1" t="n">
        <v>45908</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5567-2021</t>
        </is>
      </c>
      <c r="B327" s="1" t="n">
        <v>44230</v>
      </c>
      <c r="C327" s="1" t="n">
        <v>45908</v>
      </c>
      <c r="D327" t="inlineStr">
        <is>
          <t>DALARNAS LÄN</t>
        </is>
      </c>
      <c r="E327" t="inlineStr">
        <is>
          <t>ÄLVDALEN</t>
        </is>
      </c>
      <c r="F327" t="inlineStr">
        <is>
          <t>Övriga statliga verk och myndigheter</t>
        </is>
      </c>
      <c r="G327" t="n">
        <v>29.1</v>
      </c>
      <c r="H327" t="n">
        <v>0</v>
      </c>
      <c r="I327" t="n">
        <v>0</v>
      </c>
      <c r="J327" t="n">
        <v>0</v>
      </c>
      <c r="K327" t="n">
        <v>0</v>
      </c>
      <c r="L327" t="n">
        <v>0</v>
      </c>
      <c r="M327" t="n">
        <v>0</v>
      </c>
      <c r="N327" t="n">
        <v>0</v>
      </c>
      <c r="O327" t="n">
        <v>0</v>
      </c>
      <c r="P327" t="n">
        <v>0</v>
      </c>
      <c r="Q327" t="n">
        <v>0</v>
      </c>
      <c r="R327" s="2" t="inlineStr"/>
    </row>
    <row r="328" ht="15" customHeight="1">
      <c r="A328" t="inlineStr">
        <is>
          <t>A 47087-2024</t>
        </is>
      </c>
      <c r="B328" s="1" t="n">
        <v>45586.50946759259</v>
      </c>
      <c r="C328" s="1" t="n">
        <v>45908</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38277-2024</t>
        </is>
      </c>
      <c r="B329" s="1" t="n">
        <v>45545.61171296296</v>
      </c>
      <c r="C329" s="1" t="n">
        <v>45908</v>
      </c>
      <c r="D329" t="inlineStr">
        <is>
          <t>DALARNAS LÄN</t>
        </is>
      </c>
      <c r="E329" t="inlineStr">
        <is>
          <t>ÄLVDALEN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56222-2023</t>
        </is>
      </c>
      <c r="B330" s="1" t="n">
        <v>45240</v>
      </c>
      <c r="C330" s="1" t="n">
        <v>45908</v>
      </c>
      <c r="D330" t="inlineStr">
        <is>
          <t>DALARNAS LÄN</t>
        </is>
      </c>
      <c r="E330" t="inlineStr">
        <is>
          <t>ÄLVDALEN</t>
        </is>
      </c>
      <c r="F330" t="inlineStr">
        <is>
          <t>Övriga Aktiebolag</t>
        </is>
      </c>
      <c r="G330" t="n">
        <v>3.2</v>
      </c>
      <c r="H330" t="n">
        <v>0</v>
      </c>
      <c r="I330" t="n">
        <v>0</v>
      </c>
      <c r="J330" t="n">
        <v>0</v>
      </c>
      <c r="K330" t="n">
        <v>0</v>
      </c>
      <c r="L330" t="n">
        <v>0</v>
      </c>
      <c r="M330" t="n">
        <v>0</v>
      </c>
      <c r="N330" t="n">
        <v>0</v>
      </c>
      <c r="O330" t="n">
        <v>0</v>
      </c>
      <c r="P330" t="n">
        <v>0</v>
      </c>
      <c r="Q330" t="n">
        <v>0</v>
      </c>
      <c r="R330" s="2" t="inlineStr"/>
    </row>
    <row r="331" ht="15" customHeight="1">
      <c r="A331" t="inlineStr">
        <is>
          <t>A 56224-2023</t>
        </is>
      </c>
      <c r="B331" s="1" t="n">
        <v>45240</v>
      </c>
      <c r="C331" s="1" t="n">
        <v>45908</v>
      </c>
      <c r="D331" t="inlineStr">
        <is>
          <t>DALARNAS LÄN</t>
        </is>
      </c>
      <c r="E331" t="inlineStr">
        <is>
          <t>ÄLVDALEN</t>
        </is>
      </c>
      <c r="F331" t="inlineStr">
        <is>
          <t>Övriga Aktiebolag</t>
        </is>
      </c>
      <c r="G331" t="n">
        <v>10.9</v>
      </c>
      <c r="H331" t="n">
        <v>0</v>
      </c>
      <c r="I331" t="n">
        <v>0</v>
      </c>
      <c r="J331" t="n">
        <v>0</v>
      </c>
      <c r="K331" t="n">
        <v>0</v>
      </c>
      <c r="L331" t="n">
        <v>0</v>
      </c>
      <c r="M331" t="n">
        <v>0</v>
      </c>
      <c r="N331" t="n">
        <v>0</v>
      </c>
      <c r="O331" t="n">
        <v>0</v>
      </c>
      <c r="P331" t="n">
        <v>0</v>
      </c>
      <c r="Q331" t="n">
        <v>0</v>
      </c>
      <c r="R331" s="2" t="inlineStr"/>
    </row>
    <row r="332" ht="15" customHeight="1">
      <c r="A332" t="inlineStr">
        <is>
          <t>A 25086-2025</t>
        </is>
      </c>
      <c r="B332" s="1" t="n">
        <v>45800</v>
      </c>
      <c r="C332" s="1" t="n">
        <v>45908</v>
      </c>
      <c r="D332" t="inlineStr">
        <is>
          <t>DALARNAS LÄN</t>
        </is>
      </c>
      <c r="E332" t="inlineStr">
        <is>
          <t>ÄLVDALEN</t>
        </is>
      </c>
      <c r="F332" t="inlineStr">
        <is>
          <t>Sveaskog</t>
        </is>
      </c>
      <c r="G332" t="n">
        <v>10.7</v>
      </c>
      <c r="H332" t="n">
        <v>0</v>
      </c>
      <c r="I332" t="n">
        <v>0</v>
      </c>
      <c r="J332" t="n">
        <v>0</v>
      </c>
      <c r="K332" t="n">
        <v>0</v>
      </c>
      <c r="L332" t="n">
        <v>0</v>
      </c>
      <c r="M332" t="n">
        <v>0</v>
      </c>
      <c r="N332" t="n">
        <v>0</v>
      </c>
      <c r="O332" t="n">
        <v>0</v>
      </c>
      <c r="P332" t="n">
        <v>0</v>
      </c>
      <c r="Q332" t="n">
        <v>0</v>
      </c>
      <c r="R332" s="2" t="inlineStr"/>
    </row>
    <row r="333" ht="15" customHeight="1">
      <c r="A333" t="inlineStr">
        <is>
          <t>A 5883-2024</t>
        </is>
      </c>
      <c r="B333" s="1" t="n">
        <v>45335.69585648148</v>
      </c>
      <c r="C333" s="1" t="n">
        <v>45908</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62355-2022</t>
        </is>
      </c>
      <c r="B334" s="1" t="n">
        <v>44923</v>
      </c>
      <c r="C334" s="1" t="n">
        <v>45908</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59177-2023</t>
        </is>
      </c>
      <c r="B335" s="1" t="n">
        <v>45253</v>
      </c>
      <c r="C335" s="1" t="n">
        <v>45908</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35161-2023</t>
        </is>
      </c>
      <c r="B336" s="1" t="n">
        <v>45145.57525462963</v>
      </c>
      <c r="C336" s="1" t="n">
        <v>45908</v>
      </c>
      <c r="D336" t="inlineStr">
        <is>
          <t>DALARNAS LÄN</t>
        </is>
      </c>
      <c r="E336" t="inlineStr">
        <is>
          <t>ÄLVDALEN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29710-2022</t>
        </is>
      </c>
      <c r="B337" s="1" t="n">
        <v>44755</v>
      </c>
      <c r="C337" s="1" t="n">
        <v>45908</v>
      </c>
      <c r="D337" t="inlineStr">
        <is>
          <t>DALARNAS LÄN</t>
        </is>
      </c>
      <c r="E337" t="inlineStr">
        <is>
          <t>ÄLVDALEN</t>
        </is>
      </c>
      <c r="F337" t="inlineStr">
        <is>
          <t>Sveaskog</t>
        </is>
      </c>
      <c r="G337" t="n">
        <v>9.1</v>
      </c>
      <c r="H337" t="n">
        <v>0</v>
      </c>
      <c r="I337" t="n">
        <v>0</v>
      </c>
      <c r="J337" t="n">
        <v>0</v>
      </c>
      <c r="K337" t="n">
        <v>0</v>
      </c>
      <c r="L337" t="n">
        <v>0</v>
      </c>
      <c r="M337" t="n">
        <v>0</v>
      </c>
      <c r="N337" t="n">
        <v>0</v>
      </c>
      <c r="O337" t="n">
        <v>0</v>
      </c>
      <c r="P337" t="n">
        <v>0</v>
      </c>
      <c r="Q337" t="n">
        <v>0</v>
      </c>
      <c r="R337" s="2" t="inlineStr"/>
    </row>
    <row r="338" ht="15" customHeight="1">
      <c r="A338" t="inlineStr">
        <is>
          <t>A 43903-2024</t>
        </is>
      </c>
      <c r="B338" s="1" t="n">
        <v>45572</v>
      </c>
      <c r="C338" s="1" t="n">
        <v>45908</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47525-2024</t>
        </is>
      </c>
      <c r="B339" s="1" t="n">
        <v>45587.6328587963</v>
      </c>
      <c r="C339" s="1" t="n">
        <v>45908</v>
      </c>
      <c r="D339" t="inlineStr">
        <is>
          <t>DALARNAS LÄN</t>
        </is>
      </c>
      <c r="E339" t="inlineStr">
        <is>
          <t>ÄLVDALEN</t>
        </is>
      </c>
      <c r="F339" t="inlineStr">
        <is>
          <t>Bergvik skog väst AB</t>
        </is>
      </c>
      <c r="G339" t="n">
        <v>4.6</v>
      </c>
      <c r="H339" t="n">
        <v>0</v>
      </c>
      <c r="I339" t="n">
        <v>0</v>
      </c>
      <c r="J339" t="n">
        <v>0</v>
      </c>
      <c r="K339" t="n">
        <v>0</v>
      </c>
      <c r="L339" t="n">
        <v>0</v>
      </c>
      <c r="M339" t="n">
        <v>0</v>
      </c>
      <c r="N339" t="n">
        <v>0</v>
      </c>
      <c r="O339" t="n">
        <v>0</v>
      </c>
      <c r="P339" t="n">
        <v>0</v>
      </c>
      <c r="Q339" t="n">
        <v>0</v>
      </c>
      <c r="R339" s="2" t="inlineStr"/>
    </row>
    <row r="340" ht="15" customHeight="1">
      <c r="A340" t="inlineStr">
        <is>
          <t>A 25758-2025</t>
        </is>
      </c>
      <c r="B340" s="1" t="n">
        <v>45804.33314814815</v>
      </c>
      <c r="C340" s="1" t="n">
        <v>45908</v>
      </c>
      <c r="D340" t="inlineStr">
        <is>
          <t>DALARNAS LÄN</t>
        </is>
      </c>
      <c r="E340" t="inlineStr">
        <is>
          <t>ÄLVDALEN</t>
        </is>
      </c>
      <c r="F340" t="inlineStr">
        <is>
          <t>Kommuner</t>
        </is>
      </c>
      <c r="G340" t="n">
        <v>2.2</v>
      </c>
      <c r="H340" t="n">
        <v>0</v>
      </c>
      <c r="I340" t="n">
        <v>0</v>
      </c>
      <c r="J340" t="n">
        <v>0</v>
      </c>
      <c r="K340" t="n">
        <v>0</v>
      </c>
      <c r="L340" t="n">
        <v>0</v>
      </c>
      <c r="M340" t="n">
        <v>0</v>
      </c>
      <c r="N340" t="n">
        <v>0</v>
      </c>
      <c r="O340" t="n">
        <v>0</v>
      </c>
      <c r="P340" t="n">
        <v>0</v>
      </c>
      <c r="Q340" t="n">
        <v>0</v>
      </c>
      <c r="R340" s="2" t="inlineStr"/>
    </row>
    <row r="341" ht="15" customHeight="1">
      <c r="A341" t="inlineStr">
        <is>
          <t>A 32187-2024</t>
        </is>
      </c>
      <c r="B341" s="1" t="n">
        <v>45511.64925925926</v>
      </c>
      <c r="C341" s="1" t="n">
        <v>45908</v>
      </c>
      <c r="D341" t="inlineStr">
        <is>
          <t>DALARNAS LÄN</t>
        </is>
      </c>
      <c r="E341" t="inlineStr">
        <is>
          <t>ÄLVDALEN</t>
        </is>
      </c>
      <c r="F341" t="inlineStr">
        <is>
          <t>Allmännings- och besparingsskogar</t>
        </is>
      </c>
      <c r="G341" t="n">
        <v>20</v>
      </c>
      <c r="H341" t="n">
        <v>0</v>
      </c>
      <c r="I341" t="n">
        <v>0</v>
      </c>
      <c r="J341" t="n">
        <v>0</v>
      </c>
      <c r="K341" t="n">
        <v>0</v>
      </c>
      <c r="L341" t="n">
        <v>0</v>
      </c>
      <c r="M341" t="n">
        <v>0</v>
      </c>
      <c r="N341" t="n">
        <v>0</v>
      </c>
      <c r="O341" t="n">
        <v>0</v>
      </c>
      <c r="P341" t="n">
        <v>0</v>
      </c>
      <c r="Q341" t="n">
        <v>0</v>
      </c>
      <c r="R341" s="2" t="inlineStr"/>
    </row>
    <row r="342" ht="15" customHeight="1">
      <c r="A342" t="inlineStr">
        <is>
          <t>A 19587-2025</t>
        </is>
      </c>
      <c r="B342" s="1" t="n">
        <v>45770.56820601852</v>
      </c>
      <c r="C342" s="1" t="n">
        <v>45908</v>
      </c>
      <c r="D342" t="inlineStr">
        <is>
          <t>DALARNAS LÄN</t>
        </is>
      </c>
      <c r="E342" t="inlineStr">
        <is>
          <t>ÄLVDALEN</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57821-2023</t>
        </is>
      </c>
      <c r="B343" s="1" t="n">
        <v>45247</v>
      </c>
      <c r="C343" s="1" t="n">
        <v>45908</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61160-2020</t>
        </is>
      </c>
      <c r="B344" s="1" t="n">
        <v>44153</v>
      </c>
      <c r="C344" s="1" t="n">
        <v>45908</v>
      </c>
      <c r="D344" t="inlineStr">
        <is>
          <t>DALARNAS LÄN</t>
        </is>
      </c>
      <c r="E344" t="inlineStr">
        <is>
          <t>ÄLVDALEN</t>
        </is>
      </c>
      <c r="F344" t="inlineStr">
        <is>
          <t>Allmännings- och besparingsskogar</t>
        </is>
      </c>
      <c r="G344" t="n">
        <v>1.7</v>
      </c>
      <c r="H344" t="n">
        <v>0</v>
      </c>
      <c r="I344" t="n">
        <v>0</v>
      </c>
      <c r="J344" t="n">
        <v>0</v>
      </c>
      <c r="K344" t="n">
        <v>0</v>
      </c>
      <c r="L344" t="n">
        <v>0</v>
      </c>
      <c r="M344" t="n">
        <v>0</v>
      </c>
      <c r="N344" t="n">
        <v>0</v>
      </c>
      <c r="O344" t="n">
        <v>0</v>
      </c>
      <c r="P344" t="n">
        <v>0</v>
      </c>
      <c r="Q344" t="n">
        <v>0</v>
      </c>
      <c r="R344" s="2" t="inlineStr"/>
    </row>
    <row r="345" ht="15" customHeight="1">
      <c r="A345" t="inlineStr">
        <is>
          <t>A 25754-2025</t>
        </is>
      </c>
      <c r="B345" s="1" t="n">
        <v>45804.32020833333</v>
      </c>
      <c r="C345" s="1" t="n">
        <v>45908</v>
      </c>
      <c r="D345" t="inlineStr">
        <is>
          <t>DALARNAS LÄN</t>
        </is>
      </c>
      <c r="E345" t="inlineStr">
        <is>
          <t>ÄLVDALEN</t>
        </is>
      </c>
      <c r="F345" t="inlineStr">
        <is>
          <t>Kommuner</t>
        </is>
      </c>
      <c r="G345" t="n">
        <v>2.2</v>
      </c>
      <c r="H345" t="n">
        <v>0</v>
      </c>
      <c r="I345" t="n">
        <v>0</v>
      </c>
      <c r="J345" t="n">
        <v>0</v>
      </c>
      <c r="K345" t="n">
        <v>0</v>
      </c>
      <c r="L345" t="n">
        <v>0</v>
      </c>
      <c r="M345" t="n">
        <v>0</v>
      </c>
      <c r="N345" t="n">
        <v>0</v>
      </c>
      <c r="O345" t="n">
        <v>0</v>
      </c>
      <c r="P345" t="n">
        <v>0</v>
      </c>
      <c r="Q345" t="n">
        <v>0</v>
      </c>
      <c r="R345" s="2" t="inlineStr"/>
    </row>
    <row r="346" ht="15" customHeight="1">
      <c r="A346" t="inlineStr">
        <is>
          <t>A 5583-2025</t>
        </is>
      </c>
      <c r="B346" s="1" t="n">
        <v>45693.55244212963</v>
      </c>
      <c r="C346" s="1" t="n">
        <v>45908</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26285-2025</t>
        </is>
      </c>
      <c r="B347" s="1" t="n">
        <v>45805.61885416666</v>
      </c>
      <c r="C347" s="1" t="n">
        <v>45908</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43351-2024</t>
        </is>
      </c>
      <c r="B348" s="1" t="n">
        <v>45568.56023148148</v>
      </c>
      <c r="C348" s="1" t="n">
        <v>45908</v>
      </c>
      <c r="D348" t="inlineStr">
        <is>
          <t>DALARNAS LÄN</t>
        </is>
      </c>
      <c r="E348" t="inlineStr">
        <is>
          <t>ÄLVDALEN</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50037-2022</t>
        </is>
      </c>
      <c r="B349" s="1" t="n">
        <v>44865.46136574074</v>
      </c>
      <c r="C349" s="1" t="n">
        <v>45908</v>
      </c>
      <c r="D349" t="inlineStr">
        <is>
          <t>DALARNAS LÄN</t>
        </is>
      </c>
      <c r="E349" t="inlineStr">
        <is>
          <t>ÄLVDALEN</t>
        </is>
      </c>
      <c r="F349" t="inlineStr">
        <is>
          <t>Allmännings- och besparingsskogar</t>
        </is>
      </c>
      <c r="G349" t="n">
        <v>5.8</v>
      </c>
      <c r="H349" t="n">
        <v>0</v>
      </c>
      <c r="I349" t="n">
        <v>0</v>
      </c>
      <c r="J349" t="n">
        <v>0</v>
      </c>
      <c r="K349" t="n">
        <v>0</v>
      </c>
      <c r="L349" t="n">
        <v>0</v>
      </c>
      <c r="M349" t="n">
        <v>0</v>
      </c>
      <c r="N349" t="n">
        <v>0</v>
      </c>
      <c r="O349" t="n">
        <v>0</v>
      </c>
      <c r="P349" t="n">
        <v>0</v>
      </c>
      <c r="Q349" t="n">
        <v>0</v>
      </c>
      <c r="R349" s="2" t="inlineStr"/>
    </row>
    <row r="350" ht="15" customHeight="1">
      <c r="A350" t="inlineStr">
        <is>
          <t>A 25879-2025</t>
        </is>
      </c>
      <c r="B350" s="1" t="n">
        <v>45804.49605324074</v>
      </c>
      <c r="C350" s="1" t="n">
        <v>45908</v>
      </c>
      <c r="D350" t="inlineStr">
        <is>
          <t>DALARNAS LÄN</t>
        </is>
      </c>
      <c r="E350" t="inlineStr">
        <is>
          <t>ÄLVDALEN</t>
        </is>
      </c>
      <c r="F350" t="inlineStr">
        <is>
          <t>Allmännings- och besparingsskogar</t>
        </is>
      </c>
      <c r="G350" t="n">
        <v>0.2</v>
      </c>
      <c r="H350" t="n">
        <v>0</v>
      </c>
      <c r="I350" t="n">
        <v>0</v>
      </c>
      <c r="J350" t="n">
        <v>0</v>
      </c>
      <c r="K350" t="n">
        <v>0</v>
      </c>
      <c r="L350" t="n">
        <v>0</v>
      </c>
      <c r="M350" t="n">
        <v>0</v>
      </c>
      <c r="N350" t="n">
        <v>0</v>
      </c>
      <c r="O350" t="n">
        <v>0</v>
      </c>
      <c r="P350" t="n">
        <v>0</v>
      </c>
      <c r="Q350" t="n">
        <v>0</v>
      </c>
      <c r="R350" s="2" t="inlineStr"/>
    </row>
    <row r="351" ht="15" customHeight="1">
      <c r="A351" t="inlineStr">
        <is>
          <t>A 25823-2025</t>
        </is>
      </c>
      <c r="B351" s="1" t="n">
        <v>45804.4396412037</v>
      </c>
      <c r="C351" s="1" t="n">
        <v>45908</v>
      </c>
      <c r="D351" t="inlineStr">
        <is>
          <t>DALARNAS LÄN</t>
        </is>
      </c>
      <c r="E351" t="inlineStr">
        <is>
          <t>ÄLVDALEN</t>
        </is>
      </c>
      <c r="G351" t="n">
        <v>1.2</v>
      </c>
      <c r="H351" t="n">
        <v>0</v>
      </c>
      <c r="I351" t="n">
        <v>0</v>
      </c>
      <c r="J351" t="n">
        <v>0</v>
      </c>
      <c r="K351" t="n">
        <v>0</v>
      </c>
      <c r="L351" t="n">
        <v>0</v>
      </c>
      <c r="M351" t="n">
        <v>0</v>
      </c>
      <c r="N351" t="n">
        <v>0</v>
      </c>
      <c r="O351" t="n">
        <v>0</v>
      </c>
      <c r="P351" t="n">
        <v>0</v>
      </c>
      <c r="Q351" t="n">
        <v>0</v>
      </c>
      <c r="R351" s="2" t="inlineStr"/>
    </row>
    <row r="352" ht="15" customHeight="1">
      <c r="A352" t="inlineStr">
        <is>
          <t>A 45167-2022</t>
        </is>
      </c>
      <c r="B352" s="1" t="n">
        <v>44844</v>
      </c>
      <c r="C352" s="1" t="n">
        <v>45908</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44119-2022</t>
        </is>
      </c>
      <c r="B353" s="1" t="n">
        <v>44839.39157407408</v>
      </c>
      <c r="C353" s="1" t="n">
        <v>45908</v>
      </c>
      <c r="D353" t="inlineStr">
        <is>
          <t>DALARNAS LÄN</t>
        </is>
      </c>
      <c r="E353" t="inlineStr">
        <is>
          <t>ÄLVDALEN</t>
        </is>
      </c>
      <c r="G353" t="n">
        <v>3.2</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45908</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56487-2024</t>
        </is>
      </c>
      <c r="B355" s="1" t="n">
        <v>45625.48621527778</v>
      </c>
      <c r="C355" s="1" t="n">
        <v>45908</v>
      </c>
      <c r="D355" t="inlineStr">
        <is>
          <t>DALARNAS LÄN</t>
        </is>
      </c>
      <c r="E355" t="inlineStr">
        <is>
          <t>ÄLVDALEN</t>
        </is>
      </c>
      <c r="F355" t="inlineStr">
        <is>
          <t>Allmännings- och besparingsskogar</t>
        </is>
      </c>
      <c r="G355" t="n">
        <v>5.6</v>
      </c>
      <c r="H355" t="n">
        <v>0</v>
      </c>
      <c r="I355" t="n">
        <v>0</v>
      </c>
      <c r="J355" t="n">
        <v>0</v>
      </c>
      <c r="K355" t="n">
        <v>0</v>
      </c>
      <c r="L355" t="n">
        <v>0</v>
      </c>
      <c r="M355" t="n">
        <v>0</v>
      </c>
      <c r="N355" t="n">
        <v>0</v>
      </c>
      <c r="O355" t="n">
        <v>0</v>
      </c>
      <c r="P355" t="n">
        <v>0</v>
      </c>
      <c r="Q355" t="n">
        <v>0</v>
      </c>
      <c r="R355" s="2" t="inlineStr"/>
    </row>
    <row r="356" ht="15" customHeight="1">
      <c r="A356" t="inlineStr">
        <is>
          <t>A 43990-2024</t>
        </is>
      </c>
      <c r="B356" s="1" t="n">
        <v>45572</v>
      </c>
      <c r="C356" s="1" t="n">
        <v>45908</v>
      </c>
      <c r="D356" t="inlineStr">
        <is>
          <t>DALARNAS LÄN</t>
        </is>
      </c>
      <c r="E356" t="inlineStr">
        <is>
          <t>ÄLVDALEN</t>
        </is>
      </c>
      <c r="F356" t="inlineStr">
        <is>
          <t>Kommuner</t>
        </is>
      </c>
      <c r="G356" t="n">
        <v>0</v>
      </c>
      <c r="H356" t="n">
        <v>0</v>
      </c>
      <c r="I356" t="n">
        <v>0</v>
      </c>
      <c r="J356" t="n">
        <v>0</v>
      </c>
      <c r="K356" t="n">
        <v>0</v>
      </c>
      <c r="L356" t="n">
        <v>0</v>
      </c>
      <c r="M356" t="n">
        <v>0</v>
      </c>
      <c r="N356" t="n">
        <v>0</v>
      </c>
      <c r="O356" t="n">
        <v>0</v>
      </c>
      <c r="P356" t="n">
        <v>0</v>
      </c>
      <c r="Q356" t="n">
        <v>0</v>
      </c>
      <c r="R356" s="2" t="inlineStr"/>
    </row>
    <row r="357" ht="15" customHeight="1">
      <c r="A357" t="inlineStr">
        <is>
          <t>A 39006-2024</t>
        </is>
      </c>
      <c r="B357" s="1" t="n">
        <v>45548.42846064815</v>
      </c>
      <c r="C357" s="1" t="n">
        <v>45908</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26704-2025</t>
        </is>
      </c>
      <c r="B358" s="1" t="n">
        <v>45810.45271990741</v>
      </c>
      <c r="C358" s="1" t="n">
        <v>45908</v>
      </c>
      <c r="D358" t="inlineStr">
        <is>
          <t>DALARNAS LÄN</t>
        </is>
      </c>
      <c r="E358" t="inlineStr">
        <is>
          <t>ÄLVDALEN</t>
        </is>
      </c>
      <c r="F358" t="inlineStr">
        <is>
          <t>Bergvik skog väst AB</t>
        </is>
      </c>
      <c r="G358" t="n">
        <v>32.3</v>
      </c>
      <c r="H358" t="n">
        <v>0</v>
      </c>
      <c r="I358" t="n">
        <v>0</v>
      </c>
      <c r="J358" t="n">
        <v>0</v>
      </c>
      <c r="K358" t="n">
        <v>0</v>
      </c>
      <c r="L358" t="n">
        <v>0</v>
      </c>
      <c r="M358" t="n">
        <v>0</v>
      </c>
      <c r="N358" t="n">
        <v>0</v>
      </c>
      <c r="O358" t="n">
        <v>0</v>
      </c>
      <c r="P358" t="n">
        <v>0</v>
      </c>
      <c r="Q358" t="n">
        <v>0</v>
      </c>
      <c r="R358" s="2" t="inlineStr"/>
    </row>
    <row r="359" ht="15" customHeight="1">
      <c r="A359" t="inlineStr">
        <is>
          <t>A 52249-2022</t>
        </is>
      </c>
      <c r="B359" s="1" t="n">
        <v>44873</v>
      </c>
      <c r="C359" s="1" t="n">
        <v>45908</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15251-2021</t>
        </is>
      </c>
      <c r="B360" s="1" t="n">
        <v>44284</v>
      </c>
      <c r="C360" s="1" t="n">
        <v>45908</v>
      </c>
      <c r="D360" t="inlineStr">
        <is>
          <t>DALARNAS LÄN</t>
        </is>
      </c>
      <c r="E360" t="inlineStr">
        <is>
          <t>ÄLVDALEN</t>
        </is>
      </c>
      <c r="G360" t="n">
        <v>6.1</v>
      </c>
      <c r="H360" t="n">
        <v>0</v>
      </c>
      <c r="I360" t="n">
        <v>0</v>
      </c>
      <c r="J360" t="n">
        <v>0</v>
      </c>
      <c r="K360" t="n">
        <v>0</v>
      </c>
      <c r="L360" t="n">
        <v>0</v>
      </c>
      <c r="M360" t="n">
        <v>0</v>
      </c>
      <c r="N360" t="n">
        <v>0</v>
      </c>
      <c r="O360" t="n">
        <v>0</v>
      </c>
      <c r="P360" t="n">
        <v>0</v>
      </c>
      <c r="Q360" t="n">
        <v>0</v>
      </c>
      <c r="R360" s="2" t="inlineStr"/>
    </row>
    <row r="361" ht="15" customHeight="1">
      <c r="A361" t="inlineStr">
        <is>
          <t>A 47936-2024</t>
        </is>
      </c>
      <c r="B361" s="1" t="n">
        <v>45589.34738425926</v>
      </c>
      <c r="C361" s="1" t="n">
        <v>45908</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2546-2025</t>
        </is>
      </c>
      <c r="B362" s="1" t="n">
        <v>45674.62240740741</v>
      </c>
      <c r="C362" s="1" t="n">
        <v>45908</v>
      </c>
      <c r="D362" t="inlineStr">
        <is>
          <t>DALARNAS LÄN</t>
        </is>
      </c>
      <c r="E362" t="inlineStr">
        <is>
          <t>ÄLVDALEN</t>
        </is>
      </c>
      <c r="G362" t="n">
        <v>2</v>
      </c>
      <c r="H362" t="n">
        <v>0</v>
      </c>
      <c r="I362" t="n">
        <v>0</v>
      </c>
      <c r="J362" t="n">
        <v>0</v>
      </c>
      <c r="K362" t="n">
        <v>0</v>
      </c>
      <c r="L362" t="n">
        <v>0</v>
      </c>
      <c r="M362" t="n">
        <v>0</v>
      </c>
      <c r="N362" t="n">
        <v>0</v>
      </c>
      <c r="O362" t="n">
        <v>0</v>
      </c>
      <c r="P362" t="n">
        <v>0</v>
      </c>
      <c r="Q362" t="n">
        <v>0</v>
      </c>
      <c r="R362" s="2" t="inlineStr"/>
    </row>
    <row r="363" ht="15" customHeight="1">
      <c r="A363" t="inlineStr">
        <is>
          <t>A 3900-2024</t>
        </is>
      </c>
      <c r="B363" s="1" t="n">
        <v>45322</v>
      </c>
      <c r="C363" s="1" t="n">
        <v>45908</v>
      </c>
      <c r="D363" t="inlineStr">
        <is>
          <t>DALARNAS LÄN</t>
        </is>
      </c>
      <c r="E363" t="inlineStr">
        <is>
          <t>ÄLVDALEN</t>
        </is>
      </c>
      <c r="G363" t="n">
        <v>1.1</v>
      </c>
      <c r="H363" t="n">
        <v>0</v>
      </c>
      <c r="I363" t="n">
        <v>0</v>
      </c>
      <c r="J363" t="n">
        <v>0</v>
      </c>
      <c r="K363" t="n">
        <v>0</v>
      </c>
      <c r="L363" t="n">
        <v>0</v>
      </c>
      <c r="M363" t="n">
        <v>0</v>
      </c>
      <c r="N363" t="n">
        <v>0</v>
      </c>
      <c r="O363" t="n">
        <v>0</v>
      </c>
      <c r="P363" t="n">
        <v>0</v>
      </c>
      <c r="Q363" t="n">
        <v>0</v>
      </c>
      <c r="R363" s="2" t="inlineStr"/>
    </row>
    <row r="364" ht="15" customHeight="1">
      <c r="A364" t="inlineStr">
        <is>
          <t>A 3903-2024</t>
        </is>
      </c>
      <c r="B364" s="1" t="n">
        <v>45322</v>
      </c>
      <c r="C364" s="1" t="n">
        <v>45908</v>
      </c>
      <c r="D364" t="inlineStr">
        <is>
          <t>DALARNAS LÄN</t>
        </is>
      </c>
      <c r="E364" t="inlineStr">
        <is>
          <t>ÄLVDALEN</t>
        </is>
      </c>
      <c r="G364" t="n">
        <v>0.7</v>
      </c>
      <c r="H364" t="n">
        <v>0</v>
      </c>
      <c r="I364" t="n">
        <v>0</v>
      </c>
      <c r="J364" t="n">
        <v>0</v>
      </c>
      <c r="K364" t="n">
        <v>0</v>
      </c>
      <c r="L364" t="n">
        <v>0</v>
      </c>
      <c r="M364" t="n">
        <v>0</v>
      </c>
      <c r="N364" t="n">
        <v>0</v>
      </c>
      <c r="O364" t="n">
        <v>0</v>
      </c>
      <c r="P364" t="n">
        <v>0</v>
      </c>
      <c r="Q364" t="n">
        <v>0</v>
      </c>
      <c r="R364" s="2" t="inlineStr"/>
    </row>
    <row r="365" ht="15" customHeight="1">
      <c r="A365" t="inlineStr">
        <is>
          <t>A 3914-2024</t>
        </is>
      </c>
      <c r="B365" s="1" t="n">
        <v>45322</v>
      </c>
      <c r="C365" s="1" t="n">
        <v>45908</v>
      </c>
      <c r="D365" t="inlineStr">
        <is>
          <t>DALARNAS LÄN</t>
        </is>
      </c>
      <c r="E365" t="inlineStr">
        <is>
          <t>ÄLVDALEN</t>
        </is>
      </c>
      <c r="G365" t="n">
        <v>0.3</v>
      </c>
      <c r="H365" t="n">
        <v>0</v>
      </c>
      <c r="I365" t="n">
        <v>0</v>
      </c>
      <c r="J365" t="n">
        <v>0</v>
      </c>
      <c r="K365" t="n">
        <v>0</v>
      </c>
      <c r="L365" t="n">
        <v>0</v>
      </c>
      <c r="M365" t="n">
        <v>0</v>
      </c>
      <c r="N365" t="n">
        <v>0</v>
      </c>
      <c r="O365" t="n">
        <v>0</v>
      </c>
      <c r="P365" t="n">
        <v>0</v>
      </c>
      <c r="Q365" t="n">
        <v>0</v>
      </c>
      <c r="R365" s="2" t="inlineStr"/>
    </row>
    <row r="366" ht="15" customHeight="1">
      <c r="A366" t="inlineStr">
        <is>
          <t>A 30414-2024</t>
        </is>
      </c>
      <c r="B366" s="1" t="n">
        <v>45491.63538194444</v>
      </c>
      <c r="C366" s="1" t="n">
        <v>45908</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45908</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47751-2024</t>
        </is>
      </c>
      <c r="B368" s="1" t="n">
        <v>45588.53628472222</v>
      </c>
      <c r="C368" s="1" t="n">
        <v>45908</v>
      </c>
      <c r="D368" t="inlineStr">
        <is>
          <t>DALARNAS LÄN</t>
        </is>
      </c>
      <c r="E368" t="inlineStr">
        <is>
          <t>ÄLVDALEN</t>
        </is>
      </c>
      <c r="G368" t="n">
        <v>0.6</v>
      </c>
      <c r="H368" t="n">
        <v>0</v>
      </c>
      <c r="I368" t="n">
        <v>0</v>
      </c>
      <c r="J368" t="n">
        <v>0</v>
      </c>
      <c r="K368" t="n">
        <v>0</v>
      </c>
      <c r="L368" t="n">
        <v>0</v>
      </c>
      <c r="M368" t="n">
        <v>0</v>
      </c>
      <c r="N368" t="n">
        <v>0</v>
      </c>
      <c r="O368" t="n">
        <v>0</v>
      </c>
      <c r="P368" t="n">
        <v>0</v>
      </c>
      <c r="Q368" t="n">
        <v>0</v>
      </c>
      <c r="R368" s="2" t="inlineStr"/>
    </row>
    <row r="369" ht="15" customHeight="1">
      <c r="A369" t="inlineStr">
        <is>
          <t>A 3196-2025</t>
        </is>
      </c>
      <c r="B369" s="1" t="n">
        <v>45679.42957175926</v>
      </c>
      <c r="C369" s="1" t="n">
        <v>45908</v>
      </c>
      <c r="D369" t="inlineStr">
        <is>
          <t>DALARNAS LÄN</t>
        </is>
      </c>
      <c r="E369" t="inlineStr">
        <is>
          <t>ÄLVDALEN</t>
        </is>
      </c>
      <c r="G369" t="n">
        <v>5.2</v>
      </c>
      <c r="H369" t="n">
        <v>0</v>
      </c>
      <c r="I369" t="n">
        <v>0</v>
      </c>
      <c r="J369" t="n">
        <v>0</v>
      </c>
      <c r="K369" t="n">
        <v>0</v>
      </c>
      <c r="L369" t="n">
        <v>0</v>
      </c>
      <c r="M369" t="n">
        <v>0</v>
      </c>
      <c r="N369" t="n">
        <v>0</v>
      </c>
      <c r="O369" t="n">
        <v>0</v>
      </c>
      <c r="P369" t="n">
        <v>0</v>
      </c>
      <c r="Q369" t="n">
        <v>0</v>
      </c>
      <c r="R369" s="2" t="inlineStr"/>
    </row>
    <row r="370" ht="15" customHeight="1">
      <c r="A370" t="inlineStr">
        <is>
          <t>A 47873-2023</t>
        </is>
      </c>
      <c r="B370" s="1" t="n">
        <v>45204</v>
      </c>
      <c r="C370" s="1" t="n">
        <v>45908</v>
      </c>
      <c r="D370" t="inlineStr">
        <is>
          <t>DALARNAS LÄN</t>
        </is>
      </c>
      <c r="E370" t="inlineStr">
        <is>
          <t>ÄLVDALEN</t>
        </is>
      </c>
      <c r="G370" t="n">
        <v>1.3</v>
      </c>
      <c r="H370" t="n">
        <v>0</v>
      </c>
      <c r="I370" t="n">
        <v>0</v>
      </c>
      <c r="J370" t="n">
        <v>0</v>
      </c>
      <c r="K370" t="n">
        <v>0</v>
      </c>
      <c r="L370" t="n">
        <v>0</v>
      </c>
      <c r="M370" t="n">
        <v>0</v>
      </c>
      <c r="N370" t="n">
        <v>0</v>
      </c>
      <c r="O370" t="n">
        <v>0</v>
      </c>
      <c r="P370" t="n">
        <v>0</v>
      </c>
      <c r="Q370" t="n">
        <v>0</v>
      </c>
      <c r="R370" s="2" t="inlineStr"/>
    </row>
    <row r="371" ht="15" customHeight="1">
      <c r="A371" t="inlineStr">
        <is>
          <t>A 27090-2025</t>
        </is>
      </c>
      <c r="B371" s="1" t="n">
        <v>45811.66903935185</v>
      </c>
      <c r="C371" s="1" t="n">
        <v>45908</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31690-2024</t>
        </is>
      </c>
      <c r="B372" s="1" t="n">
        <v>45507</v>
      </c>
      <c r="C372" s="1" t="n">
        <v>45908</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42649-2023</t>
        </is>
      </c>
      <c r="B373" s="1" t="n">
        <v>45181.53310185186</v>
      </c>
      <c r="C373" s="1" t="n">
        <v>45908</v>
      </c>
      <c r="D373" t="inlineStr">
        <is>
          <t>DALARNAS LÄN</t>
        </is>
      </c>
      <c r="E373" t="inlineStr">
        <is>
          <t>ÄLVDALEN</t>
        </is>
      </c>
      <c r="G373" t="n">
        <v>5.3</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45908</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45908</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19567-2025</t>
        </is>
      </c>
      <c r="B376" s="1" t="n">
        <v>45770.5349537037</v>
      </c>
      <c r="C376" s="1" t="n">
        <v>45908</v>
      </c>
      <c r="D376" t="inlineStr">
        <is>
          <t>DALARNAS LÄN</t>
        </is>
      </c>
      <c r="E376" t="inlineStr">
        <is>
          <t>ÄLVDALEN</t>
        </is>
      </c>
      <c r="F376" t="inlineStr">
        <is>
          <t>Allmännings- och besparingsskogar</t>
        </is>
      </c>
      <c r="G376" t="n">
        <v>3.7</v>
      </c>
      <c r="H376" t="n">
        <v>0</v>
      </c>
      <c r="I376" t="n">
        <v>0</v>
      </c>
      <c r="J376" t="n">
        <v>0</v>
      </c>
      <c r="K376" t="n">
        <v>0</v>
      </c>
      <c r="L376" t="n">
        <v>0</v>
      </c>
      <c r="M376" t="n">
        <v>0</v>
      </c>
      <c r="N376" t="n">
        <v>0</v>
      </c>
      <c r="O376" t="n">
        <v>0</v>
      </c>
      <c r="P376" t="n">
        <v>0</v>
      </c>
      <c r="Q376" t="n">
        <v>0</v>
      </c>
      <c r="R376" s="2" t="inlineStr"/>
    </row>
    <row r="377" ht="15" customHeight="1">
      <c r="A377" t="inlineStr">
        <is>
          <t>A 4662-2024</t>
        </is>
      </c>
      <c r="B377" s="1" t="n">
        <v>45328.465625</v>
      </c>
      <c r="C377" s="1" t="n">
        <v>45908</v>
      </c>
      <c r="D377" t="inlineStr">
        <is>
          <t>DALARNAS LÄN</t>
        </is>
      </c>
      <c r="E377" t="inlineStr">
        <is>
          <t>ÄLVDALEN</t>
        </is>
      </c>
      <c r="G377" t="n">
        <v>4.9</v>
      </c>
      <c r="H377" t="n">
        <v>0</v>
      </c>
      <c r="I377" t="n">
        <v>0</v>
      </c>
      <c r="J377" t="n">
        <v>0</v>
      </c>
      <c r="K377" t="n">
        <v>0</v>
      </c>
      <c r="L377" t="n">
        <v>0</v>
      </c>
      <c r="M377" t="n">
        <v>0</v>
      </c>
      <c r="N377" t="n">
        <v>0</v>
      </c>
      <c r="O377" t="n">
        <v>0</v>
      </c>
      <c r="P377" t="n">
        <v>0</v>
      </c>
      <c r="Q377" t="n">
        <v>0</v>
      </c>
      <c r="R377" s="2" t="inlineStr"/>
    </row>
    <row r="378" ht="15" customHeight="1">
      <c r="A378" t="inlineStr">
        <is>
          <t>A 7998-2024</t>
        </is>
      </c>
      <c r="B378" s="1" t="n">
        <v>45350.6433912037</v>
      </c>
      <c r="C378" s="1" t="n">
        <v>45908</v>
      </c>
      <c r="D378" t="inlineStr">
        <is>
          <t>DALARNAS LÄN</t>
        </is>
      </c>
      <c r="E378" t="inlineStr">
        <is>
          <t>ÄLVDALEN</t>
        </is>
      </c>
      <c r="F378" t="inlineStr">
        <is>
          <t>Kommuner</t>
        </is>
      </c>
      <c r="G378" t="n">
        <v>7.9</v>
      </c>
      <c r="H378" t="n">
        <v>0</v>
      </c>
      <c r="I378" t="n">
        <v>0</v>
      </c>
      <c r="J378" t="n">
        <v>0</v>
      </c>
      <c r="K378" t="n">
        <v>0</v>
      </c>
      <c r="L378" t="n">
        <v>0</v>
      </c>
      <c r="M378" t="n">
        <v>0</v>
      </c>
      <c r="N378" t="n">
        <v>0</v>
      </c>
      <c r="O378" t="n">
        <v>0</v>
      </c>
      <c r="P378" t="n">
        <v>0</v>
      </c>
      <c r="Q378" t="n">
        <v>0</v>
      </c>
      <c r="R378" s="2" t="inlineStr"/>
    </row>
    <row r="379" ht="15" customHeight="1">
      <c r="A379" t="inlineStr">
        <is>
          <t>A 9719-2023</t>
        </is>
      </c>
      <c r="B379" s="1" t="n">
        <v>44978</v>
      </c>
      <c r="C379" s="1" t="n">
        <v>45908</v>
      </c>
      <c r="D379" t="inlineStr">
        <is>
          <t>DALARNAS LÄN</t>
        </is>
      </c>
      <c r="E379" t="inlineStr">
        <is>
          <t>ÄLVDALEN</t>
        </is>
      </c>
      <c r="G379" t="n">
        <v>20.2</v>
      </c>
      <c r="H379" t="n">
        <v>0</v>
      </c>
      <c r="I379" t="n">
        <v>0</v>
      </c>
      <c r="J379" t="n">
        <v>0</v>
      </c>
      <c r="K379" t="n">
        <v>0</v>
      </c>
      <c r="L379" t="n">
        <v>0</v>
      </c>
      <c r="M379" t="n">
        <v>0</v>
      </c>
      <c r="N379" t="n">
        <v>0</v>
      </c>
      <c r="O379" t="n">
        <v>0</v>
      </c>
      <c r="P379" t="n">
        <v>0</v>
      </c>
      <c r="Q379" t="n">
        <v>0</v>
      </c>
      <c r="R379" s="2" t="inlineStr"/>
    </row>
    <row r="380" ht="15" customHeight="1">
      <c r="A380" t="inlineStr">
        <is>
          <t>A 27918-2025</t>
        </is>
      </c>
      <c r="B380" s="1" t="n">
        <v>45817.48231481481</v>
      </c>
      <c r="C380" s="1" t="n">
        <v>45908</v>
      </c>
      <c r="D380" t="inlineStr">
        <is>
          <t>DALARNAS LÄN</t>
        </is>
      </c>
      <c r="E380" t="inlineStr">
        <is>
          <t>ÄLVDALEN</t>
        </is>
      </c>
      <c r="G380" t="n">
        <v>5.6</v>
      </c>
      <c r="H380" t="n">
        <v>0</v>
      </c>
      <c r="I380" t="n">
        <v>0</v>
      </c>
      <c r="J380" t="n">
        <v>0</v>
      </c>
      <c r="K380" t="n">
        <v>0</v>
      </c>
      <c r="L380" t="n">
        <v>0</v>
      </c>
      <c r="M380" t="n">
        <v>0</v>
      </c>
      <c r="N380" t="n">
        <v>0</v>
      </c>
      <c r="O380" t="n">
        <v>0</v>
      </c>
      <c r="P380" t="n">
        <v>0</v>
      </c>
      <c r="Q380" t="n">
        <v>0</v>
      </c>
      <c r="R380" s="2" t="inlineStr"/>
    </row>
    <row r="381" ht="15" customHeight="1">
      <c r="A381" t="inlineStr">
        <is>
          <t>A 14938-2023</t>
        </is>
      </c>
      <c r="B381" s="1" t="n">
        <v>45015</v>
      </c>
      <c r="C381" s="1" t="n">
        <v>45908</v>
      </c>
      <c r="D381" t="inlineStr">
        <is>
          <t>DALARNAS LÄN</t>
        </is>
      </c>
      <c r="E381" t="inlineStr">
        <is>
          <t>ÄLVDALEN</t>
        </is>
      </c>
      <c r="G381" t="n">
        <v>1.8</v>
      </c>
      <c r="H381" t="n">
        <v>0</v>
      </c>
      <c r="I381" t="n">
        <v>0</v>
      </c>
      <c r="J381" t="n">
        <v>0</v>
      </c>
      <c r="K381" t="n">
        <v>0</v>
      </c>
      <c r="L381" t="n">
        <v>0</v>
      </c>
      <c r="M381" t="n">
        <v>0</v>
      </c>
      <c r="N381" t="n">
        <v>0</v>
      </c>
      <c r="O381" t="n">
        <v>0</v>
      </c>
      <c r="P381" t="n">
        <v>0</v>
      </c>
      <c r="Q381" t="n">
        <v>0</v>
      </c>
      <c r="R381" s="2" t="inlineStr"/>
    </row>
    <row r="382" ht="15" customHeight="1">
      <c r="A382" t="inlineStr">
        <is>
          <t>A 29129-2024</t>
        </is>
      </c>
      <c r="B382" s="1" t="n">
        <v>45482.35762731481</v>
      </c>
      <c r="C382" s="1" t="n">
        <v>45908</v>
      </c>
      <c r="D382" t="inlineStr">
        <is>
          <t>DALARNAS LÄN</t>
        </is>
      </c>
      <c r="E382" t="inlineStr">
        <is>
          <t>ÄLVDALEN</t>
        </is>
      </c>
      <c r="F382" t="inlineStr">
        <is>
          <t>Allmännings- och besparingsskogar</t>
        </is>
      </c>
      <c r="G382" t="n">
        <v>19.8</v>
      </c>
      <c r="H382" t="n">
        <v>0</v>
      </c>
      <c r="I382" t="n">
        <v>0</v>
      </c>
      <c r="J382" t="n">
        <v>0</v>
      </c>
      <c r="K382" t="n">
        <v>0</v>
      </c>
      <c r="L382" t="n">
        <v>0</v>
      </c>
      <c r="M382" t="n">
        <v>0</v>
      </c>
      <c r="N382" t="n">
        <v>0</v>
      </c>
      <c r="O382" t="n">
        <v>0</v>
      </c>
      <c r="P382" t="n">
        <v>0</v>
      </c>
      <c r="Q382" t="n">
        <v>0</v>
      </c>
      <c r="R382" s="2" t="inlineStr"/>
    </row>
    <row r="383" ht="15" customHeight="1">
      <c r="A383" t="inlineStr">
        <is>
          <t>A 3904-2024</t>
        </is>
      </c>
      <c r="B383" s="1" t="n">
        <v>45322</v>
      </c>
      <c r="C383" s="1" t="n">
        <v>45908</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20584-2025</t>
        </is>
      </c>
      <c r="B384" s="1" t="n">
        <v>45775.695</v>
      </c>
      <c r="C384" s="1" t="n">
        <v>45908</v>
      </c>
      <c r="D384" t="inlineStr">
        <is>
          <t>DALARNAS LÄN</t>
        </is>
      </c>
      <c r="E384" t="inlineStr">
        <is>
          <t>ÄLVDALEN</t>
        </is>
      </c>
      <c r="G384" t="n">
        <v>1.8</v>
      </c>
      <c r="H384" t="n">
        <v>0</v>
      </c>
      <c r="I384" t="n">
        <v>0</v>
      </c>
      <c r="J384" t="n">
        <v>0</v>
      </c>
      <c r="K384" t="n">
        <v>0</v>
      </c>
      <c r="L384" t="n">
        <v>0</v>
      </c>
      <c r="M384" t="n">
        <v>0</v>
      </c>
      <c r="N384" t="n">
        <v>0</v>
      </c>
      <c r="O384" t="n">
        <v>0</v>
      </c>
      <c r="P384" t="n">
        <v>0</v>
      </c>
      <c r="Q384" t="n">
        <v>0</v>
      </c>
      <c r="R384" s="2" t="inlineStr"/>
    </row>
    <row r="385" ht="15" customHeight="1">
      <c r="A385" t="inlineStr">
        <is>
          <t>A 17558-2024</t>
        </is>
      </c>
      <c r="B385" s="1" t="n">
        <v>45415.66295138889</v>
      </c>
      <c r="C385" s="1" t="n">
        <v>45908</v>
      </c>
      <c r="D385" t="inlineStr">
        <is>
          <t>DALARNAS LÄN</t>
        </is>
      </c>
      <c r="E385" t="inlineStr">
        <is>
          <t>ÄLVDALEN</t>
        </is>
      </c>
      <c r="G385" t="n">
        <v>2.2</v>
      </c>
      <c r="H385" t="n">
        <v>0</v>
      </c>
      <c r="I385" t="n">
        <v>0</v>
      </c>
      <c r="J385" t="n">
        <v>0</v>
      </c>
      <c r="K385" t="n">
        <v>0</v>
      </c>
      <c r="L385" t="n">
        <v>0</v>
      </c>
      <c r="M385" t="n">
        <v>0</v>
      </c>
      <c r="N385" t="n">
        <v>0</v>
      </c>
      <c r="O385" t="n">
        <v>0</v>
      </c>
      <c r="P385" t="n">
        <v>0</v>
      </c>
      <c r="Q385" t="n">
        <v>0</v>
      </c>
      <c r="R385" s="2" t="inlineStr"/>
    </row>
    <row r="386" ht="15" customHeight="1">
      <c r="A386" t="inlineStr">
        <is>
          <t>A 27739-2025</t>
        </is>
      </c>
      <c r="B386" s="1" t="n">
        <v>45815.49082175926</v>
      </c>
      <c r="C386" s="1" t="n">
        <v>45908</v>
      </c>
      <c r="D386" t="inlineStr">
        <is>
          <t>DALARNAS LÄN</t>
        </is>
      </c>
      <c r="E386" t="inlineStr">
        <is>
          <t>ÄLVDALEN</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23129-2023</t>
        </is>
      </c>
      <c r="B387" s="1" t="n">
        <v>45075</v>
      </c>
      <c r="C387" s="1" t="n">
        <v>45908</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49906-2024</t>
        </is>
      </c>
      <c r="B388" s="1" t="n">
        <v>45597.55230324074</v>
      </c>
      <c r="C388" s="1" t="n">
        <v>45908</v>
      </c>
      <c r="D388" t="inlineStr">
        <is>
          <t>DALARNAS LÄN</t>
        </is>
      </c>
      <c r="E388" t="inlineStr">
        <is>
          <t>ÄLVDALEN</t>
        </is>
      </c>
      <c r="G388" t="n">
        <v>4.2</v>
      </c>
      <c r="H388" t="n">
        <v>0</v>
      </c>
      <c r="I388" t="n">
        <v>0</v>
      </c>
      <c r="J388" t="n">
        <v>0</v>
      </c>
      <c r="K388" t="n">
        <v>0</v>
      </c>
      <c r="L388" t="n">
        <v>0</v>
      </c>
      <c r="M388" t="n">
        <v>0</v>
      </c>
      <c r="N388" t="n">
        <v>0</v>
      </c>
      <c r="O388" t="n">
        <v>0</v>
      </c>
      <c r="P388" t="n">
        <v>0</v>
      </c>
      <c r="Q388" t="n">
        <v>0</v>
      </c>
      <c r="R388" s="2" t="inlineStr"/>
    </row>
    <row r="389" ht="15" customHeight="1">
      <c r="A389" t="inlineStr">
        <is>
          <t>A 28838-2025</t>
        </is>
      </c>
      <c r="B389" s="1" t="n">
        <v>45820.56359953704</v>
      </c>
      <c r="C389" s="1" t="n">
        <v>45908</v>
      </c>
      <c r="D389" t="inlineStr">
        <is>
          <t>DALARNAS LÄN</t>
        </is>
      </c>
      <c r="E389" t="inlineStr">
        <is>
          <t>ÄLVDALEN</t>
        </is>
      </c>
      <c r="F389" t="inlineStr">
        <is>
          <t>Allmännings- och besparingsskogar</t>
        </is>
      </c>
      <c r="G389" t="n">
        <v>7.5</v>
      </c>
      <c r="H389" t="n">
        <v>0</v>
      </c>
      <c r="I389" t="n">
        <v>0</v>
      </c>
      <c r="J389" t="n">
        <v>0</v>
      </c>
      <c r="K389" t="n">
        <v>0</v>
      </c>
      <c r="L389" t="n">
        <v>0</v>
      </c>
      <c r="M389" t="n">
        <v>0</v>
      </c>
      <c r="N389" t="n">
        <v>0</v>
      </c>
      <c r="O389" t="n">
        <v>0</v>
      </c>
      <c r="P389" t="n">
        <v>0</v>
      </c>
      <c r="Q389" t="n">
        <v>0</v>
      </c>
      <c r="R389" s="2" t="inlineStr"/>
    </row>
    <row r="390" ht="15" customHeight="1">
      <c r="A390" t="inlineStr">
        <is>
          <t>A 28844-2025</t>
        </is>
      </c>
      <c r="B390" s="1" t="n">
        <v>45820.57053240741</v>
      </c>
      <c r="C390" s="1" t="n">
        <v>45908</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28842-2025</t>
        </is>
      </c>
      <c r="B391" s="1" t="n">
        <v>45820.56780092593</v>
      </c>
      <c r="C391" s="1" t="n">
        <v>45908</v>
      </c>
      <c r="D391" t="inlineStr">
        <is>
          <t>DALARNAS LÄN</t>
        </is>
      </c>
      <c r="E391" t="inlineStr">
        <is>
          <t>ÄLVDALEN</t>
        </is>
      </c>
      <c r="F391" t="inlineStr">
        <is>
          <t>Allmännings- och besparingsskogar</t>
        </is>
      </c>
      <c r="G391" t="n">
        <v>3.7</v>
      </c>
      <c r="H391" t="n">
        <v>0</v>
      </c>
      <c r="I391" t="n">
        <v>0</v>
      </c>
      <c r="J391" t="n">
        <v>0</v>
      </c>
      <c r="K391" t="n">
        <v>0</v>
      </c>
      <c r="L391" t="n">
        <v>0</v>
      </c>
      <c r="M391" t="n">
        <v>0</v>
      </c>
      <c r="N391" t="n">
        <v>0</v>
      </c>
      <c r="O391" t="n">
        <v>0</v>
      </c>
      <c r="P391" t="n">
        <v>0</v>
      </c>
      <c r="Q391" t="n">
        <v>0</v>
      </c>
      <c r="R391" s="2" t="inlineStr"/>
    </row>
    <row r="392" ht="15" customHeight="1">
      <c r="A392" t="inlineStr">
        <is>
          <t>A 36284-2024</t>
        </is>
      </c>
      <c r="B392" s="1" t="n">
        <v>45534.5897337963</v>
      </c>
      <c r="C392" s="1" t="n">
        <v>45908</v>
      </c>
      <c r="D392" t="inlineStr">
        <is>
          <t>DALARNAS LÄN</t>
        </is>
      </c>
      <c r="E392" t="inlineStr">
        <is>
          <t>ÄLVDALEN</t>
        </is>
      </c>
      <c r="G392" t="n">
        <v>3.4</v>
      </c>
      <c r="H392" t="n">
        <v>0</v>
      </c>
      <c r="I392" t="n">
        <v>0</v>
      </c>
      <c r="J392" t="n">
        <v>0</v>
      </c>
      <c r="K392" t="n">
        <v>0</v>
      </c>
      <c r="L392" t="n">
        <v>0</v>
      </c>
      <c r="M392" t="n">
        <v>0</v>
      </c>
      <c r="N392" t="n">
        <v>0</v>
      </c>
      <c r="O392" t="n">
        <v>0</v>
      </c>
      <c r="P392" t="n">
        <v>0</v>
      </c>
      <c r="Q392" t="n">
        <v>0</v>
      </c>
      <c r="R392" s="2" t="inlineStr"/>
    </row>
    <row r="393" ht="15" customHeight="1">
      <c r="A393" t="inlineStr">
        <is>
          <t>A 52469-2022</t>
        </is>
      </c>
      <c r="B393" s="1" t="n">
        <v>44874</v>
      </c>
      <c r="C393" s="1" t="n">
        <v>45908</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36257-2025</t>
        </is>
      </c>
      <c r="B394" s="1" t="n">
        <v>45867.591875</v>
      </c>
      <c r="C394" s="1" t="n">
        <v>45908</v>
      </c>
      <c r="D394" t="inlineStr">
        <is>
          <t>DALARNAS LÄN</t>
        </is>
      </c>
      <c r="E394" t="inlineStr">
        <is>
          <t>ÄLVDALEN</t>
        </is>
      </c>
      <c r="F394" t="inlineStr">
        <is>
          <t>Allmännings- och besparingsskogar</t>
        </is>
      </c>
      <c r="G394" t="n">
        <v>1.9</v>
      </c>
      <c r="H394" t="n">
        <v>0</v>
      </c>
      <c r="I394" t="n">
        <v>0</v>
      </c>
      <c r="J394" t="n">
        <v>0</v>
      </c>
      <c r="K394" t="n">
        <v>0</v>
      </c>
      <c r="L394" t="n">
        <v>0</v>
      </c>
      <c r="M394" t="n">
        <v>0</v>
      </c>
      <c r="N394" t="n">
        <v>0</v>
      </c>
      <c r="O394" t="n">
        <v>0</v>
      </c>
      <c r="P394" t="n">
        <v>0</v>
      </c>
      <c r="Q394" t="n">
        <v>0</v>
      </c>
      <c r="R394" s="2" t="inlineStr"/>
    </row>
    <row r="395" ht="15" customHeight="1">
      <c r="A395" t="inlineStr">
        <is>
          <t>A 30025-2025</t>
        </is>
      </c>
      <c r="B395" s="1" t="n">
        <v>45826.56265046296</v>
      </c>
      <c r="C395" s="1" t="n">
        <v>45908</v>
      </c>
      <c r="D395" t="inlineStr">
        <is>
          <t>DALARNAS LÄN</t>
        </is>
      </c>
      <c r="E395" t="inlineStr">
        <is>
          <t>ÄLVDALEN</t>
        </is>
      </c>
      <c r="G395" t="n">
        <v>9</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45908</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5885-2024</t>
        </is>
      </c>
      <c r="B397" s="1" t="n">
        <v>45335</v>
      </c>
      <c r="C397" s="1" t="n">
        <v>45908</v>
      </c>
      <c r="D397" t="inlineStr">
        <is>
          <t>DALARNAS LÄN</t>
        </is>
      </c>
      <c r="E397" t="inlineStr">
        <is>
          <t>ÄLVDALEN</t>
        </is>
      </c>
      <c r="G397" t="n">
        <v>0.8</v>
      </c>
      <c r="H397" t="n">
        <v>0</v>
      </c>
      <c r="I397" t="n">
        <v>0</v>
      </c>
      <c r="J397" t="n">
        <v>0</v>
      </c>
      <c r="K397" t="n">
        <v>0</v>
      </c>
      <c r="L397" t="n">
        <v>0</v>
      </c>
      <c r="M397" t="n">
        <v>0</v>
      </c>
      <c r="N397" t="n">
        <v>0</v>
      </c>
      <c r="O397" t="n">
        <v>0</v>
      </c>
      <c r="P397" t="n">
        <v>0</v>
      </c>
      <c r="Q397" t="n">
        <v>0</v>
      </c>
      <c r="R397" s="2" t="inlineStr"/>
    </row>
    <row r="398" ht="15" customHeight="1">
      <c r="A398" t="inlineStr">
        <is>
          <t>A 30502-2025</t>
        </is>
      </c>
      <c r="B398" s="1" t="n">
        <v>45830.82903935185</v>
      </c>
      <c r="C398" s="1" t="n">
        <v>45908</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36830-2025</t>
        </is>
      </c>
      <c r="B399" s="1" t="n">
        <v>45874.34365740741</v>
      </c>
      <c r="C399" s="1" t="n">
        <v>45908</v>
      </c>
      <c r="D399" t="inlineStr">
        <is>
          <t>DALARNAS LÄN</t>
        </is>
      </c>
      <c r="E399" t="inlineStr">
        <is>
          <t>ÄLVDALEN</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32063-2025</t>
        </is>
      </c>
      <c r="B400" s="1" t="n">
        <v>45835.44703703704</v>
      </c>
      <c r="C400" s="1" t="n">
        <v>45908</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20146-2025</t>
        </is>
      </c>
      <c r="B401" s="1" t="n">
        <v>45772.53324074074</v>
      </c>
      <c r="C401" s="1" t="n">
        <v>45908</v>
      </c>
      <c r="D401" t="inlineStr">
        <is>
          <t>DALARNAS LÄN</t>
        </is>
      </c>
      <c r="E401" t="inlineStr">
        <is>
          <t>ÄLVDALEN</t>
        </is>
      </c>
      <c r="F401" t="inlineStr">
        <is>
          <t>Allmännings- och besparingsskogar</t>
        </is>
      </c>
      <c r="G401" t="n">
        <v>24.3</v>
      </c>
      <c r="H401" t="n">
        <v>0</v>
      </c>
      <c r="I401" t="n">
        <v>0</v>
      </c>
      <c r="J401" t="n">
        <v>0</v>
      </c>
      <c r="K401" t="n">
        <v>0</v>
      </c>
      <c r="L401" t="n">
        <v>0</v>
      </c>
      <c r="M401" t="n">
        <v>0</v>
      </c>
      <c r="N401" t="n">
        <v>0</v>
      </c>
      <c r="O401" t="n">
        <v>0</v>
      </c>
      <c r="P401" t="n">
        <v>0</v>
      </c>
      <c r="Q401" t="n">
        <v>0</v>
      </c>
      <c r="R401" s="2" t="inlineStr"/>
    </row>
    <row r="402" ht="15" customHeight="1">
      <c r="A402" t="inlineStr">
        <is>
          <t>A 31796-2025</t>
        </is>
      </c>
      <c r="B402" s="1" t="n">
        <v>45834.54943287037</v>
      </c>
      <c r="C402" s="1" t="n">
        <v>45908</v>
      </c>
      <c r="D402" t="inlineStr">
        <is>
          <t>DALARNAS LÄN</t>
        </is>
      </c>
      <c r="E402" t="inlineStr">
        <is>
          <t>ÄLVDALEN</t>
        </is>
      </c>
      <c r="G402" t="n">
        <v>65.5</v>
      </c>
      <c r="H402" t="n">
        <v>0</v>
      </c>
      <c r="I402" t="n">
        <v>0</v>
      </c>
      <c r="J402" t="n">
        <v>0</v>
      </c>
      <c r="K402" t="n">
        <v>0</v>
      </c>
      <c r="L402" t="n">
        <v>0</v>
      </c>
      <c r="M402" t="n">
        <v>0</v>
      </c>
      <c r="N402" t="n">
        <v>0</v>
      </c>
      <c r="O402" t="n">
        <v>0</v>
      </c>
      <c r="P402" t="n">
        <v>0</v>
      </c>
      <c r="Q402" t="n">
        <v>0</v>
      </c>
      <c r="R402" s="2" t="inlineStr"/>
    </row>
    <row r="403" ht="15" customHeight="1">
      <c r="A403" t="inlineStr">
        <is>
          <t>A 32668-2025</t>
        </is>
      </c>
      <c r="B403" s="1" t="n">
        <v>45838.69678240741</v>
      </c>
      <c r="C403" s="1" t="n">
        <v>45908</v>
      </c>
      <c r="D403" t="inlineStr">
        <is>
          <t>DALARNAS LÄN</t>
        </is>
      </c>
      <c r="E403" t="inlineStr">
        <is>
          <t>ÄLVDALEN</t>
        </is>
      </c>
      <c r="F403" t="inlineStr">
        <is>
          <t>Övriga Aktiebolag</t>
        </is>
      </c>
      <c r="G403" t="n">
        <v>29.5</v>
      </c>
      <c r="H403" t="n">
        <v>0</v>
      </c>
      <c r="I403" t="n">
        <v>0</v>
      </c>
      <c r="J403" t="n">
        <v>0</v>
      </c>
      <c r="K403" t="n">
        <v>0</v>
      </c>
      <c r="L403" t="n">
        <v>0</v>
      </c>
      <c r="M403" t="n">
        <v>0</v>
      </c>
      <c r="N403" t="n">
        <v>0</v>
      </c>
      <c r="O403" t="n">
        <v>0</v>
      </c>
      <c r="P403" t="n">
        <v>0</v>
      </c>
      <c r="Q403" t="n">
        <v>0</v>
      </c>
      <c r="R403" s="2" t="inlineStr"/>
    </row>
    <row r="404" ht="15" customHeight="1">
      <c r="A404" t="inlineStr">
        <is>
          <t>A 28884-2023</t>
        </is>
      </c>
      <c r="B404" s="1" t="n">
        <v>45104.48320601852</v>
      </c>
      <c r="C404" s="1" t="n">
        <v>45908</v>
      </c>
      <c r="D404" t="inlineStr">
        <is>
          <t>DALARNAS LÄN</t>
        </is>
      </c>
      <c r="E404" t="inlineStr">
        <is>
          <t>ÄLVDALEN</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row>
    <row r="405" ht="15" customHeight="1">
      <c r="A405" t="inlineStr">
        <is>
          <t>A 37873-2025</t>
        </is>
      </c>
      <c r="B405" s="1" t="n">
        <v>45881</v>
      </c>
      <c r="C405" s="1" t="n">
        <v>45908</v>
      </c>
      <c r="D405" t="inlineStr">
        <is>
          <t>DALARNAS LÄN</t>
        </is>
      </c>
      <c r="E405" t="inlineStr">
        <is>
          <t>ÄLVDALEN</t>
        </is>
      </c>
      <c r="F405" t="inlineStr">
        <is>
          <t>Övriga Aktiebolag</t>
        </is>
      </c>
      <c r="G405" t="n">
        <v>40.7</v>
      </c>
      <c r="H405" t="n">
        <v>0</v>
      </c>
      <c r="I405" t="n">
        <v>0</v>
      </c>
      <c r="J405" t="n">
        <v>0</v>
      </c>
      <c r="K405" t="n">
        <v>0</v>
      </c>
      <c r="L405" t="n">
        <v>0</v>
      </c>
      <c r="M405" t="n">
        <v>0</v>
      </c>
      <c r="N405" t="n">
        <v>0</v>
      </c>
      <c r="O405" t="n">
        <v>0</v>
      </c>
      <c r="P405" t="n">
        <v>0</v>
      </c>
      <c r="Q405" t="n">
        <v>0</v>
      </c>
      <c r="R405" s="2" t="inlineStr"/>
    </row>
    <row r="406" ht="15" customHeight="1">
      <c r="A406" t="inlineStr">
        <is>
          <t>A 37874-2025</t>
        </is>
      </c>
      <c r="B406" s="1" t="n">
        <v>45881</v>
      </c>
      <c r="C406" s="1" t="n">
        <v>45908</v>
      </c>
      <c r="D406" t="inlineStr">
        <is>
          <t>DALARNAS LÄN</t>
        </is>
      </c>
      <c r="E406" t="inlineStr">
        <is>
          <t>ÄLVDALEN</t>
        </is>
      </c>
      <c r="F406" t="inlineStr">
        <is>
          <t>Övriga Aktiebolag</t>
        </is>
      </c>
      <c r="G406" t="n">
        <v>33.5</v>
      </c>
      <c r="H406" t="n">
        <v>0</v>
      </c>
      <c r="I406" t="n">
        <v>0</v>
      </c>
      <c r="J406" t="n">
        <v>0</v>
      </c>
      <c r="K406" t="n">
        <v>0</v>
      </c>
      <c r="L406" t="n">
        <v>0</v>
      </c>
      <c r="M406" t="n">
        <v>0</v>
      </c>
      <c r="N406" t="n">
        <v>0</v>
      </c>
      <c r="O406" t="n">
        <v>0</v>
      </c>
      <c r="P406" t="n">
        <v>0</v>
      </c>
      <c r="Q406" t="n">
        <v>0</v>
      </c>
      <c r="R406" s="2" t="inlineStr"/>
    </row>
    <row r="407" ht="15" customHeight="1">
      <c r="A407" t="inlineStr">
        <is>
          <t>A 37186-2025</t>
        </is>
      </c>
      <c r="B407" s="1" t="n">
        <v>45875.63905092593</v>
      </c>
      <c r="C407" s="1" t="n">
        <v>45908</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46881-2020</t>
        </is>
      </c>
      <c r="B408" s="1" t="n">
        <v>44096</v>
      </c>
      <c r="C408" s="1" t="n">
        <v>45908</v>
      </c>
      <c r="D408" t="inlineStr">
        <is>
          <t>DALARNAS LÄN</t>
        </is>
      </c>
      <c r="E408" t="inlineStr">
        <is>
          <t>ÄLVDALEN</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52060-2022</t>
        </is>
      </c>
      <c r="B409" s="1" t="n">
        <v>44873.34417824074</v>
      </c>
      <c r="C409" s="1" t="n">
        <v>45908</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45908</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38754-2025</t>
        </is>
      </c>
      <c r="B411" s="1" t="n">
        <v>45887.39354166666</v>
      </c>
      <c r="C411" s="1" t="n">
        <v>45908</v>
      </c>
      <c r="D411" t="inlineStr">
        <is>
          <t>DALARNAS LÄN</t>
        </is>
      </c>
      <c r="E411" t="inlineStr">
        <is>
          <t>ÄLVDALEN</t>
        </is>
      </c>
      <c r="F411" t="inlineStr">
        <is>
          <t>Bergvik skog väst AB</t>
        </is>
      </c>
      <c r="G411" t="n">
        <v>7.1</v>
      </c>
      <c r="H411" t="n">
        <v>0</v>
      </c>
      <c r="I411" t="n">
        <v>0</v>
      </c>
      <c r="J411" t="n">
        <v>0</v>
      </c>
      <c r="K411" t="n">
        <v>0</v>
      </c>
      <c r="L411" t="n">
        <v>0</v>
      </c>
      <c r="M411" t="n">
        <v>0</v>
      </c>
      <c r="N411" t="n">
        <v>0</v>
      </c>
      <c r="O411" t="n">
        <v>0</v>
      </c>
      <c r="P411" t="n">
        <v>0</v>
      </c>
      <c r="Q411" t="n">
        <v>0</v>
      </c>
      <c r="R411" s="2" t="inlineStr"/>
    </row>
    <row r="412" ht="15" customHeight="1">
      <c r="A412" t="inlineStr">
        <is>
          <t>A 30987-2023</t>
        </is>
      </c>
      <c r="B412" s="1" t="n">
        <v>45113</v>
      </c>
      <c r="C412" s="1" t="n">
        <v>45908</v>
      </c>
      <c r="D412" t="inlineStr">
        <is>
          <t>DALARNAS LÄN</t>
        </is>
      </c>
      <c r="E412" t="inlineStr">
        <is>
          <t>ÄLVDALEN</t>
        </is>
      </c>
      <c r="F412" t="inlineStr">
        <is>
          <t>Allmännings- och besparingsskogar</t>
        </is>
      </c>
      <c r="G412" t="n">
        <v>3.8</v>
      </c>
      <c r="H412" t="n">
        <v>0</v>
      </c>
      <c r="I412" t="n">
        <v>0</v>
      </c>
      <c r="J412" t="n">
        <v>0</v>
      </c>
      <c r="K412" t="n">
        <v>0</v>
      </c>
      <c r="L412" t="n">
        <v>0</v>
      </c>
      <c r="M412" t="n">
        <v>0</v>
      </c>
      <c r="N412" t="n">
        <v>0</v>
      </c>
      <c r="O412" t="n">
        <v>0</v>
      </c>
      <c r="P412" t="n">
        <v>0</v>
      </c>
      <c r="Q412" t="n">
        <v>0</v>
      </c>
      <c r="R412" s="2" t="inlineStr"/>
    </row>
    <row r="413" ht="15" customHeight="1">
      <c r="A413" t="inlineStr">
        <is>
          <t>A 34314-2025</t>
        </is>
      </c>
      <c r="B413" s="1" t="n">
        <v>45846</v>
      </c>
      <c r="C413" s="1" t="n">
        <v>45908</v>
      </c>
      <c r="D413" t="inlineStr">
        <is>
          <t>DALARNAS LÄN</t>
        </is>
      </c>
      <c r="E413" t="inlineStr">
        <is>
          <t>ÄLVDALEN</t>
        </is>
      </c>
      <c r="F413" t="inlineStr">
        <is>
          <t>Bergvik skog väst AB</t>
        </is>
      </c>
      <c r="G413" t="n">
        <v>6</v>
      </c>
      <c r="H413" t="n">
        <v>0</v>
      </c>
      <c r="I413" t="n">
        <v>0</v>
      </c>
      <c r="J413" t="n">
        <v>0</v>
      </c>
      <c r="K413" t="n">
        <v>0</v>
      </c>
      <c r="L413" t="n">
        <v>0</v>
      </c>
      <c r="M413" t="n">
        <v>0</v>
      </c>
      <c r="N413" t="n">
        <v>0</v>
      </c>
      <c r="O413" t="n">
        <v>0</v>
      </c>
      <c r="P413" t="n">
        <v>0</v>
      </c>
      <c r="Q413" t="n">
        <v>0</v>
      </c>
      <c r="R413" s="2" t="inlineStr"/>
    </row>
    <row r="414" ht="15" customHeight="1">
      <c r="A414" t="inlineStr">
        <is>
          <t>A 33107-2023</t>
        </is>
      </c>
      <c r="B414" s="1" t="n">
        <v>45114</v>
      </c>
      <c r="C414" s="1" t="n">
        <v>45908</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1081-2025</t>
        </is>
      </c>
      <c r="B415" s="1" t="n">
        <v>45666.61589120371</v>
      </c>
      <c r="C415" s="1" t="n">
        <v>45908</v>
      </c>
      <c r="D415" t="inlineStr">
        <is>
          <t>DALARNAS LÄN</t>
        </is>
      </c>
      <c r="E415" t="inlineStr">
        <is>
          <t>ÄLVDALEN</t>
        </is>
      </c>
      <c r="G415" t="n">
        <v>5.8</v>
      </c>
      <c r="H415" t="n">
        <v>0</v>
      </c>
      <c r="I415" t="n">
        <v>0</v>
      </c>
      <c r="J415" t="n">
        <v>0</v>
      </c>
      <c r="K415" t="n">
        <v>0</v>
      </c>
      <c r="L415" t="n">
        <v>0</v>
      </c>
      <c r="M415" t="n">
        <v>0</v>
      </c>
      <c r="N415" t="n">
        <v>0</v>
      </c>
      <c r="O415" t="n">
        <v>0</v>
      </c>
      <c r="P415" t="n">
        <v>0</v>
      </c>
      <c r="Q415" t="n">
        <v>0</v>
      </c>
      <c r="R415" s="2" t="inlineStr"/>
    </row>
    <row r="416" ht="15" customHeight="1">
      <c r="A416" t="inlineStr">
        <is>
          <t>A 1088-2025</t>
        </is>
      </c>
      <c r="B416" s="1" t="n">
        <v>45666.62162037037</v>
      </c>
      <c r="C416" s="1" t="n">
        <v>45908</v>
      </c>
      <c r="D416" t="inlineStr">
        <is>
          <t>DALARNAS LÄN</t>
        </is>
      </c>
      <c r="E416" t="inlineStr">
        <is>
          <t>ÄLVDALEN</t>
        </is>
      </c>
      <c r="G416" t="n">
        <v>5.4</v>
      </c>
      <c r="H416" t="n">
        <v>0</v>
      </c>
      <c r="I416" t="n">
        <v>0</v>
      </c>
      <c r="J416" t="n">
        <v>0</v>
      </c>
      <c r="K416" t="n">
        <v>0</v>
      </c>
      <c r="L416" t="n">
        <v>0</v>
      </c>
      <c r="M416" t="n">
        <v>0</v>
      </c>
      <c r="N416" t="n">
        <v>0</v>
      </c>
      <c r="O416" t="n">
        <v>0</v>
      </c>
      <c r="P416" t="n">
        <v>0</v>
      </c>
      <c r="Q416" t="n">
        <v>0</v>
      </c>
      <c r="R416" s="2" t="inlineStr"/>
    </row>
    <row r="417" ht="15" customHeight="1">
      <c r="A417" t="inlineStr">
        <is>
          <t>A 39041-2025</t>
        </is>
      </c>
      <c r="B417" s="1" t="n">
        <v>45888</v>
      </c>
      <c r="C417" s="1" t="n">
        <v>45908</v>
      </c>
      <c r="D417" t="inlineStr">
        <is>
          <t>DALARNAS LÄN</t>
        </is>
      </c>
      <c r="E417" t="inlineStr">
        <is>
          <t>ÄLVDALEN</t>
        </is>
      </c>
      <c r="G417" t="n">
        <v>4.7</v>
      </c>
      <c r="H417" t="n">
        <v>0</v>
      </c>
      <c r="I417" t="n">
        <v>0</v>
      </c>
      <c r="J417" t="n">
        <v>0</v>
      </c>
      <c r="K417" t="n">
        <v>0</v>
      </c>
      <c r="L417" t="n">
        <v>0</v>
      </c>
      <c r="M417" t="n">
        <v>0</v>
      </c>
      <c r="N417" t="n">
        <v>0</v>
      </c>
      <c r="O417" t="n">
        <v>0</v>
      </c>
      <c r="P417" t="n">
        <v>0</v>
      </c>
      <c r="Q417" t="n">
        <v>0</v>
      </c>
      <c r="R417" s="2" t="inlineStr"/>
    </row>
    <row r="418" ht="15" customHeight="1">
      <c r="A418" t="inlineStr">
        <is>
          <t>A 34526-2025</t>
        </is>
      </c>
      <c r="B418" s="1" t="n">
        <v>45847.47820601852</v>
      </c>
      <c r="C418" s="1" t="n">
        <v>45908</v>
      </c>
      <c r="D418" t="inlineStr">
        <is>
          <t>DALARNAS LÄN</t>
        </is>
      </c>
      <c r="E418" t="inlineStr">
        <is>
          <t>ÄLVDALEN</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19578-2025</t>
        </is>
      </c>
      <c r="B419" s="1" t="n">
        <v>45770</v>
      </c>
      <c r="C419" s="1" t="n">
        <v>45908</v>
      </c>
      <c r="D419" t="inlineStr">
        <is>
          <t>DALARNAS LÄN</t>
        </is>
      </c>
      <c r="E419" t="inlineStr">
        <is>
          <t>ÄLVDALEN</t>
        </is>
      </c>
      <c r="F419" t="inlineStr">
        <is>
          <t>Sveaskog</t>
        </is>
      </c>
      <c r="G419" t="n">
        <v>15.2</v>
      </c>
      <c r="H419" t="n">
        <v>0</v>
      </c>
      <c r="I419" t="n">
        <v>0</v>
      </c>
      <c r="J419" t="n">
        <v>0</v>
      </c>
      <c r="K419" t="n">
        <v>0</v>
      </c>
      <c r="L419" t="n">
        <v>0</v>
      </c>
      <c r="M419" t="n">
        <v>0</v>
      </c>
      <c r="N419" t="n">
        <v>0</v>
      </c>
      <c r="O419" t="n">
        <v>0</v>
      </c>
      <c r="P419" t="n">
        <v>0</v>
      </c>
      <c r="Q419" t="n">
        <v>0</v>
      </c>
      <c r="R419" s="2" t="inlineStr"/>
    </row>
    <row r="420" ht="15" customHeight="1">
      <c r="A420" t="inlineStr">
        <is>
          <t>A 34914-2025</t>
        </is>
      </c>
      <c r="B420" s="1" t="n">
        <v>45849.54108796296</v>
      </c>
      <c r="C420" s="1" t="n">
        <v>45908</v>
      </c>
      <c r="D420" t="inlineStr">
        <is>
          <t>DALARNAS LÄN</t>
        </is>
      </c>
      <c r="E420" t="inlineStr">
        <is>
          <t>ÄLVDALEN</t>
        </is>
      </c>
      <c r="F420" t="inlineStr">
        <is>
          <t>Allmännings- och besparingsskogar</t>
        </is>
      </c>
      <c r="G420" t="n">
        <v>19.2</v>
      </c>
      <c r="H420" t="n">
        <v>0</v>
      </c>
      <c r="I420" t="n">
        <v>0</v>
      </c>
      <c r="J420" t="n">
        <v>0</v>
      </c>
      <c r="K420" t="n">
        <v>0</v>
      </c>
      <c r="L420" t="n">
        <v>0</v>
      </c>
      <c r="M420" t="n">
        <v>0</v>
      </c>
      <c r="N420" t="n">
        <v>0</v>
      </c>
      <c r="O420" t="n">
        <v>0</v>
      </c>
      <c r="P420" t="n">
        <v>0</v>
      </c>
      <c r="Q420" t="n">
        <v>0</v>
      </c>
      <c r="R420" s="2" t="inlineStr"/>
    </row>
    <row r="421" ht="15" customHeight="1">
      <c r="A421" t="inlineStr">
        <is>
          <t>A 39755-2025</t>
        </is>
      </c>
      <c r="B421" s="1" t="n">
        <v>45891</v>
      </c>
      <c r="C421" s="1" t="n">
        <v>45908</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39893-2025</t>
        </is>
      </c>
      <c r="B422" s="1" t="n">
        <v>45891.63013888889</v>
      </c>
      <c r="C422" s="1" t="n">
        <v>45908</v>
      </c>
      <c r="D422" t="inlineStr">
        <is>
          <t>DALARNAS LÄN</t>
        </is>
      </c>
      <c r="E422" t="inlineStr">
        <is>
          <t>ÄLVDALEN</t>
        </is>
      </c>
      <c r="F422" t="inlineStr">
        <is>
          <t>Kommuner</t>
        </is>
      </c>
      <c r="G422" t="n">
        <v>5.8</v>
      </c>
      <c r="H422" t="n">
        <v>0</v>
      </c>
      <c r="I422" t="n">
        <v>0</v>
      </c>
      <c r="J422" t="n">
        <v>0</v>
      </c>
      <c r="K422" t="n">
        <v>0</v>
      </c>
      <c r="L422" t="n">
        <v>0</v>
      </c>
      <c r="M422" t="n">
        <v>0</v>
      </c>
      <c r="N422" t="n">
        <v>0</v>
      </c>
      <c r="O422" t="n">
        <v>0</v>
      </c>
      <c r="P422" t="n">
        <v>0</v>
      </c>
      <c r="Q422" t="n">
        <v>0</v>
      </c>
      <c r="R422" s="2" t="inlineStr"/>
    </row>
    <row r="423" ht="15" customHeight="1">
      <c r="A423" t="inlineStr">
        <is>
          <t>A 39759-2025</t>
        </is>
      </c>
      <c r="B423" s="1" t="n">
        <v>45891.43167824074</v>
      </c>
      <c r="C423" s="1" t="n">
        <v>45908</v>
      </c>
      <c r="D423" t="inlineStr">
        <is>
          <t>DALARNAS LÄN</t>
        </is>
      </c>
      <c r="E423" t="inlineStr">
        <is>
          <t>ÄLVDALEN</t>
        </is>
      </c>
      <c r="G423" t="n">
        <v>6.6</v>
      </c>
      <c r="H423" t="n">
        <v>0</v>
      </c>
      <c r="I423" t="n">
        <v>0</v>
      </c>
      <c r="J423" t="n">
        <v>0</v>
      </c>
      <c r="K423" t="n">
        <v>0</v>
      </c>
      <c r="L423" t="n">
        <v>0</v>
      </c>
      <c r="M423" t="n">
        <v>0</v>
      </c>
      <c r="N423" t="n">
        <v>0</v>
      </c>
      <c r="O423" t="n">
        <v>0</v>
      </c>
      <c r="P423" t="n">
        <v>0</v>
      </c>
      <c r="Q423" t="n">
        <v>0</v>
      </c>
      <c r="R423" s="2" t="inlineStr"/>
    </row>
    <row r="424" ht="15" customHeight="1">
      <c r="A424" t="inlineStr">
        <is>
          <t>A 34778-2025</t>
        </is>
      </c>
      <c r="B424" s="1" t="n">
        <v>45848.66840277778</v>
      </c>
      <c r="C424" s="1" t="n">
        <v>45908</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19583-2025</t>
        </is>
      </c>
      <c r="B425" s="1" t="n">
        <v>45770</v>
      </c>
      <c r="C425" s="1" t="n">
        <v>45908</v>
      </c>
      <c r="D425" t="inlineStr">
        <is>
          <t>DALARNAS LÄN</t>
        </is>
      </c>
      <c r="E425" t="inlineStr">
        <is>
          <t>ÄLVDALEN</t>
        </is>
      </c>
      <c r="F425" t="inlineStr">
        <is>
          <t>Sveaskog</t>
        </is>
      </c>
      <c r="G425" t="n">
        <v>24.1</v>
      </c>
      <c r="H425" t="n">
        <v>0</v>
      </c>
      <c r="I425" t="n">
        <v>0</v>
      </c>
      <c r="J425" t="n">
        <v>0</v>
      </c>
      <c r="K425" t="n">
        <v>0</v>
      </c>
      <c r="L425" t="n">
        <v>0</v>
      </c>
      <c r="M425" t="n">
        <v>0</v>
      </c>
      <c r="N425" t="n">
        <v>0</v>
      </c>
      <c r="O425" t="n">
        <v>0</v>
      </c>
      <c r="P425" t="n">
        <v>0</v>
      </c>
      <c r="Q425" t="n">
        <v>0</v>
      </c>
      <c r="R425" s="2" t="inlineStr"/>
    </row>
    <row r="426" ht="15" customHeight="1">
      <c r="A426" t="inlineStr">
        <is>
          <t>A 34645-2025</t>
        </is>
      </c>
      <c r="B426" s="1" t="n">
        <v>45848.33440972222</v>
      </c>
      <c r="C426" s="1" t="n">
        <v>45908</v>
      </c>
      <c r="D426" t="inlineStr">
        <is>
          <t>DALARNAS LÄN</t>
        </is>
      </c>
      <c r="E426" t="inlineStr">
        <is>
          <t>ÄLVDALEN</t>
        </is>
      </c>
      <c r="G426" t="n">
        <v>7.1</v>
      </c>
      <c r="H426" t="n">
        <v>0</v>
      </c>
      <c r="I426" t="n">
        <v>0</v>
      </c>
      <c r="J426" t="n">
        <v>0</v>
      </c>
      <c r="K426" t="n">
        <v>0</v>
      </c>
      <c r="L426" t="n">
        <v>0</v>
      </c>
      <c r="M426" t="n">
        <v>0</v>
      </c>
      <c r="N426" t="n">
        <v>0</v>
      </c>
      <c r="O426" t="n">
        <v>0</v>
      </c>
      <c r="P426" t="n">
        <v>0</v>
      </c>
      <c r="Q426" t="n">
        <v>0</v>
      </c>
      <c r="R426" s="2" t="inlineStr"/>
    </row>
    <row r="427" ht="15" customHeight="1">
      <c r="A427" t="inlineStr">
        <is>
          <t>A 39789-2025</t>
        </is>
      </c>
      <c r="B427" s="1" t="n">
        <v>45891.48471064815</v>
      </c>
      <c r="C427" s="1" t="n">
        <v>45908</v>
      </c>
      <c r="D427" t="inlineStr">
        <is>
          <t>DALARNAS LÄN</t>
        </is>
      </c>
      <c r="E427" t="inlineStr">
        <is>
          <t>ÄLVDALEN</t>
        </is>
      </c>
      <c r="G427" t="n">
        <v>2.2</v>
      </c>
      <c r="H427" t="n">
        <v>0</v>
      </c>
      <c r="I427" t="n">
        <v>0</v>
      </c>
      <c r="J427" t="n">
        <v>0</v>
      </c>
      <c r="K427" t="n">
        <v>0</v>
      </c>
      <c r="L427" t="n">
        <v>0</v>
      </c>
      <c r="M427" t="n">
        <v>0</v>
      </c>
      <c r="N427" t="n">
        <v>0</v>
      </c>
      <c r="O427" t="n">
        <v>0</v>
      </c>
      <c r="P427" t="n">
        <v>0</v>
      </c>
      <c r="Q427" t="n">
        <v>0</v>
      </c>
      <c r="R427" s="2" t="inlineStr"/>
    </row>
    <row r="428" ht="15" customHeight="1">
      <c r="A428" t="inlineStr">
        <is>
          <t>A 34697-2025</t>
        </is>
      </c>
      <c r="B428" s="1" t="n">
        <v>45848.46181712963</v>
      </c>
      <c r="C428" s="1" t="n">
        <v>45908</v>
      </c>
      <c r="D428" t="inlineStr">
        <is>
          <t>DALARNAS LÄN</t>
        </is>
      </c>
      <c r="E428" t="inlineStr">
        <is>
          <t>ÄLVDALEN</t>
        </is>
      </c>
      <c r="F428" t="inlineStr">
        <is>
          <t>Allmännings- och besparingsskogar</t>
        </is>
      </c>
      <c r="G428" t="n">
        <v>7.8</v>
      </c>
      <c r="H428" t="n">
        <v>0</v>
      </c>
      <c r="I428" t="n">
        <v>0</v>
      </c>
      <c r="J428" t="n">
        <v>0</v>
      </c>
      <c r="K428" t="n">
        <v>0</v>
      </c>
      <c r="L428" t="n">
        <v>0</v>
      </c>
      <c r="M428" t="n">
        <v>0</v>
      </c>
      <c r="N428" t="n">
        <v>0</v>
      </c>
      <c r="O428" t="n">
        <v>0</v>
      </c>
      <c r="P428" t="n">
        <v>0</v>
      </c>
      <c r="Q428" t="n">
        <v>0</v>
      </c>
      <c r="R428" s="2" t="inlineStr"/>
    </row>
    <row r="429" ht="15" customHeight="1">
      <c r="A429" t="inlineStr">
        <is>
          <t>A 34705-2025</t>
        </is>
      </c>
      <c r="B429" s="1" t="n">
        <v>45848.49012731481</v>
      </c>
      <c r="C429" s="1" t="n">
        <v>45908</v>
      </c>
      <c r="D429" t="inlineStr">
        <is>
          <t>DALARNAS LÄN</t>
        </is>
      </c>
      <c r="E429" t="inlineStr">
        <is>
          <t>ÄLVDALEN</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39762-2025</t>
        </is>
      </c>
      <c r="B430" s="1" t="n">
        <v>45891.44045138889</v>
      </c>
      <c r="C430" s="1" t="n">
        <v>45908</v>
      </c>
      <c r="D430" t="inlineStr">
        <is>
          <t>DALARNAS LÄN</t>
        </is>
      </c>
      <c r="E430" t="inlineStr">
        <is>
          <t>ÄLVDALEN</t>
        </is>
      </c>
      <c r="G430" t="n">
        <v>4.7</v>
      </c>
      <c r="H430" t="n">
        <v>0</v>
      </c>
      <c r="I430" t="n">
        <v>0</v>
      </c>
      <c r="J430" t="n">
        <v>0</v>
      </c>
      <c r="K430" t="n">
        <v>0</v>
      </c>
      <c r="L430" t="n">
        <v>0</v>
      </c>
      <c r="M430" t="n">
        <v>0</v>
      </c>
      <c r="N430" t="n">
        <v>0</v>
      </c>
      <c r="O430" t="n">
        <v>0</v>
      </c>
      <c r="P430" t="n">
        <v>0</v>
      </c>
      <c r="Q430" t="n">
        <v>0</v>
      </c>
      <c r="R430" s="2" t="inlineStr"/>
    </row>
    <row r="431" ht="15" customHeight="1">
      <c r="A431" t="inlineStr">
        <is>
          <t>A 34850-2025</t>
        </is>
      </c>
      <c r="B431" s="1" t="n">
        <v>45849.42398148148</v>
      </c>
      <c r="C431" s="1" t="n">
        <v>45908</v>
      </c>
      <c r="D431" t="inlineStr">
        <is>
          <t>DALARNAS LÄN</t>
        </is>
      </c>
      <c r="E431" t="inlineStr">
        <is>
          <t>ÄLVDALEN</t>
        </is>
      </c>
      <c r="F431" t="inlineStr">
        <is>
          <t>Allmännings- och besparingsskogar</t>
        </is>
      </c>
      <c r="G431" t="n">
        <v>12.1</v>
      </c>
      <c r="H431" t="n">
        <v>0</v>
      </c>
      <c r="I431" t="n">
        <v>0</v>
      </c>
      <c r="J431" t="n">
        <v>0</v>
      </c>
      <c r="K431" t="n">
        <v>0</v>
      </c>
      <c r="L431" t="n">
        <v>0</v>
      </c>
      <c r="M431" t="n">
        <v>0</v>
      </c>
      <c r="N431" t="n">
        <v>0</v>
      </c>
      <c r="O431" t="n">
        <v>0</v>
      </c>
      <c r="P431" t="n">
        <v>0</v>
      </c>
      <c r="Q431" t="n">
        <v>0</v>
      </c>
      <c r="R431" s="2" t="inlineStr"/>
    </row>
    <row r="432" ht="15" customHeight="1">
      <c r="A432" t="inlineStr">
        <is>
          <t>A 34739-2025</t>
        </is>
      </c>
      <c r="B432" s="1" t="n">
        <v>45848.60682870371</v>
      </c>
      <c r="C432" s="1" t="n">
        <v>45908</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30985-2023</t>
        </is>
      </c>
      <c r="B433" s="1" t="n">
        <v>45113</v>
      </c>
      <c r="C433" s="1" t="n">
        <v>45908</v>
      </c>
      <c r="D433" t="inlineStr">
        <is>
          <t>DALARNAS LÄN</t>
        </is>
      </c>
      <c r="E433" t="inlineStr">
        <is>
          <t>ÄLVDALEN</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40461-2025</t>
        </is>
      </c>
      <c r="B434" s="1" t="n">
        <v>45895</v>
      </c>
      <c r="C434" s="1" t="n">
        <v>45908</v>
      </c>
      <c r="D434" t="inlineStr">
        <is>
          <t>DALARNAS LÄN</t>
        </is>
      </c>
      <c r="E434" t="inlineStr">
        <is>
          <t>ÄLVDALEN</t>
        </is>
      </c>
      <c r="G434" t="n">
        <v>3.1</v>
      </c>
      <c r="H434" t="n">
        <v>0</v>
      </c>
      <c r="I434" t="n">
        <v>0</v>
      </c>
      <c r="J434" t="n">
        <v>0</v>
      </c>
      <c r="K434" t="n">
        <v>0</v>
      </c>
      <c r="L434" t="n">
        <v>0</v>
      </c>
      <c r="M434" t="n">
        <v>0</v>
      </c>
      <c r="N434" t="n">
        <v>0</v>
      </c>
      <c r="O434" t="n">
        <v>0</v>
      </c>
      <c r="P434" t="n">
        <v>0</v>
      </c>
      <c r="Q434" t="n">
        <v>0</v>
      </c>
      <c r="R434" s="2" t="inlineStr"/>
    </row>
    <row r="435" ht="15" customHeight="1">
      <c r="A435" t="inlineStr">
        <is>
          <t>A 40444-2025</t>
        </is>
      </c>
      <c r="B435" s="1" t="n">
        <v>45895</v>
      </c>
      <c r="C435" s="1" t="n">
        <v>45908</v>
      </c>
      <c r="D435" t="inlineStr">
        <is>
          <t>DALARNAS LÄN</t>
        </is>
      </c>
      <c r="E435" t="inlineStr">
        <is>
          <t>ÄLVDALEN</t>
        </is>
      </c>
      <c r="G435" t="n">
        <v>7.4</v>
      </c>
      <c r="H435" t="n">
        <v>0</v>
      </c>
      <c r="I435" t="n">
        <v>0</v>
      </c>
      <c r="J435" t="n">
        <v>0</v>
      </c>
      <c r="K435" t="n">
        <v>0</v>
      </c>
      <c r="L435" t="n">
        <v>0</v>
      </c>
      <c r="M435" t="n">
        <v>0</v>
      </c>
      <c r="N435" t="n">
        <v>0</v>
      </c>
      <c r="O435" t="n">
        <v>0</v>
      </c>
      <c r="P435" t="n">
        <v>0</v>
      </c>
      <c r="Q435" t="n">
        <v>0</v>
      </c>
      <c r="R435" s="2" t="inlineStr"/>
    </row>
    <row r="436" ht="15" customHeight="1">
      <c r="A436" t="inlineStr">
        <is>
          <t>A 40081-2025</t>
        </is>
      </c>
      <c r="B436" s="1" t="n">
        <v>45894.46609953704</v>
      </c>
      <c r="C436" s="1" t="n">
        <v>45908</v>
      </c>
      <c r="D436" t="inlineStr">
        <is>
          <t>DALARNAS LÄN</t>
        </is>
      </c>
      <c r="E436" t="inlineStr">
        <is>
          <t>ÄLVDALEN</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45203-2024</t>
        </is>
      </c>
      <c r="B437" s="1" t="n">
        <v>45575</v>
      </c>
      <c r="C437" s="1" t="n">
        <v>45908</v>
      </c>
      <c r="D437" t="inlineStr">
        <is>
          <t>DALARNAS LÄN</t>
        </is>
      </c>
      <c r="E437" t="inlineStr">
        <is>
          <t>ÄLVDALEN</t>
        </is>
      </c>
      <c r="G437" t="n">
        <v>7.3</v>
      </c>
      <c r="H437" t="n">
        <v>0</v>
      </c>
      <c r="I437" t="n">
        <v>0</v>
      </c>
      <c r="J437" t="n">
        <v>0</v>
      </c>
      <c r="K437" t="n">
        <v>0</v>
      </c>
      <c r="L437" t="n">
        <v>0</v>
      </c>
      <c r="M437" t="n">
        <v>0</v>
      </c>
      <c r="N437" t="n">
        <v>0</v>
      </c>
      <c r="O437" t="n">
        <v>0</v>
      </c>
      <c r="P437" t="n">
        <v>0</v>
      </c>
      <c r="Q437" t="n">
        <v>0</v>
      </c>
      <c r="R437" s="2" t="inlineStr"/>
    </row>
    <row r="438" ht="15" customHeight="1">
      <c r="A438" t="inlineStr">
        <is>
          <t>A 40417-2025</t>
        </is>
      </c>
      <c r="B438" s="1" t="n">
        <v>45895</v>
      </c>
      <c r="C438" s="1" t="n">
        <v>45908</v>
      </c>
      <c r="D438" t="inlineStr">
        <is>
          <t>DALARNAS LÄN</t>
        </is>
      </c>
      <c r="E438" t="inlineStr">
        <is>
          <t>ÄLVDALEN</t>
        </is>
      </c>
      <c r="G438" t="n">
        <v>14.2</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45908</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40954-2025</t>
        </is>
      </c>
      <c r="B440" s="1" t="n">
        <v>45897.67196759259</v>
      </c>
      <c r="C440" s="1" t="n">
        <v>45908</v>
      </c>
      <c r="D440" t="inlineStr">
        <is>
          <t>DALARNAS LÄN</t>
        </is>
      </c>
      <c r="E440" t="inlineStr">
        <is>
          <t>ÄLVDALEN</t>
        </is>
      </c>
      <c r="G440" t="n">
        <v>2.9</v>
      </c>
      <c r="H440" t="n">
        <v>0</v>
      </c>
      <c r="I440" t="n">
        <v>0</v>
      </c>
      <c r="J440" t="n">
        <v>0</v>
      </c>
      <c r="K440" t="n">
        <v>0</v>
      </c>
      <c r="L440" t="n">
        <v>0</v>
      </c>
      <c r="M440" t="n">
        <v>0</v>
      </c>
      <c r="N440" t="n">
        <v>0</v>
      </c>
      <c r="O440" t="n">
        <v>0</v>
      </c>
      <c r="P440" t="n">
        <v>0</v>
      </c>
      <c r="Q440" t="n">
        <v>0</v>
      </c>
      <c r="R440" s="2" t="inlineStr"/>
    </row>
    <row r="441" ht="15" customHeight="1">
      <c r="A441" t="inlineStr">
        <is>
          <t>A 26656-2025</t>
        </is>
      </c>
      <c r="B441" s="1" t="n">
        <v>45810</v>
      </c>
      <c r="C441" s="1" t="n">
        <v>45908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27187-2025</t>
        </is>
      </c>
      <c r="B442" s="1" t="n">
        <v>45812</v>
      </c>
      <c r="C442" s="1" t="n">
        <v>45908</v>
      </c>
      <c r="D442" t="inlineStr">
        <is>
          <t>DALARNAS LÄN</t>
        </is>
      </c>
      <c r="E442" t="inlineStr">
        <is>
          <t>ÄLVDALEN</t>
        </is>
      </c>
      <c r="F442" t="inlineStr">
        <is>
          <t>Allmännings- och besparingsskogar</t>
        </is>
      </c>
      <c r="G442" t="n">
        <v>3</v>
      </c>
      <c r="H442" t="n">
        <v>0</v>
      </c>
      <c r="I442" t="n">
        <v>0</v>
      </c>
      <c r="J442" t="n">
        <v>0</v>
      </c>
      <c r="K442" t="n">
        <v>0</v>
      </c>
      <c r="L442" t="n">
        <v>0</v>
      </c>
      <c r="M442" t="n">
        <v>0</v>
      </c>
      <c r="N442" t="n">
        <v>0</v>
      </c>
      <c r="O442" t="n">
        <v>0</v>
      </c>
      <c r="P442" t="n">
        <v>0</v>
      </c>
      <c r="Q442" t="n">
        <v>0</v>
      </c>
      <c r="R442" s="2" t="inlineStr"/>
    </row>
    <row r="443" ht="15" customHeight="1">
      <c r="A443" t="inlineStr">
        <is>
          <t>A 41571-2025</t>
        </is>
      </c>
      <c r="B443" s="1" t="n">
        <v>45901.61150462963</v>
      </c>
      <c r="C443" s="1" t="n">
        <v>45908</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41566-2025</t>
        </is>
      </c>
      <c r="B444" s="1" t="n">
        <v>45901.6049537037</v>
      </c>
      <c r="C444" s="1" t="n">
        <v>45908</v>
      </c>
      <c r="D444" t="inlineStr">
        <is>
          <t>DALARNAS LÄN</t>
        </is>
      </c>
      <c r="E444" t="inlineStr">
        <is>
          <t>ÄLVDALEN</t>
        </is>
      </c>
      <c r="G444" t="n">
        <v>2.6</v>
      </c>
      <c r="H444" t="n">
        <v>0</v>
      </c>
      <c r="I444" t="n">
        <v>0</v>
      </c>
      <c r="J444" t="n">
        <v>0</v>
      </c>
      <c r="K444" t="n">
        <v>0</v>
      </c>
      <c r="L444" t="n">
        <v>0</v>
      </c>
      <c r="M444" t="n">
        <v>0</v>
      </c>
      <c r="N444" t="n">
        <v>0</v>
      </c>
      <c r="O444" t="n">
        <v>0</v>
      </c>
      <c r="P444" t="n">
        <v>0</v>
      </c>
      <c r="Q444" t="n">
        <v>0</v>
      </c>
      <c r="R444" s="2" t="inlineStr"/>
    </row>
    <row r="445" ht="15" customHeight="1">
      <c r="A445" t="inlineStr">
        <is>
          <t>A 41115-2025</t>
        </is>
      </c>
      <c r="B445" s="1" t="n">
        <v>45898.46256944445</v>
      </c>
      <c r="C445" s="1" t="n">
        <v>45908</v>
      </c>
      <c r="D445" t="inlineStr">
        <is>
          <t>DALARNAS LÄN</t>
        </is>
      </c>
      <c r="E445" t="inlineStr">
        <is>
          <t>ÄLVDALEN</t>
        </is>
      </c>
      <c r="G445" t="n">
        <v>1.7</v>
      </c>
      <c r="H445" t="n">
        <v>0</v>
      </c>
      <c r="I445" t="n">
        <v>0</v>
      </c>
      <c r="J445" t="n">
        <v>0</v>
      </c>
      <c r="K445" t="n">
        <v>0</v>
      </c>
      <c r="L445" t="n">
        <v>0</v>
      </c>
      <c r="M445" t="n">
        <v>0</v>
      </c>
      <c r="N445" t="n">
        <v>0</v>
      </c>
      <c r="O445" t="n">
        <v>0</v>
      </c>
      <c r="P445" t="n">
        <v>0</v>
      </c>
      <c r="Q445" t="n">
        <v>0</v>
      </c>
      <c r="R445" s="2" t="inlineStr"/>
    </row>
    <row r="446" ht="15" customHeight="1">
      <c r="A446" t="inlineStr">
        <is>
          <t>A 41585-2025</t>
        </is>
      </c>
      <c r="B446" s="1" t="n">
        <v>45901.62657407407</v>
      </c>
      <c r="C446" s="1" t="n">
        <v>45908</v>
      </c>
      <c r="D446" t="inlineStr">
        <is>
          <t>DALARNAS LÄN</t>
        </is>
      </c>
      <c r="E446" t="inlineStr">
        <is>
          <t>ÄLVDALEN</t>
        </is>
      </c>
      <c r="F446" t="inlineStr">
        <is>
          <t>Allmännings- och besparingsskogar</t>
        </is>
      </c>
      <c r="G446" t="n">
        <v>21.3</v>
      </c>
      <c r="H446" t="n">
        <v>0</v>
      </c>
      <c r="I446" t="n">
        <v>0</v>
      </c>
      <c r="J446" t="n">
        <v>0</v>
      </c>
      <c r="K446" t="n">
        <v>0</v>
      </c>
      <c r="L446" t="n">
        <v>0</v>
      </c>
      <c r="M446" t="n">
        <v>0</v>
      </c>
      <c r="N446" t="n">
        <v>0</v>
      </c>
      <c r="O446" t="n">
        <v>0</v>
      </c>
      <c r="P446" t="n">
        <v>0</v>
      </c>
      <c r="Q446" t="n">
        <v>0</v>
      </c>
      <c r="R446" s="2" t="inlineStr"/>
    </row>
    <row r="447" ht="15" customHeight="1">
      <c r="A447" t="inlineStr">
        <is>
          <t>A 33100-2023</t>
        </is>
      </c>
      <c r="B447" s="1" t="n">
        <v>45114</v>
      </c>
      <c r="C447" s="1" t="n">
        <v>45908</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37438-2024</t>
        </is>
      </c>
      <c r="B448" s="1" t="n">
        <v>45540</v>
      </c>
      <c r="C448" s="1" t="n">
        <v>45908</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15759-2024</t>
        </is>
      </c>
      <c r="B449" s="1" t="n">
        <v>45404</v>
      </c>
      <c r="C449" s="1" t="n">
        <v>45908</v>
      </c>
      <c r="D449" t="inlineStr">
        <is>
          <t>DALARNAS LÄN</t>
        </is>
      </c>
      <c r="E449" t="inlineStr">
        <is>
          <t>ÄLVDALEN</t>
        </is>
      </c>
      <c r="G449" t="n">
        <v>1.4</v>
      </c>
      <c r="H449" t="n">
        <v>0</v>
      </c>
      <c r="I449" t="n">
        <v>0</v>
      </c>
      <c r="J449" t="n">
        <v>0</v>
      </c>
      <c r="K449" t="n">
        <v>0</v>
      </c>
      <c r="L449" t="n">
        <v>0</v>
      </c>
      <c r="M449" t="n">
        <v>0</v>
      </c>
      <c r="N449" t="n">
        <v>0</v>
      </c>
      <c r="O449" t="n">
        <v>0</v>
      </c>
      <c r="P449" t="n">
        <v>0</v>
      </c>
      <c r="Q449" t="n">
        <v>0</v>
      </c>
      <c r="R449" s="2" t="inlineStr"/>
    </row>
    <row r="450" ht="15" customHeight="1">
      <c r="A450" t="inlineStr">
        <is>
          <t>A 40003-2022</t>
        </is>
      </c>
      <c r="B450" s="1" t="n">
        <v>44820.36509259259</v>
      </c>
      <c r="C450" s="1" t="n">
        <v>45908</v>
      </c>
      <c r="D450" t="inlineStr">
        <is>
          <t>DALARNAS LÄN</t>
        </is>
      </c>
      <c r="E450" t="inlineStr">
        <is>
          <t>ÄLVDALEN</t>
        </is>
      </c>
      <c r="G450" t="n">
        <v>1.2</v>
      </c>
      <c r="H450" t="n">
        <v>0</v>
      </c>
      <c r="I450" t="n">
        <v>0</v>
      </c>
      <c r="J450" t="n">
        <v>0</v>
      </c>
      <c r="K450" t="n">
        <v>0</v>
      </c>
      <c r="L450" t="n">
        <v>0</v>
      </c>
      <c r="M450" t="n">
        <v>0</v>
      </c>
      <c r="N450" t="n">
        <v>0</v>
      </c>
      <c r="O450" t="n">
        <v>0</v>
      </c>
      <c r="P450" t="n">
        <v>0</v>
      </c>
      <c r="Q450" t="n">
        <v>0</v>
      </c>
      <c r="R450" s="2" t="inlineStr"/>
    </row>
    <row r="451" ht="15" customHeight="1">
      <c r="A451" t="inlineStr">
        <is>
          <t>A 42679-2024</t>
        </is>
      </c>
      <c r="B451" s="1" t="n">
        <v>45566.37706018519</v>
      </c>
      <c r="C451" s="1" t="n">
        <v>45908</v>
      </c>
      <c r="D451" t="inlineStr">
        <is>
          <t>DALARNAS LÄN</t>
        </is>
      </c>
      <c r="E451" t="inlineStr">
        <is>
          <t>ÄLVDALEN</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44505.56753472222</v>
      </c>
      <c r="C452" s="1" t="n">
        <v>45908</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627-2025</t>
        </is>
      </c>
      <c r="B453" s="1" t="n">
        <v>45660</v>
      </c>
      <c r="C453" s="1" t="n">
        <v>45908</v>
      </c>
      <c r="D453" t="inlineStr">
        <is>
          <t>DALARNAS LÄN</t>
        </is>
      </c>
      <c r="E453" t="inlineStr">
        <is>
          <t>ÄLVDALEN</t>
        </is>
      </c>
      <c r="F453" t="inlineStr">
        <is>
          <t>Allmännings- och besparingsskogar</t>
        </is>
      </c>
      <c r="G453" t="n">
        <v>0.9</v>
      </c>
      <c r="H453" t="n">
        <v>0</v>
      </c>
      <c r="I453" t="n">
        <v>0</v>
      </c>
      <c r="J453" t="n">
        <v>0</v>
      </c>
      <c r="K453" t="n">
        <v>0</v>
      </c>
      <c r="L453" t="n">
        <v>0</v>
      </c>
      <c r="M453" t="n">
        <v>0</v>
      </c>
      <c r="N453" t="n">
        <v>0</v>
      </c>
      <c r="O453" t="n">
        <v>0</v>
      </c>
      <c r="P453" t="n">
        <v>0</v>
      </c>
      <c r="Q453" t="n">
        <v>0</v>
      </c>
      <c r="R453" s="2" t="inlineStr"/>
    </row>
    <row r="454" ht="15" customHeight="1">
      <c r="A454" t="inlineStr">
        <is>
          <t>A 510-2024</t>
        </is>
      </c>
      <c r="B454" s="1" t="n">
        <v>45299.39997685186</v>
      </c>
      <c r="C454" s="1" t="n">
        <v>45908</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54632-2021</t>
        </is>
      </c>
      <c r="B455" s="1" t="n">
        <v>44473</v>
      </c>
      <c r="C455" s="1" t="n">
        <v>45908</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c r="T455">
        <f>HYPERLINK("https://klasma.github.io/Logging_2039/kartor/A 54632-2021 karta.png", "A 54632-2021")</f>
        <v/>
      </c>
      <c r="V455">
        <f>HYPERLINK("https://klasma.github.io/Logging_2039/klagomål/A 54632-2021 FSC-klagomål.docx", "A 54632-2021")</f>
        <v/>
      </c>
      <c r="W455">
        <f>HYPERLINK("https://klasma.github.io/Logging_2039/klagomålsmail/A 54632-2021 FSC-klagomål mail.docx", "A 54632-2021")</f>
        <v/>
      </c>
      <c r="X455">
        <f>HYPERLINK("https://klasma.github.io/Logging_2039/tillsyn/A 54632-2021 tillsynsbegäran.docx", "A 54632-2021")</f>
        <v/>
      </c>
      <c r="Y455">
        <f>HYPERLINK("https://klasma.github.io/Logging_2039/tillsynsmail/A 54632-2021 tillsynsbegäran mail.docx", "A 54632-2021")</f>
        <v/>
      </c>
    </row>
    <row r="456" ht="15" customHeight="1">
      <c r="A456" t="inlineStr">
        <is>
          <t>A 41137-2024</t>
        </is>
      </c>
      <c r="B456" s="1" t="n">
        <v>45559.46734953704</v>
      </c>
      <c r="C456" s="1" t="n">
        <v>45908</v>
      </c>
      <c r="D456" t="inlineStr">
        <is>
          <t>DALARNAS LÄN</t>
        </is>
      </c>
      <c r="E456" t="inlineStr">
        <is>
          <t>ÄLVDALEN</t>
        </is>
      </c>
      <c r="G456" t="n">
        <v>4.8</v>
      </c>
      <c r="H456" t="n">
        <v>0</v>
      </c>
      <c r="I456" t="n">
        <v>0</v>
      </c>
      <c r="J456" t="n">
        <v>0</v>
      </c>
      <c r="K456" t="n">
        <v>0</v>
      </c>
      <c r="L456" t="n">
        <v>0</v>
      </c>
      <c r="M456" t="n">
        <v>0</v>
      </c>
      <c r="N456" t="n">
        <v>0</v>
      </c>
      <c r="O456" t="n">
        <v>0</v>
      </c>
      <c r="P456" t="n">
        <v>0</v>
      </c>
      <c r="Q456" t="n">
        <v>0</v>
      </c>
      <c r="R456" s="2" t="inlineStr"/>
    </row>
    <row r="457" ht="15" customHeight="1">
      <c r="A457" t="inlineStr">
        <is>
          <t>A 35993-2025</t>
        </is>
      </c>
      <c r="B457" s="1" t="n">
        <v>45863.48056712963</v>
      </c>
      <c r="C457" s="1" t="n">
        <v>45908</v>
      </c>
      <c r="D457" t="inlineStr">
        <is>
          <t>DALARNAS LÄN</t>
        </is>
      </c>
      <c r="E457" t="inlineStr">
        <is>
          <t>ÄLVDALEN</t>
        </is>
      </c>
      <c r="F457" t="inlineStr">
        <is>
          <t>Bergvik skog öst AB</t>
        </is>
      </c>
      <c r="G457" t="n">
        <v>6.1</v>
      </c>
      <c r="H457" t="n">
        <v>0</v>
      </c>
      <c r="I457" t="n">
        <v>0</v>
      </c>
      <c r="J457" t="n">
        <v>0</v>
      </c>
      <c r="K457" t="n">
        <v>0</v>
      </c>
      <c r="L457" t="n">
        <v>0</v>
      </c>
      <c r="M457" t="n">
        <v>0</v>
      </c>
      <c r="N457" t="n">
        <v>0</v>
      </c>
      <c r="O457" t="n">
        <v>0</v>
      </c>
      <c r="P457" t="n">
        <v>0</v>
      </c>
      <c r="Q457" t="n">
        <v>0</v>
      </c>
      <c r="R457" s="2" t="inlineStr"/>
    </row>
    <row r="458" ht="15" customHeight="1">
      <c r="A458" t="inlineStr">
        <is>
          <t>A 2377-2024</t>
        </is>
      </c>
      <c r="B458" s="1" t="n">
        <v>45310.63633101852</v>
      </c>
      <c r="C458" s="1" t="n">
        <v>45908</v>
      </c>
      <c r="D458" t="inlineStr">
        <is>
          <t>DALARNAS LÄN</t>
        </is>
      </c>
      <c r="E458" t="inlineStr">
        <is>
          <t>ÄLVDALEN</t>
        </is>
      </c>
      <c r="G458" t="n">
        <v>1.5</v>
      </c>
      <c r="H458" t="n">
        <v>0</v>
      </c>
      <c r="I458" t="n">
        <v>0</v>
      </c>
      <c r="J458" t="n">
        <v>0</v>
      </c>
      <c r="K458" t="n">
        <v>0</v>
      </c>
      <c r="L458" t="n">
        <v>0</v>
      </c>
      <c r="M458" t="n">
        <v>0</v>
      </c>
      <c r="N458" t="n">
        <v>0</v>
      </c>
      <c r="O458" t="n">
        <v>0</v>
      </c>
      <c r="P458" t="n">
        <v>0</v>
      </c>
      <c r="Q458" t="n">
        <v>0</v>
      </c>
      <c r="R458" s="2" t="inlineStr"/>
    </row>
    <row r="459" ht="15" customHeight="1">
      <c r="A459" t="inlineStr">
        <is>
          <t>A 2384-2024</t>
        </is>
      </c>
      <c r="B459" s="1" t="n">
        <v>45310.65099537037</v>
      </c>
      <c r="C459" s="1" t="n">
        <v>45908</v>
      </c>
      <c r="D459" t="inlineStr">
        <is>
          <t>DALARNAS LÄN</t>
        </is>
      </c>
      <c r="E459" t="inlineStr">
        <is>
          <t>ÄLVDALEN</t>
        </is>
      </c>
      <c r="G459" t="n">
        <v>2.7</v>
      </c>
      <c r="H459" t="n">
        <v>0</v>
      </c>
      <c r="I459" t="n">
        <v>0</v>
      </c>
      <c r="J459" t="n">
        <v>0</v>
      </c>
      <c r="K459" t="n">
        <v>0</v>
      </c>
      <c r="L459" t="n">
        <v>0</v>
      </c>
      <c r="M459" t="n">
        <v>0</v>
      </c>
      <c r="N459" t="n">
        <v>0</v>
      </c>
      <c r="O459" t="n">
        <v>0</v>
      </c>
      <c r="P459" t="n">
        <v>0</v>
      </c>
      <c r="Q459" t="n">
        <v>0</v>
      </c>
      <c r="R459" s="2" t="inlineStr"/>
    </row>
    <row r="460" ht="15" customHeight="1">
      <c r="A460" t="inlineStr">
        <is>
          <t>A 42426-2023</t>
        </is>
      </c>
      <c r="B460" s="1" t="n">
        <v>45175</v>
      </c>
      <c r="C460" s="1" t="n">
        <v>45908</v>
      </c>
      <c r="D460" t="inlineStr">
        <is>
          <t>DALARNAS LÄN</t>
        </is>
      </c>
      <c r="E460" t="inlineStr">
        <is>
          <t>ÄLVDALEN</t>
        </is>
      </c>
      <c r="G460" t="n">
        <v>3.6</v>
      </c>
      <c r="H460" t="n">
        <v>0</v>
      </c>
      <c r="I460" t="n">
        <v>0</v>
      </c>
      <c r="J460" t="n">
        <v>0</v>
      </c>
      <c r="K460" t="n">
        <v>0</v>
      </c>
      <c r="L460" t="n">
        <v>0</v>
      </c>
      <c r="M460" t="n">
        <v>0</v>
      </c>
      <c r="N460" t="n">
        <v>0</v>
      </c>
      <c r="O460" t="n">
        <v>0</v>
      </c>
      <c r="P460" t="n">
        <v>0</v>
      </c>
      <c r="Q460" t="n">
        <v>0</v>
      </c>
      <c r="R460" s="2" t="inlineStr"/>
    </row>
    <row r="461" ht="15" customHeight="1">
      <c r="A461" t="inlineStr">
        <is>
          <t>A 30799-2021</t>
        </is>
      </c>
      <c r="B461" s="1" t="n">
        <v>44365.51483796296</v>
      </c>
      <c r="C461" s="1" t="n">
        <v>45908</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52483-2023</t>
        </is>
      </c>
      <c r="B462" s="1" t="n">
        <v>45225</v>
      </c>
      <c r="C462" s="1" t="n">
        <v>45908</v>
      </c>
      <c r="D462" t="inlineStr">
        <is>
          <t>DALARNAS LÄN</t>
        </is>
      </c>
      <c r="E462" t="inlineStr">
        <is>
          <t>ÄLVDALEN</t>
        </is>
      </c>
      <c r="F462" t="inlineStr">
        <is>
          <t>Allmännings- och besparingsskogar</t>
        </is>
      </c>
      <c r="G462" t="n">
        <v>30.9</v>
      </c>
      <c r="H462" t="n">
        <v>0</v>
      </c>
      <c r="I462" t="n">
        <v>0</v>
      </c>
      <c r="J462" t="n">
        <v>0</v>
      </c>
      <c r="K462" t="n">
        <v>0</v>
      </c>
      <c r="L462" t="n">
        <v>0</v>
      </c>
      <c r="M462" t="n">
        <v>0</v>
      </c>
      <c r="N462" t="n">
        <v>0</v>
      </c>
      <c r="O462" t="n">
        <v>0</v>
      </c>
      <c r="P462" t="n">
        <v>0</v>
      </c>
      <c r="Q462" t="n">
        <v>0</v>
      </c>
      <c r="R462" s="2" t="inlineStr"/>
      <c r="U462">
        <f>HYPERLINK("https://klasma.github.io/Logging_2039/knärot/A 52483-2023 karta knärot.png", "A 52483-2023")</f>
        <v/>
      </c>
      <c r="V462">
        <f>HYPERLINK("https://klasma.github.io/Logging_2039/klagomål/A 52483-2023 FSC-klagomål.docx", "A 52483-2023")</f>
        <v/>
      </c>
      <c r="W462">
        <f>HYPERLINK("https://klasma.github.io/Logging_2039/klagomålsmail/A 52483-2023 FSC-klagomål mail.docx", "A 52483-2023")</f>
        <v/>
      </c>
      <c r="X462">
        <f>HYPERLINK("https://klasma.github.io/Logging_2039/tillsyn/A 52483-2023 tillsynsbegäran.docx", "A 52483-2023")</f>
        <v/>
      </c>
      <c r="Y462">
        <f>HYPERLINK("https://klasma.github.io/Logging_2039/tillsynsmail/A 52483-2023 tillsynsbegäran mail.docx", "A 52483-2023")</f>
        <v/>
      </c>
    </row>
    <row r="463" ht="15" customHeight="1">
      <c r="A463" t="inlineStr">
        <is>
          <t>A 49956-2020</t>
        </is>
      </c>
      <c r="B463" s="1" t="n">
        <v>44109</v>
      </c>
      <c r="C463" s="1" t="n">
        <v>45908</v>
      </c>
      <c r="D463" t="inlineStr">
        <is>
          <t>DALARNAS LÄN</t>
        </is>
      </c>
      <c r="E463" t="inlineStr">
        <is>
          <t>ÄLVDALEN</t>
        </is>
      </c>
      <c r="F463" t="inlineStr">
        <is>
          <t>Övriga Aktiebolag</t>
        </is>
      </c>
      <c r="G463" t="n">
        <v>25.8</v>
      </c>
      <c r="H463" t="n">
        <v>0</v>
      </c>
      <c r="I463" t="n">
        <v>0</v>
      </c>
      <c r="J463" t="n">
        <v>0</v>
      </c>
      <c r="K463" t="n">
        <v>0</v>
      </c>
      <c r="L463" t="n">
        <v>0</v>
      </c>
      <c r="M463" t="n">
        <v>0</v>
      </c>
      <c r="N463" t="n">
        <v>0</v>
      </c>
      <c r="O463" t="n">
        <v>0</v>
      </c>
      <c r="P463" t="n">
        <v>0</v>
      </c>
      <c r="Q463" t="n">
        <v>0</v>
      </c>
      <c r="R463" s="2" t="inlineStr"/>
    </row>
    <row r="464" ht="15" customHeight="1">
      <c r="A464" t="inlineStr">
        <is>
          <t>A 36593-2023</t>
        </is>
      </c>
      <c r="B464" s="1" t="n">
        <v>45153.47732638889</v>
      </c>
      <c r="C464" s="1" t="n">
        <v>45908</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760-2025</t>
        </is>
      </c>
      <c r="B465" s="1" t="n">
        <v>45665.44936342593</v>
      </c>
      <c r="C465" s="1" t="n">
        <v>45908</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55589-2022</t>
        </is>
      </c>
      <c r="B466" s="1" t="n">
        <v>44888.40673611111</v>
      </c>
      <c r="C466" s="1" t="n">
        <v>45908</v>
      </c>
      <c r="D466" t="inlineStr">
        <is>
          <t>DALARNAS LÄN</t>
        </is>
      </c>
      <c r="E466" t="inlineStr">
        <is>
          <t>ÄLVDALEN</t>
        </is>
      </c>
      <c r="G466" t="n">
        <v>1.5</v>
      </c>
      <c r="H466" t="n">
        <v>0</v>
      </c>
      <c r="I466" t="n">
        <v>0</v>
      </c>
      <c r="J466" t="n">
        <v>0</v>
      </c>
      <c r="K466" t="n">
        <v>0</v>
      </c>
      <c r="L466" t="n">
        <v>0</v>
      </c>
      <c r="M466" t="n">
        <v>0</v>
      </c>
      <c r="N466" t="n">
        <v>0</v>
      </c>
      <c r="O466" t="n">
        <v>0</v>
      </c>
      <c r="P466" t="n">
        <v>0</v>
      </c>
      <c r="Q466" t="n">
        <v>0</v>
      </c>
      <c r="R466" s="2" t="inlineStr"/>
    </row>
    <row r="467" ht="15" customHeight="1">
      <c r="A467" t="inlineStr">
        <is>
          <t>A 41004-2023</t>
        </is>
      </c>
      <c r="B467" s="1" t="n">
        <v>45173</v>
      </c>
      <c r="C467" s="1" t="n">
        <v>45908</v>
      </c>
      <c r="D467" t="inlineStr">
        <is>
          <t>DALARNAS LÄN</t>
        </is>
      </c>
      <c r="E467" t="inlineStr">
        <is>
          <t>ÄLVDALEN</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32352-2023</t>
        </is>
      </c>
      <c r="B468" s="1" t="n">
        <v>45120</v>
      </c>
      <c r="C468" s="1" t="n">
        <v>45908</v>
      </c>
      <c r="D468" t="inlineStr">
        <is>
          <t>DALARNAS LÄN</t>
        </is>
      </c>
      <c r="E468" t="inlineStr">
        <is>
          <t>ÄLVDALEN</t>
        </is>
      </c>
      <c r="G468" t="n">
        <v>2</v>
      </c>
      <c r="H468" t="n">
        <v>0</v>
      </c>
      <c r="I468" t="n">
        <v>0</v>
      </c>
      <c r="J468" t="n">
        <v>0</v>
      </c>
      <c r="K468" t="n">
        <v>0</v>
      </c>
      <c r="L468" t="n">
        <v>0</v>
      </c>
      <c r="M468" t="n">
        <v>0</v>
      </c>
      <c r="N468" t="n">
        <v>0</v>
      </c>
      <c r="O468" t="n">
        <v>0</v>
      </c>
      <c r="P468" t="n">
        <v>0</v>
      </c>
      <c r="Q468" t="n">
        <v>0</v>
      </c>
      <c r="R468" s="2" t="inlineStr"/>
    </row>
    <row r="469" ht="15" customHeight="1">
      <c r="A469" t="inlineStr">
        <is>
          <t>A 47071-2023</t>
        </is>
      </c>
      <c r="B469" s="1" t="n">
        <v>45201.60141203704</v>
      </c>
      <c r="C469" s="1" t="n">
        <v>45908</v>
      </c>
      <c r="D469" t="inlineStr">
        <is>
          <t>DALARNAS LÄN</t>
        </is>
      </c>
      <c r="E469" t="inlineStr">
        <is>
          <t>ÄLVDALEN</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26734-2021</t>
        </is>
      </c>
      <c r="B470" s="1" t="n">
        <v>44349.39537037037</v>
      </c>
      <c r="C470" s="1" t="n">
        <v>45908</v>
      </c>
      <c r="D470" t="inlineStr">
        <is>
          <t>DALARNAS LÄN</t>
        </is>
      </c>
      <c r="E470" t="inlineStr">
        <is>
          <t>ÄLVDALEN</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61575-2024</t>
        </is>
      </c>
      <c r="B471" s="1" t="n">
        <v>45646.61907407407</v>
      </c>
      <c r="C471" s="1" t="n">
        <v>45908</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57665-2024</t>
        </is>
      </c>
      <c r="B472" s="1" t="n">
        <v>45630.62005787037</v>
      </c>
      <c r="C472" s="1" t="n">
        <v>45908</v>
      </c>
      <c r="D472" t="inlineStr">
        <is>
          <t>DALARNAS LÄN</t>
        </is>
      </c>
      <c r="E472" t="inlineStr">
        <is>
          <t>ÄLVDALEN</t>
        </is>
      </c>
      <c r="F472" t="inlineStr">
        <is>
          <t>Allmännings- och besparingsskogar</t>
        </is>
      </c>
      <c r="G472" t="n">
        <v>2</v>
      </c>
      <c r="H472" t="n">
        <v>0</v>
      </c>
      <c r="I472" t="n">
        <v>0</v>
      </c>
      <c r="J472" t="n">
        <v>0</v>
      </c>
      <c r="K472" t="n">
        <v>0</v>
      </c>
      <c r="L472" t="n">
        <v>0</v>
      </c>
      <c r="M472" t="n">
        <v>0</v>
      </c>
      <c r="N472" t="n">
        <v>0</v>
      </c>
      <c r="O472" t="n">
        <v>0</v>
      </c>
      <c r="P472" t="n">
        <v>0</v>
      </c>
      <c r="Q472" t="n">
        <v>0</v>
      </c>
      <c r="R472" s="2" t="inlineStr"/>
    </row>
    <row r="473" ht="15" customHeight="1">
      <c r="A473" t="inlineStr">
        <is>
          <t>A 47081-2023</t>
        </is>
      </c>
      <c r="B473" s="1" t="n">
        <v>45201.61148148148</v>
      </c>
      <c r="C473" s="1" t="n">
        <v>45908</v>
      </c>
      <c r="D473" t="inlineStr">
        <is>
          <t>DALARNAS LÄN</t>
        </is>
      </c>
      <c r="E473" t="inlineStr">
        <is>
          <t>ÄLVDALEN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6001-2024</t>
        </is>
      </c>
      <c r="B474" s="1" t="n">
        <v>45336</v>
      </c>
      <c r="C474" s="1" t="n">
        <v>45908</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505-2024</t>
        </is>
      </c>
      <c r="B475" s="1" t="n">
        <v>45299</v>
      </c>
      <c r="C475" s="1" t="n">
        <v>45908</v>
      </c>
      <c r="D475" t="inlineStr">
        <is>
          <t>DALARNAS LÄN</t>
        </is>
      </c>
      <c r="E475" t="inlineStr">
        <is>
          <t>ÄLVDALEN</t>
        </is>
      </c>
      <c r="G475" t="n">
        <v>1.4</v>
      </c>
      <c r="H475" t="n">
        <v>0</v>
      </c>
      <c r="I475" t="n">
        <v>0</v>
      </c>
      <c r="J475" t="n">
        <v>0</v>
      </c>
      <c r="K475" t="n">
        <v>0</v>
      </c>
      <c r="L475" t="n">
        <v>0</v>
      </c>
      <c r="M475" t="n">
        <v>0</v>
      </c>
      <c r="N475" t="n">
        <v>0</v>
      </c>
      <c r="O475" t="n">
        <v>0</v>
      </c>
      <c r="P475" t="n">
        <v>0</v>
      </c>
      <c r="Q475" t="n">
        <v>0</v>
      </c>
      <c r="R475" s="2" t="inlineStr"/>
    </row>
    <row r="476" ht="15" customHeight="1">
      <c r="A476" t="inlineStr">
        <is>
          <t>A 54493-2023</t>
        </is>
      </c>
      <c r="B476" s="1" t="n">
        <v>45233.50606481481</v>
      </c>
      <c r="C476" s="1" t="n">
        <v>45908</v>
      </c>
      <c r="D476" t="inlineStr">
        <is>
          <t>DALARNAS LÄN</t>
        </is>
      </c>
      <c r="E476" t="inlineStr">
        <is>
          <t>ÄLVDALEN</t>
        </is>
      </c>
      <c r="F476" t="inlineStr">
        <is>
          <t>Allmännings- och besparingsskogar</t>
        </is>
      </c>
      <c r="G476" t="n">
        <v>2</v>
      </c>
      <c r="H476" t="n">
        <v>0</v>
      </c>
      <c r="I476" t="n">
        <v>0</v>
      </c>
      <c r="J476" t="n">
        <v>0</v>
      </c>
      <c r="K476" t="n">
        <v>0</v>
      </c>
      <c r="L476" t="n">
        <v>0</v>
      </c>
      <c r="M476" t="n">
        <v>0</v>
      </c>
      <c r="N476" t="n">
        <v>0</v>
      </c>
      <c r="O476" t="n">
        <v>0</v>
      </c>
      <c r="P476" t="n">
        <v>0</v>
      </c>
      <c r="Q476" t="n">
        <v>0</v>
      </c>
      <c r="R476" s="2" t="inlineStr"/>
    </row>
    <row r="477" ht="15" customHeight="1">
      <c r="A477" t="inlineStr">
        <is>
          <t>A 59209-2022</t>
        </is>
      </c>
      <c r="B477" s="1" t="n">
        <v>44904</v>
      </c>
      <c r="C477" s="1" t="n">
        <v>45908</v>
      </c>
      <c r="D477" t="inlineStr">
        <is>
          <t>DALARNAS LÄN</t>
        </is>
      </c>
      <c r="E477" t="inlineStr">
        <is>
          <t>ÄLVDALEN</t>
        </is>
      </c>
      <c r="G477" t="n">
        <v>2.6</v>
      </c>
      <c r="H477" t="n">
        <v>0</v>
      </c>
      <c r="I477" t="n">
        <v>0</v>
      </c>
      <c r="J477" t="n">
        <v>0</v>
      </c>
      <c r="K477" t="n">
        <v>0</v>
      </c>
      <c r="L477" t="n">
        <v>0</v>
      </c>
      <c r="M477" t="n">
        <v>0</v>
      </c>
      <c r="N477" t="n">
        <v>0</v>
      </c>
      <c r="O477" t="n">
        <v>0</v>
      </c>
      <c r="P477" t="n">
        <v>0</v>
      </c>
      <c r="Q477" t="n">
        <v>0</v>
      </c>
      <c r="R477" s="2" t="inlineStr"/>
    </row>
    <row r="478" ht="15" customHeight="1">
      <c r="A478" t="inlineStr">
        <is>
          <t>A 2375-2024</t>
        </is>
      </c>
      <c r="B478" s="1" t="n">
        <v>45310</v>
      </c>
      <c r="C478" s="1" t="n">
        <v>45908</v>
      </c>
      <c r="D478" t="inlineStr">
        <is>
          <t>DALARNAS LÄN</t>
        </is>
      </c>
      <c r="E478" t="inlineStr">
        <is>
          <t>ÄLVDALEN</t>
        </is>
      </c>
      <c r="G478" t="n">
        <v>5.4</v>
      </c>
      <c r="H478" t="n">
        <v>0</v>
      </c>
      <c r="I478" t="n">
        <v>0</v>
      </c>
      <c r="J478" t="n">
        <v>0</v>
      </c>
      <c r="K478" t="n">
        <v>0</v>
      </c>
      <c r="L478" t="n">
        <v>0</v>
      </c>
      <c r="M478" t="n">
        <v>0</v>
      </c>
      <c r="N478" t="n">
        <v>0</v>
      </c>
      <c r="O478" t="n">
        <v>0</v>
      </c>
      <c r="P478" t="n">
        <v>0</v>
      </c>
      <c r="Q478" t="n">
        <v>0</v>
      </c>
      <c r="R478" s="2" t="inlineStr"/>
    </row>
    <row r="479" ht="15" customHeight="1">
      <c r="A479" t="inlineStr">
        <is>
          <t>A 61072-2024</t>
        </is>
      </c>
      <c r="B479" s="1" t="n">
        <v>45645.50583333334</v>
      </c>
      <c r="C479" s="1" t="n">
        <v>45908</v>
      </c>
      <c r="D479" t="inlineStr">
        <is>
          <t>DALARNAS LÄN</t>
        </is>
      </c>
      <c r="E479" t="inlineStr">
        <is>
          <t>ÄLVDALEN</t>
        </is>
      </c>
      <c r="G479" t="n">
        <v>3.9</v>
      </c>
      <c r="H479" t="n">
        <v>0</v>
      </c>
      <c r="I479" t="n">
        <v>0</v>
      </c>
      <c r="J479" t="n">
        <v>0</v>
      </c>
      <c r="K479" t="n">
        <v>0</v>
      </c>
      <c r="L479" t="n">
        <v>0</v>
      </c>
      <c r="M479" t="n">
        <v>0</v>
      </c>
      <c r="N479" t="n">
        <v>0</v>
      </c>
      <c r="O479" t="n">
        <v>0</v>
      </c>
      <c r="P479" t="n">
        <v>0</v>
      </c>
      <c r="Q479" t="n">
        <v>0</v>
      </c>
      <c r="R479" s="2" t="inlineStr"/>
    </row>
    <row r="480" ht="15" customHeight="1">
      <c r="A480" t="inlineStr">
        <is>
          <t>A 7937-2025</t>
        </is>
      </c>
      <c r="B480" s="1" t="n">
        <v>45707.3953125</v>
      </c>
      <c r="C480" s="1" t="n">
        <v>45908</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31047-2024</t>
        </is>
      </c>
      <c r="B481" s="1" t="n">
        <v>45502.33021990741</v>
      </c>
      <c r="C481" s="1" t="n">
        <v>45908</v>
      </c>
      <c r="D481" t="inlineStr">
        <is>
          <t>DALARNAS LÄN</t>
        </is>
      </c>
      <c r="E481" t="inlineStr">
        <is>
          <t>ÄLVDALEN</t>
        </is>
      </c>
      <c r="F481" t="inlineStr">
        <is>
          <t>Sveaskog</t>
        </is>
      </c>
      <c r="G481" t="n">
        <v>8</v>
      </c>
      <c r="H481" t="n">
        <v>0</v>
      </c>
      <c r="I481" t="n">
        <v>0</v>
      </c>
      <c r="J481" t="n">
        <v>0</v>
      </c>
      <c r="K481" t="n">
        <v>0</v>
      </c>
      <c r="L481" t="n">
        <v>0</v>
      </c>
      <c r="M481" t="n">
        <v>0</v>
      </c>
      <c r="N481" t="n">
        <v>0</v>
      </c>
      <c r="O481" t="n">
        <v>0</v>
      </c>
      <c r="P481" t="n">
        <v>0</v>
      </c>
      <c r="Q481" t="n">
        <v>0</v>
      </c>
      <c r="R481" s="2" t="inlineStr"/>
    </row>
    <row r="482" ht="15" customHeight="1">
      <c r="A482" t="inlineStr">
        <is>
          <t>A 47080-2024</t>
        </is>
      </c>
      <c r="B482" s="1" t="n">
        <v>45586.50578703704</v>
      </c>
      <c r="C482" s="1" t="n">
        <v>45908</v>
      </c>
      <c r="D482" t="inlineStr">
        <is>
          <t>DALARNAS LÄN</t>
        </is>
      </c>
      <c r="E482" t="inlineStr">
        <is>
          <t>ÄLVDALEN</t>
        </is>
      </c>
      <c r="G482" t="n">
        <v>0.9</v>
      </c>
      <c r="H482" t="n">
        <v>0</v>
      </c>
      <c r="I482" t="n">
        <v>0</v>
      </c>
      <c r="J482" t="n">
        <v>0</v>
      </c>
      <c r="K482" t="n">
        <v>0</v>
      </c>
      <c r="L482" t="n">
        <v>0</v>
      </c>
      <c r="M482" t="n">
        <v>0</v>
      </c>
      <c r="N482" t="n">
        <v>0</v>
      </c>
      <c r="O482" t="n">
        <v>0</v>
      </c>
      <c r="P482" t="n">
        <v>0</v>
      </c>
      <c r="Q482" t="n">
        <v>0</v>
      </c>
      <c r="R482" s="2" t="inlineStr"/>
    </row>
    <row r="483" ht="15" customHeight="1">
      <c r="A483" t="inlineStr">
        <is>
          <t>A 59138-2023</t>
        </is>
      </c>
      <c r="B483" s="1" t="n">
        <v>45253</v>
      </c>
      <c r="C483" s="1" t="n">
        <v>45908</v>
      </c>
      <c r="D483" t="inlineStr">
        <is>
          <t>DALARNAS LÄN</t>
        </is>
      </c>
      <c r="E483" t="inlineStr">
        <is>
          <t>ÄLVDALEN</t>
        </is>
      </c>
      <c r="G483" t="n">
        <v>0.4</v>
      </c>
      <c r="H483" t="n">
        <v>0</v>
      </c>
      <c r="I483" t="n">
        <v>0</v>
      </c>
      <c r="J483" t="n">
        <v>0</v>
      </c>
      <c r="K483" t="n">
        <v>0</v>
      </c>
      <c r="L483" t="n">
        <v>0</v>
      </c>
      <c r="M483" t="n">
        <v>0</v>
      </c>
      <c r="N483" t="n">
        <v>0</v>
      </c>
      <c r="O483" t="n">
        <v>0</v>
      </c>
      <c r="P483" t="n">
        <v>0</v>
      </c>
      <c r="Q483" t="n">
        <v>0</v>
      </c>
      <c r="R483" s="2" t="inlineStr"/>
    </row>
    <row r="484" ht="15" customHeight="1">
      <c r="A484" t="inlineStr">
        <is>
          <t>A 32009-2021</t>
        </is>
      </c>
      <c r="B484" s="1" t="n">
        <v>44370.63354166667</v>
      </c>
      <c r="C484" s="1" t="n">
        <v>45908</v>
      </c>
      <c r="D484" t="inlineStr">
        <is>
          <t>DALARNAS LÄN</t>
        </is>
      </c>
      <c r="E484" t="inlineStr">
        <is>
          <t>ÄLVDALEN</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15738-2025</t>
        </is>
      </c>
      <c r="B485" s="1" t="n">
        <v>45748.54524305555</v>
      </c>
      <c r="C485" s="1" t="n">
        <v>45908</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19588-2025</t>
        </is>
      </c>
      <c r="B486" s="1" t="n">
        <v>45770</v>
      </c>
      <c r="C486" s="1" t="n">
        <v>45908</v>
      </c>
      <c r="D486" t="inlineStr">
        <is>
          <t>DALARNAS LÄN</t>
        </is>
      </c>
      <c r="E486" t="inlineStr">
        <is>
          <t>ÄLVDALEN</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6675-2025</t>
        </is>
      </c>
      <c r="B487" s="1" t="n">
        <v>45700.47643518518</v>
      </c>
      <c r="C487" s="1" t="n">
        <v>45908</v>
      </c>
      <c r="D487" t="inlineStr">
        <is>
          <t>DALARNAS LÄN</t>
        </is>
      </c>
      <c r="E487" t="inlineStr">
        <is>
          <t>ÄLVDALEN</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45908</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45908</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45155-2023</t>
        </is>
      </c>
      <c r="B490" s="1" t="n">
        <v>45187</v>
      </c>
      <c r="C490" s="1" t="n">
        <v>45908</v>
      </c>
      <c r="D490" t="inlineStr">
        <is>
          <t>DALARNAS LÄN</t>
        </is>
      </c>
      <c r="E490" t="inlineStr">
        <is>
          <t>ÄLVDALEN</t>
        </is>
      </c>
      <c r="G490" t="n">
        <v>40.1</v>
      </c>
      <c r="H490" t="n">
        <v>0</v>
      </c>
      <c r="I490" t="n">
        <v>0</v>
      </c>
      <c r="J490" t="n">
        <v>0</v>
      </c>
      <c r="K490" t="n">
        <v>0</v>
      </c>
      <c r="L490" t="n">
        <v>0</v>
      </c>
      <c r="M490" t="n">
        <v>0</v>
      </c>
      <c r="N490" t="n">
        <v>0</v>
      </c>
      <c r="O490" t="n">
        <v>0</v>
      </c>
      <c r="P490" t="n">
        <v>0</v>
      </c>
      <c r="Q490" t="n">
        <v>0</v>
      </c>
      <c r="R490" s="2" t="inlineStr"/>
    </row>
    <row r="491" ht="15" customHeight="1">
      <c r="A491" t="inlineStr">
        <is>
          <t>A 41446-2024</t>
        </is>
      </c>
      <c r="B491" s="1" t="n">
        <v>45560.39483796297</v>
      </c>
      <c r="C491" s="1" t="n">
        <v>45908</v>
      </c>
      <c r="D491" t="inlineStr">
        <is>
          <t>DALARNAS LÄN</t>
        </is>
      </c>
      <c r="E491" t="inlineStr">
        <is>
          <t>ÄLVDALEN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60793-2022</t>
        </is>
      </c>
      <c r="B492" s="1" t="n">
        <v>44911</v>
      </c>
      <c r="C492" s="1" t="n">
        <v>45908</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41158-2024</t>
        </is>
      </c>
      <c r="B493" s="1" t="n">
        <v>45559.47958333333</v>
      </c>
      <c r="C493" s="1" t="n">
        <v>45908</v>
      </c>
      <c r="D493" t="inlineStr">
        <is>
          <t>DALARNAS LÄN</t>
        </is>
      </c>
      <c r="E493" t="inlineStr">
        <is>
          <t>ÄLVDALEN</t>
        </is>
      </c>
      <c r="G493" t="n">
        <v>5.6</v>
      </c>
      <c r="H493" t="n">
        <v>0</v>
      </c>
      <c r="I493" t="n">
        <v>0</v>
      </c>
      <c r="J493" t="n">
        <v>0</v>
      </c>
      <c r="K493" t="n">
        <v>0</v>
      </c>
      <c r="L493" t="n">
        <v>0</v>
      </c>
      <c r="M493" t="n">
        <v>0</v>
      </c>
      <c r="N493" t="n">
        <v>0</v>
      </c>
      <c r="O493" t="n">
        <v>0</v>
      </c>
      <c r="P493" t="n">
        <v>0</v>
      </c>
      <c r="Q493" t="n">
        <v>0</v>
      </c>
      <c r="R493" s="2" t="inlineStr"/>
    </row>
    <row r="494" ht="15" customHeight="1">
      <c r="A494" t="inlineStr">
        <is>
          <t>A 32361-2024</t>
        </is>
      </c>
      <c r="B494" s="1" t="n">
        <v>45512.56725694444</v>
      </c>
      <c r="C494" s="1" t="n">
        <v>45908</v>
      </c>
      <c r="D494" t="inlineStr">
        <is>
          <t>DALARNAS LÄN</t>
        </is>
      </c>
      <c r="E494" t="inlineStr">
        <is>
          <t>ÄLVDALEN</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32363-2024</t>
        </is>
      </c>
      <c r="B495" s="1" t="n">
        <v>45512</v>
      </c>
      <c r="C495" s="1" t="n">
        <v>45908</v>
      </c>
      <c r="D495" t="inlineStr">
        <is>
          <t>DALARNAS LÄN</t>
        </is>
      </c>
      <c r="E495" t="inlineStr">
        <is>
          <t>ÄLVDALEN</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37665-2023</t>
        </is>
      </c>
      <c r="B496" s="1" t="n">
        <v>45159.5371875</v>
      </c>
      <c r="C496" s="1" t="n">
        <v>45908</v>
      </c>
      <c r="D496" t="inlineStr">
        <is>
          <t>DALARNAS LÄN</t>
        </is>
      </c>
      <c r="E496" t="inlineStr">
        <is>
          <t>ÄLVDALEN</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33102-2023</t>
        </is>
      </c>
      <c r="B497" s="1" t="n">
        <v>45114</v>
      </c>
      <c r="C497" s="1" t="n">
        <v>45908</v>
      </c>
      <c r="D497" t="inlineStr">
        <is>
          <t>DALARNAS LÄN</t>
        </is>
      </c>
      <c r="E497" t="inlineStr">
        <is>
          <t>ÄLVDALEN</t>
        </is>
      </c>
      <c r="G497" t="n">
        <v>1.6</v>
      </c>
      <c r="H497" t="n">
        <v>0</v>
      </c>
      <c r="I497" t="n">
        <v>0</v>
      </c>
      <c r="J497" t="n">
        <v>0</v>
      </c>
      <c r="K497" t="n">
        <v>0</v>
      </c>
      <c r="L497" t="n">
        <v>0</v>
      </c>
      <c r="M497" t="n">
        <v>0</v>
      </c>
      <c r="N497" t="n">
        <v>0</v>
      </c>
      <c r="O497" t="n">
        <v>0</v>
      </c>
      <c r="P497" t="n">
        <v>0</v>
      </c>
      <c r="Q497" t="n">
        <v>0</v>
      </c>
      <c r="R497" s="2" t="inlineStr"/>
    </row>
    <row r="498" ht="15" customHeight="1">
      <c r="A498" t="inlineStr">
        <is>
          <t>A 62315-2022</t>
        </is>
      </c>
      <c r="B498" s="1" t="n">
        <v>44916</v>
      </c>
      <c r="C498" s="1" t="n">
        <v>45908</v>
      </c>
      <c r="D498" t="inlineStr">
        <is>
          <t>DALARNAS LÄN</t>
        </is>
      </c>
      <c r="E498" t="inlineStr">
        <is>
          <t>ÄLVDALEN</t>
        </is>
      </c>
      <c r="G498" t="n">
        <v>2.1</v>
      </c>
      <c r="H498" t="n">
        <v>0</v>
      </c>
      <c r="I498" t="n">
        <v>0</v>
      </c>
      <c r="J498" t="n">
        <v>0</v>
      </c>
      <c r="K498" t="n">
        <v>0</v>
      </c>
      <c r="L498" t="n">
        <v>0</v>
      </c>
      <c r="M498" t="n">
        <v>0</v>
      </c>
      <c r="N498" t="n">
        <v>0</v>
      </c>
      <c r="O498" t="n">
        <v>0</v>
      </c>
      <c r="P498" t="n">
        <v>0</v>
      </c>
      <c r="Q498" t="n">
        <v>0</v>
      </c>
      <c r="R498" s="2" t="inlineStr"/>
    </row>
    <row r="499" ht="15" customHeight="1">
      <c r="A499" t="inlineStr">
        <is>
          <t>A 53168-2024</t>
        </is>
      </c>
      <c r="B499" s="1" t="n">
        <v>45611.65569444445</v>
      </c>
      <c r="C499" s="1" t="n">
        <v>45908</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33099-2023</t>
        </is>
      </c>
      <c r="B500" s="1" t="n">
        <v>45114</v>
      </c>
      <c r="C500" s="1" t="n">
        <v>45908</v>
      </c>
      <c r="D500" t="inlineStr">
        <is>
          <t>DALARNAS LÄN</t>
        </is>
      </c>
      <c r="E500" t="inlineStr">
        <is>
          <t>ÄLVDALEN</t>
        </is>
      </c>
      <c r="G500" t="n">
        <v>3.5</v>
      </c>
      <c r="H500" t="n">
        <v>0</v>
      </c>
      <c r="I500" t="n">
        <v>0</v>
      </c>
      <c r="J500" t="n">
        <v>0</v>
      </c>
      <c r="K500" t="n">
        <v>0</v>
      </c>
      <c r="L500" t="n">
        <v>0</v>
      </c>
      <c r="M500" t="n">
        <v>0</v>
      </c>
      <c r="N500" t="n">
        <v>0</v>
      </c>
      <c r="O500" t="n">
        <v>0</v>
      </c>
      <c r="P500" t="n">
        <v>0</v>
      </c>
      <c r="Q500" t="n">
        <v>0</v>
      </c>
      <c r="R500" s="2" t="inlineStr"/>
    </row>
    <row r="501" ht="15" customHeight="1">
      <c r="A501" t="inlineStr">
        <is>
          <t>A 63329-2023</t>
        </is>
      </c>
      <c r="B501" s="1" t="n">
        <v>45274.38255787037</v>
      </c>
      <c r="C501" s="1" t="n">
        <v>45908</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24762-2023</t>
        </is>
      </c>
      <c r="B502" s="1" t="n">
        <v>45084.6283912037</v>
      </c>
      <c r="C502" s="1" t="n">
        <v>45908</v>
      </c>
      <c r="D502" t="inlineStr">
        <is>
          <t>DALARNAS LÄN</t>
        </is>
      </c>
      <c r="E502" t="inlineStr">
        <is>
          <t>ÄLVDALEN</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29610-2024</t>
        </is>
      </c>
      <c r="B503" s="1" t="n">
        <v>45484</v>
      </c>
      <c r="C503" s="1" t="n">
        <v>45908</v>
      </c>
      <c r="D503" t="inlineStr">
        <is>
          <t>DALARNAS LÄN</t>
        </is>
      </c>
      <c r="E503" t="inlineStr">
        <is>
          <t>ÄLVDALEN</t>
        </is>
      </c>
      <c r="G503" t="n">
        <v>1</v>
      </c>
      <c r="H503" t="n">
        <v>0</v>
      </c>
      <c r="I503" t="n">
        <v>0</v>
      </c>
      <c r="J503" t="n">
        <v>0</v>
      </c>
      <c r="K503" t="n">
        <v>0</v>
      </c>
      <c r="L503" t="n">
        <v>0</v>
      </c>
      <c r="M503" t="n">
        <v>0</v>
      </c>
      <c r="N503" t="n">
        <v>0</v>
      </c>
      <c r="O503" t="n">
        <v>0</v>
      </c>
      <c r="P503" t="n">
        <v>0</v>
      </c>
      <c r="Q503" t="n">
        <v>0</v>
      </c>
      <c r="R503" s="2" t="inlineStr"/>
    </row>
    <row r="504" ht="15" customHeight="1">
      <c r="A504" t="inlineStr">
        <is>
          <t>A 28467-2024</t>
        </is>
      </c>
      <c r="B504" s="1" t="n">
        <v>45477.71173611111</v>
      </c>
      <c r="C504" s="1" t="n">
        <v>45908</v>
      </c>
      <c r="D504" t="inlineStr">
        <is>
          <t>DALARNAS LÄN</t>
        </is>
      </c>
      <c r="E504" t="inlineStr">
        <is>
          <t>ÄLVDALEN</t>
        </is>
      </c>
      <c r="G504" t="n">
        <v>4</v>
      </c>
      <c r="H504" t="n">
        <v>0</v>
      </c>
      <c r="I504" t="n">
        <v>0</v>
      </c>
      <c r="J504" t="n">
        <v>0</v>
      </c>
      <c r="K504" t="n">
        <v>0</v>
      </c>
      <c r="L504" t="n">
        <v>0</v>
      </c>
      <c r="M504" t="n">
        <v>0</v>
      </c>
      <c r="N504" t="n">
        <v>0</v>
      </c>
      <c r="O504" t="n">
        <v>0</v>
      </c>
      <c r="P504" t="n">
        <v>0</v>
      </c>
      <c r="Q504" t="n">
        <v>0</v>
      </c>
      <c r="R504" s="2" t="inlineStr"/>
    </row>
    <row r="505" ht="15" customHeight="1">
      <c r="A505" t="inlineStr">
        <is>
          <t>A 6230-2024</t>
        </is>
      </c>
      <c r="B505" s="1" t="n">
        <v>45337</v>
      </c>
      <c r="C505" s="1" t="n">
        <v>45908</v>
      </c>
      <c r="D505" t="inlineStr">
        <is>
          <t>DALARNAS LÄN</t>
        </is>
      </c>
      <c r="E505" t="inlineStr">
        <is>
          <t>ÄLVDALEN</t>
        </is>
      </c>
      <c r="G505" t="n">
        <v>6.2</v>
      </c>
      <c r="H505" t="n">
        <v>0</v>
      </c>
      <c r="I505" t="n">
        <v>0</v>
      </c>
      <c r="J505" t="n">
        <v>0</v>
      </c>
      <c r="K505" t="n">
        <v>0</v>
      </c>
      <c r="L505" t="n">
        <v>0</v>
      </c>
      <c r="M505" t="n">
        <v>0</v>
      </c>
      <c r="N505" t="n">
        <v>0</v>
      </c>
      <c r="O505" t="n">
        <v>0</v>
      </c>
      <c r="P505" t="n">
        <v>0</v>
      </c>
      <c r="Q505" t="n">
        <v>0</v>
      </c>
      <c r="R505" s="2" t="inlineStr"/>
    </row>
    <row r="506" ht="15" customHeight="1">
      <c r="A506" t="inlineStr">
        <is>
          <t>A 56882-2022</t>
        </is>
      </c>
      <c r="B506" s="1" t="n">
        <v>44894</v>
      </c>
      <c r="C506" s="1" t="n">
        <v>45908</v>
      </c>
      <c r="D506" t="inlineStr">
        <is>
          <t>DALARNAS LÄN</t>
        </is>
      </c>
      <c r="E506" t="inlineStr">
        <is>
          <t>ÄLVDALEN</t>
        </is>
      </c>
      <c r="G506" t="n">
        <v>7.4</v>
      </c>
      <c r="H506" t="n">
        <v>0</v>
      </c>
      <c r="I506" t="n">
        <v>0</v>
      </c>
      <c r="J506" t="n">
        <v>0</v>
      </c>
      <c r="K506" t="n">
        <v>0</v>
      </c>
      <c r="L506" t="n">
        <v>0</v>
      </c>
      <c r="M506" t="n">
        <v>0</v>
      </c>
      <c r="N506" t="n">
        <v>0</v>
      </c>
      <c r="O506" t="n">
        <v>0</v>
      </c>
      <c r="P506" t="n">
        <v>0</v>
      </c>
      <c r="Q506" t="n">
        <v>0</v>
      </c>
      <c r="R506" s="2" t="inlineStr"/>
    </row>
    <row r="507" ht="15" customHeight="1">
      <c r="A507" t="inlineStr">
        <is>
          <t>A 47877-2023</t>
        </is>
      </c>
      <c r="B507" s="1" t="n">
        <v>45204</v>
      </c>
      <c r="C507" s="1" t="n">
        <v>45908</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52401-2020</t>
        </is>
      </c>
      <c r="B508" s="1" t="n">
        <v>44113</v>
      </c>
      <c r="C508" s="1" t="n">
        <v>45908</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5826-2023</t>
        </is>
      </c>
      <c r="B509" s="1" t="n">
        <v>44963.52038194444</v>
      </c>
      <c r="C509" s="1" t="n">
        <v>45908</v>
      </c>
      <c r="D509" t="inlineStr">
        <is>
          <t>DALARNAS LÄN</t>
        </is>
      </c>
      <c r="E509" t="inlineStr">
        <is>
          <t>ÄLVDALEN</t>
        </is>
      </c>
      <c r="G509" t="n">
        <v>1.7</v>
      </c>
      <c r="H509" t="n">
        <v>0</v>
      </c>
      <c r="I509" t="n">
        <v>0</v>
      </c>
      <c r="J509" t="n">
        <v>0</v>
      </c>
      <c r="K509" t="n">
        <v>0</v>
      </c>
      <c r="L509" t="n">
        <v>0</v>
      </c>
      <c r="M509" t="n">
        <v>0</v>
      </c>
      <c r="N509" t="n">
        <v>0</v>
      </c>
      <c r="O509" t="n">
        <v>0</v>
      </c>
      <c r="P509" t="n">
        <v>0</v>
      </c>
      <c r="Q509" t="n">
        <v>0</v>
      </c>
      <c r="R509" s="2" t="inlineStr"/>
    </row>
    <row r="510" ht="15" customHeight="1">
      <c r="A510" t="inlineStr">
        <is>
          <t>A 39283-2024</t>
        </is>
      </c>
      <c r="B510" s="1" t="n">
        <v>45551.36314814815</v>
      </c>
      <c r="C510" s="1" t="n">
        <v>45908</v>
      </c>
      <c r="D510" t="inlineStr">
        <is>
          <t>DALARNAS LÄN</t>
        </is>
      </c>
      <c r="E510" t="inlineStr">
        <is>
          <t>ÄLVDALEN</t>
        </is>
      </c>
      <c r="G510" t="n">
        <v>0.6</v>
      </c>
      <c r="H510" t="n">
        <v>0</v>
      </c>
      <c r="I510" t="n">
        <v>0</v>
      </c>
      <c r="J510" t="n">
        <v>0</v>
      </c>
      <c r="K510" t="n">
        <v>0</v>
      </c>
      <c r="L510" t="n">
        <v>0</v>
      </c>
      <c r="M510" t="n">
        <v>0</v>
      </c>
      <c r="N510" t="n">
        <v>0</v>
      </c>
      <c r="O510" t="n">
        <v>0</v>
      </c>
      <c r="P510" t="n">
        <v>0</v>
      </c>
      <c r="Q510" t="n">
        <v>0</v>
      </c>
      <c r="R510" s="2" t="inlineStr"/>
    </row>
    <row r="511" ht="15" customHeight="1">
      <c r="A511" t="inlineStr">
        <is>
          <t>A 3893-2024</t>
        </is>
      </c>
      <c r="B511" s="1" t="n">
        <v>45322</v>
      </c>
      <c r="C511" s="1" t="n">
        <v>45908</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747-2025</t>
        </is>
      </c>
      <c r="B512" s="1" t="n">
        <v>45665.43965277778</v>
      </c>
      <c r="C512" s="1" t="n">
        <v>45908</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7917-2025</t>
        </is>
      </c>
      <c r="B513" s="1" t="n">
        <v>45707.35225694445</v>
      </c>
      <c r="C513" s="1" t="n">
        <v>45908</v>
      </c>
      <c r="D513" t="inlineStr">
        <is>
          <t>DALARNAS LÄN</t>
        </is>
      </c>
      <c r="E513" t="inlineStr">
        <is>
          <t>ÄLVDALEN</t>
        </is>
      </c>
      <c r="G513" t="n">
        <v>4.2</v>
      </c>
      <c r="H513" t="n">
        <v>0</v>
      </c>
      <c r="I513" t="n">
        <v>0</v>
      </c>
      <c r="J513" t="n">
        <v>0</v>
      </c>
      <c r="K513" t="n">
        <v>0</v>
      </c>
      <c r="L513" t="n">
        <v>0</v>
      </c>
      <c r="M513" t="n">
        <v>0</v>
      </c>
      <c r="N513" t="n">
        <v>0</v>
      </c>
      <c r="O513" t="n">
        <v>0</v>
      </c>
      <c r="P513" t="n">
        <v>0</v>
      </c>
      <c r="Q513" t="n">
        <v>0</v>
      </c>
      <c r="R513" s="2" t="inlineStr"/>
    </row>
    <row r="514" ht="15" customHeight="1">
      <c r="A514" t="inlineStr">
        <is>
          <t>A 50056-2024</t>
        </is>
      </c>
      <c r="B514" s="1" t="n">
        <v>45600.34134259259</v>
      </c>
      <c r="C514" s="1" t="n">
        <v>45908</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19527-2025</t>
        </is>
      </c>
      <c r="B515" s="1" t="n">
        <v>45770.46546296297</v>
      </c>
      <c r="C515" s="1" t="n">
        <v>45908</v>
      </c>
      <c r="D515" t="inlineStr">
        <is>
          <t>DALARNAS LÄN</t>
        </is>
      </c>
      <c r="E515" t="inlineStr">
        <is>
          <t>ÄLVDALEN</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59676-2024</t>
        </is>
      </c>
      <c r="B516" s="1" t="n">
        <v>45639.39060185185</v>
      </c>
      <c r="C516" s="1" t="n">
        <v>45908</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59545-2024</t>
        </is>
      </c>
      <c r="B517" s="1" t="n">
        <v>45638.62018518519</v>
      </c>
      <c r="C517" s="1" t="n">
        <v>45908</v>
      </c>
      <c r="D517" t="inlineStr">
        <is>
          <t>DALARNAS LÄN</t>
        </is>
      </c>
      <c r="E517" t="inlineStr">
        <is>
          <t>ÄLVDALEN</t>
        </is>
      </c>
      <c r="G517" t="n">
        <v>7.9</v>
      </c>
      <c r="H517" t="n">
        <v>0</v>
      </c>
      <c r="I517" t="n">
        <v>0</v>
      </c>
      <c r="J517" t="n">
        <v>0</v>
      </c>
      <c r="K517" t="n">
        <v>0</v>
      </c>
      <c r="L517" t="n">
        <v>0</v>
      </c>
      <c r="M517" t="n">
        <v>0</v>
      </c>
      <c r="N517" t="n">
        <v>0</v>
      </c>
      <c r="O517" t="n">
        <v>0</v>
      </c>
      <c r="P517" t="n">
        <v>0</v>
      </c>
      <c r="Q517" t="n">
        <v>0</v>
      </c>
      <c r="R517" s="2" t="inlineStr"/>
    </row>
    <row r="518" ht="15" customHeight="1">
      <c r="A518" t="inlineStr">
        <is>
          <t>A 63296-2020</t>
        </is>
      </c>
      <c r="B518" s="1" t="n">
        <v>44165</v>
      </c>
      <c r="C518" s="1" t="n">
        <v>45908</v>
      </c>
      <c r="D518" t="inlineStr">
        <is>
          <t>DALARNAS LÄN</t>
        </is>
      </c>
      <c r="E518" t="inlineStr">
        <is>
          <t>ÄLVDALEN</t>
        </is>
      </c>
      <c r="F518" t="inlineStr">
        <is>
          <t>Bergvik skog väst AB</t>
        </is>
      </c>
      <c r="G518" t="n">
        <v>2.8</v>
      </c>
      <c r="H518" t="n">
        <v>0</v>
      </c>
      <c r="I518" t="n">
        <v>0</v>
      </c>
      <c r="J518" t="n">
        <v>0</v>
      </c>
      <c r="K518" t="n">
        <v>0</v>
      </c>
      <c r="L518" t="n">
        <v>0</v>
      </c>
      <c r="M518" t="n">
        <v>0</v>
      </c>
      <c r="N518" t="n">
        <v>0</v>
      </c>
      <c r="O518" t="n">
        <v>0</v>
      </c>
      <c r="P518" t="n">
        <v>0</v>
      </c>
      <c r="Q518" t="n">
        <v>0</v>
      </c>
      <c r="R518" s="2" t="inlineStr"/>
    </row>
    <row r="519" ht="15" customHeight="1">
      <c r="A519" t="inlineStr">
        <is>
          <t>A 30355-2021</t>
        </is>
      </c>
      <c r="B519" s="1" t="n">
        <v>44364</v>
      </c>
      <c r="C519" s="1" t="n">
        <v>45908</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47743-2024</t>
        </is>
      </c>
      <c r="B520" s="1" t="n">
        <v>45588.52550925926</v>
      </c>
      <c r="C520" s="1" t="n">
        <v>45908</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5063-2025</t>
        </is>
      </c>
      <c r="B521" s="1" t="n">
        <v>45691.47466435185</v>
      </c>
      <c r="C521" s="1" t="n">
        <v>45908</v>
      </c>
      <c r="D521" t="inlineStr">
        <is>
          <t>DALARNAS LÄN</t>
        </is>
      </c>
      <c r="E521" t="inlineStr">
        <is>
          <t>ÄLVDALEN</t>
        </is>
      </c>
      <c r="F521" t="inlineStr">
        <is>
          <t>Bergvik skog väst AB</t>
        </is>
      </c>
      <c r="G521" t="n">
        <v>2.8</v>
      </c>
      <c r="H521" t="n">
        <v>0</v>
      </c>
      <c r="I521" t="n">
        <v>0</v>
      </c>
      <c r="J521" t="n">
        <v>0</v>
      </c>
      <c r="K521" t="n">
        <v>0</v>
      </c>
      <c r="L521" t="n">
        <v>0</v>
      </c>
      <c r="M521" t="n">
        <v>0</v>
      </c>
      <c r="N521" t="n">
        <v>0</v>
      </c>
      <c r="O521" t="n">
        <v>0</v>
      </c>
      <c r="P521" t="n">
        <v>0</v>
      </c>
      <c r="Q521" t="n">
        <v>0</v>
      </c>
      <c r="R521" s="2" t="inlineStr"/>
    </row>
    <row r="522" ht="15" customHeight="1">
      <c r="A522" t="inlineStr">
        <is>
          <t>A 777-2025</t>
        </is>
      </c>
      <c r="B522" s="1" t="n">
        <v>45665.47403935185</v>
      </c>
      <c r="C522" s="1" t="n">
        <v>45908</v>
      </c>
      <c r="D522" t="inlineStr">
        <is>
          <t>DALARNAS LÄN</t>
        </is>
      </c>
      <c r="E522" t="inlineStr">
        <is>
          <t>ÄLVDALEN</t>
        </is>
      </c>
      <c r="G522" t="n">
        <v>2.4</v>
      </c>
      <c r="H522" t="n">
        <v>0</v>
      </c>
      <c r="I522" t="n">
        <v>0</v>
      </c>
      <c r="J522" t="n">
        <v>0</v>
      </c>
      <c r="K522" t="n">
        <v>0</v>
      </c>
      <c r="L522" t="n">
        <v>0</v>
      </c>
      <c r="M522" t="n">
        <v>0</v>
      </c>
      <c r="N522" t="n">
        <v>0</v>
      </c>
      <c r="O522" t="n">
        <v>0</v>
      </c>
      <c r="P522" t="n">
        <v>0</v>
      </c>
      <c r="Q522" t="n">
        <v>0</v>
      </c>
      <c r="R522" s="2" t="inlineStr"/>
    </row>
    <row r="523" ht="15" customHeight="1">
      <c r="A523" t="inlineStr">
        <is>
          <t>A 12318-2025</t>
        </is>
      </c>
      <c r="B523" s="1" t="n">
        <v>45729.87777777778</v>
      </c>
      <c r="C523" s="1" t="n">
        <v>45908</v>
      </c>
      <c r="D523" t="inlineStr">
        <is>
          <t>DALARNAS LÄN</t>
        </is>
      </c>
      <c r="E523" t="inlineStr">
        <is>
          <t>ÄLVDALEN</t>
        </is>
      </c>
      <c r="G523" t="n">
        <v>3.3</v>
      </c>
      <c r="H523" t="n">
        <v>0</v>
      </c>
      <c r="I523" t="n">
        <v>0</v>
      </c>
      <c r="J523" t="n">
        <v>0</v>
      </c>
      <c r="K523" t="n">
        <v>0</v>
      </c>
      <c r="L523" t="n">
        <v>0</v>
      </c>
      <c r="M523" t="n">
        <v>0</v>
      </c>
      <c r="N523" t="n">
        <v>0</v>
      </c>
      <c r="O523" t="n">
        <v>0</v>
      </c>
      <c r="P523" t="n">
        <v>0</v>
      </c>
      <c r="Q523" t="n">
        <v>0</v>
      </c>
      <c r="R523" s="2" t="inlineStr"/>
    </row>
    <row r="524" ht="15" customHeight="1">
      <c r="A524" t="inlineStr">
        <is>
          <t>A 49968-2020</t>
        </is>
      </c>
      <c r="B524" s="1" t="n">
        <v>44109</v>
      </c>
      <c r="C524" s="1" t="n">
        <v>45908</v>
      </c>
      <c r="D524" t="inlineStr">
        <is>
          <t>DALARNAS LÄN</t>
        </is>
      </c>
      <c r="E524" t="inlineStr">
        <is>
          <t>ÄLVDALEN</t>
        </is>
      </c>
      <c r="F524" t="inlineStr">
        <is>
          <t>Övriga Aktiebolag</t>
        </is>
      </c>
      <c r="G524" t="n">
        <v>11.8</v>
      </c>
      <c r="H524" t="n">
        <v>0</v>
      </c>
      <c r="I524" t="n">
        <v>0</v>
      </c>
      <c r="J524" t="n">
        <v>0</v>
      </c>
      <c r="K524" t="n">
        <v>0</v>
      </c>
      <c r="L524" t="n">
        <v>0</v>
      </c>
      <c r="M524" t="n">
        <v>0</v>
      </c>
      <c r="N524" t="n">
        <v>0</v>
      </c>
      <c r="O524" t="n">
        <v>0</v>
      </c>
      <c r="P524" t="n">
        <v>0</v>
      </c>
      <c r="Q524" t="n">
        <v>0</v>
      </c>
      <c r="R524" s="2" t="inlineStr"/>
    </row>
    <row r="525" ht="15" customHeight="1">
      <c r="A525" t="inlineStr">
        <is>
          <t>A 53408-2023</t>
        </is>
      </c>
      <c r="B525" s="1" t="n">
        <v>45229</v>
      </c>
      <c r="C525" s="1" t="n">
        <v>45908</v>
      </c>
      <c r="D525" t="inlineStr">
        <is>
          <t>DALARNAS LÄN</t>
        </is>
      </c>
      <c r="E525" t="inlineStr">
        <is>
          <t>ÄLVDALEN</t>
        </is>
      </c>
      <c r="G525" t="n">
        <v>2</v>
      </c>
      <c r="H525" t="n">
        <v>0</v>
      </c>
      <c r="I525" t="n">
        <v>0</v>
      </c>
      <c r="J525" t="n">
        <v>0</v>
      </c>
      <c r="K525" t="n">
        <v>0</v>
      </c>
      <c r="L525" t="n">
        <v>0</v>
      </c>
      <c r="M525" t="n">
        <v>0</v>
      </c>
      <c r="N525" t="n">
        <v>0</v>
      </c>
      <c r="O525" t="n">
        <v>0</v>
      </c>
      <c r="P525" t="n">
        <v>0</v>
      </c>
      <c r="Q525" t="n">
        <v>0</v>
      </c>
      <c r="R525" s="2" t="inlineStr"/>
    </row>
    <row r="526" ht="15" customHeight="1">
      <c r="A526" t="inlineStr">
        <is>
          <t>A 54338-2020</t>
        </is>
      </c>
      <c r="B526" s="1" t="n">
        <v>44126</v>
      </c>
      <c r="C526" s="1" t="n">
        <v>45908</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70140-2021</t>
        </is>
      </c>
      <c r="B527" s="1" t="n">
        <v>44533</v>
      </c>
      <c r="C527" s="1" t="n">
        <v>45908</v>
      </c>
      <c r="D527" t="inlineStr">
        <is>
          <t>DALARNAS LÄN</t>
        </is>
      </c>
      <c r="E527" t="inlineStr">
        <is>
          <t>ÄLVDALEN</t>
        </is>
      </c>
      <c r="G527" t="n">
        <v>2.5</v>
      </c>
      <c r="H527" t="n">
        <v>0</v>
      </c>
      <c r="I527" t="n">
        <v>0</v>
      </c>
      <c r="J527" t="n">
        <v>0</v>
      </c>
      <c r="K527" t="n">
        <v>0</v>
      </c>
      <c r="L527" t="n">
        <v>0</v>
      </c>
      <c r="M527" t="n">
        <v>0</v>
      </c>
      <c r="N527" t="n">
        <v>0</v>
      </c>
      <c r="O527" t="n">
        <v>0</v>
      </c>
      <c r="P527" t="n">
        <v>0</v>
      </c>
      <c r="Q527" t="n">
        <v>0</v>
      </c>
      <c r="R527" s="2" t="inlineStr"/>
    </row>
    <row r="528" ht="15" customHeight="1">
      <c r="A528" t="inlineStr">
        <is>
          <t>A 18075-2024</t>
        </is>
      </c>
      <c r="B528" s="1" t="n">
        <v>45420.43453703704</v>
      </c>
      <c r="C528" s="1" t="n">
        <v>45908</v>
      </c>
      <c r="D528" t="inlineStr">
        <is>
          <t>DALARNAS LÄN</t>
        </is>
      </c>
      <c r="E528" t="inlineStr">
        <is>
          <t>ÄLVDALEN</t>
        </is>
      </c>
      <c r="F528" t="inlineStr">
        <is>
          <t>Bergvik skog väst AB</t>
        </is>
      </c>
      <c r="G528" t="n">
        <v>8.6</v>
      </c>
      <c r="H528" t="n">
        <v>0</v>
      </c>
      <c r="I528" t="n">
        <v>0</v>
      </c>
      <c r="J528" t="n">
        <v>0</v>
      </c>
      <c r="K528" t="n">
        <v>0</v>
      </c>
      <c r="L528" t="n">
        <v>0</v>
      </c>
      <c r="M528" t="n">
        <v>0</v>
      </c>
      <c r="N528" t="n">
        <v>0</v>
      </c>
      <c r="O528" t="n">
        <v>0</v>
      </c>
      <c r="P528" t="n">
        <v>0</v>
      </c>
      <c r="Q528" t="n">
        <v>0</v>
      </c>
      <c r="R528" s="2" t="inlineStr"/>
    </row>
    <row r="529" ht="15" customHeight="1">
      <c r="A529" t="inlineStr">
        <is>
          <t>A 31332-2023</t>
        </is>
      </c>
      <c r="B529" s="1" t="n">
        <v>45114</v>
      </c>
      <c r="C529" s="1" t="n">
        <v>45908</v>
      </c>
      <c r="D529" t="inlineStr">
        <is>
          <t>DALARNAS LÄN</t>
        </is>
      </c>
      <c r="E529" t="inlineStr">
        <is>
          <t>ÄLVDALEN</t>
        </is>
      </c>
      <c r="F529" t="inlineStr">
        <is>
          <t>Övriga statliga verk och myndigheter</t>
        </is>
      </c>
      <c r="G529" t="n">
        <v>0.5</v>
      </c>
      <c r="H529" t="n">
        <v>0</v>
      </c>
      <c r="I529" t="n">
        <v>0</v>
      </c>
      <c r="J529" t="n">
        <v>0</v>
      </c>
      <c r="K529" t="n">
        <v>0</v>
      </c>
      <c r="L529" t="n">
        <v>0</v>
      </c>
      <c r="M529" t="n">
        <v>0</v>
      </c>
      <c r="N529" t="n">
        <v>0</v>
      </c>
      <c r="O529" t="n">
        <v>0</v>
      </c>
      <c r="P529" t="n">
        <v>0</v>
      </c>
      <c r="Q529" t="n">
        <v>0</v>
      </c>
      <c r="R529" s="2" t="inlineStr"/>
    </row>
    <row r="530" ht="15" customHeight="1">
      <c r="A530" t="inlineStr">
        <is>
          <t>A 59692-2024</t>
        </is>
      </c>
      <c r="B530" s="1" t="n">
        <v>45639.40686342592</v>
      </c>
      <c r="C530" s="1" t="n">
        <v>45908</v>
      </c>
      <c r="D530" t="inlineStr">
        <is>
          <t>DALARNAS LÄN</t>
        </is>
      </c>
      <c r="E530" t="inlineStr">
        <is>
          <t>ÄLVDALEN</t>
        </is>
      </c>
      <c r="G530" t="n">
        <v>2.2</v>
      </c>
      <c r="H530" t="n">
        <v>0</v>
      </c>
      <c r="I530" t="n">
        <v>0</v>
      </c>
      <c r="J530" t="n">
        <v>0</v>
      </c>
      <c r="K530" t="n">
        <v>0</v>
      </c>
      <c r="L530" t="n">
        <v>0</v>
      </c>
      <c r="M530" t="n">
        <v>0</v>
      </c>
      <c r="N530" t="n">
        <v>0</v>
      </c>
      <c r="O530" t="n">
        <v>0</v>
      </c>
      <c r="P530" t="n">
        <v>0</v>
      </c>
      <c r="Q530" t="n">
        <v>0</v>
      </c>
      <c r="R530" s="2" t="inlineStr"/>
    </row>
    <row r="531" ht="15" customHeight="1">
      <c r="A531" t="inlineStr">
        <is>
          <t>A 37439-2024</t>
        </is>
      </c>
      <c r="B531" s="1" t="n">
        <v>45540</v>
      </c>
      <c r="C531" s="1" t="n">
        <v>45908</v>
      </c>
      <c r="D531" t="inlineStr">
        <is>
          <t>DALARNAS LÄN</t>
        </is>
      </c>
      <c r="E531" t="inlineStr">
        <is>
          <t>ÄLVDALEN</t>
        </is>
      </c>
      <c r="G531" t="n">
        <v>1.5</v>
      </c>
      <c r="H531" t="n">
        <v>0</v>
      </c>
      <c r="I531" t="n">
        <v>0</v>
      </c>
      <c r="J531" t="n">
        <v>0</v>
      </c>
      <c r="K531" t="n">
        <v>0</v>
      </c>
      <c r="L531" t="n">
        <v>0</v>
      </c>
      <c r="M531" t="n">
        <v>0</v>
      </c>
      <c r="N531" t="n">
        <v>0</v>
      </c>
      <c r="O531" t="n">
        <v>0</v>
      </c>
      <c r="P531" t="n">
        <v>0</v>
      </c>
      <c r="Q531" t="n">
        <v>0</v>
      </c>
      <c r="R531" s="2" t="inlineStr"/>
    </row>
    <row r="532" ht="15" customHeight="1">
      <c r="A532" t="inlineStr">
        <is>
          <t>A 49236-2023</t>
        </is>
      </c>
      <c r="B532" s="1" t="n">
        <v>45210.63995370371</v>
      </c>
      <c r="C532" s="1" t="n">
        <v>45908</v>
      </c>
      <c r="D532" t="inlineStr">
        <is>
          <t>DALARNAS LÄN</t>
        </is>
      </c>
      <c r="E532" t="inlineStr">
        <is>
          <t>ÄLVDALEN</t>
        </is>
      </c>
      <c r="F532" t="inlineStr">
        <is>
          <t>Bergvik skog väst AB</t>
        </is>
      </c>
      <c r="G532" t="n">
        <v>4.4</v>
      </c>
      <c r="H532" t="n">
        <v>0</v>
      </c>
      <c r="I532" t="n">
        <v>0</v>
      </c>
      <c r="J532" t="n">
        <v>0</v>
      </c>
      <c r="K532" t="n">
        <v>0</v>
      </c>
      <c r="L532" t="n">
        <v>0</v>
      </c>
      <c r="M532" t="n">
        <v>0</v>
      </c>
      <c r="N532" t="n">
        <v>0</v>
      </c>
      <c r="O532" t="n">
        <v>0</v>
      </c>
      <c r="P532" t="n">
        <v>0</v>
      </c>
      <c r="Q532" t="n">
        <v>0</v>
      </c>
      <c r="R532" s="2" t="inlineStr"/>
    </row>
    <row r="533" ht="15" customHeight="1">
      <c r="A533" t="inlineStr">
        <is>
          <t>A 32362-2021</t>
        </is>
      </c>
      <c r="B533" s="1" t="n">
        <v>44371</v>
      </c>
      <c r="C533" s="1" t="n">
        <v>45908</v>
      </c>
      <c r="D533" t="inlineStr">
        <is>
          <t>DALARNAS LÄN</t>
        </is>
      </c>
      <c r="E533" t="inlineStr">
        <is>
          <t>ÄLVDALEN</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1310-2024</t>
        </is>
      </c>
      <c r="B534" s="1" t="n">
        <v>45303</v>
      </c>
      <c r="C534" s="1" t="n">
        <v>45908</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62314-2022</t>
        </is>
      </c>
      <c r="B535" s="1" t="n">
        <v>44916</v>
      </c>
      <c r="C535" s="1" t="n">
        <v>45908</v>
      </c>
      <c r="D535" t="inlineStr">
        <is>
          <t>DALARNAS LÄN</t>
        </is>
      </c>
      <c r="E535" t="inlineStr">
        <is>
          <t>ÄLVDALEN</t>
        </is>
      </c>
      <c r="G535" t="n">
        <v>2.7</v>
      </c>
      <c r="H535" t="n">
        <v>0</v>
      </c>
      <c r="I535" t="n">
        <v>0</v>
      </c>
      <c r="J535" t="n">
        <v>0</v>
      </c>
      <c r="K535" t="n">
        <v>0</v>
      </c>
      <c r="L535" t="n">
        <v>0</v>
      </c>
      <c r="M535" t="n">
        <v>0</v>
      </c>
      <c r="N535" t="n">
        <v>0</v>
      </c>
      <c r="O535" t="n">
        <v>0</v>
      </c>
      <c r="P535" t="n">
        <v>0</v>
      </c>
      <c r="Q535" t="n">
        <v>0</v>
      </c>
      <c r="R535" s="2" t="inlineStr"/>
    </row>
    <row r="536" ht="15" customHeight="1">
      <c r="A536" t="inlineStr">
        <is>
          <t>A 58004-2020</t>
        </is>
      </c>
      <c r="B536" s="1" t="n">
        <v>44140</v>
      </c>
      <c r="C536" s="1" t="n">
        <v>45908</v>
      </c>
      <c r="D536" t="inlineStr">
        <is>
          <t>DALARNAS LÄN</t>
        </is>
      </c>
      <c r="E536" t="inlineStr">
        <is>
          <t>ÄLVDALEN</t>
        </is>
      </c>
      <c r="G536" t="n">
        <v>2.9</v>
      </c>
      <c r="H536" t="n">
        <v>0</v>
      </c>
      <c r="I536" t="n">
        <v>0</v>
      </c>
      <c r="J536" t="n">
        <v>0</v>
      </c>
      <c r="K536" t="n">
        <v>0</v>
      </c>
      <c r="L536" t="n">
        <v>0</v>
      </c>
      <c r="M536" t="n">
        <v>0</v>
      </c>
      <c r="N536" t="n">
        <v>0</v>
      </c>
      <c r="O536" t="n">
        <v>0</v>
      </c>
      <c r="P536" t="n">
        <v>0</v>
      </c>
      <c r="Q536" t="n">
        <v>0</v>
      </c>
      <c r="R536" s="2" t="inlineStr"/>
    </row>
    <row r="537" ht="15" customHeight="1">
      <c r="A537" t="inlineStr">
        <is>
          <t>A 47869-2023</t>
        </is>
      </c>
      <c r="B537" s="1" t="n">
        <v>45204</v>
      </c>
      <c r="C537" s="1" t="n">
        <v>45908</v>
      </c>
      <c r="D537" t="inlineStr">
        <is>
          <t>DALARNAS LÄN</t>
        </is>
      </c>
      <c r="E537" t="inlineStr">
        <is>
          <t>ÄLVDALEN</t>
        </is>
      </c>
      <c r="G537" t="n">
        <v>11</v>
      </c>
      <c r="H537" t="n">
        <v>0</v>
      </c>
      <c r="I537" t="n">
        <v>0</v>
      </c>
      <c r="J537" t="n">
        <v>0</v>
      </c>
      <c r="K537" t="n">
        <v>0</v>
      </c>
      <c r="L537" t="n">
        <v>0</v>
      </c>
      <c r="M537" t="n">
        <v>0</v>
      </c>
      <c r="N537" t="n">
        <v>0</v>
      </c>
      <c r="O537" t="n">
        <v>0</v>
      </c>
      <c r="P537" t="n">
        <v>0</v>
      </c>
      <c r="Q537" t="n">
        <v>0</v>
      </c>
      <c r="R537" s="2" t="inlineStr"/>
    </row>
    <row r="538" ht="15" customHeight="1">
      <c r="A538" t="inlineStr">
        <is>
          <t>A 5170-2024</t>
        </is>
      </c>
      <c r="B538" s="1" t="n">
        <v>45330.55390046296</v>
      </c>
      <c r="C538" s="1" t="n">
        <v>45908</v>
      </c>
      <c r="D538" t="inlineStr">
        <is>
          <t>DALARNAS LÄN</t>
        </is>
      </c>
      <c r="E538" t="inlineStr">
        <is>
          <t>ÄLVDALEN</t>
        </is>
      </c>
      <c r="G538" t="n">
        <v>15.8</v>
      </c>
      <c r="H538" t="n">
        <v>0</v>
      </c>
      <c r="I538" t="n">
        <v>0</v>
      </c>
      <c r="J538" t="n">
        <v>0</v>
      </c>
      <c r="K538" t="n">
        <v>0</v>
      </c>
      <c r="L538" t="n">
        <v>0</v>
      </c>
      <c r="M538" t="n">
        <v>0</v>
      </c>
      <c r="N538" t="n">
        <v>0</v>
      </c>
      <c r="O538" t="n">
        <v>0</v>
      </c>
      <c r="P538" t="n">
        <v>0</v>
      </c>
      <c r="Q538" t="n">
        <v>0</v>
      </c>
      <c r="R538" s="2" t="inlineStr"/>
    </row>
    <row r="539" ht="15" customHeight="1">
      <c r="A539" t="inlineStr">
        <is>
          <t>A 1698-2025</t>
        </is>
      </c>
      <c r="B539" s="1" t="n">
        <v>45670</v>
      </c>
      <c r="C539" s="1" t="n">
        <v>45908</v>
      </c>
      <c r="D539" t="inlineStr">
        <is>
          <t>DALARNAS LÄN</t>
        </is>
      </c>
      <c r="E539" t="inlineStr">
        <is>
          <t>ÄLVDALEN</t>
        </is>
      </c>
      <c r="G539" t="n">
        <v>10.2</v>
      </c>
      <c r="H539" t="n">
        <v>0</v>
      </c>
      <c r="I539" t="n">
        <v>0</v>
      </c>
      <c r="J539" t="n">
        <v>0</v>
      </c>
      <c r="K539" t="n">
        <v>0</v>
      </c>
      <c r="L539" t="n">
        <v>0</v>
      </c>
      <c r="M539" t="n">
        <v>0</v>
      </c>
      <c r="N539" t="n">
        <v>0</v>
      </c>
      <c r="O539" t="n">
        <v>0</v>
      </c>
      <c r="P539" t="n">
        <v>0</v>
      </c>
      <c r="Q539" t="n">
        <v>0</v>
      </c>
      <c r="R539" s="2" t="inlineStr"/>
    </row>
    <row r="540" ht="15" customHeight="1">
      <c r="A540" t="inlineStr">
        <is>
          <t>A 32622-2023</t>
        </is>
      </c>
      <c r="B540" s="1" t="n">
        <v>45121</v>
      </c>
      <c r="C540" s="1" t="n">
        <v>45908</v>
      </c>
      <c r="D540" t="inlineStr">
        <is>
          <t>DALARNAS LÄN</t>
        </is>
      </c>
      <c r="E540" t="inlineStr">
        <is>
          <t>ÄLVDALEN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7232-2025</t>
        </is>
      </c>
      <c r="B541" s="1" t="n">
        <v>45702.51415509259</v>
      </c>
      <c r="C541" s="1" t="n">
        <v>45908</v>
      </c>
      <c r="D541" t="inlineStr">
        <is>
          <t>DALARNAS LÄN</t>
        </is>
      </c>
      <c r="E541" t="inlineStr">
        <is>
          <t>ÄLVDALEN</t>
        </is>
      </c>
      <c r="F541" t="inlineStr">
        <is>
          <t>Allmännings- och besparingsskogar</t>
        </is>
      </c>
      <c r="G541" t="n">
        <v>1.4</v>
      </c>
      <c r="H541" t="n">
        <v>0</v>
      </c>
      <c r="I541" t="n">
        <v>0</v>
      </c>
      <c r="J541" t="n">
        <v>0</v>
      </c>
      <c r="K541" t="n">
        <v>0</v>
      </c>
      <c r="L541" t="n">
        <v>0</v>
      </c>
      <c r="M541" t="n">
        <v>0</v>
      </c>
      <c r="N541" t="n">
        <v>0</v>
      </c>
      <c r="O541" t="n">
        <v>0</v>
      </c>
      <c r="P541" t="n">
        <v>0</v>
      </c>
      <c r="Q541" t="n">
        <v>0</v>
      </c>
      <c r="R541" s="2" t="inlineStr"/>
    </row>
    <row r="542" ht="15" customHeight="1">
      <c r="A542" t="inlineStr">
        <is>
          <t>A 59483-2024</t>
        </is>
      </c>
      <c r="B542" s="1" t="n">
        <v>45638.52847222222</v>
      </c>
      <c r="C542" s="1" t="n">
        <v>45908</v>
      </c>
      <c r="D542" t="inlineStr">
        <is>
          <t>DALARNAS LÄN</t>
        </is>
      </c>
      <c r="E542" t="inlineStr">
        <is>
          <t>ÄLVDALEN</t>
        </is>
      </c>
      <c r="F542" t="inlineStr">
        <is>
          <t>Allmännings- och besparingsskogar</t>
        </is>
      </c>
      <c r="G542" t="n">
        <v>6.9</v>
      </c>
      <c r="H542" t="n">
        <v>0</v>
      </c>
      <c r="I542" t="n">
        <v>0</v>
      </c>
      <c r="J542" t="n">
        <v>0</v>
      </c>
      <c r="K542" t="n">
        <v>0</v>
      </c>
      <c r="L542" t="n">
        <v>0</v>
      </c>
      <c r="M542" t="n">
        <v>0</v>
      </c>
      <c r="N542" t="n">
        <v>0</v>
      </c>
      <c r="O542" t="n">
        <v>0</v>
      </c>
      <c r="P542" t="n">
        <v>0</v>
      </c>
      <c r="Q542" t="n">
        <v>0</v>
      </c>
      <c r="R542" s="2" t="inlineStr"/>
    </row>
    <row r="543" ht="15" customHeight="1">
      <c r="A543" t="inlineStr">
        <is>
          <t>A 26080-2021</t>
        </is>
      </c>
      <c r="B543" s="1" t="n">
        <v>44344</v>
      </c>
      <c r="C543" s="1" t="n">
        <v>45908</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45908</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36462-2024</t>
        </is>
      </c>
      <c r="B545" s="1" t="n">
        <v>45537.35211805555</v>
      </c>
      <c r="C545" s="1" t="n">
        <v>45908</v>
      </c>
      <c r="D545" t="inlineStr">
        <is>
          <t>DALARNAS LÄN</t>
        </is>
      </c>
      <c r="E545" t="inlineStr">
        <is>
          <t>ÄLVDALEN</t>
        </is>
      </c>
      <c r="G545" t="n">
        <v>5</v>
      </c>
      <c r="H545" t="n">
        <v>0</v>
      </c>
      <c r="I545" t="n">
        <v>0</v>
      </c>
      <c r="J545" t="n">
        <v>0</v>
      </c>
      <c r="K545" t="n">
        <v>0</v>
      </c>
      <c r="L545" t="n">
        <v>0</v>
      </c>
      <c r="M545" t="n">
        <v>0</v>
      </c>
      <c r="N545" t="n">
        <v>0</v>
      </c>
      <c r="O545" t="n">
        <v>0</v>
      </c>
      <c r="P545" t="n">
        <v>0</v>
      </c>
      <c r="Q545" t="n">
        <v>0</v>
      </c>
      <c r="R545" s="2" t="inlineStr"/>
    </row>
    <row r="546" ht="15" customHeight="1">
      <c r="A546" t="inlineStr">
        <is>
          <t>A 8538-2025</t>
        </is>
      </c>
      <c r="B546" s="1" t="n">
        <v>45709.59030092593</v>
      </c>
      <c r="C546" s="1" t="n">
        <v>45908</v>
      </c>
      <c r="D546" t="inlineStr">
        <is>
          <t>DALARNAS LÄN</t>
        </is>
      </c>
      <c r="E546" t="inlineStr">
        <is>
          <t>ÄLVDALEN</t>
        </is>
      </c>
      <c r="F546" t="inlineStr">
        <is>
          <t>Allmännings- och besparingsskogar</t>
        </is>
      </c>
      <c r="G546" t="n">
        <v>0.6</v>
      </c>
      <c r="H546" t="n">
        <v>0</v>
      </c>
      <c r="I546" t="n">
        <v>0</v>
      </c>
      <c r="J546" t="n">
        <v>0</v>
      </c>
      <c r="K546" t="n">
        <v>0</v>
      </c>
      <c r="L546" t="n">
        <v>0</v>
      </c>
      <c r="M546" t="n">
        <v>0</v>
      </c>
      <c r="N546" t="n">
        <v>0</v>
      </c>
      <c r="O546" t="n">
        <v>0</v>
      </c>
      <c r="P546" t="n">
        <v>0</v>
      </c>
      <c r="Q546" t="n">
        <v>0</v>
      </c>
      <c r="R546" s="2" t="inlineStr"/>
    </row>
    <row r="547" ht="15" customHeight="1">
      <c r="A547" t="inlineStr">
        <is>
          <t>A 7913-2025</t>
        </is>
      </c>
      <c r="B547" s="1" t="n">
        <v>45707.34497685185</v>
      </c>
      <c r="C547" s="1" t="n">
        <v>45908</v>
      </c>
      <c r="D547" t="inlineStr">
        <is>
          <t>DALARNAS LÄN</t>
        </is>
      </c>
      <c r="E547" t="inlineStr">
        <is>
          <t>ÄLVDALEN</t>
        </is>
      </c>
      <c r="F547" t="inlineStr">
        <is>
          <t>Allmännings- och besparingsskogar</t>
        </is>
      </c>
      <c r="G547" t="n">
        <v>7.5</v>
      </c>
      <c r="H547" t="n">
        <v>0</v>
      </c>
      <c r="I547" t="n">
        <v>0</v>
      </c>
      <c r="J547" t="n">
        <v>0</v>
      </c>
      <c r="K547" t="n">
        <v>0</v>
      </c>
      <c r="L547" t="n">
        <v>0</v>
      </c>
      <c r="M547" t="n">
        <v>0</v>
      </c>
      <c r="N547" t="n">
        <v>0</v>
      </c>
      <c r="O547" t="n">
        <v>0</v>
      </c>
      <c r="P547" t="n">
        <v>0</v>
      </c>
      <c r="Q547" t="n">
        <v>0</v>
      </c>
      <c r="R547" s="2" t="inlineStr"/>
    </row>
    <row r="548" ht="15" customHeight="1">
      <c r="A548" t="inlineStr">
        <is>
          <t>A 32740-2024</t>
        </is>
      </c>
      <c r="B548" s="1" t="n">
        <v>45516.43834490741</v>
      </c>
      <c r="C548" s="1" t="n">
        <v>45908</v>
      </c>
      <c r="D548" t="inlineStr">
        <is>
          <t>DALARNAS LÄN</t>
        </is>
      </c>
      <c r="E548" t="inlineStr">
        <is>
          <t>ÄLVDALEN</t>
        </is>
      </c>
      <c r="G548" t="n">
        <v>2.1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45908</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8784-2024</t>
        </is>
      </c>
      <c r="B550" s="1" t="n">
        <v>45356.58180555556</v>
      </c>
      <c r="C550" s="1" t="n">
        <v>45908</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15952-2021</t>
        </is>
      </c>
      <c r="B551" s="1" t="n">
        <v>44286</v>
      </c>
      <c r="C551" s="1" t="n">
        <v>45908</v>
      </c>
      <c r="D551" t="inlineStr">
        <is>
          <t>DALARNAS LÄN</t>
        </is>
      </c>
      <c r="E551" t="inlineStr">
        <is>
          <t>ÄLVDALEN</t>
        </is>
      </c>
      <c r="F551" t="inlineStr">
        <is>
          <t>Övriga statliga verk och myndigheter</t>
        </is>
      </c>
      <c r="G551" t="n">
        <v>6.6</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45908</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49723-2023</t>
        </is>
      </c>
      <c r="B553" s="1" t="n">
        <v>45212</v>
      </c>
      <c r="C553" s="1" t="n">
        <v>45908</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9045-2025</t>
        </is>
      </c>
      <c r="B554" s="1" t="n">
        <v>45713.62837962963</v>
      </c>
      <c r="C554" s="1" t="n">
        <v>45908</v>
      </c>
      <c r="D554" t="inlineStr">
        <is>
          <t>DALARNAS LÄN</t>
        </is>
      </c>
      <c r="E554" t="inlineStr">
        <is>
          <t>ÄLVDALEN</t>
        </is>
      </c>
      <c r="F554" t="inlineStr">
        <is>
          <t>Allmännings- och besparingsskogar</t>
        </is>
      </c>
      <c r="G554" t="n">
        <v>39.1</v>
      </c>
      <c r="H554" t="n">
        <v>0</v>
      </c>
      <c r="I554" t="n">
        <v>0</v>
      </c>
      <c r="J554" t="n">
        <v>0</v>
      </c>
      <c r="K554" t="n">
        <v>0</v>
      </c>
      <c r="L554" t="n">
        <v>0</v>
      </c>
      <c r="M554" t="n">
        <v>0</v>
      </c>
      <c r="N554" t="n">
        <v>0</v>
      </c>
      <c r="O554" t="n">
        <v>0</v>
      </c>
      <c r="P554" t="n">
        <v>0</v>
      </c>
      <c r="Q554" t="n">
        <v>0</v>
      </c>
      <c r="R554" s="2" t="inlineStr"/>
    </row>
    <row r="555" ht="15" customHeight="1">
      <c r="A555" t="inlineStr">
        <is>
          <t>A 48954-2023</t>
        </is>
      </c>
      <c r="B555" s="1" t="n">
        <v>45209.58488425926</v>
      </c>
      <c r="C555" s="1" t="n">
        <v>45908</v>
      </c>
      <c r="D555" t="inlineStr">
        <is>
          <t>DALARNAS LÄN</t>
        </is>
      </c>
      <c r="E555" t="inlineStr">
        <is>
          <t>ÄLVDALEN</t>
        </is>
      </c>
      <c r="G555" t="n">
        <v>7</v>
      </c>
      <c r="H555" t="n">
        <v>0</v>
      </c>
      <c r="I555" t="n">
        <v>0</v>
      </c>
      <c r="J555" t="n">
        <v>0</v>
      </c>
      <c r="K555" t="n">
        <v>0</v>
      </c>
      <c r="L555" t="n">
        <v>0</v>
      </c>
      <c r="M555" t="n">
        <v>0</v>
      </c>
      <c r="N555" t="n">
        <v>0</v>
      </c>
      <c r="O555" t="n">
        <v>0</v>
      </c>
      <c r="P555" t="n">
        <v>0</v>
      </c>
      <c r="Q555" t="n">
        <v>0</v>
      </c>
      <c r="R555" s="2" t="inlineStr"/>
    </row>
    <row r="556" ht="15" customHeight="1">
      <c r="A556" t="inlineStr">
        <is>
          <t>A 30143-2024</t>
        </is>
      </c>
      <c r="B556" s="1" t="n">
        <v>45488</v>
      </c>
      <c r="C556" s="1" t="n">
        <v>45908</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30146-2024</t>
        </is>
      </c>
      <c r="B557" s="1" t="n">
        <v>45488</v>
      </c>
      <c r="C557" s="1" t="n">
        <v>45908</v>
      </c>
      <c r="D557" t="inlineStr">
        <is>
          <t>DALARNAS LÄN</t>
        </is>
      </c>
      <c r="E557" t="inlineStr">
        <is>
          <t>ÄLVDALEN</t>
        </is>
      </c>
      <c r="G557" t="n">
        <v>1.1</v>
      </c>
      <c r="H557" t="n">
        <v>0</v>
      </c>
      <c r="I557" t="n">
        <v>0</v>
      </c>
      <c r="J557" t="n">
        <v>0</v>
      </c>
      <c r="K557" t="n">
        <v>0</v>
      </c>
      <c r="L557" t="n">
        <v>0</v>
      </c>
      <c r="M557" t="n">
        <v>0</v>
      </c>
      <c r="N557" t="n">
        <v>0</v>
      </c>
      <c r="O557" t="n">
        <v>0</v>
      </c>
      <c r="P557" t="n">
        <v>0</v>
      </c>
      <c r="Q557" t="n">
        <v>0</v>
      </c>
      <c r="R557" s="2" t="inlineStr"/>
    </row>
    <row r="558" ht="15" customHeight="1">
      <c r="A558" t="inlineStr">
        <is>
          <t>A 42332-2023</t>
        </is>
      </c>
      <c r="B558" s="1" t="n">
        <v>45175</v>
      </c>
      <c r="C558" s="1" t="n">
        <v>45908</v>
      </c>
      <c r="D558" t="inlineStr">
        <is>
          <t>DALARNAS LÄN</t>
        </is>
      </c>
      <c r="E558" t="inlineStr">
        <is>
          <t>ÄLVDALEN</t>
        </is>
      </c>
      <c r="G558" t="n">
        <v>2.7</v>
      </c>
      <c r="H558" t="n">
        <v>0</v>
      </c>
      <c r="I558" t="n">
        <v>0</v>
      </c>
      <c r="J558" t="n">
        <v>0</v>
      </c>
      <c r="K558" t="n">
        <v>0</v>
      </c>
      <c r="L558" t="n">
        <v>0</v>
      </c>
      <c r="M558" t="n">
        <v>0</v>
      </c>
      <c r="N558" t="n">
        <v>0</v>
      </c>
      <c r="O558" t="n">
        <v>0</v>
      </c>
      <c r="P558" t="n">
        <v>0</v>
      </c>
      <c r="Q558" t="n">
        <v>0</v>
      </c>
      <c r="R558" s="2" t="inlineStr"/>
    </row>
    <row r="559" ht="15" customHeight="1">
      <c r="A559" t="inlineStr">
        <is>
          <t>A 36640-2023</t>
        </is>
      </c>
      <c r="B559" s="1" t="n">
        <v>45153.54498842593</v>
      </c>
      <c r="C559" s="1" t="n">
        <v>45908</v>
      </c>
      <c r="D559" t="inlineStr">
        <is>
          <t>DALARNAS LÄN</t>
        </is>
      </c>
      <c r="E559" t="inlineStr">
        <is>
          <t>ÄLVDALEN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34835-2023</t>
        </is>
      </c>
      <c r="B560" s="1" t="n">
        <v>45141</v>
      </c>
      <c r="C560" s="1" t="n">
        <v>45908</v>
      </c>
      <c r="D560" t="inlineStr">
        <is>
          <t>DALARNAS LÄN</t>
        </is>
      </c>
      <c r="E560" t="inlineStr">
        <is>
          <t>ÄLVDALEN</t>
        </is>
      </c>
      <c r="G560" t="n">
        <v>3.4</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44844.48002314815</v>
      </c>
      <c r="C561" s="1" t="n">
        <v>45908</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19182-2023</t>
        </is>
      </c>
      <c r="B562" s="1" t="n">
        <v>45048</v>
      </c>
      <c r="C562" s="1" t="n">
        <v>45908</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8192-2025</t>
        </is>
      </c>
      <c r="B563" s="1" t="n">
        <v>45708.41151620371</v>
      </c>
      <c r="C563" s="1" t="n">
        <v>45908</v>
      </c>
      <c r="D563" t="inlineStr">
        <is>
          <t>DALARNAS LÄN</t>
        </is>
      </c>
      <c r="E563" t="inlineStr">
        <is>
          <t>ÄLVDALEN</t>
        </is>
      </c>
      <c r="F563" t="inlineStr">
        <is>
          <t>Allmännings- och besparingsskogar</t>
        </is>
      </c>
      <c r="G563" t="n">
        <v>15.1</v>
      </c>
      <c r="H563" t="n">
        <v>0</v>
      </c>
      <c r="I563" t="n">
        <v>0</v>
      </c>
      <c r="J563" t="n">
        <v>0</v>
      </c>
      <c r="K563" t="n">
        <v>0</v>
      </c>
      <c r="L563" t="n">
        <v>0</v>
      </c>
      <c r="M563" t="n">
        <v>0</v>
      </c>
      <c r="N563" t="n">
        <v>0</v>
      </c>
      <c r="O563" t="n">
        <v>0</v>
      </c>
      <c r="P563" t="n">
        <v>0</v>
      </c>
      <c r="Q563" t="n">
        <v>0</v>
      </c>
      <c r="R563" s="2" t="inlineStr"/>
    </row>
    <row r="564" ht="15" customHeight="1">
      <c r="A564" t="inlineStr">
        <is>
          <t>A 13000-2022</t>
        </is>
      </c>
      <c r="B564" s="1" t="n">
        <v>44643.44597222222</v>
      </c>
      <c r="C564" s="1" t="n">
        <v>45908</v>
      </c>
      <c r="D564" t="inlineStr">
        <is>
          <t>DALARNAS LÄN</t>
        </is>
      </c>
      <c r="E564" t="inlineStr">
        <is>
          <t>ÄLVDALEN</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31857-2023</t>
        </is>
      </c>
      <c r="B565" s="1" t="n">
        <v>45106</v>
      </c>
      <c r="C565" s="1" t="n">
        <v>45908</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43900-2024</t>
        </is>
      </c>
      <c r="B566" s="1" t="n">
        <v>45572.41975694444</v>
      </c>
      <c r="C566" s="1" t="n">
        <v>45908</v>
      </c>
      <c r="D566" t="inlineStr">
        <is>
          <t>DALARNAS LÄN</t>
        </is>
      </c>
      <c r="E566" t="inlineStr">
        <is>
          <t>ÄLVDALEN</t>
        </is>
      </c>
      <c r="F566" t="inlineStr">
        <is>
          <t>Bergvik skog väst AB</t>
        </is>
      </c>
      <c r="G566" t="n">
        <v>7.3</v>
      </c>
      <c r="H566" t="n">
        <v>0</v>
      </c>
      <c r="I566" t="n">
        <v>0</v>
      </c>
      <c r="J566" t="n">
        <v>0</v>
      </c>
      <c r="K566" t="n">
        <v>0</v>
      </c>
      <c r="L566" t="n">
        <v>0</v>
      </c>
      <c r="M566" t="n">
        <v>0</v>
      </c>
      <c r="N566" t="n">
        <v>0</v>
      </c>
      <c r="O566" t="n">
        <v>0</v>
      </c>
      <c r="P566" t="n">
        <v>0</v>
      </c>
      <c r="Q566" t="n">
        <v>0</v>
      </c>
      <c r="R566" s="2" t="inlineStr"/>
    </row>
    <row r="567" ht="15" customHeight="1">
      <c r="A567" t="inlineStr">
        <is>
          <t>A 431-2023</t>
        </is>
      </c>
      <c r="B567" s="1" t="n">
        <v>44923</v>
      </c>
      <c r="C567" s="1" t="n">
        <v>45908</v>
      </c>
      <c r="D567" t="inlineStr">
        <is>
          <t>DALARNAS LÄN</t>
        </is>
      </c>
      <c r="E567" t="inlineStr">
        <is>
          <t>ÄLVDALEN</t>
        </is>
      </c>
      <c r="G567" t="n">
        <v>2.9</v>
      </c>
      <c r="H567" t="n">
        <v>0</v>
      </c>
      <c r="I567" t="n">
        <v>0</v>
      </c>
      <c r="J567" t="n">
        <v>0</v>
      </c>
      <c r="K567" t="n">
        <v>0</v>
      </c>
      <c r="L567" t="n">
        <v>0</v>
      </c>
      <c r="M567" t="n">
        <v>0</v>
      </c>
      <c r="N567" t="n">
        <v>0</v>
      </c>
      <c r="O567" t="n">
        <v>0</v>
      </c>
      <c r="P567" t="n">
        <v>0</v>
      </c>
      <c r="Q567" t="n">
        <v>0</v>
      </c>
      <c r="R567" s="2" t="inlineStr"/>
    </row>
    <row r="568" ht="15" customHeight="1">
      <c r="A568" t="inlineStr">
        <is>
          <t>A 58848-2022</t>
        </is>
      </c>
      <c r="B568" s="1" t="n">
        <v>44896</v>
      </c>
      <c r="C568" s="1" t="n">
        <v>45908</v>
      </c>
      <c r="D568" t="inlineStr">
        <is>
          <t>DALARNAS LÄN</t>
        </is>
      </c>
      <c r="E568" t="inlineStr">
        <is>
          <t>ÄLVDALEN</t>
        </is>
      </c>
      <c r="F568" t="inlineStr">
        <is>
          <t>Övriga statliga verk och myndigheter</t>
        </is>
      </c>
      <c r="G568" t="n">
        <v>18.1</v>
      </c>
      <c r="H568" t="n">
        <v>0</v>
      </c>
      <c r="I568" t="n">
        <v>0</v>
      </c>
      <c r="J568" t="n">
        <v>0</v>
      </c>
      <c r="K568" t="n">
        <v>0</v>
      </c>
      <c r="L568" t="n">
        <v>0</v>
      </c>
      <c r="M568" t="n">
        <v>0</v>
      </c>
      <c r="N568" t="n">
        <v>0</v>
      </c>
      <c r="O568" t="n">
        <v>0</v>
      </c>
      <c r="P568" t="n">
        <v>0</v>
      </c>
      <c r="Q568" t="n">
        <v>0</v>
      </c>
      <c r="R568" s="2" t="inlineStr"/>
    </row>
    <row r="569" ht="15" customHeight="1">
      <c r="A569" t="inlineStr">
        <is>
          <t>A 23570-2023</t>
        </is>
      </c>
      <c r="B569" s="1" t="n">
        <v>45077</v>
      </c>
      <c r="C569" s="1" t="n">
        <v>45908</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45908</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57539-2024</t>
        </is>
      </c>
      <c r="B571" s="1" t="n">
        <v>45630.43707175926</v>
      </c>
      <c r="C571" s="1" t="n">
        <v>45908</v>
      </c>
      <c r="D571" t="inlineStr">
        <is>
          <t>DALARNAS LÄN</t>
        </is>
      </c>
      <c r="E571" t="inlineStr">
        <is>
          <t>ÄLVDALEN</t>
        </is>
      </c>
      <c r="G571" t="n">
        <v>6.7</v>
      </c>
      <c r="H571" t="n">
        <v>0</v>
      </c>
      <c r="I571" t="n">
        <v>0</v>
      </c>
      <c r="J571" t="n">
        <v>0</v>
      </c>
      <c r="K571" t="n">
        <v>0</v>
      </c>
      <c r="L571" t="n">
        <v>0</v>
      </c>
      <c r="M571" t="n">
        <v>0</v>
      </c>
      <c r="N571" t="n">
        <v>0</v>
      </c>
      <c r="O571" t="n">
        <v>0</v>
      </c>
      <c r="P571" t="n">
        <v>0</v>
      </c>
      <c r="Q571" t="n">
        <v>0</v>
      </c>
      <c r="R571" s="2" t="inlineStr"/>
    </row>
    <row r="572" ht="15" customHeight="1">
      <c r="A572" t="inlineStr">
        <is>
          <t>A 8492-2025</t>
        </is>
      </c>
      <c r="B572" s="1" t="n">
        <v>45709.50980324074</v>
      </c>
      <c r="C572" s="1" t="n">
        <v>45908</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8496-2025</t>
        </is>
      </c>
      <c r="B573" s="1" t="n">
        <v>45709.51084490741</v>
      </c>
      <c r="C573" s="1" t="n">
        <v>45908</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59668-2024</t>
        </is>
      </c>
      <c r="B574" s="1" t="n">
        <v>45639.37899305556</v>
      </c>
      <c r="C574" s="1" t="n">
        <v>45908</v>
      </c>
      <c r="D574" t="inlineStr">
        <is>
          <t>DALARNAS LÄN</t>
        </is>
      </c>
      <c r="E574" t="inlineStr">
        <is>
          <t>ÄLVDALEN</t>
        </is>
      </c>
      <c r="G574" t="n">
        <v>2.5</v>
      </c>
      <c r="H574" t="n">
        <v>0</v>
      </c>
      <c r="I574" t="n">
        <v>0</v>
      </c>
      <c r="J574" t="n">
        <v>0</v>
      </c>
      <c r="K574" t="n">
        <v>0</v>
      </c>
      <c r="L574" t="n">
        <v>0</v>
      </c>
      <c r="M574" t="n">
        <v>0</v>
      </c>
      <c r="N574" t="n">
        <v>0</v>
      </c>
      <c r="O574" t="n">
        <v>0</v>
      </c>
      <c r="P574" t="n">
        <v>0</v>
      </c>
      <c r="Q574" t="n">
        <v>0</v>
      </c>
      <c r="R574" s="2" t="inlineStr"/>
    </row>
    <row r="575" ht="15" customHeight="1">
      <c r="A575" t="inlineStr">
        <is>
          <t>A 59671-2024</t>
        </is>
      </c>
      <c r="B575" s="1" t="n">
        <v>45639.3862962963</v>
      </c>
      <c r="C575" s="1" t="n">
        <v>45908</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17346-2022</t>
        </is>
      </c>
      <c r="B576" s="1" t="n">
        <v>44678.56600694444</v>
      </c>
      <c r="C576" s="1" t="n">
        <v>45908</v>
      </c>
      <c r="D576" t="inlineStr">
        <is>
          <t>DALARNAS LÄN</t>
        </is>
      </c>
      <c r="E576" t="inlineStr">
        <is>
          <t>ÄLVDALEN</t>
        </is>
      </c>
      <c r="G576" t="n">
        <v>4.4</v>
      </c>
      <c r="H576" t="n">
        <v>0</v>
      </c>
      <c r="I576" t="n">
        <v>0</v>
      </c>
      <c r="J576" t="n">
        <v>0</v>
      </c>
      <c r="K576" t="n">
        <v>0</v>
      </c>
      <c r="L576" t="n">
        <v>0</v>
      </c>
      <c r="M576" t="n">
        <v>0</v>
      </c>
      <c r="N576" t="n">
        <v>0</v>
      </c>
      <c r="O576" t="n">
        <v>0</v>
      </c>
      <c r="P576" t="n">
        <v>0</v>
      </c>
      <c r="Q576" t="n">
        <v>0</v>
      </c>
      <c r="R576" s="2" t="inlineStr"/>
    </row>
    <row r="577" ht="15" customHeight="1">
      <c r="A577" t="inlineStr">
        <is>
          <t>A 19761-2021</t>
        </is>
      </c>
      <c r="B577" s="1" t="n">
        <v>44309</v>
      </c>
      <c r="C577" s="1" t="n">
        <v>45908</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23369-2023</t>
        </is>
      </c>
      <c r="B578" s="1" t="n">
        <v>45076</v>
      </c>
      <c r="C578" s="1" t="n">
        <v>45908</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c r="A579" t="inlineStr">
        <is>
          <t>A 29819-2024</t>
        </is>
      </c>
      <c r="B579" s="1" t="n">
        <v>45485.55760416666</v>
      </c>
      <c r="C579" s="1" t="n">
        <v>45908</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2025-09-08T08:58:33Z</dcterms:created>
  <dcterms:modified xmlns:dcterms="http://purl.org/dc/terms/" xmlns:xsi="http://www.w3.org/2001/XMLSchema-instance" xsi:type="dcterms:W3CDTF">2025-09-08T08:58:34Z</dcterms:modified>
</cp:coreProperties>
</file>