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45576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45576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45576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45576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45576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45576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45576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45576</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45576</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45576</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45576</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45576</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45576</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45576</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45576</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45576</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45576</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45576</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45576</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45576</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45576</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45576</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45576</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45576</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45576</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45576</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45576</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45576</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45576</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45576</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45576</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45576</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45576</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45576</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45576</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45576</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45576</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45576</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45576</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45576</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45576</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45576</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45576</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45576</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45576</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45576</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45576</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45576</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45576</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45576</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45576</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45576</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45576</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45576</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45576</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45576</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45576</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45576</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45576</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45576</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45576</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45576</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45576</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45576</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45576</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45576</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45576</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45576</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45576</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45576</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45576</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45576</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59190-2023</t>
        </is>
      </c>
      <c r="B74" s="1" t="n">
        <v>45253</v>
      </c>
      <c r="C74" s="1" t="n">
        <v>45576</v>
      </c>
      <c r="D74" t="inlineStr">
        <is>
          <t>DALARNAS LÄN</t>
        </is>
      </c>
      <c r="E74" t="inlineStr">
        <is>
          <t>ÄLVDALEN</t>
        </is>
      </c>
      <c r="F74" t="inlineStr">
        <is>
          <t>Allmännings- och besparingsskogar</t>
        </is>
      </c>
      <c r="G74" t="n">
        <v>27.8</v>
      </c>
      <c r="H74" t="n">
        <v>0</v>
      </c>
      <c r="I74" t="n">
        <v>0</v>
      </c>
      <c r="J74" t="n">
        <v>4</v>
      </c>
      <c r="K74" t="n">
        <v>0</v>
      </c>
      <c r="L74" t="n">
        <v>0</v>
      </c>
      <c r="M74" t="n">
        <v>0</v>
      </c>
      <c r="N74" t="n">
        <v>0</v>
      </c>
      <c r="O74" t="n">
        <v>4</v>
      </c>
      <c r="P74" t="n">
        <v>0</v>
      </c>
      <c r="Q74" t="n">
        <v>4</v>
      </c>
      <c r="R74" s="2" t="inlineStr">
        <is>
          <t>Garnlav
Liten svartspik
Violettgrå tagellav
Vitgrynig nållav</t>
        </is>
      </c>
      <c r="S74">
        <f>HYPERLINK("https://klasma.github.io/Logging_2039/artfynd/A 59190-2023 artfynd.xlsx", "A 59190-2023")</f>
        <v/>
      </c>
      <c r="T74">
        <f>HYPERLINK("https://klasma.github.io/Logging_2039/kartor/A 59190-2023 karta.png", "A 59190-2023")</f>
        <v/>
      </c>
      <c r="V74">
        <f>HYPERLINK("https://klasma.github.io/Logging_2039/klagomål/A 59190-2023 FSC-klagomål.docx", "A 59190-2023")</f>
        <v/>
      </c>
      <c r="W74">
        <f>HYPERLINK("https://klasma.github.io/Logging_2039/klagomålsmail/A 59190-2023 FSC-klagomål mail.docx", "A 59190-2023")</f>
        <v/>
      </c>
      <c r="X74">
        <f>HYPERLINK("https://klasma.github.io/Logging_2039/tillsyn/A 59190-2023 tillsynsbegäran.docx", "A 59190-2023")</f>
        <v/>
      </c>
      <c r="Y74">
        <f>HYPERLINK("https://klasma.github.io/Logging_2039/tillsynsmail/A 59190-2023 tillsynsbegäran mail.docx", "A 59190-2023")</f>
        <v/>
      </c>
    </row>
    <row r="75" ht="15" customHeight="1">
      <c r="A75" t="inlineStr">
        <is>
          <t>A 9786-2024</t>
        </is>
      </c>
      <c r="B75" s="1" t="n">
        <v>45362</v>
      </c>
      <c r="C75" s="1" t="n">
        <v>45576</v>
      </c>
      <c r="D75" t="inlineStr">
        <is>
          <t>DALARNAS LÄN</t>
        </is>
      </c>
      <c r="E75" t="inlineStr">
        <is>
          <t>ÄLVDALEN</t>
        </is>
      </c>
      <c r="F75" t="inlineStr">
        <is>
          <t>Övriga statliga verk och myndigheter</t>
        </is>
      </c>
      <c r="G75" t="n">
        <v>12.5</v>
      </c>
      <c r="H75" t="n">
        <v>0</v>
      </c>
      <c r="I75" t="n">
        <v>1</v>
      </c>
      <c r="J75" t="n">
        <v>3</v>
      </c>
      <c r="K75" t="n">
        <v>0</v>
      </c>
      <c r="L75" t="n">
        <v>0</v>
      </c>
      <c r="M75" t="n">
        <v>0</v>
      </c>
      <c r="N75" t="n">
        <v>0</v>
      </c>
      <c r="O75" t="n">
        <v>3</v>
      </c>
      <c r="P75" t="n">
        <v>0</v>
      </c>
      <c r="Q75" t="n">
        <v>4</v>
      </c>
      <c r="R75" s="2" t="inlineStr">
        <is>
          <t>Mörk kolflarnlav
Nordtagging
Vedflamlav
Dropptaggsvamp</t>
        </is>
      </c>
      <c r="S75">
        <f>HYPERLINK("https://klasma.github.io/Logging_2039/artfynd/A 9786-2024 artfynd.xlsx", "A 9786-2024")</f>
        <v/>
      </c>
      <c r="T75">
        <f>HYPERLINK("https://klasma.github.io/Logging_2039/kartor/A 9786-2024 karta.png", "A 9786-2024")</f>
        <v/>
      </c>
      <c r="V75">
        <f>HYPERLINK("https://klasma.github.io/Logging_2039/klagomål/A 9786-2024 FSC-klagomål.docx", "A 9786-2024")</f>
        <v/>
      </c>
      <c r="W75">
        <f>HYPERLINK("https://klasma.github.io/Logging_2039/klagomålsmail/A 9786-2024 FSC-klagomål mail.docx", "A 9786-2024")</f>
        <v/>
      </c>
      <c r="X75">
        <f>HYPERLINK("https://klasma.github.io/Logging_2039/tillsyn/A 9786-2024 tillsynsbegäran.docx", "A 9786-2024")</f>
        <v/>
      </c>
      <c r="Y75">
        <f>HYPERLINK("https://klasma.github.io/Logging_2039/tillsynsmail/A 9786-2024 tillsynsbegäran mail.docx", "A 9786-2024")</f>
        <v/>
      </c>
    </row>
    <row r="76" ht="15" customHeight="1">
      <c r="A76" t="inlineStr">
        <is>
          <t>A 17824-2024</t>
        </is>
      </c>
      <c r="B76" s="1" t="n">
        <v>45418</v>
      </c>
      <c r="C76" s="1" t="n">
        <v>45576</v>
      </c>
      <c r="D76" t="inlineStr">
        <is>
          <t>DALARNAS LÄN</t>
        </is>
      </c>
      <c r="E76" t="inlineStr">
        <is>
          <t>ÄLVDALEN</t>
        </is>
      </c>
      <c r="F76" t="inlineStr">
        <is>
          <t>Övriga statliga verk och myndigheter</t>
        </is>
      </c>
      <c r="G76" t="n">
        <v>14</v>
      </c>
      <c r="H76" t="n">
        <v>0</v>
      </c>
      <c r="I76" t="n">
        <v>0</v>
      </c>
      <c r="J76" t="n">
        <v>4</v>
      </c>
      <c r="K76" t="n">
        <v>0</v>
      </c>
      <c r="L76" t="n">
        <v>0</v>
      </c>
      <c r="M76" t="n">
        <v>0</v>
      </c>
      <c r="N76" t="n">
        <v>0</v>
      </c>
      <c r="O76" t="n">
        <v>4</v>
      </c>
      <c r="P76" t="n">
        <v>0</v>
      </c>
      <c r="Q76" t="n">
        <v>4</v>
      </c>
      <c r="R76" s="2" t="inlineStr">
        <is>
          <t>Kolflarnlav
Mörk kolflarnlav
Reliktbock
Vedskivlav</t>
        </is>
      </c>
      <c r="S76">
        <f>HYPERLINK("https://klasma.github.io/Logging_2039/artfynd/A 17824-2024 artfynd.xlsx", "A 17824-2024")</f>
        <v/>
      </c>
      <c r="T76">
        <f>HYPERLINK("https://klasma.github.io/Logging_2039/kartor/A 17824-2024 karta.png", "A 17824-2024")</f>
        <v/>
      </c>
      <c r="V76">
        <f>HYPERLINK("https://klasma.github.io/Logging_2039/klagomål/A 17824-2024 FSC-klagomål.docx", "A 17824-2024")</f>
        <v/>
      </c>
      <c r="W76">
        <f>HYPERLINK("https://klasma.github.io/Logging_2039/klagomålsmail/A 17824-2024 FSC-klagomål mail.docx", "A 17824-2024")</f>
        <v/>
      </c>
      <c r="X76">
        <f>HYPERLINK("https://klasma.github.io/Logging_2039/tillsyn/A 17824-2024 tillsynsbegäran.docx", "A 17824-2024")</f>
        <v/>
      </c>
      <c r="Y76">
        <f>HYPERLINK("https://klasma.github.io/Logging_2039/tillsynsmail/A 17824-2024 tillsynsbegäran mail.docx", "A 17824-2024")</f>
        <v/>
      </c>
    </row>
    <row r="77" ht="15" customHeight="1">
      <c r="A77" t="inlineStr">
        <is>
          <t>A 21114-2024</t>
        </is>
      </c>
      <c r="B77" s="1" t="n">
        <v>45440</v>
      </c>
      <c r="C77" s="1" t="n">
        <v>45576</v>
      </c>
      <c r="D77" t="inlineStr">
        <is>
          <t>DALARNAS LÄN</t>
        </is>
      </c>
      <c r="E77" t="inlineStr">
        <is>
          <t>ÄLVDALEN</t>
        </is>
      </c>
      <c r="F77" t="inlineStr">
        <is>
          <t>Sveaskog</t>
        </is>
      </c>
      <c r="G77" t="n">
        <v>7.6</v>
      </c>
      <c r="H77" t="n">
        <v>1</v>
      </c>
      <c r="I77" t="n">
        <v>0</v>
      </c>
      <c r="J77" t="n">
        <v>4</v>
      </c>
      <c r="K77" t="n">
        <v>0</v>
      </c>
      <c r="L77" t="n">
        <v>0</v>
      </c>
      <c r="M77" t="n">
        <v>0</v>
      </c>
      <c r="N77" t="n">
        <v>0</v>
      </c>
      <c r="O77" t="n">
        <v>4</v>
      </c>
      <c r="P77" t="n">
        <v>0</v>
      </c>
      <c r="Q77" t="n">
        <v>4</v>
      </c>
      <c r="R77" s="2" t="inlineStr">
        <is>
          <t>Blanksvart spiklav
Kolflarnlav
Mörk kolflarnlav
Varglav</t>
        </is>
      </c>
      <c r="S77">
        <f>HYPERLINK("https://klasma.github.io/Logging_2039/artfynd/A 21114-2024 artfynd.xlsx", "A 21114-2024")</f>
        <v/>
      </c>
      <c r="T77">
        <f>HYPERLINK("https://klasma.github.io/Logging_2039/kartor/A 21114-2024 karta.png", "A 21114-2024")</f>
        <v/>
      </c>
      <c r="V77">
        <f>HYPERLINK("https://klasma.github.io/Logging_2039/klagomål/A 21114-2024 FSC-klagomål.docx", "A 21114-2024")</f>
        <v/>
      </c>
      <c r="W77">
        <f>HYPERLINK("https://klasma.github.io/Logging_2039/klagomålsmail/A 21114-2024 FSC-klagomål mail.docx", "A 21114-2024")</f>
        <v/>
      </c>
      <c r="X77">
        <f>HYPERLINK("https://klasma.github.io/Logging_2039/tillsyn/A 21114-2024 tillsynsbegäran.docx", "A 21114-2024")</f>
        <v/>
      </c>
      <c r="Y77">
        <f>HYPERLINK("https://klasma.github.io/Logging_2039/tillsynsmail/A 21114-2024 tillsynsbegäran mail.docx", "A 21114-2024")</f>
        <v/>
      </c>
    </row>
    <row r="78" ht="15" customHeight="1">
      <c r="A78" t="inlineStr">
        <is>
          <t>A 32204-2024</t>
        </is>
      </c>
      <c r="B78" s="1" t="n">
        <v>45511</v>
      </c>
      <c r="C78" s="1" t="n">
        <v>45576</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Blanksvart spiklav
Kolflarnlav
Mörk kolflarnlav
Vedflamlav</t>
        </is>
      </c>
      <c r="S78">
        <f>HYPERLINK("https://klasma.github.io/Logging_2039/artfynd/A 32204-2024 artfynd.xlsx", "A 32204-2024")</f>
        <v/>
      </c>
      <c r="T78">
        <f>HYPERLINK("https://klasma.github.io/Logging_2039/kartor/A 32204-2024 karta.png", "A 32204-2024")</f>
        <v/>
      </c>
      <c r="V78">
        <f>HYPERLINK("https://klasma.github.io/Logging_2039/klagomål/A 32204-2024 FSC-klagomål.docx", "A 32204-2024")</f>
        <v/>
      </c>
      <c r="W78">
        <f>HYPERLINK("https://klasma.github.io/Logging_2039/klagomålsmail/A 32204-2024 FSC-klagomål mail.docx", "A 32204-2024")</f>
        <v/>
      </c>
      <c r="X78">
        <f>HYPERLINK("https://klasma.github.io/Logging_2039/tillsyn/A 32204-2024 tillsynsbegäran.docx", "A 32204-2024")</f>
        <v/>
      </c>
      <c r="Y78">
        <f>HYPERLINK("https://klasma.github.io/Logging_2039/tillsynsmail/A 32204-2024 tillsynsbegäran mail.docx", "A 32204-2024")</f>
        <v/>
      </c>
    </row>
    <row r="79" ht="15" customHeight="1">
      <c r="A79" t="inlineStr">
        <is>
          <t>A 32207-2024</t>
        </is>
      </c>
      <c r="B79" s="1" t="n">
        <v>45511</v>
      </c>
      <c r="C79" s="1" t="n">
        <v>45576</v>
      </c>
      <c r="D79" t="inlineStr">
        <is>
          <t>DALARNAS LÄN</t>
        </is>
      </c>
      <c r="E79" t="inlineStr">
        <is>
          <t>ÄLVDALEN</t>
        </is>
      </c>
      <c r="F79" t="inlineStr">
        <is>
          <t>Sveaskog</t>
        </is>
      </c>
      <c r="G79" t="n">
        <v>2.5</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HYPERLINK("https://klasma.github.io/Logging_2039/artfynd/A 32207-2024 artfynd.xlsx", "A 32207-2024")</f>
        <v/>
      </c>
      <c r="T79">
        <f>HYPERLINK("https://klasma.github.io/Logging_2039/kartor/A 32207-2024 karta.png", "A 32207-2024")</f>
        <v/>
      </c>
      <c r="V79">
        <f>HYPERLINK("https://klasma.github.io/Logging_2039/klagomål/A 32207-2024 FSC-klagomål.docx", "A 32207-2024")</f>
        <v/>
      </c>
      <c r="W79">
        <f>HYPERLINK("https://klasma.github.io/Logging_2039/klagomålsmail/A 32207-2024 FSC-klagomål mail.docx", "A 32207-2024")</f>
        <v/>
      </c>
      <c r="X79">
        <f>HYPERLINK("https://klasma.github.io/Logging_2039/tillsyn/A 32207-2024 tillsynsbegäran.docx", "A 32207-2024")</f>
        <v/>
      </c>
      <c r="Y79">
        <f>HYPERLINK("https://klasma.github.io/Logging_2039/tillsynsmail/A 32207-2024 tillsynsbegäran mail.docx", "A 32207-2024")</f>
        <v/>
      </c>
    </row>
    <row r="80" ht="15" customHeight="1">
      <c r="A80" t="inlineStr">
        <is>
          <t>A 38819-2024</t>
        </is>
      </c>
      <c r="B80" s="1" t="n">
        <v>45547</v>
      </c>
      <c r="C80" s="1" t="n">
        <v>45576</v>
      </c>
      <c r="D80" t="inlineStr">
        <is>
          <t>DALARNAS LÄN</t>
        </is>
      </c>
      <c r="E80" t="inlineStr">
        <is>
          <t>ÄLVDALEN</t>
        </is>
      </c>
      <c r="F80" t="inlineStr">
        <is>
          <t>Sveaskog</t>
        </is>
      </c>
      <c r="G80" t="n">
        <v>2.9</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38819-2024 artfynd.xlsx", "A 38819-2024")</f>
        <v/>
      </c>
      <c r="T80">
        <f>HYPERLINK("https://klasma.github.io/Logging_2039/kartor/A 38819-2024 karta.png", "A 38819-2024")</f>
        <v/>
      </c>
      <c r="V80">
        <f>HYPERLINK("https://klasma.github.io/Logging_2039/klagomål/A 38819-2024 FSC-klagomål.docx", "A 38819-2024")</f>
        <v/>
      </c>
      <c r="W80">
        <f>HYPERLINK("https://klasma.github.io/Logging_2039/klagomålsmail/A 38819-2024 FSC-klagomål mail.docx", "A 38819-2024")</f>
        <v/>
      </c>
      <c r="X80">
        <f>HYPERLINK("https://klasma.github.io/Logging_2039/tillsyn/A 38819-2024 tillsynsbegäran.docx", "A 38819-2024")</f>
        <v/>
      </c>
      <c r="Y80">
        <f>HYPERLINK("https://klasma.github.io/Logging_2039/tillsynsmail/A 38819-2024 tillsynsbegäran mail.docx", "A 38819-2024")</f>
        <v/>
      </c>
    </row>
    <row r="81" ht="15" customHeight="1">
      <c r="A81" t="inlineStr">
        <is>
          <t>A 42208-2019</t>
        </is>
      </c>
      <c r="B81" s="1" t="n">
        <v>43703</v>
      </c>
      <c r="C81" s="1" t="n">
        <v>45576</v>
      </c>
      <c r="D81" t="inlineStr">
        <is>
          <t>DALARNAS LÄN</t>
        </is>
      </c>
      <c r="E81" t="inlineStr">
        <is>
          <t>ÄLVDALEN</t>
        </is>
      </c>
      <c r="G81" t="n">
        <v>21.5</v>
      </c>
      <c r="H81" t="n">
        <v>0</v>
      </c>
      <c r="I81" t="n">
        <v>0</v>
      </c>
      <c r="J81" t="n">
        <v>3</v>
      </c>
      <c r="K81" t="n">
        <v>0</v>
      </c>
      <c r="L81" t="n">
        <v>0</v>
      </c>
      <c r="M81" t="n">
        <v>0</v>
      </c>
      <c r="N81" t="n">
        <v>0</v>
      </c>
      <c r="O81" t="n">
        <v>3</v>
      </c>
      <c r="P81" t="n">
        <v>0</v>
      </c>
      <c r="Q81" t="n">
        <v>3</v>
      </c>
      <c r="R81" s="2" t="inlineStr">
        <is>
          <t>Blanksvart spiklav
Dvärgbägarlav
Vitplätt</t>
        </is>
      </c>
      <c r="S81">
        <f>HYPERLINK("https://klasma.github.io/Logging_2039/artfynd/A 42208-2019 artfynd.xlsx", "A 42208-2019")</f>
        <v/>
      </c>
      <c r="T81">
        <f>HYPERLINK("https://klasma.github.io/Logging_2039/kartor/A 42208-2019 karta.png", "A 42208-2019")</f>
        <v/>
      </c>
      <c r="V81">
        <f>HYPERLINK("https://klasma.github.io/Logging_2039/klagomål/A 42208-2019 FSC-klagomål.docx", "A 42208-2019")</f>
        <v/>
      </c>
      <c r="W81">
        <f>HYPERLINK("https://klasma.github.io/Logging_2039/klagomålsmail/A 42208-2019 FSC-klagomål mail.docx", "A 42208-2019")</f>
        <v/>
      </c>
      <c r="X81">
        <f>HYPERLINK("https://klasma.github.io/Logging_2039/tillsyn/A 42208-2019 tillsynsbegäran.docx", "A 42208-2019")</f>
        <v/>
      </c>
      <c r="Y81">
        <f>HYPERLINK("https://klasma.github.io/Logging_2039/tillsynsmail/A 42208-2019 tillsynsbegäran mail.docx", "A 42208-2019")</f>
        <v/>
      </c>
    </row>
    <row r="82" ht="15" customHeight="1">
      <c r="A82" t="inlineStr">
        <is>
          <t>A 34201-2020</t>
        </is>
      </c>
      <c r="B82" s="1" t="n">
        <v>44029</v>
      </c>
      <c r="C82" s="1" t="n">
        <v>45576</v>
      </c>
      <c r="D82" t="inlineStr">
        <is>
          <t>DALARNAS LÄN</t>
        </is>
      </c>
      <c r="E82" t="inlineStr">
        <is>
          <t>ÄLVDALEN</t>
        </is>
      </c>
      <c r="F82" t="inlineStr">
        <is>
          <t>Sveaskog</t>
        </is>
      </c>
      <c r="G82" t="n">
        <v>6.9</v>
      </c>
      <c r="H82" t="n">
        <v>3</v>
      </c>
      <c r="I82" t="n">
        <v>1</v>
      </c>
      <c r="J82" t="n">
        <v>1</v>
      </c>
      <c r="K82" t="n">
        <v>0</v>
      </c>
      <c r="L82" t="n">
        <v>0</v>
      </c>
      <c r="M82" t="n">
        <v>0</v>
      </c>
      <c r="N82" t="n">
        <v>0</v>
      </c>
      <c r="O82" t="n">
        <v>1</v>
      </c>
      <c r="P82" t="n">
        <v>0</v>
      </c>
      <c r="Q82" t="n">
        <v>3</v>
      </c>
      <c r="R82" s="2" t="inlineStr">
        <is>
          <t>Varglav
Plattlummer
Fläcknycklar</t>
        </is>
      </c>
      <c r="S82">
        <f>HYPERLINK("https://klasma.github.io/Logging_2039/artfynd/A 34201-2020 artfynd.xlsx", "A 34201-2020")</f>
        <v/>
      </c>
      <c r="T82">
        <f>HYPERLINK("https://klasma.github.io/Logging_2039/kartor/A 34201-2020 karta.png", "A 34201-2020")</f>
        <v/>
      </c>
      <c r="V82">
        <f>HYPERLINK("https://klasma.github.io/Logging_2039/klagomål/A 34201-2020 FSC-klagomål.docx", "A 34201-2020")</f>
        <v/>
      </c>
      <c r="W82">
        <f>HYPERLINK("https://klasma.github.io/Logging_2039/klagomålsmail/A 34201-2020 FSC-klagomål mail.docx", "A 34201-2020")</f>
        <v/>
      </c>
      <c r="X82">
        <f>HYPERLINK("https://klasma.github.io/Logging_2039/tillsyn/A 34201-2020 tillsynsbegäran.docx", "A 34201-2020")</f>
        <v/>
      </c>
      <c r="Y82">
        <f>HYPERLINK("https://klasma.github.io/Logging_2039/tillsynsmail/A 34201-2020 tillsynsbegäran mail.docx", "A 34201-2020")</f>
        <v/>
      </c>
    </row>
    <row r="83" ht="15" customHeight="1">
      <c r="A83" t="inlineStr">
        <is>
          <t>A 33582-2021</t>
        </is>
      </c>
      <c r="B83" s="1" t="n">
        <v>44377</v>
      </c>
      <c r="C83" s="1" t="n">
        <v>45576</v>
      </c>
      <c r="D83" t="inlineStr">
        <is>
          <t>DALARNAS LÄN</t>
        </is>
      </c>
      <c r="E83" t="inlineStr">
        <is>
          <t>ÄLVDALEN</t>
        </is>
      </c>
      <c r="F83" t="inlineStr">
        <is>
          <t>Sveaskog</t>
        </is>
      </c>
      <c r="G83" t="n">
        <v>9.199999999999999</v>
      </c>
      <c r="H83" t="n">
        <v>0</v>
      </c>
      <c r="I83" t="n">
        <v>1</v>
      </c>
      <c r="J83" t="n">
        <v>2</v>
      </c>
      <c r="K83" t="n">
        <v>0</v>
      </c>
      <c r="L83" t="n">
        <v>0</v>
      </c>
      <c r="M83" t="n">
        <v>0</v>
      </c>
      <c r="N83" t="n">
        <v>0</v>
      </c>
      <c r="O83" t="n">
        <v>2</v>
      </c>
      <c r="P83" t="n">
        <v>0</v>
      </c>
      <c r="Q83" t="n">
        <v>3</v>
      </c>
      <c r="R83" s="2" t="inlineStr">
        <is>
          <t>Blanksvart spiklav
Dvärgbägarlav
Dropptaggsvamp</t>
        </is>
      </c>
      <c r="S83">
        <f>HYPERLINK("https://klasma.github.io/Logging_2039/artfynd/A 33582-2021 artfynd.xlsx", "A 33582-2021")</f>
        <v/>
      </c>
      <c r="T83">
        <f>HYPERLINK("https://klasma.github.io/Logging_2039/kartor/A 33582-2021 karta.png", "A 33582-2021")</f>
        <v/>
      </c>
      <c r="V83">
        <f>HYPERLINK("https://klasma.github.io/Logging_2039/klagomål/A 33582-2021 FSC-klagomål.docx", "A 33582-2021")</f>
        <v/>
      </c>
      <c r="W83">
        <f>HYPERLINK("https://klasma.github.io/Logging_2039/klagomålsmail/A 33582-2021 FSC-klagomål mail.docx", "A 33582-2021")</f>
        <v/>
      </c>
      <c r="X83">
        <f>HYPERLINK("https://klasma.github.io/Logging_2039/tillsyn/A 33582-2021 tillsynsbegäran.docx", "A 33582-2021")</f>
        <v/>
      </c>
      <c r="Y83">
        <f>HYPERLINK("https://klasma.github.io/Logging_2039/tillsynsmail/A 33582-2021 tillsynsbegäran mail.docx", "A 33582-2021")</f>
        <v/>
      </c>
    </row>
    <row r="84" ht="15" customHeight="1">
      <c r="A84" t="inlineStr">
        <is>
          <t>A 51732-2021</t>
        </is>
      </c>
      <c r="B84" s="1" t="n">
        <v>44461</v>
      </c>
      <c r="C84" s="1" t="n">
        <v>45576</v>
      </c>
      <c r="D84" t="inlineStr">
        <is>
          <t>DALARNAS LÄN</t>
        </is>
      </c>
      <c r="E84" t="inlineStr">
        <is>
          <t>ÄLVDALEN</t>
        </is>
      </c>
      <c r="F84" t="inlineStr">
        <is>
          <t>Övriga statliga verk och myndigheter</t>
        </is>
      </c>
      <c r="G84" t="n">
        <v>5</v>
      </c>
      <c r="H84" t="n">
        <v>0</v>
      </c>
      <c r="I84" t="n">
        <v>2</v>
      </c>
      <c r="J84" t="n">
        <v>1</v>
      </c>
      <c r="K84" t="n">
        <v>0</v>
      </c>
      <c r="L84" t="n">
        <v>0</v>
      </c>
      <c r="M84" t="n">
        <v>0</v>
      </c>
      <c r="N84" t="n">
        <v>0</v>
      </c>
      <c r="O84" t="n">
        <v>1</v>
      </c>
      <c r="P84" t="n">
        <v>0</v>
      </c>
      <c r="Q84" t="n">
        <v>3</v>
      </c>
      <c r="R84" s="2" t="inlineStr">
        <is>
          <t>Garnlav
Svavelriska
Vedticka</t>
        </is>
      </c>
      <c r="S84">
        <f>HYPERLINK("https://klasma.github.io/Logging_2039/artfynd/A 51732-2021 artfynd.xlsx", "A 51732-2021")</f>
        <v/>
      </c>
      <c r="T84">
        <f>HYPERLINK("https://klasma.github.io/Logging_2039/kartor/A 51732-2021 karta.png", "A 51732-2021")</f>
        <v/>
      </c>
      <c r="V84">
        <f>HYPERLINK("https://klasma.github.io/Logging_2039/klagomål/A 51732-2021 FSC-klagomål.docx", "A 51732-2021")</f>
        <v/>
      </c>
      <c r="W84">
        <f>HYPERLINK("https://klasma.github.io/Logging_2039/klagomålsmail/A 51732-2021 FSC-klagomål mail.docx", "A 51732-2021")</f>
        <v/>
      </c>
      <c r="X84">
        <f>HYPERLINK("https://klasma.github.io/Logging_2039/tillsyn/A 51732-2021 tillsynsbegäran.docx", "A 51732-2021")</f>
        <v/>
      </c>
      <c r="Y84">
        <f>HYPERLINK("https://klasma.github.io/Logging_2039/tillsynsmail/A 51732-2021 tillsynsbegäran mail.docx", "A 51732-2021")</f>
        <v/>
      </c>
    </row>
    <row r="85" ht="15" customHeight="1">
      <c r="A85" t="inlineStr">
        <is>
          <t>A 54257-2021</t>
        </is>
      </c>
      <c r="B85" s="1" t="n">
        <v>44470</v>
      </c>
      <c r="C85" s="1" t="n">
        <v>45576</v>
      </c>
      <c r="D85" t="inlineStr">
        <is>
          <t>DALARNAS LÄN</t>
        </is>
      </c>
      <c r="E85" t="inlineStr">
        <is>
          <t>ÄLVDALEN</t>
        </is>
      </c>
      <c r="F85" t="inlineStr">
        <is>
          <t>Bergvik skog öst AB</t>
        </is>
      </c>
      <c r="G85" t="n">
        <v>6.8</v>
      </c>
      <c r="H85" t="n">
        <v>0</v>
      </c>
      <c r="I85" t="n">
        <v>1</v>
      </c>
      <c r="J85" t="n">
        <v>2</v>
      </c>
      <c r="K85" t="n">
        <v>0</v>
      </c>
      <c r="L85" t="n">
        <v>0</v>
      </c>
      <c r="M85" t="n">
        <v>0</v>
      </c>
      <c r="N85" t="n">
        <v>0</v>
      </c>
      <c r="O85" t="n">
        <v>2</v>
      </c>
      <c r="P85" t="n">
        <v>0</v>
      </c>
      <c r="Q85" t="n">
        <v>3</v>
      </c>
      <c r="R85" s="2" t="inlineStr">
        <is>
          <t>Motaggsvamp
Mörk kolflarnlav
Dropptaggsvamp</t>
        </is>
      </c>
      <c r="S85">
        <f>HYPERLINK("https://klasma.github.io/Logging_2039/artfynd/A 54257-2021 artfynd.xlsx", "A 54257-2021")</f>
        <v/>
      </c>
      <c r="T85">
        <f>HYPERLINK("https://klasma.github.io/Logging_2039/kartor/A 54257-2021 karta.png", "A 54257-2021")</f>
        <v/>
      </c>
      <c r="V85">
        <f>HYPERLINK("https://klasma.github.io/Logging_2039/klagomål/A 54257-2021 FSC-klagomål.docx", "A 54257-2021")</f>
        <v/>
      </c>
      <c r="W85">
        <f>HYPERLINK("https://klasma.github.io/Logging_2039/klagomålsmail/A 54257-2021 FSC-klagomål mail.docx", "A 54257-2021")</f>
        <v/>
      </c>
      <c r="X85">
        <f>HYPERLINK("https://klasma.github.io/Logging_2039/tillsyn/A 54257-2021 tillsynsbegäran.docx", "A 54257-2021")</f>
        <v/>
      </c>
      <c r="Y85">
        <f>HYPERLINK("https://klasma.github.io/Logging_2039/tillsynsmail/A 54257-2021 tillsynsbegäran mail.docx", "A 54257-2021")</f>
        <v/>
      </c>
    </row>
    <row r="86" ht="15" customHeight="1">
      <c r="A86" t="inlineStr">
        <is>
          <t>A 65467-2021</t>
        </is>
      </c>
      <c r="B86" s="1" t="n">
        <v>44516</v>
      </c>
      <c r="C86" s="1" t="n">
        <v>45576</v>
      </c>
      <c r="D86" t="inlineStr">
        <is>
          <t>DALARNAS LÄN</t>
        </is>
      </c>
      <c r="E86" t="inlineStr">
        <is>
          <t>ÄLVDALEN</t>
        </is>
      </c>
      <c r="F86" t="inlineStr">
        <is>
          <t>Sveaskog</t>
        </is>
      </c>
      <c r="G86" t="n">
        <v>47</v>
      </c>
      <c r="H86" t="n">
        <v>1</v>
      </c>
      <c r="I86" t="n">
        <v>0</v>
      </c>
      <c r="J86" t="n">
        <v>3</v>
      </c>
      <c r="K86" t="n">
        <v>0</v>
      </c>
      <c r="L86" t="n">
        <v>0</v>
      </c>
      <c r="M86" t="n">
        <v>0</v>
      </c>
      <c r="N86" t="n">
        <v>0</v>
      </c>
      <c r="O86" t="n">
        <v>3</v>
      </c>
      <c r="P86" t="n">
        <v>0</v>
      </c>
      <c r="Q86" t="n">
        <v>3</v>
      </c>
      <c r="R86" s="2" t="inlineStr">
        <is>
          <t>Dvärgbägarlav
Garnlav
Varglav</t>
        </is>
      </c>
      <c r="S86">
        <f>HYPERLINK("https://klasma.github.io/Logging_2039/artfynd/A 65467-2021 artfynd.xlsx", "A 65467-2021")</f>
        <v/>
      </c>
      <c r="T86">
        <f>HYPERLINK("https://klasma.github.io/Logging_2039/kartor/A 65467-2021 karta.png", "A 65467-2021")</f>
        <v/>
      </c>
      <c r="V86">
        <f>HYPERLINK("https://klasma.github.io/Logging_2039/klagomål/A 65467-2021 FSC-klagomål.docx", "A 65467-2021")</f>
        <v/>
      </c>
      <c r="W86">
        <f>HYPERLINK("https://klasma.github.io/Logging_2039/klagomålsmail/A 65467-2021 FSC-klagomål mail.docx", "A 65467-2021")</f>
        <v/>
      </c>
      <c r="X86">
        <f>HYPERLINK("https://klasma.github.io/Logging_2039/tillsyn/A 65467-2021 tillsynsbegäran.docx", "A 65467-2021")</f>
        <v/>
      </c>
      <c r="Y86">
        <f>HYPERLINK("https://klasma.github.io/Logging_2039/tillsynsmail/A 65467-2021 tillsynsbegäran mail.docx", "A 65467-2021")</f>
        <v/>
      </c>
    </row>
    <row r="87" ht="15" customHeight="1">
      <c r="A87" t="inlineStr">
        <is>
          <t>A 41909-2022</t>
        </is>
      </c>
      <c r="B87" s="1" t="n">
        <v>44830</v>
      </c>
      <c r="C87" s="1" t="n">
        <v>45576</v>
      </c>
      <c r="D87" t="inlineStr">
        <is>
          <t>DALARNAS LÄN</t>
        </is>
      </c>
      <c r="E87" t="inlineStr">
        <is>
          <t>ÄLVDALEN</t>
        </is>
      </c>
      <c r="F87" t="inlineStr">
        <is>
          <t>Sveaskog</t>
        </is>
      </c>
      <c r="G87" t="n">
        <v>3.5</v>
      </c>
      <c r="H87" t="n">
        <v>1</v>
      </c>
      <c r="I87" t="n">
        <v>0</v>
      </c>
      <c r="J87" t="n">
        <v>2</v>
      </c>
      <c r="K87" t="n">
        <v>1</v>
      </c>
      <c r="L87" t="n">
        <v>0</v>
      </c>
      <c r="M87" t="n">
        <v>0</v>
      </c>
      <c r="N87" t="n">
        <v>0</v>
      </c>
      <c r="O87" t="n">
        <v>3</v>
      </c>
      <c r="P87" t="n">
        <v>1</v>
      </c>
      <c r="Q87" t="n">
        <v>3</v>
      </c>
      <c r="R87" s="2" t="inlineStr">
        <is>
          <t>Tajgataggsvamp
Blanksvart spiklav
Talltita</t>
        </is>
      </c>
      <c r="S87">
        <f>HYPERLINK("https://klasma.github.io/Logging_2039/artfynd/A 41909-2022 artfynd.xlsx", "A 41909-2022")</f>
        <v/>
      </c>
      <c r="T87">
        <f>HYPERLINK("https://klasma.github.io/Logging_2039/kartor/A 41909-2022 karta.png", "A 41909-2022")</f>
        <v/>
      </c>
      <c r="V87">
        <f>HYPERLINK("https://klasma.github.io/Logging_2039/klagomål/A 41909-2022 FSC-klagomål.docx", "A 41909-2022")</f>
        <v/>
      </c>
      <c r="W87">
        <f>HYPERLINK("https://klasma.github.io/Logging_2039/klagomålsmail/A 41909-2022 FSC-klagomål mail.docx", "A 41909-2022")</f>
        <v/>
      </c>
      <c r="X87">
        <f>HYPERLINK("https://klasma.github.io/Logging_2039/tillsyn/A 41909-2022 tillsynsbegäran.docx", "A 41909-2022")</f>
        <v/>
      </c>
      <c r="Y87">
        <f>HYPERLINK("https://klasma.github.io/Logging_2039/tillsynsmail/A 41909-2022 tillsynsbegäran mail.docx", "A 41909-2022")</f>
        <v/>
      </c>
      <c r="Z87">
        <f>HYPERLINK("https://klasma.github.io/Logging_2039/fåglar/A 41909-2022 prioriterade fågelarter.docx", "A 41909-2022")</f>
        <v/>
      </c>
    </row>
    <row r="88" ht="15" customHeight="1">
      <c r="A88" t="inlineStr">
        <is>
          <t>A 41921-2022</t>
        </is>
      </c>
      <c r="B88" s="1" t="n">
        <v>44830</v>
      </c>
      <c r="C88" s="1" t="n">
        <v>45576</v>
      </c>
      <c r="D88" t="inlineStr">
        <is>
          <t>DALARNAS LÄN</t>
        </is>
      </c>
      <c r="E88" t="inlineStr">
        <is>
          <t>ÄLVDALEN</t>
        </is>
      </c>
      <c r="F88" t="inlineStr">
        <is>
          <t>Sveaskog</t>
        </is>
      </c>
      <c r="G88" t="n">
        <v>5.4</v>
      </c>
      <c r="H88" t="n">
        <v>1</v>
      </c>
      <c r="I88" t="n">
        <v>0</v>
      </c>
      <c r="J88" t="n">
        <v>3</v>
      </c>
      <c r="K88" t="n">
        <v>0</v>
      </c>
      <c r="L88" t="n">
        <v>0</v>
      </c>
      <c r="M88" t="n">
        <v>0</v>
      </c>
      <c r="N88" t="n">
        <v>0</v>
      </c>
      <c r="O88" t="n">
        <v>3</v>
      </c>
      <c r="P88" t="n">
        <v>0</v>
      </c>
      <c r="Q88" t="n">
        <v>3</v>
      </c>
      <c r="R88" s="2" t="inlineStr">
        <is>
          <t>Blågrå svartspik
Tretåig hackspett
Vedskivlav</t>
        </is>
      </c>
      <c r="S88">
        <f>HYPERLINK("https://klasma.github.io/Logging_2039/artfynd/A 41921-2022 artfynd.xlsx", "A 41921-2022")</f>
        <v/>
      </c>
      <c r="T88">
        <f>HYPERLINK("https://klasma.github.io/Logging_2039/kartor/A 41921-2022 karta.png", "A 41921-2022")</f>
        <v/>
      </c>
      <c r="V88">
        <f>HYPERLINK("https://klasma.github.io/Logging_2039/klagomål/A 41921-2022 FSC-klagomål.docx", "A 41921-2022")</f>
        <v/>
      </c>
      <c r="W88">
        <f>HYPERLINK("https://klasma.github.io/Logging_2039/klagomålsmail/A 41921-2022 FSC-klagomål mail.docx", "A 41921-2022")</f>
        <v/>
      </c>
      <c r="X88">
        <f>HYPERLINK("https://klasma.github.io/Logging_2039/tillsyn/A 41921-2022 tillsynsbegäran.docx", "A 41921-2022")</f>
        <v/>
      </c>
      <c r="Y88">
        <f>HYPERLINK("https://klasma.github.io/Logging_2039/tillsynsmail/A 41921-2022 tillsynsbegäran mail.docx", "A 41921-2022")</f>
        <v/>
      </c>
      <c r="Z88">
        <f>HYPERLINK("https://klasma.github.io/Logging_2039/fåglar/A 41921-2022 prioriterade fågelarter.docx", "A 41921-2022")</f>
        <v/>
      </c>
    </row>
    <row r="89" ht="15" customHeight="1">
      <c r="A89" t="inlineStr">
        <is>
          <t>A 41919-2022</t>
        </is>
      </c>
      <c r="B89" s="1" t="n">
        <v>44830</v>
      </c>
      <c r="C89" s="1" t="n">
        <v>45576</v>
      </c>
      <c r="D89" t="inlineStr">
        <is>
          <t>DALARNAS LÄN</t>
        </is>
      </c>
      <c r="E89" t="inlineStr">
        <is>
          <t>ÄLVDALEN</t>
        </is>
      </c>
      <c r="F89" t="inlineStr">
        <is>
          <t>Sveaskog</t>
        </is>
      </c>
      <c r="G89" t="n">
        <v>0.9</v>
      </c>
      <c r="H89" t="n">
        <v>0</v>
      </c>
      <c r="I89" t="n">
        <v>1</v>
      </c>
      <c r="J89" t="n">
        <v>1</v>
      </c>
      <c r="K89" t="n">
        <v>1</v>
      </c>
      <c r="L89" t="n">
        <v>0</v>
      </c>
      <c r="M89" t="n">
        <v>0</v>
      </c>
      <c r="N89" t="n">
        <v>0</v>
      </c>
      <c r="O89" t="n">
        <v>2</v>
      </c>
      <c r="P89" t="n">
        <v>1</v>
      </c>
      <c r="Q89" t="n">
        <v>3</v>
      </c>
      <c r="R89" s="2" t="inlineStr">
        <is>
          <t>Gräddporing
Blanksvart spiklav
Vedticka</t>
        </is>
      </c>
      <c r="S89">
        <f>HYPERLINK("https://klasma.github.io/Logging_2039/artfynd/A 41919-2022 artfynd.xlsx", "A 41919-2022")</f>
        <v/>
      </c>
      <c r="T89">
        <f>HYPERLINK("https://klasma.github.io/Logging_2039/kartor/A 41919-2022 karta.png", "A 41919-2022")</f>
        <v/>
      </c>
      <c r="V89">
        <f>HYPERLINK("https://klasma.github.io/Logging_2039/klagomål/A 41919-2022 FSC-klagomål.docx", "A 41919-2022")</f>
        <v/>
      </c>
      <c r="W89">
        <f>HYPERLINK("https://klasma.github.io/Logging_2039/klagomålsmail/A 41919-2022 FSC-klagomål mail.docx", "A 41919-2022")</f>
        <v/>
      </c>
      <c r="X89">
        <f>HYPERLINK("https://klasma.github.io/Logging_2039/tillsyn/A 41919-2022 tillsynsbegäran.docx", "A 41919-2022")</f>
        <v/>
      </c>
      <c r="Y89">
        <f>HYPERLINK("https://klasma.github.io/Logging_2039/tillsynsmail/A 41919-2022 tillsynsbegäran mail.docx", "A 41919-2022")</f>
        <v/>
      </c>
    </row>
    <row r="90" ht="15" customHeight="1">
      <c r="A90" t="inlineStr">
        <is>
          <t>A 28822-2023</t>
        </is>
      </c>
      <c r="B90" s="1" t="n">
        <v>45104</v>
      </c>
      <c r="C90" s="1" t="n">
        <v>45576</v>
      </c>
      <c r="D90" t="inlineStr">
        <is>
          <t>DALARNAS LÄN</t>
        </is>
      </c>
      <c r="E90" t="inlineStr">
        <is>
          <t>ÄLVDALEN</t>
        </is>
      </c>
      <c r="F90" t="inlineStr">
        <is>
          <t>Sveaskog</t>
        </is>
      </c>
      <c r="G90" t="n">
        <v>4</v>
      </c>
      <c r="H90" t="n">
        <v>0</v>
      </c>
      <c r="I90" t="n">
        <v>1</v>
      </c>
      <c r="J90" t="n">
        <v>2</v>
      </c>
      <c r="K90" t="n">
        <v>0</v>
      </c>
      <c r="L90" t="n">
        <v>0</v>
      </c>
      <c r="M90" t="n">
        <v>0</v>
      </c>
      <c r="N90" t="n">
        <v>0</v>
      </c>
      <c r="O90" t="n">
        <v>2</v>
      </c>
      <c r="P90" t="n">
        <v>0</v>
      </c>
      <c r="Q90" t="n">
        <v>3</v>
      </c>
      <c r="R90" s="2" t="inlineStr">
        <is>
          <t>Skrovlig taggsvamp
Vaddporing
Dropptaggsvamp</t>
        </is>
      </c>
      <c r="S90">
        <f>HYPERLINK("https://klasma.github.io/Logging_2039/artfynd/A 28822-2023 artfynd.xlsx", "A 28822-2023")</f>
        <v/>
      </c>
      <c r="T90">
        <f>HYPERLINK("https://klasma.github.io/Logging_2039/kartor/A 28822-2023 karta.png", "A 28822-2023")</f>
        <v/>
      </c>
      <c r="V90">
        <f>HYPERLINK("https://klasma.github.io/Logging_2039/klagomål/A 28822-2023 FSC-klagomål.docx", "A 28822-2023")</f>
        <v/>
      </c>
      <c r="W90">
        <f>HYPERLINK("https://klasma.github.io/Logging_2039/klagomålsmail/A 28822-2023 FSC-klagomål mail.docx", "A 28822-2023")</f>
        <v/>
      </c>
      <c r="X90">
        <f>HYPERLINK("https://klasma.github.io/Logging_2039/tillsyn/A 28822-2023 tillsynsbegäran.docx", "A 28822-2023")</f>
        <v/>
      </c>
      <c r="Y90">
        <f>HYPERLINK("https://klasma.github.io/Logging_2039/tillsynsmail/A 28822-2023 tillsynsbegäran mail.docx", "A 28822-2023")</f>
        <v/>
      </c>
    </row>
    <row r="91" ht="15" customHeight="1">
      <c r="A91" t="inlineStr">
        <is>
          <t>A 28848-2023</t>
        </is>
      </c>
      <c r="B91" s="1" t="n">
        <v>45104</v>
      </c>
      <c r="C91" s="1" t="n">
        <v>45576</v>
      </c>
      <c r="D91" t="inlineStr">
        <is>
          <t>DALARNAS LÄN</t>
        </is>
      </c>
      <c r="E91" t="inlineStr">
        <is>
          <t>ÄLVDALEN</t>
        </is>
      </c>
      <c r="F91" t="inlineStr">
        <is>
          <t>Sveaskog</t>
        </is>
      </c>
      <c r="G91" t="n">
        <v>6.3</v>
      </c>
      <c r="H91" t="n">
        <v>0</v>
      </c>
      <c r="I91" t="n">
        <v>0</v>
      </c>
      <c r="J91" t="n">
        <v>3</v>
      </c>
      <c r="K91" t="n">
        <v>0</v>
      </c>
      <c r="L91" t="n">
        <v>0</v>
      </c>
      <c r="M91" t="n">
        <v>0</v>
      </c>
      <c r="N91" t="n">
        <v>0</v>
      </c>
      <c r="O91" t="n">
        <v>3</v>
      </c>
      <c r="P91" t="n">
        <v>0</v>
      </c>
      <c r="Q91" t="n">
        <v>3</v>
      </c>
      <c r="R91" s="2" t="inlineStr">
        <is>
          <t>Blanksvart spiklav
Garnlav
Kolflarnlav</t>
        </is>
      </c>
      <c r="S91">
        <f>HYPERLINK("https://klasma.github.io/Logging_2039/artfynd/A 28848-2023 artfynd.xlsx", "A 28848-2023")</f>
        <v/>
      </c>
      <c r="T91">
        <f>HYPERLINK("https://klasma.github.io/Logging_2039/kartor/A 28848-2023 karta.png", "A 28848-2023")</f>
        <v/>
      </c>
      <c r="V91">
        <f>HYPERLINK("https://klasma.github.io/Logging_2039/klagomål/A 28848-2023 FSC-klagomål.docx", "A 28848-2023")</f>
        <v/>
      </c>
      <c r="W91">
        <f>HYPERLINK("https://klasma.github.io/Logging_2039/klagomålsmail/A 28848-2023 FSC-klagomål mail.docx", "A 28848-2023")</f>
        <v/>
      </c>
      <c r="X91">
        <f>HYPERLINK("https://klasma.github.io/Logging_2039/tillsyn/A 28848-2023 tillsynsbegäran.docx", "A 28848-2023")</f>
        <v/>
      </c>
      <c r="Y91">
        <f>HYPERLINK("https://klasma.github.io/Logging_2039/tillsynsmail/A 28848-2023 tillsynsbegäran mail.docx", "A 28848-2023")</f>
        <v/>
      </c>
    </row>
    <row r="92" ht="15" customHeight="1">
      <c r="A92" t="inlineStr">
        <is>
          <t>A 31228-2023</t>
        </is>
      </c>
      <c r="B92" s="1" t="n">
        <v>45114</v>
      </c>
      <c r="C92" s="1" t="n">
        <v>45576</v>
      </c>
      <c r="D92" t="inlineStr">
        <is>
          <t>DALARNAS LÄN</t>
        </is>
      </c>
      <c r="E92" t="inlineStr">
        <is>
          <t>ÄLVDALEN</t>
        </is>
      </c>
      <c r="F92" t="inlineStr">
        <is>
          <t>Sveaskog</t>
        </is>
      </c>
      <c r="G92" t="n">
        <v>6.1</v>
      </c>
      <c r="H92" t="n">
        <v>0</v>
      </c>
      <c r="I92" t="n">
        <v>0</v>
      </c>
      <c r="J92" t="n">
        <v>3</v>
      </c>
      <c r="K92" t="n">
        <v>0</v>
      </c>
      <c r="L92" t="n">
        <v>0</v>
      </c>
      <c r="M92" t="n">
        <v>0</v>
      </c>
      <c r="N92" t="n">
        <v>0</v>
      </c>
      <c r="O92" t="n">
        <v>3</v>
      </c>
      <c r="P92" t="n">
        <v>0</v>
      </c>
      <c r="Q92" t="n">
        <v>3</v>
      </c>
      <c r="R92" s="2" t="inlineStr">
        <is>
          <t>Kolflarnlav
Mörk kolflarnlav
Vedflamlav</t>
        </is>
      </c>
      <c r="S92">
        <f>HYPERLINK("https://klasma.github.io/Logging_2039/artfynd/A 31228-2023 artfynd.xlsx", "A 31228-2023")</f>
        <v/>
      </c>
      <c r="T92">
        <f>HYPERLINK("https://klasma.github.io/Logging_2039/kartor/A 31228-2023 karta.png", "A 31228-2023")</f>
        <v/>
      </c>
      <c r="V92">
        <f>HYPERLINK("https://klasma.github.io/Logging_2039/klagomål/A 31228-2023 FSC-klagomål.docx", "A 31228-2023")</f>
        <v/>
      </c>
      <c r="W92">
        <f>HYPERLINK("https://klasma.github.io/Logging_2039/klagomålsmail/A 31228-2023 FSC-klagomål mail.docx", "A 31228-2023")</f>
        <v/>
      </c>
      <c r="X92">
        <f>HYPERLINK("https://klasma.github.io/Logging_2039/tillsyn/A 31228-2023 tillsynsbegäran.docx", "A 31228-2023")</f>
        <v/>
      </c>
      <c r="Y92">
        <f>HYPERLINK("https://klasma.github.io/Logging_2039/tillsynsmail/A 31228-2023 tillsynsbegäran mail.docx", "A 31228-2023")</f>
        <v/>
      </c>
    </row>
    <row r="93" ht="15" customHeight="1">
      <c r="A93" t="inlineStr">
        <is>
          <t>A 32403-2023</t>
        </is>
      </c>
      <c r="B93" s="1" t="n">
        <v>45120</v>
      </c>
      <c r="C93" s="1" t="n">
        <v>45576</v>
      </c>
      <c r="D93" t="inlineStr">
        <is>
          <t>DALARNAS LÄN</t>
        </is>
      </c>
      <c r="E93" t="inlineStr">
        <is>
          <t>ÄLVDALEN</t>
        </is>
      </c>
      <c r="F93" t="inlineStr">
        <is>
          <t>Sveaskog</t>
        </is>
      </c>
      <c r="G93" t="n">
        <v>3</v>
      </c>
      <c r="H93" t="n">
        <v>0</v>
      </c>
      <c r="I93" t="n">
        <v>0</v>
      </c>
      <c r="J93" t="n">
        <v>3</v>
      </c>
      <c r="K93" t="n">
        <v>0</v>
      </c>
      <c r="L93" t="n">
        <v>0</v>
      </c>
      <c r="M93" t="n">
        <v>0</v>
      </c>
      <c r="N93" t="n">
        <v>0</v>
      </c>
      <c r="O93" t="n">
        <v>3</v>
      </c>
      <c r="P93" t="n">
        <v>0</v>
      </c>
      <c r="Q93" t="n">
        <v>3</v>
      </c>
      <c r="R93" s="2" t="inlineStr">
        <is>
          <t>Kolflarnlav
Vedflamlav
Vedskivlav</t>
        </is>
      </c>
      <c r="S93">
        <f>HYPERLINK("https://klasma.github.io/Logging_2039/artfynd/A 32403-2023 artfynd.xlsx", "A 32403-2023")</f>
        <v/>
      </c>
      <c r="T93">
        <f>HYPERLINK("https://klasma.github.io/Logging_2039/kartor/A 32403-2023 karta.png", "A 32403-2023")</f>
        <v/>
      </c>
      <c r="V93">
        <f>HYPERLINK("https://klasma.github.io/Logging_2039/klagomål/A 32403-2023 FSC-klagomål.docx", "A 32403-2023")</f>
        <v/>
      </c>
      <c r="W93">
        <f>HYPERLINK("https://klasma.github.io/Logging_2039/klagomålsmail/A 32403-2023 FSC-klagomål mail.docx", "A 32403-2023")</f>
        <v/>
      </c>
      <c r="X93">
        <f>HYPERLINK("https://klasma.github.io/Logging_2039/tillsyn/A 32403-2023 tillsynsbegäran.docx", "A 32403-2023")</f>
        <v/>
      </c>
      <c r="Y93">
        <f>HYPERLINK("https://klasma.github.io/Logging_2039/tillsynsmail/A 32403-2023 tillsynsbegäran mail.docx", "A 32403-2023")</f>
        <v/>
      </c>
    </row>
    <row r="94" ht="15" customHeight="1">
      <c r="A94" t="inlineStr">
        <is>
          <t>A 35141-2023</t>
        </is>
      </c>
      <c r="B94" s="1" t="n">
        <v>45145</v>
      </c>
      <c r="C94" s="1" t="n">
        <v>45576</v>
      </c>
      <c r="D94" t="inlineStr">
        <is>
          <t>DALARNAS LÄN</t>
        </is>
      </c>
      <c r="E94" t="inlineStr">
        <is>
          <t>ÄLVDALEN</t>
        </is>
      </c>
      <c r="F94" t="inlineStr">
        <is>
          <t>Sveaskog</t>
        </is>
      </c>
      <c r="G94" t="n">
        <v>1.8</v>
      </c>
      <c r="H94" t="n">
        <v>1</v>
      </c>
      <c r="I94" t="n">
        <v>0</v>
      </c>
      <c r="J94" t="n">
        <v>3</v>
      </c>
      <c r="K94" t="n">
        <v>0</v>
      </c>
      <c r="L94" t="n">
        <v>0</v>
      </c>
      <c r="M94" t="n">
        <v>0</v>
      </c>
      <c r="N94" t="n">
        <v>0</v>
      </c>
      <c r="O94" t="n">
        <v>3</v>
      </c>
      <c r="P94" t="n">
        <v>0</v>
      </c>
      <c r="Q94" t="n">
        <v>3</v>
      </c>
      <c r="R94" s="2" t="inlineStr">
        <is>
          <t>Garnlav
Kolflarnlav
Varglav</t>
        </is>
      </c>
      <c r="S94">
        <f>HYPERLINK("https://klasma.github.io/Logging_2039/artfynd/A 35141-2023 artfynd.xlsx", "A 35141-2023")</f>
        <v/>
      </c>
      <c r="T94">
        <f>HYPERLINK("https://klasma.github.io/Logging_2039/kartor/A 35141-2023 karta.png", "A 35141-2023")</f>
        <v/>
      </c>
      <c r="V94">
        <f>HYPERLINK("https://klasma.github.io/Logging_2039/klagomål/A 35141-2023 FSC-klagomål.docx", "A 35141-2023")</f>
        <v/>
      </c>
      <c r="W94">
        <f>HYPERLINK("https://klasma.github.io/Logging_2039/klagomålsmail/A 35141-2023 FSC-klagomål mail.docx", "A 35141-2023")</f>
        <v/>
      </c>
      <c r="X94">
        <f>HYPERLINK("https://klasma.github.io/Logging_2039/tillsyn/A 35141-2023 tillsynsbegäran.docx", "A 35141-2023")</f>
        <v/>
      </c>
      <c r="Y94">
        <f>HYPERLINK("https://klasma.github.io/Logging_2039/tillsynsmail/A 35141-2023 tillsynsbegäran mail.docx", "A 35141-2023")</f>
        <v/>
      </c>
    </row>
    <row r="95" ht="15" customHeight="1">
      <c r="A95" t="inlineStr">
        <is>
          <t>A 44128-2023</t>
        </is>
      </c>
      <c r="B95" s="1" t="n">
        <v>45188</v>
      </c>
      <c r="C95" s="1" t="n">
        <v>45576</v>
      </c>
      <c r="D95" t="inlineStr">
        <is>
          <t>DALARNAS LÄN</t>
        </is>
      </c>
      <c r="E95" t="inlineStr">
        <is>
          <t>ÄLVDALEN</t>
        </is>
      </c>
      <c r="F95" t="inlineStr">
        <is>
          <t>Sveaskog</t>
        </is>
      </c>
      <c r="G95" t="n">
        <v>1.8</v>
      </c>
      <c r="H95" t="n">
        <v>0</v>
      </c>
      <c r="I95" t="n">
        <v>1</v>
      </c>
      <c r="J95" t="n">
        <v>2</v>
      </c>
      <c r="K95" t="n">
        <v>0</v>
      </c>
      <c r="L95" t="n">
        <v>0</v>
      </c>
      <c r="M95" t="n">
        <v>0</v>
      </c>
      <c r="N95" t="n">
        <v>0</v>
      </c>
      <c r="O95" t="n">
        <v>2</v>
      </c>
      <c r="P95" t="n">
        <v>0</v>
      </c>
      <c r="Q95" t="n">
        <v>3</v>
      </c>
      <c r="R95" s="2" t="inlineStr">
        <is>
          <t>Blanksvart spiklav
Talltaggsvamp
Skarp dropptaggsvamp</t>
        </is>
      </c>
      <c r="S95">
        <f>HYPERLINK("https://klasma.github.io/Logging_2039/artfynd/A 44128-2023 artfynd.xlsx", "A 44128-2023")</f>
        <v/>
      </c>
      <c r="T95">
        <f>HYPERLINK("https://klasma.github.io/Logging_2039/kartor/A 44128-2023 karta.png", "A 44128-2023")</f>
        <v/>
      </c>
      <c r="V95">
        <f>HYPERLINK("https://klasma.github.io/Logging_2039/klagomål/A 44128-2023 FSC-klagomål.docx", "A 44128-2023")</f>
        <v/>
      </c>
      <c r="W95">
        <f>HYPERLINK("https://klasma.github.io/Logging_2039/klagomålsmail/A 44128-2023 FSC-klagomål mail.docx", "A 44128-2023")</f>
        <v/>
      </c>
      <c r="X95">
        <f>HYPERLINK("https://klasma.github.io/Logging_2039/tillsyn/A 44128-2023 tillsynsbegäran.docx", "A 44128-2023")</f>
        <v/>
      </c>
      <c r="Y95">
        <f>HYPERLINK("https://klasma.github.io/Logging_2039/tillsynsmail/A 44128-2023 tillsynsbegäran mail.docx", "A 44128-2023")</f>
        <v/>
      </c>
    </row>
    <row r="96" ht="15" customHeight="1">
      <c r="A96" t="inlineStr">
        <is>
          <t>A 7024-2024</t>
        </is>
      </c>
      <c r="B96" s="1" t="n">
        <v>45343</v>
      </c>
      <c r="C96" s="1" t="n">
        <v>45576</v>
      </c>
      <c r="D96" t="inlineStr">
        <is>
          <t>DALARNAS LÄN</t>
        </is>
      </c>
      <c r="E96" t="inlineStr">
        <is>
          <t>ÄLVDALEN</t>
        </is>
      </c>
      <c r="F96" t="inlineStr">
        <is>
          <t>Sveaskog</t>
        </is>
      </c>
      <c r="G96" t="n">
        <v>30.1</v>
      </c>
      <c r="H96" t="n">
        <v>0</v>
      </c>
      <c r="I96" t="n">
        <v>0</v>
      </c>
      <c r="J96" t="n">
        <v>2</v>
      </c>
      <c r="K96" t="n">
        <v>1</v>
      </c>
      <c r="L96" t="n">
        <v>0</v>
      </c>
      <c r="M96" t="n">
        <v>0</v>
      </c>
      <c r="N96" t="n">
        <v>0</v>
      </c>
      <c r="O96" t="n">
        <v>3</v>
      </c>
      <c r="P96" t="n">
        <v>1</v>
      </c>
      <c r="Q96" t="n">
        <v>3</v>
      </c>
      <c r="R96" s="2" t="inlineStr">
        <is>
          <t>Gräddporing
Nordtagging
Vaddporing</t>
        </is>
      </c>
      <c r="S96">
        <f>HYPERLINK("https://klasma.github.io/Logging_2039/artfynd/A 7024-2024 artfynd.xlsx", "A 7024-2024")</f>
        <v/>
      </c>
      <c r="T96">
        <f>HYPERLINK("https://klasma.github.io/Logging_2039/kartor/A 7024-2024 karta.png", "A 7024-2024")</f>
        <v/>
      </c>
      <c r="V96">
        <f>HYPERLINK("https://klasma.github.io/Logging_2039/klagomål/A 7024-2024 FSC-klagomål.docx", "A 7024-2024")</f>
        <v/>
      </c>
      <c r="W96">
        <f>HYPERLINK("https://klasma.github.io/Logging_2039/klagomålsmail/A 7024-2024 FSC-klagomål mail.docx", "A 7024-2024")</f>
        <v/>
      </c>
      <c r="X96">
        <f>HYPERLINK("https://klasma.github.io/Logging_2039/tillsyn/A 7024-2024 tillsynsbegäran.docx", "A 7024-2024")</f>
        <v/>
      </c>
      <c r="Y96">
        <f>HYPERLINK("https://klasma.github.io/Logging_2039/tillsynsmail/A 7024-2024 tillsynsbegäran mail.docx", "A 7024-2024")</f>
        <v/>
      </c>
    </row>
    <row r="97" ht="15" customHeight="1">
      <c r="A97" t="inlineStr">
        <is>
          <t>A 9787-2024</t>
        </is>
      </c>
      <c r="B97" s="1" t="n">
        <v>45362</v>
      </c>
      <c r="C97" s="1" t="n">
        <v>45576</v>
      </c>
      <c r="D97" t="inlineStr">
        <is>
          <t>DALARNAS LÄN</t>
        </is>
      </c>
      <c r="E97" t="inlineStr">
        <is>
          <t>ÄLVDALEN</t>
        </is>
      </c>
      <c r="F97" t="inlineStr">
        <is>
          <t>Övriga statliga verk och myndigheter</t>
        </is>
      </c>
      <c r="G97" t="n">
        <v>14.9</v>
      </c>
      <c r="H97" t="n">
        <v>1</v>
      </c>
      <c r="I97" t="n">
        <v>0</v>
      </c>
      <c r="J97" t="n">
        <v>3</v>
      </c>
      <c r="K97" t="n">
        <v>0</v>
      </c>
      <c r="L97" t="n">
        <v>0</v>
      </c>
      <c r="M97" t="n">
        <v>0</v>
      </c>
      <c r="N97" t="n">
        <v>0</v>
      </c>
      <c r="O97" t="n">
        <v>3</v>
      </c>
      <c r="P97" t="n">
        <v>0</v>
      </c>
      <c r="Q97" t="n">
        <v>3</v>
      </c>
      <c r="R97" s="2" t="inlineStr">
        <is>
          <t>Kolflarnlav
Varglav
Vedflamlav</t>
        </is>
      </c>
      <c r="S97">
        <f>HYPERLINK("https://klasma.github.io/Logging_2039/artfynd/A 9787-2024 artfynd.xlsx", "A 9787-2024")</f>
        <v/>
      </c>
      <c r="T97">
        <f>HYPERLINK("https://klasma.github.io/Logging_2039/kartor/A 9787-2024 karta.png", "A 9787-2024")</f>
        <v/>
      </c>
      <c r="V97">
        <f>HYPERLINK("https://klasma.github.io/Logging_2039/klagomål/A 9787-2024 FSC-klagomål.docx", "A 9787-2024")</f>
        <v/>
      </c>
      <c r="W97">
        <f>HYPERLINK("https://klasma.github.io/Logging_2039/klagomålsmail/A 9787-2024 FSC-klagomål mail.docx", "A 9787-2024")</f>
        <v/>
      </c>
      <c r="X97">
        <f>HYPERLINK("https://klasma.github.io/Logging_2039/tillsyn/A 9787-2024 tillsynsbegäran.docx", "A 9787-2024")</f>
        <v/>
      </c>
      <c r="Y97">
        <f>HYPERLINK("https://klasma.github.io/Logging_2039/tillsynsmail/A 9787-2024 tillsynsbegäran mail.docx", "A 9787-2024")</f>
        <v/>
      </c>
    </row>
    <row r="98" ht="15" customHeight="1">
      <c r="A98" t="inlineStr">
        <is>
          <t>A 18839-2024</t>
        </is>
      </c>
      <c r="B98" s="1" t="n">
        <v>45426</v>
      </c>
      <c r="C98" s="1" t="n">
        <v>45576</v>
      </c>
      <c r="D98" t="inlineStr">
        <is>
          <t>DALARNAS LÄN</t>
        </is>
      </c>
      <c r="E98" t="inlineStr">
        <is>
          <t>ÄLVDALEN</t>
        </is>
      </c>
      <c r="F98" t="inlineStr">
        <is>
          <t>Sveaskog</t>
        </is>
      </c>
      <c r="G98" t="n">
        <v>1.3</v>
      </c>
      <c r="H98" t="n">
        <v>0</v>
      </c>
      <c r="I98" t="n">
        <v>1</v>
      </c>
      <c r="J98" t="n">
        <v>2</v>
      </c>
      <c r="K98" t="n">
        <v>0</v>
      </c>
      <c r="L98" t="n">
        <v>0</v>
      </c>
      <c r="M98" t="n">
        <v>0</v>
      </c>
      <c r="N98" t="n">
        <v>0</v>
      </c>
      <c r="O98" t="n">
        <v>2</v>
      </c>
      <c r="P98" t="n">
        <v>0</v>
      </c>
      <c r="Q98" t="n">
        <v>3</v>
      </c>
      <c r="R98" s="2" t="inlineStr">
        <is>
          <t>Kolflarnlav
Vedflamlav
Dropptaggsvamp</t>
        </is>
      </c>
      <c r="S98">
        <f>HYPERLINK("https://klasma.github.io/Logging_2039/artfynd/A 18839-2024 artfynd.xlsx", "A 18839-2024")</f>
        <v/>
      </c>
      <c r="T98">
        <f>HYPERLINK("https://klasma.github.io/Logging_2039/kartor/A 18839-2024 karta.png", "A 18839-2024")</f>
        <v/>
      </c>
      <c r="V98">
        <f>HYPERLINK("https://klasma.github.io/Logging_2039/klagomål/A 18839-2024 FSC-klagomål.docx", "A 18839-2024")</f>
        <v/>
      </c>
      <c r="W98">
        <f>HYPERLINK("https://klasma.github.io/Logging_2039/klagomålsmail/A 18839-2024 FSC-klagomål mail.docx", "A 18839-2024")</f>
        <v/>
      </c>
      <c r="X98">
        <f>HYPERLINK("https://klasma.github.io/Logging_2039/tillsyn/A 18839-2024 tillsynsbegäran.docx", "A 18839-2024")</f>
        <v/>
      </c>
      <c r="Y98">
        <f>HYPERLINK("https://klasma.github.io/Logging_2039/tillsynsmail/A 18839-2024 tillsynsbegäran mail.docx", "A 18839-2024")</f>
        <v/>
      </c>
    </row>
    <row r="99" ht="15" customHeight="1">
      <c r="A99" t="inlineStr">
        <is>
          <t>A 18838-2024</t>
        </is>
      </c>
      <c r="B99" s="1" t="n">
        <v>45426</v>
      </c>
      <c r="C99" s="1" t="n">
        <v>45576</v>
      </c>
      <c r="D99" t="inlineStr">
        <is>
          <t>DALARNAS LÄN</t>
        </is>
      </c>
      <c r="E99" t="inlineStr">
        <is>
          <t>ÄLVDALEN</t>
        </is>
      </c>
      <c r="F99" t="inlineStr">
        <is>
          <t>Sveaskog</t>
        </is>
      </c>
      <c r="G99" t="n">
        <v>7.3</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18838-2024 artfynd.xlsx", "A 18838-2024")</f>
        <v/>
      </c>
      <c r="T99">
        <f>HYPERLINK("https://klasma.github.io/Logging_2039/kartor/A 18838-2024 karta.png", "A 18838-2024")</f>
        <v/>
      </c>
      <c r="V99">
        <f>HYPERLINK("https://klasma.github.io/Logging_2039/klagomål/A 18838-2024 FSC-klagomål.docx", "A 18838-2024")</f>
        <v/>
      </c>
      <c r="W99">
        <f>HYPERLINK("https://klasma.github.io/Logging_2039/klagomålsmail/A 18838-2024 FSC-klagomål mail.docx", "A 18838-2024")</f>
        <v/>
      </c>
      <c r="X99">
        <f>HYPERLINK("https://klasma.github.io/Logging_2039/tillsyn/A 18838-2024 tillsynsbegäran.docx", "A 18838-2024")</f>
        <v/>
      </c>
      <c r="Y99">
        <f>HYPERLINK("https://klasma.github.io/Logging_2039/tillsynsmail/A 18838-2024 tillsynsbegäran mail.docx", "A 18838-2024")</f>
        <v/>
      </c>
    </row>
    <row r="100" ht="15" customHeight="1">
      <c r="A100" t="inlineStr">
        <is>
          <t>A 21656-2024</t>
        </is>
      </c>
      <c r="B100" s="1" t="n">
        <v>45442</v>
      </c>
      <c r="C100" s="1" t="n">
        <v>45576</v>
      </c>
      <c r="D100" t="inlineStr">
        <is>
          <t>DALARNAS LÄN</t>
        </is>
      </c>
      <c r="E100" t="inlineStr">
        <is>
          <t>ÄLVDALEN</t>
        </is>
      </c>
      <c r="F100" t="inlineStr">
        <is>
          <t>Sveaskog</t>
        </is>
      </c>
      <c r="G100" t="n">
        <v>4.9</v>
      </c>
      <c r="H100" t="n">
        <v>0</v>
      </c>
      <c r="I100" t="n">
        <v>0</v>
      </c>
      <c r="J100" t="n">
        <v>2</v>
      </c>
      <c r="K100" t="n">
        <v>1</v>
      </c>
      <c r="L100" t="n">
        <v>0</v>
      </c>
      <c r="M100" t="n">
        <v>0</v>
      </c>
      <c r="N100" t="n">
        <v>0</v>
      </c>
      <c r="O100" t="n">
        <v>3</v>
      </c>
      <c r="P100" t="n">
        <v>1</v>
      </c>
      <c r="Q100" t="n">
        <v>3</v>
      </c>
      <c r="R100" s="2" t="inlineStr">
        <is>
          <t>Gräddporing
Kolflarnlav
Vedflamlav</t>
        </is>
      </c>
      <c r="S100">
        <f>HYPERLINK("https://klasma.github.io/Logging_2039/artfynd/A 21656-2024 artfynd.xlsx", "A 21656-2024")</f>
        <v/>
      </c>
      <c r="T100">
        <f>HYPERLINK("https://klasma.github.io/Logging_2039/kartor/A 21656-2024 karta.png", "A 21656-2024")</f>
        <v/>
      </c>
      <c r="V100">
        <f>HYPERLINK("https://klasma.github.io/Logging_2039/klagomål/A 21656-2024 FSC-klagomål.docx", "A 21656-2024")</f>
        <v/>
      </c>
      <c r="W100">
        <f>HYPERLINK("https://klasma.github.io/Logging_2039/klagomålsmail/A 21656-2024 FSC-klagomål mail.docx", "A 21656-2024")</f>
        <v/>
      </c>
      <c r="X100">
        <f>HYPERLINK("https://klasma.github.io/Logging_2039/tillsyn/A 21656-2024 tillsynsbegäran.docx", "A 21656-2024")</f>
        <v/>
      </c>
      <c r="Y100">
        <f>HYPERLINK("https://klasma.github.io/Logging_2039/tillsynsmail/A 21656-2024 tillsynsbegäran mail.docx", "A 21656-2024")</f>
        <v/>
      </c>
    </row>
    <row r="101" ht="15" customHeight="1">
      <c r="A101" t="inlineStr">
        <is>
          <t>A 31057-2024</t>
        </is>
      </c>
      <c r="B101" s="1" t="n">
        <v>45502</v>
      </c>
      <c r="C101" s="1" t="n">
        <v>45576</v>
      </c>
      <c r="D101" t="inlineStr">
        <is>
          <t>DALARNAS LÄN</t>
        </is>
      </c>
      <c r="E101" t="inlineStr">
        <is>
          <t>ÄLVDALEN</t>
        </is>
      </c>
      <c r="F101" t="inlineStr">
        <is>
          <t>Sveaskog</t>
        </is>
      </c>
      <c r="G101" t="n">
        <v>2.4</v>
      </c>
      <c r="H101" t="n">
        <v>0</v>
      </c>
      <c r="I101" t="n">
        <v>1</v>
      </c>
      <c r="J101" t="n">
        <v>2</v>
      </c>
      <c r="K101" t="n">
        <v>0</v>
      </c>
      <c r="L101" t="n">
        <v>0</v>
      </c>
      <c r="M101" t="n">
        <v>0</v>
      </c>
      <c r="N101" t="n">
        <v>0</v>
      </c>
      <c r="O101" t="n">
        <v>2</v>
      </c>
      <c r="P101" t="n">
        <v>0</v>
      </c>
      <c r="Q101" t="n">
        <v>3</v>
      </c>
      <c r="R101" s="2" t="inlineStr">
        <is>
          <t>Blå taggsvamp
Kolflarnlav
Skarp dropptaggsvamp</t>
        </is>
      </c>
      <c r="S101">
        <f>HYPERLINK("https://klasma.github.io/Logging_2039/artfynd/A 31057-2024 artfynd.xlsx", "A 31057-2024")</f>
        <v/>
      </c>
      <c r="T101">
        <f>HYPERLINK("https://klasma.github.io/Logging_2039/kartor/A 31057-2024 karta.png", "A 31057-2024")</f>
        <v/>
      </c>
      <c r="V101">
        <f>HYPERLINK("https://klasma.github.io/Logging_2039/klagomål/A 31057-2024 FSC-klagomål.docx", "A 31057-2024")</f>
        <v/>
      </c>
      <c r="W101">
        <f>HYPERLINK("https://klasma.github.io/Logging_2039/klagomålsmail/A 31057-2024 FSC-klagomål mail.docx", "A 31057-2024")</f>
        <v/>
      </c>
      <c r="X101">
        <f>HYPERLINK("https://klasma.github.io/Logging_2039/tillsyn/A 31057-2024 tillsynsbegäran.docx", "A 31057-2024")</f>
        <v/>
      </c>
      <c r="Y101">
        <f>HYPERLINK("https://klasma.github.io/Logging_2039/tillsynsmail/A 31057-2024 tillsynsbegäran mail.docx", "A 31057-2024")</f>
        <v/>
      </c>
    </row>
    <row r="102" ht="15" customHeight="1">
      <c r="A102" t="inlineStr">
        <is>
          <t>A 45015-2019</t>
        </is>
      </c>
      <c r="B102" s="1" t="n">
        <v>43707</v>
      </c>
      <c r="C102" s="1" t="n">
        <v>45576</v>
      </c>
      <c r="D102" t="inlineStr">
        <is>
          <t>DALARNAS LÄN</t>
        </is>
      </c>
      <c r="E102" t="inlineStr">
        <is>
          <t>ÄLVDALEN</t>
        </is>
      </c>
      <c r="F102" t="inlineStr">
        <is>
          <t>Sveaskog</t>
        </is>
      </c>
      <c r="G102" t="n">
        <v>33.8</v>
      </c>
      <c r="H102" t="n">
        <v>1</v>
      </c>
      <c r="I102" t="n">
        <v>0</v>
      </c>
      <c r="J102" t="n">
        <v>2</v>
      </c>
      <c r="K102" t="n">
        <v>0</v>
      </c>
      <c r="L102" t="n">
        <v>0</v>
      </c>
      <c r="M102" t="n">
        <v>0</v>
      </c>
      <c r="N102" t="n">
        <v>0</v>
      </c>
      <c r="O102" t="n">
        <v>2</v>
      </c>
      <c r="P102" t="n">
        <v>0</v>
      </c>
      <c r="Q102" t="n">
        <v>2</v>
      </c>
      <c r="R102" s="2" t="inlineStr">
        <is>
          <t>Skrovellav
Varglav</t>
        </is>
      </c>
      <c r="S102">
        <f>HYPERLINK("https://klasma.github.io/Logging_2039/artfynd/A 45015-2019 artfynd.xlsx", "A 45015-2019")</f>
        <v/>
      </c>
      <c r="T102">
        <f>HYPERLINK("https://klasma.github.io/Logging_2039/kartor/A 45015-2019 karta.png", "A 45015-2019")</f>
        <v/>
      </c>
      <c r="V102">
        <f>HYPERLINK("https://klasma.github.io/Logging_2039/klagomål/A 45015-2019 FSC-klagomål.docx", "A 45015-2019")</f>
        <v/>
      </c>
      <c r="W102">
        <f>HYPERLINK("https://klasma.github.io/Logging_2039/klagomålsmail/A 45015-2019 FSC-klagomål mail.docx", "A 45015-2019")</f>
        <v/>
      </c>
      <c r="X102">
        <f>HYPERLINK("https://klasma.github.io/Logging_2039/tillsyn/A 45015-2019 tillsynsbegäran.docx", "A 45015-2019")</f>
        <v/>
      </c>
      <c r="Y102">
        <f>HYPERLINK("https://klasma.github.io/Logging_2039/tillsynsmail/A 45015-2019 tillsynsbegäran mail.docx", "A 45015-2019")</f>
        <v/>
      </c>
    </row>
    <row r="103" ht="15" customHeight="1">
      <c r="A103" t="inlineStr">
        <is>
          <t>A 30615-2021</t>
        </is>
      </c>
      <c r="B103" s="1" t="n">
        <v>44365</v>
      </c>
      <c r="C103" s="1" t="n">
        <v>45576</v>
      </c>
      <c r="D103" t="inlineStr">
        <is>
          <t>DALARNAS LÄN</t>
        </is>
      </c>
      <c r="E103" t="inlineStr">
        <is>
          <t>ÄLVDALEN</t>
        </is>
      </c>
      <c r="F103" t="inlineStr">
        <is>
          <t>Sveaskog</t>
        </is>
      </c>
      <c r="G103" t="n">
        <v>22.8</v>
      </c>
      <c r="H103" t="n">
        <v>0</v>
      </c>
      <c r="I103" t="n">
        <v>1</v>
      </c>
      <c r="J103" t="n">
        <v>0</v>
      </c>
      <c r="K103" t="n">
        <v>1</v>
      </c>
      <c r="L103" t="n">
        <v>0</v>
      </c>
      <c r="M103" t="n">
        <v>0</v>
      </c>
      <c r="N103" t="n">
        <v>0</v>
      </c>
      <c r="O103" t="n">
        <v>1</v>
      </c>
      <c r="P103" t="n">
        <v>1</v>
      </c>
      <c r="Q103" t="n">
        <v>2</v>
      </c>
      <c r="R103" s="2" t="inlineStr">
        <is>
          <t>Smalfotad taggsvamp
Dropptaggsvamp</t>
        </is>
      </c>
      <c r="S103">
        <f>HYPERLINK("https://klasma.github.io/Logging_2039/artfynd/A 30615-2021 artfynd.xlsx", "A 30615-2021")</f>
        <v/>
      </c>
      <c r="T103">
        <f>HYPERLINK("https://klasma.github.io/Logging_2039/kartor/A 30615-2021 karta.png", "A 30615-2021")</f>
        <v/>
      </c>
      <c r="V103">
        <f>HYPERLINK("https://klasma.github.io/Logging_2039/klagomål/A 30615-2021 FSC-klagomål.docx", "A 30615-2021")</f>
        <v/>
      </c>
      <c r="W103">
        <f>HYPERLINK("https://klasma.github.io/Logging_2039/klagomålsmail/A 30615-2021 FSC-klagomål mail.docx", "A 30615-2021")</f>
        <v/>
      </c>
      <c r="X103">
        <f>HYPERLINK("https://klasma.github.io/Logging_2039/tillsyn/A 30615-2021 tillsynsbegäran.docx", "A 30615-2021")</f>
        <v/>
      </c>
      <c r="Y103">
        <f>HYPERLINK("https://klasma.github.io/Logging_2039/tillsynsmail/A 30615-2021 tillsynsbegäran mail.docx", "A 30615-2021")</f>
        <v/>
      </c>
    </row>
    <row r="104" ht="15" customHeight="1">
      <c r="A104" t="inlineStr">
        <is>
          <t>A 40231-2021</t>
        </is>
      </c>
      <c r="B104" s="1" t="n">
        <v>44419</v>
      </c>
      <c r="C104" s="1" t="n">
        <v>45576</v>
      </c>
      <c r="D104" t="inlineStr">
        <is>
          <t>DALARNAS LÄN</t>
        </is>
      </c>
      <c r="E104" t="inlineStr">
        <is>
          <t>ÄLVDALEN</t>
        </is>
      </c>
      <c r="F104" t="inlineStr">
        <is>
          <t>Sveaskog</t>
        </is>
      </c>
      <c r="G104" t="n">
        <v>4.1</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40231-2021 artfynd.xlsx", "A 40231-2021")</f>
        <v/>
      </c>
      <c r="T104">
        <f>HYPERLINK("https://klasma.github.io/Logging_2039/kartor/A 40231-2021 karta.png", "A 40231-2021")</f>
        <v/>
      </c>
      <c r="V104">
        <f>HYPERLINK("https://klasma.github.io/Logging_2039/klagomål/A 40231-2021 FSC-klagomål.docx", "A 40231-2021")</f>
        <v/>
      </c>
      <c r="W104">
        <f>HYPERLINK("https://klasma.github.io/Logging_2039/klagomålsmail/A 40231-2021 FSC-klagomål mail.docx", "A 40231-2021")</f>
        <v/>
      </c>
      <c r="X104">
        <f>HYPERLINK("https://klasma.github.io/Logging_2039/tillsyn/A 40231-2021 tillsynsbegäran.docx", "A 40231-2021")</f>
        <v/>
      </c>
      <c r="Y104">
        <f>HYPERLINK("https://klasma.github.io/Logging_2039/tillsynsmail/A 40231-2021 tillsynsbegäran mail.docx", "A 40231-2021")</f>
        <v/>
      </c>
    </row>
    <row r="105" ht="15" customHeight="1">
      <c r="A105" t="inlineStr">
        <is>
          <t>A 44407-2021</t>
        </is>
      </c>
      <c r="B105" s="1" t="n">
        <v>44435</v>
      </c>
      <c r="C105" s="1" t="n">
        <v>45576</v>
      </c>
      <c r="D105" t="inlineStr">
        <is>
          <t>DALARNAS LÄN</t>
        </is>
      </c>
      <c r="E105" t="inlineStr">
        <is>
          <t>ÄLVDALEN</t>
        </is>
      </c>
      <c r="F105" t="inlineStr">
        <is>
          <t>Sveaskog</t>
        </is>
      </c>
      <c r="G105" t="n">
        <v>4.4</v>
      </c>
      <c r="H105" t="n">
        <v>0</v>
      </c>
      <c r="I105" t="n">
        <v>1</v>
      </c>
      <c r="J105" t="n">
        <v>1</v>
      </c>
      <c r="K105" t="n">
        <v>0</v>
      </c>
      <c r="L105" t="n">
        <v>0</v>
      </c>
      <c r="M105" t="n">
        <v>0</v>
      </c>
      <c r="N105" t="n">
        <v>0</v>
      </c>
      <c r="O105" t="n">
        <v>1</v>
      </c>
      <c r="P105" t="n">
        <v>0</v>
      </c>
      <c r="Q105" t="n">
        <v>2</v>
      </c>
      <c r="R105" s="2" t="inlineStr">
        <is>
          <t>Garnlav
Dropptaggsvamp</t>
        </is>
      </c>
      <c r="S105">
        <f>HYPERLINK("https://klasma.github.io/Logging_2039/artfynd/A 44407-2021 artfynd.xlsx", "A 44407-2021")</f>
        <v/>
      </c>
      <c r="T105">
        <f>HYPERLINK("https://klasma.github.io/Logging_2039/kartor/A 44407-2021 karta.png", "A 44407-2021")</f>
        <v/>
      </c>
      <c r="V105">
        <f>HYPERLINK("https://klasma.github.io/Logging_2039/klagomål/A 44407-2021 FSC-klagomål.docx", "A 44407-2021")</f>
        <v/>
      </c>
      <c r="W105">
        <f>HYPERLINK("https://klasma.github.io/Logging_2039/klagomålsmail/A 44407-2021 FSC-klagomål mail.docx", "A 44407-2021")</f>
        <v/>
      </c>
      <c r="X105">
        <f>HYPERLINK("https://klasma.github.io/Logging_2039/tillsyn/A 44407-2021 tillsynsbegäran.docx", "A 44407-2021")</f>
        <v/>
      </c>
      <c r="Y105">
        <f>HYPERLINK("https://klasma.github.io/Logging_2039/tillsynsmail/A 44407-2021 tillsynsbegäran mail.docx", "A 44407-2021")</f>
        <v/>
      </c>
    </row>
    <row r="106" ht="15" customHeight="1">
      <c r="A106" t="inlineStr">
        <is>
          <t>A 54632-2021</t>
        </is>
      </c>
      <c r="B106" s="1" t="n">
        <v>44473</v>
      </c>
      <c r="C106" s="1" t="n">
        <v>45576</v>
      </c>
      <c r="D106" t="inlineStr">
        <is>
          <t>DALARNAS LÄN</t>
        </is>
      </c>
      <c r="E106" t="inlineStr">
        <is>
          <t>ÄLVDALEN</t>
        </is>
      </c>
      <c r="G106" t="n">
        <v>4.8</v>
      </c>
      <c r="H106" t="n">
        <v>1</v>
      </c>
      <c r="I106" t="n">
        <v>0</v>
      </c>
      <c r="J106" t="n">
        <v>2</v>
      </c>
      <c r="K106" t="n">
        <v>0</v>
      </c>
      <c r="L106" t="n">
        <v>0</v>
      </c>
      <c r="M106" t="n">
        <v>0</v>
      </c>
      <c r="N106" t="n">
        <v>0</v>
      </c>
      <c r="O106" t="n">
        <v>2</v>
      </c>
      <c r="P106" t="n">
        <v>0</v>
      </c>
      <c r="Q106" t="n">
        <v>2</v>
      </c>
      <c r="R106" s="2" t="inlineStr">
        <is>
          <t>Varglav
Vedflamlav</t>
        </is>
      </c>
      <c r="S106">
        <f>HYPERLINK("https://klasma.github.io/Logging_2039/artfynd/A 54632-2021 artfynd.xlsx", "A 54632-2021")</f>
        <v/>
      </c>
      <c r="T106">
        <f>HYPERLINK("https://klasma.github.io/Logging_2039/kartor/A 54632-2021 karta.png", "A 54632-2021")</f>
        <v/>
      </c>
      <c r="V106">
        <f>HYPERLINK("https://klasma.github.io/Logging_2039/klagomål/A 54632-2021 FSC-klagomål.docx", "A 54632-2021")</f>
        <v/>
      </c>
      <c r="W106">
        <f>HYPERLINK("https://klasma.github.io/Logging_2039/klagomålsmail/A 54632-2021 FSC-klagomål mail.docx", "A 54632-2021")</f>
        <v/>
      </c>
      <c r="X106">
        <f>HYPERLINK("https://klasma.github.io/Logging_2039/tillsyn/A 54632-2021 tillsynsbegäran.docx", "A 54632-2021")</f>
        <v/>
      </c>
      <c r="Y106">
        <f>HYPERLINK("https://klasma.github.io/Logging_2039/tillsynsmail/A 54632-2021 tillsynsbegäran mail.docx", "A 54632-2021")</f>
        <v/>
      </c>
    </row>
    <row r="107" ht="15" customHeight="1">
      <c r="A107" t="inlineStr">
        <is>
          <t>A 67709-2021</t>
        </is>
      </c>
      <c r="B107" s="1" t="n">
        <v>44525</v>
      </c>
      <c r="C107" s="1" t="n">
        <v>45576</v>
      </c>
      <c r="D107" t="inlineStr">
        <is>
          <t>DALARNAS LÄN</t>
        </is>
      </c>
      <c r="E107" t="inlineStr">
        <is>
          <t>ÄLVDALEN</t>
        </is>
      </c>
      <c r="F107" t="inlineStr">
        <is>
          <t>Sveaskog</t>
        </is>
      </c>
      <c r="G107" t="n">
        <v>4.4</v>
      </c>
      <c r="H107" t="n">
        <v>0</v>
      </c>
      <c r="I107" t="n">
        <v>2</v>
      </c>
      <c r="J107" t="n">
        <v>0</v>
      </c>
      <c r="K107" t="n">
        <v>0</v>
      </c>
      <c r="L107" t="n">
        <v>0</v>
      </c>
      <c r="M107" t="n">
        <v>0</v>
      </c>
      <c r="N107" t="n">
        <v>0</v>
      </c>
      <c r="O107" t="n">
        <v>0</v>
      </c>
      <c r="P107" t="n">
        <v>0</v>
      </c>
      <c r="Q107" t="n">
        <v>2</v>
      </c>
      <c r="R107" s="2" t="inlineStr">
        <is>
          <t>Dropptaggsvamp
Skarp dropptaggsvamp</t>
        </is>
      </c>
      <c r="S107">
        <f>HYPERLINK("https://klasma.github.io/Logging_2039/artfynd/A 67709-2021 artfynd.xlsx", "A 67709-2021")</f>
        <v/>
      </c>
      <c r="T107">
        <f>HYPERLINK("https://klasma.github.io/Logging_2039/kartor/A 67709-2021 karta.png", "A 67709-2021")</f>
        <v/>
      </c>
      <c r="V107">
        <f>HYPERLINK("https://klasma.github.io/Logging_2039/klagomål/A 67709-2021 FSC-klagomål.docx", "A 67709-2021")</f>
        <v/>
      </c>
      <c r="W107">
        <f>HYPERLINK("https://klasma.github.io/Logging_2039/klagomålsmail/A 67709-2021 FSC-klagomål mail.docx", "A 67709-2021")</f>
        <v/>
      </c>
      <c r="X107">
        <f>HYPERLINK("https://klasma.github.io/Logging_2039/tillsyn/A 67709-2021 tillsynsbegäran.docx", "A 67709-2021")</f>
        <v/>
      </c>
      <c r="Y107">
        <f>HYPERLINK("https://klasma.github.io/Logging_2039/tillsynsmail/A 67709-2021 tillsynsbegäran mail.docx", "A 67709-2021")</f>
        <v/>
      </c>
    </row>
    <row r="108" ht="15" customHeight="1">
      <c r="A108" t="inlineStr">
        <is>
          <t>A 69726-2021</t>
        </is>
      </c>
      <c r="B108" s="1" t="n">
        <v>44532</v>
      </c>
      <c r="C108" s="1" t="n">
        <v>45576</v>
      </c>
      <c r="D108" t="inlineStr">
        <is>
          <t>DALARNAS LÄN</t>
        </is>
      </c>
      <c r="E108" t="inlineStr">
        <is>
          <t>ÄLVDALEN</t>
        </is>
      </c>
      <c r="F108" t="inlineStr">
        <is>
          <t>Sveaskog</t>
        </is>
      </c>
      <c r="G108" t="n">
        <v>7.2</v>
      </c>
      <c r="H108" t="n">
        <v>0</v>
      </c>
      <c r="I108" t="n">
        <v>1</v>
      </c>
      <c r="J108" t="n">
        <v>1</v>
      </c>
      <c r="K108" t="n">
        <v>0</v>
      </c>
      <c r="L108" t="n">
        <v>0</v>
      </c>
      <c r="M108" t="n">
        <v>0</v>
      </c>
      <c r="N108" t="n">
        <v>0</v>
      </c>
      <c r="O108" t="n">
        <v>1</v>
      </c>
      <c r="P108" t="n">
        <v>0</v>
      </c>
      <c r="Q108" t="n">
        <v>2</v>
      </c>
      <c r="R108" s="2" t="inlineStr">
        <is>
          <t>Garnlav
Dropptaggsvamp</t>
        </is>
      </c>
      <c r="S108">
        <f>HYPERLINK("https://klasma.github.io/Logging_2039/artfynd/A 69726-2021 artfynd.xlsx", "A 69726-2021")</f>
        <v/>
      </c>
      <c r="T108">
        <f>HYPERLINK("https://klasma.github.io/Logging_2039/kartor/A 69726-2021 karta.png", "A 69726-2021")</f>
        <v/>
      </c>
      <c r="V108">
        <f>HYPERLINK("https://klasma.github.io/Logging_2039/klagomål/A 69726-2021 FSC-klagomål.docx", "A 69726-2021")</f>
        <v/>
      </c>
      <c r="W108">
        <f>HYPERLINK("https://klasma.github.io/Logging_2039/klagomålsmail/A 69726-2021 FSC-klagomål mail.docx", "A 69726-2021")</f>
        <v/>
      </c>
      <c r="X108">
        <f>HYPERLINK("https://klasma.github.io/Logging_2039/tillsyn/A 69726-2021 tillsynsbegäran.docx", "A 69726-2021")</f>
        <v/>
      </c>
      <c r="Y108">
        <f>HYPERLINK("https://klasma.github.io/Logging_2039/tillsynsmail/A 69726-2021 tillsynsbegäran mail.docx", "A 69726-2021")</f>
        <v/>
      </c>
    </row>
    <row r="109" ht="15" customHeight="1">
      <c r="A109" t="inlineStr">
        <is>
          <t>A 21629-2022</t>
        </is>
      </c>
      <c r="B109" s="1" t="n">
        <v>44706</v>
      </c>
      <c r="C109" s="1" t="n">
        <v>45576</v>
      </c>
      <c r="D109" t="inlineStr">
        <is>
          <t>DALARNAS LÄN</t>
        </is>
      </c>
      <c r="E109" t="inlineStr">
        <is>
          <t>ÄLVDALEN</t>
        </is>
      </c>
      <c r="F109" t="inlineStr">
        <is>
          <t>Övriga statliga verk och myndigheter</t>
        </is>
      </c>
      <c r="G109" t="n">
        <v>19.2</v>
      </c>
      <c r="H109" t="n">
        <v>0</v>
      </c>
      <c r="I109" t="n">
        <v>1</v>
      </c>
      <c r="J109" t="n">
        <v>1</v>
      </c>
      <c r="K109" t="n">
        <v>0</v>
      </c>
      <c r="L109" t="n">
        <v>0</v>
      </c>
      <c r="M109" t="n">
        <v>0</v>
      </c>
      <c r="N109" t="n">
        <v>0</v>
      </c>
      <c r="O109" t="n">
        <v>1</v>
      </c>
      <c r="P109" t="n">
        <v>0</v>
      </c>
      <c r="Q109" t="n">
        <v>2</v>
      </c>
      <c r="R109" s="2" t="inlineStr">
        <is>
          <t>Vitgrynig nållav
Kransrams</t>
        </is>
      </c>
      <c r="S109">
        <f>HYPERLINK("https://klasma.github.io/Logging_2039/artfynd/A 21629-2022 artfynd.xlsx", "A 21629-2022")</f>
        <v/>
      </c>
      <c r="T109">
        <f>HYPERLINK("https://klasma.github.io/Logging_2039/kartor/A 21629-2022 karta.png", "A 21629-2022")</f>
        <v/>
      </c>
      <c r="V109">
        <f>HYPERLINK("https://klasma.github.io/Logging_2039/klagomål/A 21629-2022 FSC-klagomål.docx", "A 21629-2022")</f>
        <v/>
      </c>
      <c r="W109">
        <f>HYPERLINK("https://klasma.github.io/Logging_2039/klagomålsmail/A 21629-2022 FSC-klagomål mail.docx", "A 21629-2022")</f>
        <v/>
      </c>
      <c r="X109">
        <f>HYPERLINK("https://klasma.github.io/Logging_2039/tillsyn/A 21629-2022 tillsynsbegäran.docx", "A 21629-2022")</f>
        <v/>
      </c>
      <c r="Y109">
        <f>HYPERLINK("https://klasma.github.io/Logging_2039/tillsynsmail/A 21629-2022 tillsynsbegäran mail.docx", "A 21629-2022")</f>
        <v/>
      </c>
    </row>
    <row r="110" ht="15" customHeight="1">
      <c r="A110" t="inlineStr">
        <is>
          <t>A 50242-2022</t>
        </is>
      </c>
      <c r="B110" s="1" t="n">
        <v>44865</v>
      </c>
      <c r="C110" s="1" t="n">
        <v>45576</v>
      </c>
      <c r="D110" t="inlineStr">
        <is>
          <t>DALARNAS LÄN</t>
        </is>
      </c>
      <c r="E110" t="inlineStr">
        <is>
          <t>ÄLVDALEN</t>
        </is>
      </c>
      <c r="F110" t="inlineStr">
        <is>
          <t>Sveaskog</t>
        </is>
      </c>
      <c r="G110" t="n">
        <v>10.7</v>
      </c>
      <c r="H110" t="n">
        <v>0</v>
      </c>
      <c r="I110" t="n">
        <v>1</v>
      </c>
      <c r="J110" t="n">
        <v>1</v>
      </c>
      <c r="K110" t="n">
        <v>0</v>
      </c>
      <c r="L110" t="n">
        <v>0</v>
      </c>
      <c r="M110" t="n">
        <v>0</v>
      </c>
      <c r="N110" t="n">
        <v>0</v>
      </c>
      <c r="O110" t="n">
        <v>1</v>
      </c>
      <c r="P110" t="n">
        <v>0</v>
      </c>
      <c r="Q110" t="n">
        <v>2</v>
      </c>
      <c r="R110" s="2" t="inlineStr">
        <is>
          <t>Kolflarnlav
Dropptaggsvamp</t>
        </is>
      </c>
      <c r="S110">
        <f>HYPERLINK("https://klasma.github.io/Logging_2039/artfynd/A 50242-2022 artfynd.xlsx", "A 50242-2022")</f>
        <v/>
      </c>
      <c r="T110">
        <f>HYPERLINK("https://klasma.github.io/Logging_2039/kartor/A 50242-2022 karta.png", "A 50242-2022")</f>
        <v/>
      </c>
      <c r="V110">
        <f>HYPERLINK("https://klasma.github.io/Logging_2039/klagomål/A 50242-2022 FSC-klagomål.docx", "A 50242-2022")</f>
        <v/>
      </c>
      <c r="W110">
        <f>HYPERLINK("https://klasma.github.io/Logging_2039/klagomålsmail/A 50242-2022 FSC-klagomål mail.docx", "A 50242-2022")</f>
        <v/>
      </c>
      <c r="X110">
        <f>HYPERLINK("https://klasma.github.io/Logging_2039/tillsyn/A 50242-2022 tillsynsbegäran.docx", "A 50242-2022")</f>
        <v/>
      </c>
      <c r="Y110">
        <f>HYPERLINK("https://klasma.github.io/Logging_2039/tillsynsmail/A 50242-2022 tillsynsbegäran mail.docx", "A 50242-2022")</f>
        <v/>
      </c>
    </row>
    <row r="111" ht="15" customHeight="1">
      <c r="A111" t="inlineStr">
        <is>
          <t>A 52490-2022</t>
        </is>
      </c>
      <c r="B111" s="1" t="n">
        <v>44874</v>
      </c>
      <c r="C111" s="1" t="n">
        <v>45576</v>
      </c>
      <c r="D111" t="inlineStr">
        <is>
          <t>DALARNAS LÄN</t>
        </is>
      </c>
      <c r="E111" t="inlineStr">
        <is>
          <t>ÄLVDALEN</t>
        </is>
      </c>
      <c r="G111" t="n">
        <v>4.3</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52490-2022 artfynd.xlsx", "A 52490-2022")</f>
        <v/>
      </c>
      <c r="T111">
        <f>HYPERLINK("https://klasma.github.io/Logging_2039/kartor/A 52490-2022 karta.png", "A 52490-2022")</f>
        <v/>
      </c>
      <c r="V111">
        <f>HYPERLINK("https://klasma.github.io/Logging_2039/klagomål/A 52490-2022 FSC-klagomål.docx", "A 52490-2022")</f>
        <v/>
      </c>
      <c r="W111">
        <f>HYPERLINK("https://klasma.github.io/Logging_2039/klagomålsmail/A 52490-2022 FSC-klagomål mail.docx", "A 52490-2022")</f>
        <v/>
      </c>
      <c r="X111">
        <f>HYPERLINK("https://klasma.github.io/Logging_2039/tillsyn/A 52490-2022 tillsynsbegäran.docx", "A 52490-2022")</f>
        <v/>
      </c>
      <c r="Y111">
        <f>HYPERLINK("https://klasma.github.io/Logging_2039/tillsynsmail/A 52490-2022 tillsynsbegäran mail.docx", "A 52490-2022")</f>
        <v/>
      </c>
    </row>
    <row r="112" ht="15" customHeight="1">
      <c r="A112" t="inlineStr">
        <is>
          <t>A 21857-2023</t>
        </is>
      </c>
      <c r="B112" s="1" t="n">
        <v>45068</v>
      </c>
      <c r="C112" s="1" t="n">
        <v>45576</v>
      </c>
      <c r="D112" t="inlineStr">
        <is>
          <t>DALARNAS LÄN</t>
        </is>
      </c>
      <c r="E112" t="inlineStr">
        <is>
          <t>ÄLVDALEN</t>
        </is>
      </c>
      <c r="F112" t="inlineStr">
        <is>
          <t>Allmännings- och besparingsskogar</t>
        </is>
      </c>
      <c r="G112" t="n">
        <v>25.2</v>
      </c>
      <c r="H112" t="n">
        <v>1</v>
      </c>
      <c r="I112" t="n">
        <v>0</v>
      </c>
      <c r="J112" t="n">
        <v>2</v>
      </c>
      <c r="K112" t="n">
        <v>0</v>
      </c>
      <c r="L112" t="n">
        <v>0</v>
      </c>
      <c r="M112" t="n">
        <v>0</v>
      </c>
      <c r="N112" t="n">
        <v>0</v>
      </c>
      <c r="O112" t="n">
        <v>2</v>
      </c>
      <c r="P112" t="n">
        <v>0</v>
      </c>
      <c r="Q112" t="n">
        <v>2</v>
      </c>
      <c r="R112" s="2" t="inlineStr">
        <is>
          <t>Svartvit flugsnappare
Vedflamlav</t>
        </is>
      </c>
      <c r="S112">
        <f>HYPERLINK("https://klasma.github.io/Logging_2039/artfynd/A 21857-2023 artfynd.xlsx", "A 21857-2023")</f>
        <v/>
      </c>
      <c r="T112">
        <f>HYPERLINK("https://klasma.github.io/Logging_2039/kartor/A 21857-2023 karta.png", "A 21857-2023")</f>
        <v/>
      </c>
      <c r="V112">
        <f>HYPERLINK("https://klasma.github.io/Logging_2039/klagomål/A 21857-2023 FSC-klagomål.docx", "A 21857-2023")</f>
        <v/>
      </c>
      <c r="W112">
        <f>HYPERLINK("https://klasma.github.io/Logging_2039/klagomålsmail/A 21857-2023 FSC-klagomål mail.docx", "A 21857-2023")</f>
        <v/>
      </c>
      <c r="X112">
        <f>HYPERLINK("https://klasma.github.io/Logging_2039/tillsyn/A 21857-2023 tillsynsbegäran.docx", "A 21857-2023")</f>
        <v/>
      </c>
      <c r="Y112">
        <f>HYPERLINK("https://klasma.github.io/Logging_2039/tillsynsmail/A 21857-2023 tillsynsbegäran mail.docx", "A 21857-2023")</f>
        <v/>
      </c>
      <c r="Z112">
        <f>HYPERLINK("https://klasma.github.io/Logging_2039/fåglar/A 21857-2023 prioriterade fågelarter.docx", "A 21857-2023")</f>
        <v/>
      </c>
    </row>
    <row r="113" ht="15" customHeight="1">
      <c r="A113" t="inlineStr">
        <is>
          <t>A 27967-2023</t>
        </is>
      </c>
      <c r="B113" s="1" t="n">
        <v>45098</v>
      </c>
      <c r="C113" s="1" t="n">
        <v>45576</v>
      </c>
      <c r="D113" t="inlineStr">
        <is>
          <t>DALARNAS LÄN</t>
        </is>
      </c>
      <c r="E113" t="inlineStr">
        <is>
          <t>ÄLVDALEN</t>
        </is>
      </c>
      <c r="F113" t="inlineStr">
        <is>
          <t>Sveaskog</t>
        </is>
      </c>
      <c r="G113" t="n">
        <v>1.9</v>
      </c>
      <c r="H113" t="n">
        <v>0</v>
      </c>
      <c r="I113" t="n">
        <v>0</v>
      </c>
      <c r="J113" t="n">
        <v>2</v>
      </c>
      <c r="K113" t="n">
        <v>0</v>
      </c>
      <c r="L113" t="n">
        <v>0</v>
      </c>
      <c r="M113" t="n">
        <v>0</v>
      </c>
      <c r="N113" t="n">
        <v>0</v>
      </c>
      <c r="O113" t="n">
        <v>2</v>
      </c>
      <c r="P113" t="n">
        <v>0</v>
      </c>
      <c r="Q113" t="n">
        <v>2</v>
      </c>
      <c r="R113" s="2" t="inlineStr">
        <is>
          <t>Kolflarnlav
Mörk kolflarnlav</t>
        </is>
      </c>
      <c r="S113">
        <f>HYPERLINK("https://klasma.github.io/Logging_2039/artfynd/A 27967-2023 artfynd.xlsx", "A 27967-2023")</f>
        <v/>
      </c>
      <c r="T113">
        <f>HYPERLINK("https://klasma.github.io/Logging_2039/kartor/A 27967-2023 karta.png", "A 27967-2023")</f>
        <v/>
      </c>
      <c r="V113">
        <f>HYPERLINK("https://klasma.github.io/Logging_2039/klagomål/A 27967-2023 FSC-klagomål.docx", "A 27967-2023")</f>
        <v/>
      </c>
      <c r="W113">
        <f>HYPERLINK("https://klasma.github.io/Logging_2039/klagomålsmail/A 27967-2023 FSC-klagomål mail.docx", "A 27967-2023")</f>
        <v/>
      </c>
      <c r="X113">
        <f>HYPERLINK("https://klasma.github.io/Logging_2039/tillsyn/A 27967-2023 tillsynsbegäran.docx", "A 27967-2023")</f>
        <v/>
      </c>
      <c r="Y113">
        <f>HYPERLINK("https://klasma.github.io/Logging_2039/tillsynsmail/A 27967-2023 tillsynsbegäran mail.docx", "A 27967-2023")</f>
        <v/>
      </c>
    </row>
    <row r="114" ht="15" customHeight="1">
      <c r="A114" t="inlineStr">
        <is>
          <t>A 33894-2023</t>
        </is>
      </c>
      <c r="B114" s="1" t="n">
        <v>45121</v>
      </c>
      <c r="C114" s="1" t="n">
        <v>45576</v>
      </c>
      <c r="D114" t="inlineStr">
        <is>
          <t>DALARNAS LÄN</t>
        </is>
      </c>
      <c r="E114" t="inlineStr">
        <is>
          <t>ÄLVDALEN</t>
        </is>
      </c>
      <c r="F114" t="inlineStr">
        <is>
          <t>Sveaskog</t>
        </is>
      </c>
      <c r="G114" t="n">
        <v>3</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33894-2023 artfynd.xlsx", "A 33894-2023")</f>
        <v/>
      </c>
      <c r="T114">
        <f>HYPERLINK("https://klasma.github.io/Logging_2039/kartor/A 33894-2023 karta.png", "A 33894-2023")</f>
        <v/>
      </c>
      <c r="V114">
        <f>HYPERLINK("https://klasma.github.io/Logging_2039/klagomål/A 33894-2023 FSC-klagomål.docx", "A 33894-2023")</f>
        <v/>
      </c>
      <c r="W114">
        <f>HYPERLINK("https://klasma.github.io/Logging_2039/klagomålsmail/A 33894-2023 FSC-klagomål mail.docx", "A 33894-2023")</f>
        <v/>
      </c>
      <c r="X114">
        <f>HYPERLINK("https://klasma.github.io/Logging_2039/tillsyn/A 33894-2023 tillsynsbegäran.docx", "A 33894-2023")</f>
        <v/>
      </c>
      <c r="Y114">
        <f>HYPERLINK("https://klasma.github.io/Logging_2039/tillsynsmail/A 33894-2023 tillsynsbegäran mail.docx", "A 33894-2023")</f>
        <v/>
      </c>
    </row>
    <row r="115" ht="15" customHeight="1">
      <c r="A115" t="inlineStr">
        <is>
          <t>A 35184-2023</t>
        </is>
      </c>
      <c r="B115" s="1" t="n">
        <v>45145</v>
      </c>
      <c r="C115" s="1" t="n">
        <v>45576</v>
      </c>
      <c r="D115" t="inlineStr">
        <is>
          <t>DALARNAS LÄN</t>
        </is>
      </c>
      <c r="E115" t="inlineStr">
        <is>
          <t>ÄLVDALEN</t>
        </is>
      </c>
      <c r="F115" t="inlineStr">
        <is>
          <t>Sveaskog</t>
        </is>
      </c>
      <c r="G115" t="n">
        <v>1.7</v>
      </c>
      <c r="H115" t="n">
        <v>0</v>
      </c>
      <c r="I115" t="n">
        <v>0</v>
      </c>
      <c r="J115" t="n">
        <v>2</v>
      </c>
      <c r="K115" t="n">
        <v>0</v>
      </c>
      <c r="L115" t="n">
        <v>0</v>
      </c>
      <c r="M115" t="n">
        <v>0</v>
      </c>
      <c r="N115" t="n">
        <v>0</v>
      </c>
      <c r="O115" t="n">
        <v>2</v>
      </c>
      <c r="P115" t="n">
        <v>0</v>
      </c>
      <c r="Q115" t="n">
        <v>2</v>
      </c>
      <c r="R115" s="2" t="inlineStr">
        <is>
          <t>Blanksvart spiklav
Kolflarnlav</t>
        </is>
      </c>
      <c r="S115">
        <f>HYPERLINK("https://klasma.github.io/Logging_2039/artfynd/A 35184-2023 artfynd.xlsx", "A 35184-2023")</f>
        <v/>
      </c>
      <c r="T115">
        <f>HYPERLINK("https://klasma.github.io/Logging_2039/kartor/A 35184-2023 karta.png", "A 35184-2023")</f>
        <v/>
      </c>
      <c r="V115">
        <f>HYPERLINK("https://klasma.github.io/Logging_2039/klagomål/A 35184-2023 FSC-klagomål.docx", "A 35184-2023")</f>
        <v/>
      </c>
      <c r="W115">
        <f>HYPERLINK("https://klasma.github.io/Logging_2039/klagomålsmail/A 35184-2023 FSC-klagomål mail.docx", "A 35184-2023")</f>
        <v/>
      </c>
      <c r="X115">
        <f>HYPERLINK("https://klasma.github.io/Logging_2039/tillsyn/A 35184-2023 tillsynsbegäran.docx", "A 35184-2023")</f>
        <v/>
      </c>
      <c r="Y115">
        <f>HYPERLINK("https://klasma.github.io/Logging_2039/tillsynsmail/A 35184-2023 tillsynsbegäran mail.docx", "A 35184-2023")</f>
        <v/>
      </c>
    </row>
    <row r="116" ht="15" customHeight="1">
      <c r="A116" t="inlineStr">
        <is>
          <t>A 37664-2023</t>
        </is>
      </c>
      <c r="B116" s="1" t="n">
        <v>45159</v>
      </c>
      <c r="C116" s="1" t="n">
        <v>45576</v>
      </c>
      <c r="D116" t="inlineStr">
        <is>
          <t>DALARNAS LÄN</t>
        </is>
      </c>
      <c r="E116" t="inlineStr">
        <is>
          <t>ÄLVDALEN</t>
        </is>
      </c>
      <c r="F116" t="inlineStr">
        <is>
          <t>Allmännings- och besparingsskogar</t>
        </is>
      </c>
      <c r="G116" t="n">
        <v>0.6</v>
      </c>
      <c r="H116" t="n">
        <v>0</v>
      </c>
      <c r="I116" t="n">
        <v>1</v>
      </c>
      <c r="J116" t="n">
        <v>1</v>
      </c>
      <c r="K116" t="n">
        <v>0</v>
      </c>
      <c r="L116" t="n">
        <v>0</v>
      </c>
      <c r="M116" t="n">
        <v>0</v>
      </c>
      <c r="N116" t="n">
        <v>0</v>
      </c>
      <c r="O116" t="n">
        <v>1</v>
      </c>
      <c r="P116" t="n">
        <v>0</v>
      </c>
      <c r="Q116" t="n">
        <v>2</v>
      </c>
      <c r="R116" s="2" t="inlineStr">
        <is>
          <t>Vaddporing
Mindre märgborre</t>
        </is>
      </c>
      <c r="S116">
        <f>HYPERLINK("https://klasma.github.io/Logging_2039/artfynd/A 37664-2023 artfynd.xlsx", "A 37664-2023")</f>
        <v/>
      </c>
      <c r="T116">
        <f>HYPERLINK("https://klasma.github.io/Logging_2039/kartor/A 37664-2023 karta.png", "A 37664-2023")</f>
        <v/>
      </c>
      <c r="V116">
        <f>HYPERLINK("https://klasma.github.io/Logging_2039/klagomål/A 37664-2023 FSC-klagomål.docx", "A 37664-2023")</f>
        <v/>
      </c>
      <c r="W116">
        <f>HYPERLINK("https://klasma.github.io/Logging_2039/klagomålsmail/A 37664-2023 FSC-klagomål mail.docx", "A 37664-2023")</f>
        <v/>
      </c>
      <c r="X116">
        <f>HYPERLINK("https://klasma.github.io/Logging_2039/tillsyn/A 37664-2023 tillsynsbegäran.docx", "A 37664-2023")</f>
        <v/>
      </c>
      <c r="Y116">
        <f>HYPERLINK("https://klasma.github.io/Logging_2039/tillsynsmail/A 37664-2023 tillsynsbegäran mail.docx", "A 37664-2023")</f>
        <v/>
      </c>
    </row>
    <row r="117" ht="15" customHeight="1">
      <c r="A117" t="inlineStr">
        <is>
          <t>A 42848-2023</t>
        </is>
      </c>
      <c r="B117" s="1" t="n">
        <v>45182</v>
      </c>
      <c r="C117" s="1" t="n">
        <v>45576</v>
      </c>
      <c r="D117" t="inlineStr">
        <is>
          <t>DALARNAS LÄN</t>
        </is>
      </c>
      <c r="E117" t="inlineStr">
        <is>
          <t>ÄLVDALEN</t>
        </is>
      </c>
      <c r="F117" t="inlineStr">
        <is>
          <t>Allmännings- och besparingsskogar</t>
        </is>
      </c>
      <c r="G117" t="n">
        <v>1.9</v>
      </c>
      <c r="H117" t="n">
        <v>0</v>
      </c>
      <c r="I117" t="n">
        <v>1</v>
      </c>
      <c r="J117" t="n">
        <v>1</v>
      </c>
      <c r="K117" t="n">
        <v>0</v>
      </c>
      <c r="L117" t="n">
        <v>0</v>
      </c>
      <c r="M117" t="n">
        <v>0</v>
      </c>
      <c r="N117" t="n">
        <v>0</v>
      </c>
      <c r="O117" t="n">
        <v>1</v>
      </c>
      <c r="P117" t="n">
        <v>0</v>
      </c>
      <c r="Q117" t="n">
        <v>2</v>
      </c>
      <c r="R117" s="2" t="inlineStr">
        <is>
          <t>Blå taggsvamp
Dropptaggsvamp</t>
        </is>
      </c>
      <c r="S117">
        <f>HYPERLINK("https://klasma.github.io/Logging_2039/artfynd/A 42848-2023 artfynd.xlsx", "A 42848-2023")</f>
        <v/>
      </c>
      <c r="T117">
        <f>HYPERLINK("https://klasma.github.io/Logging_2039/kartor/A 42848-2023 karta.png", "A 42848-2023")</f>
        <v/>
      </c>
      <c r="V117">
        <f>HYPERLINK("https://klasma.github.io/Logging_2039/klagomål/A 42848-2023 FSC-klagomål.docx", "A 42848-2023")</f>
        <v/>
      </c>
      <c r="W117">
        <f>HYPERLINK("https://klasma.github.io/Logging_2039/klagomålsmail/A 42848-2023 FSC-klagomål mail.docx", "A 42848-2023")</f>
        <v/>
      </c>
      <c r="X117">
        <f>HYPERLINK("https://klasma.github.io/Logging_2039/tillsyn/A 42848-2023 tillsynsbegäran.docx", "A 42848-2023")</f>
        <v/>
      </c>
      <c r="Y117">
        <f>HYPERLINK("https://klasma.github.io/Logging_2039/tillsynsmail/A 42848-2023 tillsynsbegäran mail.docx", "A 42848-2023")</f>
        <v/>
      </c>
    </row>
    <row r="118" ht="15" customHeight="1">
      <c r="A118" t="inlineStr">
        <is>
          <t>A 9079-2024</t>
        </is>
      </c>
      <c r="B118" s="1" t="n">
        <v>45357</v>
      </c>
      <c r="C118" s="1" t="n">
        <v>45576</v>
      </c>
      <c r="D118" t="inlineStr">
        <is>
          <t>DALARNAS LÄN</t>
        </is>
      </c>
      <c r="E118" t="inlineStr">
        <is>
          <t>ÄLVDALEN</t>
        </is>
      </c>
      <c r="F118" t="inlineStr">
        <is>
          <t>Övriga Aktiebolag</t>
        </is>
      </c>
      <c r="G118" t="n">
        <v>15.2</v>
      </c>
      <c r="H118" t="n">
        <v>1</v>
      </c>
      <c r="I118" t="n">
        <v>0</v>
      </c>
      <c r="J118" t="n">
        <v>1</v>
      </c>
      <c r="K118" t="n">
        <v>0</v>
      </c>
      <c r="L118" t="n">
        <v>0</v>
      </c>
      <c r="M118" t="n">
        <v>0</v>
      </c>
      <c r="N118" t="n">
        <v>0</v>
      </c>
      <c r="O118" t="n">
        <v>1</v>
      </c>
      <c r="P118" t="n">
        <v>0</v>
      </c>
      <c r="Q118" t="n">
        <v>2</v>
      </c>
      <c r="R118" s="2" t="inlineStr">
        <is>
          <t>Kortskaftad ärgspik
Fläcknycklar</t>
        </is>
      </c>
      <c r="S118">
        <f>HYPERLINK("https://klasma.github.io/Logging_2039/artfynd/A 9079-2024 artfynd.xlsx", "A 9079-2024")</f>
        <v/>
      </c>
      <c r="T118">
        <f>HYPERLINK("https://klasma.github.io/Logging_2039/kartor/A 9079-2024 karta.png", "A 9079-2024")</f>
        <v/>
      </c>
      <c r="V118">
        <f>HYPERLINK("https://klasma.github.io/Logging_2039/klagomål/A 9079-2024 FSC-klagomål.docx", "A 9079-2024")</f>
        <v/>
      </c>
      <c r="W118">
        <f>HYPERLINK("https://klasma.github.io/Logging_2039/klagomålsmail/A 9079-2024 FSC-klagomål mail.docx", "A 9079-2024")</f>
        <v/>
      </c>
      <c r="X118">
        <f>HYPERLINK("https://klasma.github.io/Logging_2039/tillsyn/A 9079-2024 tillsynsbegäran.docx", "A 9079-2024")</f>
        <v/>
      </c>
      <c r="Y118">
        <f>HYPERLINK("https://klasma.github.io/Logging_2039/tillsynsmail/A 9079-2024 tillsynsbegäran mail.docx", "A 9079-2024")</f>
        <v/>
      </c>
    </row>
    <row r="119" ht="15" customHeight="1">
      <c r="A119" t="inlineStr">
        <is>
          <t>A 19612-2024</t>
        </is>
      </c>
      <c r="B119" s="1" t="n">
        <v>45432</v>
      </c>
      <c r="C119" s="1" t="n">
        <v>45576</v>
      </c>
      <c r="D119" t="inlineStr">
        <is>
          <t>DALARNAS LÄN</t>
        </is>
      </c>
      <c r="E119" t="inlineStr">
        <is>
          <t>ÄLVDALEN</t>
        </is>
      </c>
      <c r="F119" t="inlineStr">
        <is>
          <t>Sveaskog</t>
        </is>
      </c>
      <c r="G119" t="n">
        <v>3.1</v>
      </c>
      <c r="H119" t="n">
        <v>0</v>
      </c>
      <c r="I119" t="n">
        <v>0</v>
      </c>
      <c r="J119" t="n">
        <v>2</v>
      </c>
      <c r="K119" t="n">
        <v>0</v>
      </c>
      <c r="L119" t="n">
        <v>0</v>
      </c>
      <c r="M119" t="n">
        <v>0</v>
      </c>
      <c r="N119" t="n">
        <v>0</v>
      </c>
      <c r="O119" t="n">
        <v>2</v>
      </c>
      <c r="P119" t="n">
        <v>0</v>
      </c>
      <c r="Q119" t="n">
        <v>2</v>
      </c>
      <c r="R119" s="2" t="inlineStr">
        <is>
          <t>Blanksvart spiklav
Kolflarnlav</t>
        </is>
      </c>
      <c r="S119">
        <f>HYPERLINK("https://klasma.github.io/Logging_2039/artfynd/A 19612-2024 artfynd.xlsx", "A 19612-2024")</f>
        <v/>
      </c>
      <c r="T119">
        <f>HYPERLINK("https://klasma.github.io/Logging_2039/kartor/A 19612-2024 karta.png", "A 19612-2024")</f>
        <v/>
      </c>
      <c r="V119">
        <f>HYPERLINK("https://klasma.github.io/Logging_2039/klagomål/A 19612-2024 FSC-klagomål.docx", "A 19612-2024")</f>
        <v/>
      </c>
      <c r="W119">
        <f>HYPERLINK("https://klasma.github.io/Logging_2039/klagomålsmail/A 19612-2024 FSC-klagomål mail.docx", "A 19612-2024")</f>
        <v/>
      </c>
      <c r="X119">
        <f>HYPERLINK("https://klasma.github.io/Logging_2039/tillsyn/A 19612-2024 tillsynsbegäran.docx", "A 19612-2024")</f>
        <v/>
      </c>
      <c r="Y119">
        <f>HYPERLINK("https://klasma.github.io/Logging_2039/tillsynsmail/A 19612-2024 tillsynsbegäran mail.docx", "A 19612-2024")</f>
        <v/>
      </c>
    </row>
    <row r="120" ht="15" customHeight="1">
      <c r="A120" t="inlineStr">
        <is>
          <t>A 32206-2024</t>
        </is>
      </c>
      <c r="B120" s="1" t="n">
        <v>45511</v>
      </c>
      <c r="C120" s="1" t="n">
        <v>45576</v>
      </c>
      <c r="D120" t="inlineStr">
        <is>
          <t>DALARNAS LÄN</t>
        </is>
      </c>
      <c r="E120" t="inlineStr">
        <is>
          <t>ÄLVDALEN</t>
        </is>
      </c>
      <c r="F120" t="inlineStr">
        <is>
          <t>Sveaskog</t>
        </is>
      </c>
      <c r="G120" t="n">
        <v>8.1</v>
      </c>
      <c r="H120" t="n">
        <v>0</v>
      </c>
      <c r="I120" t="n">
        <v>0</v>
      </c>
      <c r="J120" t="n">
        <v>2</v>
      </c>
      <c r="K120" t="n">
        <v>0</v>
      </c>
      <c r="L120" t="n">
        <v>0</v>
      </c>
      <c r="M120" t="n">
        <v>0</v>
      </c>
      <c r="N120" t="n">
        <v>0</v>
      </c>
      <c r="O120" t="n">
        <v>2</v>
      </c>
      <c r="P120" t="n">
        <v>0</v>
      </c>
      <c r="Q120" t="n">
        <v>2</v>
      </c>
      <c r="R120" s="2" t="inlineStr">
        <is>
          <t>Blanksvart spiklav
Dvärgbägarlav</t>
        </is>
      </c>
      <c r="S120">
        <f>HYPERLINK("https://klasma.github.io/Logging_2039/artfynd/A 32206-2024 artfynd.xlsx", "A 32206-2024")</f>
        <v/>
      </c>
      <c r="T120">
        <f>HYPERLINK("https://klasma.github.io/Logging_2039/kartor/A 32206-2024 karta.png", "A 32206-2024")</f>
        <v/>
      </c>
      <c r="V120">
        <f>HYPERLINK("https://klasma.github.io/Logging_2039/klagomål/A 32206-2024 FSC-klagomål.docx", "A 32206-2024")</f>
        <v/>
      </c>
      <c r="W120">
        <f>HYPERLINK("https://klasma.github.io/Logging_2039/klagomålsmail/A 32206-2024 FSC-klagomål mail.docx", "A 32206-2024")</f>
        <v/>
      </c>
      <c r="X120">
        <f>HYPERLINK("https://klasma.github.io/Logging_2039/tillsyn/A 32206-2024 tillsynsbegäran.docx", "A 32206-2024")</f>
        <v/>
      </c>
      <c r="Y120">
        <f>HYPERLINK("https://klasma.github.io/Logging_2039/tillsynsmail/A 32206-2024 tillsynsbegäran mail.docx", "A 32206-2024")</f>
        <v/>
      </c>
    </row>
    <row r="121" ht="15" customHeight="1">
      <c r="A121" t="inlineStr">
        <is>
          <t>A 22522-2019</t>
        </is>
      </c>
      <c r="B121" s="1" t="n">
        <v>43587</v>
      </c>
      <c r="C121" s="1" t="n">
        <v>45576</v>
      </c>
      <c r="D121" t="inlineStr">
        <is>
          <t>DALARNAS LÄN</t>
        </is>
      </c>
      <c r="E121" t="inlineStr">
        <is>
          <t>ÄLVDALEN</t>
        </is>
      </c>
      <c r="G121" t="n">
        <v>5.1</v>
      </c>
      <c r="H121" t="n">
        <v>1</v>
      </c>
      <c r="I121" t="n">
        <v>0</v>
      </c>
      <c r="J121" t="n">
        <v>1</v>
      </c>
      <c r="K121" t="n">
        <v>0</v>
      </c>
      <c r="L121" t="n">
        <v>0</v>
      </c>
      <c r="M121" t="n">
        <v>0</v>
      </c>
      <c r="N121" t="n">
        <v>0</v>
      </c>
      <c r="O121" t="n">
        <v>1</v>
      </c>
      <c r="P121" t="n">
        <v>0</v>
      </c>
      <c r="Q121" t="n">
        <v>1</v>
      </c>
      <c r="R121" s="2" t="inlineStr">
        <is>
          <t>Utter</t>
        </is>
      </c>
      <c r="S121">
        <f>HYPERLINK("https://klasma.github.io/Logging_2039/artfynd/A 22522-2019 artfynd.xlsx", "A 22522-2019")</f>
        <v/>
      </c>
      <c r="T121">
        <f>HYPERLINK("https://klasma.github.io/Logging_2039/kartor/A 22522-2019 karta.png", "A 22522-2019")</f>
        <v/>
      </c>
      <c r="V121">
        <f>HYPERLINK("https://klasma.github.io/Logging_2039/klagomål/A 22522-2019 FSC-klagomål.docx", "A 22522-2019")</f>
        <v/>
      </c>
      <c r="W121">
        <f>HYPERLINK("https://klasma.github.io/Logging_2039/klagomålsmail/A 22522-2019 FSC-klagomål mail.docx", "A 22522-2019")</f>
        <v/>
      </c>
      <c r="X121">
        <f>HYPERLINK("https://klasma.github.io/Logging_2039/tillsyn/A 22522-2019 tillsynsbegäran.docx", "A 22522-2019")</f>
        <v/>
      </c>
      <c r="Y121">
        <f>HYPERLINK("https://klasma.github.io/Logging_2039/tillsynsmail/A 22522-2019 tillsynsbegäran mail.docx", "A 22522-2019")</f>
        <v/>
      </c>
    </row>
    <row r="122" ht="15" customHeight="1">
      <c r="A122" t="inlineStr">
        <is>
          <t>A 18227-2020</t>
        </is>
      </c>
      <c r="B122" s="1" t="n">
        <v>43928</v>
      </c>
      <c r="C122" s="1" t="n">
        <v>45576</v>
      </c>
      <c r="D122" t="inlineStr">
        <is>
          <t>DALARNAS LÄN</t>
        </is>
      </c>
      <c r="E122" t="inlineStr">
        <is>
          <t>ÄLVDALEN</t>
        </is>
      </c>
      <c r="F122" t="inlineStr">
        <is>
          <t>Sveaskog</t>
        </is>
      </c>
      <c r="G122" t="n">
        <v>13.1</v>
      </c>
      <c r="H122" t="n">
        <v>1</v>
      </c>
      <c r="I122" t="n">
        <v>0</v>
      </c>
      <c r="J122" t="n">
        <v>1</v>
      </c>
      <c r="K122" t="n">
        <v>0</v>
      </c>
      <c r="L122" t="n">
        <v>0</v>
      </c>
      <c r="M122" t="n">
        <v>0</v>
      </c>
      <c r="N122" t="n">
        <v>0</v>
      </c>
      <c r="O122" t="n">
        <v>1</v>
      </c>
      <c r="P122" t="n">
        <v>0</v>
      </c>
      <c r="Q122" t="n">
        <v>1</v>
      </c>
      <c r="R122" s="2" t="inlineStr">
        <is>
          <t>Varglav</t>
        </is>
      </c>
      <c r="S122">
        <f>HYPERLINK("https://klasma.github.io/Logging_2039/artfynd/A 18227-2020 artfynd.xlsx", "A 18227-2020")</f>
        <v/>
      </c>
      <c r="T122">
        <f>HYPERLINK("https://klasma.github.io/Logging_2039/kartor/A 18227-2020 karta.png", "A 18227-2020")</f>
        <v/>
      </c>
      <c r="V122">
        <f>HYPERLINK("https://klasma.github.io/Logging_2039/klagomål/A 18227-2020 FSC-klagomål.docx", "A 18227-2020")</f>
        <v/>
      </c>
      <c r="W122">
        <f>HYPERLINK("https://klasma.github.io/Logging_2039/klagomålsmail/A 18227-2020 FSC-klagomål mail.docx", "A 18227-2020")</f>
        <v/>
      </c>
      <c r="X122">
        <f>HYPERLINK("https://klasma.github.io/Logging_2039/tillsyn/A 18227-2020 tillsynsbegäran.docx", "A 18227-2020")</f>
        <v/>
      </c>
      <c r="Y122">
        <f>HYPERLINK("https://klasma.github.io/Logging_2039/tillsynsmail/A 18227-2020 tillsynsbegäran mail.docx", "A 18227-2020")</f>
        <v/>
      </c>
    </row>
    <row r="123" ht="15" customHeight="1">
      <c r="A123" t="inlineStr">
        <is>
          <t>A 19669-2020</t>
        </is>
      </c>
      <c r="B123" s="1" t="n">
        <v>43937</v>
      </c>
      <c r="C123" s="1" t="n">
        <v>45576</v>
      </c>
      <c r="D123" t="inlineStr">
        <is>
          <t>DALARNAS LÄN</t>
        </is>
      </c>
      <c r="E123" t="inlineStr">
        <is>
          <t>ÄLVDALEN</t>
        </is>
      </c>
      <c r="F123" t="inlineStr">
        <is>
          <t>Sveaskog</t>
        </is>
      </c>
      <c r="G123" t="n">
        <v>12.9</v>
      </c>
      <c r="H123" t="n">
        <v>1</v>
      </c>
      <c r="I123" t="n">
        <v>0</v>
      </c>
      <c r="J123" t="n">
        <v>1</v>
      </c>
      <c r="K123" t="n">
        <v>0</v>
      </c>
      <c r="L123" t="n">
        <v>0</v>
      </c>
      <c r="M123" t="n">
        <v>0</v>
      </c>
      <c r="N123" t="n">
        <v>0</v>
      </c>
      <c r="O123" t="n">
        <v>1</v>
      </c>
      <c r="P123" t="n">
        <v>0</v>
      </c>
      <c r="Q123" t="n">
        <v>1</v>
      </c>
      <c r="R123" s="2" t="inlineStr">
        <is>
          <t>Varglav</t>
        </is>
      </c>
      <c r="S123">
        <f>HYPERLINK("https://klasma.github.io/Logging_2039/artfynd/A 19669-2020 artfynd.xlsx", "A 19669-2020")</f>
        <v/>
      </c>
      <c r="T123">
        <f>HYPERLINK("https://klasma.github.io/Logging_2039/kartor/A 19669-2020 karta.png", "A 19669-2020")</f>
        <v/>
      </c>
      <c r="V123">
        <f>HYPERLINK("https://klasma.github.io/Logging_2039/klagomål/A 19669-2020 FSC-klagomål.docx", "A 19669-2020")</f>
        <v/>
      </c>
      <c r="W123">
        <f>HYPERLINK("https://klasma.github.io/Logging_2039/klagomålsmail/A 19669-2020 FSC-klagomål mail.docx", "A 19669-2020")</f>
        <v/>
      </c>
      <c r="X123">
        <f>HYPERLINK("https://klasma.github.io/Logging_2039/tillsyn/A 19669-2020 tillsynsbegäran.docx", "A 19669-2020")</f>
        <v/>
      </c>
      <c r="Y123">
        <f>HYPERLINK("https://klasma.github.io/Logging_2039/tillsynsmail/A 19669-2020 tillsynsbegäran mail.docx", "A 19669-2020")</f>
        <v/>
      </c>
    </row>
    <row r="124" ht="15" customHeight="1">
      <c r="A124" t="inlineStr">
        <is>
          <t>A 38505-2020</t>
        </is>
      </c>
      <c r="B124" s="1" t="n">
        <v>44061</v>
      </c>
      <c r="C124" s="1" t="n">
        <v>45576</v>
      </c>
      <c r="D124" t="inlineStr">
        <is>
          <t>DALARNAS LÄN</t>
        </is>
      </c>
      <c r="E124" t="inlineStr">
        <is>
          <t>ÄLVDALEN</t>
        </is>
      </c>
      <c r="F124" t="inlineStr">
        <is>
          <t>Sveaskog</t>
        </is>
      </c>
      <c r="G124" t="n">
        <v>1.7</v>
      </c>
      <c r="H124" t="n">
        <v>1</v>
      </c>
      <c r="I124" t="n">
        <v>0</v>
      </c>
      <c r="J124" t="n">
        <v>1</v>
      </c>
      <c r="K124" t="n">
        <v>0</v>
      </c>
      <c r="L124" t="n">
        <v>0</v>
      </c>
      <c r="M124" t="n">
        <v>0</v>
      </c>
      <c r="N124" t="n">
        <v>0</v>
      </c>
      <c r="O124" t="n">
        <v>1</v>
      </c>
      <c r="P124" t="n">
        <v>0</v>
      </c>
      <c r="Q124" t="n">
        <v>1</v>
      </c>
      <c r="R124" s="2" t="inlineStr">
        <is>
          <t>Varglav</t>
        </is>
      </c>
      <c r="S124">
        <f>HYPERLINK("https://klasma.github.io/Logging_2039/artfynd/A 38505-2020 artfynd.xlsx", "A 38505-2020")</f>
        <v/>
      </c>
      <c r="T124">
        <f>HYPERLINK("https://klasma.github.io/Logging_2039/kartor/A 38505-2020 karta.png", "A 38505-2020")</f>
        <v/>
      </c>
      <c r="V124">
        <f>HYPERLINK("https://klasma.github.io/Logging_2039/klagomål/A 38505-2020 FSC-klagomål.docx", "A 38505-2020")</f>
        <v/>
      </c>
      <c r="W124">
        <f>HYPERLINK("https://klasma.github.io/Logging_2039/klagomålsmail/A 38505-2020 FSC-klagomål mail.docx", "A 38505-2020")</f>
        <v/>
      </c>
      <c r="X124">
        <f>HYPERLINK("https://klasma.github.io/Logging_2039/tillsyn/A 38505-2020 tillsynsbegäran.docx", "A 38505-2020")</f>
        <v/>
      </c>
      <c r="Y124">
        <f>HYPERLINK("https://klasma.github.io/Logging_2039/tillsynsmail/A 38505-2020 tillsynsbegäran mail.docx", "A 38505-2020")</f>
        <v/>
      </c>
    </row>
    <row r="125" ht="15" customHeight="1">
      <c r="A125" t="inlineStr">
        <is>
          <t>A 46279-2020</t>
        </is>
      </c>
      <c r="B125" s="1" t="n">
        <v>44092</v>
      </c>
      <c r="C125" s="1" t="n">
        <v>45576</v>
      </c>
      <c r="D125" t="inlineStr">
        <is>
          <t>DALARNAS LÄN</t>
        </is>
      </c>
      <c r="E125" t="inlineStr">
        <is>
          <t>ÄLVDALEN</t>
        </is>
      </c>
      <c r="F125" t="inlineStr">
        <is>
          <t>Sveaskog</t>
        </is>
      </c>
      <c r="G125" t="n">
        <v>0.5</v>
      </c>
      <c r="H125" t="n">
        <v>0</v>
      </c>
      <c r="I125" t="n">
        <v>0</v>
      </c>
      <c r="J125" t="n">
        <v>1</v>
      </c>
      <c r="K125" t="n">
        <v>0</v>
      </c>
      <c r="L125" t="n">
        <v>0</v>
      </c>
      <c r="M125" t="n">
        <v>0</v>
      </c>
      <c r="N125" t="n">
        <v>0</v>
      </c>
      <c r="O125" t="n">
        <v>1</v>
      </c>
      <c r="P125" t="n">
        <v>0</v>
      </c>
      <c r="Q125" t="n">
        <v>1</v>
      </c>
      <c r="R125" s="2" t="inlineStr">
        <is>
          <t>Nordtagging</t>
        </is>
      </c>
      <c r="S125">
        <f>HYPERLINK("https://klasma.github.io/Logging_2039/artfynd/A 46279-2020 artfynd.xlsx", "A 46279-2020")</f>
        <v/>
      </c>
      <c r="T125">
        <f>HYPERLINK("https://klasma.github.io/Logging_2039/kartor/A 46279-2020 karta.png", "A 46279-2020")</f>
        <v/>
      </c>
      <c r="V125">
        <f>HYPERLINK("https://klasma.github.io/Logging_2039/klagomål/A 46279-2020 FSC-klagomål.docx", "A 46279-2020")</f>
        <v/>
      </c>
      <c r="W125">
        <f>HYPERLINK("https://klasma.github.io/Logging_2039/klagomålsmail/A 46279-2020 FSC-klagomål mail.docx", "A 46279-2020")</f>
        <v/>
      </c>
      <c r="X125">
        <f>HYPERLINK("https://klasma.github.io/Logging_2039/tillsyn/A 46279-2020 tillsynsbegäran.docx", "A 46279-2020")</f>
        <v/>
      </c>
      <c r="Y125">
        <f>HYPERLINK("https://klasma.github.io/Logging_2039/tillsynsmail/A 46279-2020 tillsynsbegäran mail.docx", "A 46279-2020")</f>
        <v/>
      </c>
    </row>
    <row r="126" ht="15" customHeight="1">
      <c r="A126" t="inlineStr">
        <is>
          <t>A 58570-2020</t>
        </is>
      </c>
      <c r="B126" s="1" t="n">
        <v>44145</v>
      </c>
      <c r="C126" s="1" t="n">
        <v>45576</v>
      </c>
      <c r="D126" t="inlineStr">
        <is>
          <t>DALARNAS LÄN</t>
        </is>
      </c>
      <c r="E126" t="inlineStr">
        <is>
          <t>ÄLVDALEN</t>
        </is>
      </c>
      <c r="F126" t="inlineStr">
        <is>
          <t>Sveaskog</t>
        </is>
      </c>
      <c r="G126" t="n">
        <v>15.3</v>
      </c>
      <c r="H126" t="n">
        <v>0</v>
      </c>
      <c r="I126" t="n">
        <v>1</v>
      </c>
      <c r="J126" t="n">
        <v>0</v>
      </c>
      <c r="K126" t="n">
        <v>0</v>
      </c>
      <c r="L126" t="n">
        <v>0</v>
      </c>
      <c r="M126" t="n">
        <v>0</v>
      </c>
      <c r="N126" t="n">
        <v>0</v>
      </c>
      <c r="O126" t="n">
        <v>0</v>
      </c>
      <c r="P126" t="n">
        <v>0</v>
      </c>
      <c r="Q126" t="n">
        <v>1</v>
      </c>
      <c r="R126" s="2" t="inlineStr">
        <is>
          <t>Dropptaggsvamp</t>
        </is>
      </c>
      <c r="S126">
        <f>HYPERLINK("https://klasma.github.io/Logging_2039/artfynd/A 58570-2020 artfynd.xlsx", "A 58570-2020")</f>
        <v/>
      </c>
      <c r="T126">
        <f>HYPERLINK("https://klasma.github.io/Logging_2039/kartor/A 58570-2020 karta.png", "A 58570-2020")</f>
        <v/>
      </c>
      <c r="V126">
        <f>HYPERLINK("https://klasma.github.io/Logging_2039/klagomål/A 58570-2020 FSC-klagomål.docx", "A 58570-2020")</f>
        <v/>
      </c>
      <c r="W126">
        <f>HYPERLINK("https://klasma.github.io/Logging_2039/klagomålsmail/A 58570-2020 FSC-klagomål mail.docx", "A 58570-2020")</f>
        <v/>
      </c>
      <c r="X126">
        <f>HYPERLINK("https://klasma.github.io/Logging_2039/tillsyn/A 58570-2020 tillsynsbegäran.docx", "A 58570-2020")</f>
        <v/>
      </c>
      <c r="Y126">
        <f>HYPERLINK("https://klasma.github.io/Logging_2039/tillsynsmail/A 58570-2020 tillsynsbegäran mail.docx", "A 58570-2020")</f>
        <v/>
      </c>
    </row>
    <row r="127" ht="15" customHeight="1">
      <c r="A127" t="inlineStr">
        <is>
          <t>A 11061-2021</t>
        </is>
      </c>
      <c r="B127" s="1" t="n">
        <v>44260</v>
      </c>
      <c r="C127" s="1" t="n">
        <v>45576</v>
      </c>
      <c r="D127" t="inlineStr">
        <is>
          <t>DALARNAS LÄN</t>
        </is>
      </c>
      <c r="E127" t="inlineStr">
        <is>
          <t>ÄLVDALEN</t>
        </is>
      </c>
      <c r="F127" t="inlineStr">
        <is>
          <t>Övriga statliga verk och myndigheter</t>
        </is>
      </c>
      <c r="G127" t="n">
        <v>43.7</v>
      </c>
      <c r="H127" t="n">
        <v>1</v>
      </c>
      <c r="I127" t="n">
        <v>0</v>
      </c>
      <c r="J127" t="n">
        <v>0</v>
      </c>
      <c r="K127" t="n">
        <v>0</v>
      </c>
      <c r="L127" t="n">
        <v>0</v>
      </c>
      <c r="M127" t="n">
        <v>0</v>
      </c>
      <c r="N127" t="n">
        <v>0</v>
      </c>
      <c r="O127" t="n">
        <v>0</v>
      </c>
      <c r="P127" t="n">
        <v>0</v>
      </c>
      <c r="Q127" t="n">
        <v>1</v>
      </c>
      <c r="R127" s="2" t="inlineStr">
        <is>
          <t>Större vattensalamander</t>
        </is>
      </c>
      <c r="S127">
        <f>HYPERLINK("https://klasma.github.io/Logging_2039/artfynd/A 11061-2021 artfynd.xlsx", "A 11061-2021")</f>
        <v/>
      </c>
      <c r="T127">
        <f>HYPERLINK("https://klasma.github.io/Logging_2039/kartor/A 11061-2021 karta.png", "A 11061-2021")</f>
        <v/>
      </c>
      <c r="V127">
        <f>HYPERLINK("https://klasma.github.io/Logging_2039/klagomål/A 11061-2021 FSC-klagomål.docx", "A 11061-2021")</f>
        <v/>
      </c>
      <c r="W127">
        <f>HYPERLINK("https://klasma.github.io/Logging_2039/klagomålsmail/A 11061-2021 FSC-klagomål mail.docx", "A 11061-2021")</f>
        <v/>
      </c>
      <c r="X127">
        <f>HYPERLINK("https://klasma.github.io/Logging_2039/tillsyn/A 11061-2021 tillsynsbegäran.docx", "A 11061-2021")</f>
        <v/>
      </c>
      <c r="Y127">
        <f>HYPERLINK("https://klasma.github.io/Logging_2039/tillsynsmail/A 11061-2021 tillsynsbegäran mail.docx", "A 11061-2021")</f>
        <v/>
      </c>
    </row>
    <row r="128" ht="15" customHeight="1">
      <c r="A128" t="inlineStr">
        <is>
          <t>A 16638-2021</t>
        </is>
      </c>
      <c r="B128" s="1" t="n">
        <v>44284</v>
      </c>
      <c r="C128" s="1" t="n">
        <v>45576</v>
      </c>
      <c r="D128" t="inlineStr">
        <is>
          <t>DALARNAS LÄN</t>
        </is>
      </c>
      <c r="E128" t="inlineStr">
        <is>
          <t>ÄLVDALEN</t>
        </is>
      </c>
      <c r="G128" t="n">
        <v>11.5</v>
      </c>
      <c r="H128" t="n">
        <v>0</v>
      </c>
      <c r="I128" t="n">
        <v>0</v>
      </c>
      <c r="J128" t="n">
        <v>0</v>
      </c>
      <c r="K128" t="n">
        <v>1</v>
      </c>
      <c r="L128" t="n">
        <v>0</v>
      </c>
      <c r="M128" t="n">
        <v>0</v>
      </c>
      <c r="N128" t="n">
        <v>0</v>
      </c>
      <c r="O128" t="n">
        <v>1</v>
      </c>
      <c r="P128" t="n">
        <v>1</v>
      </c>
      <c r="Q128" t="n">
        <v>1</v>
      </c>
      <c r="R128" s="2" t="inlineStr">
        <is>
          <t>Sprickporing</t>
        </is>
      </c>
      <c r="S128">
        <f>HYPERLINK("https://klasma.github.io/Logging_2039/artfynd/A 16638-2021 artfynd.xlsx", "A 16638-2021")</f>
        <v/>
      </c>
      <c r="T128">
        <f>HYPERLINK("https://klasma.github.io/Logging_2039/kartor/A 16638-2021 karta.png", "A 16638-2021")</f>
        <v/>
      </c>
      <c r="V128">
        <f>HYPERLINK("https://klasma.github.io/Logging_2039/klagomål/A 16638-2021 FSC-klagomål.docx", "A 16638-2021")</f>
        <v/>
      </c>
      <c r="W128">
        <f>HYPERLINK("https://klasma.github.io/Logging_2039/klagomålsmail/A 16638-2021 FSC-klagomål mail.docx", "A 16638-2021")</f>
        <v/>
      </c>
      <c r="X128">
        <f>HYPERLINK("https://klasma.github.io/Logging_2039/tillsyn/A 16638-2021 tillsynsbegäran.docx", "A 16638-2021")</f>
        <v/>
      </c>
      <c r="Y128">
        <f>HYPERLINK("https://klasma.github.io/Logging_2039/tillsynsmail/A 16638-2021 tillsynsbegäran mail.docx", "A 16638-2021")</f>
        <v/>
      </c>
    </row>
    <row r="129" ht="15" customHeight="1">
      <c r="A129" t="inlineStr">
        <is>
          <t>A 16035-2021</t>
        </is>
      </c>
      <c r="B129" s="1" t="n">
        <v>44287</v>
      </c>
      <c r="C129" s="1" t="n">
        <v>45576</v>
      </c>
      <c r="D129" t="inlineStr">
        <is>
          <t>DALARNAS LÄN</t>
        </is>
      </c>
      <c r="E129" t="inlineStr">
        <is>
          <t>ÄLVDALEN</t>
        </is>
      </c>
      <c r="F129" t="inlineStr">
        <is>
          <t>Övriga statliga verk och myndigheter</t>
        </is>
      </c>
      <c r="G129" t="n">
        <v>2.2</v>
      </c>
      <c r="H129" t="n">
        <v>0</v>
      </c>
      <c r="I129" t="n">
        <v>0</v>
      </c>
      <c r="J129" t="n">
        <v>1</v>
      </c>
      <c r="K129" t="n">
        <v>0</v>
      </c>
      <c r="L129" t="n">
        <v>0</v>
      </c>
      <c r="M129" t="n">
        <v>0</v>
      </c>
      <c r="N129" t="n">
        <v>0</v>
      </c>
      <c r="O129" t="n">
        <v>1</v>
      </c>
      <c r="P129" t="n">
        <v>0</v>
      </c>
      <c r="Q129" t="n">
        <v>1</v>
      </c>
      <c r="R129" s="2" t="inlineStr">
        <is>
          <t>Gultoppig fingersvamp</t>
        </is>
      </c>
      <c r="S129">
        <f>HYPERLINK("https://klasma.github.io/Logging_2039/artfynd/A 16035-2021 artfynd.xlsx", "A 16035-2021")</f>
        <v/>
      </c>
      <c r="T129">
        <f>HYPERLINK("https://klasma.github.io/Logging_2039/kartor/A 16035-2021 karta.png", "A 16035-2021")</f>
        <v/>
      </c>
      <c r="V129">
        <f>HYPERLINK("https://klasma.github.io/Logging_2039/klagomål/A 16035-2021 FSC-klagomål.docx", "A 16035-2021")</f>
        <v/>
      </c>
      <c r="W129">
        <f>HYPERLINK("https://klasma.github.io/Logging_2039/klagomålsmail/A 16035-2021 FSC-klagomål mail.docx", "A 16035-2021")</f>
        <v/>
      </c>
      <c r="X129">
        <f>HYPERLINK("https://klasma.github.io/Logging_2039/tillsyn/A 16035-2021 tillsynsbegäran.docx", "A 16035-2021")</f>
        <v/>
      </c>
      <c r="Y129">
        <f>HYPERLINK("https://klasma.github.io/Logging_2039/tillsynsmail/A 16035-2021 tillsynsbegäran mail.docx", "A 16035-2021")</f>
        <v/>
      </c>
    </row>
    <row r="130" ht="15" customHeight="1">
      <c r="A130" t="inlineStr">
        <is>
          <t>A 22407-2021</t>
        </is>
      </c>
      <c r="B130" s="1" t="n">
        <v>44326</v>
      </c>
      <c r="C130" s="1" t="n">
        <v>45576</v>
      </c>
      <c r="D130" t="inlineStr">
        <is>
          <t>DALARNAS LÄN</t>
        </is>
      </c>
      <c r="E130" t="inlineStr">
        <is>
          <t>ÄLVDALEN</t>
        </is>
      </c>
      <c r="F130" t="inlineStr">
        <is>
          <t>Sveaskog</t>
        </is>
      </c>
      <c r="G130" t="n">
        <v>4.2</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22407-2021 artfynd.xlsx", "A 22407-2021")</f>
        <v/>
      </c>
      <c r="T130">
        <f>HYPERLINK("https://klasma.github.io/Logging_2039/kartor/A 22407-2021 karta.png", "A 22407-2021")</f>
        <v/>
      </c>
      <c r="V130">
        <f>HYPERLINK("https://klasma.github.io/Logging_2039/klagomål/A 22407-2021 FSC-klagomål.docx", "A 22407-2021")</f>
        <v/>
      </c>
      <c r="W130">
        <f>HYPERLINK("https://klasma.github.io/Logging_2039/klagomålsmail/A 22407-2021 FSC-klagomål mail.docx", "A 22407-2021")</f>
        <v/>
      </c>
      <c r="X130">
        <f>HYPERLINK("https://klasma.github.io/Logging_2039/tillsyn/A 22407-2021 tillsynsbegäran.docx", "A 22407-2021")</f>
        <v/>
      </c>
      <c r="Y130">
        <f>HYPERLINK("https://klasma.github.io/Logging_2039/tillsynsmail/A 22407-2021 tillsynsbegäran mail.docx", "A 22407-2021")</f>
        <v/>
      </c>
    </row>
    <row r="131" ht="15" customHeight="1">
      <c r="A131" t="inlineStr">
        <is>
          <t>A 22759-2021</t>
        </is>
      </c>
      <c r="B131" s="1" t="n">
        <v>44327</v>
      </c>
      <c r="C131" s="1" t="n">
        <v>45576</v>
      </c>
      <c r="D131" t="inlineStr">
        <is>
          <t>DALARNAS LÄN</t>
        </is>
      </c>
      <c r="E131" t="inlineStr">
        <is>
          <t>ÄLVDALEN</t>
        </is>
      </c>
      <c r="F131" t="inlineStr">
        <is>
          <t>Sveaskog</t>
        </is>
      </c>
      <c r="G131" t="n">
        <v>1.8</v>
      </c>
      <c r="H131" t="n">
        <v>0</v>
      </c>
      <c r="I131" t="n">
        <v>1</v>
      </c>
      <c r="J131" t="n">
        <v>0</v>
      </c>
      <c r="K131" t="n">
        <v>0</v>
      </c>
      <c r="L131" t="n">
        <v>0</v>
      </c>
      <c r="M131" t="n">
        <v>0</v>
      </c>
      <c r="N131" t="n">
        <v>0</v>
      </c>
      <c r="O131" t="n">
        <v>0</v>
      </c>
      <c r="P131" t="n">
        <v>0</v>
      </c>
      <c r="Q131" t="n">
        <v>1</v>
      </c>
      <c r="R131" s="2" t="inlineStr">
        <is>
          <t>Dropptaggsvamp</t>
        </is>
      </c>
      <c r="S131">
        <f>HYPERLINK("https://klasma.github.io/Logging_2039/artfynd/A 22759-2021 artfynd.xlsx", "A 22759-2021")</f>
        <v/>
      </c>
      <c r="T131">
        <f>HYPERLINK("https://klasma.github.io/Logging_2039/kartor/A 22759-2021 karta.png", "A 22759-2021")</f>
        <v/>
      </c>
      <c r="V131">
        <f>HYPERLINK("https://klasma.github.io/Logging_2039/klagomål/A 22759-2021 FSC-klagomål.docx", "A 22759-2021")</f>
        <v/>
      </c>
      <c r="W131">
        <f>HYPERLINK("https://klasma.github.io/Logging_2039/klagomålsmail/A 22759-2021 FSC-klagomål mail.docx", "A 22759-2021")</f>
        <v/>
      </c>
      <c r="X131">
        <f>HYPERLINK("https://klasma.github.io/Logging_2039/tillsyn/A 22759-2021 tillsynsbegäran.docx", "A 22759-2021")</f>
        <v/>
      </c>
      <c r="Y131">
        <f>HYPERLINK("https://klasma.github.io/Logging_2039/tillsynsmail/A 22759-2021 tillsynsbegäran mail.docx", "A 22759-2021")</f>
        <v/>
      </c>
    </row>
    <row r="132" ht="15" customHeight="1">
      <c r="A132" t="inlineStr">
        <is>
          <t>A 24847-2021</t>
        </is>
      </c>
      <c r="B132" s="1" t="n">
        <v>44340</v>
      </c>
      <c r="C132" s="1" t="n">
        <v>45576</v>
      </c>
      <c r="D132" t="inlineStr">
        <is>
          <t>DALARNAS LÄN</t>
        </is>
      </c>
      <c r="E132" t="inlineStr">
        <is>
          <t>ÄLVDALEN</t>
        </is>
      </c>
      <c r="F132" t="inlineStr">
        <is>
          <t>Sveaskog</t>
        </is>
      </c>
      <c r="G132" t="n">
        <v>7.1</v>
      </c>
      <c r="H132" t="n">
        <v>1</v>
      </c>
      <c r="I132" t="n">
        <v>0</v>
      </c>
      <c r="J132" t="n">
        <v>1</v>
      </c>
      <c r="K132" t="n">
        <v>0</v>
      </c>
      <c r="L132" t="n">
        <v>0</v>
      </c>
      <c r="M132" t="n">
        <v>0</v>
      </c>
      <c r="N132" t="n">
        <v>0</v>
      </c>
      <c r="O132" t="n">
        <v>1</v>
      </c>
      <c r="P132" t="n">
        <v>0</v>
      </c>
      <c r="Q132" t="n">
        <v>1</v>
      </c>
      <c r="R132" s="2" t="inlineStr">
        <is>
          <t>Varglav</t>
        </is>
      </c>
      <c r="S132">
        <f>HYPERLINK("https://klasma.github.io/Logging_2039/artfynd/A 24847-2021 artfynd.xlsx", "A 24847-2021")</f>
        <v/>
      </c>
      <c r="T132">
        <f>HYPERLINK("https://klasma.github.io/Logging_2039/kartor/A 24847-2021 karta.png", "A 24847-2021")</f>
        <v/>
      </c>
      <c r="V132">
        <f>HYPERLINK("https://klasma.github.io/Logging_2039/klagomål/A 24847-2021 FSC-klagomål.docx", "A 24847-2021")</f>
        <v/>
      </c>
      <c r="W132">
        <f>HYPERLINK("https://klasma.github.io/Logging_2039/klagomålsmail/A 24847-2021 FSC-klagomål mail.docx", "A 24847-2021")</f>
        <v/>
      </c>
      <c r="X132">
        <f>HYPERLINK("https://klasma.github.io/Logging_2039/tillsyn/A 24847-2021 tillsynsbegäran.docx", "A 24847-2021")</f>
        <v/>
      </c>
      <c r="Y132">
        <f>HYPERLINK("https://klasma.github.io/Logging_2039/tillsynsmail/A 24847-2021 tillsynsbegäran mail.docx", "A 24847-2021")</f>
        <v/>
      </c>
    </row>
    <row r="133" ht="15" customHeight="1">
      <c r="A133" t="inlineStr">
        <is>
          <t>A 26736-2021</t>
        </is>
      </c>
      <c r="B133" s="1" t="n">
        <v>44349</v>
      </c>
      <c r="C133" s="1" t="n">
        <v>45576</v>
      </c>
      <c r="D133" t="inlineStr">
        <is>
          <t>DALARNAS LÄN</t>
        </is>
      </c>
      <c r="E133" t="inlineStr">
        <is>
          <t>ÄLVDALEN</t>
        </is>
      </c>
      <c r="F133" t="inlineStr">
        <is>
          <t>Sveaskog</t>
        </is>
      </c>
      <c r="G133" t="n">
        <v>5.5</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26736-2021 artfynd.xlsx", "A 26736-2021")</f>
        <v/>
      </c>
      <c r="T133">
        <f>HYPERLINK("https://klasma.github.io/Logging_2039/kartor/A 26736-2021 karta.png", "A 26736-2021")</f>
        <v/>
      </c>
      <c r="V133">
        <f>HYPERLINK("https://klasma.github.io/Logging_2039/klagomål/A 26736-2021 FSC-klagomål.docx", "A 26736-2021")</f>
        <v/>
      </c>
      <c r="W133">
        <f>HYPERLINK("https://klasma.github.io/Logging_2039/klagomålsmail/A 26736-2021 FSC-klagomål mail.docx", "A 26736-2021")</f>
        <v/>
      </c>
      <c r="X133">
        <f>HYPERLINK("https://klasma.github.io/Logging_2039/tillsyn/A 26736-2021 tillsynsbegäran.docx", "A 26736-2021")</f>
        <v/>
      </c>
      <c r="Y133">
        <f>HYPERLINK("https://klasma.github.io/Logging_2039/tillsynsmail/A 26736-2021 tillsynsbegäran mail.docx", "A 26736-2021")</f>
        <v/>
      </c>
    </row>
    <row r="134" ht="15" customHeight="1">
      <c r="A134" t="inlineStr">
        <is>
          <t>A 30971-2021</t>
        </is>
      </c>
      <c r="B134" s="1" t="n">
        <v>44365</v>
      </c>
      <c r="C134" s="1" t="n">
        <v>45576</v>
      </c>
      <c r="D134" t="inlineStr">
        <is>
          <t>DALARNAS LÄN</t>
        </is>
      </c>
      <c r="E134" t="inlineStr">
        <is>
          <t>ÄLVDALEN</t>
        </is>
      </c>
      <c r="F134" t="inlineStr">
        <is>
          <t>Sveaskog</t>
        </is>
      </c>
      <c r="G134" t="n">
        <v>1.9</v>
      </c>
      <c r="H134" t="n">
        <v>0</v>
      </c>
      <c r="I134" t="n">
        <v>1</v>
      </c>
      <c r="J134" t="n">
        <v>0</v>
      </c>
      <c r="K134" t="n">
        <v>0</v>
      </c>
      <c r="L134" t="n">
        <v>0</v>
      </c>
      <c r="M134" t="n">
        <v>0</v>
      </c>
      <c r="N134" t="n">
        <v>0</v>
      </c>
      <c r="O134" t="n">
        <v>0</v>
      </c>
      <c r="P134" t="n">
        <v>0</v>
      </c>
      <c r="Q134" t="n">
        <v>1</v>
      </c>
      <c r="R134" s="2" t="inlineStr">
        <is>
          <t>Dropptaggsvamp</t>
        </is>
      </c>
      <c r="S134">
        <f>HYPERLINK("https://klasma.github.io/Logging_2039/artfynd/A 30971-2021 artfynd.xlsx", "A 30971-2021")</f>
        <v/>
      </c>
      <c r="T134">
        <f>HYPERLINK("https://klasma.github.io/Logging_2039/kartor/A 30971-2021 karta.png", "A 30971-2021")</f>
        <v/>
      </c>
      <c r="V134">
        <f>HYPERLINK("https://klasma.github.io/Logging_2039/klagomål/A 30971-2021 FSC-klagomål.docx", "A 30971-2021")</f>
        <v/>
      </c>
      <c r="W134">
        <f>HYPERLINK("https://klasma.github.io/Logging_2039/klagomålsmail/A 30971-2021 FSC-klagomål mail.docx", "A 30971-2021")</f>
        <v/>
      </c>
      <c r="X134">
        <f>HYPERLINK("https://klasma.github.io/Logging_2039/tillsyn/A 30971-2021 tillsynsbegäran.docx", "A 30971-2021")</f>
        <v/>
      </c>
      <c r="Y134">
        <f>HYPERLINK("https://klasma.github.io/Logging_2039/tillsynsmail/A 30971-2021 tillsynsbegäran mail.docx", "A 30971-2021")</f>
        <v/>
      </c>
    </row>
    <row r="135" ht="15" customHeight="1">
      <c r="A135" t="inlineStr">
        <is>
          <t>A 31761-2021</t>
        </is>
      </c>
      <c r="B135" s="1" t="n">
        <v>44370</v>
      </c>
      <c r="C135" s="1" t="n">
        <v>45576</v>
      </c>
      <c r="D135" t="inlineStr">
        <is>
          <t>DALARNAS LÄN</t>
        </is>
      </c>
      <c r="E135" t="inlineStr">
        <is>
          <t>ÄLVDALEN</t>
        </is>
      </c>
      <c r="F135" t="inlineStr">
        <is>
          <t>Sveaskog</t>
        </is>
      </c>
      <c r="G135" t="n">
        <v>29.4</v>
      </c>
      <c r="H135" t="n">
        <v>0</v>
      </c>
      <c r="I135" t="n">
        <v>1</v>
      </c>
      <c r="J135" t="n">
        <v>0</v>
      </c>
      <c r="K135" t="n">
        <v>0</v>
      </c>
      <c r="L135" t="n">
        <v>0</v>
      </c>
      <c r="M135" t="n">
        <v>0</v>
      </c>
      <c r="N135" t="n">
        <v>0</v>
      </c>
      <c r="O135" t="n">
        <v>0</v>
      </c>
      <c r="P135" t="n">
        <v>0</v>
      </c>
      <c r="Q135" t="n">
        <v>1</v>
      </c>
      <c r="R135" s="2" t="inlineStr">
        <is>
          <t>Dropptaggsvamp</t>
        </is>
      </c>
      <c r="S135">
        <f>HYPERLINK("https://klasma.github.io/Logging_2039/artfynd/A 31761-2021 artfynd.xlsx", "A 31761-2021")</f>
        <v/>
      </c>
      <c r="T135">
        <f>HYPERLINK("https://klasma.github.io/Logging_2039/kartor/A 31761-2021 karta.png", "A 31761-2021")</f>
        <v/>
      </c>
      <c r="V135">
        <f>HYPERLINK("https://klasma.github.io/Logging_2039/klagomål/A 31761-2021 FSC-klagomål.docx", "A 31761-2021")</f>
        <v/>
      </c>
      <c r="W135">
        <f>HYPERLINK("https://klasma.github.io/Logging_2039/klagomålsmail/A 31761-2021 FSC-klagomål mail.docx", "A 31761-2021")</f>
        <v/>
      </c>
      <c r="X135">
        <f>HYPERLINK("https://klasma.github.io/Logging_2039/tillsyn/A 31761-2021 tillsynsbegäran.docx", "A 31761-2021")</f>
        <v/>
      </c>
      <c r="Y135">
        <f>HYPERLINK("https://klasma.github.io/Logging_2039/tillsynsmail/A 31761-2021 tillsynsbegäran mail.docx", "A 31761-2021")</f>
        <v/>
      </c>
    </row>
    <row r="136" ht="15" customHeight="1">
      <c r="A136" t="inlineStr">
        <is>
          <t>A 34099-2021</t>
        </is>
      </c>
      <c r="B136" s="1" t="n">
        <v>44379</v>
      </c>
      <c r="C136" s="1" t="n">
        <v>45576</v>
      </c>
      <c r="D136" t="inlineStr">
        <is>
          <t>DALARNAS LÄN</t>
        </is>
      </c>
      <c r="E136" t="inlineStr">
        <is>
          <t>ÄLVDALEN</t>
        </is>
      </c>
      <c r="F136" t="inlineStr">
        <is>
          <t>Sveaskog</t>
        </is>
      </c>
      <c r="G136" t="n">
        <v>9.4</v>
      </c>
      <c r="H136" t="n">
        <v>1</v>
      </c>
      <c r="I136" t="n">
        <v>0</v>
      </c>
      <c r="J136" t="n">
        <v>1</v>
      </c>
      <c r="K136" t="n">
        <v>0</v>
      </c>
      <c r="L136" t="n">
        <v>0</v>
      </c>
      <c r="M136" t="n">
        <v>0</v>
      </c>
      <c r="N136" t="n">
        <v>0</v>
      </c>
      <c r="O136" t="n">
        <v>1</v>
      </c>
      <c r="P136" t="n">
        <v>0</v>
      </c>
      <c r="Q136" t="n">
        <v>1</v>
      </c>
      <c r="R136" s="2" t="inlineStr">
        <is>
          <t>Varglav</t>
        </is>
      </c>
      <c r="S136">
        <f>HYPERLINK("https://klasma.github.io/Logging_2039/artfynd/A 34099-2021 artfynd.xlsx", "A 34099-2021")</f>
        <v/>
      </c>
      <c r="T136">
        <f>HYPERLINK("https://klasma.github.io/Logging_2039/kartor/A 34099-2021 karta.png", "A 34099-2021")</f>
        <v/>
      </c>
      <c r="V136">
        <f>HYPERLINK("https://klasma.github.io/Logging_2039/klagomål/A 34099-2021 FSC-klagomål.docx", "A 34099-2021")</f>
        <v/>
      </c>
      <c r="W136">
        <f>HYPERLINK("https://klasma.github.io/Logging_2039/klagomålsmail/A 34099-2021 FSC-klagomål mail.docx", "A 34099-2021")</f>
        <v/>
      </c>
      <c r="X136">
        <f>HYPERLINK("https://klasma.github.io/Logging_2039/tillsyn/A 34099-2021 tillsynsbegäran.docx", "A 34099-2021")</f>
        <v/>
      </c>
      <c r="Y136">
        <f>HYPERLINK("https://klasma.github.io/Logging_2039/tillsynsmail/A 34099-2021 tillsynsbegäran mail.docx", "A 34099-2021")</f>
        <v/>
      </c>
    </row>
    <row r="137" ht="15" customHeight="1">
      <c r="A137" t="inlineStr">
        <is>
          <t>A 58508-2021</t>
        </is>
      </c>
      <c r="B137" s="1" t="n">
        <v>44488</v>
      </c>
      <c r="C137" s="1" t="n">
        <v>45576</v>
      </c>
      <c r="D137" t="inlineStr">
        <is>
          <t>DALARNAS LÄN</t>
        </is>
      </c>
      <c r="E137" t="inlineStr">
        <is>
          <t>ÄLVDALEN</t>
        </is>
      </c>
      <c r="F137" t="inlineStr">
        <is>
          <t>Sveaskog</t>
        </is>
      </c>
      <c r="G137" t="n">
        <v>13.3</v>
      </c>
      <c r="H137" t="n">
        <v>1</v>
      </c>
      <c r="I137" t="n">
        <v>0</v>
      </c>
      <c r="J137" t="n">
        <v>1</v>
      </c>
      <c r="K137" t="n">
        <v>0</v>
      </c>
      <c r="L137" t="n">
        <v>0</v>
      </c>
      <c r="M137" t="n">
        <v>0</v>
      </c>
      <c r="N137" t="n">
        <v>0</v>
      </c>
      <c r="O137" t="n">
        <v>1</v>
      </c>
      <c r="P137" t="n">
        <v>0</v>
      </c>
      <c r="Q137" t="n">
        <v>1</v>
      </c>
      <c r="R137" s="2" t="inlineStr">
        <is>
          <t>Varglav</t>
        </is>
      </c>
      <c r="S137">
        <f>HYPERLINK("https://klasma.github.io/Logging_2039/artfynd/A 58508-2021 artfynd.xlsx", "A 58508-2021")</f>
        <v/>
      </c>
      <c r="T137">
        <f>HYPERLINK("https://klasma.github.io/Logging_2039/kartor/A 58508-2021 karta.png", "A 58508-2021")</f>
        <v/>
      </c>
      <c r="V137">
        <f>HYPERLINK("https://klasma.github.io/Logging_2039/klagomål/A 58508-2021 FSC-klagomål.docx", "A 58508-2021")</f>
        <v/>
      </c>
      <c r="W137">
        <f>HYPERLINK("https://klasma.github.io/Logging_2039/klagomålsmail/A 58508-2021 FSC-klagomål mail.docx", "A 58508-2021")</f>
        <v/>
      </c>
      <c r="X137">
        <f>HYPERLINK("https://klasma.github.io/Logging_2039/tillsyn/A 58508-2021 tillsynsbegäran.docx", "A 58508-2021")</f>
        <v/>
      </c>
      <c r="Y137">
        <f>HYPERLINK("https://klasma.github.io/Logging_2039/tillsynsmail/A 58508-2021 tillsynsbegäran mail.docx", "A 58508-2021")</f>
        <v/>
      </c>
    </row>
    <row r="138" ht="15" customHeight="1">
      <c r="A138" t="inlineStr">
        <is>
          <t>A 60419-2021</t>
        </is>
      </c>
      <c r="B138" s="1" t="n">
        <v>44496</v>
      </c>
      <c r="C138" s="1" t="n">
        <v>45576</v>
      </c>
      <c r="D138" t="inlineStr">
        <is>
          <t>DALARNAS LÄN</t>
        </is>
      </c>
      <c r="E138" t="inlineStr">
        <is>
          <t>ÄLVDALEN</t>
        </is>
      </c>
      <c r="F138" t="inlineStr">
        <is>
          <t>Sveaskog</t>
        </is>
      </c>
      <c r="G138" t="n">
        <v>9.1</v>
      </c>
      <c r="H138" t="n">
        <v>0</v>
      </c>
      <c r="I138" t="n">
        <v>1</v>
      </c>
      <c r="J138" t="n">
        <v>0</v>
      </c>
      <c r="K138" t="n">
        <v>0</v>
      </c>
      <c r="L138" t="n">
        <v>0</v>
      </c>
      <c r="M138" t="n">
        <v>0</v>
      </c>
      <c r="N138" t="n">
        <v>0</v>
      </c>
      <c r="O138" t="n">
        <v>0</v>
      </c>
      <c r="P138" t="n">
        <v>0</v>
      </c>
      <c r="Q138" t="n">
        <v>1</v>
      </c>
      <c r="R138" s="2" t="inlineStr">
        <is>
          <t>Dropptaggsvamp</t>
        </is>
      </c>
      <c r="S138">
        <f>HYPERLINK("https://klasma.github.io/Logging_2039/artfynd/A 60419-2021 artfynd.xlsx", "A 60419-2021")</f>
        <v/>
      </c>
      <c r="T138">
        <f>HYPERLINK("https://klasma.github.io/Logging_2039/kartor/A 60419-2021 karta.png", "A 60419-2021")</f>
        <v/>
      </c>
      <c r="V138">
        <f>HYPERLINK("https://klasma.github.io/Logging_2039/klagomål/A 60419-2021 FSC-klagomål.docx", "A 60419-2021")</f>
        <v/>
      </c>
      <c r="W138">
        <f>HYPERLINK("https://klasma.github.io/Logging_2039/klagomålsmail/A 60419-2021 FSC-klagomål mail.docx", "A 60419-2021")</f>
        <v/>
      </c>
      <c r="X138">
        <f>HYPERLINK("https://klasma.github.io/Logging_2039/tillsyn/A 60419-2021 tillsynsbegäran.docx", "A 60419-2021")</f>
        <v/>
      </c>
      <c r="Y138">
        <f>HYPERLINK("https://klasma.github.io/Logging_2039/tillsynsmail/A 60419-2021 tillsynsbegäran mail.docx", "A 60419-2021")</f>
        <v/>
      </c>
    </row>
    <row r="139" ht="15" customHeight="1">
      <c r="A139" t="inlineStr">
        <is>
          <t>A 65500-2021</t>
        </is>
      </c>
      <c r="B139" s="1" t="n">
        <v>44516</v>
      </c>
      <c r="C139" s="1" t="n">
        <v>45576</v>
      </c>
      <c r="D139" t="inlineStr">
        <is>
          <t>DALARNAS LÄN</t>
        </is>
      </c>
      <c r="E139" t="inlineStr">
        <is>
          <t>ÄLVDALEN</t>
        </is>
      </c>
      <c r="F139" t="inlineStr">
        <is>
          <t>Sveaskog</t>
        </is>
      </c>
      <c r="G139" t="n">
        <v>10.4</v>
      </c>
      <c r="H139" t="n">
        <v>1</v>
      </c>
      <c r="I139" t="n">
        <v>0</v>
      </c>
      <c r="J139" t="n">
        <v>1</v>
      </c>
      <c r="K139" t="n">
        <v>0</v>
      </c>
      <c r="L139" t="n">
        <v>0</v>
      </c>
      <c r="M139" t="n">
        <v>0</v>
      </c>
      <c r="N139" t="n">
        <v>0</v>
      </c>
      <c r="O139" t="n">
        <v>1</v>
      </c>
      <c r="P139" t="n">
        <v>0</v>
      </c>
      <c r="Q139" t="n">
        <v>1</v>
      </c>
      <c r="R139" s="2" t="inlineStr">
        <is>
          <t>Varglav</t>
        </is>
      </c>
      <c r="S139">
        <f>HYPERLINK("https://klasma.github.io/Logging_2039/artfynd/A 65500-2021 artfynd.xlsx", "A 65500-2021")</f>
        <v/>
      </c>
      <c r="T139">
        <f>HYPERLINK("https://klasma.github.io/Logging_2039/kartor/A 65500-2021 karta.png", "A 65500-2021")</f>
        <v/>
      </c>
      <c r="V139">
        <f>HYPERLINK("https://klasma.github.io/Logging_2039/klagomål/A 65500-2021 FSC-klagomål.docx", "A 65500-2021")</f>
        <v/>
      </c>
      <c r="W139">
        <f>HYPERLINK("https://klasma.github.io/Logging_2039/klagomålsmail/A 65500-2021 FSC-klagomål mail.docx", "A 65500-2021")</f>
        <v/>
      </c>
      <c r="X139">
        <f>HYPERLINK("https://klasma.github.io/Logging_2039/tillsyn/A 65500-2021 tillsynsbegäran.docx", "A 65500-2021")</f>
        <v/>
      </c>
      <c r="Y139">
        <f>HYPERLINK("https://klasma.github.io/Logging_2039/tillsynsmail/A 65500-2021 tillsynsbegäran mail.docx", "A 65500-2021")</f>
        <v/>
      </c>
    </row>
    <row r="140" ht="15" customHeight="1">
      <c r="A140" t="inlineStr">
        <is>
          <t>A 72175-2021</t>
        </is>
      </c>
      <c r="B140" s="1" t="n">
        <v>44544</v>
      </c>
      <c r="C140" s="1" t="n">
        <v>45576</v>
      </c>
      <c r="D140" t="inlineStr">
        <is>
          <t>DALARNAS LÄN</t>
        </is>
      </c>
      <c r="E140" t="inlineStr">
        <is>
          <t>ÄLVDALEN</t>
        </is>
      </c>
      <c r="F140" t="inlineStr">
        <is>
          <t>Sveaskog</t>
        </is>
      </c>
      <c r="G140" t="n">
        <v>20.3</v>
      </c>
      <c r="H140" t="n">
        <v>1</v>
      </c>
      <c r="I140" t="n">
        <v>0</v>
      </c>
      <c r="J140" t="n">
        <v>1</v>
      </c>
      <c r="K140" t="n">
        <v>0</v>
      </c>
      <c r="L140" t="n">
        <v>0</v>
      </c>
      <c r="M140" t="n">
        <v>0</v>
      </c>
      <c r="N140" t="n">
        <v>0</v>
      </c>
      <c r="O140" t="n">
        <v>1</v>
      </c>
      <c r="P140" t="n">
        <v>0</v>
      </c>
      <c r="Q140" t="n">
        <v>1</v>
      </c>
      <c r="R140" s="2" t="inlineStr">
        <is>
          <t>Varglav</t>
        </is>
      </c>
      <c r="S140">
        <f>HYPERLINK("https://klasma.github.io/Logging_2039/artfynd/A 72175-2021 artfynd.xlsx", "A 72175-2021")</f>
        <v/>
      </c>
      <c r="T140">
        <f>HYPERLINK("https://klasma.github.io/Logging_2039/kartor/A 72175-2021 karta.png", "A 72175-2021")</f>
        <v/>
      </c>
      <c r="V140">
        <f>HYPERLINK("https://klasma.github.io/Logging_2039/klagomål/A 72175-2021 FSC-klagomål.docx", "A 72175-2021")</f>
        <v/>
      </c>
      <c r="W140">
        <f>HYPERLINK("https://klasma.github.io/Logging_2039/klagomålsmail/A 72175-2021 FSC-klagomål mail.docx", "A 72175-2021")</f>
        <v/>
      </c>
      <c r="X140">
        <f>HYPERLINK("https://klasma.github.io/Logging_2039/tillsyn/A 72175-2021 tillsynsbegäran.docx", "A 72175-2021")</f>
        <v/>
      </c>
      <c r="Y140">
        <f>HYPERLINK("https://klasma.github.io/Logging_2039/tillsynsmail/A 72175-2021 tillsynsbegäran mail.docx", "A 72175-2021")</f>
        <v/>
      </c>
    </row>
    <row r="141" ht="15" customHeight="1">
      <c r="A141" t="inlineStr">
        <is>
          <t>A 32572-2022</t>
        </is>
      </c>
      <c r="B141" s="1" t="n">
        <v>44783</v>
      </c>
      <c r="C141" s="1" t="n">
        <v>45576</v>
      </c>
      <c r="D141" t="inlineStr">
        <is>
          <t>DALARNAS LÄN</t>
        </is>
      </c>
      <c r="E141" t="inlineStr">
        <is>
          <t>ÄLVDALEN</t>
        </is>
      </c>
      <c r="G141" t="n">
        <v>5.7</v>
      </c>
      <c r="H141" t="n">
        <v>1</v>
      </c>
      <c r="I141" t="n">
        <v>0</v>
      </c>
      <c r="J141" t="n">
        <v>0</v>
      </c>
      <c r="K141" t="n">
        <v>1</v>
      </c>
      <c r="L141" t="n">
        <v>0</v>
      </c>
      <c r="M141" t="n">
        <v>0</v>
      </c>
      <c r="N141" t="n">
        <v>0</v>
      </c>
      <c r="O141" t="n">
        <v>1</v>
      </c>
      <c r="P141" t="n">
        <v>1</v>
      </c>
      <c r="Q141" t="n">
        <v>1</v>
      </c>
      <c r="R141" s="2" t="inlineStr">
        <is>
          <t>Knärot</t>
        </is>
      </c>
      <c r="S141">
        <f>HYPERLINK("https://klasma.github.io/Logging_2039/artfynd/A 32572-2022 artfynd.xlsx", "A 32572-2022")</f>
        <v/>
      </c>
      <c r="T141">
        <f>HYPERLINK("https://klasma.github.io/Logging_2039/kartor/A 32572-2022 karta.png", "A 32572-2022")</f>
        <v/>
      </c>
      <c r="U141">
        <f>HYPERLINK("https://klasma.github.io/Logging_2039/knärot/A 32572-2022 karta knärot.png", "A 32572-2022")</f>
        <v/>
      </c>
      <c r="V141">
        <f>HYPERLINK("https://klasma.github.io/Logging_2039/klagomål/A 32572-2022 FSC-klagomål.docx", "A 32572-2022")</f>
        <v/>
      </c>
      <c r="W141">
        <f>HYPERLINK("https://klasma.github.io/Logging_2039/klagomålsmail/A 32572-2022 FSC-klagomål mail.docx", "A 32572-2022")</f>
        <v/>
      </c>
      <c r="X141">
        <f>HYPERLINK("https://klasma.github.io/Logging_2039/tillsyn/A 32572-2022 tillsynsbegäran.docx", "A 32572-2022")</f>
        <v/>
      </c>
      <c r="Y141">
        <f>HYPERLINK("https://klasma.github.io/Logging_2039/tillsynsmail/A 32572-2022 tillsynsbegäran mail.docx", "A 32572-2022")</f>
        <v/>
      </c>
    </row>
    <row r="142" ht="15" customHeight="1">
      <c r="A142" t="inlineStr">
        <is>
          <t>A 39419-2022</t>
        </is>
      </c>
      <c r="B142" s="1" t="n">
        <v>44818</v>
      </c>
      <c r="C142" s="1" t="n">
        <v>45576</v>
      </c>
      <c r="D142" t="inlineStr">
        <is>
          <t>DALARNAS LÄN</t>
        </is>
      </c>
      <c r="E142" t="inlineStr">
        <is>
          <t>ÄLVDALEN</t>
        </is>
      </c>
      <c r="G142" t="n">
        <v>4.3</v>
      </c>
      <c r="H142" t="n">
        <v>0</v>
      </c>
      <c r="I142" t="n">
        <v>0</v>
      </c>
      <c r="J142" t="n">
        <v>1</v>
      </c>
      <c r="K142" t="n">
        <v>0</v>
      </c>
      <c r="L142" t="n">
        <v>0</v>
      </c>
      <c r="M142" t="n">
        <v>0</v>
      </c>
      <c r="N142" t="n">
        <v>0</v>
      </c>
      <c r="O142" t="n">
        <v>1</v>
      </c>
      <c r="P142" t="n">
        <v>0</v>
      </c>
      <c r="Q142" t="n">
        <v>1</v>
      </c>
      <c r="R142" s="2" t="inlineStr">
        <is>
          <t>Lunglav</t>
        </is>
      </c>
      <c r="S142">
        <f>HYPERLINK("https://klasma.github.io/Logging_2039/artfynd/A 39419-2022 artfynd.xlsx", "A 39419-2022")</f>
        <v/>
      </c>
      <c r="T142">
        <f>HYPERLINK("https://klasma.github.io/Logging_2039/kartor/A 39419-2022 karta.png", "A 39419-2022")</f>
        <v/>
      </c>
      <c r="V142">
        <f>HYPERLINK("https://klasma.github.io/Logging_2039/klagomål/A 39419-2022 FSC-klagomål.docx", "A 39419-2022")</f>
        <v/>
      </c>
      <c r="W142">
        <f>HYPERLINK("https://klasma.github.io/Logging_2039/klagomålsmail/A 39419-2022 FSC-klagomål mail.docx", "A 39419-2022")</f>
        <v/>
      </c>
      <c r="X142">
        <f>HYPERLINK("https://klasma.github.io/Logging_2039/tillsyn/A 39419-2022 tillsynsbegäran.docx", "A 39419-2022")</f>
        <v/>
      </c>
      <c r="Y142">
        <f>HYPERLINK("https://klasma.github.io/Logging_2039/tillsynsmail/A 39419-2022 tillsynsbegäran mail.docx", "A 39419-2022")</f>
        <v/>
      </c>
    </row>
    <row r="143" ht="15" customHeight="1">
      <c r="A143" t="inlineStr">
        <is>
          <t>A 40720-2022</t>
        </is>
      </c>
      <c r="B143" s="1" t="n">
        <v>44824</v>
      </c>
      <c r="C143" s="1" t="n">
        <v>45576</v>
      </c>
      <c r="D143" t="inlineStr">
        <is>
          <t>DALARNAS LÄN</t>
        </is>
      </c>
      <c r="E143" t="inlineStr">
        <is>
          <t>ÄLVDALEN</t>
        </is>
      </c>
      <c r="F143" t="inlineStr">
        <is>
          <t>Övriga statliga verk och myndigheter</t>
        </is>
      </c>
      <c r="G143" t="n">
        <v>6.7</v>
      </c>
      <c r="H143" t="n">
        <v>0</v>
      </c>
      <c r="I143" t="n">
        <v>0</v>
      </c>
      <c r="J143" t="n">
        <v>1</v>
      </c>
      <c r="K143" t="n">
        <v>0</v>
      </c>
      <c r="L143" t="n">
        <v>0</v>
      </c>
      <c r="M143" t="n">
        <v>0</v>
      </c>
      <c r="N143" t="n">
        <v>0</v>
      </c>
      <c r="O143" t="n">
        <v>1</v>
      </c>
      <c r="P143" t="n">
        <v>0</v>
      </c>
      <c r="Q143" t="n">
        <v>1</v>
      </c>
      <c r="R143" s="2" t="inlineStr">
        <is>
          <t>Mörk kolflarnlav</t>
        </is>
      </c>
      <c r="S143">
        <f>HYPERLINK("https://klasma.github.io/Logging_2039/artfynd/A 40720-2022 artfynd.xlsx", "A 40720-2022")</f>
        <v/>
      </c>
      <c r="T143">
        <f>HYPERLINK("https://klasma.github.io/Logging_2039/kartor/A 40720-2022 karta.png", "A 40720-2022")</f>
        <v/>
      </c>
      <c r="V143">
        <f>HYPERLINK("https://klasma.github.io/Logging_2039/klagomål/A 40720-2022 FSC-klagomål.docx", "A 40720-2022")</f>
        <v/>
      </c>
      <c r="W143">
        <f>HYPERLINK("https://klasma.github.io/Logging_2039/klagomålsmail/A 40720-2022 FSC-klagomål mail.docx", "A 40720-2022")</f>
        <v/>
      </c>
      <c r="X143">
        <f>HYPERLINK("https://klasma.github.io/Logging_2039/tillsyn/A 40720-2022 tillsynsbegäran.docx", "A 40720-2022")</f>
        <v/>
      </c>
      <c r="Y143">
        <f>HYPERLINK("https://klasma.github.io/Logging_2039/tillsynsmail/A 40720-2022 tillsynsbegäran mail.docx", "A 40720-2022")</f>
        <v/>
      </c>
    </row>
    <row r="144" ht="15" customHeight="1">
      <c r="A144" t="inlineStr">
        <is>
          <t>A 43651-2022</t>
        </is>
      </c>
      <c r="B144" s="1" t="n">
        <v>44837</v>
      </c>
      <c r="C144" s="1" t="n">
        <v>45576</v>
      </c>
      <c r="D144" t="inlineStr">
        <is>
          <t>DALARNAS LÄN</t>
        </is>
      </c>
      <c r="E144" t="inlineStr">
        <is>
          <t>ÄLVDALEN</t>
        </is>
      </c>
      <c r="F144" t="inlineStr">
        <is>
          <t>Bergvik skog väst AB</t>
        </is>
      </c>
      <c r="G144" t="n">
        <v>1.6</v>
      </c>
      <c r="H144" t="n">
        <v>1</v>
      </c>
      <c r="I144" t="n">
        <v>0</v>
      </c>
      <c r="J144" t="n">
        <v>0</v>
      </c>
      <c r="K144" t="n">
        <v>0</v>
      </c>
      <c r="L144" t="n">
        <v>0</v>
      </c>
      <c r="M144" t="n">
        <v>0</v>
      </c>
      <c r="N144" t="n">
        <v>0</v>
      </c>
      <c r="O144" t="n">
        <v>0</v>
      </c>
      <c r="P144" t="n">
        <v>0</v>
      </c>
      <c r="Q144" t="n">
        <v>1</v>
      </c>
      <c r="R144" s="2" t="inlineStr">
        <is>
          <t>Större vattensalamander</t>
        </is>
      </c>
      <c r="S144">
        <f>HYPERLINK("https://klasma.github.io/Logging_2039/artfynd/A 43651-2022 artfynd.xlsx", "A 43651-2022")</f>
        <v/>
      </c>
      <c r="T144">
        <f>HYPERLINK("https://klasma.github.io/Logging_2039/kartor/A 43651-2022 karta.png", "A 43651-2022")</f>
        <v/>
      </c>
      <c r="V144">
        <f>HYPERLINK("https://klasma.github.io/Logging_2039/klagomål/A 43651-2022 FSC-klagomål.docx", "A 43651-2022")</f>
        <v/>
      </c>
      <c r="W144">
        <f>HYPERLINK("https://klasma.github.io/Logging_2039/klagomålsmail/A 43651-2022 FSC-klagomål mail.docx", "A 43651-2022")</f>
        <v/>
      </c>
      <c r="X144">
        <f>HYPERLINK("https://klasma.github.io/Logging_2039/tillsyn/A 43651-2022 tillsynsbegäran.docx", "A 43651-2022")</f>
        <v/>
      </c>
      <c r="Y144">
        <f>HYPERLINK("https://klasma.github.io/Logging_2039/tillsynsmail/A 43651-2022 tillsynsbegäran mail.docx", "A 43651-2022")</f>
        <v/>
      </c>
    </row>
    <row r="145" ht="15" customHeight="1">
      <c r="A145" t="inlineStr">
        <is>
          <t>A 50251-2022</t>
        </is>
      </c>
      <c r="B145" s="1" t="n">
        <v>44865</v>
      </c>
      <c r="C145" s="1" t="n">
        <v>45576</v>
      </c>
      <c r="D145" t="inlineStr">
        <is>
          <t>DALARNAS LÄN</t>
        </is>
      </c>
      <c r="E145" t="inlineStr">
        <is>
          <t>ÄLVDALEN</t>
        </is>
      </c>
      <c r="F145" t="inlineStr">
        <is>
          <t>Sveaskog</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50251-2022 artfynd.xlsx", "A 50251-2022")</f>
        <v/>
      </c>
      <c r="T145">
        <f>HYPERLINK("https://klasma.github.io/Logging_2039/kartor/A 50251-2022 karta.png", "A 50251-2022")</f>
        <v/>
      </c>
      <c r="V145">
        <f>HYPERLINK("https://klasma.github.io/Logging_2039/klagomål/A 50251-2022 FSC-klagomål.docx", "A 50251-2022")</f>
        <v/>
      </c>
      <c r="W145">
        <f>HYPERLINK("https://klasma.github.io/Logging_2039/klagomålsmail/A 50251-2022 FSC-klagomål mail.docx", "A 50251-2022")</f>
        <v/>
      </c>
      <c r="X145">
        <f>HYPERLINK("https://klasma.github.io/Logging_2039/tillsyn/A 50251-2022 tillsynsbegäran.docx", "A 50251-2022")</f>
        <v/>
      </c>
      <c r="Y145">
        <f>HYPERLINK("https://klasma.github.io/Logging_2039/tillsynsmail/A 50251-2022 tillsynsbegäran mail.docx", "A 50251-2022")</f>
        <v/>
      </c>
    </row>
    <row r="146" ht="15" customHeight="1">
      <c r="A146" t="inlineStr">
        <is>
          <t>A 50252-2022</t>
        </is>
      </c>
      <c r="B146" s="1" t="n">
        <v>44865</v>
      </c>
      <c r="C146" s="1" t="n">
        <v>45576</v>
      </c>
      <c r="D146" t="inlineStr">
        <is>
          <t>DALARNAS LÄN</t>
        </is>
      </c>
      <c r="E146" t="inlineStr">
        <is>
          <t>ÄLVDALEN</t>
        </is>
      </c>
      <c r="F146" t="inlineStr">
        <is>
          <t>Sveaskog</t>
        </is>
      </c>
      <c r="G146" t="n">
        <v>3</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50252-2022 artfynd.xlsx", "A 50252-2022")</f>
        <v/>
      </c>
      <c r="T146">
        <f>HYPERLINK("https://klasma.github.io/Logging_2039/kartor/A 50252-2022 karta.png", "A 50252-2022")</f>
        <v/>
      </c>
      <c r="V146">
        <f>HYPERLINK("https://klasma.github.io/Logging_2039/klagomål/A 50252-2022 FSC-klagomål.docx", "A 50252-2022")</f>
        <v/>
      </c>
      <c r="W146">
        <f>HYPERLINK("https://klasma.github.io/Logging_2039/klagomålsmail/A 50252-2022 FSC-klagomål mail.docx", "A 50252-2022")</f>
        <v/>
      </c>
      <c r="X146">
        <f>HYPERLINK("https://klasma.github.io/Logging_2039/tillsyn/A 50252-2022 tillsynsbegäran.docx", "A 50252-2022")</f>
        <v/>
      </c>
      <c r="Y146">
        <f>HYPERLINK("https://klasma.github.io/Logging_2039/tillsynsmail/A 50252-2022 tillsynsbegäran mail.docx", "A 50252-2022")</f>
        <v/>
      </c>
    </row>
    <row r="147" ht="15" customHeight="1">
      <c r="A147" t="inlineStr">
        <is>
          <t>A 51477-2022</t>
        </is>
      </c>
      <c r="B147" s="1" t="n">
        <v>44869</v>
      </c>
      <c r="C147" s="1" t="n">
        <v>45576</v>
      </c>
      <c r="D147" t="inlineStr">
        <is>
          <t>DALARNAS LÄN</t>
        </is>
      </c>
      <c r="E147" t="inlineStr">
        <is>
          <t>ÄLVDALEN</t>
        </is>
      </c>
      <c r="F147" t="inlineStr">
        <is>
          <t>Sveaskog</t>
        </is>
      </c>
      <c r="G147" t="n">
        <v>3.8</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51477-2022 artfynd.xlsx", "A 51477-2022")</f>
        <v/>
      </c>
      <c r="T147">
        <f>HYPERLINK("https://klasma.github.io/Logging_2039/kartor/A 51477-2022 karta.png", "A 51477-2022")</f>
        <v/>
      </c>
      <c r="V147">
        <f>HYPERLINK("https://klasma.github.io/Logging_2039/klagomål/A 51477-2022 FSC-klagomål.docx", "A 51477-2022")</f>
        <v/>
      </c>
      <c r="W147">
        <f>HYPERLINK("https://klasma.github.io/Logging_2039/klagomålsmail/A 51477-2022 FSC-klagomål mail.docx", "A 51477-2022")</f>
        <v/>
      </c>
      <c r="X147">
        <f>HYPERLINK("https://klasma.github.io/Logging_2039/tillsyn/A 51477-2022 tillsynsbegäran.docx", "A 51477-2022")</f>
        <v/>
      </c>
      <c r="Y147">
        <f>HYPERLINK("https://klasma.github.io/Logging_2039/tillsynsmail/A 51477-2022 tillsynsbegäran mail.docx", "A 51477-2022")</f>
        <v/>
      </c>
    </row>
    <row r="148" ht="15" customHeight="1">
      <c r="A148" t="inlineStr">
        <is>
          <t>A 55062-2022</t>
        </is>
      </c>
      <c r="B148" s="1" t="n">
        <v>44881</v>
      </c>
      <c r="C148" s="1" t="n">
        <v>45576</v>
      </c>
      <c r="D148" t="inlineStr">
        <is>
          <t>DALARNAS LÄN</t>
        </is>
      </c>
      <c r="E148" t="inlineStr">
        <is>
          <t>ÄLVDALEN</t>
        </is>
      </c>
      <c r="F148" t="inlineStr">
        <is>
          <t>Övriga statliga verk och myndigheter</t>
        </is>
      </c>
      <c r="G148" t="n">
        <v>28.1</v>
      </c>
      <c r="H148" t="n">
        <v>1</v>
      </c>
      <c r="I148" t="n">
        <v>0</v>
      </c>
      <c r="J148" t="n">
        <v>1</v>
      </c>
      <c r="K148" t="n">
        <v>0</v>
      </c>
      <c r="L148" t="n">
        <v>0</v>
      </c>
      <c r="M148" t="n">
        <v>0</v>
      </c>
      <c r="N148" t="n">
        <v>0</v>
      </c>
      <c r="O148" t="n">
        <v>1</v>
      </c>
      <c r="P148" t="n">
        <v>0</v>
      </c>
      <c r="Q148" t="n">
        <v>1</v>
      </c>
      <c r="R148" s="2" t="inlineStr">
        <is>
          <t>Utter</t>
        </is>
      </c>
      <c r="S148">
        <f>HYPERLINK("https://klasma.github.io/Logging_2039/artfynd/A 55062-2022 artfynd.xlsx", "A 55062-2022")</f>
        <v/>
      </c>
      <c r="T148">
        <f>HYPERLINK("https://klasma.github.io/Logging_2039/kartor/A 55062-2022 karta.png", "A 55062-2022")</f>
        <v/>
      </c>
      <c r="V148">
        <f>HYPERLINK("https://klasma.github.io/Logging_2039/klagomål/A 55062-2022 FSC-klagomål.docx", "A 55062-2022")</f>
        <v/>
      </c>
      <c r="W148">
        <f>HYPERLINK("https://klasma.github.io/Logging_2039/klagomålsmail/A 55062-2022 FSC-klagomål mail.docx", "A 55062-2022")</f>
        <v/>
      </c>
      <c r="X148">
        <f>HYPERLINK("https://klasma.github.io/Logging_2039/tillsyn/A 55062-2022 tillsynsbegäran.docx", "A 55062-2022")</f>
        <v/>
      </c>
      <c r="Y148">
        <f>HYPERLINK("https://klasma.github.io/Logging_2039/tillsynsmail/A 55062-2022 tillsynsbegäran mail.docx", "A 55062-2022")</f>
        <v/>
      </c>
    </row>
    <row r="149" ht="15" customHeight="1">
      <c r="A149" t="inlineStr">
        <is>
          <t>A 62665-2022</t>
        </is>
      </c>
      <c r="B149" s="1" t="n">
        <v>44917</v>
      </c>
      <c r="C149" s="1" t="n">
        <v>45576</v>
      </c>
      <c r="D149" t="inlineStr">
        <is>
          <t>DALARNAS LÄN</t>
        </is>
      </c>
      <c r="E149" t="inlineStr">
        <is>
          <t>ÄLVDALEN</t>
        </is>
      </c>
      <c r="G149" t="n">
        <v>0.6</v>
      </c>
      <c r="H149" t="n">
        <v>0</v>
      </c>
      <c r="I149" t="n">
        <v>1</v>
      </c>
      <c r="J149" t="n">
        <v>0</v>
      </c>
      <c r="K149" t="n">
        <v>0</v>
      </c>
      <c r="L149" t="n">
        <v>0</v>
      </c>
      <c r="M149" t="n">
        <v>0</v>
      </c>
      <c r="N149" t="n">
        <v>0</v>
      </c>
      <c r="O149" t="n">
        <v>0</v>
      </c>
      <c r="P149" t="n">
        <v>0</v>
      </c>
      <c r="Q149" t="n">
        <v>1</v>
      </c>
      <c r="R149" s="2" t="inlineStr">
        <is>
          <t>Luddlav</t>
        </is>
      </c>
      <c r="S149">
        <f>HYPERLINK("https://klasma.github.io/Logging_2039/artfynd/A 62665-2022 artfynd.xlsx", "A 62665-2022")</f>
        <v/>
      </c>
      <c r="T149">
        <f>HYPERLINK("https://klasma.github.io/Logging_2039/kartor/A 62665-2022 karta.png", "A 62665-2022")</f>
        <v/>
      </c>
      <c r="V149">
        <f>HYPERLINK("https://klasma.github.io/Logging_2039/klagomål/A 62665-2022 FSC-klagomål.docx", "A 62665-2022")</f>
        <v/>
      </c>
      <c r="W149">
        <f>HYPERLINK("https://klasma.github.io/Logging_2039/klagomålsmail/A 62665-2022 FSC-klagomål mail.docx", "A 62665-2022")</f>
        <v/>
      </c>
      <c r="X149">
        <f>HYPERLINK("https://klasma.github.io/Logging_2039/tillsyn/A 62665-2022 tillsynsbegäran.docx", "A 62665-2022")</f>
        <v/>
      </c>
      <c r="Y149">
        <f>HYPERLINK("https://klasma.github.io/Logging_2039/tillsynsmail/A 62665-2022 tillsynsbegäran mail.docx", "A 62665-2022")</f>
        <v/>
      </c>
    </row>
    <row r="150" ht="15" customHeight="1">
      <c r="A150" t="inlineStr">
        <is>
          <t>A 33553-2023</t>
        </is>
      </c>
      <c r="B150" s="1" t="n">
        <v>45118</v>
      </c>
      <c r="C150" s="1" t="n">
        <v>45576</v>
      </c>
      <c r="D150" t="inlineStr">
        <is>
          <t>DALARNAS LÄN</t>
        </is>
      </c>
      <c r="E150" t="inlineStr">
        <is>
          <t>ÄLVDALEN</t>
        </is>
      </c>
      <c r="G150" t="n">
        <v>1.3</v>
      </c>
      <c r="H150" t="n">
        <v>0</v>
      </c>
      <c r="I150" t="n">
        <v>0</v>
      </c>
      <c r="J150" t="n">
        <v>1</v>
      </c>
      <c r="K150" t="n">
        <v>0</v>
      </c>
      <c r="L150" t="n">
        <v>0</v>
      </c>
      <c r="M150" t="n">
        <v>0</v>
      </c>
      <c r="N150" t="n">
        <v>0</v>
      </c>
      <c r="O150" t="n">
        <v>1</v>
      </c>
      <c r="P150" t="n">
        <v>0</v>
      </c>
      <c r="Q150" t="n">
        <v>1</v>
      </c>
      <c r="R150" s="2" t="inlineStr">
        <is>
          <t>Lunglav</t>
        </is>
      </c>
      <c r="S150">
        <f>HYPERLINK("https://klasma.github.io/Logging_2039/artfynd/A 33553-2023 artfynd.xlsx", "A 33553-2023")</f>
        <v/>
      </c>
      <c r="T150">
        <f>HYPERLINK("https://klasma.github.io/Logging_2039/kartor/A 33553-2023 karta.png", "A 33553-2023")</f>
        <v/>
      </c>
      <c r="V150">
        <f>HYPERLINK("https://klasma.github.io/Logging_2039/klagomål/A 33553-2023 FSC-klagomål.docx", "A 33553-2023")</f>
        <v/>
      </c>
      <c r="W150">
        <f>HYPERLINK("https://klasma.github.io/Logging_2039/klagomålsmail/A 33553-2023 FSC-klagomål mail.docx", "A 33553-2023")</f>
        <v/>
      </c>
      <c r="X150">
        <f>HYPERLINK("https://klasma.github.io/Logging_2039/tillsyn/A 33553-2023 tillsynsbegäran.docx", "A 33553-2023")</f>
        <v/>
      </c>
      <c r="Y150">
        <f>HYPERLINK("https://klasma.github.io/Logging_2039/tillsynsmail/A 33553-2023 tillsynsbegäran mail.docx", "A 33553-2023")</f>
        <v/>
      </c>
    </row>
    <row r="151" ht="15" customHeight="1">
      <c r="A151" t="inlineStr">
        <is>
          <t>A 35185-2023</t>
        </is>
      </c>
      <c r="B151" s="1" t="n">
        <v>45145</v>
      </c>
      <c r="C151" s="1" t="n">
        <v>45576</v>
      </c>
      <c r="D151" t="inlineStr">
        <is>
          <t>DALARNAS LÄN</t>
        </is>
      </c>
      <c r="E151" t="inlineStr">
        <is>
          <t>ÄLVDALEN</t>
        </is>
      </c>
      <c r="F151" t="inlineStr">
        <is>
          <t>Sveaskog</t>
        </is>
      </c>
      <c r="G151" t="n">
        <v>1.4</v>
      </c>
      <c r="H151" t="n">
        <v>0</v>
      </c>
      <c r="I151" t="n">
        <v>0</v>
      </c>
      <c r="J151" t="n">
        <v>1</v>
      </c>
      <c r="K151" t="n">
        <v>0</v>
      </c>
      <c r="L151" t="n">
        <v>0</v>
      </c>
      <c r="M151" t="n">
        <v>0</v>
      </c>
      <c r="N151" t="n">
        <v>0</v>
      </c>
      <c r="O151" t="n">
        <v>1</v>
      </c>
      <c r="P151" t="n">
        <v>0</v>
      </c>
      <c r="Q151" t="n">
        <v>1</v>
      </c>
      <c r="R151" s="2" t="inlineStr">
        <is>
          <t>Kolflarnlav</t>
        </is>
      </c>
      <c r="S151">
        <f>HYPERLINK("https://klasma.github.io/Logging_2039/artfynd/A 35185-2023 artfynd.xlsx", "A 35185-2023")</f>
        <v/>
      </c>
      <c r="T151">
        <f>HYPERLINK("https://klasma.github.io/Logging_2039/kartor/A 35185-2023 karta.png", "A 35185-2023")</f>
        <v/>
      </c>
      <c r="V151">
        <f>HYPERLINK("https://klasma.github.io/Logging_2039/klagomål/A 35185-2023 FSC-klagomål.docx", "A 35185-2023")</f>
        <v/>
      </c>
      <c r="W151">
        <f>HYPERLINK("https://klasma.github.io/Logging_2039/klagomålsmail/A 35185-2023 FSC-klagomål mail.docx", "A 35185-2023")</f>
        <v/>
      </c>
      <c r="X151">
        <f>HYPERLINK("https://klasma.github.io/Logging_2039/tillsyn/A 35185-2023 tillsynsbegäran.docx", "A 35185-2023")</f>
        <v/>
      </c>
      <c r="Y151">
        <f>HYPERLINK("https://klasma.github.io/Logging_2039/tillsynsmail/A 35185-2023 tillsynsbegäran mail.docx", "A 35185-2023")</f>
        <v/>
      </c>
    </row>
    <row r="152" ht="15" customHeight="1">
      <c r="A152" t="inlineStr">
        <is>
          <t>A 43473-2023</t>
        </is>
      </c>
      <c r="B152" s="1" t="n">
        <v>45184</v>
      </c>
      <c r="C152" s="1" t="n">
        <v>45576</v>
      </c>
      <c r="D152" t="inlineStr">
        <is>
          <t>DALARNAS LÄN</t>
        </is>
      </c>
      <c r="E152" t="inlineStr">
        <is>
          <t>ÄLVDALEN</t>
        </is>
      </c>
      <c r="G152" t="n">
        <v>33.5</v>
      </c>
      <c r="H152" t="n">
        <v>0</v>
      </c>
      <c r="I152" t="n">
        <v>0</v>
      </c>
      <c r="J152" t="n">
        <v>1</v>
      </c>
      <c r="K152" t="n">
        <v>0</v>
      </c>
      <c r="L152" t="n">
        <v>0</v>
      </c>
      <c r="M152" t="n">
        <v>0</v>
      </c>
      <c r="N152" t="n">
        <v>0</v>
      </c>
      <c r="O152" t="n">
        <v>1</v>
      </c>
      <c r="P152" t="n">
        <v>0</v>
      </c>
      <c r="Q152" t="n">
        <v>1</v>
      </c>
      <c r="R152" s="2" t="inlineStr">
        <is>
          <t>Vedflamlav</t>
        </is>
      </c>
      <c r="S152">
        <f>HYPERLINK("https://klasma.github.io/Logging_2039/artfynd/A 43473-2023 artfynd.xlsx", "A 43473-2023")</f>
        <v/>
      </c>
      <c r="T152">
        <f>HYPERLINK("https://klasma.github.io/Logging_2039/kartor/A 43473-2023 karta.png", "A 43473-2023")</f>
        <v/>
      </c>
      <c r="V152">
        <f>HYPERLINK("https://klasma.github.io/Logging_2039/klagomål/A 43473-2023 FSC-klagomål.docx", "A 43473-2023")</f>
        <v/>
      </c>
      <c r="W152">
        <f>HYPERLINK("https://klasma.github.io/Logging_2039/klagomålsmail/A 43473-2023 FSC-klagomål mail.docx", "A 43473-2023")</f>
        <v/>
      </c>
      <c r="X152">
        <f>HYPERLINK("https://klasma.github.io/Logging_2039/tillsyn/A 43473-2023 tillsynsbegäran.docx", "A 43473-2023")</f>
        <v/>
      </c>
      <c r="Y152">
        <f>HYPERLINK("https://klasma.github.io/Logging_2039/tillsynsmail/A 43473-2023 tillsynsbegäran mail.docx", "A 43473-2023")</f>
        <v/>
      </c>
    </row>
    <row r="153" ht="15" customHeight="1">
      <c r="A153" t="inlineStr">
        <is>
          <t>A 53966-2023</t>
        </is>
      </c>
      <c r="B153" s="1" t="n">
        <v>45231</v>
      </c>
      <c r="C153" s="1" t="n">
        <v>45576</v>
      </c>
      <c r="D153" t="inlineStr">
        <is>
          <t>DALARNAS LÄN</t>
        </is>
      </c>
      <c r="E153" t="inlineStr">
        <is>
          <t>ÄLVDALEN</t>
        </is>
      </c>
      <c r="F153" t="inlineStr">
        <is>
          <t>Bergvik skog öst AB</t>
        </is>
      </c>
      <c r="G153" t="n">
        <v>14.7</v>
      </c>
      <c r="H153" t="n">
        <v>1</v>
      </c>
      <c r="I153" t="n">
        <v>0</v>
      </c>
      <c r="J153" t="n">
        <v>0</v>
      </c>
      <c r="K153" t="n">
        <v>1</v>
      </c>
      <c r="L153" t="n">
        <v>0</v>
      </c>
      <c r="M153" t="n">
        <v>0</v>
      </c>
      <c r="N153" t="n">
        <v>0</v>
      </c>
      <c r="O153" t="n">
        <v>1</v>
      </c>
      <c r="P153" t="n">
        <v>1</v>
      </c>
      <c r="Q153" t="n">
        <v>1</v>
      </c>
      <c r="R153" s="2" t="inlineStr">
        <is>
          <t>Lappuggla</t>
        </is>
      </c>
      <c r="S153">
        <f>HYPERLINK("https://klasma.github.io/Logging_2039/artfynd/A 53966-2023 artfynd.xlsx", "A 53966-2023")</f>
        <v/>
      </c>
      <c r="T153">
        <f>HYPERLINK("https://klasma.github.io/Logging_2039/kartor/A 53966-2023 karta.png", "A 53966-2023")</f>
        <v/>
      </c>
      <c r="V153">
        <f>HYPERLINK("https://klasma.github.io/Logging_2039/klagomål/A 53966-2023 FSC-klagomål.docx", "A 53966-2023")</f>
        <v/>
      </c>
      <c r="W153">
        <f>HYPERLINK("https://klasma.github.io/Logging_2039/klagomålsmail/A 53966-2023 FSC-klagomål mail.docx", "A 53966-2023")</f>
        <v/>
      </c>
      <c r="X153">
        <f>HYPERLINK("https://klasma.github.io/Logging_2039/tillsyn/A 53966-2023 tillsynsbegäran.docx", "A 53966-2023")</f>
        <v/>
      </c>
      <c r="Y153">
        <f>HYPERLINK("https://klasma.github.io/Logging_2039/tillsynsmail/A 53966-2023 tillsynsbegäran mail.docx", "A 53966-2023")</f>
        <v/>
      </c>
      <c r="Z153">
        <f>HYPERLINK("https://klasma.github.io/Logging_2039/fåglar/A 53966-2023 prioriterade fågelarter.docx", "A 53966-2023")</f>
        <v/>
      </c>
    </row>
    <row r="154" ht="15" customHeight="1">
      <c r="A154" t="inlineStr">
        <is>
          <t>A 9094-2024</t>
        </is>
      </c>
      <c r="B154" s="1" t="n">
        <v>45357</v>
      </c>
      <c r="C154" s="1" t="n">
        <v>45576</v>
      </c>
      <c r="D154" t="inlineStr">
        <is>
          <t>DALARNAS LÄN</t>
        </is>
      </c>
      <c r="E154" t="inlineStr">
        <is>
          <t>ÄLVDALEN</t>
        </is>
      </c>
      <c r="G154" t="n">
        <v>4.6</v>
      </c>
      <c r="H154" t="n">
        <v>0</v>
      </c>
      <c r="I154" t="n">
        <v>0</v>
      </c>
      <c r="J154" t="n">
        <v>1</v>
      </c>
      <c r="K154" t="n">
        <v>0</v>
      </c>
      <c r="L154" t="n">
        <v>0</v>
      </c>
      <c r="M154" t="n">
        <v>0</v>
      </c>
      <c r="N154" t="n">
        <v>0</v>
      </c>
      <c r="O154" t="n">
        <v>1</v>
      </c>
      <c r="P154" t="n">
        <v>0</v>
      </c>
      <c r="Q154" t="n">
        <v>1</v>
      </c>
      <c r="R154" s="2" t="inlineStr">
        <is>
          <t>Nordtagging</t>
        </is>
      </c>
      <c r="S154">
        <f>HYPERLINK("https://klasma.github.io/Logging_2039/artfynd/A 9094-2024 artfynd.xlsx", "A 9094-2024")</f>
        <v/>
      </c>
      <c r="T154">
        <f>HYPERLINK("https://klasma.github.io/Logging_2039/kartor/A 9094-2024 karta.png", "A 9094-2024")</f>
        <v/>
      </c>
      <c r="V154">
        <f>HYPERLINK("https://klasma.github.io/Logging_2039/klagomål/A 9094-2024 FSC-klagomål.docx", "A 9094-2024")</f>
        <v/>
      </c>
      <c r="W154">
        <f>HYPERLINK("https://klasma.github.io/Logging_2039/klagomålsmail/A 9094-2024 FSC-klagomål mail.docx", "A 9094-2024")</f>
        <v/>
      </c>
      <c r="X154">
        <f>HYPERLINK("https://klasma.github.io/Logging_2039/tillsyn/A 9094-2024 tillsynsbegäran.docx", "A 9094-2024")</f>
        <v/>
      </c>
      <c r="Y154">
        <f>HYPERLINK("https://klasma.github.io/Logging_2039/tillsynsmail/A 9094-2024 tillsynsbegäran mail.docx", "A 9094-2024")</f>
        <v/>
      </c>
    </row>
    <row r="155" ht="15" customHeight="1">
      <c r="A155" t="inlineStr">
        <is>
          <t>A 14277-2024</t>
        </is>
      </c>
      <c r="B155" s="1" t="n">
        <v>45393</v>
      </c>
      <c r="C155" s="1" t="n">
        <v>45576</v>
      </c>
      <c r="D155" t="inlineStr">
        <is>
          <t>DALARNAS LÄN</t>
        </is>
      </c>
      <c r="E155" t="inlineStr">
        <is>
          <t>ÄLVDALEN</t>
        </is>
      </c>
      <c r="F155" t="inlineStr">
        <is>
          <t>Allmännings- och besparingsskogar</t>
        </is>
      </c>
      <c r="G155" t="n">
        <v>2.8</v>
      </c>
      <c r="H155" t="n">
        <v>1</v>
      </c>
      <c r="I155" t="n">
        <v>0</v>
      </c>
      <c r="J155" t="n">
        <v>1</v>
      </c>
      <c r="K155" t="n">
        <v>0</v>
      </c>
      <c r="L155" t="n">
        <v>0</v>
      </c>
      <c r="M155" t="n">
        <v>0</v>
      </c>
      <c r="N155" t="n">
        <v>0</v>
      </c>
      <c r="O155" t="n">
        <v>1</v>
      </c>
      <c r="P155" t="n">
        <v>0</v>
      </c>
      <c r="Q155" t="n">
        <v>1</v>
      </c>
      <c r="R155" s="2" t="inlineStr">
        <is>
          <t>Talltita</t>
        </is>
      </c>
      <c r="S155">
        <f>HYPERLINK("https://klasma.github.io/Logging_2039/artfynd/A 14277-2024 artfynd.xlsx", "A 14277-2024")</f>
        <v/>
      </c>
      <c r="T155">
        <f>HYPERLINK("https://klasma.github.io/Logging_2039/kartor/A 14277-2024 karta.png", "A 14277-2024")</f>
        <v/>
      </c>
      <c r="V155">
        <f>HYPERLINK("https://klasma.github.io/Logging_2039/klagomål/A 14277-2024 FSC-klagomål.docx", "A 14277-2024")</f>
        <v/>
      </c>
      <c r="W155">
        <f>HYPERLINK("https://klasma.github.io/Logging_2039/klagomålsmail/A 14277-2024 FSC-klagomål mail.docx", "A 14277-2024")</f>
        <v/>
      </c>
      <c r="X155">
        <f>HYPERLINK("https://klasma.github.io/Logging_2039/tillsyn/A 14277-2024 tillsynsbegäran.docx", "A 14277-2024")</f>
        <v/>
      </c>
      <c r="Y155">
        <f>HYPERLINK("https://klasma.github.io/Logging_2039/tillsynsmail/A 14277-2024 tillsynsbegäran mail.docx", "A 14277-2024")</f>
        <v/>
      </c>
      <c r="Z155">
        <f>HYPERLINK("https://klasma.github.io/Logging_2039/fåglar/A 14277-2024 prioriterade fågelarter.docx", "A 14277-2024")</f>
        <v/>
      </c>
    </row>
    <row r="156" ht="15" customHeight="1">
      <c r="A156" t="inlineStr">
        <is>
          <t>A 17784-2024</t>
        </is>
      </c>
      <c r="B156" s="1" t="n">
        <v>45415</v>
      </c>
      <c r="C156" s="1" t="n">
        <v>45576</v>
      </c>
      <c r="D156" t="inlineStr">
        <is>
          <t>DALARNAS LÄN</t>
        </is>
      </c>
      <c r="E156" t="inlineStr">
        <is>
          <t>ÄLVDALEN</t>
        </is>
      </c>
      <c r="F156" t="inlineStr">
        <is>
          <t>Övriga statliga verk och myndigheter</t>
        </is>
      </c>
      <c r="G156" t="n">
        <v>20.4</v>
      </c>
      <c r="H156" t="n">
        <v>1</v>
      </c>
      <c r="I156" t="n">
        <v>1</v>
      </c>
      <c r="J156" t="n">
        <v>0</v>
      </c>
      <c r="K156" t="n">
        <v>0</v>
      </c>
      <c r="L156" t="n">
        <v>0</v>
      </c>
      <c r="M156" t="n">
        <v>0</v>
      </c>
      <c r="N156" t="n">
        <v>0</v>
      </c>
      <c r="O156" t="n">
        <v>0</v>
      </c>
      <c r="P156" t="n">
        <v>0</v>
      </c>
      <c r="Q156" t="n">
        <v>1</v>
      </c>
      <c r="R156" s="2" t="inlineStr">
        <is>
          <t>Plattlummer</t>
        </is>
      </c>
      <c r="S156">
        <f>HYPERLINK("https://klasma.github.io/Logging_2039/artfynd/A 17784-2024 artfynd.xlsx", "A 17784-2024")</f>
        <v/>
      </c>
      <c r="T156">
        <f>HYPERLINK("https://klasma.github.io/Logging_2039/kartor/A 17784-2024 karta.png", "A 17784-2024")</f>
        <v/>
      </c>
      <c r="V156">
        <f>HYPERLINK("https://klasma.github.io/Logging_2039/klagomål/A 17784-2024 FSC-klagomål.docx", "A 17784-2024")</f>
        <v/>
      </c>
      <c r="W156">
        <f>HYPERLINK("https://klasma.github.io/Logging_2039/klagomålsmail/A 17784-2024 FSC-klagomål mail.docx", "A 17784-2024")</f>
        <v/>
      </c>
      <c r="X156">
        <f>HYPERLINK("https://klasma.github.io/Logging_2039/tillsyn/A 17784-2024 tillsynsbegäran.docx", "A 17784-2024")</f>
        <v/>
      </c>
      <c r="Y156">
        <f>HYPERLINK("https://klasma.github.io/Logging_2039/tillsynsmail/A 17784-2024 tillsynsbegäran mail.docx", "A 17784-2024")</f>
        <v/>
      </c>
    </row>
    <row r="157" ht="15" customHeight="1">
      <c r="A157" t="inlineStr">
        <is>
          <t>A 19614-2024</t>
        </is>
      </c>
      <c r="B157" s="1" t="n">
        <v>45432</v>
      </c>
      <c r="C157" s="1" t="n">
        <v>45576</v>
      </c>
      <c r="D157" t="inlineStr">
        <is>
          <t>DALARNAS LÄN</t>
        </is>
      </c>
      <c r="E157" t="inlineStr">
        <is>
          <t>ÄLVDALEN</t>
        </is>
      </c>
      <c r="F157" t="inlineStr">
        <is>
          <t>Sveaskog</t>
        </is>
      </c>
      <c r="G157" t="n">
        <v>2.9</v>
      </c>
      <c r="H157" t="n">
        <v>0</v>
      </c>
      <c r="I157" t="n">
        <v>0</v>
      </c>
      <c r="J157" t="n">
        <v>1</v>
      </c>
      <c r="K157" t="n">
        <v>0</v>
      </c>
      <c r="L157" t="n">
        <v>0</v>
      </c>
      <c r="M157" t="n">
        <v>0</v>
      </c>
      <c r="N157" t="n">
        <v>0</v>
      </c>
      <c r="O157" t="n">
        <v>1</v>
      </c>
      <c r="P157" t="n">
        <v>0</v>
      </c>
      <c r="Q157" t="n">
        <v>1</v>
      </c>
      <c r="R157" s="2" t="inlineStr">
        <is>
          <t>Mörk kolflarnlav</t>
        </is>
      </c>
      <c r="S157">
        <f>HYPERLINK("https://klasma.github.io/Logging_2039/artfynd/A 19614-2024 artfynd.xlsx", "A 19614-2024")</f>
        <v/>
      </c>
      <c r="T157">
        <f>HYPERLINK("https://klasma.github.io/Logging_2039/kartor/A 19614-2024 karta.png", "A 19614-2024")</f>
        <v/>
      </c>
      <c r="V157">
        <f>HYPERLINK("https://klasma.github.io/Logging_2039/klagomål/A 19614-2024 FSC-klagomål.docx", "A 19614-2024")</f>
        <v/>
      </c>
      <c r="W157">
        <f>HYPERLINK("https://klasma.github.io/Logging_2039/klagomålsmail/A 19614-2024 FSC-klagomål mail.docx", "A 19614-2024")</f>
        <v/>
      </c>
      <c r="X157">
        <f>HYPERLINK("https://klasma.github.io/Logging_2039/tillsyn/A 19614-2024 tillsynsbegäran.docx", "A 19614-2024")</f>
        <v/>
      </c>
      <c r="Y157">
        <f>HYPERLINK("https://klasma.github.io/Logging_2039/tillsynsmail/A 19614-2024 tillsynsbegäran mail.docx", "A 19614-2024")</f>
        <v/>
      </c>
    </row>
    <row r="158" ht="15" customHeight="1">
      <c r="A158" t="inlineStr">
        <is>
          <t>A 21658-2024</t>
        </is>
      </c>
      <c r="B158" s="1" t="n">
        <v>45442</v>
      </c>
      <c r="C158" s="1" t="n">
        <v>45576</v>
      </c>
      <c r="D158" t="inlineStr">
        <is>
          <t>DALARNAS LÄN</t>
        </is>
      </c>
      <c r="E158" t="inlineStr">
        <is>
          <t>ÄLVDALEN</t>
        </is>
      </c>
      <c r="F158" t="inlineStr">
        <is>
          <t>Sveaskog</t>
        </is>
      </c>
      <c r="G158" t="n">
        <v>4.2</v>
      </c>
      <c r="H158" t="n">
        <v>1</v>
      </c>
      <c r="I158" t="n">
        <v>0</v>
      </c>
      <c r="J158" t="n">
        <v>1</v>
      </c>
      <c r="K158" t="n">
        <v>0</v>
      </c>
      <c r="L158" t="n">
        <v>0</v>
      </c>
      <c r="M158" t="n">
        <v>0</v>
      </c>
      <c r="N158" t="n">
        <v>0</v>
      </c>
      <c r="O158" t="n">
        <v>1</v>
      </c>
      <c r="P158" t="n">
        <v>0</v>
      </c>
      <c r="Q158" t="n">
        <v>1</v>
      </c>
      <c r="R158" s="2" t="inlineStr">
        <is>
          <t>Varglav</t>
        </is>
      </c>
      <c r="S158">
        <f>HYPERLINK("https://klasma.github.io/Logging_2039/artfynd/A 21658-2024 artfynd.xlsx", "A 21658-2024")</f>
        <v/>
      </c>
      <c r="T158">
        <f>HYPERLINK("https://klasma.github.io/Logging_2039/kartor/A 21658-2024 karta.png", "A 21658-2024")</f>
        <v/>
      </c>
      <c r="V158">
        <f>HYPERLINK("https://klasma.github.io/Logging_2039/klagomål/A 21658-2024 FSC-klagomål.docx", "A 21658-2024")</f>
        <v/>
      </c>
      <c r="W158">
        <f>HYPERLINK("https://klasma.github.io/Logging_2039/klagomålsmail/A 21658-2024 FSC-klagomål mail.docx", "A 21658-2024")</f>
        <v/>
      </c>
      <c r="X158">
        <f>HYPERLINK("https://klasma.github.io/Logging_2039/tillsyn/A 21658-2024 tillsynsbegäran.docx", "A 21658-2024")</f>
        <v/>
      </c>
      <c r="Y158">
        <f>HYPERLINK("https://klasma.github.io/Logging_2039/tillsynsmail/A 21658-2024 tillsynsbegäran mail.docx", "A 21658-2024")</f>
        <v/>
      </c>
    </row>
    <row r="159" ht="15" customHeight="1">
      <c r="A159" t="inlineStr">
        <is>
          <t>A 30691-2024</t>
        </is>
      </c>
      <c r="B159" s="1" t="n">
        <v>45496</v>
      </c>
      <c r="C159" s="1" t="n">
        <v>45576</v>
      </c>
      <c r="D159" t="inlineStr">
        <is>
          <t>DALARNAS LÄN</t>
        </is>
      </c>
      <c r="E159" t="inlineStr">
        <is>
          <t>ÄLVDALEN</t>
        </is>
      </c>
      <c r="G159" t="n">
        <v>2.9</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30691-2024 artfynd.xlsx", "A 30691-2024")</f>
        <v/>
      </c>
      <c r="T159">
        <f>HYPERLINK("https://klasma.github.io/Logging_2039/kartor/A 30691-2024 karta.png", "A 30691-2024")</f>
        <v/>
      </c>
      <c r="V159">
        <f>HYPERLINK("https://klasma.github.io/Logging_2039/klagomål/A 30691-2024 FSC-klagomål.docx", "A 30691-2024")</f>
        <v/>
      </c>
      <c r="W159">
        <f>HYPERLINK("https://klasma.github.io/Logging_2039/klagomålsmail/A 30691-2024 FSC-klagomål mail.docx", "A 30691-2024")</f>
        <v/>
      </c>
      <c r="X159">
        <f>HYPERLINK("https://klasma.github.io/Logging_2039/tillsyn/A 30691-2024 tillsynsbegäran.docx", "A 30691-2024")</f>
        <v/>
      </c>
      <c r="Y159">
        <f>HYPERLINK("https://klasma.github.io/Logging_2039/tillsynsmail/A 30691-2024 tillsynsbegäran mail.docx", "A 30691-2024")</f>
        <v/>
      </c>
    </row>
    <row r="160" ht="15" customHeight="1">
      <c r="A160" t="inlineStr">
        <is>
          <t>A 31771-2024</t>
        </is>
      </c>
      <c r="B160" s="1" t="n">
        <v>45509</v>
      </c>
      <c r="C160" s="1" t="n">
        <v>45576</v>
      </c>
      <c r="D160" t="inlineStr">
        <is>
          <t>DALARNAS LÄN</t>
        </is>
      </c>
      <c r="E160" t="inlineStr">
        <is>
          <t>ÄLVDALEN</t>
        </is>
      </c>
      <c r="F160" t="inlineStr">
        <is>
          <t>Allmännings- och besparingsskogar</t>
        </is>
      </c>
      <c r="G160" t="n">
        <v>17.8</v>
      </c>
      <c r="H160" t="n">
        <v>1</v>
      </c>
      <c r="I160" t="n">
        <v>0</v>
      </c>
      <c r="J160" t="n">
        <v>0</v>
      </c>
      <c r="K160" t="n">
        <v>0</v>
      </c>
      <c r="L160" t="n">
        <v>1</v>
      </c>
      <c r="M160" t="n">
        <v>0</v>
      </c>
      <c r="N160" t="n">
        <v>0</v>
      </c>
      <c r="O160" t="n">
        <v>1</v>
      </c>
      <c r="P160" t="n">
        <v>1</v>
      </c>
      <c r="Q160" t="n">
        <v>1</v>
      </c>
      <c r="R160" s="2" t="inlineStr">
        <is>
          <t>Mosippa</t>
        </is>
      </c>
      <c r="S160">
        <f>HYPERLINK("https://klasma.github.io/Logging_2039/artfynd/A 31771-2024 artfynd.xlsx", "A 31771-2024")</f>
        <v/>
      </c>
      <c r="T160">
        <f>HYPERLINK("https://klasma.github.io/Logging_2039/kartor/A 31771-2024 karta.png", "A 31771-2024")</f>
        <v/>
      </c>
      <c r="V160">
        <f>HYPERLINK("https://klasma.github.io/Logging_2039/klagomål/A 31771-2024 FSC-klagomål.docx", "A 31771-2024")</f>
        <v/>
      </c>
      <c r="W160">
        <f>HYPERLINK("https://klasma.github.io/Logging_2039/klagomålsmail/A 31771-2024 FSC-klagomål mail.docx", "A 31771-2024")</f>
        <v/>
      </c>
      <c r="X160">
        <f>HYPERLINK("https://klasma.github.io/Logging_2039/tillsyn/A 31771-2024 tillsynsbegäran.docx", "A 31771-2024")</f>
        <v/>
      </c>
      <c r="Y160">
        <f>HYPERLINK("https://klasma.github.io/Logging_2039/tillsynsmail/A 31771-2024 tillsynsbegäran mail.docx", "A 31771-2024")</f>
        <v/>
      </c>
    </row>
    <row r="161" ht="15" customHeight="1">
      <c r="A161" t="inlineStr">
        <is>
          <t>A 32199-2024</t>
        </is>
      </c>
      <c r="B161" s="1" t="n">
        <v>45511</v>
      </c>
      <c r="C161" s="1" t="n">
        <v>45576</v>
      </c>
      <c r="D161" t="inlineStr">
        <is>
          <t>DALARNAS LÄN</t>
        </is>
      </c>
      <c r="E161" t="inlineStr">
        <is>
          <t>ÄLVDALEN</t>
        </is>
      </c>
      <c r="F161" t="inlineStr">
        <is>
          <t>Sveaskog</t>
        </is>
      </c>
      <c r="G161" t="n">
        <v>4.6</v>
      </c>
      <c r="H161" t="n">
        <v>1</v>
      </c>
      <c r="I161" t="n">
        <v>0</v>
      </c>
      <c r="J161" t="n">
        <v>1</v>
      </c>
      <c r="K161" t="n">
        <v>0</v>
      </c>
      <c r="L161" t="n">
        <v>0</v>
      </c>
      <c r="M161" t="n">
        <v>0</v>
      </c>
      <c r="N161" t="n">
        <v>0</v>
      </c>
      <c r="O161" t="n">
        <v>1</v>
      </c>
      <c r="P161" t="n">
        <v>0</v>
      </c>
      <c r="Q161" t="n">
        <v>1</v>
      </c>
      <c r="R161" s="2" t="inlineStr">
        <is>
          <t>Varglav</t>
        </is>
      </c>
      <c r="S161">
        <f>HYPERLINK("https://klasma.github.io/Logging_2039/artfynd/A 32199-2024 artfynd.xlsx", "A 32199-2024")</f>
        <v/>
      </c>
      <c r="T161">
        <f>HYPERLINK("https://klasma.github.io/Logging_2039/kartor/A 32199-2024 karta.png", "A 32199-2024")</f>
        <v/>
      </c>
      <c r="V161">
        <f>HYPERLINK("https://klasma.github.io/Logging_2039/klagomål/A 32199-2024 FSC-klagomål.docx", "A 32199-2024")</f>
        <v/>
      </c>
      <c r="W161">
        <f>HYPERLINK("https://klasma.github.io/Logging_2039/klagomålsmail/A 32199-2024 FSC-klagomål mail.docx", "A 32199-2024")</f>
        <v/>
      </c>
      <c r="X161">
        <f>HYPERLINK("https://klasma.github.io/Logging_2039/tillsyn/A 32199-2024 tillsynsbegäran.docx", "A 32199-2024")</f>
        <v/>
      </c>
      <c r="Y161">
        <f>HYPERLINK("https://klasma.github.io/Logging_2039/tillsynsmail/A 32199-2024 tillsynsbegäran mail.docx", "A 32199-2024")</f>
        <v/>
      </c>
    </row>
    <row r="162" ht="15" customHeight="1">
      <c r="A162" t="inlineStr">
        <is>
          <t>A 45201-2024</t>
        </is>
      </c>
      <c r="B162" s="1" t="n">
        <v>45575</v>
      </c>
      <c r="C162" s="1" t="n">
        <v>45576</v>
      </c>
      <c r="D162" t="inlineStr">
        <is>
          <t>DALARNAS LÄN</t>
        </is>
      </c>
      <c r="E162" t="inlineStr">
        <is>
          <t>ÄLVDALEN</t>
        </is>
      </c>
      <c r="G162" t="n">
        <v>24.5</v>
      </c>
      <c r="H162" t="n">
        <v>1</v>
      </c>
      <c r="I162" t="n">
        <v>0</v>
      </c>
      <c r="J162" t="n">
        <v>1</v>
      </c>
      <c r="K162" t="n">
        <v>0</v>
      </c>
      <c r="L162" t="n">
        <v>0</v>
      </c>
      <c r="M162" t="n">
        <v>0</v>
      </c>
      <c r="N162" t="n">
        <v>0</v>
      </c>
      <c r="O162" t="n">
        <v>1</v>
      </c>
      <c r="P162" t="n">
        <v>0</v>
      </c>
      <c r="Q162" t="n">
        <v>1</v>
      </c>
      <c r="R162" s="2" t="inlineStr">
        <is>
          <t>Varglav</t>
        </is>
      </c>
      <c r="S162">
        <f>HYPERLINK("https://klasma.github.io/Logging_2039/artfynd/A 45201-2024 artfynd.xlsx", "A 45201-2024")</f>
        <v/>
      </c>
      <c r="T162">
        <f>HYPERLINK("https://klasma.github.io/Logging_2039/kartor/A 45201-2024 karta.png", "A 45201-2024")</f>
        <v/>
      </c>
      <c r="V162">
        <f>HYPERLINK("https://klasma.github.io/Logging_2039/klagomål/A 45201-2024 FSC-klagomål.docx", "A 45201-2024")</f>
        <v/>
      </c>
      <c r="W162">
        <f>HYPERLINK("https://klasma.github.io/Logging_2039/klagomålsmail/A 45201-2024 FSC-klagomål mail.docx", "A 45201-2024")</f>
        <v/>
      </c>
      <c r="X162">
        <f>HYPERLINK("https://klasma.github.io/Logging_2039/tillsyn/A 45201-2024 tillsynsbegäran.docx", "A 45201-2024")</f>
        <v/>
      </c>
      <c r="Y162">
        <f>HYPERLINK("https://klasma.github.io/Logging_2039/tillsynsmail/A 45201-2024 tillsynsbegäran mail.docx", "A 45201-2024")</f>
        <v/>
      </c>
    </row>
    <row r="163" ht="15" customHeight="1">
      <c r="A163" t="inlineStr">
        <is>
          <t>A 17751-2019</t>
        </is>
      </c>
      <c r="B163" s="1" t="n">
        <v>43556</v>
      </c>
      <c r="C163" s="1" t="n">
        <v>45576</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45576</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45576</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45576</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45576</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45576</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45576</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45576</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45576</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45576</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45576</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45576</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45576</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45576</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45576</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45576</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45576</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45576</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45576</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45576</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45576</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45576</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45576</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45576</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45576</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45576</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45576</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45576</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45576</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45576</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45576</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45576</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45576</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45576</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45576</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45576</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45576</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45576</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45576</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45576</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45576</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45576</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45576</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45576</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45576</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45576</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45576</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45576</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45576</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45576</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45576</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45576</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45576</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45576</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45576</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45576</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45576</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45576</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45576</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45576</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45576</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45576</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45576</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45576</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45576</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45576</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45576</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45576</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45576</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45576</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45576</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45576</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45576</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45576</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45576</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45576</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45576</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45576</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45576</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45576</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45576</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45576</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45576</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45576</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45576</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45576</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45576</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45576</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45576</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45576</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45576</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45576</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45576</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45576</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45576</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45576</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45576</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45576</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45576</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45576</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45576</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45576</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45576</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45576</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45576</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45576</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45576</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45576</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45576</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45576</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45576</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45576</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45576</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45576</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45576</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45576</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45576</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45576</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45576</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45576</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45576</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45576</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45576</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45576</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45576</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45576</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45576</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45576</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45576</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45576</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45576</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45576</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45576</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45576</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45576</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45576</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45576</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45576</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45576</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45576</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45576</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45576</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45576</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45576</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45576</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45576</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45576</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45576</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45576</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45576</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45576</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45576</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45576</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45576</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45576</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45576</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45576</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45576</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45576</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45576</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45576</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45576</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45576</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45576</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45576</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45576</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45576</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45576</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45576</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45576</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45576</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45576</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45576</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45576</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45576</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45576</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45576</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45576</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45576</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45576</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45576</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45576</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45576</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45576</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45576</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45576</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45576</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45576</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45576</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45576</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45576</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45576</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45576</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45576</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45576</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45576</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45576</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45576</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45576</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45576</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45576</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45576</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45576</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45576</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45576</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45576</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45576</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45576</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45576</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45576</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45576</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45576</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45576</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45576</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45576</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45576</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45576</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45576</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45576</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45576</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45576</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45576</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45576</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45576</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45576</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45576</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45576</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45576</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45576</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45576</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45576</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45576</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45576</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45576</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45576</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45576</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45576</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45576</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45576</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45576</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45576</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45576</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45576</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45576</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45576</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45576</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45576</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45576</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45576</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45576</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45576</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45576</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45576</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45576</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45576</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45576</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45576</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45576</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45576</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45576</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45576</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45576</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45576</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45576</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45576</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45576</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45576</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45576</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45576</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45576</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45576</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45576</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45576</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45576</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45576</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45576</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45576</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45576</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45576</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45576</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45576</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45576</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45576</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45576</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45576</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45576</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45576</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45576</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45576</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45576</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45576</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45576</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45576</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45576</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45576</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45576</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45576</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45576</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45576</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45576</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45576</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45576</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45576</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45576</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45576</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45576</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45576</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45576</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45576</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45576</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45576</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45576</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45576</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45576</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45576</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45576</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45576</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45576</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45576</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45576</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45576</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45576</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45576</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45576</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45576</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45576</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45576</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45576</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45576</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45576</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45576</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45576</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45576</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45576</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45576</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45576</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45576</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45576</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45576</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45576</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45576</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45576</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45576</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45576</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45576</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45576</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45576</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45576</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45576</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45576</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45576</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45576</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45576</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45576</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45576</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45576</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45576</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45576</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45576</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45576</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45576</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45576</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45576</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45576</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45576</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45576</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45576</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45576</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45576</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45576</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45576</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45576</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45576</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45576</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45576</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45576</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45576</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45576</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45576</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45576</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45576</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45576</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45576</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45576</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45576</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45576</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45576</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45576</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45576</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45576</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45576</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45576</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45576</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45576</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45576</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45576</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45576</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45576</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45576</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45576</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45576</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45576</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45576</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45576</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45576</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45576</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45576</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45576</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45576</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45576</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45576</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45576</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45576</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45576</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45576</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45576</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45576</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45576</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45576</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45576</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45576</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45576</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45576</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45576</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45576</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45576</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45576</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45576</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45576</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45576</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45576</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45576</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45576</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45576</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45576</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45576</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45576</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45576</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45576</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45576</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45576</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45576</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45576</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45576</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45576</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45576</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45576</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45576</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45576</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45576</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45576</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45576</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45576</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45576</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45576</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45576</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45576</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45576</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45576</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45576</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45576</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45576</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45576</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45576</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45576</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45576</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45576</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45576</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45576</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45576</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45576</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45576</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45576</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45576</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45576</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45576</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45576</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45576</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45576</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45576</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45576</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45576</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45576</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45576</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45576</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45576</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45576</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45576</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45576</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45576</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45576</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45576</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45576</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45576</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45576</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45576</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45576</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45576</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45576</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45576</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45576</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45576</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45576</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45576</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45576</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45576</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45576</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45576</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45576</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45576</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45576</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45576</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45576</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45576</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45576</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45576</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45576</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45576</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45576</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45576</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45576</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45576</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45576</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45576</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45576</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45576</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45576</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45576</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45576</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45576</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45576</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45576</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45576</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45576</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45576</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45576</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45576</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45576</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45576</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45576</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45576</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45576</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45576</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45576</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45576</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45576</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45576</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45576</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45576</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45576</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45576</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45576</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45576</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45576</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45576</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45576</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45576</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45576</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45576</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45576</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45576</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45576</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45576</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45576</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45576</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45576</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45576</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45576</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45576</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45576</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45576</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45576</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45576</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45576</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45576</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45576</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45576</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45576</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45576</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45576</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45576</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45576</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45576</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45576</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45576</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45576</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45576</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45576</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45576</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45576</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45576</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45576</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45576</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45576</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45576</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45576</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45576</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45576</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45576</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45576</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45576</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45576</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45576</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45576</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45576</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45576</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45576</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45576</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45576</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45576</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45576</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45576</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45576</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45576</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45576</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45576</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45576</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45576</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45576</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45576</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45576</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45576</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45576</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45576</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45576</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45576</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45576</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45576</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45576</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45576</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45576</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45576</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45576</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45576</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45576</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45576</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45576</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45576</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45576</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45576</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45576</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45576</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45576</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45576</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45576</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45576</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45576</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45576</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45576</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45576</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45576</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45576</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45576</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45576</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45576</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45576</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45576</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45576</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45576</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45576</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45576</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9785-2024</t>
        </is>
      </c>
      <c r="B824" s="1" t="n">
        <v>45362</v>
      </c>
      <c r="C824" s="1" t="n">
        <v>45576</v>
      </c>
      <c r="D824" t="inlineStr">
        <is>
          <t>DALARNAS LÄN</t>
        </is>
      </c>
      <c r="E824" t="inlineStr">
        <is>
          <t>ÄLVDALEN</t>
        </is>
      </c>
      <c r="F824" t="inlineStr">
        <is>
          <t>Övriga statliga verk och myndigheter</t>
        </is>
      </c>
      <c r="G824" t="n">
        <v>12.8</v>
      </c>
      <c r="H824" t="n">
        <v>0</v>
      </c>
      <c r="I824" t="n">
        <v>0</v>
      </c>
      <c r="J824" t="n">
        <v>0</v>
      </c>
      <c r="K824" t="n">
        <v>0</v>
      </c>
      <c r="L824" t="n">
        <v>0</v>
      </c>
      <c r="M824" t="n">
        <v>0</v>
      </c>
      <c r="N824" t="n">
        <v>0</v>
      </c>
      <c r="O824" t="n">
        <v>0</v>
      </c>
      <c r="P824" t="n">
        <v>0</v>
      </c>
      <c r="Q824" t="n">
        <v>0</v>
      </c>
      <c r="R824" s="2" t="inlineStr"/>
    </row>
    <row r="825" ht="15" customHeight="1">
      <c r="A825" t="inlineStr">
        <is>
          <t>A 10282-2024</t>
        </is>
      </c>
      <c r="B825" s="1" t="n">
        <v>45365</v>
      </c>
      <c r="C825" s="1" t="n">
        <v>45576</v>
      </c>
      <c r="D825" t="inlineStr">
        <is>
          <t>DALARNAS LÄN</t>
        </is>
      </c>
      <c r="E825" t="inlineStr">
        <is>
          <t>ÄLVDALEN</t>
        </is>
      </c>
      <c r="G825" t="n">
        <v>1.2</v>
      </c>
      <c r="H825" t="n">
        <v>0</v>
      </c>
      <c r="I825" t="n">
        <v>0</v>
      </c>
      <c r="J825" t="n">
        <v>0</v>
      </c>
      <c r="K825" t="n">
        <v>0</v>
      </c>
      <c r="L825" t="n">
        <v>0</v>
      </c>
      <c r="M825" t="n">
        <v>0</v>
      </c>
      <c r="N825" t="n">
        <v>0</v>
      </c>
      <c r="O825" t="n">
        <v>0</v>
      </c>
      <c r="P825" t="n">
        <v>0</v>
      </c>
      <c r="Q825" t="n">
        <v>0</v>
      </c>
      <c r="R825" s="2" t="inlineStr"/>
    </row>
    <row r="826" ht="15" customHeight="1">
      <c r="A826" t="inlineStr">
        <is>
          <t>A 11891-2024</t>
        </is>
      </c>
      <c r="B826" s="1" t="n">
        <v>45376</v>
      </c>
      <c r="C826" s="1" t="n">
        <v>45576</v>
      </c>
      <c r="D826" t="inlineStr">
        <is>
          <t>DALARNAS LÄN</t>
        </is>
      </c>
      <c r="E826" t="inlineStr">
        <is>
          <t>ÄLVDALEN</t>
        </is>
      </c>
      <c r="G826" t="n">
        <v>24.7</v>
      </c>
      <c r="H826" t="n">
        <v>0</v>
      </c>
      <c r="I826" t="n">
        <v>0</v>
      </c>
      <c r="J826" t="n">
        <v>0</v>
      </c>
      <c r="K826" t="n">
        <v>0</v>
      </c>
      <c r="L826" t="n">
        <v>0</v>
      </c>
      <c r="M826" t="n">
        <v>0</v>
      </c>
      <c r="N826" t="n">
        <v>0</v>
      </c>
      <c r="O826" t="n">
        <v>0</v>
      </c>
      <c r="P826" t="n">
        <v>0</v>
      </c>
      <c r="Q826" t="n">
        <v>0</v>
      </c>
      <c r="R826" s="2" t="inlineStr"/>
    </row>
    <row r="827" ht="15" customHeight="1">
      <c r="A827" t="inlineStr">
        <is>
          <t>A 12420-2024</t>
        </is>
      </c>
      <c r="B827" s="1" t="n">
        <v>45379</v>
      </c>
      <c r="C827" s="1" t="n">
        <v>45576</v>
      </c>
      <c r="D827" t="inlineStr">
        <is>
          <t>DALARNAS LÄN</t>
        </is>
      </c>
      <c r="E827" t="inlineStr">
        <is>
          <t>ÄLVDALEN</t>
        </is>
      </c>
      <c r="G827" t="n">
        <v>7.4</v>
      </c>
      <c r="H827" t="n">
        <v>0</v>
      </c>
      <c r="I827" t="n">
        <v>0</v>
      </c>
      <c r="J827" t="n">
        <v>0</v>
      </c>
      <c r="K827" t="n">
        <v>0</v>
      </c>
      <c r="L827" t="n">
        <v>0</v>
      </c>
      <c r="M827" t="n">
        <v>0</v>
      </c>
      <c r="N827" t="n">
        <v>0</v>
      </c>
      <c r="O827" t="n">
        <v>0</v>
      </c>
      <c r="P827" t="n">
        <v>0</v>
      </c>
      <c r="Q827" t="n">
        <v>0</v>
      </c>
      <c r="R827" s="2" t="inlineStr"/>
    </row>
    <row r="828" ht="15" customHeight="1">
      <c r="A828" t="inlineStr">
        <is>
          <t>A 13047-2024</t>
        </is>
      </c>
      <c r="B828" s="1" t="n">
        <v>45385</v>
      </c>
      <c r="C828" s="1" t="n">
        <v>45576</v>
      </c>
      <c r="D828" t="inlineStr">
        <is>
          <t>DALARNAS LÄN</t>
        </is>
      </c>
      <c r="E828" t="inlineStr">
        <is>
          <t>ÄLVDALEN</t>
        </is>
      </c>
      <c r="G828" t="n">
        <v>4.3</v>
      </c>
      <c r="H828" t="n">
        <v>0</v>
      </c>
      <c r="I828" t="n">
        <v>0</v>
      </c>
      <c r="J828" t="n">
        <v>0</v>
      </c>
      <c r="K828" t="n">
        <v>0</v>
      </c>
      <c r="L828" t="n">
        <v>0</v>
      </c>
      <c r="M828" t="n">
        <v>0</v>
      </c>
      <c r="N828" t="n">
        <v>0</v>
      </c>
      <c r="O828" t="n">
        <v>0</v>
      </c>
      <c r="P828" t="n">
        <v>0</v>
      </c>
      <c r="Q828" t="n">
        <v>0</v>
      </c>
      <c r="R828" s="2" t="inlineStr"/>
    </row>
    <row r="829" ht="15" customHeight="1">
      <c r="A829" t="inlineStr">
        <is>
          <t>A 13854-2024</t>
        </is>
      </c>
      <c r="B829" s="1" t="n">
        <v>45390</v>
      </c>
      <c r="C829" s="1" t="n">
        <v>45576</v>
      </c>
      <c r="D829" t="inlineStr">
        <is>
          <t>DALARNAS LÄN</t>
        </is>
      </c>
      <c r="E829" t="inlineStr">
        <is>
          <t>ÄLVDALEN</t>
        </is>
      </c>
      <c r="G829" t="n">
        <v>13.5</v>
      </c>
      <c r="H829" t="n">
        <v>0</v>
      </c>
      <c r="I829" t="n">
        <v>0</v>
      </c>
      <c r="J829" t="n">
        <v>0</v>
      </c>
      <c r="K829" t="n">
        <v>0</v>
      </c>
      <c r="L829" t="n">
        <v>0</v>
      </c>
      <c r="M829" t="n">
        <v>0</v>
      </c>
      <c r="N829" t="n">
        <v>0</v>
      </c>
      <c r="O829" t="n">
        <v>0</v>
      </c>
      <c r="P829" t="n">
        <v>0</v>
      </c>
      <c r="Q829" t="n">
        <v>0</v>
      </c>
      <c r="R829" s="2" t="inlineStr"/>
    </row>
    <row r="830" ht="15" customHeight="1">
      <c r="A830" t="inlineStr">
        <is>
          <t>A 14895-2024</t>
        </is>
      </c>
      <c r="B830" s="1" t="n">
        <v>45398</v>
      </c>
      <c r="C830" s="1" t="n">
        <v>45576</v>
      </c>
      <c r="D830" t="inlineStr">
        <is>
          <t>DALARNAS LÄN</t>
        </is>
      </c>
      <c r="E830" t="inlineStr">
        <is>
          <t>ÄLVDALEN</t>
        </is>
      </c>
      <c r="G830" t="n">
        <v>4.9</v>
      </c>
      <c r="H830" t="n">
        <v>0</v>
      </c>
      <c r="I830" t="n">
        <v>0</v>
      </c>
      <c r="J830" t="n">
        <v>0</v>
      </c>
      <c r="K830" t="n">
        <v>0</v>
      </c>
      <c r="L830" t="n">
        <v>0</v>
      </c>
      <c r="M830" t="n">
        <v>0</v>
      </c>
      <c r="N830" t="n">
        <v>0</v>
      </c>
      <c r="O830" t="n">
        <v>0</v>
      </c>
      <c r="P830" t="n">
        <v>0</v>
      </c>
      <c r="Q830" t="n">
        <v>0</v>
      </c>
      <c r="R830" s="2" t="inlineStr"/>
    </row>
    <row r="831" ht="15" customHeight="1">
      <c r="A831" t="inlineStr">
        <is>
          <t>A 15037-2024</t>
        </is>
      </c>
      <c r="B831" s="1" t="n">
        <v>45399</v>
      </c>
      <c r="C831" s="1" t="n">
        <v>45576</v>
      </c>
      <c r="D831" t="inlineStr">
        <is>
          <t>DALARNAS LÄN</t>
        </is>
      </c>
      <c r="E831" t="inlineStr">
        <is>
          <t>ÄLVDALEN</t>
        </is>
      </c>
      <c r="G831" t="n">
        <v>17</v>
      </c>
      <c r="H831" t="n">
        <v>0</v>
      </c>
      <c r="I831" t="n">
        <v>0</v>
      </c>
      <c r="J831" t="n">
        <v>0</v>
      </c>
      <c r="K831" t="n">
        <v>0</v>
      </c>
      <c r="L831" t="n">
        <v>0</v>
      </c>
      <c r="M831" t="n">
        <v>0</v>
      </c>
      <c r="N831" t="n">
        <v>0</v>
      </c>
      <c r="O831" t="n">
        <v>0</v>
      </c>
      <c r="P831" t="n">
        <v>0</v>
      </c>
      <c r="Q831" t="n">
        <v>0</v>
      </c>
      <c r="R831" s="2" t="inlineStr"/>
    </row>
    <row r="832" ht="15" customHeight="1">
      <c r="A832" t="inlineStr">
        <is>
          <t>A 15647-2024</t>
        </is>
      </c>
      <c r="B832" s="1" t="n">
        <v>45404</v>
      </c>
      <c r="C832" s="1" t="n">
        <v>45576</v>
      </c>
      <c r="D832" t="inlineStr">
        <is>
          <t>DALARNAS LÄN</t>
        </is>
      </c>
      <c r="E832" t="inlineStr">
        <is>
          <t>ÄLVDALEN</t>
        </is>
      </c>
      <c r="F832" t="inlineStr">
        <is>
          <t>Bergvik skog väst AB</t>
        </is>
      </c>
      <c r="G832" t="n">
        <v>16.3</v>
      </c>
      <c r="H832" t="n">
        <v>0</v>
      </c>
      <c r="I832" t="n">
        <v>0</v>
      </c>
      <c r="J832" t="n">
        <v>0</v>
      </c>
      <c r="K832" t="n">
        <v>0</v>
      </c>
      <c r="L832" t="n">
        <v>0</v>
      </c>
      <c r="M832" t="n">
        <v>0</v>
      </c>
      <c r="N832" t="n">
        <v>0</v>
      </c>
      <c r="O832" t="n">
        <v>0</v>
      </c>
      <c r="P832" t="n">
        <v>0</v>
      </c>
      <c r="Q832" t="n">
        <v>0</v>
      </c>
      <c r="R832" s="2" t="inlineStr"/>
    </row>
    <row r="833" ht="15" customHeight="1">
      <c r="A833" t="inlineStr">
        <is>
          <t>A 15760-2024</t>
        </is>
      </c>
      <c r="B833" s="1" t="n">
        <v>45404</v>
      </c>
      <c r="C833" s="1" t="n">
        <v>45576</v>
      </c>
      <c r="D833" t="inlineStr">
        <is>
          <t>DALARNAS LÄN</t>
        </is>
      </c>
      <c r="E833" t="inlineStr">
        <is>
          <t>ÄLVDALEN</t>
        </is>
      </c>
      <c r="G833" t="n">
        <v>1.9</v>
      </c>
      <c r="H833" t="n">
        <v>0</v>
      </c>
      <c r="I833" t="n">
        <v>0</v>
      </c>
      <c r="J833" t="n">
        <v>0</v>
      </c>
      <c r="K833" t="n">
        <v>0</v>
      </c>
      <c r="L833" t="n">
        <v>0</v>
      </c>
      <c r="M833" t="n">
        <v>0</v>
      </c>
      <c r="N833" t="n">
        <v>0</v>
      </c>
      <c r="O833" t="n">
        <v>0</v>
      </c>
      <c r="P833" t="n">
        <v>0</v>
      </c>
      <c r="Q833" t="n">
        <v>0</v>
      </c>
      <c r="R833" s="2" t="inlineStr"/>
    </row>
    <row r="834" ht="15" customHeight="1">
      <c r="A834" t="inlineStr">
        <is>
          <t>A 15652-2024</t>
        </is>
      </c>
      <c r="B834" s="1" t="n">
        <v>45404</v>
      </c>
      <c r="C834" s="1" t="n">
        <v>45576</v>
      </c>
      <c r="D834" t="inlineStr">
        <is>
          <t>DALARNAS LÄN</t>
        </is>
      </c>
      <c r="E834" t="inlineStr">
        <is>
          <t>ÄLVDALEN</t>
        </is>
      </c>
      <c r="F834" t="inlineStr">
        <is>
          <t>Bergvik skog väst AB</t>
        </is>
      </c>
      <c r="G834" t="n">
        <v>4.5</v>
      </c>
      <c r="H834" t="n">
        <v>0</v>
      </c>
      <c r="I834" t="n">
        <v>0</v>
      </c>
      <c r="J834" t="n">
        <v>0</v>
      </c>
      <c r="K834" t="n">
        <v>0</v>
      </c>
      <c r="L834" t="n">
        <v>0</v>
      </c>
      <c r="M834" t="n">
        <v>0</v>
      </c>
      <c r="N834" t="n">
        <v>0</v>
      </c>
      <c r="O834" t="n">
        <v>0</v>
      </c>
      <c r="P834" t="n">
        <v>0</v>
      </c>
      <c r="Q834" t="n">
        <v>0</v>
      </c>
      <c r="R834" s="2" t="inlineStr"/>
    </row>
    <row r="835" ht="15" customHeight="1">
      <c r="A835" t="inlineStr">
        <is>
          <t>A 15759-2024</t>
        </is>
      </c>
      <c r="B835" s="1" t="n">
        <v>45404</v>
      </c>
      <c r="C835" s="1" t="n">
        <v>45576</v>
      </c>
      <c r="D835" t="inlineStr">
        <is>
          <t>DALARNAS LÄN</t>
        </is>
      </c>
      <c r="E835" t="inlineStr">
        <is>
          <t>ÄLVDALEN</t>
        </is>
      </c>
      <c r="G835" t="n">
        <v>1.4</v>
      </c>
      <c r="H835" t="n">
        <v>0</v>
      </c>
      <c r="I835" t="n">
        <v>0</v>
      </c>
      <c r="J835" t="n">
        <v>0</v>
      </c>
      <c r="K835" t="n">
        <v>0</v>
      </c>
      <c r="L835" t="n">
        <v>0</v>
      </c>
      <c r="M835" t="n">
        <v>0</v>
      </c>
      <c r="N835" t="n">
        <v>0</v>
      </c>
      <c r="O835" t="n">
        <v>0</v>
      </c>
      <c r="P835" t="n">
        <v>0</v>
      </c>
      <c r="Q835" t="n">
        <v>0</v>
      </c>
      <c r="R835" s="2" t="inlineStr"/>
    </row>
    <row r="836" ht="15" customHeight="1">
      <c r="A836" t="inlineStr">
        <is>
          <t>A 17049-2024</t>
        </is>
      </c>
      <c r="B836" s="1" t="n">
        <v>45412</v>
      </c>
      <c r="C836" s="1" t="n">
        <v>45576</v>
      </c>
      <c r="D836" t="inlineStr">
        <is>
          <t>DALARNAS LÄN</t>
        </is>
      </c>
      <c r="E836" t="inlineStr">
        <is>
          <t>ÄLVDALEN</t>
        </is>
      </c>
      <c r="G836" t="n">
        <v>9.5</v>
      </c>
      <c r="H836" t="n">
        <v>0</v>
      </c>
      <c r="I836" t="n">
        <v>0</v>
      </c>
      <c r="J836" t="n">
        <v>0</v>
      </c>
      <c r="K836" t="n">
        <v>0</v>
      </c>
      <c r="L836" t="n">
        <v>0</v>
      </c>
      <c r="M836" t="n">
        <v>0</v>
      </c>
      <c r="N836" t="n">
        <v>0</v>
      </c>
      <c r="O836" t="n">
        <v>0</v>
      </c>
      <c r="P836" t="n">
        <v>0</v>
      </c>
      <c r="Q836" t="n">
        <v>0</v>
      </c>
      <c r="R836" s="2" t="inlineStr"/>
    </row>
    <row r="837" ht="15" customHeight="1">
      <c r="A837" t="inlineStr">
        <is>
          <t>A 17558-2024</t>
        </is>
      </c>
      <c r="B837" s="1" t="n">
        <v>45415</v>
      </c>
      <c r="C837" s="1" t="n">
        <v>45576</v>
      </c>
      <c r="D837" t="inlineStr">
        <is>
          <t>DALARNAS LÄN</t>
        </is>
      </c>
      <c r="E837" t="inlineStr">
        <is>
          <t>ÄLVDALEN</t>
        </is>
      </c>
      <c r="G837" t="n">
        <v>2.2</v>
      </c>
      <c r="H837" t="n">
        <v>0</v>
      </c>
      <c r="I837" t="n">
        <v>0</v>
      </c>
      <c r="J837" t="n">
        <v>0</v>
      </c>
      <c r="K837" t="n">
        <v>0</v>
      </c>
      <c r="L837" t="n">
        <v>0</v>
      </c>
      <c r="M837" t="n">
        <v>0</v>
      </c>
      <c r="N837" t="n">
        <v>0</v>
      </c>
      <c r="O837" t="n">
        <v>0</v>
      </c>
      <c r="P837" t="n">
        <v>0</v>
      </c>
      <c r="Q837" t="n">
        <v>0</v>
      </c>
      <c r="R837" s="2" t="inlineStr"/>
    </row>
    <row r="838" ht="15" customHeight="1">
      <c r="A838" t="inlineStr">
        <is>
          <t>A 17827-2024</t>
        </is>
      </c>
      <c r="B838" s="1" t="n">
        <v>45418</v>
      </c>
      <c r="C838" s="1" t="n">
        <v>45576</v>
      </c>
      <c r="D838" t="inlineStr">
        <is>
          <t>DALARNAS LÄN</t>
        </is>
      </c>
      <c r="E838" t="inlineStr">
        <is>
          <t>ÄLVDALEN</t>
        </is>
      </c>
      <c r="F838" t="inlineStr">
        <is>
          <t>Övriga statliga verk och myndigheter</t>
        </is>
      </c>
      <c r="G838" t="n">
        <v>12.3</v>
      </c>
      <c r="H838" t="n">
        <v>0</v>
      </c>
      <c r="I838" t="n">
        <v>0</v>
      </c>
      <c r="J838" t="n">
        <v>0</v>
      </c>
      <c r="K838" t="n">
        <v>0</v>
      </c>
      <c r="L838" t="n">
        <v>0</v>
      </c>
      <c r="M838" t="n">
        <v>0</v>
      </c>
      <c r="N838" t="n">
        <v>0</v>
      </c>
      <c r="O838" t="n">
        <v>0</v>
      </c>
      <c r="P838" t="n">
        <v>0</v>
      </c>
      <c r="Q838" t="n">
        <v>0</v>
      </c>
      <c r="R838" s="2" t="inlineStr"/>
    </row>
    <row r="839" ht="15" customHeight="1">
      <c r="A839" t="inlineStr">
        <is>
          <t>A 18075-2024</t>
        </is>
      </c>
      <c r="B839" s="1" t="n">
        <v>45420</v>
      </c>
      <c r="C839" s="1" t="n">
        <v>45576</v>
      </c>
      <c r="D839" t="inlineStr">
        <is>
          <t>DALARNAS LÄN</t>
        </is>
      </c>
      <c r="E839" t="inlineStr">
        <is>
          <t>ÄLVDALEN</t>
        </is>
      </c>
      <c r="F839" t="inlineStr">
        <is>
          <t>Bergvik skog väst AB</t>
        </is>
      </c>
      <c r="G839" t="n">
        <v>8.6</v>
      </c>
      <c r="H839" t="n">
        <v>0</v>
      </c>
      <c r="I839" t="n">
        <v>0</v>
      </c>
      <c r="J839" t="n">
        <v>0</v>
      </c>
      <c r="K839" t="n">
        <v>0</v>
      </c>
      <c r="L839" t="n">
        <v>0</v>
      </c>
      <c r="M839" t="n">
        <v>0</v>
      </c>
      <c r="N839" t="n">
        <v>0</v>
      </c>
      <c r="O839" t="n">
        <v>0</v>
      </c>
      <c r="P839" t="n">
        <v>0</v>
      </c>
      <c r="Q839" t="n">
        <v>0</v>
      </c>
      <c r="R839" s="2" t="inlineStr"/>
    </row>
    <row r="840" ht="15" customHeight="1">
      <c r="A840" t="inlineStr">
        <is>
          <t>A 19007-2024</t>
        </is>
      </c>
      <c r="B840" s="1" t="n">
        <v>45427</v>
      </c>
      <c r="C840" s="1" t="n">
        <v>45576</v>
      </c>
      <c r="D840" t="inlineStr">
        <is>
          <t>DALARNAS LÄN</t>
        </is>
      </c>
      <c r="E840" t="inlineStr">
        <is>
          <t>ÄLVDALEN</t>
        </is>
      </c>
      <c r="G840" t="n">
        <v>1.1</v>
      </c>
      <c r="H840" t="n">
        <v>0</v>
      </c>
      <c r="I840" t="n">
        <v>0</v>
      </c>
      <c r="J840" t="n">
        <v>0</v>
      </c>
      <c r="K840" t="n">
        <v>0</v>
      </c>
      <c r="L840" t="n">
        <v>0</v>
      </c>
      <c r="M840" t="n">
        <v>0</v>
      </c>
      <c r="N840" t="n">
        <v>0</v>
      </c>
      <c r="O840" t="n">
        <v>0</v>
      </c>
      <c r="P840" t="n">
        <v>0</v>
      </c>
      <c r="Q840" t="n">
        <v>0</v>
      </c>
      <c r="R840" s="2" t="inlineStr"/>
    </row>
    <row r="841" ht="15" customHeight="1">
      <c r="A841" t="inlineStr">
        <is>
          <t>A 19100-2024</t>
        </is>
      </c>
      <c r="B841" s="1" t="n">
        <v>45428</v>
      </c>
      <c r="C841" s="1" t="n">
        <v>45576</v>
      </c>
      <c r="D841" t="inlineStr">
        <is>
          <t>DALARNAS LÄN</t>
        </is>
      </c>
      <c r="E841" t="inlineStr">
        <is>
          <t>ÄLVDALEN</t>
        </is>
      </c>
      <c r="F841" t="inlineStr">
        <is>
          <t>Allmännings- och besparingsskogar</t>
        </is>
      </c>
      <c r="G841" t="n">
        <v>32.5</v>
      </c>
      <c r="H841" t="n">
        <v>0</v>
      </c>
      <c r="I841" t="n">
        <v>0</v>
      </c>
      <c r="J841" t="n">
        <v>0</v>
      </c>
      <c r="K841" t="n">
        <v>0</v>
      </c>
      <c r="L841" t="n">
        <v>0</v>
      </c>
      <c r="M841" t="n">
        <v>0</v>
      </c>
      <c r="N841" t="n">
        <v>0</v>
      </c>
      <c r="O841" t="n">
        <v>0</v>
      </c>
      <c r="P841" t="n">
        <v>0</v>
      </c>
      <c r="Q841" t="n">
        <v>0</v>
      </c>
      <c r="R841" s="2" t="inlineStr"/>
    </row>
    <row r="842" ht="15" customHeight="1">
      <c r="A842" t="inlineStr">
        <is>
          <t>A 19423-2024</t>
        </is>
      </c>
      <c r="B842" s="1" t="n">
        <v>45429</v>
      </c>
      <c r="C842" s="1" t="n">
        <v>45576</v>
      </c>
      <c r="D842" t="inlineStr">
        <is>
          <t>DALARNAS LÄN</t>
        </is>
      </c>
      <c r="E842" t="inlineStr">
        <is>
          <t>ÄLVDALEN</t>
        </is>
      </c>
      <c r="F842" t="inlineStr">
        <is>
          <t>Bergvik skog väst AB</t>
        </is>
      </c>
      <c r="G842" t="n">
        <v>9.5</v>
      </c>
      <c r="H842" t="n">
        <v>0</v>
      </c>
      <c r="I842" t="n">
        <v>0</v>
      </c>
      <c r="J842" t="n">
        <v>0</v>
      </c>
      <c r="K842" t="n">
        <v>0</v>
      </c>
      <c r="L842" t="n">
        <v>0</v>
      </c>
      <c r="M842" t="n">
        <v>0</v>
      </c>
      <c r="N842" t="n">
        <v>0</v>
      </c>
      <c r="O842" t="n">
        <v>0</v>
      </c>
      <c r="P842" t="n">
        <v>0</v>
      </c>
      <c r="Q842" t="n">
        <v>0</v>
      </c>
      <c r="R842" s="2" t="inlineStr"/>
    </row>
    <row r="843" ht="15" customHeight="1">
      <c r="A843" t="inlineStr">
        <is>
          <t>A 19708-2024</t>
        </is>
      </c>
      <c r="B843" s="1" t="n">
        <v>45432</v>
      </c>
      <c r="C843" s="1" t="n">
        <v>45576</v>
      </c>
      <c r="D843" t="inlineStr">
        <is>
          <t>DALARNAS LÄN</t>
        </is>
      </c>
      <c r="E843" t="inlineStr">
        <is>
          <t>ÄLVDALEN</t>
        </is>
      </c>
      <c r="G843" t="n">
        <v>12.4</v>
      </c>
      <c r="H843" t="n">
        <v>0</v>
      </c>
      <c r="I843" t="n">
        <v>0</v>
      </c>
      <c r="J843" t="n">
        <v>0</v>
      </c>
      <c r="K843" t="n">
        <v>0</v>
      </c>
      <c r="L843" t="n">
        <v>0</v>
      </c>
      <c r="M843" t="n">
        <v>0</v>
      </c>
      <c r="N843" t="n">
        <v>0</v>
      </c>
      <c r="O843" t="n">
        <v>0</v>
      </c>
      <c r="P843" t="n">
        <v>0</v>
      </c>
      <c r="Q843" t="n">
        <v>0</v>
      </c>
      <c r="R843" s="2" t="inlineStr"/>
    </row>
    <row r="844" ht="15" customHeight="1">
      <c r="A844" t="inlineStr">
        <is>
          <t>A 20569-2024</t>
        </is>
      </c>
      <c r="B844" s="1" t="n">
        <v>45436</v>
      </c>
      <c r="C844" s="1" t="n">
        <v>45576</v>
      </c>
      <c r="D844" t="inlineStr">
        <is>
          <t>DALARNAS LÄN</t>
        </is>
      </c>
      <c r="E844" t="inlineStr">
        <is>
          <t>ÄLVDALEN</t>
        </is>
      </c>
      <c r="F844" t="inlineStr">
        <is>
          <t>Bergvik skog väst AB</t>
        </is>
      </c>
      <c r="G844" t="n">
        <v>2.9</v>
      </c>
      <c r="H844" t="n">
        <v>0</v>
      </c>
      <c r="I844" t="n">
        <v>0</v>
      </c>
      <c r="J844" t="n">
        <v>0</v>
      </c>
      <c r="K844" t="n">
        <v>0</v>
      </c>
      <c r="L844" t="n">
        <v>0</v>
      </c>
      <c r="M844" t="n">
        <v>0</v>
      </c>
      <c r="N844" t="n">
        <v>0</v>
      </c>
      <c r="O844" t="n">
        <v>0</v>
      </c>
      <c r="P844" t="n">
        <v>0</v>
      </c>
      <c r="Q844" t="n">
        <v>0</v>
      </c>
      <c r="R844" s="2" t="inlineStr"/>
    </row>
    <row r="845" ht="15" customHeight="1">
      <c r="A845" t="inlineStr">
        <is>
          <t>A 21199-2024</t>
        </is>
      </c>
      <c r="B845" s="1" t="n">
        <v>45440</v>
      </c>
      <c r="C845" s="1" t="n">
        <v>45576</v>
      </c>
      <c r="D845" t="inlineStr">
        <is>
          <t>DALARNAS LÄN</t>
        </is>
      </c>
      <c r="E845" t="inlineStr">
        <is>
          <t>ÄLVDALEN</t>
        </is>
      </c>
      <c r="G845" t="n">
        <v>3</v>
      </c>
      <c r="H845" t="n">
        <v>0</v>
      </c>
      <c r="I845" t="n">
        <v>0</v>
      </c>
      <c r="J845" t="n">
        <v>0</v>
      </c>
      <c r="K845" t="n">
        <v>0</v>
      </c>
      <c r="L845" t="n">
        <v>0</v>
      </c>
      <c r="M845" t="n">
        <v>0</v>
      </c>
      <c r="N845" t="n">
        <v>0</v>
      </c>
      <c r="O845" t="n">
        <v>0</v>
      </c>
      <c r="P845" t="n">
        <v>0</v>
      </c>
      <c r="Q845" t="n">
        <v>0</v>
      </c>
      <c r="R845" s="2" t="inlineStr"/>
    </row>
    <row r="846" ht="15" customHeight="1">
      <c r="A846" t="inlineStr">
        <is>
          <t>A 21116-2024</t>
        </is>
      </c>
      <c r="B846" s="1" t="n">
        <v>45440</v>
      </c>
      <c r="C846" s="1" t="n">
        <v>45576</v>
      </c>
      <c r="D846" t="inlineStr">
        <is>
          <t>DALARNAS LÄN</t>
        </is>
      </c>
      <c r="E846" t="inlineStr">
        <is>
          <t>ÄLVDALEN</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21466-2024</t>
        </is>
      </c>
      <c r="B847" s="1" t="n">
        <v>45441</v>
      </c>
      <c r="C847" s="1" t="n">
        <v>45576</v>
      </c>
      <c r="D847" t="inlineStr">
        <is>
          <t>DALARNAS LÄN</t>
        </is>
      </c>
      <c r="E847" t="inlineStr">
        <is>
          <t>ÄLVDALEN</t>
        </is>
      </c>
      <c r="G847" t="n">
        <v>1.9</v>
      </c>
      <c r="H847" t="n">
        <v>0</v>
      </c>
      <c r="I847" t="n">
        <v>0</v>
      </c>
      <c r="J847" t="n">
        <v>0</v>
      </c>
      <c r="K847" t="n">
        <v>0</v>
      </c>
      <c r="L847" t="n">
        <v>0</v>
      </c>
      <c r="M847" t="n">
        <v>0</v>
      </c>
      <c r="N847" t="n">
        <v>0</v>
      </c>
      <c r="O847" t="n">
        <v>0</v>
      </c>
      <c r="P847" t="n">
        <v>0</v>
      </c>
      <c r="Q847" t="n">
        <v>0</v>
      </c>
      <c r="R847" s="2" t="inlineStr"/>
    </row>
    <row r="848" ht="15" customHeight="1">
      <c r="A848" t="inlineStr">
        <is>
          <t>A 21469-2024</t>
        </is>
      </c>
      <c r="B848" s="1" t="n">
        <v>45441</v>
      </c>
      <c r="C848" s="1" t="n">
        <v>45576</v>
      </c>
      <c r="D848" t="inlineStr">
        <is>
          <t>DALARNAS LÄN</t>
        </is>
      </c>
      <c r="E848" t="inlineStr">
        <is>
          <t>ÄLVDALEN</t>
        </is>
      </c>
      <c r="G848" t="n">
        <v>1</v>
      </c>
      <c r="H848" t="n">
        <v>0</v>
      </c>
      <c r="I848" t="n">
        <v>0</v>
      </c>
      <c r="J848" t="n">
        <v>0</v>
      </c>
      <c r="K848" t="n">
        <v>0</v>
      </c>
      <c r="L848" t="n">
        <v>0</v>
      </c>
      <c r="M848" t="n">
        <v>0</v>
      </c>
      <c r="N848" t="n">
        <v>0</v>
      </c>
      <c r="O848" t="n">
        <v>0</v>
      </c>
      <c r="P848" t="n">
        <v>0</v>
      </c>
      <c r="Q848" t="n">
        <v>0</v>
      </c>
      <c r="R848" s="2" t="inlineStr"/>
    </row>
    <row r="849" ht="15" customHeight="1">
      <c r="A849" t="inlineStr">
        <is>
          <t>A 21659-2024</t>
        </is>
      </c>
      <c r="B849" s="1" t="n">
        <v>45442</v>
      </c>
      <c r="C849" s="1" t="n">
        <v>45576</v>
      </c>
      <c r="D849" t="inlineStr">
        <is>
          <t>DALARNAS LÄN</t>
        </is>
      </c>
      <c r="E849" t="inlineStr">
        <is>
          <t>ÄLVDALEN</t>
        </is>
      </c>
      <c r="F849" t="inlineStr">
        <is>
          <t>Bergvik skog väst AB</t>
        </is>
      </c>
      <c r="G849" t="n">
        <v>3.2</v>
      </c>
      <c r="H849" t="n">
        <v>0</v>
      </c>
      <c r="I849" t="n">
        <v>0</v>
      </c>
      <c r="J849" t="n">
        <v>0</v>
      </c>
      <c r="K849" t="n">
        <v>0</v>
      </c>
      <c r="L849" t="n">
        <v>0</v>
      </c>
      <c r="M849" t="n">
        <v>0</v>
      </c>
      <c r="N849" t="n">
        <v>0</v>
      </c>
      <c r="O849" t="n">
        <v>0</v>
      </c>
      <c r="P849" t="n">
        <v>0</v>
      </c>
      <c r="Q849" t="n">
        <v>0</v>
      </c>
      <c r="R849" s="2" t="inlineStr"/>
    </row>
    <row r="850" ht="15" customHeight="1">
      <c r="A850" t="inlineStr">
        <is>
          <t>A 23328-2024</t>
        </is>
      </c>
      <c r="B850" s="1" t="n">
        <v>45453</v>
      </c>
      <c r="C850" s="1" t="n">
        <v>45576</v>
      </c>
      <c r="D850" t="inlineStr">
        <is>
          <t>DALARNAS LÄN</t>
        </is>
      </c>
      <c r="E850" t="inlineStr">
        <is>
          <t>ÄLVDALEN</t>
        </is>
      </c>
      <c r="G850" t="n">
        <v>2.7</v>
      </c>
      <c r="H850" t="n">
        <v>0</v>
      </c>
      <c r="I850" t="n">
        <v>0</v>
      </c>
      <c r="J850" t="n">
        <v>0</v>
      </c>
      <c r="K850" t="n">
        <v>0</v>
      </c>
      <c r="L850" t="n">
        <v>0</v>
      </c>
      <c r="M850" t="n">
        <v>0</v>
      </c>
      <c r="N850" t="n">
        <v>0</v>
      </c>
      <c r="O850" t="n">
        <v>0</v>
      </c>
      <c r="P850" t="n">
        <v>0</v>
      </c>
      <c r="Q850" t="n">
        <v>0</v>
      </c>
      <c r="R850" s="2" t="inlineStr"/>
    </row>
    <row r="851" ht="15" customHeight="1">
      <c r="A851" t="inlineStr">
        <is>
          <t>A 23370-2024</t>
        </is>
      </c>
      <c r="B851" s="1" t="n">
        <v>45453</v>
      </c>
      <c r="C851" s="1" t="n">
        <v>45576</v>
      </c>
      <c r="D851" t="inlineStr">
        <is>
          <t>DALARNAS LÄN</t>
        </is>
      </c>
      <c r="E851" t="inlineStr">
        <is>
          <t>ÄLVDALEN</t>
        </is>
      </c>
      <c r="G851" t="n">
        <v>2.4</v>
      </c>
      <c r="H851" t="n">
        <v>0</v>
      </c>
      <c r="I851" t="n">
        <v>0</v>
      </c>
      <c r="J851" t="n">
        <v>0</v>
      </c>
      <c r="K851" t="n">
        <v>0</v>
      </c>
      <c r="L851" t="n">
        <v>0</v>
      </c>
      <c r="M851" t="n">
        <v>0</v>
      </c>
      <c r="N851" t="n">
        <v>0</v>
      </c>
      <c r="O851" t="n">
        <v>0</v>
      </c>
      <c r="P851" t="n">
        <v>0</v>
      </c>
      <c r="Q851" t="n">
        <v>0</v>
      </c>
      <c r="R851" s="2" t="inlineStr"/>
    </row>
    <row r="852" ht="15" customHeight="1">
      <c r="A852" t="inlineStr">
        <is>
          <t>A 23656-2024</t>
        </is>
      </c>
      <c r="B852" s="1" t="n">
        <v>45454</v>
      </c>
      <c r="C852" s="1" t="n">
        <v>45576</v>
      </c>
      <c r="D852" t="inlineStr">
        <is>
          <t>DALARNAS LÄN</t>
        </is>
      </c>
      <c r="E852" t="inlineStr">
        <is>
          <t>ÄLVDALEN</t>
        </is>
      </c>
      <c r="F852" t="inlineStr">
        <is>
          <t>Allmännings- och besparingsskogar</t>
        </is>
      </c>
      <c r="G852" t="n">
        <v>35.2</v>
      </c>
      <c r="H852" t="n">
        <v>0</v>
      </c>
      <c r="I852" t="n">
        <v>0</v>
      </c>
      <c r="J852" t="n">
        <v>0</v>
      </c>
      <c r="K852" t="n">
        <v>0</v>
      </c>
      <c r="L852" t="n">
        <v>0</v>
      </c>
      <c r="M852" t="n">
        <v>0</v>
      </c>
      <c r="N852" t="n">
        <v>0</v>
      </c>
      <c r="O852" t="n">
        <v>0</v>
      </c>
      <c r="P852" t="n">
        <v>0</v>
      </c>
      <c r="Q852" t="n">
        <v>0</v>
      </c>
      <c r="R852" s="2" t="inlineStr"/>
    </row>
    <row r="853" ht="15" customHeight="1">
      <c r="A853" t="inlineStr">
        <is>
          <t>A 23756-2024</t>
        </is>
      </c>
      <c r="B853" s="1" t="n">
        <v>45455</v>
      </c>
      <c r="C853" s="1" t="n">
        <v>45576</v>
      </c>
      <c r="D853" t="inlineStr">
        <is>
          <t>DALARNAS LÄN</t>
        </is>
      </c>
      <c r="E853" t="inlineStr">
        <is>
          <t>ÄLVDALEN</t>
        </is>
      </c>
      <c r="F853" t="inlineStr">
        <is>
          <t>Allmännings- och besparingsskogar</t>
        </is>
      </c>
      <c r="G853" t="n">
        <v>2.9</v>
      </c>
      <c r="H853" t="n">
        <v>0</v>
      </c>
      <c r="I853" t="n">
        <v>0</v>
      </c>
      <c r="J853" t="n">
        <v>0</v>
      </c>
      <c r="K853" t="n">
        <v>0</v>
      </c>
      <c r="L853" t="n">
        <v>0</v>
      </c>
      <c r="M853" t="n">
        <v>0</v>
      </c>
      <c r="N853" t="n">
        <v>0</v>
      </c>
      <c r="O853" t="n">
        <v>0</v>
      </c>
      <c r="P853" t="n">
        <v>0</v>
      </c>
      <c r="Q853" t="n">
        <v>0</v>
      </c>
      <c r="R853" s="2" t="inlineStr"/>
    </row>
    <row r="854" ht="15" customHeight="1">
      <c r="A854" t="inlineStr">
        <is>
          <t>A 24002-2024</t>
        </is>
      </c>
      <c r="B854" s="1" t="n">
        <v>45456</v>
      </c>
      <c r="C854" s="1" t="n">
        <v>45576</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23999-2024</t>
        </is>
      </c>
      <c r="B855" s="1" t="n">
        <v>45456</v>
      </c>
      <c r="C855" s="1" t="n">
        <v>45576</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24009-2024</t>
        </is>
      </c>
      <c r="B856" s="1" t="n">
        <v>45456</v>
      </c>
      <c r="C856" s="1" t="n">
        <v>45576</v>
      </c>
      <c r="D856" t="inlineStr">
        <is>
          <t>DALARNAS LÄN</t>
        </is>
      </c>
      <c r="E856" t="inlineStr">
        <is>
          <t>ÄLVDALEN</t>
        </is>
      </c>
      <c r="G856" t="n">
        <v>1.1</v>
      </c>
      <c r="H856" t="n">
        <v>0</v>
      </c>
      <c r="I856" t="n">
        <v>0</v>
      </c>
      <c r="J856" t="n">
        <v>0</v>
      </c>
      <c r="K856" t="n">
        <v>0</v>
      </c>
      <c r="L856" t="n">
        <v>0</v>
      </c>
      <c r="M856" t="n">
        <v>0</v>
      </c>
      <c r="N856" t="n">
        <v>0</v>
      </c>
      <c r="O856" t="n">
        <v>0</v>
      </c>
      <c r="P856" t="n">
        <v>0</v>
      </c>
      <c r="Q856" t="n">
        <v>0</v>
      </c>
      <c r="R856" s="2" t="inlineStr"/>
    </row>
    <row r="857" ht="15" customHeight="1">
      <c r="A857" t="inlineStr">
        <is>
          <t>A 24597-2024</t>
        </is>
      </c>
      <c r="B857" s="1" t="n">
        <v>45460</v>
      </c>
      <c r="C857" s="1" t="n">
        <v>45576</v>
      </c>
      <c r="D857" t="inlineStr">
        <is>
          <t>DALARNAS LÄN</t>
        </is>
      </c>
      <c r="E857" t="inlineStr">
        <is>
          <t>ÄLVDALEN</t>
        </is>
      </c>
      <c r="F857" t="inlineStr">
        <is>
          <t>Allmännings- och besparingsskogar</t>
        </is>
      </c>
      <c r="G857" t="n">
        <v>21.8</v>
      </c>
      <c r="H857" t="n">
        <v>0</v>
      </c>
      <c r="I857" t="n">
        <v>0</v>
      </c>
      <c r="J857" t="n">
        <v>0</v>
      </c>
      <c r="K857" t="n">
        <v>0</v>
      </c>
      <c r="L857" t="n">
        <v>0</v>
      </c>
      <c r="M857" t="n">
        <v>0</v>
      </c>
      <c r="N857" t="n">
        <v>0</v>
      </c>
      <c r="O857" t="n">
        <v>0</v>
      </c>
      <c r="P857" t="n">
        <v>0</v>
      </c>
      <c r="Q857" t="n">
        <v>0</v>
      </c>
      <c r="R857" s="2" t="inlineStr"/>
    </row>
    <row r="858" ht="15" customHeight="1">
      <c r="A858" t="inlineStr">
        <is>
          <t>A 25257-2024</t>
        </is>
      </c>
      <c r="B858" s="1" t="n">
        <v>45462</v>
      </c>
      <c r="C858" s="1" t="n">
        <v>45576</v>
      </c>
      <c r="D858" t="inlineStr">
        <is>
          <t>DALARNAS LÄN</t>
        </is>
      </c>
      <c r="E858" t="inlineStr">
        <is>
          <t>ÄLVDALEN</t>
        </is>
      </c>
      <c r="G858" t="n">
        <v>3.5</v>
      </c>
      <c r="H858" t="n">
        <v>0</v>
      </c>
      <c r="I858" t="n">
        <v>0</v>
      </c>
      <c r="J858" t="n">
        <v>0</v>
      </c>
      <c r="K858" t="n">
        <v>0</v>
      </c>
      <c r="L858" t="n">
        <v>0</v>
      </c>
      <c r="M858" t="n">
        <v>0</v>
      </c>
      <c r="N858" t="n">
        <v>0</v>
      </c>
      <c r="O858" t="n">
        <v>0</v>
      </c>
      <c r="P858" t="n">
        <v>0</v>
      </c>
      <c r="Q858" t="n">
        <v>0</v>
      </c>
      <c r="R858" s="2" t="inlineStr"/>
    </row>
    <row r="859" ht="15" customHeight="1">
      <c r="A859" t="inlineStr">
        <is>
          <t>A 25272-2024</t>
        </is>
      </c>
      <c r="B859" s="1" t="n">
        <v>45462</v>
      </c>
      <c r="C859" s="1" t="n">
        <v>45576</v>
      </c>
      <c r="D859" t="inlineStr">
        <is>
          <t>DALARNAS LÄN</t>
        </is>
      </c>
      <c r="E859" t="inlineStr">
        <is>
          <t>ÄLVDALEN</t>
        </is>
      </c>
      <c r="G859" t="n">
        <v>23.5</v>
      </c>
      <c r="H859" t="n">
        <v>0</v>
      </c>
      <c r="I859" t="n">
        <v>0</v>
      </c>
      <c r="J859" t="n">
        <v>0</v>
      </c>
      <c r="K859" t="n">
        <v>0</v>
      </c>
      <c r="L859" t="n">
        <v>0</v>
      </c>
      <c r="M859" t="n">
        <v>0</v>
      </c>
      <c r="N859" t="n">
        <v>0</v>
      </c>
      <c r="O859" t="n">
        <v>0</v>
      </c>
      <c r="P859" t="n">
        <v>0</v>
      </c>
      <c r="Q859" t="n">
        <v>0</v>
      </c>
      <c r="R859" s="2" t="inlineStr"/>
    </row>
    <row r="860" ht="15" customHeight="1">
      <c r="A860" t="inlineStr">
        <is>
          <t>A 25505-2024</t>
        </is>
      </c>
      <c r="B860" s="1" t="n">
        <v>45463</v>
      </c>
      <c r="C860" s="1" t="n">
        <v>45576</v>
      </c>
      <c r="D860" t="inlineStr">
        <is>
          <t>DALARNAS LÄN</t>
        </is>
      </c>
      <c r="E860" t="inlineStr">
        <is>
          <t>ÄLVDALEN</t>
        </is>
      </c>
      <c r="G860" t="n">
        <v>15.2</v>
      </c>
      <c r="H860" t="n">
        <v>0</v>
      </c>
      <c r="I860" t="n">
        <v>0</v>
      </c>
      <c r="J860" t="n">
        <v>0</v>
      </c>
      <c r="K860" t="n">
        <v>0</v>
      </c>
      <c r="L860" t="n">
        <v>0</v>
      </c>
      <c r="M860" t="n">
        <v>0</v>
      </c>
      <c r="N860" t="n">
        <v>0</v>
      </c>
      <c r="O860" t="n">
        <v>0</v>
      </c>
      <c r="P860" t="n">
        <v>0</v>
      </c>
      <c r="Q860" t="n">
        <v>0</v>
      </c>
      <c r="R860" s="2" t="inlineStr"/>
    </row>
    <row r="861" ht="15" customHeight="1">
      <c r="A861" t="inlineStr">
        <is>
          <t>A 25512-2024</t>
        </is>
      </c>
      <c r="B861" s="1" t="n">
        <v>45463</v>
      </c>
      <c r="C861" s="1" t="n">
        <v>45576</v>
      </c>
      <c r="D861" t="inlineStr">
        <is>
          <t>DALARNAS LÄN</t>
        </is>
      </c>
      <c r="E861" t="inlineStr">
        <is>
          <t>ÄLVDALEN</t>
        </is>
      </c>
      <c r="F861" t="inlineStr">
        <is>
          <t>Övriga Aktiebolag</t>
        </is>
      </c>
      <c r="G861" t="n">
        <v>5.6</v>
      </c>
      <c r="H861" t="n">
        <v>0</v>
      </c>
      <c r="I861" t="n">
        <v>0</v>
      </c>
      <c r="J861" t="n">
        <v>0</v>
      </c>
      <c r="K861" t="n">
        <v>0</v>
      </c>
      <c r="L861" t="n">
        <v>0</v>
      </c>
      <c r="M861" t="n">
        <v>0</v>
      </c>
      <c r="N861" t="n">
        <v>0</v>
      </c>
      <c r="O861" t="n">
        <v>0</v>
      </c>
      <c r="P861" t="n">
        <v>0</v>
      </c>
      <c r="Q861" t="n">
        <v>0</v>
      </c>
      <c r="R861" s="2" t="inlineStr"/>
    </row>
    <row r="862" ht="15" customHeight="1">
      <c r="A862" t="inlineStr">
        <is>
          <t>A 25516-2024</t>
        </is>
      </c>
      <c r="B862" s="1" t="n">
        <v>45463</v>
      </c>
      <c r="C862" s="1" t="n">
        <v>45576</v>
      </c>
      <c r="D862" t="inlineStr">
        <is>
          <t>DALARNAS LÄN</t>
        </is>
      </c>
      <c r="E862" t="inlineStr">
        <is>
          <t>ÄLVDALEN</t>
        </is>
      </c>
      <c r="F862" t="inlineStr">
        <is>
          <t>Övriga Aktiebolag</t>
        </is>
      </c>
      <c r="G862" t="n">
        <v>9.1</v>
      </c>
      <c r="H862" t="n">
        <v>0</v>
      </c>
      <c r="I862" t="n">
        <v>0</v>
      </c>
      <c r="J862" t="n">
        <v>0</v>
      </c>
      <c r="K862" t="n">
        <v>0</v>
      </c>
      <c r="L862" t="n">
        <v>0</v>
      </c>
      <c r="M862" t="n">
        <v>0</v>
      </c>
      <c r="N862" t="n">
        <v>0</v>
      </c>
      <c r="O862" t="n">
        <v>0</v>
      </c>
      <c r="P862" t="n">
        <v>0</v>
      </c>
      <c r="Q862" t="n">
        <v>0</v>
      </c>
      <c r="R862" s="2" t="inlineStr"/>
    </row>
    <row r="863" ht="15" customHeight="1">
      <c r="A863" t="inlineStr">
        <is>
          <t>A 25511-2024</t>
        </is>
      </c>
      <c r="B863" s="1" t="n">
        <v>45463</v>
      </c>
      <c r="C863" s="1" t="n">
        <v>45576</v>
      </c>
      <c r="D863" t="inlineStr">
        <is>
          <t>DALARNAS LÄN</t>
        </is>
      </c>
      <c r="E863" t="inlineStr">
        <is>
          <t>ÄLVDALEN</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25507-2024</t>
        </is>
      </c>
      <c r="B864" s="1" t="n">
        <v>45463</v>
      </c>
      <c r="C864" s="1" t="n">
        <v>45576</v>
      </c>
      <c r="D864" t="inlineStr">
        <is>
          <t>DALARNAS LÄN</t>
        </is>
      </c>
      <c r="E864" t="inlineStr">
        <is>
          <t>ÄLVDALEN</t>
        </is>
      </c>
      <c r="F864" t="inlineStr">
        <is>
          <t>Övriga Aktiebolag</t>
        </is>
      </c>
      <c r="G864" t="n">
        <v>6.5</v>
      </c>
      <c r="H864" t="n">
        <v>0</v>
      </c>
      <c r="I864" t="n">
        <v>0</v>
      </c>
      <c r="J864" t="n">
        <v>0</v>
      </c>
      <c r="K864" t="n">
        <v>0</v>
      </c>
      <c r="L864" t="n">
        <v>0</v>
      </c>
      <c r="M864" t="n">
        <v>0</v>
      </c>
      <c r="N864" t="n">
        <v>0</v>
      </c>
      <c r="O864" t="n">
        <v>0</v>
      </c>
      <c r="P864" t="n">
        <v>0</v>
      </c>
      <c r="Q864" t="n">
        <v>0</v>
      </c>
      <c r="R864" s="2" t="inlineStr"/>
    </row>
    <row r="865" ht="15" customHeight="1">
      <c r="A865" t="inlineStr">
        <is>
          <t>A 25931-2024</t>
        </is>
      </c>
      <c r="B865" s="1" t="n">
        <v>45467</v>
      </c>
      <c r="C865" s="1" t="n">
        <v>45576</v>
      </c>
      <c r="D865" t="inlineStr">
        <is>
          <t>DALARNAS LÄN</t>
        </is>
      </c>
      <c r="E865" t="inlineStr">
        <is>
          <t>ÄLVDALEN</t>
        </is>
      </c>
      <c r="G865" t="n">
        <v>15.4</v>
      </c>
      <c r="H865" t="n">
        <v>0</v>
      </c>
      <c r="I865" t="n">
        <v>0</v>
      </c>
      <c r="J865" t="n">
        <v>0</v>
      </c>
      <c r="K865" t="n">
        <v>0</v>
      </c>
      <c r="L865" t="n">
        <v>0</v>
      </c>
      <c r="M865" t="n">
        <v>0</v>
      </c>
      <c r="N865" t="n">
        <v>0</v>
      </c>
      <c r="O865" t="n">
        <v>0</v>
      </c>
      <c r="P865" t="n">
        <v>0</v>
      </c>
      <c r="Q865" t="n">
        <v>0</v>
      </c>
      <c r="R865" s="2" t="inlineStr"/>
    </row>
    <row r="866" ht="15" customHeight="1">
      <c r="A866" t="inlineStr">
        <is>
          <t>A 28239-2024</t>
        </is>
      </c>
      <c r="B866" s="1" t="n">
        <v>45468</v>
      </c>
      <c r="C866" s="1" t="n">
        <v>45576</v>
      </c>
      <c r="D866" t="inlineStr">
        <is>
          <t>DALARNAS LÄN</t>
        </is>
      </c>
      <c r="E866" t="inlineStr">
        <is>
          <t>ÄLVDALEN</t>
        </is>
      </c>
      <c r="G866" t="n">
        <v>4</v>
      </c>
      <c r="H866" t="n">
        <v>0</v>
      </c>
      <c r="I866" t="n">
        <v>0</v>
      </c>
      <c r="J866" t="n">
        <v>0</v>
      </c>
      <c r="K866" t="n">
        <v>0</v>
      </c>
      <c r="L866" t="n">
        <v>0</v>
      </c>
      <c r="M866" t="n">
        <v>0</v>
      </c>
      <c r="N866" t="n">
        <v>0</v>
      </c>
      <c r="O866" t="n">
        <v>0</v>
      </c>
      <c r="P866" t="n">
        <v>0</v>
      </c>
      <c r="Q866" t="n">
        <v>0</v>
      </c>
      <c r="R866" s="2" t="inlineStr"/>
    </row>
    <row r="867" ht="15" customHeight="1">
      <c r="A867" t="inlineStr">
        <is>
          <t>A 26094-2024</t>
        </is>
      </c>
      <c r="B867" s="1" t="n">
        <v>45468</v>
      </c>
      <c r="C867" s="1" t="n">
        <v>45576</v>
      </c>
      <c r="D867" t="inlineStr">
        <is>
          <t>DALARNAS LÄN</t>
        </is>
      </c>
      <c r="E867" t="inlineStr">
        <is>
          <t>ÄLVDALEN</t>
        </is>
      </c>
      <c r="F867" t="inlineStr">
        <is>
          <t>Allmännings- och besparingsskogar</t>
        </is>
      </c>
      <c r="G867" t="n">
        <v>33.5</v>
      </c>
      <c r="H867" t="n">
        <v>0</v>
      </c>
      <c r="I867" t="n">
        <v>0</v>
      </c>
      <c r="J867" t="n">
        <v>0</v>
      </c>
      <c r="K867" t="n">
        <v>0</v>
      </c>
      <c r="L867" t="n">
        <v>0</v>
      </c>
      <c r="M867" t="n">
        <v>0</v>
      </c>
      <c r="N867" t="n">
        <v>0</v>
      </c>
      <c r="O867" t="n">
        <v>0</v>
      </c>
      <c r="P867" t="n">
        <v>0</v>
      </c>
      <c r="Q867" t="n">
        <v>0</v>
      </c>
      <c r="R867" s="2" t="inlineStr"/>
    </row>
    <row r="868" ht="15" customHeight="1">
      <c r="A868" t="inlineStr">
        <is>
          <t>A 26862-2024</t>
        </is>
      </c>
      <c r="B868" s="1" t="n">
        <v>45470</v>
      </c>
      <c r="C868" s="1" t="n">
        <v>45576</v>
      </c>
      <c r="D868" t="inlineStr">
        <is>
          <t>DALARNAS LÄN</t>
        </is>
      </c>
      <c r="E868" t="inlineStr">
        <is>
          <t>ÄLVDALEN</t>
        </is>
      </c>
      <c r="F868" t="inlineStr">
        <is>
          <t>Allmännings- och besparingsskogar</t>
        </is>
      </c>
      <c r="G868" t="n">
        <v>4.3</v>
      </c>
      <c r="H868" t="n">
        <v>0</v>
      </c>
      <c r="I868" t="n">
        <v>0</v>
      </c>
      <c r="J868" t="n">
        <v>0</v>
      </c>
      <c r="K868" t="n">
        <v>0</v>
      </c>
      <c r="L868" t="n">
        <v>0</v>
      </c>
      <c r="M868" t="n">
        <v>0</v>
      </c>
      <c r="N868" t="n">
        <v>0</v>
      </c>
      <c r="O868" t="n">
        <v>0</v>
      </c>
      <c r="P868" t="n">
        <v>0</v>
      </c>
      <c r="Q868" t="n">
        <v>0</v>
      </c>
      <c r="R868" s="2" t="inlineStr"/>
    </row>
    <row r="869" ht="15" customHeight="1">
      <c r="A869" t="inlineStr">
        <is>
          <t>A 27036-2024</t>
        </is>
      </c>
      <c r="B869" s="1" t="n">
        <v>45471</v>
      </c>
      <c r="C869" s="1" t="n">
        <v>45576</v>
      </c>
      <c r="D869" t="inlineStr">
        <is>
          <t>DALARNAS LÄN</t>
        </is>
      </c>
      <c r="E869" t="inlineStr">
        <is>
          <t>ÄLVDALEN</t>
        </is>
      </c>
      <c r="F869" t="inlineStr">
        <is>
          <t>Allmännings- och besparingsskogar</t>
        </is>
      </c>
      <c r="G869" t="n">
        <v>8.1</v>
      </c>
      <c r="H869" t="n">
        <v>0</v>
      </c>
      <c r="I869" t="n">
        <v>0</v>
      </c>
      <c r="J869" t="n">
        <v>0</v>
      </c>
      <c r="K869" t="n">
        <v>0</v>
      </c>
      <c r="L869" t="n">
        <v>0</v>
      </c>
      <c r="M869" t="n">
        <v>0</v>
      </c>
      <c r="N869" t="n">
        <v>0</v>
      </c>
      <c r="O869" t="n">
        <v>0</v>
      </c>
      <c r="P869" t="n">
        <v>0</v>
      </c>
      <c r="Q869" t="n">
        <v>0</v>
      </c>
      <c r="R869" s="2" t="inlineStr"/>
    </row>
    <row r="870" ht="15" customHeight="1">
      <c r="A870" t="inlineStr">
        <is>
          <t>A 27858-2024</t>
        </is>
      </c>
      <c r="B870" s="1" t="n">
        <v>45475</v>
      </c>
      <c r="C870" s="1" t="n">
        <v>45576</v>
      </c>
      <c r="D870" t="inlineStr">
        <is>
          <t>DALARNAS LÄN</t>
        </is>
      </c>
      <c r="E870" t="inlineStr">
        <is>
          <t>ÄLVDALEN</t>
        </is>
      </c>
      <c r="F870" t="inlineStr">
        <is>
          <t>Allmännings- och besparingsskogar</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28473-2024</t>
        </is>
      </c>
      <c r="B871" s="1" t="n">
        <v>45477</v>
      </c>
      <c r="C871" s="1" t="n">
        <v>45576</v>
      </c>
      <c r="D871" t="inlineStr">
        <is>
          <t>DALARNAS LÄN</t>
        </is>
      </c>
      <c r="E871" t="inlineStr">
        <is>
          <t>ÄLVDALEN</t>
        </is>
      </c>
      <c r="G871" t="n">
        <v>5</v>
      </c>
      <c r="H871" t="n">
        <v>0</v>
      </c>
      <c r="I871" t="n">
        <v>0</v>
      </c>
      <c r="J871" t="n">
        <v>0</v>
      </c>
      <c r="K871" t="n">
        <v>0</v>
      </c>
      <c r="L871" t="n">
        <v>0</v>
      </c>
      <c r="M871" t="n">
        <v>0</v>
      </c>
      <c r="N871" t="n">
        <v>0</v>
      </c>
      <c r="O871" t="n">
        <v>0</v>
      </c>
      <c r="P871" t="n">
        <v>0</v>
      </c>
      <c r="Q871" t="n">
        <v>0</v>
      </c>
      <c r="R871" s="2" t="inlineStr"/>
    </row>
    <row r="872" ht="15" customHeight="1">
      <c r="A872" t="inlineStr">
        <is>
          <t>A 28479-2024</t>
        </is>
      </c>
      <c r="B872" s="1" t="n">
        <v>45477</v>
      </c>
      <c r="C872" s="1" t="n">
        <v>45576</v>
      </c>
      <c r="D872" t="inlineStr">
        <is>
          <t>DALARNAS LÄN</t>
        </is>
      </c>
      <c r="E872" t="inlineStr">
        <is>
          <t>ÄLVDALEN</t>
        </is>
      </c>
      <c r="G872" t="n">
        <v>4.1</v>
      </c>
      <c r="H872" t="n">
        <v>0</v>
      </c>
      <c r="I872" t="n">
        <v>0</v>
      </c>
      <c r="J872" t="n">
        <v>0</v>
      </c>
      <c r="K872" t="n">
        <v>0</v>
      </c>
      <c r="L872" t="n">
        <v>0</v>
      </c>
      <c r="M872" t="n">
        <v>0</v>
      </c>
      <c r="N872" t="n">
        <v>0</v>
      </c>
      <c r="O872" t="n">
        <v>0</v>
      </c>
      <c r="P872" t="n">
        <v>0</v>
      </c>
      <c r="Q872" t="n">
        <v>0</v>
      </c>
      <c r="R872" s="2" t="inlineStr"/>
    </row>
    <row r="873" ht="15" customHeight="1">
      <c r="A873" t="inlineStr">
        <is>
          <t>A 28467-2024</t>
        </is>
      </c>
      <c r="B873" s="1" t="n">
        <v>45477</v>
      </c>
      <c r="C873" s="1" t="n">
        <v>45576</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28643-2024</t>
        </is>
      </c>
      <c r="B874" s="1" t="n">
        <v>45478</v>
      </c>
      <c r="C874" s="1" t="n">
        <v>45576</v>
      </c>
      <c r="D874" t="inlineStr">
        <is>
          <t>DALARNAS LÄN</t>
        </is>
      </c>
      <c r="E874" t="inlineStr">
        <is>
          <t>ÄLVDALEN</t>
        </is>
      </c>
      <c r="G874" t="n">
        <v>3.4</v>
      </c>
      <c r="H874" t="n">
        <v>0</v>
      </c>
      <c r="I874" t="n">
        <v>0</v>
      </c>
      <c r="J874" t="n">
        <v>0</v>
      </c>
      <c r="K874" t="n">
        <v>0</v>
      </c>
      <c r="L874" t="n">
        <v>0</v>
      </c>
      <c r="M874" t="n">
        <v>0</v>
      </c>
      <c r="N874" t="n">
        <v>0</v>
      </c>
      <c r="O874" t="n">
        <v>0</v>
      </c>
      <c r="P874" t="n">
        <v>0</v>
      </c>
      <c r="Q874" t="n">
        <v>0</v>
      </c>
      <c r="R874" s="2" t="inlineStr"/>
    </row>
    <row r="875" ht="15" customHeight="1">
      <c r="A875" t="inlineStr">
        <is>
          <t>A 29129-2024</t>
        </is>
      </c>
      <c r="B875" s="1" t="n">
        <v>45482</v>
      </c>
      <c r="C875" s="1" t="n">
        <v>45576</v>
      </c>
      <c r="D875" t="inlineStr">
        <is>
          <t>DALARNAS LÄN</t>
        </is>
      </c>
      <c r="E875" t="inlineStr">
        <is>
          <t>ÄLVDALEN</t>
        </is>
      </c>
      <c r="F875" t="inlineStr">
        <is>
          <t>Allmännings- och besparingsskogar</t>
        </is>
      </c>
      <c r="G875" t="n">
        <v>19.8</v>
      </c>
      <c r="H875" t="n">
        <v>0</v>
      </c>
      <c r="I875" t="n">
        <v>0</v>
      </c>
      <c r="J875" t="n">
        <v>0</v>
      </c>
      <c r="K875" t="n">
        <v>0</v>
      </c>
      <c r="L875" t="n">
        <v>0</v>
      </c>
      <c r="M875" t="n">
        <v>0</v>
      </c>
      <c r="N875" t="n">
        <v>0</v>
      </c>
      <c r="O875" t="n">
        <v>0</v>
      </c>
      <c r="P875" t="n">
        <v>0</v>
      </c>
      <c r="Q875" t="n">
        <v>0</v>
      </c>
      <c r="R875" s="2" t="inlineStr"/>
    </row>
    <row r="876" ht="15" customHeight="1">
      <c r="A876" t="inlineStr">
        <is>
          <t>A 29645-2024</t>
        </is>
      </c>
      <c r="B876" s="1" t="n">
        <v>45484</v>
      </c>
      <c r="C876" s="1" t="n">
        <v>45576</v>
      </c>
      <c r="D876" t="inlineStr">
        <is>
          <t>DALARNAS LÄN</t>
        </is>
      </c>
      <c r="E876" t="inlineStr">
        <is>
          <t>ÄLVDALEN</t>
        </is>
      </c>
      <c r="G876" t="n">
        <v>3</v>
      </c>
      <c r="H876" t="n">
        <v>0</v>
      </c>
      <c r="I876" t="n">
        <v>0</v>
      </c>
      <c r="J876" t="n">
        <v>0</v>
      </c>
      <c r="K876" t="n">
        <v>0</v>
      </c>
      <c r="L876" t="n">
        <v>0</v>
      </c>
      <c r="M876" t="n">
        <v>0</v>
      </c>
      <c r="N876" t="n">
        <v>0</v>
      </c>
      <c r="O876" t="n">
        <v>0</v>
      </c>
      <c r="P876" t="n">
        <v>0</v>
      </c>
      <c r="Q876" t="n">
        <v>0</v>
      </c>
      <c r="R876" s="2" t="inlineStr"/>
    </row>
    <row r="877" ht="15" customHeight="1">
      <c r="A877" t="inlineStr">
        <is>
          <t>A 29646-2024</t>
        </is>
      </c>
      <c r="B877" s="1" t="n">
        <v>45484</v>
      </c>
      <c r="C877" s="1" t="n">
        <v>45576</v>
      </c>
      <c r="D877" t="inlineStr">
        <is>
          <t>DALARNAS LÄN</t>
        </is>
      </c>
      <c r="E877" t="inlineStr">
        <is>
          <t>ÄLVDALEN</t>
        </is>
      </c>
      <c r="G877" t="n">
        <v>2.5</v>
      </c>
      <c r="H877" t="n">
        <v>0</v>
      </c>
      <c r="I877" t="n">
        <v>0</v>
      </c>
      <c r="J877" t="n">
        <v>0</v>
      </c>
      <c r="K877" t="n">
        <v>0</v>
      </c>
      <c r="L877" t="n">
        <v>0</v>
      </c>
      <c r="M877" t="n">
        <v>0</v>
      </c>
      <c r="N877" t="n">
        <v>0</v>
      </c>
      <c r="O877" t="n">
        <v>0</v>
      </c>
      <c r="P877" t="n">
        <v>0</v>
      </c>
      <c r="Q877" t="n">
        <v>0</v>
      </c>
      <c r="R877" s="2" t="inlineStr"/>
    </row>
    <row r="878" ht="15" customHeight="1">
      <c r="A878" t="inlineStr">
        <is>
          <t>A 29614-2024</t>
        </is>
      </c>
      <c r="B878" s="1" t="n">
        <v>45484</v>
      </c>
      <c r="C878" s="1" t="n">
        <v>45576</v>
      </c>
      <c r="D878" t="inlineStr">
        <is>
          <t>DALARNAS LÄN</t>
        </is>
      </c>
      <c r="E878" t="inlineStr">
        <is>
          <t>ÄLVDALEN</t>
        </is>
      </c>
      <c r="G878" t="n">
        <v>2.4</v>
      </c>
      <c r="H878" t="n">
        <v>0</v>
      </c>
      <c r="I878" t="n">
        <v>0</v>
      </c>
      <c r="J878" t="n">
        <v>0</v>
      </c>
      <c r="K878" t="n">
        <v>0</v>
      </c>
      <c r="L878" t="n">
        <v>0</v>
      </c>
      <c r="M878" t="n">
        <v>0</v>
      </c>
      <c r="N878" t="n">
        <v>0</v>
      </c>
      <c r="O878" t="n">
        <v>0</v>
      </c>
      <c r="P878" t="n">
        <v>0</v>
      </c>
      <c r="Q878" t="n">
        <v>0</v>
      </c>
      <c r="R878" s="2" t="inlineStr"/>
    </row>
    <row r="879" ht="15" customHeight="1">
      <c r="A879" t="inlineStr">
        <is>
          <t>A 29610-2024</t>
        </is>
      </c>
      <c r="B879" s="1" t="n">
        <v>45484</v>
      </c>
      <c r="C879" s="1" t="n">
        <v>45576</v>
      </c>
      <c r="D879" t="inlineStr">
        <is>
          <t>DALARNAS LÄN</t>
        </is>
      </c>
      <c r="E879" t="inlineStr">
        <is>
          <t>ÄLVDALEN</t>
        </is>
      </c>
      <c r="G879" t="n">
        <v>1</v>
      </c>
      <c r="H879" t="n">
        <v>0</v>
      </c>
      <c r="I879" t="n">
        <v>0</v>
      </c>
      <c r="J879" t="n">
        <v>0</v>
      </c>
      <c r="K879" t="n">
        <v>0</v>
      </c>
      <c r="L879" t="n">
        <v>0</v>
      </c>
      <c r="M879" t="n">
        <v>0</v>
      </c>
      <c r="N879" t="n">
        <v>0</v>
      </c>
      <c r="O879" t="n">
        <v>0</v>
      </c>
      <c r="P879" t="n">
        <v>0</v>
      </c>
      <c r="Q879" t="n">
        <v>0</v>
      </c>
      <c r="R879" s="2" t="inlineStr"/>
    </row>
    <row r="880" ht="15" customHeight="1">
      <c r="A880" t="inlineStr">
        <is>
          <t>A 29819-2024</t>
        </is>
      </c>
      <c r="B880" s="1" t="n">
        <v>45485</v>
      </c>
      <c r="C880" s="1" t="n">
        <v>45576</v>
      </c>
      <c r="D880" t="inlineStr">
        <is>
          <t>DALARNAS LÄN</t>
        </is>
      </c>
      <c r="E880" t="inlineStr">
        <is>
          <t>ÄLVDALEN</t>
        </is>
      </c>
      <c r="G880" t="n">
        <v>1.4</v>
      </c>
      <c r="H880" t="n">
        <v>0</v>
      </c>
      <c r="I880" t="n">
        <v>0</v>
      </c>
      <c r="J880" t="n">
        <v>0</v>
      </c>
      <c r="K880" t="n">
        <v>0</v>
      </c>
      <c r="L880" t="n">
        <v>0</v>
      </c>
      <c r="M880" t="n">
        <v>0</v>
      </c>
      <c r="N880" t="n">
        <v>0</v>
      </c>
      <c r="O880" t="n">
        <v>0</v>
      </c>
      <c r="P880" t="n">
        <v>0</v>
      </c>
      <c r="Q880" t="n">
        <v>0</v>
      </c>
      <c r="R880" s="2" t="inlineStr"/>
    </row>
    <row r="881" ht="15" customHeight="1">
      <c r="A881" t="inlineStr">
        <is>
          <t>A 30139-2024</t>
        </is>
      </c>
      <c r="B881" s="1" t="n">
        <v>45488</v>
      </c>
      <c r="C881" s="1" t="n">
        <v>45576</v>
      </c>
      <c r="D881" t="inlineStr">
        <is>
          <t>DALARNAS LÄN</t>
        </is>
      </c>
      <c r="E881" t="inlineStr">
        <is>
          <t>ÄLVDALEN</t>
        </is>
      </c>
      <c r="G881" t="n">
        <v>7.9</v>
      </c>
      <c r="H881" t="n">
        <v>0</v>
      </c>
      <c r="I881" t="n">
        <v>0</v>
      </c>
      <c r="J881" t="n">
        <v>0</v>
      </c>
      <c r="K881" t="n">
        <v>0</v>
      </c>
      <c r="L881" t="n">
        <v>0</v>
      </c>
      <c r="M881" t="n">
        <v>0</v>
      </c>
      <c r="N881" t="n">
        <v>0</v>
      </c>
      <c r="O881" t="n">
        <v>0</v>
      </c>
      <c r="P881" t="n">
        <v>0</v>
      </c>
      <c r="Q881" t="n">
        <v>0</v>
      </c>
      <c r="R881" s="2" t="inlineStr"/>
    </row>
    <row r="882" ht="15" customHeight="1">
      <c r="A882" t="inlineStr">
        <is>
          <t>A 30147-2024</t>
        </is>
      </c>
      <c r="B882" s="1" t="n">
        <v>45488</v>
      </c>
      <c r="C882" s="1" t="n">
        <v>45576</v>
      </c>
      <c r="D882" t="inlineStr">
        <is>
          <t>DALARNAS LÄN</t>
        </is>
      </c>
      <c r="E882" t="inlineStr">
        <is>
          <t>ÄLVDALEN</t>
        </is>
      </c>
      <c r="G882" t="n">
        <v>2.1</v>
      </c>
      <c r="H882" t="n">
        <v>0</v>
      </c>
      <c r="I882" t="n">
        <v>0</v>
      </c>
      <c r="J882" t="n">
        <v>0</v>
      </c>
      <c r="K882" t="n">
        <v>0</v>
      </c>
      <c r="L882" t="n">
        <v>0</v>
      </c>
      <c r="M882" t="n">
        <v>0</v>
      </c>
      <c r="N882" t="n">
        <v>0</v>
      </c>
      <c r="O882" t="n">
        <v>0</v>
      </c>
      <c r="P882" t="n">
        <v>0</v>
      </c>
      <c r="Q882" t="n">
        <v>0</v>
      </c>
      <c r="R882" s="2" t="inlineStr"/>
    </row>
    <row r="883" ht="15" customHeight="1">
      <c r="A883" t="inlineStr">
        <is>
          <t>A 30146-2024</t>
        </is>
      </c>
      <c r="B883" s="1" t="n">
        <v>45488</v>
      </c>
      <c r="C883" s="1" t="n">
        <v>45576</v>
      </c>
      <c r="D883" t="inlineStr">
        <is>
          <t>DALARNAS LÄN</t>
        </is>
      </c>
      <c r="E883" t="inlineStr">
        <is>
          <t>ÄLVDALEN</t>
        </is>
      </c>
      <c r="G883" t="n">
        <v>1.1</v>
      </c>
      <c r="H883" t="n">
        <v>0</v>
      </c>
      <c r="I883" t="n">
        <v>0</v>
      </c>
      <c r="J883" t="n">
        <v>0</v>
      </c>
      <c r="K883" t="n">
        <v>0</v>
      </c>
      <c r="L883" t="n">
        <v>0</v>
      </c>
      <c r="M883" t="n">
        <v>0</v>
      </c>
      <c r="N883" t="n">
        <v>0</v>
      </c>
      <c r="O883" t="n">
        <v>0</v>
      </c>
      <c r="P883" t="n">
        <v>0</v>
      </c>
      <c r="Q883" t="n">
        <v>0</v>
      </c>
      <c r="R883" s="2" t="inlineStr"/>
    </row>
    <row r="884" ht="15" customHeight="1">
      <c r="A884" t="inlineStr">
        <is>
          <t>A 30141-2024</t>
        </is>
      </c>
      <c r="B884" s="1" t="n">
        <v>45488</v>
      </c>
      <c r="C884" s="1" t="n">
        <v>45576</v>
      </c>
      <c r="D884" t="inlineStr">
        <is>
          <t>DALARNAS LÄN</t>
        </is>
      </c>
      <c r="E884" t="inlineStr">
        <is>
          <t>ÄLVDALEN</t>
        </is>
      </c>
      <c r="G884" t="n">
        <v>1.7</v>
      </c>
      <c r="H884" t="n">
        <v>0</v>
      </c>
      <c r="I884" t="n">
        <v>0</v>
      </c>
      <c r="J884" t="n">
        <v>0</v>
      </c>
      <c r="K884" t="n">
        <v>0</v>
      </c>
      <c r="L884" t="n">
        <v>0</v>
      </c>
      <c r="M884" t="n">
        <v>0</v>
      </c>
      <c r="N884" t="n">
        <v>0</v>
      </c>
      <c r="O884" t="n">
        <v>0</v>
      </c>
      <c r="P884" t="n">
        <v>0</v>
      </c>
      <c r="Q884" t="n">
        <v>0</v>
      </c>
      <c r="R884" s="2" t="inlineStr"/>
    </row>
    <row r="885" ht="15" customHeight="1">
      <c r="A885" t="inlineStr">
        <is>
          <t>A 30143-2024</t>
        </is>
      </c>
      <c r="B885" s="1" t="n">
        <v>45488</v>
      </c>
      <c r="C885" s="1" t="n">
        <v>45576</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30411-2024</t>
        </is>
      </c>
      <c r="B886" s="1" t="n">
        <v>45491</v>
      </c>
      <c r="C886" s="1" t="n">
        <v>45576</v>
      </c>
      <c r="D886" t="inlineStr">
        <is>
          <t>DALARNAS LÄN</t>
        </is>
      </c>
      <c r="E886" t="inlineStr">
        <is>
          <t>ÄLVDALEN</t>
        </is>
      </c>
      <c r="G886" t="n">
        <v>1.1</v>
      </c>
      <c r="H886" t="n">
        <v>0</v>
      </c>
      <c r="I886" t="n">
        <v>0</v>
      </c>
      <c r="J886" t="n">
        <v>0</v>
      </c>
      <c r="K886" t="n">
        <v>0</v>
      </c>
      <c r="L886" t="n">
        <v>0</v>
      </c>
      <c r="M886" t="n">
        <v>0</v>
      </c>
      <c r="N886" t="n">
        <v>0</v>
      </c>
      <c r="O886" t="n">
        <v>0</v>
      </c>
      <c r="P886" t="n">
        <v>0</v>
      </c>
      <c r="Q886" t="n">
        <v>0</v>
      </c>
      <c r="R886" s="2" t="inlineStr"/>
    </row>
    <row r="887" ht="15" customHeight="1">
      <c r="A887" t="inlineStr">
        <is>
          <t>A 30412-2024</t>
        </is>
      </c>
      <c r="B887" s="1" t="n">
        <v>45491</v>
      </c>
      <c r="C887" s="1" t="n">
        <v>45576</v>
      </c>
      <c r="D887" t="inlineStr">
        <is>
          <t>DALARNAS LÄN</t>
        </is>
      </c>
      <c r="E887" t="inlineStr">
        <is>
          <t>ÄLVDALEN</t>
        </is>
      </c>
      <c r="G887" t="n">
        <v>1.3</v>
      </c>
      <c r="H887" t="n">
        <v>0</v>
      </c>
      <c r="I887" t="n">
        <v>0</v>
      </c>
      <c r="J887" t="n">
        <v>0</v>
      </c>
      <c r="K887" t="n">
        <v>0</v>
      </c>
      <c r="L887" t="n">
        <v>0</v>
      </c>
      <c r="M887" t="n">
        <v>0</v>
      </c>
      <c r="N887" t="n">
        <v>0</v>
      </c>
      <c r="O887" t="n">
        <v>0</v>
      </c>
      <c r="P887" t="n">
        <v>0</v>
      </c>
      <c r="Q887" t="n">
        <v>0</v>
      </c>
      <c r="R887" s="2" t="inlineStr"/>
    </row>
    <row r="888" ht="15" customHeight="1">
      <c r="A888" t="inlineStr">
        <is>
          <t>A 30414-2024</t>
        </is>
      </c>
      <c r="B888" s="1" t="n">
        <v>45491</v>
      </c>
      <c r="C888" s="1" t="n">
        <v>45576</v>
      </c>
      <c r="D888" t="inlineStr">
        <is>
          <t>DALARNAS LÄN</t>
        </is>
      </c>
      <c r="E888" t="inlineStr">
        <is>
          <t>ÄLVDALEN</t>
        </is>
      </c>
      <c r="G888" t="n">
        <v>0.7</v>
      </c>
      <c r="H888" t="n">
        <v>0</v>
      </c>
      <c r="I888" t="n">
        <v>0</v>
      </c>
      <c r="J888" t="n">
        <v>0</v>
      </c>
      <c r="K888" t="n">
        <v>0</v>
      </c>
      <c r="L888" t="n">
        <v>0</v>
      </c>
      <c r="M888" t="n">
        <v>0</v>
      </c>
      <c r="N888" t="n">
        <v>0</v>
      </c>
      <c r="O888" t="n">
        <v>0</v>
      </c>
      <c r="P888" t="n">
        <v>0</v>
      </c>
      <c r="Q888" t="n">
        <v>0</v>
      </c>
      <c r="R888" s="2" t="inlineStr"/>
    </row>
    <row r="889" ht="15" customHeight="1">
      <c r="A889" t="inlineStr">
        <is>
          <t>A 30727-2024</t>
        </is>
      </c>
      <c r="B889" s="1" t="n">
        <v>45496</v>
      </c>
      <c r="C889" s="1" t="n">
        <v>45576</v>
      </c>
      <c r="D889" t="inlineStr">
        <is>
          <t>DALARNAS LÄN</t>
        </is>
      </c>
      <c r="E889" t="inlineStr">
        <is>
          <t>ÄLVDALEN</t>
        </is>
      </c>
      <c r="F889" t="inlineStr">
        <is>
          <t>Allmännings- och besparingsskogar</t>
        </is>
      </c>
      <c r="G889" t="n">
        <v>35.7</v>
      </c>
      <c r="H889" t="n">
        <v>0</v>
      </c>
      <c r="I889" t="n">
        <v>0</v>
      </c>
      <c r="J889" t="n">
        <v>0</v>
      </c>
      <c r="K889" t="n">
        <v>0</v>
      </c>
      <c r="L889" t="n">
        <v>0</v>
      </c>
      <c r="M889" t="n">
        <v>0</v>
      </c>
      <c r="N889" t="n">
        <v>0</v>
      </c>
      <c r="O889" t="n">
        <v>0</v>
      </c>
      <c r="P889" t="n">
        <v>0</v>
      </c>
      <c r="Q889" t="n">
        <v>0</v>
      </c>
      <c r="R889" s="2" t="inlineStr"/>
    </row>
    <row r="890" ht="15" customHeight="1">
      <c r="A890" t="inlineStr">
        <is>
          <t>A 30816-2024</t>
        </is>
      </c>
      <c r="B890" s="1" t="n">
        <v>45497</v>
      </c>
      <c r="C890" s="1" t="n">
        <v>45576</v>
      </c>
      <c r="D890" t="inlineStr">
        <is>
          <t>DALARNAS LÄN</t>
        </is>
      </c>
      <c r="E890" t="inlineStr">
        <is>
          <t>ÄLVDALEN</t>
        </is>
      </c>
      <c r="G890" t="n">
        <v>4.1</v>
      </c>
      <c r="H890" t="n">
        <v>0</v>
      </c>
      <c r="I890" t="n">
        <v>0</v>
      </c>
      <c r="J890" t="n">
        <v>0</v>
      </c>
      <c r="K890" t="n">
        <v>0</v>
      </c>
      <c r="L890" t="n">
        <v>0</v>
      </c>
      <c r="M890" t="n">
        <v>0</v>
      </c>
      <c r="N890" t="n">
        <v>0</v>
      </c>
      <c r="O890" t="n">
        <v>0</v>
      </c>
      <c r="P890" t="n">
        <v>0</v>
      </c>
      <c r="Q890" t="n">
        <v>0</v>
      </c>
      <c r="R890" s="2" t="inlineStr"/>
    </row>
    <row r="891" ht="15" customHeight="1">
      <c r="A891" t="inlineStr">
        <is>
          <t>A 30927-2024</t>
        </is>
      </c>
      <c r="B891" s="1" t="n">
        <v>45498</v>
      </c>
      <c r="C891" s="1" t="n">
        <v>45576</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30926-2024</t>
        </is>
      </c>
      <c r="B892" s="1" t="n">
        <v>45498</v>
      </c>
      <c r="C892" s="1" t="n">
        <v>45576</v>
      </c>
      <c r="D892" t="inlineStr">
        <is>
          <t>DALARNAS LÄN</t>
        </is>
      </c>
      <c r="E892" t="inlineStr">
        <is>
          <t>ÄLVDALEN</t>
        </is>
      </c>
      <c r="G892" t="n">
        <v>6.5</v>
      </c>
      <c r="H892" t="n">
        <v>0</v>
      </c>
      <c r="I892" t="n">
        <v>0</v>
      </c>
      <c r="J892" t="n">
        <v>0</v>
      </c>
      <c r="K892" t="n">
        <v>0</v>
      </c>
      <c r="L892" t="n">
        <v>0</v>
      </c>
      <c r="M892" t="n">
        <v>0</v>
      </c>
      <c r="N892" t="n">
        <v>0</v>
      </c>
      <c r="O892" t="n">
        <v>0</v>
      </c>
      <c r="P892" t="n">
        <v>0</v>
      </c>
      <c r="Q892" t="n">
        <v>0</v>
      </c>
      <c r="R892" s="2" t="inlineStr"/>
    </row>
    <row r="893" ht="15" customHeight="1">
      <c r="A893" t="inlineStr">
        <is>
          <t>A 31047-2024</t>
        </is>
      </c>
      <c r="B893" s="1" t="n">
        <v>45502</v>
      </c>
      <c r="C893" s="1" t="n">
        <v>45576</v>
      </c>
      <c r="D893" t="inlineStr">
        <is>
          <t>DALARNAS LÄN</t>
        </is>
      </c>
      <c r="E893" t="inlineStr">
        <is>
          <t>ÄLVDALEN</t>
        </is>
      </c>
      <c r="F893" t="inlineStr">
        <is>
          <t>Sveaskog</t>
        </is>
      </c>
      <c r="G893" t="n">
        <v>8</v>
      </c>
      <c r="H893" t="n">
        <v>0</v>
      </c>
      <c r="I893" t="n">
        <v>0</v>
      </c>
      <c r="J893" t="n">
        <v>0</v>
      </c>
      <c r="K893" t="n">
        <v>0</v>
      </c>
      <c r="L893" t="n">
        <v>0</v>
      </c>
      <c r="M893" t="n">
        <v>0</v>
      </c>
      <c r="N893" t="n">
        <v>0</v>
      </c>
      <c r="O893" t="n">
        <v>0</v>
      </c>
      <c r="P893" t="n">
        <v>0</v>
      </c>
      <c r="Q893" t="n">
        <v>0</v>
      </c>
      <c r="R893" s="2" t="inlineStr"/>
    </row>
    <row r="894" ht="15" customHeight="1">
      <c r="A894" t="inlineStr">
        <is>
          <t>A 31145-2024</t>
        </is>
      </c>
      <c r="B894" s="1" t="n">
        <v>45502</v>
      </c>
      <c r="C894" s="1" t="n">
        <v>45576</v>
      </c>
      <c r="D894" t="inlineStr">
        <is>
          <t>DALARNAS LÄN</t>
        </is>
      </c>
      <c r="E894" t="inlineStr">
        <is>
          <t>ÄLVDALEN</t>
        </is>
      </c>
      <c r="G894" t="n">
        <v>1.2</v>
      </c>
      <c r="H894" t="n">
        <v>0</v>
      </c>
      <c r="I894" t="n">
        <v>0</v>
      </c>
      <c r="J894" t="n">
        <v>0</v>
      </c>
      <c r="K894" t="n">
        <v>0</v>
      </c>
      <c r="L894" t="n">
        <v>0</v>
      </c>
      <c r="M894" t="n">
        <v>0</v>
      </c>
      <c r="N894" t="n">
        <v>0</v>
      </c>
      <c r="O894" t="n">
        <v>0</v>
      </c>
      <c r="P894" t="n">
        <v>0</v>
      </c>
      <c r="Q894" t="n">
        <v>0</v>
      </c>
      <c r="R894" s="2" t="inlineStr"/>
    </row>
    <row r="895" ht="15" customHeight="1">
      <c r="A895" t="inlineStr">
        <is>
          <t>A 31260-2024</t>
        </is>
      </c>
      <c r="B895" s="1" t="n">
        <v>45503</v>
      </c>
      <c r="C895" s="1" t="n">
        <v>45576</v>
      </c>
      <c r="D895" t="inlineStr">
        <is>
          <t>DALARNAS LÄN</t>
        </is>
      </c>
      <c r="E895" t="inlineStr">
        <is>
          <t>ÄLVDALEN</t>
        </is>
      </c>
      <c r="G895" t="n">
        <v>4.7</v>
      </c>
      <c r="H895" t="n">
        <v>0</v>
      </c>
      <c r="I895" t="n">
        <v>0</v>
      </c>
      <c r="J895" t="n">
        <v>0</v>
      </c>
      <c r="K895" t="n">
        <v>0</v>
      </c>
      <c r="L895" t="n">
        <v>0</v>
      </c>
      <c r="M895" t="n">
        <v>0</v>
      </c>
      <c r="N895" t="n">
        <v>0</v>
      </c>
      <c r="O895" t="n">
        <v>0</v>
      </c>
      <c r="P895" t="n">
        <v>0</v>
      </c>
      <c r="Q895" t="n">
        <v>0</v>
      </c>
      <c r="R895" s="2" t="inlineStr"/>
    </row>
    <row r="896" ht="15" customHeight="1">
      <c r="A896" t="inlineStr">
        <is>
          <t>A 31690-2024</t>
        </is>
      </c>
      <c r="B896" s="1" t="n">
        <v>45507</v>
      </c>
      <c r="C896" s="1" t="n">
        <v>45576</v>
      </c>
      <c r="D896" t="inlineStr">
        <is>
          <t>DALARNAS LÄN</t>
        </is>
      </c>
      <c r="E896" t="inlineStr">
        <is>
          <t>ÄLVDALEN</t>
        </is>
      </c>
      <c r="G896" t="n">
        <v>2.3</v>
      </c>
      <c r="H896" t="n">
        <v>0</v>
      </c>
      <c r="I896" t="n">
        <v>0</v>
      </c>
      <c r="J896" t="n">
        <v>0</v>
      </c>
      <c r="K896" t="n">
        <v>0</v>
      </c>
      <c r="L896" t="n">
        <v>0</v>
      </c>
      <c r="M896" t="n">
        <v>0</v>
      </c>
      <c r="N896" t="n">
        <v>0</v>
      </c>
      <c r="O896" t="n">
        <v>0</v>
      </c>
      <c r="P896" t="n">
        <v>0</v>
      </c>
      <c r="Q896" t="n">
        <v>0</v>
      </c>
      <c r="R896" s="2" t="inlineStr"/>
    </row>
    <row r="897" ht="15" customHeight="1">
      <c r="A897" t="inlineStr">
        <is>
          <t>A 31763-2024</t>
        </is>
      </c>
      <c r="B897" s="1" t="n">
        <v>45509</v>
      </c>
      <c r="C897" s="1" t="n">
        <v>45576</v>
      </c>
      <c r="D897" t="inlineStr">
        <is>
          <t>DALARNAS LÄN</t>
        </is>
      </c>
      <c r="E897" t="inlineStr">
        <is>
          <t>ÄLVDALEN</t>
        </is>
      </c>
      <c r="F897" t="inlineStr">
        <is>
          <t>Allmännings- och besparingsskogar</t>
        </is>
      </c>
      <c r="G897" t="n">
        <v>25</v>
      </c>
      <c r="H897" t="n">
        <v>0</v>
      </c>
      <c r="I897" t="n">
        <v>0</v>
      </c>
      <c r="J897" t="n">
        <v>0</v>
      </c>
      <c r="K897" t="n">
        <v>0</v>
      </c>
      <c r="L897" t="n">
        <v>0</v>
      </c>
      <c r="M897" t="n">
        <v>0</v>
      </c>
      <c r="N897" t="n">
        <v>0</v>
      </c>
      <c r="O897" t="n">
        <v>0</v>
      </c>
      <c r="P897" t="n">
        <v>0</v>
      </c>
      <c r="Q897" t="n">
        <v>0</v>
      </c>
      <c r="R897" s="2" t="inlineStr"/>
    </row>
    <row r="898" ht="15" customHeight="1">
      <c r="A898" t="inlineStr">
        <is>
          <t>A 31748-2024</t>
        </is>
      </c>
      <c r="B898" s="1" t="n">
        <v>45509</v>
      </c>
      <c r="C898" s="1" t="n">
        <v>45576</v>
      </c>
      <c r="D898" t="inlineStr">
        <is>
          <t>DALARNAS LÄN</t>
        </is>
      </c>
      <c r="E898" t="inlineStr">
        <is>
          <t>ÄLVDALEN</t>
        </is>
      </c>
      <c r="F898" t="inlineStr">
        <is>
          <t>Allmännings- och besparingsskogar</t>
        </is>
      </c>
      <c r="G898" t="n">
        <v>18.6</v>
      </c>
      <c r="H898" t="n">
        <v>0</v>
      </c>
      <c r="I898" t="n">
        <v>0</v>
      </c>
      <c r="J898" t="n">
        <v>0</v>
      </c>
      <c r="K898" t="n">
        <v>0</v>
      </c>
      <c r="L898" t="n">
        <v>0</v>
      </c>
      <c r="M898" t="n">
        <v>0</v>
      </c>
      <c r="N898" t="n">
        <v>0</v>
      </c>
      <c r="O898" t="n">
        <v>0</v>
      </c>
      <c r="P898" t="n">
        <v>0</v>
      </c>
      <c r="Q898" t="n">
        <v>0</v>
      </c>
      <c r="R898" s="2" t="inlineStr"/>
    </row>
    <row r="899" ht="15" customHeight="1">
      <c r="A899" t="inlineStr">
        <is>
          <t>A 32187-2024</t>
        </is>
      </c>
      <c r="B899" s="1" t="n">
        <v>45511</v>
      </c>
      <c r="C899" s="1" t="n">
        <v>45576</v>
      </c>
      <c r="D899" t="inlineStr">
        <is>
          <t>DALARNAS LÄN</t>
        </is>
      </c>
      <c r="E899" t="inlineStr">
        <is>
          <t>ÄLVDALEN</t>
        </is>
      </c>
      <c r="F899" t="inlineStr">
        <is>
          <t>Allmännings- och besparingsskogar</t>
        </is>
      </c>
      <c r="G899" t="n">
        <v>20</v>
      </c>
      <c r="H899" t="n">
        <v>0</v>
      </c>
      <c r="I899" t="n">
        <v>0</v>
      </c>
      <c r="J899" t="n">
        <v>0</v>
      </c>
      <c r="K899" t="n">
        <v>0</v>
      </c>
      <c r="L899" t="n">
        <v>0</v>
      </c>
      <c r="M899" t="n">
        <v>0</v>
      </c>
      <c r="N899" t="n">
        <v>0</v>
      </c>
      <c r="O899" t="n">
        <v>0</v>
      </c>
      <c r="P899" t="n">
        <v>0</v>
      </c>
      <c r="Q899" t="n">
        <v>0</v>
      </c>
      <c r="R899" s="2" t="inlineStr"/>
    </row>
    <row r="900" ht="15" customHeight="1">
      <c r="A900" t="inlineStr">
        <is>
          <t>A 32361-2024</t>
        </is>
      </c>
      <c r="B900" s="1" t="n">
        <v>45512</v>
      </c>
      <c r="C900" s="1" t="n">
        <v>45576</v>
      </c>
      <c r="D900" t="inlineStr">
        <is>
          <t>DALARNAS LÄN</t>
        </is>
      </c>
      <c r="E900" t="inlineStr">
        <is>
          <t>ÄLVDALEN</t>
        </is>
      </c>
      <c r="F900" t="inlineStr">
        <is>
          <t>Sveaskog</t>
        </is>
      </c>
      <c r="G900" t="n">
        <v>1.7</v>
      </c>
      <c r="H900" t="n">
        <v>0</v>
      </c>
      <c r="I900" t="n">
        <v>0</v>
      </c>
      <c r="J900" t="n">
        <v>0</v>
      </c>
      <c r="K900" t="n">
        <v>0</v>
      </c>
      <c r="L900" t="n">
        <v>0</v>
      </c>
      <c r="M900" t="n">
        <v>0</v>
      </c>
      <c r="N900" t="n">
        <v>0</v>
      </c>
      <c r="O900" t="n">
        <v>0</v>
      </c>
      <c r="P900" t="n">
        <v>0</v>
      </c>
      <c r="Q900" t="n">
        <v>0</v>
      </c>
      <c r="R900" s="2" t="inlineStr"/>
    </row>
    <row r="901" ht="15" customHeight="1">
      <c r="A901" t="inlineStr">
        <is>
          <t>A 32363-2024</t>
        </is>
      </c>
      <c r="B901" s="1" t="n">
        <v>45512</v>
      </c>
      <c r="C901" s="1" t="n">
        <v>45576</v>
      </c>
      <c r="D901" t="inlineStr">
        <is>
          <t>DALARNAS LÄN</t>
        </is>
      </c>
      <c r="E901" t="inlineStr">
        <is>
          <t>ÄLVDALEN</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32359-2024</t>
        </is>
      </c>
      <c r="B902" s="1" t="n">
        <v>45512</v>
      </c>
      <c r="C902" s="1" t="n">
        <v>45576</v>
      </c>
      <c r="D902" t="inlineStr">
        <is>
          <t>DALARNAS LÄN</t>
        </is>
      </c>
      <c r="E902" t="inlineStr">
        <is>
          <t>ÄLVDALEN</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32740-2024</t>
        </is>
      </c>
      <c r="B903" s="1" t="n">
        <v>45516</v>
      </c>
      <c r="C903" s="1" t="n">
        <v>45576</v>
      </c>
      <c r="D903" t="inlineStr">
        <is>
          <t>DALARNAS LÄN</t>
        </is>
      </c>
      <c r="E903" t="inlineStr">
        <is>
          <t>ÄLVDALEN</t>
        </is>
      </c>
      <c r="G903" t="n">
        <v>2.1</v>
      </c>
      <c r="H903" t="n">
        <v>0</v>
      </c>
      <c r="I903" t="n">
        <v>0</v>
      </c>
      <c r="J903" t="n">
        <v>0</v>
      </c>
      <c r="K903" t="n">
        <v>0</v>
      </c>
      <c r="L903" t="n">
        <v>0</v>
      </c>
      <c r="M903" t="n">
        <v>0</v>
      </c>
      <c r="N903" t="n">
        <v>0</v>
      </c>
      <c r="O903" t="n">
        <v>0</v>
      </c>
      <c r="P903" t="n">
        <v>0</v>
      </c>
      <c r="Q903" t="n">
        <v>0</v>
      </c>
      <c r="R903" s="2" t="inlineStr"/>
    </row>
    <row r="904" ht="15" customHeight="1">
      <c r="A904" t="inlineStr">
        <is>
          <t>A 33905-2024</t>
        </is>
      </c>
      <c r="B904" s="1" t="n">
        <v>45523</v>
      </c>
      <c r="C904" s="1" t="n">
        <v>45576</v>
      </c>
      <c r="D904" t="inlineStr">
        <is>
          <t>DALARNAS LÄN</t>
        </is>
      </c>
      <c r="E904" t="inlineStr">
        <is>
          <t>ÄLVDALEN</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34026-2024</t>
        </is>
      </c>
      <c r="B905" s="1" t="n">
        <v>45523</v>
      </c>
      <c r="C905" s="1" t="n">
        <v>45576</v>
      </c>
      <c r="D905" t="inlineStr">
        <is>
          <t>DALARNAS LÄN</t>
        </is>
      </c>
      <c r="E905" t="inlineStr">
        <is>
          <t>ÄLVDALEN</t>
        </is>
      </c>
      <c r="F905" t="inlineStr">
        <is>
          <t>Övriga Aktiebolag</t>
        </is>
      </c>
      <c r="G905" t="n">
        <v>18.3</v>
      </c>
      <c r="H905" t="n">
        <v>0</v>
      </c>
      <c r="I905" t="n">
        <v>0</v>
      </c>
      <c r="J905" t="n">
        <v>0</v>
      </c>
      <c r="K905" t="n">
        <v>0</v>
      </c>
      <c r="L905" t="n">
        <v>0</v>
      </c>
      <c r="M905" t="n">
        <v>0</v>
      </c>
      <c r="N905" t="n">
        <v>0</v>
      </c>
      <c r="O905" t="n">
        <v>0</v>
      </c>
      <c r="P905" t="n">
        <v>0</v>
      </c>
      <c r="Q905" t="n">
        <v>0</v>
      </c>
      <c r="R905" s="2" t="inlineStr"/>
    </row>
    <row r="906" ht="15" customHeight="1">
      <c r="A906" t="inlineStr">
        <is>
          <t>A 34151-2024</t>
        </is>
      </c>
      <c r="B906" s="1" t="n">
        <v>45524</v>
      </c>
      <c r="C906" s="1" t="n">
        <v>45576</v>
      </c>
      <c r="D906" t="inlineStr">
        <is>
          <t>DALARNAS LÄN</t>
        </is>
      </c>
      <c r="E906" t="inlineStr">
        <is>
          <t>ÄLVDALEN</t>
        </is>
      </c>
      <c r="F906" t="inlineStr">
        <is>
          <t>Sveaskog</t>
        </is>
      </c>
      <c r="G906" t="n">
        <v>3.6</v>
      </c>
      <c r="H906" t="n">
        <v>0</v>
      </c>
      <c r="I906" t="n">
        <v>0</v>
      </c>
      <c r="J906" t="n">
        <v>0</v>
      </c>
      <c r="K906" t="n">
        <v>0</v>
      </c>
      <c r="L906" t="n">
        <v>0</v>
      </c>
      <c r="M906" t="n">
        <v>0</v>
      </c>
      <c r="N906" t="n">
        <v>0</v>
      </c>
      <c r="O906" t="n">
        <v>0</v>
      </c>
      <c r="P906" t="n">
        <v>0</v>
      </c>
      <c r="Q906" t="n">
        <v>0</v>
      </c>
      <c r="R906" s="2" t="inlineStr"/>
    </row>
    <row r="907" ht="15" customHeight="1">
      <c r="A907" t="inlineStr">
        <is>
          <t>A 34211-2024</t>
        </is>
      </c>
      <c r="B907" s="1" t="n">
        <v>45524</v>
      </c>
      <c r="C907" s="1" t="n">
        <v>45576</v>
      </c>
      <c r="D907" t="inlineStr">
        <is>
          <t>DALARNAS LÄN</t>
        </is>
      </c>
      <c r="E907" t="inlineStr">
        <is>
          <t>ÄLVDALEN</t>
        </is>
      </c>
      <c r="F907" t="inlineStr">
        <is>
          <t>Sveaskog</t>
        </is>
      </c>
      <c r="G907" t="n">
        <v>30.4</v>
      </c>
      <c r="H907" t="n">
        <v>0</v>
      </c>
      <c r="I907" t="n">
        <v>0</v>
      </c>
      <c r="J907" t="n">
        <v>0</v>
      </c>
      <c r="K907" t="n">
        <v>0</v>
      </c>
      <c r="L907" t="n">
        <v>0</v>
      </c>
      <c r="M907" t="n">
        <v>0</v>
      </c>
      <c r="N907" t="n">
        <v>0</v>
      </c>
      <c r="O907" t="n">
        <v>0</v>
      </c>
      <c r="P907" t="n">
        <v>0</v>
      </c>
      <c r="Q907" t="n">
        <v>0</v>
      </c>
      <c r="R907" s="2" t="inlineStr"/>
    </row>
    <row r="908" ht="15" customHeight="1">
      <c r="A908" t="inlineStr">
        <is>
          <t>A 34232-2024</t>
        </is>
      </c>
      <c r="B908" s="1" t="n">
        <v>45524</v>
      </c>
      <c r="C908" s="1" t="n">
        <v>45576</v>
      </c>
      <c r="D908" t="inlineStr">
        <is>
          <t>DALARNAS LÄN</t>
        </is>
      </c>
      <c r="E908" t="inlineStr">
        <is>
          <t>ÄLVDALEN</t>
        </is>
      </c>
      <c r="G908" t="n">
        <v>6.2</v>
      </c>
      <c r="H908" t="n">
        <v>0</v>
      </c>
      <c r="I908" t="n">
        <v>0</v>
      </c>
      <c r="J908" t="n">
        <v>0</v>
      </c>
      <c r="K908" t="n">
        <v>0</v>
      </c>
      <c r="L908" t="n">
        <v>0</v>
      </c>
      <c r="M908" t="n">
        <v>0</v>
      </c>
      <c r="N908" t="n">
        <v>0</v>
      </c>
      <c r="O908" t="n">
        <v>0</v>
      </c>
      <c r="P908" t="n">
        <v>0</v>
      </c>
      <c r="Q908" t="n">
        <v>0</v>
      </c>
      <c r="R908" s="2" t="inlineStr"/>
    </row>
    <row r="909" ht="15" customHeight="1">
      <c r="A909" t="inlineStr">
        <is>
          <t>A 34562-2024</t>
        </is>
      </c>
      <c r="B909" s="1" t="n">
        <v>45526</v>
      </c>
      <c r="C909" s="1" t="n">
        <v>45576</v>
      </c>
      <c r="D909" t="inlineStr">
        <is>
          <t>DALARNAS LÄN</t>
        </is>
      </c>
      <c r="E909" t="inlineStr">
        <is>
          <t>ÄLVDALEN</t>
        </is>
      </c>
      <c r="F909" t="inlineStr">
        <is>
          <t>Allmännings- och besparingsskogar</t>
        </is>
      </c>
      <c r="G909" t="n">
        <v>29.5</v>
      </c>
      <c r="H909" t="n">
        <v>0</v>
      </c>
      <c r="I909" t="n">
        <v>0</v>
      </c>
      <c r="J909" t="n">
        <v>0</v>
      </c>
      <c r="K909" t="n">
        <v>0</v>
      </c>
      <c r="L909" t="n">
        <v>0</v>
      </c>
      <c r="M909" t="n">
        <v>0</v>
      </c>
      <c r="N909" t="n">
        <v>0</v>
      </c>
      <c r="O909" t="n">
        <v>0</v>
      </c>
      <c r="P909" t="n">
        <v>0</v>
      </c>
      <c r="Q909" t="n">
        <v>0</v>
      </c>
      <c r="R909" s="2" t="inlineStr"/>
    </row>
    <row r="910" ht="15" customHeight="1">
      <c r="A910" t="inlineStr">
        <is>
          <t>A 35109-2024</t>
        </is>
      </c>
      <c r="B910" s="1" t="n">
        <v>45529</v>
      </c>
      <c r="C910" s="1" t="n">
        <v>45576</v>
      </c>
      <c r="D910" t="inlineStr">
        <is>
          <t>DALARNAS LÄN</t>
        </is>
      </c>
      <c r="E910" t="inlineStr">
        <is>
          <t>ÄLVDALEN</t>
        </is>
      </c>
      <c r="G910" t="n">
        <v>1.8</v>
      </c>
      <c r="H910" t="n">
        <v>0</v>
      </c>
      <c r="I910" t="n">
        <v>0</v>
      </c>
      <c r="J910" t="n">
        <v>0</v>
      </c>
      <c r="K910" t="n">
        <v>0</v>
      </c>
      <c r="L910" t="n">
        <v>0</v>
      </c>
      <c r="M910" t="n">
        <v>0</v>
      </c>
      <c r="N910" t="n">
        <v>0</v>
      </c>
      <c r="O910" t="n">
        <v>0</v>
      </c>
      <c r="P910" t="n">
        <v>0</v>
      </c>
      <c r="Q910" t="n">
        <v>0</v>
      </c>
      <c r="R910" s="2" t="inlineStr"/>
    </row>
    <row r="911" ht="15" customHeight="1">
      <c r="A911" t="inlineStr">
        <is>
          <t>A 35659-2024</t>
        </is>
      </c>
      <c r="B911" s="1" t="n">
        <v>45532</v>
      </c>
      <c r="C911" s="1" t="n">
        <v>45576</v>
      </c>
      <c r="D911" t="inlineStr">
        <is>
          <t>DALARNAS LÄN</t>
        </is>
      </c>
      <c r="E911" t="inlineStr">
        <is>
          <t>ÄLVDALEN</t>
        </is>
      </c>
      <c r="F911" t="inlineStr">
        <is>
          <t>Allmännings- och besparingsskogar</t>
        </is>
      </c>
      <c r="G911" t="n">
        <v>26.9</v>
      </c>
      <c r="H911" t="n">
        <v>0</v>
      </c>
      <c r="I911" t="n">
        <v>0</v>
      </c>
      <c r="J911" t="n">
        <v>0</v>
      </c>
      <c r="K911" t="n">
        <v>0</v>
      </c>
      <c r="L911" t="n">
        <v>0</v>
      </c>
      <c r="M911" t="n">
        <v>0</v>
      </c>
      <c r="N911" t="n">
        <v>0</v>
      </c>
      <c r="O911" t="n">
        <v>0</v>
      </c>
      <c r="P911" t="n">
        <v>0</v>
      </c>
      <c r="Q911" t="n">
        <v>0</v>
      </c>
      <c r="R911" s="2" t="inlineStr"/>
    </row>
    <row r="912" ht="15" customHeight="1">
      <c r="A912" t="inlineStr">
        <is>
          <t>A 36179-2024</t>
        </is>
      </c>
      <c r="B912" s="1" t="n">
        <v>45534</v>
      </c>
      <c r="C912" s="1" t="n">
        <v>45576</v>
      </c>
      <c r="D912" t="inlineStr">
        <is>
          <t>DALARNAS LÄN</t>
        </is>
      </c>
      <c r="E912" t="inlineStr">
        <is>
          <t>ÄLVDALEN</t>
        </is>
      </c>
      <c r="F912" t="inlineStr">
        <is>
          <t>Allmännings- och besparingsskogar</t>
        </is>
      </c>
      <c r="G912" t="n">
        <v>1</v>
      </c>
      <c r="H912" t="n">
        <v>0</v>
      </c>
      <c r="I912" t="n">
        <v>0</v>
      </c>
      <c r="J912" t="n">
        <v>0</v>
      </c>
      <c r="K912" t="n">
        <v>0</v>
      </c>
      <c r="L912" t="n">
        <v>0</v>
      </c>
      <c r="M912" t="n">
        <v>0</v>
      </c>
      <c r="N912" t="n">
        <v>0</v>
      </c>
      <c r="O912" t="n">
        <v>0</v>
      </c>
      <c r="P912" t="n">
        <v>0</v>
      </c>
      <c r="Q912" t="n">
        <v>0</v>
      </c>
      <c r="R912" s="2" t="inlineStr"/>
    </row>
    <row r="913" ht="15" customHeight="1">
      <c r="A913" t="inlineStr">
        <is>
          <t>A 36284-2024</t>
        </is>
      </c>
      <c r="B913" s="1" t="n">
        <v>45534</v>
      </c>
      <c r="C913" s="1" t="n">
        <v>45576</v>
      </c>
      <c r="D913" t="inlineStr">
        <is>
          <t>DALARNAS LÄN</t>
        </is>
      </c>
      <c r="E913" t="inlineStr">
        <is>
          <t>ÄLVDALEN</t>
        </is>
      </c>
      <c r="G913" t="n">
        <v>3.4</v>
      </c>
      <c r="H913" t="n">
        <v>0</v>
      </c>
      <c r="I913" t="n">
        <v>0</v>
      </c>
      <c r="J913" t="n">
        <v>0</v>
      </c>
      <c r="K913" t="n">
        <v>0</v>
      </c>
      <c r="L913" t="n">
        <v>0</v>
      </c>
      <c r="M913" t="n">
        <v>0</v>
      </c>
      <c r="N913" t="n">
        <v>0</v>
      </c>
      <c r="O913" t="n">
        <v>0</v>
      </c>
      <c r="P913" t="n">
        <v>0</v>
      </c>
      <c r="Q913" t="n">
        <v>0</v>
      </c>
      <c r="R913" s="2" t="inlineStr"/>
    </row>
    <row r="914" ht="15" customHeight="1">
      <c r="A914" t="inlineStr">
        <is>
          <t>A 36285-2024</t>
        </is>
      </c>
      <c r="B914" s="1" t="n">
        <v>45534</v>
      </c>
      <c r="C914" s="1" t="n">
        <v>45576</v>
      </c>
      <c r="D914" t="inlineStr">
        <is>
          <t>DALARNAS LÄN</t>
        </is>
      </c>
      <c r="E914" t="inlineStr">
        <is>
          <t>ÄLVDALEN</t>
        </is>
      </c>
      <c r="G914" t="n">
        <v>4.9</v>
      </c>
      <c r="H914" t="n">
        <v>0</v>
      </c>
      <c r="I914" t="n">
        <v>0</v>
      </c>
      <c r="J914" t="n">
        <v>0</v>
      </c>
      <c r="K914" t="n">
        <v>0</v>
      </c>
      <c r="L914" t="n">
        <v>0</v>
      </c>
      <c r="M914" t="n">
        <v>0</v>
      </c>
      <c r="N914" t="n">
        <v>0</v>
      </c>
      <c r="O914" t="n">
        <v>0</v>
      </c>
      <c r="P914" t="n">
        <v>0</v>
      </c>
      <c r="Q914" t="n">
        <v>0</v>
      </c>
      <c r="R914" s="2" t="inlineStr"/>
    </row>
    <row r="915" ht="15" customHeight="1">
      <c r="A915" t="inlineStr">
        <is>
          <t>A 36385-2024</t>
        </is>
      </c>
      <c r="B915" s="1" t="n">
        <v>45534</v>
      </c>
      <c r="C915" s="1" t="n">
        <v>45576</v>
      </c>
      <c r="D915" t="inlineStr">
        <is>
          <t>DALARNAS LÄN</t>
        </is>
      </c>
      <c r="E915" t="inlineStr">
        <is>
          <t>ÄLVDALEN</t>
        </is>
      </c>
      <c r="G915" t="n">
        <v>3.2</v>
      </c>
      <c r="H915" t="n">
        <v>0</v>
      </c>
      <c r="I915" t="n">
        <v>0</v>
      </c>
      <c r="J915" t="n">
        <v>0</v>
      </c>
      <c r="K915" t="n">
        <v>0</v>
      </c>
      <c r="L915" t="n">
        <v>0</v>
      </c>
      <c r="M915" t="n">
        <v>0</v>
      </c>
      <c r="N915" t="n">
        <v>0</v>
      </c>
      <c r="O915" t="n">
        <v>0</v>
      </c>
      <c r="P915" t="n">
        <v>0</v>
      </c>
      <c r="Q915" t="n">
        <v>0</v>
      </c>
      <c r="R915" s="2" t="inlineStr"/>
    </row>
    <row r="916" ht="15" customHeight="1">
      <c r="A916" t="inlineStr">
        <is>
          <t>A 36376-2024</t>
        </is>
      </c>
      <c r="B916" s="1" t="n">
        <v>45534</v>
      </c>
      <c r="C916" s="1" t="n">
        <v>45576</v>
      </c>
      <c r="D916" t="inlineStr">
        <is>
          <t>DALARNAS LÄN</t>
        </is>
      </c>
      <c r="E916" t="inlineStr">
        <is>
          <t>ÄLVDALEN</t>
        </is>
      </c>
      <c r="F916" t="inlineStr">
        <is>
          <t>Allmännings- och besparingsskogar</t>
        </is>
      </c>
      <c r="G916" t="n">
        <v>3.3</v>
      </c>
      <c r="H916" t="n">
        <v>0</v>
      </c>
      <c r="I916" t="n">
        <v>0</v>
      </c>
      <c r="J916" t="n">
        <v>0</v>
      </c>
      <c r="K916" t="n">
        <v>0</v>
      </c>
      <c r="L916" t="n">
        <v>0</v>
      </c>
      <c r="M916" t="n">
        <v>0</v>
      </c>
      <c r="N916" t="n">
        <v>0</v>
      </c>
      <c r="O916" t="n">
        <v>0</v>
      </c>
      <c r="P916" t="n">
        <v>0</v>
      </c>
      <c r="Q916" t="n">
        <v>0</v>
      </c>
      <c r="R916" s="2" t="inlineStr"/>
    </row>
    <row r="917" ht="15" customHeight="1">
      <c r="A917" t="inlineStr">
        <is>
          <t>A 36380-2024</t>
        </is>
      </c>
      <c r="B917" s="1" t="n">
        <v>45534</v>
      </c>
      <c r="C917" s="1" t="n">
        <v>45576</v>
      </c>
      <c r="D917" t="inlineStr">
        <is>
          <t>DALARNAS LÄN</t>
        </is>
      </c>
      <c r="E917" t="inlineStr">
        <is>
          <t>ÄLVDALEN</t>
        </is>
      </c>
      <c r="F917" t="inlineStr">
        <is>
          <t>Allmännings- och besparingsskogar</t>
        </is>
      </c>
      <c r="G917" t="n">
        <v>23.8</v>
      </c>
      <c r="H917" t="n">
        <v>0</v>
      </c>
      <c r="I917" t="n">
        <v>0</v>
      </c>
      <c r="J917" t="n">
        <v>0</v>
      </c>
      <c r="K917" t="n">
        <v>0</v>
      </c>
      <c r="L917" t="n">
        <v>0</v>
      </c>
      <c r="M917" t="n">
        <v>0</v>
      </c>
      <c r="N917" t="n">
        <v>0</v>
      </c>
      <c r="O917" t="n">
        <v>0</v>
      </c>
      <c r="P917" t="n">
        <v>0</v>
      </c>
      <c r="Q917" t="n">
        <v>0</v>
      </c>
      <c r="R917" s="2" t="inlineStr"/>
    </row>
    <row r="918" ht="15" customHeight="1">
      <c r="A918" t="inlineStr">
        <is>
          <t>A 36462-2024</t>
        </is>
      </c>
      <c r="B918" s="1" t="n">
        <v>45537</v>
      </c>
      <c r="C918" s="1" t="n">
        <v>45576</v>
      </c>
      <c r="D918" t="inlineStr">
        <is>
          <t>DALARNAS LÄN</t>
        </is>
      </c>
      <c r="E918" t="inlineStr">
        <is>
          <t>ÄLVDALEN</t>
        </is>
      </c>
      <c r="G918" t="n">
        <v>5</v>
      </c>
      <c r="H918" t="n">
        <v>0</v>
      </c>
      <c r="I918" t="n">
        <v>0</v>
      </c>
      <c r="J918" t="n">
        <v>0</v>
      </c>
      <c r="K918" t="n">
        <v>0</v>
      </c>
      <c r="L918" t="n">
        <v>0</v>
      </c>
      <c r="M918" t="n">
        <v>0</v>
      </c>
      <c r="N918" t="n">
        <v>0</v>
      </c>
      <c r="O918" t="n">
        <v>0</v>
      </c>
      <c r="P918" t="n">
        <v>0</v>
      </c>
      <c r="Q918" t="n">
        <v>0</v>
      </c>
      <c r="R918" s="2" t="inlineStr"/>
    </row>
    <row r="919" ht="15" customHeight="1">
      <c r="A919" t="inlineStr">
        <is>
          <t>A 36580-2024</t>
        </is>
      </c>
      <c r="B919" s="1" t="n">
        <v>45537</v>
      </c>
      <c r="C919" s="1" t="n">
        <v>45576</v>
      </c>
      <c r="D919" t="inlineStr">
        <is>
          <t>DALARNAS LÄN</t>
        </is>
      </c>
      <c r="E919" t="inlineStr">
        <is>
          <t>ÄLVDALEN</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36609-2024</t>
        </is>
      </c>
      <c r="B920" s="1" t="n">
        <v>45537</v>
      </c>
      <c r="C920" s="1" t="n">
        <v>45576</v>
      </c>
      <c r="D920" t="inlineStr">
        <is>
          <t>DALARNAS LÄN</t>
        </is>
      </c>
      <c r="E920" t="inlineStr">
        <is>
          <t>ÄLVDALEN</t>
        </is>
      </c>
      <c r="G920" t="n">
        <v>0.7</v>
      </c>
      <c r="H920" t="n">
        <v>0</v>
      </c>
      <c r="I920" t="n">
        <v>0</v>
      </c>
      <c r="J920" t="n">
        <v>0</v>
      </c>
      <c r="K920" t="n">
        <v>0</v>
      </c>
      <c r="L920" t="n">
        <v>0</v>
      </c>
      <c r="M920" t="n">
        <v>0</v>
      </c>
      <c r="N920" t="n">
        <v>0</v>
      </c>
      <c r="O920" t="n">
        <v>0</v>
      </c>
      <c r="P920" t="n">
        <v>0</v>
      </c>
      <c r="Q920" t="n">
        <v>0</v>
      </c>
      <c r="R920" s="2" t="inlineStr"/>
    </row>
    <row r="921" ht="15" customHeight="1">
      <c r="A921" t="inlineStr">
        <is>
          <t>A 36828-2024</t>
        </is>
      </c>
      <c r="B921" s="1" t="n">
        <v>45538</v>
      </c>
      <c r="C921" s="1" t="n">
        <v>45576</v>
      </c>
      <c r="D921" t="inlineStr">
        <is>
          <t>DALARNAS LÄN</t>
        </is>
      </c>
      <c r="E921" t="inlineStr">
        <is>
          <t>ÄLVDALEN</t>
        </is>
      </c>
      <c r="F921" t="inlineStr">
        <is>
          <t>Allmännings- och besparingsskogar</t>
        </is>
      </c>
      <c r="G921" t="n">
        <v>23</v>
      </c>
      <c r="H921" t="n">
        <v>0</v>
      </c>
      <c r="I921" t="n">
        <v>0</v>
      </c>
      <c r="J921" t="n">
        <v>0</v>
      </c>
      <c r="K921" t="n">
        <v>0</v>
      </c>
      <c r="L921" t="n">
        <v>0</v>
      </c>
      <c r="M921" t="n">
        <v>0</v>
      </c>
      <c r="N921" t="n">
        <v>0</v>
      </c>
      <c r="O921" t="n">
        <v>0</v>
      </c>
      <c r="P921" t="n">
        <v>0</v>
      </c>
      <c r="Q921" t="n">
        <v>0</v>
      </c>
      <c r="R921" s="2" t="inlineStr"/>
    </row>
    <row r="922" ht="15" customHeight="1">
      <c r="A922" t="inlineStr">
        <is>
          <t>A 37066-2024</t>
        </is>
      </c>
      <c r="B922" s="1" t="n">
        <v>45539</v>
      </c>
      <c r="C922" s="1" t="n">
        <v>45576</v>
      </c>
      <c r="D922" t="inlineStr">
        <is>
          <t>DALARNAS LÄN</t>
        </is>
      </c>
      <c r="E922" t="inlineStr">
        <is>
          <t>ÄLVDALEN</t>
        </is>
      </c>
      <c r="G922" t="n">
        <v>1</v>
      </c>
      <c r="H922" t="n">
        <v>0</v>
      </c>
      <c r="I922" t="n">
        <v>0</v>
      </c>
      <c r="J922" t="n">
        <v>0</v>
      </c>
      <c r="K922" t="n">
        <v>0</v>
      </c>
      <c r="L922" t="n">
        <v>0</v>
      </c>
      <c r="M922" t="n">
        <v>0</v>
      </c>
      <c r="N922" t="n">
        <v>0</v>
      </c>
      <c r="O922" t="n">
        <v>0</v>
      </c>
      <c r="P922" t="n">
        <v>0</v>
      </c>
      <c r="Q922" t="n">
        <v>0</v>
      </c>
      <c r="R922" s="2" t="inlineStr"/>
    </row>
    <row r="923" ht="15" customHeight="1">
      <c r="A923" t="inlineStr">
        <is>
          <t>A 37061-2024</t>
        </is>
      </c>
      <c r="B923" s="1" t="n">
        <v>45539</v>
      </c>
      <c r="C923" s="1" t="n">
        <v>45576</v>
      </c>
      <c r="D923" t="inlineStr">
        <is>
          <t>DALARNAS LÄN</t>
        </is>
      </c>
      <c r="E923" t="inlineStr">
        <is>
          <t>ÄLVDALEN</t>
        </is>
      </c>
      <c r="G923" t="n">
        <v>0.8</v>
      </c>
      <c r="H923" t="n">
        <v>0</v>
      </c>
      <c r="I923" t="n">
        <v>0</v>
      </c>
      <c r="J923" t="n">
        <v>0</v>
      </c>
      <c r="K923" t="n">
        <v>0</v>
      </c>
      <c r="L923" t="n">
        <v>0</v>
      </c>
      <c r="M923" t="n">
        <v>0</v>
      </c>
      <c r="N923" t="n">
        <v>0</v>
      </c>
      <c r="O923" t="n">
        <v>0</v>
      </c>
      <c r="P923" t="n">
        <v>0</v>
      </c>
      <c r="Q923" t="n">
        <v>0</v>
      </c>
      <c r="R923" s="2" t="inlineStr"/>
    </row>
    <row r="924" ht="15" customHeight="1">
      <c r="A924" t="inlineStr">
        <is>
          <t>A 37448-2024</t>
        </is>
      </c>
      <c r="B924" s="1" t="n">
        <v>45540</v>
      </c>
      <c r="C924" s="1" t="n">
        <v>45576</v>
      </c>
      <c r="D924" t="inlineStr">
        <is>
          <t>DALARNAS LÄN</t>
        </is>
      </c>
      <c r="E924" t="inlineStr">
        <is>
          <t>ÄLVDALEN</t>
        </is>
      </c>
      <c r="G924" t="n">
        <v>3.1</v>
      </c>
      <c r="H924" t="n">
        <v>0</v>
      </c>
      <c r="I924" t="n">
        <v>0</v>
      </c>
      <c r="J924" t="n">
        <v>0</v>
      </c>
      <c r="K924" t="n">
        <v>0</v>
      </c>
      <c r="L924" t="n">
        <v>0</v>
      </c>
      <c r="M924" t="n">
        <v>0</v>
      </c>
      <c r="N924" t="n">
        <v>0</v>
      </c>
      <c r="O924" t="n">
        <v>0</v>
      </c>
      <c r="P924" t="n">
        <v>0</v>
      </c>
      <c r="Q924" t="n">
        <v>0</v>
      </c>
      <c r="R924" s="2" t="inlineStr"/>
    </row>
    <row r="925" ht="15" customHeight="1">
      <c r="A925" t="inlineStr">
        <is>
          <t>A 37869-2024</t>
        </is>
      </c>
      <c r="B925" s="1" t="n">
        <v>45544</v>
      </c>
      <c r="C925" s="1" t="n">
        <v>45576</v>
      </c>
      <c r="D925" t="inlineStr">
        <is>
          <t>DALARNAS LÄN</t>
        </is>
      </c>
      <c r="E925" t="inlineStr">
        <is>
          <t>ÄLVDALEN</t>
        </is>
      </c>
      <c r="F925" t="inlineStr">
        <is>
          <t>Övriga Aktiebolag</t>
        </is>
      </c>
      <c r="G925" t="n">
        <v>15.6</v>
      </c>
      <c r="H925" t="n">
        <v>0</v>
      </c>
      <c r="I925" t="n">
        <v>0</v>
      </c>
      <c r="J925" t="n">
        <v>0</v>
      </c>
      <c r="K925" t="n">
        <v>0</v>
      </c>
      <c r="L925" t="n">
        <v>0</v>
      </c>
      <c r="M925" t="n">
        <v>0</v>
      </c>
      <c r="N925" t="n">
        <v>0</v>
      </c>
      <c r="O925" t="n">
        <v>0</v>
      </c>
      <c r="P925" t="n">
        <v>0</v>
      </c>
      <c r="Q925" t="n">
        <v>0</v>
      </c>
      <c r="R925" s="2" t="inlineStr"/>
    </row>
    <row r="926" ht="15" customHeight="1">
      <c r="A926" t="inlineStr">
        <is>
          <t>A 38277-2024</t>
        </is>
      </c>
      <c r="B926" s="1" t="n">
        <v>45545</v>
      </c>
      <c r="C926" s="1" t="n">
        <v>45576</v>
      </c>
      <c r="D926" t="inlineStr">
        <is>
          <t>DALARNAS LÄN</t>
        </is>
      </c>
      <c r="E926" t="inlineStr">
        <is>
          <t>ÄLVDALEN</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39006-2024</t>
        </is>
      </c>
      <c r="B927" s="1" t="n">
        <v>45548</v>
      </c>
      <c r="C927" s="1" t="n">
        <v>45576</v>
      </c>
      <c r="D927" t="inlineStr">
        <is>
          <t>DALARNAS LÄN</t>
        </is>
      </c>
      <c r="E927" t="inlineStr">
        <is>
          <t>ÄLVDALEN</t>
        </is>
      </c>
      <c r="G927" t="n">
        <v>2.3</v>
      </c>
      <c r="H927" t="n">
        <v>0</v>
      </c>
      <c r="I927" t="n">
        <v>0</v>
      </c>
      <c r="J927" t="n">
        <v>0</v>
      </c>
      <c r="K927" t="n">
        <v>0</v>
      </c>
      <c r="L927" t="n">
        <v>0</v>
      </c>
      <c r="M927" t="n">
        <v>0</v>
      </c>
      <c r="N927" t="n">
        <v>0</v>
      </c>
      <c r="O927" t="n">
        <v>0</v>
      </c>
      <c r="P927" t="n">
        <v>0</v>
      </c>
      <c r="Q927" t="n">
        <v>0</v>
      </c>
      <c r="R927" s="2" t="inlineStr"/>
    </row>
    <row r="928" ht="15" customHeight="1">
      <c r="A928" t="inlineStr">
        <is>
          <t>A 39010-2024</t>
        </is>
      </c>
      <c r="B928" s="1" t="n">
        <v>45548</v>
      </c>
      <c r="C928" s="1" t="n">
        <v>45576</v>
      </c>
      <c r="D928" t="inlineStr">
        <is>
          <t>DALARNAS LÄN</t>
        </is>
      </c>
      <c r="E928" t="inlineStr">
        <is>
          <t>ÄLVDALEN</t>
        </is>
      </c>
      <c r="G928" t="n">
        <v>1.7</v>
      </c>
      <c r="H928" t="n">
        <v>0</v>
      </c>
      <c r="I928" t="n">
        <v>0</v>
      </c>
      <c r="J928" t="n">
        <v>0</v>
      </c>
      <c r="K928" t="n">
        <v>0</v>
      </c>
      <c r="L928" t="n">
        <v>0</v>
      </c>
      <c r="M928" t="n">
        <v>0</v>
      </c>
      <c r="N928" t="n">
        <v>0</v>
      </c>
      <c r="O928" t="n">
        <v>0</v>
      </c>
      <c r="P928" t="n">
        <v>0</v>
      </c>
      <c r="Q928" t="n">
        <v>0</v>
      </c>
      <c r="R928" s="2" t="inlineStr"/>
    </row>
    <row r="929" ht="15" customHeight="1">
      <c r="A929" t="inlineStr">
        <is>
          <t>A 39227-2024</t>
        </is>
      </c>
      <c r="B929" s="1" t="n">
        <v>45550</v>
      </c>
      <c r="C929" s="1" t="n">
        <v>45576</v>
      </c>
      <c r="D929" t="inlineStr">
        <is>
          <t>DALARNAS LÄN</t>
        </is>
      </c>
      <c r="E929" t="inlineStr">
        <is>
          <t>ÄLVDALEN</t>
        </is>
      </c>
      <c r="G929" t="n">
        <v>0.2</v>
      </c>
      <c r="H929" t="n">
        <v>0</v>
      </c>
      <c r="I929" t="n">
        <v>0</v>
      </c>
      <c r="J929" t="n">
        <v>0</v>
      </c>
      <c r="K929" t="n">
        <v>0</v>
      </c>
      <c r="L929" t="n">
        <v>0</v>
      </c>
      <c r="M929" t="n">
        <v>0</v>
      </c>
      <c r="N929" t="n">
        <v>0</v>
      </c>
      <c r="O929" t="n">
        <v>0</v>
      </c>
      <c r="P929" t="n">
        <v>0</v>
      </c>
      <c r="Q929" t="n">
        <v>0</v>
      </c>
      <c r="R929" s="2" t="inlineStr"/>
    </row>
    <row r="930" ht="15" customHeight="1">
      <c r="A930" t="inlineStr">
        <is>
          <t>A 39283-2024</t>
        </is>
      </c>
      <c r="B930" s="1" t="n">
        <v>45551</v>
      </c>
      <c r="C930" s="1" t="n">
        <v>45576</v>
      </c>
      <c r="D930" t="inlineStr">
        <is>
          <t>DALARNAS LÄN</t>
        </is>
      </c>
      <c r="E930" t="inlineStr">
        <is>
          <t>ÄLVDALEN</t>
        </is>
      </c>
      <c r="G930" t="n">
        <v>0.6</v>
      </c>
      <c r="H930" t="n">
        <v>0</v>
      </c>
      <c r="I930" t="n">
        <v>0</v>
      </c>
      <c r="J930" t="n">
        <v>0</v>
      </c>
      <c r="K930" t="n">
        <v>0</v>
      </c>
      <c r="L930" t="n">
        <v>0</v>
      </c>
      <c r="M930" t="n">
        <v>0</v>
      </c>
      <c r="N930" t="n">
        <v>0</v>
      </c>
      <c r="O930" t="n">
        <v>0</v>
      </c>
      <c r="P930" t="n">
        <v>0</v>
      </c>
      <c r="Q930" t="n">
        <v>0</v>
      </c>
      <c r="R930" s="2" t="inlineStr"/>
    </row>
    <row r="931" ht="15" customHeight="1">
      <c r="A931" t="inlineStr">
        <is>
          <t>A 40120-2024</t>
        </is>
      </c>
      <c r="B931" s="1" t="n">
        <v>45554</v>
      </c>
      <c r="C931" s="1" t="n">
        <v>45576</v>
      </c>
      <c r="D931" t="inlineStr">
        <is>
          <t>DALARNAS LÄN</t>
        </is>
      </c>
      <c r="E931" t="inlineStr">
        <is>
          <t>ÄLVDALEN</t>
        </is>
      </c>
      <c r="G931" t="n">
        <v>5.1</v>
      </c>
      <c r="H931" t="n">
        <v>0</v>
      </c>
      <c r="I931" t="n">
        <v>0</v>
      </c>
      <c r="J931" t="n">
        <v>0</v>
      </c>
      <c r="K931" t="n">
        <v>0</v>
      </c>
      <c r="L931" t="n">
        <v>0</v>
      </c>
      <c r="M931" t="n">
        <v>0</v>
      </c>
      <c r="N931" t="n">
        <v>0</v>
      </c>
      <c r="O931" t="n">
        <v>0</v>
      </c>
      <c r="P931" t="n">
        <v>0</v>
      </c>
      <c r="Q931" t="n">
        <v>0</v>
      </c>
      <c r="R931" s="2" t="inlineStr"/>
    </row>
    <row r="932" ht="15" customHeight="1">
      <c r="A932" t="inlineStr">
        <is>
          <t>A 41003-2024</t>
        </is>
      </c>
      <c r="B932" s="1" t="n">
        <v>45558</v>
      </c>
      <c r="C932" s="1" t="n">
        <v>45576</v>
      </c>
      <c r="D932" t="inlineStr">
        <is>
          <t>DALARNAS LÄN</t>
        </is>
      </c>
      <c r="E932" t="inlineStr">
        <is>
          <t>ÄLVDALEN</t>
        </is>
      </c>
      <c r="G932" t="n">
        <v>3.1</v>
      </c>
      <c r="H932" t="n">
        <v>0</v>
      </c>
      <c r="I932" t="n">
        <v>0</v>
      </c>
      <c r="J932" t="n">
        <v>0</v>
      </c>
      <c r="K932" t="n">
        <v>0</v>
      </c>
      <c r="L932" t="n">
        <v>0</v>
      </c>
      <c r="M932" t="n">
        <v>0</v>
      </c>
      <c r="N932" t="n">
        <v>0</v>
      </c>
      <c r="O932" t="n">
        <v>0</v>
      </c>
      <c r="P932" t="n">
        <v>0</v>
      </c>
      <c r="Q932" t="n">
        <v>0</v>
      </c>
      <c r="R932" s="2" t="inlineStr"/>
    </row>
    <row r="933" ht="15" customHeight="1">
      <c r="A933" t="inlineStr">
        <is>
          <t>A 41137-2024</t>
        </is>
      </c>
      <c r="B933" s="1" t="n">
        <v>45559</v>
      </c>
      <c r="C933" s="1" t="n">
        <v>45576</v>
      </c>
      <c r="D933" t="inlineStr">
        <is>
          <t>DALARNAS LÄN</t>
        </is>
      </c>
      <c r="E933" t="inlineStr">
        <is>
          <t>ÄLVDALEN</t>
        </is>
      </c>
      <c r="G933" t="n">
        <v>4.8</v>
      </c>
      <c r="H933" t="n">
        <v>0</v>
      </c>
      <c r="I933" t="n">
        <v>0</v>
      </c>
      <c r="J933" t="n">
        <v>0</v>
      </c>
      <c r="K933" t="n">
        <v>0</v>
      </c>
      <c r="L933" t="n">
        <v>0</v>
      </c>
      <c r="M933" t="n">
        <v>0</v>
      </c>
      <c r="N933" t="n">
        <v>0</v>
      </c>
      <c r="O933" t="n">
        <v>0</v>
      </c>
      <c r="P933" t="n">
        <v>0</v>
      </c>
      <c r="Q933" t="n">
        <v>0</v>
      </c>
      <c r="R933" s="2" t="inlineStr"/>
    </row>
    <row r="934" ht="15" customHeight="1">
      <c r="A934" t="inlineStr">
        <is>
          <t>A 41158-2024</t>
        </is>
      </c>
      <c r="B934" s="1" t="n">
        <v>45559</v>
      </c>
      <c r="C934" s="1" t="n">
        <v>45576</v>
      </c>
      <c r="D934" t="inlineStr">
        <is>
          <t>DALARNAS LÄN</t>
        </is>
      </c>
      <c r="E934" t="inlineStr">
        <is>
          <t>ÄLVDALEN</t>
        </is>
      </c>
      <c r="G934" t="n">
        <v>5.6</v>
      </c>
      <c r="H934" t="n">
        <v>0</v>
      </c>
      <c r="I934" t="n">
        <v>0</v>
      </c>
      <c r="J934" t="n">
        <v>0</v>
      </c>
      <c r="K934" t="n">
        <v>0</v>
      </c>
      <c r="L934" t="n">
        <v>0</v>
      </c>
      <c r="M934" t="n">
        <v>0</v>
      </c>
      <c r="N934" t="n">
        <v>0</v>
      </c>
      <c r="O934" t="n">
        <v>0</v>
      </c>
      <c r="P934" t="n">
        <v>0</v>
      </c>
      <c r="Q934" t="n">
        <v>0</v>
      </c>
      <c r="R934" s="2" t="inlineStr"/>
    </row>
    <row r="935" ht="15" customHeight="1">
      <c r="A935" t="inlineStr">
        <is>
          <t>A 41446-2024</t>
        </is>
      </c>
      <c r="B935" s="1" t="n">
        <v>45560</v>
      </c>
      <c r="C935" s="1" t="n">
        <v>45576</v>
      </c>
      <c r="D935" t="inlineStr">
        <is>
          <t>DALARNAS LÄN</t>
        </is>
      </c>
      <c r="E935" t="inlineStr">
        <is>
          <t>ÄLVDALEN</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42679-2024</t>
        </is>
      </c>
      <c r="B936" s="1" t="n">
        <v>45566</v>
      </c>
      <c r="C936" s="1" t="n">
        <v>45576</v>
      </c>
      <c r="D936" t="inlineStr">
        <is>
          <t>DALARNAS LÄN</t>
        </is>
      </c>
      <c r="E936" t="inlineStr">
        <is>
          <t>ÄLVDALEN</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43351-2024</t>
        </is>
      </c>
      <c r="B937" s="1" t="n">
        <v>45568</v>
      </c>
      <c r="C937" s="1" t="n">
        <v>45576</v>
      </c>
      <c r="D937" t="inlineStr">
        <is>
          <t>DALARNAS LÄN</t>
        </is>
      </c>
      <c r="E937" t="inlineStr">
        <is>
          <t>ÄLVDALEN</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43740-2024</t>
        </is>
      </c>
      <c r="B938" s="1" t="n">
        <v>45569</v>
      </c>
      <c r="C938" s="1" t="n">
        <v>45576</v>
      </c>
      <c r="D938" t="inlineStr">
        <is>
          <t>DALARNAS LÄN</t>
        </is>
      </c>
      <c r="E938" t="inlineStr">
        <is>
          <t>ÄLVDALEN</t>
        </is>
      </c>
      <c r="F938" t="inlineStr">
        <is>
          <t>Sveaskog</t>
        </is>
      </c>
      <c r="G938" t="n">
        <v>2.3</v>
      </c>
      <c r="H938" t="n">
        <v>0</v>
      </c>
      <c r="I938" t="n">
        <v>0</v>
      </c>
      <c r="J938" t="n">
        <v>0</v>
      </c>
      <c r="K938" t="n">
        <v>0</v>
      </c>
      <c r="L938" t="n">
        <v>0</v>
      </c>
      <c r="M938" t="n">
        <v>0</v>
      </c>
      <c r="N938" t="n">
        <v>0</v>
      </c>
      <c r="O938" t="n">
        <v>0</v>
      </c>
      <c r="P938" t="n">
        <v>0</v>
      </c>
      <c r="Q938" t="n">
        <v>0</v>
      </c>
      <c r="R938" s="2" t="inlineStr"/>
    </row>
    <row r="939" ht="15" customHeight="1">
      <c r="A939" t="inlineStr">
        <is>
          <t>A 43752-2024</t>
        </is>
      </c>
      <c r="B939" s="1" t="n">
        <v>45569</v>
      </c>
      <c r="C939" s="1" t="n">
        <v>45576</v>
      </c>
      <c r="D939" t="inlineStr">
        <is>
          <t>DALARNAS LÄN</t>
        </is>
      </c>
      <c r="E939" t="inlineStr">
        <is>
          <t>ÄLVDALEN</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43900-2024</t>
        </is>
      </c>
      <c r="B940" s="1" t="n">
        <v>45572</v>
      </c>
      <c r="C940" s="1" t="n">
        <v>45576</v>
      </c>
      <c r="D940" t="inlineStr">
        <is>
          <t>DALARNAS LÄN</t>
        </is>
      </c>
      <c r="E940" t="inlineStr">
        <is>
          <t>ÄLVDALEN</t>
        </is>
      </c>
      <c r="F940" t="inlineStr">
        <is>
          <t>Bergvik skog väst AB</t>
        </is>
      </c>
      <c r="G940" t="n">
        <v>7.3</v>
      </c>
      <c r="H940" t="n">
        <v>0</v>
      </c>
      <c r="I940" t="n">
        <v>0</v>
      </c>
      <c r="J940" t="n">
        <v>0</v>
      </c>
      <c r="K940" t="n">
        <v>0</v>
      </c>
      <c r="L940" t="n">
        <v>0</v>
      </c>
      <c r="M940" t="n">
        <v>0</v>
      </c>
      <c r="N940" t="n">
        <v>0</v>
      </c>
      <c r="O940" t="n">
        <v>0</v>
      </c>
      <c r="P940" t="n">
        <v>0</v>
      </c>
      <c r="Q940" t="n">
        <v>0</v>
      </c>
      <c r="R940" s="2" t="inlineStr"/>
    </row>
    <row r="941" ht="15" customHeight="1">
      <c r="A941" t="inlineStr">
        <is>
          <t>A 43990-2024</t>
        </is>
      </c>
      <c r="B941" s="1" t="n">
        <v>45572</v>
      </c>
      <c r="C941" s="1" t="n">
        <v>45576</v>
      </c>
      <c r="D941" t="inlineStr">
        <is>
          <t>DALARNAS LÄN</t>
        </is>
      </c>
      <c r="E941" t="inlineStr">
        <is>
          <t>ÄLVDALEN</t>
        </is>
      </c>
      <c r="F941" t="inlineStr">
        <is>
          <t>Kommuner</t>
        </is>
      </c>
      <c r="G941" t="n">
        <v>0</v>
      </c>
      <c r="H941" t="n">
        <v>0</v>
      </c>
      <c r="I941" t="n">
        <v>0</v>
      </c>
      <c r="J941" t="n">
        <v>0</v>
      </c>
      <c r="K941" t="n">
        <v>0</v>
      </c>
      <c r="L941" t="n">
        <v>0</v>
      </c>
      <c r="M941" t="n">
        <v>0</v>
      </c>
      <c r="N941" t="n">
        <v>0</v>
      </c>
      <c r="O941" t="n">
        <v>0</v>
      </c>
      <c r="P941" t="n">
        <v>0</v>
      </c>
      <c r="Q941" t="n">
        <v>0</v>
      </c>
      <c r="R941" s="2" t="inlineStr"/>
    </row>
    <row r="942">
      <c r="A942" t="inlineStr">
        <is>
          <t>A 45202-2024</t>
        </is>
      </c>
      <c r="B942" s="1" t="n">
        <v>45575</v>
      </c>
      <c r="C942" s="1" t="n">
        <v>45576</v>
      </c>
      <c r="D942" t="inlineStr">
        <is>
          <t>DALARNAS LÄN</t>
        </is>
      </c>
      <c r="E942" t="inlineStr">
        <is>
          <t>ÄLVDALEN</t>
        </is>
      </c>
      <c r="G942" t="n">
        <v>30.8</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2024-10-11T13:01:35Z</dcterms:created>
  <dcterms:modified xmlns:dcterms="http://purl.org/dc/terms/" xmlns:xsi="http://www.w3.org/2001/XMLSchema-instance" xsi:type="dcterms:W3CDTF">2024-10-11T13:01:36Z</dcterms:modified>
</cp:coreProperties>
</file>