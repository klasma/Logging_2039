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45358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45358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45358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45358</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45358</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45358</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45358</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45358</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45358</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45358</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45358</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45358</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45358</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45358</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45358</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45358</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45358</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45358</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45358</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45358</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45358</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45358</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45358</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45358</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45358</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45358</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45358</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45358</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45358</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45358</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45358</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45358</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45358</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45358</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45358</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45358</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45358</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45358</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45358</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45358</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45358</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45358</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45358</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45358</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45358</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45358</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45358</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45358</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45358</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45358</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45358</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45358</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45358</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45358</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45358</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45358</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45358</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45358</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45358</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45358</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45358</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45358</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45358</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45358</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45358</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45358</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45358</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45358</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45358</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45358</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45358</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45358</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45358</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45358</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45358</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45358</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45358</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45358</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45358</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45358</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45358</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45358</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45358</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45358</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45358</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45358</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45358</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45358</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45358</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45358</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45358</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45358</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45358</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45358</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45358</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45358</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45358</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45358</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45358</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45358</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45358</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45358</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45358</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45358</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45358</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45358</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45358</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45358</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45358</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45358</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45358</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45358</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45358</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45358</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45358</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45358</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45358</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45358</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45358</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9094-2024</t>
        </is>
      </c>
      <c r="B121" s="1" t="n">
        <v>45357</v>
      </c>
      <c r="C121" s="1" t="n">
        <v>45358</v>
      </c>
      <c r="D121" t="inlineStr">
        <is>
          <t>DALARNAS LÄN</t>
        </is>
      </c>
      <c r="E121" t="inlineStr">
        <is>
          <t>ÄLVDALEN</t>
        </is>
      </c>
      <c r="G121" t="n">
        <v>4.6</v>
      </c>
      <c r="H121" t="n">
        <v>0</v>
      </c>
      <c r="I121" t="n">
        <v>0</v>
      </c>
      <c r="J121" t="n">
        <v>1</v>
      </c>
      <c r="K121" t="n">
        <v>0</v>
      </c>
      <c r="L121" t="n">
        <v>0</v>
      </c>
      <c r="M121" t="n">
        <v>0</v>
      </c>
      <c r="N121" t="n">
        <v>0</v>
      </c>
      <c r="O121" t="n">
        <v>1</v>
      </c>
      <c r="P121" t="n">
        <v>0</v>
      </c>
      <c r="Q121" t="n">
        <v>1</v>
      </c>
      <c r="R121" s="2" t="inlineStr">
        <is>
          <t>Nordtagging</t>
        </is>
      </c>
      <c r="S121">
        <f>HYPERLINK("https://klasma.github.io/Logging_2039/artfynd/A 9094-2024 artfynd.xlsx", "A 9094-2024")</f>
        <v/>
      </c>
      <c r="T121">
        <f>HYPERLINK("https://klasma.github.io/Logging_2039/kartor/A 9094-2024 karta.png", "A 9094-2024")</f>
        <v/>
      </c>
      <c r="V121">
        <f>HYPERLINK("https://klasma.github.io/Logging_2039/klagomål/A 9094-2024 FSC-klagomål.docx", "A 9094-2024")</f>
        <v/>
      </c>
      <c r="W121">
        <f>HYPERLINK("https://klasma.github.io/Logging_2039/klagomålsmail/A 9094-2024 FSC-klagomål mail.docx", "A 9094-2024")</f>
        <v/>
      </c>
      <c r="X121">
        <f>HYPERLINK("https://klasma.github.io/Logging_2039/tillsyn/A 9094-2024 tillsynsbegäran.docx", "A 9094-2024")</f>
        <v/>
      </c>
      <c r="Y121">
        <f>HYPERLINK("https://klasma.github.io/Logging_2039/tillsynsmail/A 9094-2024 tillsynsbegäran mail.docx", "A 9094-2024")</f>
        <v/>
      </c>
    </row>
    <row r="122" ht="15" customHeight="1">
      <c r="A122" t="inlineStr">
        <is>
          <t>A 9079-2024</t>
        </is>
      </c>
      <c r="B122" s="1" t="n">
        <v>45357</v>
      </c>
      <c r="C122" s="1" t="n">
        <v>45358</v>
      </c>
      <c r="D122" t="inlineStr">
        <is>
          <t>DALARNAS LÄN</t>
        </is>
      </c>
      <c r="E122" t="inlineStr">
        <is>
          <t>ÄLVDALEN</t>
        </is>
      </c>
      <c r="F122" t="inlineStr">
        <is>
          <t>Övriga Aktiebolag</t>
        </is>
      </c>
      <c r="G122" t="n">
        <v>15.2</v>
      </c>
      <c r="H122" t="n">
        <v>1</v>
      </c>
      <c r="I122" t="n">
        <v>0</v>
      </c>
      <c r="J122" t="n">
        <v>0</v>
      </c>
      <c r="K122" t="n">
        <v>0</v>
      </c>
      <c r="L122" t="n">
        <v>0</v>
      </c>
      <c r="M122" t="n">
        <v>0</v>
      </c>
      <c r="N122" t="n">
        <v>0</v>
      </c>
      <c r="O122" t="n">
        <v>0</v>
      </c>
      <c r="P122" t="n">
        <v>0</v>
      </c>
      <c r="Q122" t="n">
        <v>1</v>
      </c>
      <c r="R122" s="2" t="inlineStr">
        <is>
          <t>Fläcknycklar</t>
        </is>
      </c>
      <c r="S122">
        <f>HYPERLINK("https://klasma.github.io/Logging_2039/artfynd/A 9079-2024 artfynd.xlsx", "A 9079-2024")</f>
        <v/>
      </c>
      <c r="T122">
        <f>HYPERLINK("https://klasma.github.io/Logging_2039/kartor/A 9079-2024 karta.png", "A 9079-2024")</f>
        <v/>
      </c>
      <c r="V122">
        <f>HYPERLINK("https://klasma.github.io/Logging_2039/klagomål/A 9079-2024 FSC-klagomål.docx", "A 9079-2024")</f>
        <v/>
      </c>
      <c r="W122">
        <f>HYPERLINK("https://klasma.github.io/Logging_2039/klagomålsmail/A 9079-2024 FSC-klagomål mail.docx", "A 9079-2024")</f>
        <v/>
      </c>
      <c r="X122">
        <f>HYPERLINK("https://klasma.github.io/Logging_2039/tillsyn/A 9079-2024 tillsynsbegäran.docx", "A 9079-2024")</f>
        <v/>
      </c>
      <c r="Y122">
        <f>HYPERLINK("https://klasma.github.io/Logging_2039/tillsynsmail/A 9079-2024 tillsynsbegäran mail.docx", "A 9079-2024")</f>
        <v/>
      </c>
    </row>
    <row r="123" ht="15" customHeight="1">
      <c r="A123" t="inlineStr">
        <is>
          <t>A 39008-2018</t>
        </is>
      </c>
      <c r="B123" s="1" t="n">
        <v>43339</v>
      </c>
      <c r="C123" s="1" t="n">
        <v>45358</v>
      </c>
      <c r="D123" t="inlineStr">
        <is>
          <t>DALARNAS LÄN</t>
        </is>
      </c>
      <c r="E123" t="inlineStr">
        <is>
          <t>ÄLVDALEN</t>
        </is>
      </c>
      <c r="G123" t="n">
        <v>8.5</v>
      </c>
      <c r="H123" t="n">
        <v>0</v>
      </c>
      <c r="I123" t="n">
        <v>0</v>
      </c>
      <c r="J123" t="n">
        <v>0</v>
      </c>
      <c r="K123" t="n">
        <v>0</v>
      </c>
      <c r="L123" t="n">
        <v>0</v>
      </c>
      <c r="M123" t="n">
        <v>0</v>
      </c>
      <c r="N123" t="n">
        <v>0</v>
      </c>
      <c r="O123" t="n">
        <v>0</v>
      </c>
      <c r="P123" t="n">
        <v>0</v>
      </c>
      <c r="Q123" t="n">
        <v>0</v>
      </c>
      <c r="R123" s="2" t="inlineStr"/>
    </row>
    <row r="124" ht="15" customHeight="1">
      <c r="A124" t="inlineStr">
        <is>
          <t>A 39195-2018</t>
        </is>
      </c>
      <c r="B124" s="1" t="n">
        <v>43339</v>
      </c>
      <c r="C124" s="1" t="n">
        <v>45358</v>
      </c>
      <c r="D124" t="inlineStr">
        <is>
          <t>DALARNAS LÄN</t>
        </is>
      </c>
      <c r="E124" t="inlineStr">
        <is>
          <t>ÄLVDALEN</t>
        </is>
      </c>
      <c r="G124" t="n">
        <v>11</v>
      </c>
      <c r="H124" t="n">
        <v>0</v>
      </c>
      <c r="I124" t="n">
        <v>0</v>
      </c>
      <c r="J124" t="n">
        <v>0</v>
      </c>
      <c r="K124" t="n">
        <v>0</v>
      </c>
      <c r="L124" t="n">
        <v>0</v>
      </c>
      <c r="M124" t="n">
        <v>0</v>
      </c>
      <c r="N124" t="n">
        <v>0</v>
      </c>
      <c r="O124" t="n">
        <v>0</v>
      </c>
      <c r="P124" t="n">
        <v>0</v>
      </c>
      <c r="Q124" t="n">
        <v>0</v>
      </c>
      <c r="R124" s="2" t="inlineStr"/>
    </row>
    <row r="125" ht="15" customHeight="1">
      <c r="A125" t="inlineStr">
        <is>
          <t>A 39677-2018</t>
        </is>
      </c>
      <c r="B125" s="1" t="n">
        <v>43341</v>
      </c>
      <c r="C125" s="1" t="n">
        <v>45358</v>
      </c>
      <c r="D125" t="inlineStr">
        <is>
          <t>DALARNAS LÄN</t>
        </is>
      </c>
      <c r="E125" t="inlineStr">
        <is>
          <t>ÄLVDALEN</t>
        </is>
      </c>
      <c r="G125" t="n">
        <v>6.6</v>
      </c>
      <c r="H125" t="n">
        <v>0</v>
      </c>
      <c r="I125" t="n">
        <v>0</v>
      </c>
      <c r="J125" t="n">
        <v>0</v>
      </c>
      <c r="K125" t="n">
        <v>0</v>
      </c>
      <c r="L125" t="n">
        <v>0</v>
      </c>
      <c r="M125" t="n">
        <v>0</v>
      </c>
      <c r="N125" t="n">
        <v>0</v>
      </c>
      <c r="O125" t="n">
        <v>0</v>
      </c>
      <c r="P125" t="n">
        <v>0</v>
      </c>
      <c r="Q125" t="n">
        <v>0</v>
      </c>
      <c r="R125" s="2" t="inlineStr"/>
    </row>
    <row r="126" ht="15" customHeight="1">
      <c r="A126" t="inlineStr">
        <is>
          <t>A 39675-2018</t>
        </is>
      </c>
      <c r="B126" s="1" t="n">
        <v>43341</v>
      </c>
      <c r="C126" s="1" t="n">
        <v>45358</v>
      </c>
      <c r="D126" t="inlineStr">
        <is>
          <t>DALARNAS LÄN</t>
        </is>
      </c>
      <c r="E126" t="inlineStr">
        <is>
          <t>ÄLVDALEN</t>
        </is>
      </c>
      <c r="G126" t="n">
        <v>2.5</v>
      </c>
      <c r="H126" t="n">
        <v>0</v>
      </c>
      <c r="I126" t="n">
        <v>0</v>
      </c>
      <c r="J126" t="n">
        <v>0</v>
      </c>
      <c r="K126" t="n">
        <v>0</v>
      </c>
      <c r="L126" t="n">
        <v>0</v>
      </c>
      <c r="M126" t="n">
        <v>0</v>
      </c>
      <c r="N126" t="n">
        <v>0</v>
      </c>
      <c r="O126" t="n">
        <v>0</v>
      </c>
      <c r="P126" t="n">
        <v>0</v>
      </c>
      <c r="Q126" t="n">
        <v>0</v>
      </c>
      <c r="R126" s="2" t="inlineStr"/>
    </row>
    <row r="127" ht="15" customHeight="1">
      <c r="A127" t="inlineStr">
        <is>
          <t>A 43148-2018</t>
        </is>
      </c>
      <c r="B127" s="1" t="n">
        <v>43355</v>
      </c>
      <c r="C127" s="1" t="n">
        <v>45358</v>
      </c>
      <c r="D127" t="inlineStr">
        <is>
          <t>DALARNAS LÄN</t>
        </is>
      </c>
      <c r="E127" t="inlineStr">
        <is>
          <t>ÄLVDALEN</t>
        </is>
      </c>
      <c r="F127" t="inlineStr">
        <is>
          <t>Övriga statliga verk och myndigheter</t>
        </is>
      </c>
      <c r="G127" t="n">
        <v>98.8</v>
      </c>
      <c r="H127" t="n">
        <v>0</v>
      </c>
      <c r="I127" t="n">
        <v>0</v>
      </c>
      <c r="J127" t="n">
        <v>0</v>
      </c>
      <c r="K127" t="n">
        <v>0</v>
      </c>
      <c r="L127" t="n">
        <v>0</v>
      </c>
      <c r="M127" t="n">
        <v>0</v>
      </c>
      <c r="N127" t="n">
        <v>0</v>
      </c>
      <c r="O127" t="n">
        <v>0</v>
      </c>
      <c r="P127" t="n">
        <v>0</v>
      </c>
      <c r="Q127" t="n">
        <v>0</v>
      </c>
      <c r="R127" s="2" t="inlineStr"/>
    </row>
    <row r="128" ht="15" customHeight="1">
      <c r="A128" t="inlineStr">
        <is>
          <t>A 43150-2018</t>
        </is>
      </c>
      <c r="B128" s="1" t="n">
        <v>43355</v>
      </c>
      <c r="C128" s="1" t="n">
        <v>45358</v>
      </c>
      <c r="D128" t="inlineStr">
        <is>
          <t>DALARNAS LÄN</t>
        </is>
      </c>
      <c r="E128" t="inlineStr">
        <is>
          <t>ÄLVDALEN</t>
        </is>
      </c>
      <c r="F128" t="inlineStr">
        <is>
          <t>Övriga statliga verk och myndigheter</t>
        </is>
      </c>
      <c r="G128" t="n">
        <v>21</v>
      </c>
      <c r="H128" t="n">
        <v>0</v>
      </c>
      <c r="I128" t="n">
        <v>0</v>
      </c>
      <c r="J128" t="n">
        <v>0</v>
      </c>
      <c r="K128" t="n">
        <v>0</v>
      </c>
      <c r="L128" t="n">
        <v>0</v>
      </c>
      <c r="M128" t="n">
        <v>0</v>
      </c>
      <c r="N128" t="n">
        <v>0</v>
      </c>
      <c r="O128" t="n">
        <v>0</v>
      </c>
      <c r="P128" t="n">
        <v>0</v>
      </c>
      <c r="Q128" t="n">
        <v>0</v>
      </c>
      <c r="R128" s="2" t="inlineStr"/>
    </row>
    <row r="129" ht="15" customHeight="1">
      <c r="A129" t="inlineStr">
        <is>
          <t>A 44420-2018</t>
        </is>
      </c>
      <c r="B129" s="1" t="n">
        <v>43355</v>
      </c>
      <c r="C129" s="1" t="n">
        <v>45358</v>
      </c>
      <c r="D129" t="inlineStr">
        <is>
          <t>DALARNAS LÄN</t>
        </is>
      </c>
      <c r="E129" t="inlineStr">
        <is>
          <t>ÄLVDALEN</t>
        </is>
      </c>
      <c r="G129" t="n">
        <v>1.6</v>
      </c>
      <c r="H129" t="n">
        <v>0</v>
      </c>
      <c r="I129" t="n">
        <v>0</v>
      </c>
      <c r="J129" t="n">
        <v>0</v>
      </c>
      <c r="K129" t="n">
        <v>0</v>
      </c>
      <c r="L129" t="n">
        <v>0</v>
      </c>
      <c r="M129" t="n">
        <v>0</v>
      </c>
      <c r="N129" t="n">
        <v>0</v>
      </c>
      <c r="O129" t="n">
        <v>0</v>
      </c>
      <c r="P129" t="n">
        <v>0</v>
      </c>
      <c r="Q129" t="n">
        <v>0</v>
      </c>
      <c r="R129" s="2" t="inlineStr"/>
    </row>
    <row r="130" ht="15" customHeight="1">
      <c r="A130" t="inlineStr">
        <is>
          <t>A 43149-2018</t>
        </is>
      </c>
      <c r="B130" s="1" t="n">
        <v>43355</v>
      </c>
      <c r="C130" s="1" t="n">
        <v>45358</v>
      </c>
      <c r="D130" t="inlineStr">
        <is>
          <t>DALARNAS LÄN</t>
        </is>
      </c>
      <c r="E130" t="inlineStr">
        <is>
          <t>ÄLVDALEN</t>
        </is>
      </c>
      <c r="F130" t="inlineStr">
        <is>
          <t>Övriga statliga verk och myndigheter</t>
        </is>
      </c>
      <c r="G130" t="n">
        <v>67.8</v>
      </c>
      <c r="H130" t="n">
        <v>0</v>
      </c>
      <c r="I130" t="n">
        <v>0</v>
      </c>
      <c r="J130" t="n">
        <v>0</v>
      </c>
      <c r="K130" t="n">
        <v>0</v>
      </c>
      <c r="L130" t="n">
        <v>0</v>
      </c>
      <c r="M130" t="n">
        <v>0</v>
      </c>
      <c r="N130" t="n">
        <v>0</v>
      </c>
      <c r="O130" t="n">
        <v>0</v>
      </c>
      <c r="P130" t="n">
        <v>0</v>
      </c>
      <c r="Q130" t="n">
        <v>0</v>
      </c>
      <c r="R130" s="2" t="inlineStr"/>
    </row>
    <row r="131" ht="15" customHeight="1">
      <c r="A131" t="inlineStr">
        <is>
          <t>A 51090-2018</t>
        </is>
      </c>
      <c r="B131" s="1" t="n">
        <v>43382</v>
      </c>
      <c r="C131" s="1" t="n">
        <v>45358</v>
      </c>
      <c r="D131" t="inlineStr">
        <is>
          <t>DALARNAS LÄN</t>
        </is>
      </c>
      <c r="E131" t="inlineStr">
        <is>
          <t>ÄLVDALEN</t>
        </is>
      </c>
      <c r="G131" t="n">
        <v>0.5</v>
      </c>
      <c r="H131" t="n">
        <v>0</v>
      </c>
      <c r="I131" t="n">
        <v>0</v>
      </c>
      <c r="J131" t="n">
        <v>0</v>
      </c>
      <c r="K131" t="n">
        <v>0</v>
      </c>
      <c r="L131" t="n">
        <v>0</v>
      </c>
      <c r="M131" t="n">
        <v>0</v>
      </c>
      <c r="N131" t="n">
        <v>0</v>
      </c>
      <c r="O131" t="n">
        <v>0</v>
      </c>
      <c r="P131" t="n">
        <v>0</v>
      </c>
      <c r="Q131" t="n">
        <v>0</v>
      </c>
      <c r="R131" s="2" t="inlineStr"/>
    </row>
    <row r="132" ht="15" customHeight="1">
      <c r="A132" t="inlineStr">
        <is>
          <t>A 63917-2018</t>
        </is>
      </c>
      <c r="B132" s="1" t="n">
        <v>43388</v>
      </c>
      <c r="C132" s="1" t="n">
        <v>45358</v>
      </c>
      <c r="D132" t="inlineStr">
        <is>
          <t>DALARNAS LÄN</t>
        </is>
      </c>
      <c r="E132" t="inlineStr">
        <is>
          <t>ÄLVDALEN</t>
        </is>
      </c>
      <c r="G132" t="n">
        <v>0.9</v>
      </c>
      <c r="H132" t="n">
        <v>0</v>
      </c>
      <c r="I132" t="n">
        <v>0</v>
      </c>
      <c r="J132" t="n">
        <v>0</v>
      </c>
      <c r="K132" t="n">
        <v>0</v>
      </c>
      <c r="L132" t="n">
        <v>0</v>
      </c>
      <c r="M132" t="n">
        <v>0</v>
      </c>
      <c r="N132" t="n">
        <v>0</v>
      </c>
      <c r="O132" t="n">
        <v>0</v>
      </c>
      <c r="P132" t="n">
        <v>0</v>
      </c>
      <c r="Q132" t="n">
        <v>0</v>
      </c>
      <c r="R132" s="2" t="inlineStr"/>
    </row>
    <row r="133" ht="15" customHeight="1">
      <c r="A133" t="inlineStr">
        <is>
          <t>A 55118-2018</t>
        </is>
      </c>
      <c r="B133" s="1" t="n">
        <v>43391</v>
      </c>
      <c r="C133" s="1" t="n">
        <v>45358</v>
      </c>
      <c r="D133" t="inlineStr">
        <is>
          <t>DALARNAS LÄN</t>
        </is>
      </c>
      <c r="E133" t="inlineStr">
        <is>
          <t>ÄLVDALEN</t>
        </is>
      </c>
      <c r="G133" t="n">
        <v>5.1</v>
      </c>
      <c r="H133" t="n">
        <v>0</v>
      </c>
      <c r="I133" t="n">
        <v>0</v>
      </c>
      <c r="J133" t="n">
        <v>0</v>
      </c>
      <c r="K133" t="n">
        <v>0</v>
      </c>
      <c r="L133" t="n">
        <v>0</v>
      </c>
      <c r="M133" t="n">
        <v>0</v>
      </c>
      <c r="N133" t="n">
        <v>0</v>
      </c>
      <c r="O133" t="n">
        <v>0</v>
      </c>
      <c r="P133" t="n">
        <v>0</v>
      </c>
      <c r="Q133" t="n">
        <v>0</v>
      </c>
      <c r="R133" s="2" t="inlineStr"/>
    </row>
    <row r="134" ht="15" customHeight="1">
      <c r="A134" t="inlineStr">
        <is>
          <t>A 58737-2018</t>
        </is>
      </c>
      <c r="B134" s="1" t="n">
        <v>43410</v>
      </c>
      <c r="C134" s="1" t="n">
        <v>45358</v>
      </c>
      <c r="D134" t="inlineStr">
        <is>
          <t>DALARNAS LÄN</t>
        </is>
      </c>
      <c r="E134" t="inlineStr">
        <is>
          <t>ÄLVDALEN</t>
        </is>
      </c>
      <c r="G134" t="n">
        <v>5.6</v>
      </c>
      <c r="H134" t="n">
        <v>0</v>
      </c>
      <c r="I134" t="n">
        <v>0</v>
      </c>
      <c r="J134" t="n">
        <v>0</v>
      </c>
      <c r="K134" t="n">
        <v>0</v>
      </c>
      <c r="L134" t="n">
        <v>0</v>
      </c>
      <c r="M134" t="n">
        <v>0</v>
      </c>
      <c r="N134" t="n">
        <v>0</v>
      </c>
      <c r="O134" t="n">
        <v>0</v>
      </c>
      <c r="P134" t="n">
        <v>0</v>
      </c>
      <c r="Q134" t="n">
        <v>0</v>
      </c>
      <c r="R134" s="2" t="inlineStr"/>
    </row>
    <row r="135" ht="15" customHeight="1">
      <c r="A135" t="inlineStr">
        <is>
          <t>A 60071-2018</t>
        </is>
      </c>
      <c r="B135" s="1" t="n">
        <v>43412</v>
      </c>
      <c r="C135" s="1" t="n">
        <v>45358</v>
      </c>
      <c r="D135" t="inlineStr">
        <is>
          <t>DALARNAS LÄN</t>
        </is>
      </c>
      <c r="E135" t="inlineStr">
        <is>
          <t>ÄLVDALEN</t>
        </is>
      </c>
      <c r="G135" t="n">
        <v>1.1</v>
      </c>
      <c r="H135" t="n">
        <v>0</v>
      </c>
      <c r="I135" t="n">
        <v>0</v>
      </c>
      <c r="J135" t="n">
        <v>0</v>
      </c>
      <c r="K135" t="n">
        <v>0</v>
      </c>
      <c r="L135" t="n">
        <v>0</v>
      </c>
      <c r="M135" t="n">
        <v>0</v>
      </c>
      <c r="N135" t="n">
        <v>0</v>
      </c>
      <c r="O135" t="n">
        <v>0</v>
      </c>
      <c r="P135" t="n">
        <v>0</v>
      </c>
      <c r="Q135" t="n">
        <v>0</v>
      </c>
      <c r="R135" s="2" t="inlineStr"/>
    </row>
    <row r="136" ht="15" customHeight="1">
      <c r="A136" t="inlineStr">
        <is>
          <t>A 60044-2018</t>
        </is>
      </c>
      <c r="B136" s="1" t="n">
        <v>43412</v>
      </c>
      <c r="C136" s="1" t="n">
        <v>45358</v>
      </c>
      <c r="D136" t="inlineStr">
        <is>
          <t>DALARNAS LÄN</t>
        </is>
      </c>
      <c r="E136" t="inlineStr">
        <is>
          <t>ÄLVDALEN</t>
        </is>
      </c>
      <c r="G136" t="n">
        <v>1.6</v>
      </c>
      <c r="H136" t="n">
        <v>0</v>
      </c>
      <c r="I136" t="n">
        <v>0</v>
      </c>
      <c r="J136" t="n">
        <v>0</v>
      </c>
      <c r="K136" t="n">
        <v>0</v>
      </c>
      <c r="L136" t="n">
        <v>0</v>
      </c>
      <c r="M136" t="n">
        <v>0</v>
      </c>
      <c r="N136" t="n">
        <v>0</v>
      </c>
      <c r="O136" t="n">
        <v>0</v>
      </c>
      <c r="P136" t="n">
        <v>0</v>
      </c>
      <c r="Q136" t="n">
        <v>0</v>
      </c>
      <c r="R136" s="2" t="inlineStr"/>
    </row>
    <row r="137" ht="15" customHeight="1">
      <c r="A137" t="inlineStr">
        <is>
          <t>A 60048-2018</t>
        </is>
      </c>
      <c r="B137" s="1" t="n">
        <v>43412</v>
      </c>
      <c r="C137" s="1" t="n">
        <v>45358</v>
      </c>
      <c r="D137" t="inlineStr">
        <is>
          <t>DALARNAS LÄN</t>
        </is>
      </c>
      <c r="E137" t="inlineStr">
        <is>
          <t>ÄLVDALEN</t>
        </is>
      </c>
      <c r="G137" t="n">
        <v>0.7</v>
      </c>
      <c r="H137" t="n">
        <v>0</v>
      </c>
      <c r="I137" t="n">
        <v>0</v>
      </c>
      <c r="J137" t="n">
        <v>0</v>
      </c>
      <c r="K137" t="n">
        <v>0</v>
      </c>
      <c r="L137" t="n">
        <v>0</v>
      </c>
      <c r="M137" t="n">
        <v>0</v>
      </c>
      <c r="N137" t="n">
        <v>0</v>
      </c>
      <c r="O137" t="n">
        <v>0</v>
      </c>
      <c r="P137" t="n">
        <v>0</v>
      </c>
      <c r="Q137" t="n">
        <v>0</v>
      </c>
      <c r="R137" s="2" t="inlineStr"/>
    </row>
    <row r="138" ht="15" customHeight="1">
      <c r="A138" t="inlineStr">
        <is>
          <t>A 60038-2018</t>
        </is>
      </c>
      <c r="B138" s="1" t="n">
        <v>43412</v>
      </c>
      <c r="C138" s="1" t="n">
        <v>45358</v>
      </c>
      <c r="D138" t="inlineStr">
        <is>
          <t>DALARNAS LÄN</t>
        </is>
      </c>
      <c r="E138" t="inlineStr">
        <is>
          <t>ÄLVDALEN</t>
        </is>
      </c>
      <c r="G138" t="n">
        <v>0.6</v>
      </c>
      <c r="H138" t="n">
        <v>0</v>
      </c>
      <c r="I138" t="n">
        <v>0</v>
      </c>
      <c r="J138" t="n">
        <v>0</v>
      </c>
      <c r="K138" t="n">
        <v>0</v>
      </c>
      <c r="L138" t="n">
        <v>0</v>
      </c>
      <c r="M138" t="n">
        <v>0</v>
      </c>
      <c r="N138" t="n">
        <v>0</v>
      </c>
      <c r="O138" t="n">
        <v>0</v>
      </c>
      <c r="P138" t="n">
        <v>0</v>
      </c>
      <c r="Q138" t="n">
        <v>0</v>
      </c>
      <c r="R138" s="2" t="inlineStr"/>
    </row>
    <row r="139" ht="15" customHeight="1">
      <c r="A139" t="inlineStr">
        <is>
          <t>A 62674-2018</t>
        </is>
      </c>
      <c r="B139" s="1" t="n">
        <v>43413</v>
      </c>
      <c r="C139" s="1" t="n">
        <v>45358</v>
      </c>
      <c r="D139" t="inlineStr">
        <is>
          <t>DALARNAS LÄN</t>
        </is>
      </c>
      <c r="E139" t="inlineStr">
        <is>
          <t>ÄLVDALEN</t>
        </is>
      </c>
      <c r="F139" t="inlineStr">
        <is>
          <t>Övriga statliga verk och myndigheter</t>
        </is>
      </c>
      <c r="G139" t="n">
        <v>0.9</v>
      </c>
      <c r="H139" t="n">
        <v>0</v>
      </c>
      <c r="I139" t="n">
        <v>0</v>
      </c>
      <c r="J139" t="n">
        <v>0</v>
      </c>
      <c r="K139" t="n">
        <v>0</v>
      </c>
      <c r="L139" t="n">
        <v>0</v>
      </c>
      <c r="M139" t="n">
        <v>0</v>
      </c>
      <c r="N139" t="n">
        <v>0</v>
      </c>
      <c r="O139" t="n">
        <v>0</v>
      </c>
      <c r="P139" t="n">
        <v>0</v>
      </c>
      <c r="Q139" t="n">
        <v>0</v>
      </c>
      <c r="R139" s="2" t="inlineStr"/>
    </row>
    <row r="140" ht="15" customHeight="1">
      <c r="A140" t="inlineStr">
        <is>
          <t>A 62665-2018</t>
        </is>
      </c>
      <c r="B140" s="1" t="n">
        <v>43413</v>
      </c>
      <c r="C140" s="1" t="n">
        <v>45358</v>
      </c>
      <c r="D140" t="inlineStr">
        <is>
          <t>DALARNAS LÄN</t>
        </is>
      </c>
      <c r="E140" t="inlineStr">
        <is>
          <t>ÄLVDALEN</t>
        </is>
      </c>
      <c r="G140" t="n">
        <v>4.5</v>
      </c>
      <c r="H140" t="n">
        <v>0</v>
      </c>
      <c r="I140" t="n">
        <v>0</v>
      </c>
      <c r="J140" t="n">
        <v>0</v>
      </c>
      <c r="K140" t="n">
        <v>0</v>
      </c>
      <c r="L140" t="n">
        <v>0</v>
      </c>
      <c r="M140" t="n">
        <v>0</v>
      </c>
      <c r="N140" t="n">
        <v>0</v>
      </c>
      <c r="O140" t="n">
        <v>0</v>
      </c>
      <c r="P140" t="n">
        <v>0</v>
      </c>
      <c r="Q140" t="n">
        <v>0</v>
      </c>
      <c r="R140" s="2" t="inlineStr"/>
    </row>
    <row r="141" ht="15" customHeight="1">
      <c r="A141" t="inlineStr">
        <is>
          <t>A 59549-2018</t>
        </is>
      </c>
      <c r="B141" s="1" t="n">
        <v>43419</v>
      </c>
      <c r="C141" s="1" t="n">
        <v>45358</v>
      </c>
      <c r="D141" t="inlineStr">
        <is>
          <t>DALARNAS LÄN</t>
        </is>
      </c>
      <c r="E141" t="inlineStr">
        <is>
          <t>ÄLVDALEN</t>
        </is>
      </c>
      <c r="G141" t="n">
        <v>1.8</v>
      </c>
      <c r="H141" t="n">
        <v>0</v>
      </c>
      <c r="I141" t="n">
        <v>0</v>
      </c>
      <c r="J141" t="n">
        <v>0</v>
      </c>
      <c r="K141" t="n">
        <v>0</v>
      </c>
      <c r="L141" t="n">
        <v>0</v>
      </c>
      <c r="M141" t="n">
        <v>0</v>
      </c>
      <c r="N141" t="n">
        <v>0</v>
      </c>
      <c r="O141" t="n">
        <v>0</v>
      </c>
      <c r="P141" t="n">
        <v>0</v>
      </c>
      <c r="Q141" t="n">
        <v>0</v>
      </c>
      <c r="R141" s="2" t="inlineStr"/>
    </row>
    <row r="142" ht="15" customHeight="1">
      <c r="A142" t="inlineStr">
        <is>
          <t>A 59552-2018</t>
        </is>
      </c>
      <c r="B142" s="1" t="n">
        <v>43419</v>
      </c>
      <c r="C142" s="1" t="n">
        <v>45358</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59461-2018</t>
        </is>
      </c>
      <c r="B143" s="1" t="n">
        <v>43419</v>
      </c>
      <c r="C143" s="1" t="n">
        <v>45358</v>
      </c>
      <c r="D143" t="inlineStr">
        <is>
          <t>DALARNAS LÄN</t>
        </is>
      </c>
      <c r="E143" t="inlineStr">
        <is>
          <t>ÄLVDALEN</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61115-2018</t>
        </is>
      </c>
      <c r="B144" s="1" t="n">
        <v>43423</v>
      </c>
      <c r="C144" s="1" t="n">
        <v>45358</v>
      </c>
      <c r="D144" t="inlineStr">
        <is>
          <t>DALARNAS LÄN</t>
        </is>
      </c>
      <c r="E144" t="inlineStr">
        <is>
          <t>ÄLVDALEN</t>
        </is>
      </c>
      <c r="G144" t="n">
        <v>1.7</v>
      </c>
      <c r="H144" t="n">
        <v>0</v>
      </c>
      <c r="I144" t="n">
        <v>0</v>
      </c>
      <c r="J144" t="n">
        <v>0</v>
      </c>
      <c r="K144" t="n">
        <v>0</v>
      </c>
      <c r="L144" t="n">
        <v>0</v>
      </c>
      <c r="M144" t="n">
        <v>0</v>
      </c>
      <c r="N144" t="n">
        <v>0</v>
      </c>
      <c r="O144" t="n">
        <v>0</v>
      </c>
      <c r="P144" t="n">
        <v>0</v>
      </c>
      <c r="Q144" t="n">
        <v>0</v>
      </c>
      <c r="R144" s="2" t="inlineStr"/>
    </row>
    <row r="145" ht="15" customHeight="1">
      <c r="A145" t="inlineStr">
        <is>
          <t>A 65603-2018</t>
        </is>
      </c>
      <c r="B145" s="1" t="n">
        <v>43425</v>
      </c>
      <c r="C145" s="1" t="n">
        <v>45358</v>
      </c>
      <c r="D145" t="inlineStr">
        <is>
          <t>DALARNAS LÄN</t>
        </is>
      </c>
      <c r="E145" t="inlineStr">
        <is>
          <t>ÄLVDALEN</t>
        </is>
      </c>
      <c r="G145" t="n">
        <v>1.5</v>
      </c>
      <c r="H145" t="n">
        <v>0</v>
      </c>
      <c r="I145" t="n">
        <v>0</v>
      </c>
      <c r="J145" t="n">
        <v>0</v>
      </c>
      <c r="K145" t="n">
        <v>0</v>
      </c>
      <c r="L145" t="n">
        <v>0</v>
      </c>
      <c r="M145" t="n">
        <v>0</v>
      </c>
      <c r="N145" t="n">
        <v>0</v>
      </c>
      <c r="O145" t="n">
        <v>0</v>
      </c>
      <c r="P145" t="n">
        <v>0</v>
      </c>
      <c r="Q145" t="n">
        <v>0</v>
      </c>
      <c r="R145" s="2" t="inlineStr"/>
    </row>
    <row r="146" ht="15" customHeight="1">
      <c r="A146" t="inlineStr">
        <is>
          <t>A 65598-2018</t>
        </is>
      </c>
      <c r="B146" s="1" t="n">
        <v>43425</v>
      </c>
      <c r="C146" s="1" t="n">
        <v>45358</v>
      </c>
      <c r="D146" t="inlineStr">
        <is>
          <t>DALARNAS LÄN</t>
        </is>
      </c>
      <c r="E146" t="inlineStr">
        <is>
          <t>ÄLVDALEN</t>
        </is>
      </c>
      <c r="G146" t="n">
        <v>0.8</v>
      </c>
      <c r="H146" t="n">
        <v>0</v>
      </c>
      <c r="I146" t="n">
        <v>0</v>
      </c>
      <c r="J146" t="n">
        <v>0</v>
      </c>
      <c r="K146" t="n">
        <v>0</v>
      </c>
      <c r="L146" t="n">
        <v>0</v>
      </c>
      <c r="M146" t="n">
        <v>0</v>
      </c>
      <c r="N146" t="n">
        <v>0</v>
      </c>
      <c r="O146" t="n">
        <v>0</v>
      </c>
      <c r="P146" t="n">
        <v>0</v>
      </c>
      <c r="Q146" t="n">
        <v>0</v>
      </c>
      <c r="R146" s="2" t="inlineStr"/>
    </row>
    <row r="147" ht="15" customHeight="1">
      <c r="A147" t="inlineStr">
        <is>
          <t>A 61853-2018</t>
        </is>
      </c>
      <c r="B147" s="1" t="n">
        <v>43425</v>
      </c>
      <c r="C147" s="1" t="n">
        <v>45358</v>
      </c>
      <c r="D147" t="inlineStr">
        <is>
          <t>DALARNAS LÄN</t>
        </is>
      </c>
      <c r="E147" t="inlineStr">
        <is>
          <t>ÄLVDALEN</t>
        </is>
      </c>
      <c r="G147" t="n">
        <v>7.5</v>
      </c>
      <c r="H147" t="n">
        <v>0</v>
      </c>
      <c r="I147" t="n">
        <v>0</v>
      </c>
      <c r="J147" t="n">
        <v>0</v>
      </c>
      <c r="K147" t="n">
        <v>0</v>
      </c>
      <c r="L147" t="n">
        <v>0</v>
      </c>
      <c r="M147" t="n">
        <v>0</v>
      </c>
      <c r="N147" t="n">
        <v>0</v>
      </c>
      <c r="O147" t="n">
        <v>0</v>
      </c>
      <c r="P147" t="n">
        <v>0</v>
      </c>
      <c r="Q147" t="n">
        <v>0</v>
      </c>
      <c r="R147" s="2" t="inlineStr"/>
    </row>
    <row r="148" ht="15" customHeight="1">
      <c r="A148" t="inlineStr">
        <is>
          <t>A 62581-2018</t>
        </is>
      </c>
      <c r="B148" s="1" t="n">
        <v>43426</v>
      </c>
      <c r="C148" s="1" t="n">
        <v>45358</v>
      </c>
      <c r="D148" t="inlineStr">
        <is>
          <t>DALARNAS LÄN</t>
        </is>
      </c>
      <c r="E148" t="inlineStr">
        <is>
          <t>ÄLVDALEN</t>
        </is>
      </c>
      <c r="G148" t="n">
        <v>3.6</v>
      </c>
      <c r="H148" t="n">
        <v>0</v>
      </c>
      <c r="I148" t="n">
        <v>0</v>
      </c>
      <c r="J148" t="n">
        <v>0</v>
      </c>
      <c r="K148" t="n">
        <v>0</v>
      </c>
      <c r="L148" t="n">
        <v>0</v>
      </c>
      <c r="M148" t="n">
        <v>0</v>
      </c>
      <c r="N148" t="n">
        <v>0</v>
      </c>
      <c r="O148" t="n">
        <v>0</v>
      </c>
      <c r="P148" t="n">
        <v>0</v>
      </c>
      <c r="Q148" t="n">
        <v>0</v>
      </c>
      <c r="R148" s="2" t="inlineStr"/>
    </row>
    <row r="149" ht="15" customHeight="1">
      <c r="A149" t="inlineStr">
        <is>
          <t>A 63676-2018</t>
        </is>
      </c>
      <c r="B149" s="1" t="n">
        <v>43427</v>
      </c>
      <c r="C149" s="1" t="n">
        <v>45358</v>
      </c>
      <c r="D149" t="inlineStr">
        <is>
          <t>DALARNAS LÄN</t>
        </is>
      </c>
      <c r="E149" t="inlineStr">
        <is>
          <t>ÄLVDALEN</t>
        </is>
      </c>
      <c r="F149" t="inlineStr">
        <is>
          <t>Övriga statliga verk och myndigheter</t>
        </is>
      </c>
      <c r="G149" t="n">
        <v>6.3</v>
      </c>
      <c r="H149" t="n">
        <v>0</v>
      </c>
      <c r="I149" t="n">
        <v>0</v>
      </c>
      <c r="J149" t="n">
        <v>0</v>
      </c>
      <c r="K149" t="n">
        <v>0</v>
      </c>
      <c r="L149" t="n">
        <v>0</v>
      </c>
      <c r="M149" t="n">
        <v>0</v>
      </c>
      <c r="N149" t="n">
        <v>0</v>
      </c>
      <c r="O149" t="n">
        <v>0</v>
      </c>
      <c r="P149" t="n">
        <v>0</v>
      </c>
      <c r="Q149" t="n">
        <v>0</v>
      </c>
      <c r="R149" s="2" t="inlineStr"/>
    </row>
    <row r="150" ht="15" customHeight="1">
      <c r="A150" t="inlineStr">
        <is>
          <t>A 63328-2018</t>
        </is>
      </c>
      <c r="B150" s="1" t="n">
        <v>43427</v>
      </c>
      <c r="C150" s="1" t="n">
        <v>45358</v>
      </c>
      <c r="D150" t="inlineStr">
        <is>
          <t>DALARNAS LÄN</t>
        </is>
      </c>
      <c r="E150" t="inlineStr">
        <is>
          <t>ÄLVDALEN</t>
        </is>
      </c>
      <c r="F150" t="inlineStr">
        <is>
          <t>Allmännings- och besparingsskogar</t>
        </is>
      </c>
      <c r="G150" t="n">
        <v>69.2</v>
      </c>
      <c r="H150" t="n">
        <v>0</v>
      </c>
      <c r="I150" t="n">
        <v>0</v>
      </c>
      <c r="J150" t="n">
        <v>0</v>
      </c>
      <c r="K150" t="n">
        <v>0</v>
      </c>
      <c r="L150" t="n">
        <v>0</v>
      </c>
      <c r="M150" t="n">
        <v>0</v>
      </c>
      <c r="N150" t="n">
        <v>0</v>
      </c>
      <c r="O150" t="n">
        <v>0</v>
      </c>
      <c r="P150" t="n">
        <v>0</v>
      </c>
      <c r="Q150" t="n">
        <v>0</v>
      </c>
      <c r="R150" s="2" t="inlineStr"/>
    </row>
    <row r="151" ht="15" customHeight="1">
      <c r="A151" t="inlineStr">
        <is>
          <t>A 65093-2018</t>
        </is>
      </c>
      <c r="B151" s="1" t="n">
        <v>43432</v>
      </c>
      <c r="C151" s="1" t="n">
        <v>45358</v>
      </c>
      <c r="D151" t="inlineStr">
        <is>
          <t>DALARNAS LÄN</t>
        </is>
      </c>
      <c r="E151" t="inlineStr">
        <is>
          <t>ÄLVDALEN</t>
        </is>
      </c>
      <c r="F151" t="inlineStr">
        <is>
          <t>Bergvik skog öst AB</t>
        </is>
      </c>
      <c r="G151" t="n">
        <v>2.7</v>
      </c>
      <c r="H151" t="n">
        <v>0</v>
      </c>
      <c r="I151" t="n">
        <v>0</v>
      </c>
      <c r="J151" t="n">
        <v>0</v>
      </c>
      <c r="K151" t="n">
        <v>0</v>
      </c>
      <c r="L151" t="n">
        <v>0</v>
      </c>
      <c r="M151" t="n">
        <v>0</v>
      </c>
      <c r="N151" t="n">
        <v>0</v>
      </c>
      <c r="O151" t="n">
        <v>0</v>
      </c>
      <c r="P151" t="n">
        <v>0</v>
      </c>
      <c r="Q151" t="n">
        <v>0</v>
      </c>
      <c r="R151" s="2" t="inlineStr"/>
    </row>
    <row r="152" ht="15" customHeight="1">
      <c r="A152" t="inlineStr">
        <is>
          <t>A 66370-2018</t>
        </is>
      </c>
      <c r="B152" s="1" t="n">
        <v>43436</v>
      </c>
      <c r="C152" s="1" t="n">
        <v>45358</v>
      </c>
      <c r="D152" t="inlineStr">
        <is>
          <t>DALARNAS LÄN</t>
        </is>
      </c>
      <c r="E152" t="inlineStr">
        <is>
          <t>ÄLVDALEN</t>
        </is>
      </c>
      <c r="F152" t="inlineStr">
        <is>
          <t>Övriga statliga verk och myndigheter</t>
        </is>
      </c>
      <c r="G152" t="n">
        <v>4.3</v>
      </c>
      <c r="H152" t="n">
        <v>0</v>
      </c>
      <c r="I152" t="n">
        <v>0</v>
      </c>
      <c r="J152" t="n">
        <v>0</v>
      </c>
      <c r="K152" t="n">
        <v>0</v>
      </c>
      <c r="L152" t="n">
        <v>0</v>
      </c>
      <c r="M152" t="n">
        <v>0</v>
      </c>
      <c r="N152" t="n">
        <v>0</v>
      </c>
      <c r="O152" t="n">
        <v>0</v>
      </c>
      <c r="P152" t="n">
        <v>0</v>
      </c>
      <c r="Q152" t="n">
        <v>0</v>
      </c>
      <c r="R152" s="2" t="inlineStr"/>
    </row>
    <row r="153" ht="15" customHeight="1">
      <c r="A153" t="inlineStr">
        <is>
          <t>A 66371-2018</t>
        </is>
      </c>
      <c r="B153" s="1" t="n">
        <v>43436</v>
      </c>
      <c r="C153" s="1" t="n">
        <v>45358</v>
      </c>
      <c r="D153" t="inlineStr">
        <is>
          <t>DALARNAS LÄN</t>
        </is>
      </c>
      <c r="E153" t="inlineStr">
        <is>
          <t>ÄLVDALEN</t>
        </is>
      </c>
      <c r="F153" t="inlineStr">
        <is>
          <t>Övriga statliga verk och myndigheter</t>
        </is>
      </c>
      <c r="G153" t="n">
        <v>0.7</v>
      </c>
      <c r="H153" t="n">
        <v>0</v>
      </c>
      <c r="I153" t="n">
        <v>0</v>
      </c>
      <c r="J153" t="n">
        <v>0</v>
      </c>
      <c r="K153" t="n">
        <v>0</v>
      </c>
      <c r="L153" t="n">
        <v>0</v>
      </c>
      <c r="M153" t="n">
        <v>0</v>
      </c>
      <c r="N153" t="n">
        <v>0</v>
      </c>
      <c r="O153" t="n">
        <v>0</v>
      </c>
      <c r="P153" t="n">
        <v>0</v>
      </c>
      <c r="Q153" t="n">
        <v>0</v>
      </c>
      <c r="R153" s="2" t="inlineStr"/>
    </row>
    <row r="154" ht="15" customHeight="1">
      <c r="A154" t="inlineStr">
        <is>
          <t>A 66368-2018</t>
        </is>
      </c>
      <c r="B154" s="1" t="n">
        <v>43436</v>
      </c>
      <c r="C154" s="1" t="n">
        <v>45358</v>
      </c>
      <c r="D154" t="inlineStr">
        <is>
          <t>DALARNAS LÄN</t>
        </is>
      </c>
      <c r="E154" t="inlineStr">
        <is>
          <t>ÄLVDALEN</t>
        </is>
      </c>
      <c r="F154" t="inlineStr">
        <is>
          <t>Övriga statliga verk och myndigheter</t>
        </is>
      </c>
      <c r="G154" t="n">
        <v>5.4</v>
      </c>
      <c r="H154" t="n">
        <v>0</v>
      </c>
      <c r="I154" t="n">
        <v>0</v>
      </c>
      <c r="J154" t="n">
        <v>0</v>
      </c>
      <c r="K154" t="n">
        <v>0</v>
      </c>
      <c r="L154" t="n">
        <v>0</v>
      </c>
      <c r="M154" t="n">
        <v>0</v>
      </c>
      <c r="N154" t="n">
        <v>0</v>
      </c>
      <c r="O154" t="n">
        <v>0</v>
      </c>
      <c r="P154" t="n">
        <v>0</v>
      </c>
      <c r="Q154" t="n">
        <v>0</v>
      </c>
      <c r="R154" s="2" t="inlineStr"/>
    </row>
    <row r="155" ht="15" customHeight="1">
      <c r="A155" t="inlineStr">
        <is>
          <t>A 68038-2018</t>
        </is>
      </c>
      <c r="B155" s="1" t="n">
        <v>43437</v>
      </c>
      <c r="C155" s="1" t="n">
        <v>45358</v>
      </c>
      <c r="D155" t="inlineStr">
        <is>
          <t>DALARNAS LÄN</t>
        </is>
      </c>
      <c r="E155" t="inlineStr">
        <is>
          <t>ÄLVDALEN</t>
        </is>
      </c>
      <c r="G155" t="n">
        <v>2.7</v>
      </c>
      <c r="H155" t="n">
        <v>0</v>
      </c>
      <c r="I155" t="n">
        <v>0</v>
      </c>
      <c r="J155" t="n">
        <v>0</v>
      </c>
      <c r="K155" t="n">
        <v>0</v>
      </c>
      <c r="L155" t="n">
        <v>0</v>
      </c>
      <c r="M155" t="n">
        <v>0</v>
      </c>
      <c r="N155" t="n">
        <v>0</v>
      </c>
      <c r="O155" t="n">
        <v>0</v>
      </c>
      <c r="P155" t="n">
        <v>0</v>
      </c>
      <c r="Q155" t="n">
        <v>0</v>
      </c>
      <c r="R155" s="2" t="inlineStr"/>
    </row>
    <row r="156" ht="15" customHeight="1">
      <c r="A156" t="inlineStr">
        <is>
          <t>A 67322-2018</t>
        </is>
      </c>
      <c r="B156" s="1" t="n">
        <v>43439</v>
      </c>
      <c r="C156" s="1" t="n">
        <v>45358</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68795-2018</t>
        </is>
      </c>
      <c r="B157" s="1" t="n">
        <v>43444</v>
      </c>
      <c r="C157" s="1" t="n">
        <v>45358</v>
      </c>
      <c r="D157" t="inlineStr">
        <is>
          <t>DALARNAS LÄN</t>
        </is>
      </c>
      <c r="E157" t="inlineStr">
        <is>
          <t>ÄLVDALEN</t>
        </is>
      </c>
      <c r="G157" t="n">
        <v>0.4</v>
      </c>
      <c r="H157" t="n">
        <v>0</v>
      </c>
      <c r="I157" t="n">
        <v>0</v>
      </c>
      <c r="J157" t="n">
        <v>0</v>
      </c>
      <c r="K157" t="n">
        <v>0</v>
      </c>
      <c r="L157" t="n">
        <v>0</v>
      </c>
      <c r="M157" t="n">
        <v>0</v>
      </c>
      <c r="N157" t="n">
        <v>0</v>
      </c>
      <c r="O157" t="n">
        <v>0</v>
      </c>
      <c r="P157" t="n">
        <v>0</v>
      </c>
      <c r="Q157" t="n">
        <v>0</v>
      </c>
      <c r="R157" s="2" t="inlineStr"/>
    </row>
    <row r="158" ht="15" customHeight="1">
      <c r="A158" t="inlineStr">
        <is>
          <t>A 68788-2018</t>
        </is>
      </c>
      <c r="B158" s="1" t="n">
        <v>43444</v>
      </c>
      <c r="C158" s="1" t="n">
        <v>45358</v>
      </c>
      <c r="D158" t="inlineStr">
        <is>
          <t>DALARNAS LÄN</t>
        </is>
      </c>
      <c r="E158" t="inlineStr">
        <is>
          <t>ÄLVDALEN</t>
        </is>
      </c>
      <c r="G158" t="n">
        <v>6.5</v>
      </c>
      <c r="H158" t="n">
        <v>0</v>
      </c>
      <c r="I158" t="n">
        <v>0</v>
      </c>
      <c r="J158" t="n">
        <v>0</v>
      </c>
      <c r="K158" t="n">
        <v>0</v>
      </c>
      <c r="L158" t="n">
        <v>0</v>
      </c>
      <c r="M158" t="n">
        <v>0</v>
      </c>
      <c r="N158" t="n">
        <v>0</v>
      </c>
      <c r="O158" t="n">
        <v>0</v>
      </c>
      <c r="P158" t="n">
        <v>0</v>
      </c>
      <c r="Q158" t="n">
        <v>0</v>
      </c>
      <c r="R158" s="2" t="inlineStr"/>
    </row>
    <row r="159" ht="15" customHeight="1">
      <c r="A159" t="inlineStr">
        <is>
          <t>A 70001-2018</t>
        </is>
      </c>
      <c r="B159" s="1" t="n">
        <v>43448</v>
      </c>
      <c r="C159" s="1" t="n">
        <v>45358</v>
      </c>
      <c r="D159" t="inlineStr">
        <is>
          <t>DALARNAS LÄN</t>
        </is>
      </c>
      <c r="E159" t="inlineStr">
        <is>
          <t>ÄLVDALEN</t>
        </is>
      </c>
      <c r="G159" t="n">
        <v>0.3</v>
      </c>
      <c r="H159" t="n">
        <v>0</v>
      </c>
      <c r="I159" t="n">
        <v>0</v>
      </c>
      <c r="J159" t="n">
        <v>0</v>
      </c>
      <c r="K159" t="n">
        <v>0</v>
      </c>
      <c r="L159" t="n">
        <v>0</v>
      </c>
      <c r="M159" t="n">
        <v>0</v>
      </c>
      <c r="N159" t="n">
        <v>0</v>
      </c>
      <c r="O159" t="n">
        <v>0</v>
      </c>
      <c r="P159" t="n">
        <v>0</v>
      </c>
      <c r="Q159" t="n">
        <v>0</v>
      </c>
      <c r="R159" s="2" t="inlineStr"/>
    </row>
    <row r="160" ht="15" customHeight="1">
      <c r="A160" t="inlineStr">
        <is>
          <t>A 71798-2018</t>
        </is>
      </c>
      <c r="B160" s="1" t="n">
        <v>43454</v>
      </c>
      <c r="C160" s="1" t="n">
        <v>45358</v>
      </c>
      <c r="D160" t="inlineStr">
        <is>
          <t>DALARNAS LÄN</t>
        </is>
      </c>
      <c r="E160" t="inlineStr">
        <is>
          <t>ÄLVDALEN</t>
        </is>
      </c>
      <c r="G160" t="n">
        <v>14.8</v>
      </c>
      <c r="H160" t="n">
        <v>0</v>
      </c>
      <c r="I160" t="n">
        <v>0</v>
      </c>
      <c r="J160" t="n">
        <v>0</v>
      </c>
      <c r="K160" t="n">
        <v>0</v>
      </c>
      <c r="L160" t="n">
        <v>0</v>
      </c>
      <c r="M160" t="n">
        <v>0</v>
      </c>
      <c r="N160" t="n">
        <v>0</v>
      </c>
      <c r="O160" t="n">
        <v>0</v>
      </c>
      <c r="P160" t="n">
        <v>0</v>
      </c>
      <c r="Q160" t="n">
        <v>0</v>
      </c>
      <c r="R160" s="2" t="inlineStr"/>
    </row>
    <row r="161" ht="15" customHeight="1">
      <c r="A161" t="inlineStr">
        <is>
          <t>A 72010-2018</t>
        </is>
      </c>
      <c r="B161" s="1" t="n">
        <v>43455</v>
      </c>
      <c r="C161" s="1" t="n">
        <v>45358</v>
      </c>
      <c r="D161" t="inlineStr">
        <is>
          <t>DALARNAS LÄN</t>
        </is>
      </c>
      <c r="E161" t="inlineStr">
        <is>
          <t>ÄLVDALEN</t>
        </is>
      </c>
      <c r="G161" t="n">
        <v>1.2</v>
      </c>
      <c r="H161" t="n">
        <v>0</v>
      </c>
      <c r="I161" t="n">
        <v>0</v>
      </c>
      <c r="J161" t="n">
        <v>0</v>
      </c>
      <c r="K161" t="n">
        <v>0</v>
      </c>
      <c r="L161" t="n">
        <v>0</v>
      </c>
      <c r="M161" t="n">
        <v>0</v>
      </c>
      <c r="N161" t="n">
        <v>0</v>
      </c>
      <c r="O161" t="n">
        <v>0</v>
      </c>
      <c r="P161" t="n">
        <v>0</v>
      </c>
      <c r="Q161" t="n">
        <v>0</v>
      </c>
      <c r="R161" s="2" t="inlineStr"/>
    </row>
    <row r="162" ht="15" customHeight="1">
      <c r="A162" t="inlineStr">
        <is>
          <t>A 72454-2018</t>
        </is>
      </c>
      <c r="B162" s="1" t="n">
        <v>43461</v>
      </c>
      <c r="C162" s="1" t="n">
        <v>45358</v>
      </c>
      <c r="D162" t="inlineStr">
        <is>
          <t>DALARNAS LÄN</t>
        </is>
      </c>
      <c r="E162" t="inlineStr">
        <is>
          <t>ÄLVDALEN</t>
        </is>
      </c>
      <c r="G162" t="n">
        <v>5.9</v>
      </c>
      <c r="H162" t="n">
        <v>0</v>
      </c>
      <c r="I162" t="n">
        <v>0</v>
      </c>
      <c r="J162" t="n">
        <v>0</v>
      </c>
      <c r="K162" t="n">
        <v>0</v>
      </c>
      <c r="L162" t="n">
        <v>0</v>
      </c>
      <c r="M162" t="n">
        <v>0</v>
      </c>
      <c r="N162" t="n">
        <v>0</v>
      </c>
      <c r="O162" t="n">
        <v>0</v>
      </c>
      <c r="P162" t="n">
        <v>0</v>
      </c>
      <c r="Q162" t="n">
        <v>0</v>
      </c>
      <c r="R162" s="2" t="inlineStr"/>
    </row>
    <row r="163" ht="15" customHeight="1">
      <c r="A163" t="inlineStr">
        <is>
          <t>A 1693-2019</t>
        </is>
      </c>
      <c r="B163" s="1" t="n">
        <v>43461</v>
      </c>
      <c r="C163" s="1" t="n">
        <v>45358</v>
      </c>
      <c r="D163" t="inlineStr">
        <is>
          <t>DALARNAS LÄN</t>
        </is>
      </c>
      <c r="E163" t="inlineStr">
        <is>
          <t>ÄLVDALEN</t>
        </is>
      </c>
      <c r="G163" t="n">
        <v>0.7</v>
      </c>
      <c r="H163" t="n">
        <v>0</v>
      </c>
      <c r="I163" t="n">
        <v>0</v>
      </c>
      <c r="J163" t="n">
        <v>0</v>
      </c>
      <c r="K163" t="n">
        <v>0</v>
      </c>
      <c r="L163" t="n">
        <v>0</v>
      </c>
      <c r="M163" t="n">
        <v>0</v>
      </c>
      <c r="N163" t="n">
        <v>0</v>
      </c>
      <c r="O163" t="n">
        <v>0</v>
      </c>
      <c r="P163" t="n">
        <v>0</v>
      </c>
      <c r="Q163" t="n">
        <v>0</v>
      </c>
      <c r="R163" s="2" t="inlineStr"/>
    </row>
    <row r="164" ht="15" customHeight="1">
      <c r="A164" t="inlineStr">
        <is>
          <t>A 72459-2018</t>
        </is>
      </c>
      <c r="B164" s="1" t="n">
        <v>43461</v>
      </c>
      <c r="C164" s="1" t="n">
        <v>45358</v>
      </c>
      <c r="D164" t="inlineStr">
        <is>
          <t>DALARNAS LÄN</t>
        </is>
      </c>
      <c r="E164" t="inlineStr">
        <is>
          <t>ÄLVDALEN</t>
        </is>
      </c>
      <c r="G164" t="n">
        <v>2.7</v>
      </c>
      <c r="H164" t="n">
        <v>0</v>
      </c>
      <c r="I164" t="n">
        <v>0</v>
      </c>
      <c r="J164" t="n">
        <v>0</v>
      </c>
      <c r="K164" t="n">
        <v>0</v>
      </c>
      <c r="L164" t="n">
        <v>0</v>
      </c>
      <c r="M164" t="n">
        <v>0</v>
      </c>
      <c r="N164" t="n">
        <v>0</v>
      </c>
      <c r="O164" t="n">
        <v>0</v>
      </c>
      <c r="P164" t="n">
        <v>0</v>
      </c>
      <c r="Q164" t="n">
        <v>0</v>
      </c>
      <c r="R164" s="2" t="inlineStr"/>
    </row>
    <row r="165" ht="15" customHeight="1">
      <c r="A165" t="inlineStr">
        <is>
          <t>A 72499-2018</t>
        </is>
      </c>
      <c r="B165" s="1" t="n">
        <v>43462</v>
      </c>
      <c r="C165" s="1" t="n">
        <v>45358</v>
      </c>
      <c r="D165" t="inlineStr">
        <is>
          <t>DALARNAS LÄN</t>
        </is>
      </c>
      <c r="E165" t="inlineStr">
        <is>
          <t>ÄLVDALEN</t>
        </is>
      </c>
      <c r="G165" t="n">
        <v>0.9</v>
      </c>
      <c r="H165" t="n">
        <v>0</v>
      </c>
      <c r="I165" t="n">
        <v>0</v>
      </c>
      <c r="J165" t="n">
        <v>0</v>
      </c>
      <c r="K165" t="n">
        <v>0</v>
      </c>
      <c r="L165" t="n">
        <v>0</v>
      </c>
      <c r="M165" t="n">
        <v>0</v>
      </c>
      <c r="N165" t="n">
        <v>0</v>
      </c>
      <c r="O165" t="n">
        <v>0</v>
      </c>
      <c r="P165" t="n">
        <v>0</v>
      </c>
      <c r="Q165" t="n">
        <v>0</v>
      </c>
      <c r="R165" s="2" t="inlineStr"/>
    </row>
    <row r="166" ht="15" customHeight="1">
      <c r="A166" t="inlineStr">
        <is>
          <t>A 2032-2019</t>
        </is>
      </c>
      <c r="B166" s="1" t="n">
        <v>43475</v>
      </c>
      <c r="C166" s="1" t="n">
        <v>45358</v>
      </c>
      <c r="D166" t="inlineStr">
        <is>
          <t>DALARNAS LÄN</t>
        </is>
      </c>
      <c r="E166" t="inlineStr">
        <is>
          <t>ÄLVDALEN</t>
        </is>
      </c>
      <c r="G166" t="n">
        <v>3</v>
      </c>
      <c r="H166" t="n">
        <v>0</v>
      </c>
      <c r="I166" t="n">
        <v>0</v>
      </c>
      <c r="J166" t="n">
        <v>0</v>
      </c>
      <c r="K166" t="n">
        <v>0</v>
      </c>
      <c r="L166" t="n">
        <v>0</v>
      </c>
      <c r="M166" t="n">
        <v>0</v>
      </c>
      <c r="N166" t="n">
        <v>0</v>
      </c>
      <c r="O166" t="n">
        <v>0</v>
      </c>
      <c r="P166" t="n">
        <v>0</v>
      </c>
      <c r="Q166" t="n">
        <v>0</v>
      </c>
      <c r="R166" s="2" t="inlineStr"/>
    </row>
    <row r="167" ht="15" customHeight="1">
      <c r="A167" t="inlineStr">
        <is>
          <t>A 2051-2019</t>
        </is>
      </c>
      <c r="B167" s="1" t="n">
        <v>43475</v>
      </c>
      <c r="C167" s="1" t="n">
        <v>45358</v>
      </c>
      <c r="D167" t="inlineStr">
        <is>
          <t>DALARNAS LÄN</t>
        </is>
      </c>
      <c r="E167" t="inlineStr">
        <is>
          <t>ÄLVDALEN</t>
        </is>
      </c>
      <c r="G167" t="n">
        <v>1.7</v>
      </c>
      <c r="H167" t="n">
        <v>0</v>
      </c>
      <c r="I167" t="n">
        <v>0</v>
      </c>
      <c r="J167" t="n">
        <v>0</v>
      </c>
      <c r="K167" t="n">
        <v>0</v>
      </c>
      <c r="L167" t="n">
        <v>0</v>
      </c>
      <c r="M167" t="n">
        <v>0</v>
      </c>
      <c r="N167" t="n">
        <v>0</v>
      </c>
      <c r="O167" t="n">
        <v>0</v>
      </c>
      <c r="P167" t="n">
        <v>0</v>
      </c>
      <c r="Q167" t="n">
        <v>0</v>
      </c>
      <c r="R167" s="2" t="inlineStr"/>
    </row>
    <row r="168" ht="15" customHeight="1">
      <c r="A168" t="inlineStr">
        <is>
          <t>A 4292-2019</t>
        </is>
      </c>
      <c r="B168" s="1" t="n">
        <v>43483</v>
      </c>
      <c r="C168" s="1" t="n">
        <v>45358</v>
      </c>
      <c r="D168" t="inlineStr">
        <is>
          <t>DALARNAS LÄN</t>
        </is>
      </c>
      <c r="E168" t="inlineStr">
        <is>
          <t>ÄLVDALEN</t>
        </is>
      </c>
      <c r="F168" t="inlineStr">
        <is>
          <t>Allmännings- och besparingsskogar</t>
        </is>
      </c>
      <c r="G168" t="n">
        <v>48.1</v>
      </c>
      <c r="H168" t="n">
        <v>0</v>
      </c>
      <c r="I168" t="n">
        <v>0</v>
      </c>
      <c r="J168" t="n">
        <v>0</v>
      </c>
      <c r="K168" t="n">
        <v>0</v>
      </c>
      <c r="L168" t="n">
        <v>0</v>
      </c>
      <c r="M168" t="n">
        <v>0</v>
      </c>
      <c r="N168" t="n">
        <v>0</v>
      </c>
      <c r="O168" t="n">
        <v>0</v>
      </c>
      <c r="P168" t="n">
        <v>0</v>
      </c>
      <c r="Q168" t="n">
        <v>0</v>
      </c>
      <c r="R168" s="2" t="inlineStr"/>
    </row>
    <row r="169" ht="15" customHeight="1">
      <c r="A169" t="inlineStr">
        <is>
          <t>A 4706-2019</t>
        </is>
      </c>
      <c r="B169" s="1" t="n">
        <v>43486</v>
      </c>
      <c r="C169" s="1" t="n">
        <v>45358</v>
      </c>
      <c r="D169" t="inlineStr">
        <is>
          <t>DALARNAS LÄN</t>
        </is>
      </c>
      <c r="E169" t="inlineStr">
        <is>
          <t>ÄLVDALEN</t>
        </is>
      </c>
      <c r="G169" t="n">
        <v>0.4</v>
      </c>
      <c r="H169" t="n">
        <v>0</v>
      </c>
      <c r="I169" t="n">
        <v>0</v>
      </c>
      <c r="J169" t="n">
        <v>0</v>
      </c>
      <c r="K169" t="n">
        <v>0</v>
      </c>
      <c r="L169" t="n">
        <v>0</v>
      </c>
      <c r="M169" t="n">
        <v>0</v>
      </c>
      <c r="N169" t="n">
        <v>0</v>
      </c>
      <c r="O169" t="n">
        <v>0</v>
      </c>
      <c r="P169" t="n">
        <v>0</v>
      </c>
      <c r="Q169" t="n">
        <v>0</v>
      </c>
      <c r="R169" s="2" t="inlineStr"/>
    </row>
    <row r="170" ht="15" customHeight="1">
      <c r="A170" t="inlineStr">
        <is>
          <t>A 7226-2019</t>
        </is>
      </c>
      <c r="B170" s="1" t="n">
        <v>43490</v>
      </c>
      <c r="C170" s="1" t="n">
        <v>45358</v>
      </c>
      <c r="D170" t="inlineStr">
        <is>
          <t>DALARNAS LÄN</t>
        </is>
      </c>
      <c r="E170" t="inlineStr">
        <is>
          <t>ÄLVDALEN</t>
        </is>
      </c>
      <c r="G170" t="n">
        <v>2.2</v>
      </c>
      <c r="H170" t="n">
        <v>0</v>
      </c>
      <c r="I170" t="n">
        <v>0</v>
      </c>
      <c r="J170" t="n">
        <v>0</v>
      </c>
      <c r="K170" t="n">
        <v>0</v>
      </c>
      <c r="L170" t="n">
        <v>0</v>
      </c>
      <c r="M170" t="n">
        <v>0</v>
      </c>
      <c r="N170" t="n">
        <v>0</v>
      </c>
      <c r="O170" t="n">
        <v>0</v>
      </c>
      <c r="P170" t="n">
        <v>0</v>
      </c>
      <c r="Q170" t="n">
        <v>0</v>
      </c>
      <c r="R170" s="2" t="inlineStr"/>
    </row>
    <row r="171" ht="15" customHeight="1">
      <c r="A171" t="inlineStr">
        <is>
          <t>A 7241-2019</t>
        </is>
      </c>
      <c r="B171" s="1" t="n">
        <v>43490</v>
      </c>
      <c r="C171" s="1" t="n">
        <v>45358</v>
      </c>
      <c r="D171" t="inlineStr">
        <is>
          <t>DALARNAS LÄN</t>
        </is>
      </c>
      <c r="E171" t="inlineStr">
        <is>
          <t>ÄLVDALEN</t>
        </is>
      </c>
      <c r="G171" t="n">
        <v>1</v>
      </c>
      <c r="H171" t="n">
        <v>0</v>
      </c>
      <c r="I171" t="n">
        <v>0</v>
      </c>
      <c r="J171" t="n">
        <v>0</v>
      </c>
      <c r="K171" t="n">
        <v>0</v>
      </c>
      <c r="L171" t="n">
        <v>0</v>
      </c>
      <c r="M171" t="n">
        <v>0</v>
      </c>
      <c r="N171" t="n">
        <v>0</v>
      </c>
      <c r="O171" t="n">
        <v>0</v>
      </c>
      <c r="P171" t="n">
        <v>0</v>
      </c>
      <c r="Q171" t="n">
        <v>0</v>
      </c>
      <c r="R171" s="2" t="inlineStr"/>
    </row>
    <row r="172" ht="15" customHeight="1">
      <c r="A172" t="inlineStr">
        <is>
          <t>A 8327-2019</t>
        </is>
      </c>
      <c r="B172" s="1" t="n">
        <v>43497</v>
      </c>
      <c r="C172" s="1" t="n">
        <v>45358</v>
      </c>
      <c r="D172" t="inlineStr">
        <is>
          <t>DALARNAS LÄN</t>
        </is>
      </c>
      <c r="E172" t="inlineStr">
        <is>
          <t>ÄLVDALEN</t>
        </is>
      </c>
      <c r="G172" t="n">
        <v>0.6</v>
      </c>
      <c r="H172" t="n">
        <v>0</v>
      </c>
      <c r="I172" t="n">
        <v>0</v>
      </c>
      <c r="J172" t="n">
        <v>0</v>
      </c>
      <c r="K172" t="n">
        <v>0</v>
      </c>
      <c r="L172" t="n">
        <v>0</v>
      </c>
      <c r="M172" t="n">
        <v>0</v>
      </c>
      <c r="N172" t="n">
        <v>0</v>
      </c>
      <c r="O172" t="n">
        <v>0</v>
      </c>
      <c r="P172" t="n">
        <v>0</v>
      </c>
      <c r="Q172" t="n">
        <v>0</v>
      </c>
      <c r="R172" s="2" t="inlineStr"/>
    </row>
    <row r="173" ht="15" customHeight="1">
      <c r="A173" t="inlineStr">
        <is>
          <t>A 8308-2019</t>
        </is>
      </c>
      <c r="B173" s="1" t="n">
        <v>43497</v>
      </c>
      <c r="C173" s="1" t="n">
        <v>45358</v>
      </c>
      <c r="D173" t="inlineStr">
        <is>
          <t>DALARNAS LÄN</t>
        </is>
      </c>
      <c r="E173" t="inlineStr">
        <is>
          <t>ÄLVDALEN</t>
        </is>
      </c>
      <c r="G173" t="n">
        <v>5.2</v>
      </c>
      <c r="H173" t="n">
        <v>0</v>
      </c>
      <c r="I173" t="n">
        <v>0</v>
      </c>
      <c r="J173" t="n">
        <v>0</v>
      </c>
      <c r="K173" t="n">
        <v>0</v>
      </c>
      <c r="L173" t="n">
        <v>0</v>
      </c>
      <c r="M173" t="n">
        <v>0</v>
      </c>
      <c r="N173" t="n">
        <v>0</v>
      </c>
      <c r="O173" t="n">
        <v>0</v>
      </c>
      <c r="P173" t="n">
        <v>0</v>
      </c>
      <c r="Q173" t="n">
        <v>0</v>
      </c>
      <c r="R173" s="2" t="inlineStr"/>
    </row>
    <row r="174" ht="15" customHeight="1">
      <c r="A174" t="inlineStr">
        <is>
          <t>A 8330-2019</t>
        </is>
      </c>
      <c r="B174" s="1" t="n">
        <v>43497</v>
      </c>
      <c r="C174" s="1" t="n">
        <v>45358</v>
      </c>
      <c r="D174" t="inlineStr">
        <is>
          <t>DALARNAS LÄN</t>
        </is>
      </c>
      <c r="E174" t="inlineStr">
        <is>
          <t>ÄLVDALEN</t>
        </is>
      </c>
      <c r="G174" t="n">
        <v>2.1</v>
      </c>
      <c r="H174" t="n">
        <v>0</v>
      </c>
      <c r="I174" t="n">
        <v>0</v>
      </c>
      <c r="J174" t="n">
        <v>0</v>
      </c>
      <c r="K174" t="n">
        <v>0</v>
      </c>
      <c r="L174" t="n">
        <v>0</v>
      </c>
      <c r="M174" t="n">
        <v>0</v>
      </c>
      <c r="N174" t="n">
        <v>0</v>
      </c>
      <c r="O174" t="n">
        <v>0</v>
      </c>
      <c r="P174" t="n">
        <v>0</v>
      </c>
      <c r="Q174" t="n">
        <v>0</v>
      </c>
      <c r="R174" s="2" t="inlineStr"/>
    </row>
    <row r="175" ht="15" customHeight="1">
      <c r="A175" t="inlineStr">
        <is>
          <t>A 9079-2019</t>
        </is>
      </c>
      <c r="B175" s="1" t="n">
        <v>43504</v>
      </c>
      <c r="C175" s="1" t="n">
        <v>45358</v>
      </c>
      <c r="D175" t="inlineStr">
        <is>
          <t>DALARNAS LÄN</t>
        </is>
      </c>
      <c r="E175" t="inlineStr">
        <is>
          <t>ÄLVDALEN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12162-2019</t>
        </is>
      </c>
      <c r="B176" s="1" t="n">
        <v>43522</v>
      </c>
      <c r="C176" s="1" t="n">
        <v>45358</v>
      </c>
      <c r="D176" t="inlineStr">
        <is>
          <t>DALARNAS LÄN</t>
        </is>
      </c>
      <c r="E176" t="inlineStr">
        <is>
          <t>ÄLVDALEN</t>
        </is>
      </c>
      <c r="G176" t="n">
        <v>1.8</v>
      </c>
      <c r="H176" t="n">
        <v>0</v>
      </c>
      <c r="I176" t="n">
        <v>0</v>
      </c>
      <c r="J176" t="n">
        <v>0</v>
      </c>
      <c r="K176" t="n">
        <v>0</v>
      </c>
      <c r="L176" t="n">
        <v>0</v>
      </c>
      <c r="M176" t="n">
        <v>0</v>
      </c>
      <c r="N176" t="n">
        <v>0</v>
      </c>
      <c r="O176" t="n">
        <v>0</v>
      </c>
      <c r="P176" t="n">
        <v>0</v>
      </c>
      <c r="Q176" t="n">
        <v>0</v>
      </c>
      <c r="R176" s="2" t="inlineStr"/>
    </row>
    <row r="177" ht="15" customHeight="1">
      <c r="A177" t="inlineStr">
        <is>
          <t>A 16345-2019</t>
        </is>
      </c>
      <c r="B177" s="1" t="n">
        <v>43545</v>
      </c>
      <c r="C177" s="1" t="n">
        <v>45358</v>
      </c>
      <c r="D177" t="inlineStr">
        <is>
          <t>DALARNAS LÄN</t>
        </is>
      </c>
      <c r="E177" t="inlineStr">
        <is>
          <t>ÄLVDALEN</t>
        </is>
      </c>
      <c r="G177" t="n">
        <v>1.5</v>
      </c>
      <c r="H177" t="n">
        <v>0</v>
      </c>
      <c r="I177" t="n">
        <v>0</v>
      </c>
      <c r="J177" t="n">
        <v>0</v>
      </c>
      <c r="K177" t="n">
        <v>0</v>
      </c>
      <c r="L177" t="n">
        <v>0</v>
      </c>
      <c r="M177" t="n">
        <v>0</v>
      </c>
      <c r="N177" t="n">
        <v>0</v>
      </c>
      <c r="O177" t="n">
        <v>0</v>
      </c>
      <c r="P177" t="n">
        <v>0</v>
      </c>
      <c r="Q177" t="n">
        <v>0</v>
      </c>
      <c r="R177" s="2" t="inlineStr"/>
    </row>
    <row r="178" ht="15" customHeight="1">
      <c r="A178" t="inlineStr">
        <is>
          <t>A 16439-2019</t>
        </is>
      </c>
      <c r="B178" s="1" t="n">
        <v>43546</v>
      </c>
      <c r="C178" s="1" t="n">
        <v>45358</v>
      </c>
      <c r="D178" t="inlineStr">
        <is>
          <t>DALARNAS LÄN</t>
        </is>
      </c>
      <c r="E178" t="inlineStr">
        <is>
          <t>ÄLVDALEN</t>
        </is>
      </c>
      <c r="G178" t="n">
        <v>7.8</v>
      </c>
      <c r="H178" t="n">
        <v>0</v>
      </c>
      <c r="I178" t="n">
        <v>0</v>
      </c>
      <c r="J178" t="n">
        <v>0</v>
      </c>
      <c r="K178" t="n">
        <v>0</v>
      </c>
      <c r="L178" t="n">
        <v>0</v>
      </c>
      <c r="M178" t="n">
        <v>0</v>
      </c>
      <c r="N178" t="n">
        <v>0</v>
      </c>
      <c r="O178" t="n">
        <v>0</v>
      </c>
      <c r="P178" t="n">
        <v>0</v>
      </c>
      <c r="Q178" t="n">
        <v>0</v>
      </c>
      <c r="R178" s="2" t="inlineStr"/>
    </row>
    <row r="179" ht="15" customHeight="1">
      <c r="A179" t="inlineStr">
        <is>
          <t>A 16443-2019</t>
        </is>
      </c>
      <c r="B179" s="1" t="n">
        <v>43546</v>
      </c>
      <c r="C179" s="1" t="n">
        <v>45358</v>
      </c>
      <c r="D179" t="inlineStr">
        <is>
          <t>DALARNAS LÄN</t>
        </is>
      </c>
      <c r="E179" t="inlineStr">
        <is>
          <t>ÄLVDALEN</t>
        </is>
      </c>
      <c r="G179" t="n">
        <v>2.2</v>
      </c>
      <c r="H179" t="n">
        <v>0</v>
      </c>
      <c r="I179" t="n">
        <v>0</v>
      </c>
      <c r="J179" t="n">
        <v>0</v>
      </c>
      <c r="K179" t="n">
        <v>0</v>
      </c>
      <c r="L179" t="n">
        <v>0</v>
      </c>
      <c r="M179" t="n">
        <v>0</v>
      </c>
      <c r="N179" t="n">
        <v>0</v>
      </c>
      <c r="O179" t="n">
        <v>0</v>
      </c>
      <c r="P179" t="n">
        <v>0</v>
      </c>
      <c r="Q179" t="n">
        <v>0</v>
      </c>
      <c r="R179" s="2" t="inlineStr"/>
    </row>
    <row r="180" ht="15" customHeight="1">
      <c r="A180" t="inlineStr">
        <is>
          <t>A 16747-2019</t>
        </is>
      </c>
      <c r="B180" s="1" t="n">
        <v>43549</v>
      </c>
      <c r="C180" s="1" t="n">
        <v>45358</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17015-2019</t>
        </is>
      </c>
      <c r="B181" s="1" t="n">
        <v>43550</v>
      </c>
      <c r="C181" s="1" t="n">
        <v>45358</v>
      </c>
      <c r="D181" t="inlineStr">
        <is>
          <t>DALARNAS LÄN</t>
        </is>
      </c>
      <c r="E181" t="inlineStr">
        <is>
          <t>ÄLVDALEN</t>
        </is>
      </c>
      <c r="G181" t="n">
        <v>2.8</v>
      </c>
      <c r="H181" t="n">
        <v>0</v>
      </c>
      <c r="I181" t="n">
        <v>0</v>
      </c>
      <c r="J181" t="n">
        <v>0</v>
      </c>
      <c r="K181" t="n">
        <v>0</v>
      </c>
      <c r="L181" t="n">
        <v>0</v>
      </c>
      <c r="M181" t="n">
        <v>0</v>
      </c>
      <c r="N181" t="n">
        <v>0</v>
      </c>
      <c r="O181" t="n">
        <v>0</v>
      </c>
      <c r="P181" t="n">
        <v>0</v>
      </c>
      <c r="Q181" t="n">
        <v>0</v>
      </c>
      <c r="R181" s="2" t="inlineStr"/>
    </row>
    <row r="182" ht="15" customHeight="1">
      <c r="A182" t="inlineStr">
        <is>
          <t>A 17228-2019</t>
        </is>
      </c>
      <c r="B182" s="1" t="n">
        <v>43552</v>
      </c>
      <c r="C182" s="1" t="n">
        <v>45358</v>
      </c>
      <c r="D182" t="inlineStr">
        <is>
          <t>DALARNAS LÄN</t>
        </is>
      </c>
      <c r="E182" t="inlineStr">
        <is>
          <t>ÄLVDALEN</t>
        </is>
      </c>
      <c r="F182" t="inlineStr">
        <is>
          <t>Övriga statliga verk och myndigheter</t>
        </is>
      </c>
      <c r="G182" t="n">
        <v>36.8</v>
      </c>
      <c r="H182" t="n">
        <v>0</v>
      </c>
      <c r="I182" t="n">
        <v>0</v>
      </c>
      <c r="J182" t="n">
        <v>0</v>
      </c>
      <c r="K182" t="n">
        <v>0</v>
      </c>
      <c r="L182" t="n">
        <v>0</v>
      </c>
      <c r="M182" t="n">
        <v>0</v>
      </c>
      <c r="N182" t="n">
        <v>0</v>
      </c>
      <c r="O182" t="n">
        <v>0</v>
      </c>
      <c r="P182" t="n">
        <v>0</v>
      </c>
      <c r="Q182" t="n">
        <v>0</v>
      </c>
      <c r="R182" s="2" t="inlineStr"/>
    </row>
    <row r="183" ht="15" customHeight="1">
      <c r="A183" t="inlineStr">
        <is>
          <t>A 17751-2019</t>
        </is>
      </c>
      <c r="B183" s="1" t="n">
        <v>43556</v>
      </c>
      <c r="C183" s="1" t="n">
        <v>45358</v>
      </c>
      <c r="D183" t="inlineStr">
        <is>
          <t>DALARNAS LÄN</t>
        </is>
      </c>
      <c r="E183" t="inlineStr">
        <is>
          <t>ÄLVDALEN</t>
        </is>
      </c>
      <c r="G183" t="n">
        <v>2.5</v>
      </c>
      <c r="H183" t="n">
        <v>0</v>
      </c>
      <c r="I183" t="n">
        <v>0</v>
      </c>
      <c r="J183" t="n">
        <v>0</v>
      </c>
      <c r="K183" t="n">
        <v>0</v>
      </c>
      <c r="L183" t="n">
        <v>0</v>
      </c>
      <c r="M183" t="n">
        <v>0</v>
      </c>
      <c r="N183" t="n">
        <v>0</v>
      </c>
      <c r="O183" t="n">
        <v>0</v>
      </c>
      <c r="P183" t="n">
        <v>0</v>
      </c>
      <c r="Q183" t="n">
        <v>0</v>
      </c>
      <c r="R183" s="2" t="inlineStr"/>
    </row>
    <row r="184" ht="15" customHeight="1">
      <c r="A184" t="inlineStr">
        <is>
          <t>A 17741-2019</t>
        </is>
      </c>
      <c r="B184" s="1" t="n">
        <v>43556</v>
      </c>
      <c r="C184" s="1" t="n">
        <v>45358</v>
      </c>
      <c r="D184" t="inlineStr">
        <is>
          <t>DALARNAS LÄN</t>
        </is>
      </c>
      <c r="E184" t="inlineStr">
        <is>
          <t>ÄLVDALEN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20104-2019</t>
        </is>
      </c>
      <c r="B185" s="1" t="n">
        <v>43570</v>
      </c>
      <c r="C185" s="1" t="n">
        <v>45358</v>
      </c>
      <c r="D185" t="inlineStr">
        <is>
          <t>DALARNAS LÄN</t>
        </is>
      </c>
      <c r="E185" t="inlineStr">
        <is>
          <t>ÄLVDALEN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20004-2019</t>
        </is>
      </c>
      <c r="B186" s="1" t="n">
        <v>43570</v>
      </c>
      <c r="C186" s="1" t="n">
        <v>45358</v>
      </c>
      <c r="D186" t="inlineStr">
        <is>
          <t>DALARNAS LÄN</t>
        </is>
      </c>
      <c r="E186" t="inlineStr">
        <is>
          <t>ÄLVDALEN</t>
        </is>
      </c>
      <c r="G186" t="n">
        <v>2.2</v>
      </c>
      <c r="H186" t="n">
        <v>0</v>
      </c>
      <c r="I186" t="n">
        <v>0</v>
      </c>
      <c r="J186" t="n">
        <v>0</v>
      </c>
      <c r="K186" t="n">
        <v>0</v>
      </c>
      <c r="L186" t="n">
        <v>0</v>
      </c>
      <c r="M186" t="n">
        <v>0</v>
      </c>
      <c r="N186" t="n">
        <v>0</v>
      </c>
      <c r="O186" t="n">
        <v>0</v>
      </c>
      <c r="P186" t="n">
        <v>0</v>
      </c>
      <c r="Q186" t="n">
        <v>0</v>
      </c>
      <c r="R186" s="2" t="inlineStr"/>
    </row>
    <row r="187" ht="15" customHeight="1">
      <c r="A187" t="inlineStr">
        <is>
          <t>A 20948-2019</t>
        </is>
      </c>
      <c r="B187" s="1" t="n">
        <v>43578</v>
      </c>
      <c r="C187" s="1" t="n">
        <v>45358</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20962-2019</t>
        </is>
      </c>
      <c r="B188" s="1" t="n">
        <v>43578</v>
      </c>
      <c r="C188" s="1" t="n">
        <v>45358</v>
      </c>
      <c r="D188" t="inlineStr">
        <is>
          <t>DALARNAS LÄN</t>
        </is>
      </c>
      <c r="E188" t="inlineStr">
        <is>
          <t>ÄLVDALEN</t>
        </is>
      </c>
      <c r="G188" t="n">
        <v>1.4</v>
      </c>
      <c r="H188" t="n">
        <v>0</v>
      </c>
      <c r="I188" t="n">
        <v>0</v>
      </c>
      <c r="J188" t="n">
        <v>0</v>
      </c>
      <c r="K188" t="n">
        <v>0</v>
      </c>
      <c r="L188" t="n">
        <v>0</v>
      </c>
      <c r="M188" t="n">
        <v>0</v>
      </c>
      <c r="N188" t="n">
        <v>0</v>
      </c>
      <c r="O188" t="n">
        <v>0</v>
      </c>
      <c r="P188" t="n">
        <v>0</v>
      </c>
      <c r="Q188" t="n">
        <v>0</v>
      </c>
      <c r="R188" s="2" t="inlineStr"/>
    </row>
    <row r="189" ht="15" customHeight="1">
      <c r="A189" t="inlineStr">
        <is>
          <t>A 21717-2019</t>
        </is>
      </c>
      <c r="B189" s="1" t="n">
        <v>43581</v>
      </c>
      <c r="C189" s="1" t="n">
        <v>45358</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21969-2019</t>
        </is>
      </c>
      <c r="B190" s="1" t="n">
        <v>43584</v>
      </c>
      <c r="C190" s="1" t="n">
        <v>45358</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23360-2019</t>
        </is>
      </c>
      <c r="B191" s="1" t="n">
        <v>43593</v>
      </c>
      <c r="C191" s="1" t="n">
        <v>45358</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23946-2019</t>
        </is>
      </c>
      <c r="B192" s="1" t="n">
        <v>43596</v>
      </c>
      <c r="C192" s="1" t="n">
        <v>45358</v>
      </c>
      <c r="D192" t="inlineStr">
        <is>
          <t>DALARNAS LÄN</t>
        </is>
      </c>
      <c r="E192" t="inlineStr">
        <is>
          <t>ÄLVDALEN</t>
        </is>
      </c>
      <c r="G192" t="n">
        <v>3.6</v>
      </c>
      <c r="H192" t="n">
        <v>0</v>
      </c>
      <c r="I192" t="n">
        <v>0</v>
      </c>
      <c r="J192" t="n">
        <v>0</v>
      </c>
      <c r="K192" t="n">
        <v>0</v>
      </c>
      <c r="L192" t="n">
        <v>0</v>
      </c>
      <c r="M192" t="n">
        <v>0</v>
      </c>
      <c r="N192" t="n">
        <v>0</v>
      </c>
      <c r="O192" t="n">
        <v>0</v>
      </c>
      <c r="P192" t="n">
        <v>0</v>
      </c>
      <c r="Q192" t="n">
        <v>0</v>
      </c>
      <c r="R192" s="2" t="inlineStr"/>
    </row>
    <row r="193" ht="15" customHeight="1">
      <c r="A193" t="inlineStr">
        <is>
          <t>A 24651-2019</t>
        </is>
      </c>
      <c r="B193" s="1" t="n">
        <v>43601</v>
      </c>
      <c r="C193" s="1" t="n">
        <v>45358</v>
      </c>
      <c r="D193" t="inlineStr">
        <is>
          <t>DALARNAS LÄN</t>
        </is>
      </c>
      <c r="E193" t="inlineStr">
        <is>
          <t>ÄLVDALEN</t>
        </is>
      </c>
      <c r="G193" t="n">
        <v>10.1</v>
      </c>
      <c r="H193" t="n">
        <v>0</v>
      </c>
      <c r="I193" t="n">
        <v>0</v>
      </c>
      <c r="J193" t="n">
        <v>0</v>
      </c>
      <c r="K193" t="n">
        <v>0</v>
      </c>
      <c r="L193" t="n">
        <v>0</v>
      </c>
      <c r="M193" t="n">
        <v>0</v>
      </c>
      <c r="N193" t="n">
        <v>0</v>
      </c>
      <c r="O193" t="n">
        <v>0</v>
      </c>
      <c r="P193" t="n">
        <v>0</v>
      </c>
      <c r="Q193" t="n">
        <v>0</v>
      </c>
      <c r="R193" s="2" t="inlineStr"/>
    </row>
    <row r="194" ht="15" customHeight="1">
      <c r="A194" t="inlineStr">
        <is>
          <t>A 25001-2019</t>
        </is>
      </c>
      <c r="B194" s="1" t="n">
        <v>43602</v>
      </c>
      <c r="C194" s="1" t="n">
        <v>45358</v>
      </c>
      <c r="D194" t="inlineStr">
        <is>
          <t>DALARNAS LÄN</t>
        </is>
      </c>
      <c r="E194" t="inlineStr">
        <is>
          <t>ÄLVDALEN</t>
        </is>
      </c>
      <c r="F194" t="inlineStr">
        <is>
          <t>Kommuner</t>
        </is>
      </c>
      <c r="G194" t="n">
        <v>4.8</v>
      </c>
      <c r="H194" t="n">
        <v>0</v>
      </c>
      <c r="I194" t="n">
        <v>0</v>
      </c>
      <c r="J194" t="n">
        <v>0</v>
      </c>
      <c r="K194" t="n">
        <v>0</v>
      </c>
      <c r="L194" t="n">
        <v>0</v>
      </c>
      <c r="M194" t="n">
        <v>0</v>
      </c>
      <c r="N194" t="n">
        <v>0</v>
      </c>
      <c r="O194" t="n">
        <v>0</v>
      </c>
      <c r="P194" t="n">
        <v>0</v>
      </c>
      <c r="Q194" t="n">
        <v>0</v>
      </c>
      <c r="R194" s="2" t="inlineStr"/>
    </row>
    <row r="195" ht="15" customHeight="1">
      <c r="A195" t="inlineStr">
        <is>
          <t>A 26164-2019</t>
        </is>
      </c>
      <c r="B195" s="1" t="n">
        <v>43609</v>
      </c>
      <c r="C195" s="1" t="n">
        <v>45358</v>
      </c>
      <c r="D195" t="inlineStr">
        <is>
          <t>DALARNAS LÄN</t>
        </is>
      </c>
      <c r="E195" t="inlineStr">
        <is>
          <t>ÄLVDALEN</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26127-2019</t>
        </is>
      </c>
      <c r="B196" s="1" t="n">
        <v>43609</v>
      </c>
      <c r="C196" s="1" t="n">
        <v>45358</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27077-2019</t>
        </is>
      </c>
      <c r="B197" s="1" t="n">
        <v>43609</v>
      </c>
      <c r="C197" s="1" t="n">
        <v>45358</v>
      </c>
      <c r="D197" t="inlineStr">
        <is>
          <t>DALARNAS LÄN</t>
        </is>
      </c>
      <c r="E197" t="inlineStr">
        <is>
          <t>ÄLVDALEN</t>
        </is>
      </c>
      <c r="G197" t="n">
        <v>7.4</v>
      </c>
      <c r="H197" t="n">
        <v>0</v>
      </c>
      <c r="I197" t="n">
        <v>0</v>
      </c>
      <c r="J197" t="n">
        <v>0</v>
      </c>
      <c r="K197" t="n">
        <v>0</v>
      </c>
      <c r="L197" t="n">
        <v>0</v>
      </c>
      <c r="M197" t="n">
        <v>0</v>
      </c>
      <c r="N197" t="n">
        <v>0</v>
      </c>
      <c r="O197" t="n">
        <v>0</v>
      </c>
      <c r="P197" t="n">
        <v>0</v>
      </c>
      <c r="Q197" t="n">
        <v>0</v>
      </c>
      <c r="R197" s="2" t="inlineStr"/>
    </row>
    <row r="198" ht="15" customHeight="1">
      <c r="A198" t="inlineStr">
        <is>
          <t>A 26103-2019</t>
        </is>
      </c>
      <c r="B198" s="1" t="n">
        <v>43609</v>
      </c>
      <c r="C198" s="1" t="n">
        <v>45358</v>
      </c>
      <c r="D198" t="inlineStr">
        <is>
          <t>DALARNAS LÄN</t>
        </is>
      </c>
      <c r="E198" t="inlineStr">
        <is>
          <t>ÄLVDALEN</t>
        </is>
      </c>
      <c r="G198" t="n">
        <v>12.7</v>
      </c>
      <c r="H198" t="n">
        <v>0</v>
      </c>
      <c r="I198" t="n">
        <v>0</v>
      </c>
      <c r="J198" t="n">
        <v>0</v>
      </c>
      <c r="K198" t="n">
        <v>0</v>
      </c>
      <c r="L198" t="n">
        <v>0</v>
      </c>
      <c r="M198" t="n">
        <v>0</v>
      </c>
      <c r="N198" t="n">
        <v>0</v>
      </c>
      <c r="O198" t="n">
        <v>0</v>
      </c>
      <c r="P198" t="n">
        <v>0</v>
      </c>
      <c r="Q198" t="n">
        <v>0</v>
      </c>
      <c r="R198" s="2" t="inlineStr"/>
    </row>
    <row r="199" ht="15" customHeight="1">
      <c r="A199" t="inlineStr">
        <is>
          <t>A 26910-2019</t>
        </is>
      </c>
      <c r="B199" s="1" t="n">
        <v>43613</v>
      </c>
      <c r="C199" s="1" t="n">
        <v>45358</v>
      </c>
      <c r="D199" t="inlineStr">
        <is>
          <t>DALARNAS LÄN</t>
        </is>
      </c>
      <c r="E199" t="inlineStr">
        <is>
          <t>ÄLVDALEN</t>
        </is>
      </c>
      <c r="G199" t="n">
        <v>4.1</v>
      </c>
      <c r="H199" t="n">
        <v>0</v>
      </c>
      <c r="I199" t="n">
        <v>0</v>
      </c>
      <c r="J199" t="n">
        <v>0</v>
      </c>
      <c r="K199" t="n">
        <v>0</v>
      </c>
      <c r="L199" t="n">
        <v>0</v>
      </c>
      <c r="M199" t="n">
        <v>0</v>
      </c>
      <c r="N199" t="n">
        <v>0</v>
      </c>
      <c r="O199" t="n">
        <v>0</v>
      </c>
      <c r="P199" t="n">
        <v>0</v>
      </c>
      <c r="Q199" t="n">
        <v>0</v>
      </c>
      <c r="R199" s="2" t="inlineStr"/>
    </row>
    <row r="200" ht="15" customHeight="1">
      <c r="A200" t="inlineStr">
        <is>
          <t>A 27720-2019</t>
        </is>
      </c>
      <c r="B200" s="1" t="n">
        <v>43619</v>
      </c>
      <c r="C200" s="1" t="n">
        <v>45358</v>
      </c>
      <c r="D200" t="inlineStr">
        <is>
          <t>DALARNAS LÄN</t>
        </is>
      </c>
      <c r="E200" t="inlineStr">
        <is>
          <t>ÄLVDALEN</t>
        </is>
      </c>
      <c r="F200" t="inlineStr">
        <is>
          <t>Bergvik skog väst AB</t>
        </is>
      </c>
      <c r="G200" t="n">
        <v>12.4</v>
      </c>
      <c r="H200" t="n">
        <v>0</v>
      </c>
      <c r="I200" t="n">
        <v>0</v>
      </c>
      <c r="J200" t="n">
        <v>0</v>
      </c>
      <c r="K200" t="n">
        <v>0</v>
      </c>
      <c r="L200" t="n">
        <v>0</v>
      </c>
      <c r="M200" t="n">
        <v>0</v>
      </c>
      <c r="N200" t="n">
        <v>0</v>
      </c>
      <c r="O200" t="n">
        <v>0</v>
      </c>
      <c r="P200" t="n">
        <v>0</v>
      </c>
      <c r="Q200" t="n">
        <v>0</v>
      </c>
      <c r="R200" s="2" t="inlineStr"/>
    </row>
    <row r="201" ht="15" customHeight="1">
      <c r="A201" t="inlineStr">
        <is>
          <t>A 27691-2019</t>
        </is>
      </c>
      <c r="B201" s="1" t="n">
        <v>43619</v>
      </c>
      <c r="C201" s="1" t="n">
        <v>45358</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28350-2019</t>
        </is>
      </c>
      <c r="B202" s="1" t="n">
        <v>43624</v>
      </c>
      <c r="C202" s="1" t="n">
        <v>45358</v>
      </c>
      <c r="D202" t="inlineStr">
        <is>
          <t>DALARNAS LÄN</t>
        </is>
      </c>
      <c r="E202" t="inlineStr">
        <is>
          <t>ÄLVDALEN</t>
        </is>
      </c>
      <c r="G202" t="n">
        <v>18.2</v>
      </c>
      <c r="H202" t="n">
        <v>0</v>
      </c>
      <c r="I202" t="n">
        <v>0</v>
      </c>
      <c r="J202" t="n">
        <v>0</v>
      </c>
      <c r="K202" t="n">
        <v>0</v>
      </c>
      <c r="L202" t="n">
        <v>0</v>
      </c>
      <c r="M202" t="n">
        <v>0</v>
      </c>
      <c r="N202" t="n">
        <v>0</v>
      </c>
      <c r="O202" t="n">
        <v>0</v>
      </c>
      <c r="P202" t="n">
        <v>0</v>
      </c>
      <c r="Q202" t="n">
        <v>0</v>
      </c>
      <c r="R202" s="2" t="inlineStr"/>
    </row>
    <row r="203" ht="15" customHeight="1">
      <c r="A203" t="inlineStr">
        <is>
          <t>A 28536-2019</t>
        </is>
      </c>
      <c r="B203" s="1" t="n">
        <v>43626</v>
      </c>
      <c r="C203" s="1" t="n">
        <v>45358</v>
      </c>
      <c r="D203" t="inlineStr">
        <is>
          <t>DALARNAS LÄN</t>
        </is>
      </c>
      <c r="E203" t="inlineStr">
        <is>
          <t>ÄLVDALEN</t>
        </is>
      </c>
      <c r="G203" t="n">
        <v>6.4</v>
      </c>
      <c r="H203" t="n">
        <v>0</v>
      </c>
      <c r="I203" t="n">
        <v>0</v>
      </c>
      <c r="J203" t="n">
        <v>0</v>
      </c>
      <c r="K203" t="n">
        <v>0</v>
      </c>
      <c r="L203" t="n">
        <v>0</v>
      </c>
      <c r="M203" t="n">
        <v>0</v>
      </c>
      <c r="N203" t="n">
        <v>0</v>
      </c>
      <c r="O203" t="n">
        <v>0</v>
      </c>
      <c r="P203" t="n">
        <v>0</v>
      </c>
      <c r="Q203" t="n">
        <v>0</v>
      </c>
      <c r="R203" s="2" t="inlineStr"/>
    </row>
    <row r="204" ht="15" customHeight="1">
      <c r="A204" t="inlineStr">
        <is>
          <t>A 28544-2019</t>
        </is>
      </c>
      <c r="B204" s="1" t="n">
        <v>43626</v>
      </c>
      <c r="C204" s="1" t="n">
        <v>45358</v>
      </c>
      <c r="D204" t="inlineStr">
        <is>
          <t>DALARNAS LÄN</t>
        </is>
      </c>
      <c r="E204" t="inlineStr">
        <is>
          <t>ÄLVDALEN</t>
        </is>
      </c>
      <c r="G204" t="n">
        <v>4.3</v>
      </c>
      <c r="H204" t="n">
        <v>0</v>
      </c>
      <c r="I204" t="n">
        <v>0</v>
      </c>
      <c r="J204" t="n">
        <v>0</v>
      </c>
      <c r="K204" t="n">
        <v>0</v>
      </c>
      <c r="L204" t="n">
        <v>0</v>
      </c>
      <c r="M204" t="n">
        <v>0</v>
      </c>
      <c r="N204" t="n">
        <v>0</v>
      </c>
      <c r="O204" t="n">
        <v>0</v>
      </c>
      <c r="P204" t="n">
        <v>0</v>
      </c>
      <c r="Q204" t="n">
        <v>0</v>
      </c>
      <c r="R204" s="2" t="inlineStr"/>
    </row>
    <row r="205" ht="15" customHeight="1">
      <c r="A205" t="inlineStr">
        <is>
          <t>A 28527-2019</t>
        </is>
      </c>
      <c r="B205" s="1" t="n">
        <v>43626</v>
      </c>
      <c r="C205" s="1" t="n">
        <v>45358</v>
      </c>
      <c r="D205" t="inlineStr">
        <is>
          <t>DALARNAS LÄN</t>
        </is>
      </c>
      <c r="E205" t="inlineStr">
        <is>
          <t>ÄLVDALEN</t>
        </is>
      </c>
      <c r="G205" t="n">
        <v>1.6</v>
      </c>
      <c r="H205" t="n">
        <v>0</v>
      </c>
      <c r="I205" t="n">
        <v>0</v>
      </c>
      <c r="J205" t="n">
        <v>0</v>
      </c>
      <c r="K205" t="n">
        <v>0</v>
      </c>
      <c r="L205" t="n">
        <v>0</v>
      </c>
      <c r="M205" t="n">
        <v>0</v>
      </c>
      <c r="N205" t="n">
        <v>0</v>
      </c>
      <c r="O205" t="n">
        <v>0</v>
      </c>
      <c r="P205" t="n">
        <v>0</v>
      </c>
      <c r="Q205" t="n">
        <v>0</v>
      </c>
      <c r="R205" s="2" t="inlineStr"/>
    </row>
    <row r="206" ht="15" customHeight="1">
      <c r="A206" t="inlineStr">
        <is>
          <t>A 28549-2019</t>
        </is>
      </c>
      <c r="B206" s="1" t="n">
        <v>43626</v>
      </c>
      <c r="C206" s="1" t="n">
        <v>45358</v>
      </c>
      <c r="D206" t="inlineStr">
        <is>
          <t>DALARNAS LÄN</t>
        </is>
      </c>
      <c r="E206" t="inlineStr">
        <is>
          <t>ÄLVDALEN</t>
        </is>
      </c>
      <c r="G206" t="n">
        <v>10.5</v>
      </c>
      <c r="H206" t="n">
        <v>0</v>
      </c>
      <c r="I206" t="n">
        <v>0</v>
      </c>
      <c r="J206" t="n">
        <v>0</v>
      </c>
      <c r="K206" t="n">
        <v>0</v>
      </c>
      <c r="L206" t="n">
        <v>0</v>
      </c>
      <c r="M206" t="n">
        <v>0</v>
      </c>
      <c r="N206" t="n">
        <v>0</v>
      </c>
      <c r="O206" t="n">
        <v>0</v>
      </c>
      <c r="P206" t="n">
        <v>0</v>
      </c>
      <c r="Q206" t="n">
        <v>0</v>
      </c>
      <c r="R206" s="2" t="inlineStr"/>
    </row>
    <row r="207" ht="15" customHeight="1">
      <c r="A207" t="inlineStr">
        <is>
          <t>A 28965-2019</t>
        </is>
      </c>
      <c r="B207" s="1" t="n">
        <v>43628</v>
      </c>
      <c r="C207" s="1" t="n">
        <v>45358</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30506-2019</t>
        </is>
      </c>
      <c r="B208" s="1" t="n">
        <v>43635</v>
      </c>
      <c r="C208" s="1" t="n">
        <v>45358</v>
      </c>
      <c r="D208" t="inlineStr">
        <is>
          <t>DALARNAS LÄN</t>
        </is>
      </c>
      <c r="E208" t="inlineStr">
        <is>
          <t>ÄLVDALEN</t>
        </is>
      </c>
      <c r="G208" t="n">
        <v>1.5</v>
      </c>
      <c r="H208" t="n">
        <v>0</v>
      </c>
      <c r="I208" t="n">
        <v>0</v>
      </c>
      <c r="J208" t="n">
        <v>0</v>
      </c>
      <c r="K208" t="n">
        <v>0</v>
      </c>
      <c r="L208" t="n">
        <v>0</v>
      </c>
      <c r="M208" t="n">
        <v>0</v>
      </c>
      <c r="N208" t="n">
        <v>0</v>
      </c>
      <c r="O208" t="n">
        <v>0</v>
      </c>
      <c r="P208" t="n">
        <v>0</v>
      </c>
      <c r="Q208" t="n">
        <v>0</v>
      </c>
      <c r="R208" s="2" t="inlineStr"/>
    </row>
    <row r="209" ht="15" customHeight="1">
      <c r="A209" t="inlineStr">
        <is>
          <t>A 32347-2019</t>
        </is>
      </c>
      <c r="B209" s="1" t="n">
        <v>43644</v>
      </c>
      <c r="C209" s="1" t="n">
        <v>45358</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32357-2019</t>
        </is>
      </c>
      <c r="B210" s="1" t="n">
        <v>43644</v>
      </c>
      <c r="C210" s="1" t="n">
        <v>45358</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32359-2019</t>
        </is>
      </c>
      <c r="B211" s="1" t="n">
        <v>43644</v>
      </c>
      <c r="C211" s="1" t="n">
        <v>45358</v>
      </c>
      <c r="D211" t="inlineStr">
        <is>
          <t>DALARNAS LÄN</t>
        </is>
      </c>
      <c r="E211" t="inlineStr">
        <is>
          <t>ÄLVDALEN</t>
        </is>
      </c>
      <c r="G211" t="n">
        <v>0.7</v>
      </c>
      <c r="H211" t="n">
        <v>0</v>
      </c>
      <c r="I211" t="n">
        <v>0</v>
      </c>
      <c r="J211" t="n">
        <v>0</v>
      </c>
      <c r="K211" t="n">
        <v>0</v>
      </c>
      <c r="L211" t="n">
        <v>0</v>
      </c>
      <c r="M211" t="n">
        <v>0</v>
      </c>
      <c r="N211" t="n">
        <v>0</v>
      </c>
      <c r="O211" t="n">
        <v>0</v>
      </c>
      <c r="P211" t="n">
        <v>0</v>
      </c>
      <c r="Q211" t="n">
        <v>0</v>
      </c>
      <c r="R211" s="2" t="inlineStr"/>
    </row>
    <row r="212" ht="15" customHeight="1">
      <c r="A212" t="inlineStr">
        <is>
          <t>A 32670-2019</t>
        </is>
      </c>
      <c r="B212" s="1" t="n">
        <v>43647</v>
      </c>
      <c r="C212" s="1" t="n">
        <v>45358</v>
      </c>
      <c r="D212" t="inlineStr">
        <is>
          <t>DALARNAS LÄN</t>
        </is>
      </c>
      <c r="E212" t="inlineStr">
        <is>
          <t>ÄLVDALEN</t>
        </is>
      </c>
      <c r="G212" t="n">
        <v>0.4</v>
      </c>
      <c r="H212" t="n">
        <v>0</v>
      </c>
      <c r="I212" t="n">
        <v>0</v>
      </c>
      <c r="J212" t="n">
        <v>0</v>
      </c>
      <c r="K212" t="n">
        <v>0</v>
      </c>
      <c r="L212" t="n">
        <v>0</v>
      </c>
      <c r="M212" t="n">
        <v>0</v>
      </c>
      <c r="N212" t="n">
        <v>0</v>
      </c>
      <c r="O212" t="n">
        <v>0</v>
      </c>
      <c r="P212" t="n">
        <v>0</v>
      </c>
      <c r="Q212" t="n">
        <v>0</v>
      </c>
      <c r="R212" s="2" t="inlineStr"/>
    </row>
    <row r="213" ht="15" customHeight="1">
      <c r="A213" t="inlineStr">
        <is>
          <t>A 35529-2019</t>
        </is>
      </c>
      <c r="B213" s="1" t="n">
        <v>43654</v>
      </c>
      <c r="C213" s="1" t="n">
        <v>45358</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34550-2019</t>
        </is>
      </c>
      <c r="B214" s="1" t="n">
        <v>43657</v>
      </c>
      <c r="C214" s="1" t="n">
        <v>45358</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36080-2019</t>
        </is>
      </c>
      <c r="B215" s="1" t="n">
        <v>43657</v>
      </c>
      <c r="C215" s="1" t="n">
        <v>45358</v>
      </c>
      <c r="D215" t="inlineStr">
        <is>
          <t>DALARNAS LÄN</t>
        </is>
      </c>
      <c r="E215" t="inlineStr">
        <is>
          <t>ÄLVDALEN</t>
        </is>
      </c>
      <c r="G215" t="n">
        <v>1.7</v>
      </c>
      <c r="H215" t="n">
        <v>0</v>
      </c>
      <c r="I215" t="n">
        <v>0</v>
      </c>
      <c r="J215" t="n">
        <v>0</v>
      </c>
      <c r="K215" t="n">
        <v>0</v>
      </c>
      <c r="L215" t="n">
        <v>0</v>
      </c>
      <c r="M215" t="n">
        <v>0</v>
      </c>
      <c r="N215" t="n">
        <v>0</v>
      </c>
      <c r="O215" t="n">
        <v>0</v>
      </c>
      <c r="P215" t="n">
        <v>0</v>
      </c>
      <c r="Q215" t="n">
        <v>0</v>
      </c>
      <c r="R215" s="2" t="inlineStr"/>
    </row>
    <row r="216" ht="15" customHeight="1">
      <c r="A216" t="inlineStr">
        <is>
          <t>A 35136-2019</t>
        </is>
      </c>
      <c r="B216" s="1" t="n">
        <v>43661</v>
      </c>
      <c r="C216" s="1" t="n">
        <v>45358</v>
      </c>
      <c r="D216" t="inlineStr">
        <is>
          <t>DALARNAS LÄN</t>
        </is>
      </c>
      <c r="E216" t="inlineStr">
        <is>
          <t>ÄLVDALEN</t>
        </is>
      </c>
      <c r="G216" t="n">
        <v>0.8</v>
      </c>
      <c r="H216" t="n">
        <v>0</v>
      </c>
      <c r="I216" t="n">
        <v>0</v>
      </c>
      <c r="J216" t="n">
        <v>0</v>
      </c>
      <c r="K216" t="n">
        <v>0</v>
      </c>
      <c r="L216" t="n">
        <v>0</v>
      </c>
      <c r="M216" t="n">
        <v>0</v>
      </c>
      <c r="N216" t="n">
        <v>0</v>
      </c>
      <c r="O216" t="n">
        <v>0</v>
      </c>
      <c r="P216" t="n">
        <v>0</v>
      </c>
      <c r="Q216" t="n">
        <v>0</v>
      </c>
      <c r="R216" s="2" t="inlineStr"/>
    </row>
    <row r="217" ht="15" customHeight="1">
      <c r="A217" t="inlineStr">
        <is>
          <t>A 35463-2019</t>
        </is>
      </c>
      <c r="B217" s="1" t="n">
        <v>43663</v>
      </c>
      <c r="C217" s="1" t="n">
        <v>45358</v>
      </c>
      <c r="D217" t="inlineStr">
        <is>
          <t>DALARNAS LÄN</t>
        </is>
      </c>
      <c r="E217" t="inlineStr">
        <is>
          <t>ÄLVDALEN</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35457-2019</t>
        </is>
      </c>
      <c r="B218" s="1" t="n">
        <v>43663</v>
      </c>
      <c r="C218" s="1" t="n">
        <v>45358</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35458-2019</t>
        </is>
      </c>
      <c r="B219" s="1" t="n">
        <v>43663</v>
      </c>
      <c r="C219" s="1" t="n">
        <v>45358</v>
      </c>
      <c r="D219" t="inlineStr">
        <is>
          <t>DALARNAS LÄN</t>
        </is>
      </c>
      <c r="E219" t="inlineStr">
        <is>
          <t>ÄLVDALEN</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35609-2019</t>
        </is>
      </c>
      <c r="B220" s="1" t="n">
        <v>43664</v>
      </c>
      <c r="C220" s="1" t="n">
        <v>45358</v>
      </c>
      <c r="D220" t="inlineStr">
        <is>
          <t>DALARNAS LÄN</t>
        </is>
      </c>
      <c r="E220" t="inlineStr">
        <is>
          <t>ÄLVDALEN</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35708-2019</t>
        </is>
      </c>
      <c r="B221" s="1" t="n">
        <v>43664</v>
      </c>
      <c r="C221" s="1" t="n">
        <v>45358</v>
      </c>
      <c r="D221" t="inlineStr">
        <is>
          <t>DALARNAS LÄN</t>
        </is>
      </c>
      <c r="E221" t="inlineStr">
        <is>
          <t>ÄLVDALEN</t>
        </is>
      </c>
      <c r="G221" t="n">
        <v>1</v>
      </c>
      <c r="H221" t="n">
        <v>0</v>
      </c>
      <c r="I221" t="n">
        <v>0</v>
      </c>
      <c r="J221" t="n">
        <v>0</v>
      </c>
      <c r="K221" t="n">
        <v>0</v>
      </c>
      <c r="L221" t="n">
        <v>0</v>
      </c>
      <c r="M221" t="n">
        <v>0</v>
      </c>
      <c r="N221" t="n">
        <v>0</v>
      </c>
      <c r="O221" t="n">
        <v>0</v>
      </c>
      <c r="P221" t="n">
        <v>0</v>
      </c>
      <c r="Q221" t="n">
        <v>0</v>
      </c>
      <c r="R221" s="2" t="inlineStr"/>
    </row>
    <row r="222" ht="15" customHeight="1">
      <c r="A222" t="inlineStr">
        <is>
          <t>A 35707-2019</t>
        </is>
      </c>
      <c r="B222" s="1" t="n">
        <v>43664</v>
      </c>
      <c r="C222" s="1" t="n">
        <v>45358</v>
      </c>
      <c r="D222" t="inlineStr">
        <is>
          <t>DALARNAS LÄN</t>
        </is>
      </c>
      <c r="E222" t="inlineStr">
        <is>
          <t>ÄLVDALEN</t>
        </is>
      </c>
      <c r="G222" t="n">
        <v>4.8</v>
      </c>
      <c r="H222" t="n">
        <v>0</v>
      </c>
      <c r="I222" t="n">
        <v>0</v>
      </c>
      <c r="J222" t="n">
        <v>0</v>
      </c>
      <c r="K222" t="n">
        <v>0</v>
      </c>
      <c r="L222" t="n">
        <v>0</v>
      </c>
      <c r="M222" t="n">
        <v>0</v>
      </c>
      <c r="N222" t="n">
        <v>0</v>
      </c>
      <c r="O222" t="n">
        <v>0</v>
      </c>
      <c r="P222" t="n">
        <v>0</v>
      </c>
      <c r="Q222" t="n">
        <v>0</v>
      </c>
      <c r="R222" s="2" t="inlineStr"/>
    </row>
    <row r="223" ht="15" customHeight="1">
      <c r="A223" t="inlineStr">
        <is>
          <t>A 36482-2019</t>
        </is>
      </c>
      <c r="B223" s="1" t="n">
        <v>43668</v>
      </c>
      <c r="C223" s="1" t="n">
        <v>45358</v>
      </c>
      <c r="D223" t="inlineStr">
        <is>
          <t>DALARNAS LÄN</t>
        </is>
      </c>
      <c r="E223" t="inlineStr">
        <is>
          <t>ÄLVDALEN</t>
        </is>
      </c>
      <c r="G223" t="n">
        <v>3</v>
      </c>
      <c r="H223" t="n">
        <v>0</v>
      </c>
      <c r="I223" t="n">
        <v>0</v>
      </c>
      <c r="J223" t="n">
        <v>0</v>
      </c>
      <c r="K223" t="n">
        <v>0</v>
      </c>
      <c r="L223" t="n">
        <v>0</v>
      </c>
      <c r="M223" t="n">
        <v>0</v>
      </c>
      <c r="N223" t="n">
        <v>0</v>
      </c>
      <c r="O223" t="n">
        <v>0</v>
      </c>
      <c r="P223" t="n">
        <v>0</v>
      </c>
      <c r="Q223" t="n">
        <v>0</v>
      </c>
      <c r="R223" s="2" t="inlineStr"/>
    </row>
    <row r="224" ht="15" customHeight="1">
      <c r="A224" t="inlineStr">
        <is>
          <t>A 36063-2019</t>
        </is>
      </c>
      <c r="B224" s="1" t="n">
        <v>43668</v>
      </c>
      <c r="C224" s="1" t="n">
        <v>45358</v>
      </c>
      <c r="D224" t="inlineStr">
        <is>
          <t>DALARNAS LÄN</t>
        </is>
      </c>
      <c r="E224" t="inlineStr">
        <is>
          <t>ÄLVDALEN</t>
        </is>
      </c>
      <c r="G224" t="n">
        <v>2.2</v>
      </c>
      <c r="H224" t="n">
        <v>0</v>
      </c>
      <c r="I224" t="n">
        <v>0</v>
      </c>
      <c r="J224" t="n">
        <v>0</v>
      </c>
      <c r="K224" t="n">
        <v>0</v>
      </c>
      <c r="L224" t="n">
        <v>0</v>
      </c>
      <c r="M224" t="n">
        <v>0</v>
      </c>
      <c r="N224" t="n">
        <v>0</v>
      </c>
      <c r="O224" t="n">
        <v>0</v>
      </c>
      <c r="P224" t="n">
        <v>0</v>
      </c>
      <c r="Q224" t="n">
        <v>0</v>
      </c>
      <c r="R224" s="2" t="inlineStr"/>
    </row>
    <row r="225" ht="15" customHeight="1">
      <c r="A225" t="inlineStr">
        <is>
          <t>A 37645-2019</t>
        </is>
      </c>
      <c r="B225" s="1" t="n">
        <v>43682</v>
      </c>
      <c r="C225" s="1" t="n">
        <v>45358</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37939-2019</t>
        </is>
      </c>
      <c r="B226" s="1" t="n">
        <v>43683</v>
      </c>
      <c r="C226" s="1" t="n">
        <v>45358</v>
      </c>
      <c r="D226" t="inlineStr">
        <is>
          <t>DALARNAS LÄN</t>
        </is>
      </c>
      <c r="E226" t="inlineStr">
        <is>
          <t>ÄLVDALEN</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37991-2019</t>
        </is>
      </c>
      <c r="B227" s="1" t="n">
        <v>43683</v>
      </c>
      <c r="C227" s="1" t="n">
        <v>45358</v>
      </c>
      <c r="D227" t="inlineStr">
        <is>
          <t>DALARNAS LÄN</t>
        </is>
      </c>
      <c r="E227" t="inlineStr">
        <is>
          <t>ÄLVDALEN</t>
        </is>
      </c>
      <c r="G227" t="n">
        <v>5.8</v>
      </c>
      <c r="H227" t="n">
        <v>0</v>
      </c>
      <c r="I227" t="n">
        <v>0</v>
      </c>
      <c r="J227" t="n">
        <v>0</v>
      </c>
      <c r="K227" t="n">
        <v>0</v>
      </c>
      <c r="L227" t="n">
        <v>0</v>
      </c>
      <c r="M227" t="n">
        <v>0</v>
      </c>
      <c r="N227" t="n">
        <v>0</v>
      </c>
      <c r="O227" t="n">
        <v>0</v>
      </c>
      <c r="P227" t="n">
        <v>0</v>
      </c>
      <c r="Q227" t="n">
        <v>0</v>
      </c>
      <c r="R227" s="2" t="inlineStr"/>
    </row>
    <row r="228" ht="15" customHeight="1">
      <c r="A228" t="inlineStr">
        <is>
          <t>A 38039-2019</t>
        </is>
      </c>
      <c r="B228" s="1" t="n">
        <v>43683</v>
      </c>
      <c r="C228" s="1" t="n">
        <v>45358</v>
      </c>
      <c r="D228" t="inlineStr">
        <is>
          <t>DALARNAS LÄN</t>
        </is>
      </c>
      <c r="E228" t="inlineStr">
        <is>
          <t>ÄLVDALEN</t>
        </is>
      </c>
      <c r="F228" t="inlineStr">
        <is>
          <t>Övriga statliga verk och myndigheter</t>
        </is>
      </c>
      <c r="G228" t="n">
        <v>3.6</v>
      </c>
      <c r="H228" t="n">
        <v>0</v>
      </c>
      <c r="I228" t="n">
        <v>0</v>
      </c>
      <c r="J228" t="n">
        <v>0</v>
      </c>
      <c r="K228" t="n">
        <v>0</v>
      </c>
      <c r="L228" t="n">
        <v>0</v>
      </c>
      <c r="M228" t="n">
        <v>0</v>
      </c>
      <c r="N228" t="n">
        <v>0</v>
      </c>
      <c r="O228" t="n">
        <v>0</v>
      </c>
      <c r="P228" t="n">
        <v>0</v>
      </c>
      <c r="Q228" t="n">
        <v>0</v>
      </c>
      <c r="R228" s="2" t="inlineStr"/>
    </row>
    <row r="229" ht="15" customHeight="1">
      <c r="A229" t="inlineStr">
        <is>
          <t>A 38021-2019</t>
        </is>
      </c>
      <c r="B229" s="1" t="n">
        <v>43683</v>
      </c>
      <c r="C229" s="1" t="n">
        <v>45358</v>
      </c>
      <c r="D229" t="inlineStr">
        <is>
          <t>DALARNAS LÄN</t>
        </is>
      </c>
      <c r="E229" t="inlineStr">
        <is>
          <t>ÄLVDALEN</t>
        </is>
      </c>
      <c r="F229" t="inlineStr">
        <is>
          <t>Övriga statliga verk och myndigheter</t>
        </is>
      </c>
      <c r="G229" t="n">
        <v>4.7</v>
      </c>
      <c r="H229" t="n">
        <v>0</v>
      </c>
      <c r="I229" t="n">
        <v>0</v>
      </c>
      <c r="J229" t="n">
        <v>0</v>
      </c>
      <c r="K229" t="n">
        <v>0</v>
      </c>
      <c r="L229" t="n">
        <v>0</v>
      </c>
      <c r="M229" t="n">
        <v>0</v>
      </c>
      <c r="N229" t="n">
        <v>0</v>
      </c>
      <c r="O229" t="n">
        <v>0</v>
      </c>
      <c r="P229" t="n">
        <v>0</v>
      </c>
      <c r="Q229" t="n">
        <v>0</v>
      </c>
      <c r="R229" s="2" t="inlineStr"/>
    </row>
    <row r="230" ht="15" customHeight="1">
      <c r="A230" t="inlineStr">
        <is>
          <t>A 38864-2019</t>
        </is>
      </c>
      <c r="B230" s="1" t="n">
        <v>43689</v>
      </c>
      <c r="C230" s="1" t="n">
        <v>45358</v>
      </c>
      <c r="D230" t="inlineStr">
        <is>
          <t>DALARNAS LÄN</t>
        </is>
      </c>
      <c r="E230" t="inlineStr">
        <is>
          <t>ÄLVDALEN</t>
        </is>
      </c>
      <c r="G230" t="n">
        <v>1.3</v>
      </c>
      <c r="H230" t="n">
        <v>0</v>
      </c>
      <c r="I230" t="n">
        <v>0</v>
      </c>
      <c r="J230" t="n">
        <v>0</v>
      </c>
      <c r="K230" t="n">
        <v>0</v>
      </c>
      <c r="L230" t="n">
        <v>0</v>
      </c>
      <c r="M230" t="n">
        <v>0</v>
      </c>
      <c r="N230" t="n">
        <v>0</v>
      </c>
      <c r="O230" t="n">
        <v>0</v>
      </c>
      <c r="P230" t="n">
        <v>0</v>
      </c>
      <c r="Q230" t="n">
        <v>0</v>
      </c>
      <c r="R230" s="2" t="inlineStr"/>
    </row>
    <row r="231" ht="15" customHeight="1">
      <c r="A231" t="inlineStr">
        <is>
          <t>A 41242-2019</t>
        </is>
      </c>
      <c r="B231" s="1" t="n">
        <v>43698</v>
      </c>
      <c r="C231" s="1" t="n">
        <v>45358</v>
      </c>
      <c r="D231" t="inlineStr">
        <is>
          <t>DALARNAS LÄN</t>
        </is>
      </c>
      <c r="E231" t="inlineStr">
        <is>
          <t>ÄLVDALEN</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43540-2019</t>
        </is>
      </c>
      <c r="B232" s="1" t="n">
        <v>43706</v>
      </c>
      <c r="C232" s="1" t="n">
        <v>45358</v>
      </c>
      <c r="D232" t="inlineStr">
        <is>
          <t>DALARNAS LÄN</t>
        </is>
      </c>
      <c r="E232" t="inlineStr">
        <is>
          <t>ÄLVDALEN</t>
        </is>
      </c>
      <c r="G232" t="n">
        <v>1</v>
      </c>
      <c r="H232" t="n">
        <v>0</v>
      </c>
      <c r="I232" t="n">
        <v>0</v>
      </c>
      <c r="J232" t="n">
        <v>0</v>
      </c>
      <c r="K232" t="n">
        <v>0</v>
      </c>
      <c r="L232" t="n">
        <v>0</v>
      </c>
      <c r="M232" t="n">
        <v>0</v>
      </c>
      <c r="N232" t="n">
        <v>0</v>
      </c>
      <c r="O232" t="n">
        <v>0</v>
      </c>
      <c r="P232" t="n">
        <v>0</v>
      </c>
      <c r="Q232" t="n">
        <v>0</v>
      </c>
      <c r="R232" s="2" t="inlineStr"/>
    </row>
    <row r="233" ht="15" customHeight="1">
      <c r="A233" t="inlineStr">
        <is>
          <t>A 43543-2019</t>
        </is>
      </c>
      <c r="B233" s="1" t="n">
        <v>43706</v>
      </c>
      <c r="C233" s="1" t="n">
        <v>45358</v>
      </c>
      <c r="D233" t="inlineStr">
        <is>
          <t>DALARNAS LÄN</t>
        </is>
      </c>
      <c r="E233" t="inlineStr">
        <is>
          <t>ÄLVDALEN</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46240-2019</t>
        </is>
      </c>
      <c r="B234" s="1" t="n">
        <v>43714</v>
      </c>
      <c r="C234" s="1" t="n">
        <v>45358</v>
      </c>
      <c r="D234" t="inlineStr">
        <is>
          <t>DALARNAS LÄN</t>
        </is>
      </c>
      <c r="E234" t="inlineStr">
        <is>
          <t>ÄLVDALEN</t>
        </is>
      </c>
      <c r="G234" t="n">
        <v>19.4</v>
      </c>
      <c r="H234" t="n">
        <v>0</v>
      </c>
      <c r="I234" t="n">
        <v>0</v>
      </c>
      <c r="J234" t="n">
        <v>0</v>
      </c>
      <c r="K234" t="n">
        <v>0</v>
      </c>
      <c r="L234" t="n">
        <v>0</v>
      </c>
      <c r="M234" t="n">
        <v>0</v>
      </c>
      <c r="N234" t="n">
        <v>0</v>
      </c>
      <c r="O234" t="n">
        <v>0</v>
      </c>
      <c r="P234" t="n">
        <v>0</v>
      </c>
      <c r="Q234" t="n">
        <v>0</v>
      </c>
      <c r="R234" s="2" t="inlineStr"/>
    </row>
    <row r="235" ht="15" customHeight="1">
      <c r="A235" t="inlineStr">
        <is>
          <t>A 49014-2019</t>
        </is>
      </c>
      <c r="B235" s="1" t="n">
        <v>43731</v>
      </c>
      <c r="C235" s="1" t="n">
        <v>45358</v>
      </c>
      <c r="D235" t="inlineStr">
        <is>
          <t>DALARNAS LÄN</t>
        </is>
      </c>
      <c r="E235" t="inlineStr">
        <is>
          <t>ÄLVDALEN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49230-2019</t>
        </is>
      </c>
      <c r="B236" s="1" t="n">
        <v>43731</v>
      </c>
      <c r="C236" s="1" t="n">
        <v>45358</v>
      </c>
      <c r="D236" t="inlineStr">
        <is>
          <t>DALARNAS LÄN</t>
        </is>
      </c>
      <c r="E236" t="inlineStr">
        <is>
          <t>ÄLVDALEN</t>
        </is>
      </c>
      <c r="F236" t="inlineStr">
        <is>
          <t>Allmännings- och besparingsskogar</t>
        </is>
      </c>
      <c r="G236" t="n">
        <v>11.9</v>
      </c>
      <c r="H236" t="n">
        <v>0</v>
      </c>
      <c r="I236" t="n">
        <v>0</v>
      </c>
      <c r="J236" t="n">
        <v>0</v>
      </c>
      <c r="K236" t="n">
        <v>0</v>
      </c>
      <c r="L236" t="n">
        <v>0</v>
      </c>
      <c r="M236" t="n">
        <v>0</v>
      </c>
      <c r="N236" t="n">
        <v>0</v>
      </c>
      <c r="O236" t="n">
        <v>0</v>
      </c>
      <c r="P236" t="n">
        <v>0</v>
      </c>
      <c r="Q236" t="n">
        <v>0</v>
      </c>
      <c r="R236" s="2" t="inlineStr"/>
    </row>
    <row r="237" ht="15" customHeight="1">
      <c r="A237" t="inlineStr">
        <is>
          <t>A 50431-2019</t>
        </is>
      </c>
      <c r="B237" s="1" t="n">
        <v>43735</v>
      </c>
      <c r="C237" s="1" t="n">
        <v>45358</v>
      </c>
      <c r="D237" t="inlineStr">
        <is>
          <t>DALARNAS LÄN</t>
        </is>
      </c>
      <c r="E237" t="inlineStr">
        <is>
          <t>ÄLVDALEN</t>
        </is>
      </c>
      <c r="G237" t="n">
        <v>2.5</v>
      </c>
      <c r="H237" t="n">
        <v>0</v>
      </c>
      <c r="I237" t="n">
        <v>0</v>
      </c>
      <c r="J237" t="n">
        <v>0</v>
      </c>
      <c r="K237" t="n">
        <v>0</v>
      </c>
      <c r="L237" t="n">
        <v>0</v>
      </c>
      <c r="M237" t="n">
        <v>0</v>
      </c>
      <c r="N237" t="n">
        <v>0</v>
      </c>
      <c r="O237" t="n">
        <v>0</v>
      </c>
      <c r="P237" t="n">
        <v>0</v>
      </c>
      <c r="Q237" t="n">
        <v>0</v>
      </c>
      <c r="R237" s="2" t="inlineStr"/>
    </row>
    <row r="238" ht="15" customHeight="1">
      <c r="A238" t="inlineStr">
        <is>
          <t>A 50669-2019</t>
        </is>
      </c>
      <c r="B238" s="1" t="n">
        <v>43737</v>
      </c>
      <c r="C238" s="1" t="n">
        <v>45358</v>
      </c>
      <c r="D238" t="inlineStr">
        <is>
          <t>DALARNAS LÄN</t>
        </is>
      </c>
      <c r="E238" t="inlineStr">
        <is>
          <t>ÄLVDALEN</t>
        </is>
      </c>
      <c r="G238" t="n">
        <v>6.1</v>
      </c>
      <c r="H238" t="n">
        <v>0</v>
      </c>
      <c r="I238" t="n">
        <v>0</v>
      </c>
      <c r="J238" t="n">
        <v>0</v>
      </c>
      <c r="K238" t="n">
        <v>0</v>
      </c>
      <c r="L238" t="n">
        <v>0</v>
      </c>
      <c r="M238" t="n">
        <v>0</v>
      </c>
      <c r="N238" t="n">
        <v>0</v>
      </c>
      <c r="O238" t="n">
        <v>0</v>
      </c>
      <c r="P238" t="n">
        <v>0</v>
      </c>
      <c r="Q238" t="n">
        <v>0</v>
      </c>
      <c r="R238" s="2" t="inlineStr"/>
    </row>
    <row r="239" ht="15" customHeight="1">
      <c r="A239" t="inlineStr">
        <is>
          <t>A 50670-2019</t>
        </is>
      </c>
      <c r="B239" s="1" t="n">
        <v>43738</v>
      </c>
      <c r="C239" s="1" t="n">
        <v>45358</v>
      </c>
      <c r="D239" t="inlineStr">
        <is>
          <t>DALARNAS LÄN</t>
        </is>
      </c>
      <c r="E239" t="inlineStr">
        <is>
          <t>ÄLVDALEN</t>
        </is>
      </c>
      <c r="G239" t="n">
        <v>8.1</v>
      </c>
      <c r="H239" t="n">
        <v>0</v>
      </c>
      <c r="I239" t="n">
        <v>0</v>
      </c>
      <c r="J239" t="n">
        <v>0</v>
      </c>
      <c r="K239" t="n">
        <v>0</v>
      </c>
      <c r="L239" t="n">
        <v>0</v>
      </c>
      <c r="M239" t="n">
        <v>0</v>
      </c>
      <c r="N239" t="n">
        <v>0</v>
      </c>
      <c r="O239" t="n">
        <v>0</v>
      </c>
      <c r="P239" t="n">
        <v>0</v>
      </c>
      <c r="Q239" t="n">
        <v>0</v>
      </c>
      <c r="R239" s="2" t="inlineStr"/>
    </row>
    <row r="240" ht="15" customHeight="1">
      <c r="A240" t="inlineStr">
        <is>
          <t>A 51354-2019</t>
        </is>
      </c>
      <c r="B240" s="1" t="n">
        <v>43740</v>
      </c>
      <c r="C240" s="1" t="n">
        <v>45358</v>
      </c>
      <c r="D240" t="inlineStr">
        <is>
          <t>DALARNAS LÄN</t>
        </is>
      </c>
      <c r="E240" t="inlineStr">
        <is>
          <t>ÄLVDALEN</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51798-2019</t>
        </is>
      </c>
      <c r="B241" s="1" t="n">
        <v>43741</v>
      </c>
      <c r="C241" s="1" t="n">
        <v>45358</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52131-2019</t>
        </is>
      </c>
      <c r="B242" s="1" t="n">
        <v>43742</v>
      </c>
      <c r="C242" s="1" t="n">
        <v>45358</v>
      </c>
      <c r="D242" t="inlineStr">
        <is>
          <t>DALARNAS LÄN</t>
        </is>
      </c>
      <c r="E242" t="inlineStr">
        <is>
          <t>ÄLVDALEN</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52466-2019</t>
        </is>
      </c>
      <c r="B243" s="1" t="n">
        <v>43745</v>
      </c>
      <c r="C243" s="1" t="n">
        <v>45358</v>
      </c>
      <c r="D243" t="inlineStr">
        <is>
          <t>DALARNAS LÄN</t>
        </is>
      </c>
      <c r="E243" t="inlineStr">
        <is>
          <t>ÄLVDALEN</t>
        </is>
      </c>
      <c r="G243" t="n">
        <v>2.8</v>
      </c>
      <c r="H243" t="n">
        <v>0</v>
      </c>
      <c r="I243" t="n">
        <v>0</v>
      </c>
      <c r="J243" t="n">
        <v>0</v>
      </c>
      <c r="K243" t="n">
        <v>0</v>
      </c>
      <c r="L243" t="n">
        <v>0</v>
      </c>
      <c r="M243" t="n">
        <v>0</v>
      </c>
      <c r="N243" t="n">
        <v>0</v>
      </c>
      <c r="O243" t="n">
        <v>0</v>
      </c>
      <c r="P243" t="n">
        <v>0</v>
      </c>
      <c r="Q243" t="n">
        <v>0</v>
      </c>
      <c r="R243" s="2" t="inlineStr"/>
    </row>
    <row r="244" ht="15" customHeight="1">
      <c r="A244" t="inlineStr">
        <is>
          <t>A 55649-2019</t>
        </is>
      </c>
      <c r="B244" s="1" t="n">
        <v>43760</v>
      </c>
      <c r="C244" s="1" t="n">
        <v>45358</v>
      </c>
      <c r="D244" t="inlineStr">
        <is>
          <t>DALARNAS LÄN</t>
        </is>
      </c>
      <c r="E244" t="inlineStr">
        <is>
          <t>ÄLVDALEN</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59488-2019</t>
        </is>
      </c>
      <c r="B245" s="1" t="n">
        <v>43776</v>
      </c>
      <c r="C245" s="1" t="n">
        <v>45358</v>
      </c>
      <c r="D245" t="inlineStr">
        <is>
          <t>DALARNAS LÄN</t>
        </is>
      </c>
      <c r="E245" t="inlineStr">
        <is>
          <t>ÄLVDALEN</t>
        </is>
      </c>
      <c r="F245" t="inlineStr">
        <is>
          <t>Bergvik skog väst AB</t>
        </is>
      </c>
      <c r="G245" t="n">
        <v>7.2</v>
      </c>
      <c r="H245" t="n">
        <v>0</v>
      </c>
      <c r="I245" t="n">
        <v>0</v>
      </c>
      <c r="J245" t="n">
        <v>0</v>
      </c>
      <c r="K245" t="n">
        <v>0</v>
      </c>
      <c r="L245" t="n">
        <v>0</v>
      </c>
      <c r="M245" t="n">
        <v>0</v>
      </c>
      <c r="N245" t="n">
        <v>0</v>
      </c>
      <c r="O245" t="n">
        <v>0</v>
      </c>
      <c r="P245" t="n">
        <v>0</v>
      </c>
      <c r="Q245" t="n">
        <v>0</v>
      </c>
      <c r="R245" s="2" t="inlineStr"/>
    </row>
    <row r="246" ht="15" customHeight="1">
      <c r="A246" t="inlineStr">
        <is>
          <t>A 59846-2019</t>
        </is>
      </c>
      <c r="B246" s="1" t="n">
        <v>43777</v>
      </c>
      <c r="C246" s="1" t="n">
        <v>45358</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59959-2019</t>
        </is>
      </c>
      <c r="B247" s="1" t="n">
        <v>43777</v>
      </c>
      <c r="C247" s="1" t="n">
        <v>45358</v>
      </c>
      <c r="D247" t="inlineStr">
        <is>
          <t>DALARNAS LÄN</t>
        </is>
      </c>
      <c r="E247" t="inlineStr">
        <is>
          <t>ÄLVDALEN</t>
        </is>
      </c>
      <c r="F247" t="inlineStr">
        <is>
          <t>Allmännings- och besparingsskogar</t>
        </is>
      </c>
      <c r="G247" t="n">
        <v>3.1</v>
      </c>
      <c r="H247" t="n">
        <v>0</v>
      </c>
      <c r="I247" t="n">
        <v>0</v>
      </c>
      <c r="J247" t="n">
        <v>0</v>
      </c>
      <c r="K247" t="n">
        <v>0</v>
      </c>
      <c r="L247" t="n">
        <v>0</v>
      </c>
      <c r="M247" t="n">
        <v>0</v>
      </c>
      <c r="N247" t="n">
        <v>0</v>
      </c>
      <c r="O247" t="n">
        <v>0</v>
      </c>
      <c r="P247" t="n">
        <v>0</v>
      </c>
      <c r="Q247" t="n">
        <v>0</v>
      </c>
      <c r="R247" s="2" t="inlineStr"/>
    </row>
    <row r="248" ht="15" customHeight="1">
      <c r="A248" t="inlineStr">
        <is>
          <t>A 59947-2019</t>
        </is>
      </c>
      <c r="B248" s="1" t="n">
        <v>43777</v>
      </c>
      <c r="C248" s="1" t="n">
        <v>45358</v>
      </c>
      <c r="D248" t="inlineStr">
        <is>
          <t>DALARNAS LÄN</t>
        </is>
      </c>
      <c r="E248" t="inlineStr">
        <is>
          <t>ÄLVDALEN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59957-2019</t>
        </is>
      </c>
      <c r="B249" s="1" t="n">
        <v>43777</v>
      </c>
      <c r="C249" s="1" t="n">
        <v>45358</v>
      </c>
      <c r="D249" t="inlineStr">
        <is>
          <t>DALARNAS LÄN</t>
        </is>
      </c>
      <c r="E249" t="inlineStr">
        <is>
          <t>ÄLVDALEN</t>
        </is>
      </c>
      <c r="G249" t="n">
        <v>4.5</v>
      </c>
      <c r="H249" t="n">
        <v>0</v>
      </c>
      <c r="I249" t="n">
        <v>0</v>
      </c>
      <c r="J249" t="n">
        <v>0</v>
      </c>
      <c r="K249" t="n">
        <v>0</v>
      </c>
      <c r="L249" t="n">
        <v>0</v>
      </c>
      <c r="M249" t="n">
        <v>0</v>
      </c>
      <c r="N249" t="n">
        <v>0</v>
      </c>
      <c r="O249" t="n">
        <v>0</v>
      </c>
      <c r="P249" t="n">
        <v>0</v>
      </c>
      <c r="Q249" t="n">
        <v>0</v>
      </c>
      <c r="R249" s="2" t="inlineStr"/>
    </row>
    <row r="250" ht="15" customHeight="1">
      <c r="A250" t="inlineStr">
        <is>
          <t>A 60345-2019</t>
        </is>
      </c>
      <c r="B250" s="1" t="n">
        <v>43780</v>
      </c>
      <c r="C250" s="1" t="n">
        <v>45358</v>
      </c>
      <c r="D250" t="inlineStr">
        <is>
          <t>DALARNAS LÄN</t>
        </is>
      </c>
      <c r="E250" t="inlineStr">
        <is>
          <t>ÄLVDALEN</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61262-2019</t>
        </is>
      </c>
      <c r="B251" s="1" t="n">
        <v>43783</v>
      </c>
      <c r="C251" s="1" t="n">
        <v>45358</v>
      </c>
      <c r="D251" t="inlineStr">
        <is>
          <t>DALARNAS LÄN</t>
        </is>
      </c>
      <c r="E251" t="inlineStr">
        <is>
          <t>ÄLVDALEN</t>
        </is>
      </c>
      <c r="F251" t="inlineStr">
        <is>
          <t>Bergvik skog väst AB</t>
        </is>
      </c>
      <c r="G251" t="n">
        <v>12.9</v>
      </c>
      <c r="H251" t="n">
        <v>0</v>
      </c>
      <c r="I251" t="n">
        <v>0</v>
      </c>
      <c r="J251" t="n">
        <v>0</v>
      </c>
      <c r="K251" t="n">
        <v>0</v>
      </c>
      <c r="L251" t="n">
        <v>0</v>
      </c>
      <c r="M251" t="n">
        <v>0</v>
      </c>
      <c r="N251" t="n">
        <v>0</v>
      </c>
      <c r="O251" t="n">
        <v>0</v>
      </c>
      <c r="P251" t="n">
        <v>0</v>
      </c>
      <c r="Q251" t="n">
        <v>0</v>
      </c>
      <c r="R251" s="2" t="inlineStr"/>
    </row>
    <row r="252" ht="15" customHeight="1">
      <c r="A252" t="inlineStr">
        <is>
          <t>A 61235-2019</t>
        </is>
      </c>
      <c r="B252" s="1" t="n">
        <v>43783</v>
      </c>
      <c r="C252" s="1" t="n">
        <v>45358</v>
      </c>
      <c r="D252" t="inlineStr">
        <is>
          <t>DALARNAS LÄN</t>
        </is>
      </c>
      <c r="E252" t="inlineStr">
        <is>
          <t>ÄLVDALEN</t>
        </is>
      </c>
      <c r="F252" t="inlineStr">
        <is>
          <t>Bergvik skog väst AB</t>
        </is>
      </c>
      <c r="G252" t="n">
        <v>9</v>
      </c>
      <c r="H252" t="n">
        <v>0</v>
      </c>
      <c r="I252" t="n">
        <v>0</v>
      </c>
      <c r="J252" t="n">
        <v>0</v>
      </c>
      <c r="K252" t="n">
        <v>0</v>
      </c>
      <c r="L252" t="n">
        <v>0</v>
      </c>
      <c r="M252" t="n">
        <v>0</v>
      </c>
      <c r="N252" t="n">
        <v>0</v>
      </c>
      <c r="O252" t="n">
        <v>0</v>
      </c>
      <c r="P252" t="n">
        <v>0</v>
      </c>
      <c r="Q252" t="n">
        <v>0</v>
      </c>
      <c r="R252" s="2" t="inlineStr"/>
    </row>
    <row r="253" ht="15" customHeight="1">
      <c r="A253" t="inlineStr">
        <is>
          <t>A 61312-2019</t>
        </is>
      </c>
      <c r="B253" s="1" t="n">
        <v>43783</v>
      </c>
      <c r="C253" s="1" t="n">
        <v>45358</v>
      </c>
      <c r="D253" t="inlineStr">
        <is>
          <t>DALARNAS LÄN</t>
        </is>
      </c>
      <c r="E253" t="inlineStr">
        <is>
          <t>ÄLVDALEN</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61303-2019</t>
        </is>
      </c>
      <c r="B254" s="1" t="n">
        <v>43783</v>
      </c>
      <c r="C254" s="1" t="n">
        <v>45358</v>
      </c>
      <c r="D254" t="inlineStr">
        <is>
          <t>DALARNAS LÄN</t>
        </is>
      </c>
      <c r="E254" t="inlineStr">
        <is>
          <t>ÄLVDALEN</t>
        </is>
      </c>
      <c r="F254" t="inlineStr">
        <is>
          <t>Allmännings- och besparingsskogar</t>
        </is>
      </c>
      <c r="G254" t="n">
        <v>0.2</v>
      </c>
      <c r="H254" t="n">
        <v>0</v>
      </c>
      <c r="I254" t="n">
        <v>0</v>
      </c>
      <c r="J254" t="n">
        <v>0</v>
      </c>
      <c r="K254" t="n">
        <v>0</v>
      </c>
      <c r="L254" t="n">
        <v>0</v>
      </c>
      <c r="M254" t="n">
        <v>0</v>
      </c>
      <c r="N254" t="n">
        <v>0</v>
      </c>
      <c r="O254" t="n">
        <v>0</v>
      </c>
      <c r="P254" t="n">
        <v>0</v>
      </c>
      <c r="Q254" t="n">
        <v>0</v>
      </c>
      <c r="R254" s="2" t="inlineStr"/>
    </row>
    <row r="255" ht="15" customHeight="1">
      <c r="A255" t="inlineStr">
        <is>
          <t>A 62630-2019</t>
        </is>
      </c>
      <c r="B255" s="1" t="n">
        <v>43789</v>
      </c>
      <c r="C255" s="1" t="n">
        <v>45358</v>
      </c>
      <c r="D255" t="inlineStr">
        <is>
          <t>DALARNAS LÄN</t>
        </is>
      </c>
      <c r="E255" t="inlineStr">
        <is>
          <t>ÄLVDALEN</t>
        </is>
      </c>
      <c r="G255" t="n">
        <v>7.2</v>
      </c>
      <c r="H255" t="n">
        <v>0</v>
      </c>
      <c r="I255" t="n">
        <v>0</v>
      </c>
      <c r="J255" t="n">
        <v>0</v>
      </c>
      <c r="K255" t="n">
        <v>0</v>
      </c>
      <c r="L255" t="n">
        <v>0</v>
      </c>
      <c r="M255" t="n">
        <v>0</v>
      </c>
      <c r="N255" t="n">
        <v>0</v>
      </c>
      <c r="O255" t="n">
        <v>0</v>
      </c>
      <c r="P255" t="n">
        <v>0</v>
      </c>
      <c r="Q255" t="n">
        <v>0</v>
      </c>
      <c r="R255" s="2" t="inlineStr"/>
    </row>
    <row r="256" ht="15" customHeight="1">
      <c r="A256" t="inlineStr">
        <is>
          <t>A 62691-2019</t>
        </is>
      </c>
      <c r="B256" s="1" t="n">
        <v>43789</v>
      </c>
      <c r="C256" s="1" t="n">
        <v>45358</v>
      </c>
      <c r="D256" t="inlineStr">
        <is>
          <t>DALARNAS LÄN</t>
        </is>
      </c>
      <c r="E256" t="inlineStr">
        <is>
          <t>ÄLVDALEN</t>
        </is>
      </c>
      <c r="G256" t="n">
        <v>1.4</v>
      </c>
      <c r="H256" t="n">
        <v>0</v>
      </c>
      <c r="I256" t="n">
        <v>0</v>
      </c>
      <c r="J256" t="n">
        <v>0</v>
      </c>
      <c r="K256" t="n">
        <v>0</v>
      </c>
      <c r="L256" t="n">
        <v>0</v>
      </c>
      <c r="M256" t="n">
        <v>0</v>
      </c>
      <c r="N256" t="n">
        <v>0</v>
      </c>
      <c r="O256" t="n">
        <v>0</v>
      </c>
      <c r="P256" t="n">
        <v>0</v>
      </c>
      <c r="Q256" t="n">
        <v>0</v>
      </c>
      <c r="R256" s="2" t="inlineStr"/>
    </row>
    <row r="257" ht="15" customHeight="1">
      <c r="A257" t="inlineStr">
        <is>
          <t>A 63161-2019</t>
        </is>
      </c>
      <c r="B257" s="1" t="n">
        <v>43791</v>
      </c>
      <c r="C257" s="1" t="n">
        <v>45358</v>
      </c>
      <c r="D257" t="inlineStr">
        <is>
          <t>DALARNAS LÄN</t>
        </is>
      </c>
      <c r="E257" t="inlineStr">
        <is>
          <t>ÄLVDALEN</t>
        </is>
      </c>
      <c r="G257" t="n">
        <v>2.6</v>
      </c>
      <c r="H257" t="n">
        <v>0</v>
      </c>
      <c r="I257" t="n">
        <v>0</v>
      </c>
      <c r="J257" t="n">
        <v>0</v>
      </c>
      <c r="K257" t="n">
        <v>0</v>
      </c>
      <c r="L257" t="n">
        <v>0</v>
      </c>
      <c r="M257" t="n">
        <v>0</v>
      </c>
      <c r="N257" t="n">
        <v>0</v>
      </c>
      <c r="O257" t="n">
        <v>0</v>
      </c>
      <c r="P257" t="n">
        <v>0</v>
      </c>
      <c r="Q257" t="n">
        <v>0</v>
      </c>
      <c r="R257" s="2" t="inlineStr"/>
    </row>
    <row r="258" ht="15" customHeight="1">
      <c r="A258" t="inlineStr">
        <is>
          <t>A 63242-2019</t>
        </is>
      </c>
      <c r="B258" s="1" t="n">
        <v>43792</v>
      </c>
      <c r="C258" s="1" t="n">
        <v>45358</v>
      </c>
      <c r="D258" t="inlineStr">
        <is>
          <t>DALARNAS LÄN</t>
        </is>
      </c>
      <c r="E258" t="inlineStr">
        <is>
          <t>ÄLVDALEN</t>
        </is>
      </c>
      <c r="G258" t="n">
        <v>2.1</v>
      </c>
      <c r="H258" t="n">
        <v>0</v>
      </c>
      <c r="I258" t="n">
        <v>0</v>
      </c>
      <c r="J258" t="n">
        <v>0</v>
      </c>
      <c r="K258" t="n">
        <v>0</v>
      </c>
      <c r="L258" t="n">
        <v>0</v>
      </c>
      <c r="M258" t="n">
        <v>0</v>
      </c>
      <c r="N258" t="n">
        <v>0</v>
      </c>
      <c r="O258" t="n">
        <v>0</v>
      </c>
      <c r="P258" t="n">
        <v>0</v>
      </c>
      <c r="Q258" t="n">
        <v>0</v>
      </c>
      <c r="R258" s="2" t="inlineStr"/>
    </row>
    <row r="259" ht="15" customHeight="1">
      <c r="A259" t="inlineStr">
        <is>
          <t>A 63470-2019</t>
        </is>
      </c>
      <c r="B259" s="1" t="n">
        <v>43794</v>
      </c>
      <c r="C259" s="1" t="n">
        <v>45358</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63536-2019</t>
        </is>
      </c>
      <c r="B260" s="1" t="n">
        <v>43794</v>
      </c>
      <c r="C260" s="1" t="n">
        <v>45358</v>
      </c>
      <c r="D260" t="inlineStr">
        <is>
          <t>DALARNAS LÄN</t>
        </is>
      </c>
      <c r="E260" t="inlineStr">
        <is>
          <t>ÄLVDALEN</t>
        </is>
      </c>
      <c r="G260" t="n">
        <v>10.5</v>
      </c>
      <c r="H260" t="n">
        <v>0</v>
      </c>
      <c r="I260" t="n">
        <v>0</v>
      </c>
      <c r="J260" t="n">
        <v>0</v>
      </c>
      <c r="K260" t="n">
        <v>0</v>
      </c>
      <c r="L260" t="n">
        <v>0</v>
      </c>
      <c r="M260" t="n">
        <v>0</v>
      </c>
      <c r="N260" t="n">
        <v>0</v>
      </c>
      <c r="O260" t="n">
        <v>0</v>
      </c>
      <c r="P260" t="n">
        <v>0</v>
      </c>
      <c r="Q260" t="n">
        <v>0</v>
      </c>
      <c r="R260" s="2" t="inlineStr"/>
    </row>
    <row r="261" ht="15" customHeight="1">
      <c r="A261" t="inlineStr">
        <is>
          <t>A 63787-2019</t>
        </is>
      </c>
      <c r="B261" s="1" t="n">
        <v>43795</v>
      </c>
      <c r="C261" s="1" t="n">
        <v>45358</v>
      </c>
      <c r="D261" t="inlineStr">
        <is>
          <t>DALARNAS LÄN</t>
        </is>
      </c>
      <c r="E261" t="inlineStr">
        <is>
          <t>ÄLVDALEN</t>
        </is>
      </c>
      <c r="F261" t="inlineStr">
        <is>
          <t>Sveaskog</t>
        </is>
      </c>
      <c r="G261" t="n">
        <v>14.1</v>
      </c>
      <c r="H261" t="n">
        <v>0</v>
      </c>
      <c r="I261" t="n">
        <v>0</v>
      </c>
      <c r="J261" t="n">
        <v>0</v>
      </c>
      <c r="K261" t="n">
        <v>0</v>
      </c>
      <c r="L261" t="n">
        <v>0</v>
      </c>
      <c r="M261" t="n">
        <v>0</v>
      </c>
      <c r="N261" t="n">
        <v>0</v>
      </c>
      <c r="O261" t="n">
        <v>0</v>
      </c>
      <c r="P261" t="n">
        <v>0</v>
      </c>
      <c r="Q261" t="n">
        <v>0</v>
      </c>
      <c r="R261" s="2" t="inlineStr"/>
    </row>
    <row r="262" ht="15" customHeight="1">
      <c r="A262" t="inlineStr">
        <is>
          <t>A 65980-2019</t>
        </is>
      </c>
      <c r="B262" s="1" t="n">
        <v>43805</v>
      </c>
      <c r="C262" s="1" t="n">
        <v>45358</v>
      </c>
      <c r="D262" t="inlineStr">
        <is>
          <t>DALARNAS LÄN</t>
        </is>
      </c>
      <c r="E262" t="inlineStr">
        <is>
          <t>ÄLVDALEN</t>
        </is>
      </c>
      <c r="G262" t="n">
        <v>0.4</v>
      </c>
      <c r="H262" t="n">
        <v>0</v>
      </c>
      <c r="I262" t="n">
        <v>0</v>
      </c>
      <c r="J262" t="n">
        <v>0</v>
      </c>
      <c r="K262" t="n">
        <v>0</v>
      </c>
      <c r="L262" t="n">
        <v>0</v>
      </c>
      <c r="M262" t="n">
        <v>0</v>
      </c>
      <c r="N262" t="n">
        <v>0</v>
      </c>
      <c r="O262" t="n">
        <v>0</v>
      </c>
      <c r="P262" t="n">
        <v>0</v>
      </c>
      <c r="Q262" t="n">
        <v>0</v>
      </c>
      <c r="R262" s="2" t="inlineStr"/>
    </row>
    <row r="263" ht="15" customHeight="1">
      <c r="A263" t="inlineStr">
        <is>
          <t>A 68854-2019</t>
        </is>
      </c>
      <c r="B263" s="1" t="n">
        <v>43820</v>
      </c>
      <c r="C263" s="1" t="n">
        <v>45358</v>
      </c>
      <c r="D263" t="inlineStr">
        <is>
          <t>DALARNAS LÄN</t>
        </is>
      </c>
      <c r="E263" t="inlineStr">
        <is>
          <t>ÄLVDALEN</t>
        </is>
      </c>
      <c r="G263" t="n">
        <v>1.6</v>
      </c>
      <c r="H263" t="n">
        <v>0</v>
      </c>
      <c r="I263" t="n">
        <v>0</v>
      </c>
      <c r="J263" t="n">
        <v>0</v>
      </c>
      <c r="K263" t="n">
        <v>0</v>
      </c>
      <c r="L263" t="n">
        <v>0</v>
      </c>
      <c r="M263" t="n">
        <v>0</v>
      </c>
      <c r="N263" t="n">
        <v>0</v>
      </c>
      <c r="O263" t="n">
        <v>0</v>
      </c>
      <c r="P263" t="n">
        <v>0</v>
      </c>
      <c r="Q263" t="n">
        <v>0</v>
      </c>
      <c r="R263" s="2" t="inlineStr"/>
    </row>
    <row r="264" ht="15" customHeight="1">
      <c r="A264" t="inlineStr">
        <is>
          <t>A 68936-2019</t>
        </is>
      </c>
      <c r="B264" s="1" t="n">
        <v>43822</v>
      </c>
      <c r="C264" s="1" t="n">
        <v>45358</v>
      </c>
      <c r="D264" t="inlineStr">
        <is>
          <t>DALARNAS LÄN</t>
        </is>
      </c>
      <c r="E264" t="inlineStr">
        <is>
          <t>ÄLVDALEN</t>
        </is>
      </c>
      <c r="G264" t="n">
        <v>3.5</v>
      </c>
      <c r="H264" t="n">
        <v>0</v>
      </c>
      <c r="I264" t="n">
        <v>0</v>
      </c>
      <c r="J264" t="n">
        <v>0</v>
      </c>
      <c r="K264" t="n">
        <v>0</v>
      </c>
      <c r="L264" t="n">
        <v>0</v>
      </c>
      <c r="M264" t="n">
        <v>0</v>
      </c>
      <c r="N264" t="n">
        <v>0</v>
      </c>
      <c r="O264" t="n">
        <v>0</v>
      </c>
      <c r="P264" t="n">
        <v>0</v>
      </c>
      <c r="Q264" t="n">
        <v>0</v>
      </c>
      <c r="R264" s="2" t="inlineStr"/>
    </row>
    <row r="265" ht="15" customHeight="1">
      <c r="A265" t="inlineStr">
        <is>
          <t>A 2050-2020</t>
        </is>
      </c>
      <c r="B265" s="1" t="n">
        <v>43845</v>
      </c>
      <c r="C265" s="1" t="n">
        <v>45358</v>
      </c>
      <c r="D265" t="inlineStr">
        <is>
          <t>DALARNAS LÄN</t>
        </is>
      </c>
      <c r="E265" t="inlineStr">
        <is>
          <t>ÄLVDALEN</t>
        </is>
      </c>
      <c r="G265" t="n">
        <v>9.5</v>
      </c>
      <c r="H265" t="n">
        <v>0</v>
      </c>
      <c r="I265" t="n">
        <v>0</v>
      </c>
      <c r="J265" t="n">
        <v>0</v>
      </c>
      <c r="K265" t="n">
        <v>0</v>
      </c>
      <c r="L265" t="n">
        <v>0</v>
      </c>
      <c r="M265" t="n">
        <v>0</v>
      </c>
      <c r="N265" t="n">
        <v>0</v>
      </c>
      <c r="O265" t="n">
        <v>0</v>
      </c>
      <c r="P265" t="n">
        <v>0</v>
      </c>
      <c r="Q265" t="n">
        <v>0</v>
      </c>
      <c r="R265" s="2" t="inlineStr"/>
    </row>
    <row r="266" ht="15" customHeight="1">
      <c r="A266" t="inlineStr">
        <is>
          <t>A 3301-2020</t>
        </is>
      </c>
      <c r="B266" s="1" t="n">
        <v>43852</v>
      </c>
      <c r="C266" s="1" t="n">
        <v>45358</v>
      </c>
      <c r="D266" t="inlineStr">
        <is>
          <t>DALARNAS LÄN</t>
        </is>
      </c>
      <c r="E266" t="inlineStr">
        <is>
          <t>ÄLVDALEN</t>
        </is>
      </c>
      <c r="G266" t="n">
        <v>3.3</v>
      </c>
      <c r="H266" t="n">
        <v>0</v>
      </c>
      <c r="I266" t="n">
        <v>0</v>
      </c>
      <c r="J266" t="n">
        <v>0</v>
      </c>
      <c r="K266" t="n">
        <v>0</v>
      </c>
      <c r="L266" t="n">
        <v>0</v>
      </c>
      <c r="M266" t="n">
        <v>0</v>
      </c>
      <c r="N266" t="n">
        <v>0</v>
      </c>
      <c r="O266" t="n">
        <v>0</v>
      </c>
      <c r="P266" t="n">
        <v>0</v>
      </c>
      <c r="Q266" t="n">
        <v>0</v>
      </c>
      <c r="R266" s="2" t="inlineStr"/>
    </row>
    <row r="267" ht="15" customHeight="1">
      <c r="A267" t="inlineStr">
        <is>
          <t>A 3917-2020</t>
        </is>
      </c>
      <c r="B267" s="1" t="n">
        <v>43854</v>
      </c>
      <c r="C267" s="1" t="n">
        <v>45358</v>
      </c>
      <c r="D267" t="inlineStr">
        <is>
          <t>DALARNAS LÄN</t>
        </is>
      </c>
      <c r="E267" t="inlineStr">
        <is>
          <t>ÄLVDALEN</t>
        </is>
      </c>
      <c r="G267" t="n">
        <v>3.6</v>
      </c>
      <c r="H267" t="n">
        <v>0</v>
      </c>
      <c r="I267" t="n">
        <v>0</v>
      </c>
      <c r="J267" t="n">
        <v>0</v>
      </c>
      <c r="K267" t="n">
        <v>0</v>
      </c>
      <c r="L267" t="n">
        <v>0</v>
      </c>
      <c r="M267" t="n">
        <v>0</v>
      </c>
      <c r="N267" t="n">
        <v>0</v>
      </c>
      <c r="O267" t="n">
        <v>0</v>
      </c>
      <c r="P267" t="n">
        <v>0</v>
      </c>
      <c r="Q267" t="n">
        <v>0</v>
      </c>
      <c r="R267" s="2" t="inlineStr"/>
    </row>
    <row r="268" ht="15" customHeight="1">
      <c r="A268" t="inlineStr">
        <is>
          <t>A 6317-2020</t>
        </is>
      </c>
      <c r="B268" s="1" t="n">
        <v>43866</v>
      </c>
      <c r="C268" s="1" t="n">
        <v>45358</v>
      </c>
      <c r="D268" t="inlineStr">
        <is>
          <t>DALARNAS LÄN</t>
        </is>
      </c>
      <c r="E268" t="inlineStr">
        <is>
          <t>ÄLVDALEN</t>
        </is>
      </c>
      <c r="G268" t="n">
        <v>2.8</v>
      </c>
      <c r="H268" t="n">
        <v>0</v>
      </c>
      <c r="I268" t="n">
        <v>0</v>
      </c>
      <c r="J268" t="n">
        <v>0</v>
      </c>
      <c r="K268" t="n">
        <v>0</v>
      </c>
      <c r="L268" t="n">
        <v>0</v>
      </c>
      <c r="M268" t="n">
        <v>0</v>
      </c>
      <c r="N268" t="n">
        <v>0</v>
      </c>
      <c r="O268" t="n">
        <v>0</v>
      </c>
      <c r="P268" t="n">
        <v>0</v>
      </c>
      <c r="Q268" t="n">
        <v>0</v>
      </c>
      <c r="R268" s="2" t="inlineStr"/>
    </row>
    <row r="269" ht="15" customHeight="1">
      <c r="A269" t="inlineStr">
        <is>
          <t>A 6319-2020</t>
        </is>
      </c>
      <c r="B269" s="1" t="n">
        <v>43866</v>
      </c>
      <c r="C269" s="1" t="n">
        <v>45358</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8751-2020</t>
        </is>
      </c>
      <c r="B270" s="1" t="n">
        <v>43878</v>
      </c>
      <c r="C270" s="1" t="n">
        <v>45358</v>
      </c>
      <c r="D270" t="inlineStr">
        <is>
          <t>DALARNAS LÄN</t>
        </is>
      </c>
      <c r="E270" t="inlineStr">
        <is>
          <t>ÄLVDALEN</t>
        </is>
      </c>
      <c r="G270" t="n">
        <v>1.9</v>
      </c>
      <c r="H270" t="n">
        <v>0</v>
      </c>
      <c r="I270" t="n">
        <v>0</v>
      </c>
      <c r="J270" t="n">
        <v>0</v>
      </c>
      <c r="K270" t="n">
        <v>0</v>
      </c>
      <c r="L270" t="n">
        <v>0</v>
      </c>
      <c r="M270" t="n">
        <v>0</v>
      </c>
      <c r="N270" t="n">
        <v>0</v>
      </c>
      <c r="O270" t="n">
        <v>0</v>
      </c>
      <c r="P270" t="n">
        <v>0</v>
      </c>
      <c r="Q270" t="n">
        <v>0</v>
      </c>
      <c r="R270" s="2" t="inlineStr"/>
    </row>
    <row r="271" ht="15" customHeight="1">
      <c r="A271" t="inlineStr">
        <is>
          <t>A 8864-2020</t>
        </is>
      </c>
      <c r="B271" s="1" t="n">
        <v>43878</v>
      </c>
      <c r="C271" s="1" t="n">
        <v>45358</v>
      </c>
      <c r="D271" t="inlineStr">
        <is>
          <t>DALARNAS LÄN</t>
        </is>
      </c>
      <c r="E271" t="inlineStr">
        <is>
          <t>ÄLVDALEN</t>
        </is>
      </c>
      <c r="G271" t="n">
        <v>2.3</v>
      </c>
      <c r="H271" t="n">
        <v>0</v>
      </c>
      <c r="I271" t="n">
        <v>0</v>
      </c>
      <c r="J271" t="n">
        <v>0</v>
      </c>
      <c r="K271" t="n">
        <v>0</v>
      </c>
      <c r="L271" t="n">
        <v>0</v>
      </c>
      <c r="M271" t="n">
        <v>0</v>
      </c>
      <c r="N271" t="n">
        <v>0</v>
      </c>
      <c r="O271" t="n">
        <v>0</v>
      </c>
      <c r="P271" t="n">
        <v>0</v>
      </c>
      <c r="Q271" t="n">
        <v>0</v>
      </c>
      <c r="R271" s="2" t="inlineStr"/>
    </row>
    <row r="272" ht="15" customHeight="1">
      <c r="A272" t="inlineStr">
        <is>
          <t>A 10047-2020</t>
        </is>
      </c>
      <c r="B272" s="1" t="n">
        <v>43882</v>
      </c>
      <c r="C272" s="1" t="n">
        <v>45358</v>
      </c>
      <c r="D272" t="inlineStr">
        <is>
          <t>DALARNAS LÄN</t>
        </is>
      </c>
      <c r="E272" t="inlineStr">
        <is>
          <t>ÄLVDALEN</t>
        </is>
      </c>
      <c r="G272" t="n">
        <v>5.7</v>
      </c>
      <c r="H272" t="n">
        <v>0</v>
      </c>
      <c r="I272" t="n">
        <v>0</v>
      </c>
      <c r="J272" t="n">
        <v>0</v>
      </c>
      <c r="K272" t="n">
        <v>0</v>
      </c>
      <c r="L272" t="n">
        <v>0</v>
      </c>
      <c r="M272" t="n">
        <v>0</v>
      </c>
      <c r="N272" t="n">
        <v>0</v>
      </c>
      <c r="O272" t="n">
        <v>0</v>
      </c>
      <c r="P272" t="n">
        <v>0</v>
      </c>
      <c r="Q272" t="n">
        <v>0</v>
      </c>
      <c r="R272" s="2" t="inlineStr"/>
    </row>
    <row r="273" ht="15" customHeight="1">
      <c r="A273" t="inlineStr">
        <is>
          <t>A 12540-2020</t>
        </is>
      </c>
      <c r="B273" s="1" t="n">
        <v>43897</v>
      </c>
      <c r="C273" s="1" t="n">
        <v>45358</v>
      </c>
      <c r="D273" t="inlineStr">
        <is>
          <t>DALARNAS LÄN</t>
        </is>
      </c>
      <c r="E273" t="inlineStr">
        <is>
          <t>ÄLVDALEN</t>
        </is>
      </c>
      <c r="G273" t="n">
        <v>3.7</v>
      </c>
      <c r="H273" t="n">
        <v>0</v>
      </c>
      <c r="I273" t="n">
        <v>0</v>
      </c>
      <c r="J273" t="n">
        <v>0</v>
      </c>
      <c r="K273" t="n">
        <v>0</v>
      </c>
      <c r="L273" t="n">
        <v>0</v>
      </c>
      <c r="M273" t="n">
        <v>0</v>
      </c>
      <c r="N273" t="n">
        <v>0</v>
      </c>
      <c r="O273" t="n">
        <v>0</v>
      </c>
      <c r="P273" t="n">
        <v>0</v>
      </c>
      <c r="Q273" t="n">
        <v>0</v>
      </c>
      <c r="R273" s="2" t="inlineStr"/>
    </row>
    <row r="274" ht="15" customHeight="1">
      <c r="A274" t="inlineStr">
        <is>
          <t>A 15596-2020</t>
        </is>
      </c>
      <c r="B274" s="1" t="n">
        <v>43914</v>
      </c>
      <c r="C274" s="1" t="n">
        <v>45358</v>
      </c>
      <c r="D274" t="inlineStr">
        <is>
          <t>DALARNAS LÄN</t>
        </is>
      </c>
      <c r="E274" t="inlineStr">
        <is>
          <t>ÄLVDALEN</t>
        </is>
      </c>
      <c r="F274" t="inlineStr">
        <is>
          <t>Allmännings- och besparingsskogar</t>
        </is>
      </c>
      <c r="G274" t="n">
        <v>19.5</v>
      </c>
      <c r="H274" t="n">
        <v>0</v>
      </c>
      <c r="I274" t="n">
        <v>0</v>
      </c>
      <c r="J274" t="n">
        <v>0</v>
      </c>
      <c r="K274" t="n">
        <v>0</v>
      </c>
      <c r="L274" t="n">
        <v>0</v>
      </c>
      <c r="M274" t="n">
        <v>0</v>
      </c>
      <c r="N274" t="n">
        <v>0</v>
      </c>
      <c r="O274" t="n">
        <v>0</v>
      </c>
      <c r="P274" t="n">
        <v>0</v>
      </c>
      <c r="Q274" t="n">
        <v>0</v>
      </c>
      <c r="R274" s="2" t="inlineStr"/>
    </row>
    <row r="275" ht="15" customHeight="1">
      <c r="A275" t="inlineStr">
        <is>
          <t>A 16308-2020</t>
        </is>
      </c>
      <c r="B275" s="1" t="n">
        <v>43917</v>
      </c>
      <c r="C275" s="1" t="n">
        <v>45358</v>
      </c>
      <c r="D275" t="inlineStr">
        <is>
          <t>DALARNAS LÄN</t>
        </is>
      </c>
      <c r="E275" t="inlineStr">
        <is>
          <t>ÄLVDALEN</t>
        </is>
      </c>
      <c r="F275" t="inlineStr">
        <is>
          <t>Allmännings- och besparingsskogar</t>
        </is>
      </c>
      <c r="G275" t="n">
        <v>29.7</v>
      </c>
      <c r="H275" t="n">
        <v>0</v>
      </c>
      <c r="I275" t="n">
        <v>0</v>
      </c>
      <c r="J275" t="n">
        <v>0</v>
      </c>
      <c r="K275" t="n">
        <v>0</v>
      </c>
      <c r="L275" t="n">
        <v>0</v>
      </c>
      <c r="M275" t="n">
        <v>0</v>
      </c>
      <c r="N275" t="n">
        <v>0</v>
      </c>
      <c r="O275" t="n">
        <v>0</v>
      </c>
      <c r="P275" t="n">
        <v>0</v>
      </c>
      <c r="Q275" t="n">
        <v>0</v>
      </c>
      <c r="R275" s="2" t="inlineStr"/>
    </row>
    <row r="276" ht="15" customHeight="1">
      <c r="A276" t="inlineStr">
        <is>
          <t>A 16911-2020</t>
        </is>
      </c>
      <c r="B276" s="1" t="n">
        <v>43921</v>
      </c>
      <c r="C276" s="1" t="n">
        <v>45358</v>
      </c>
      <c r="D276" t="inlineStr">
        <is>
          <t>DALARNAS LÄN</t>
        </is>
      </c>
      <c r="E276" t="inlineStr">
        <is>
          <t>ÄLVDALEN</t>
        </is>
      </c>
      <c r="G276" t="n">
        <v>0.8</v>
      </c>
      <c r="H276" t="n">
        <v>0</v>
      </c>
      <c r="I276" t="n">
        <v>0</v>
      </c>
      <c r="J276" t="n">
        <v>0</v>
      </c>
      <c r="K276" t="n">
        <v>0</v>
      </c>
      <c r="L276" t="n">
        <v>0</v>
      </c>
      <c r="M276" t="n">
        <v>0</v>
      </c>
      <c r="N276" t="n">
        <v>0</v>
      </c>
      <c r="O276" t="n">
        <v>0</v>
      </c>
      <c r="P276" t="n">
        <v>0</v>
      </c>
      <c r="Q276" t="n">
        <v>0</v>
      </c>
      <c r="R276" s="2" t="inlineStr"/>
    </row>
    <row r="277" ht="15" customHeight="1">
      <c r="A277" t="inlineStr">
        <is>
          <t>A 17096-2020</t>
        </is>
      </c>
      <c r="B277" s="1" t="n">
        <v>43922</v>
      </c>
      <c r="C277" s="1" t="n">
        <v>45358</v>
      </c>
      <c r="D277" t="inlineStr">
        <is>
          <t>DALARNAS LÄN</t>
        </is>
      </c>
      <c r="E277" t="inlineStr">
        <is>
          <t>ÄLVDALEN</t>
        </is>
      </c>
      <c r="F277" t="inlineStr">
        <is>
          <t>Allmännings- och besparingsskogar</t>
        </is>
      </c>
      <c r="G277" t="n">
        <v>66.7</v>
      </c>
      <c r="H277" t="n">
        <v>0</v>
      </c>
      <c r="I277" t="n">
        <v>0</v>
      </c>
      <c r="J277" t="n">
        <v>0</v>
      </c>
      <c r="K277" t="n">
        <v>0</v>
      </c>
      <c r="L277" t="n">
        <v>0</v>
      </c>
      <c r="M277" t="n">
        <v>0</v>
      </c>
      <c r="N277" t="n">
        <v>0</v>
      </c>
      <c r="O277" t="n">
        <v>0</v>
      </c>
      <c r="P277" t="n">
        <v>0</v>
      </c>
      <c r="Q277" t="n">
        <v>0</v>
      </c>
      <c r="R277" s="2" t="inlineStr"/>
    </row>
    <row r="278" ht="15" customHeight="1">
      <c r="A278" t="inlineStr">
        <is>
          <t>A 17109-2020</t>
        </is>
      </c>
      <c r="B278" s="1" t="n">
        <v>43922</v>
      </c>
      <c r="C278" s="1" t="n">
        <v>45358</v>
      </c>
      <c r="D278" t="inlineStr">
        <is>
          <t>DALARNAS LÄN</t>
        </is>
      </c>
      <c r="E278" t="inlineStr">
        <is>
          <t>ÄLVDALEN</t>
        </is>
      </c>
      <c r="F278" t="inlineStr">
        <is>
          <t>Allmännings- och besparingsskogar</t>
        </is>
      </c>
      <c r="G278" t="n">
        <v>22.3</v>
      </c>
      <c r="H278" t="n">
        <v>0</v>
      </c>
      <c r="I278" t="n">
        <v>0</v>
      </c>
      <c r="J278" t="n">
        <v>0</v>
      </c>
      <c r="K278" t="n">
        <v>0</v>
      </c>
      <c r="L278" t="n">
        <v>0</v>
      </c>
      <c r="M278" t="n">
        <v>0</v>
      </c>
      <c r="N278" t="n">
        <v>0</v>
      </c>
      <c r="O278" t="n">
        <v>0</v>
      </c>
      <c r="P278" t="n">
        <v>0</v>
      </c>
      <c r="Q278" t="n">
        <v>0</v>
      </c>
      <c r="R278" s="2" t="inlineStr"/>
    </row>
    <row r="279" ht="15" customHeight="1">
      <c r="A279" t="inlineStr">
        <is>
          <t>A 17099-2020</t>
        </is>
      </c>
      <c r="B279" s="1" t="n">
        <v>43922</v>
      </c>
      <c r="C279" s="1" t="n">
        <v>45358</v>
      </c>
      <c r="D279" t="inlineStr">
        <is>
          <t>DALARNAS LÄN</t>
        </is>
      </c>
      <c r="E279" t="inlineStr">
        <is>
          <t>ÄLVDALEN</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17103-2020</t>
        </is>
      </c>
      <c r="B280" s="1" t="n">
        <v>43922</v>
      </c>
      <c r="C280" s="1" t="n">
        <v>45358</v>
      </c>
      <c r="D280" t="inlineStr">
        <is>
          <t>DALARNAS LÄN</t>
        </is>
      </c>
      <c r="E280" t="inlineStr">
        <is>
          <t>ÄLVDALEN</t>
        </is>
      </c>
      <c r="F280" t="inlineStr">
        <is>
          <t>Allmännings- och besparingsskogar</t>
        </is>
      </c>
      <c r="G280" t="n">
        <v>54.1</v>
      </c>
      <c r="H280" t="n">
        <v>0</v>
      </c>
      <c r="I280" t="n">
        <v>0</v>
      </c>
      <c r="J280" t="n">
        <v>0</v>
      </c>
      <c r="K280" t="n">
        <v>0</v>
      </c>
      <c r="L280" t="n">
        <v>0</v>
      </c>
      <c r="M280" t="n">
        <v>0</v>
      </c>
      <c r="N280" t="n">
        <v>0</v>
      </c>
      <c r="O280" t="n">
        <v>0</v>
      </c>
      <c r="P280" t="n">
        <v>0</v>
      </c>
      <c r="Q280" t="n">
        <v>0</v>
      </c>
      <c r="R280" s="2" t="inlineStr"/>
    </row>
    <row r="281" ht="15" customHeight="1">
      <c r="A281" t="inlineStr">
        <is>
          <t>A 17430-2020</t>
        </is>
      </c>
      <c r="B281" s="1" t="n">
        <v>43923</v>
      </c>
      <c r="C281" s="1" t="n">
        <v>45358</v>
      </c>
      <c r="D281" t="inlineStr">
        <is>
          <t>DALARNAS LÄN</t>
        </is>
      </c>
      <c r="E281" t="inlineStr">
        <is>
          <t>ÄLVDALEN</t>
        </is>
      </c>
      <c r="G281" t="n">
        <v>1.8</v>
      </c>
      <c r="H281" t="n">
        <v>0</v>
      </c>
      <c r="I281" t="n">
        <v>0</v>
      </c>
      <c r="J281" t="n">
        <v>0</v>
      </c>
      <c r="K281" t="n">
        <v>0</v>
      </c>
      <c r="L281" t="n">
        <v>0</v>
      </c>
      <c r="M281" t="n">
        <v>0</v>
      </c>
      <c r="N281" t="n">
        <v>0</v>
      </c>
      <c r="O281" t="n">
        <v>0</v>
      </c>
      <c r="P281" t="n">
        <v>0</v>
      </c>
      <c r="Q281" t="n">
        <v>0</v>
      </c>
      <c r="R281" s="2" t="inlineStr"/>
    </row>
    <row r="282" ht="15" customHeight="1">
      <c r="A282" t="inlineStr">
        <is>
          <t>A 18378-2020</t>
        </is>
      </c>
      <c r="B282" s="1" t="n">
        <v>43928</v>
      </c>
      <c r="C282" s="1" t="n">
        <v>45358</v>
      </c>
      <c r="D282" t="inlineStr">
        <is>
          <t>DALARNAS LÄN</t>
        </is>
      </c>
      <c r="E282" t="inlineStr">
        <is>
          <t>ÄLVDALEN</t>
        </is>
      </c>
      <c r="F282" t="inlineStr">
        <is>
          <t>Allmännings- och besparingsskogar</t>
        </is>
      </c>
      <c r="G282" t="n">
        <v>48.4</v>
      </c>
      <c r="H282" t="n">
        <v>0</v>
      </c>
      <c r="I282" t="n">
        <v>0</v>
      </c>
      <c r="J282" t="n">
        <v>0</v>
      </c>
      <c r="K282" t="n">
        <v>0</v>
      </c>
      <c r="L282" t="n">
        <v>0</v>
      </c>
      <c r="M282" t="n">
        <v>0</v>
      </c>
      <c r="N282" t="n">
        <v>0</v>
      </c>
      <c r="O282" t="n">
        <v>0</v>
      </c>
      <c r="P282" t="n">
        <v>0</v>
      </c>
      <c r="Q282" t="n">
        <v>0</v>
      </c>
      <c r="R282" s="2" t="inlineStr"/>
    </row>
    <row r="283" ht="15" customHeight="1">
      <c r="A283" t="inlineStr">
        <is>
          <t>A 23179-2020</t>
        </is>
      </c>
      <c r="B283" s="1" t="n">
        <v>43937</v>
      </c>
      <c r="C283" s="1" t="n">
        <v>45358</v>
      </c>
      <c r="D283" t="inlineStr">
        <is>
          <t>DALARNAS LÄN</t>
        </is>
      </c>
      <c r="E283" t="inlineStr">
        <is>
          <t>ÄLVDALEN</t>
        </is>
      </c>
      <c r="F283" t="inlineStr">
        <is>
          <t>Sveaskog</t>
        </is>
      </c>
      <c r="G283" t="n">
        <v>75.09999999999999</v>
      </c>
      <c r="H283" t="n">
        <v>0</v>
      </c>
      <c r="I283" t="n">
        <v>0</v>
      </c>
      <c r="J283" t="n">
        <v>0</v>
      </c>
      <c r="K283" t="n">
        <v>0</v>
      </c>
      <c r="L283" t="n">
        <v>0</v>
      </c>
      <c r="M283" t="n">
        <v>0</v>
      </c>
      <c r="N283" t="n">
        <v>0</v>
      </c>
      <c r="O283" t="n">
        <v>0</v>
      </c>
      <c r="P283" t="n">
        <v>0</v>
      </c>
      <c r="Q283" t="n">
        <v>0</v>
      </c>
      <c r="R283" s="2" t="inlineStr"/>
    </row>
    <row r="284" ht="15" customHeight="1">
      <c r="A284" t="inlineStr">
        <is>
          <t>A 20189-2020</t>
        </is>
      </c>
      <c r="B284" s="1" t="n">
        <v>43944</v>
      </c>
      <c r="C284" s="1" t="n">
        <v>45358</v>
      </c>
      <c r="D284" t="inlineStr">
        <is>
          <t>DALARNAS LÄN</t>
        </is>
      </c>
      <c r="E284" t="inlineStr">
        <is>
          <t>ÄLVDALEN</t>
        </is>
      </c>
      <c r="G284" t="n">
        <v>0.7</v>
      </c>
      <c r="H284" t="n">
        <v>0</v>
      </c>
      <c r="I284" t="n">
        <v>0</v>
      </c>
      <c r="J284" t="n">
        <v>0</v>
      </c>
      <c r="K284" t="n">
        <v>0</v>
      </c>
      <c r="L284" t="n">
        <v>0</v>
      </c>
      <c r="M284" t="n">
        <v>0</v>
      </c>
      <c r="N284" t="n">
        <v>0</v>
      </c>
      <c r="O284" t="n">
        <v>0</v>
      </c>
      <c r="P284" t="n">
        <v>0</v>
      </c>
      <c r="Q284" t="n">
        <v>0</v>
      </c>
      <c r="R284" s="2" t="inlineStr"/>
    </row>
    <row r="285" ht="15" customHeight="1">
      <c r="A285" t="inlineStr">
        <is>
          <t>A 20290-2020</t>
        </is>
      </c>
      <c r="B285" s="1" t="n">
        <v>43944</v>
      </c>
      <c r="C285" s="1" t="n">
        <v>45358</v>
      </c>
      <c r="D285" t="inlineStr">
        <is>
          <t>DALARNAS LÄN</t>
        </is>
      </c>
      <c r="E285" t="inlineStr">
        <is>
          <t>ÄLVDALEN</t>
        </is>
      </c>
      <c r="G285" t="n">
        <v>1</v>
      </c>
      <c r="H285" t="n">
        <v>0</v>
      </c>
      <c r="I285" t="n">
        <v>0</v>
      </c>
      <c r="J285" t="n">
        <v>0</v>
      </c>
      <c r="K285" t="n">
        <v>0</v>
      </c>
      <c r="L285" t="n">
        <v>0</v>
      </c>
      <c r="M285" t="n">
        <v>0</v>
      </c>
      <c r="N285" t="n">
        <v>0</v>
      </c>
      <c r="O285" t="n">
        <v>0</v>
      </c>
      <c r="P285" t="n">
        <v>0</v>
      </c>
      <c r="Q285" t="n">
        <v>0</v>
      </c>
      <c r="R285" s="2" t="inlineStr"/>
    </row>
    <row r="286" ht="15" customHeight="1">
      <c r="A286" t="inlineStr">
        <is>
          <t>A 21120-2020</t>
        </is>
      </c>
      <c r="B286" s="1" t="n">
        <v>43951</v>
      </c>
      <c r="C286" s="1" t="n">
        <v>45358</v>
      </c>
      <c r="D286" t="inlineStr">
        <is>
          <t>DALARNAS LÄN</t>
        </is>
      </c>
      <c r="E286" t="inlineStr">
        <is>
          <t>ÄLVDALEN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21128-2020</t>
        </is>
      </c>
      <c r="B287" s="1" t="n">
        <v>43951</v>
      </c>
      <c r="C287" s="1" t="n">
        <v>45358</v>
      </c>
      <c r="D287" t="inlineStr">
        <is>
          <t>DALARNAS LÄN</t>
        </is>
      </c>
      <c r="E287" t="inlineStr">
        <is>
          <t>ÄLVDALEN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21367-2020</t>
        </is>
      </c>
      <c r="B288" s="1" t="n">
        <v>43955</v>
      </c>
      <c r="C288" s="1" t="n">
        <v>45358</v>
      </c>
      <c r="D288" t="inlineStr">
        <is>
          <t>DALARNAS LÄN</t>
        </is>
      </c>
      <c r="E288" t="inlineStr">
        <is>
          <t>ÄLVDALEN</t>
        </is>
      </c>
      <c r="G288" t="n">
        <v>4</v>
      </c>
      <c r="H288" t="n">
        <v>0</v>
      </c>
      <c r="I288" t="n">
        <v>0</v>
      </c>
      <c r="J288" t="n">
        <v>0</v>
      </c>
      <c r="K288" t="n">
        <v>0</v>
      </c>
      <c r="L288" t="n">
        <v>0</v>
      </c>
      <c r="M288" t="n">
        <v>0</v>
      </c>
      <c r="N288" t="n">
        <v>0</v>
      </c>
      <c r="O288" t="n">
        <v>0</v>
      </c>
      <c r="P288" t="n">
        <v>0</v>
      </c>
      <c r="Q288" t="n">
        <v>0</v>
      </c>
      <c r="R288" s="2" t="inlineStr"/>
    </row>
    <row r="289" ht="15" customHeight="1">
      <c r="A289" t="inlineStr">
        <is>
          <t>A 21927-2020</t>
        </is>
      </c>
      <c r="B289" s="1" t="n">
        <v>43955</v>
      </c>
      <c r="C289" s="1" t="n">
        <v>45358</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23448-2020</t>
        </is>
      </c>
      <c r="B290" s="1" t="n">
        <v>43969</v>
      </c>
      <c r="C290" s="1" t="n">
        <v>45358</v>
      </c>
      <c r="D290" t="inlineStr">
        <is>
          <t>DALARNAS LÄN</t>
        </is>
      </c>
      <c r="E290" t="inlineStr">
        <is>
          <t>ÄLVDALEN</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25966-2020</t>
        </is>
      </c>
      <c r="B291" s="1" t="n">
        <v>43985</v>
      </c>
      <c r="C291" s="1" t="n">
        <v>45358</v>
      </c>
      <c r="D291" t="inlineStr">
        <is>
          <t>DALARNAS LÄN</t>
        </is>
      </c>
      <c r="E291" t="inlineStr">
        <is>
          <t>ÄLVDALEN</t>
        </is>
      </c>
      <c r="G291" t="n">
        <v>0.5</v>
      </c>
      <c r="H291" t="n">
        <v>0</v>
      </c>
      <c r="I291" t="n">
        <v>0</v>
      </c>
      <c r="J291" t="n">
        <v>0</v>
      </c>
      <c r="K291" t="n">
        <v>0</v>
      </c>
      <c r="L291" t="n">
        <v>0</v>
      </c>
      <c r="M291" t="n">
        <v>0</v>
      </c>
      <c r="N291" t="n">
        <v>0</v>
      </c>
      <c r="O291" t="n">
        <v>0</v>
      </c>
      <c r="P291" t="n">
        <v>0</v>
      </c>
      <c r="Q291" t="n">
        <v>0</v>
      </c>
      <c r="R291" s="2" t="inlineStr"/>
    </row>
    <row r="292" ht="15" customHeight="1">
      <c r="A292" t="inlineStr">
        <is>
          <t>A 26792-2020</t>
        </is>
      </c>
      <c r="B292" s="1" t="n">
        <v>43990</v>
      </c>
      <c r="C292" s="1" t="n">
        <v>45358</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26808-2020</t>
        </is>
      </c>
      <c r="B293" s="1" t="n">
        <v>43990</v>
      </c>
      <c r="C293" s="1" t="n">
        <v>45358</v>
      </c>
      <c r="D293" t="inlineStr">
        <is>
          <t>DALARNAS LÄN</t>
        </is>
      </c>
      <c r="E293" t="inlineStr">
        <is>
          <t>ÄLVDALEN</t>
        </is>
      </c>
      <c r="G293" t="n">
        <v>0.8</v>
      </c>
      <c r="H293" t="n">
        <v>0</v>
      </c>
      <c r="I293" t="n">
        <v>0</v>
      </c>
      <c r="J293" t="n">
        <v>0</v>
      </c>
      <c r="K293" t="n">
        <v>0</v>
      </c>
      <c r="L293" t="n">
        <v>0</v>
      </c>
      <c r="M293" t="n">
        <v>0</v>
      </c>
      <c r="N293" t="n">
        <v>0</v>
      </c>
      <c r="O293" t="n">
        <v>0</v>
      </c>
      <c r="P293" t="n">
        <v>0</v>
      </c>
      <c r="Q293" t="n">
        <v>0</v>
      </c>
      <c r="R293" s="2" t="inlineStr"/>
    </row>
    <row r="294" ht="15" customHeight="1">
      <c r="A294" t="inlineStr">
        <is>
          <t>A 26788-2020</t>
        </is>
      </c>
      <c r="B294" s="1" t="n">
        <v>43990</v>
      </c>
      <c r="C294" s="1" t="n">
        <v>45358</v>
      </c>
      <c r="D294" t="inlineStr">
        <is>
          <t>DALARNAS LÄN</t>
        </is>
      </c>
      <c r="E294" t="inlineStr">
        <is>
          <t>ÄLVDALEN</t>
        </is>
      </c>
      <c r="G294" t="n">
        <v>0.2</v>
      </c>
      <c r="H294" t="n">
        <v>0</v>
      </c>
      <c r="I294" t="n">
        <v>0</v>
      </c>
      <c r="J294" t="n">
        <v>0</v>
      </c>
      <c r="K294" t="n">
        <v>0</v>
      </c>
      <c r="L294" t="n">
        <v>0</v>
      </c>
      <c r="M294" t="n">
        <v>0</v>
      </c>
      <c r="N294" t="n">
        <v>0</v>
      </c>
      <c r="O294" t="n">
        <v>0</v>
      </c>
      <c r="P294" t="n">
        <v>0</v>
      </c>
      <c r="Q294" t="n">
        <v>0</v>
      </c>
      <c r="R294" s="2" t="inlineStr"/>
    </row>
    <row r="295" ht="15" customHeight="1">
      <c r="A295" t="inlineStr">
        <is>
          <t>A 26801-2020</t>
        </is>
      </c>
      <c r="B295" s="1" t="n">
        <v>43990</v>
      </c>
      <c r="C295" s="1" t="n">
        <v>45358</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27040-2020</t>
        </is>
      </c>
      <c r="B296" s="1" t="n">
        <v>43991</v>
      </c>
      <c r="C296" s="1" t="n">
        <v>45358</v>
      </c>
      <c r="D296" t="inlineStr">
        <is>
          <t>DALARNAS LÄN</t>
        </is>
      </c>
      <c r="E296" t="inlineStr">
        <is>
          <t>ÄLVDALEN</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27038-2020</t>
        </is>
      </c>
      <c r="B297" s="1" t="n">
        <v>43991</v>
      </c>
      <c r="C297" s="1" t="n">
        <v>45358</v>
      </c>
      <c r="D297" t="inlineStr">
        <is>
          <t>DALARNAS LÄN</t>
        </is>
      </c>
      <c r="E297" t="inlineStr">
        <is>
          <t>ÄLVDALEN</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27041-2020</t>
        </is>
      </c>
      <c r="B298" s="1" t="n">
        <v>43991</v>
      </c>
      <c r="C298" s="1" t="n">
        <v>45358</v>
      </c>
      <c r="D298" t="inlineStr">
        <is>
          <t>DALARNAS LÄN</t>
        </is>
      </c>
      <c r="E298" t="inlineStr">
        <is>
          <t>ÄLVDALEN</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29545-2020</t>
        </is>
      </c>
      <c r="B299" s="1" t="n">
        <v>44005</v>
      </c>
      <c r="C299" s="1" t="n">
        <v>45358</v>
      </c>
      <c r="D299" t="inlineStr">
        <is>
          <t>DALARNAS LÄN</t>
        </is>
      </c>
      <c r="E299" t="inlineStr">
        <is>
          <t>ÄLVDALEN</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29703-2020</t>
        </is>
      </c>
      <c r="B300" s="1" t="n">
        <v>44005</v>
      </c>
      <c r="C300" s="1" t="n">
        <v>45358</v>
      </c>
      <c r="D300" t="inlineStr">
        <is>
          <t>DALARNAS LÄN</t>
        </is>
      </c>
      <c r="E300" t="inlineStr">
        <is>
          <t>ÄLVDALEN</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32286-2020</t>
        </is>
      </c>
      <c r="B301" s="1" t="n">
        <v>44015</v>
      </c>
      <c r="C301" s="1" t="n">
        <v>45358</v>
      </c>
      <c r="D301" t="inlineStr">
        <is>
          <t>DALARNAS LÄN</t>
        </is>
      </c>
      <c r="E301" t="inlineStr">
        <is>
          <t>ÄLVDALEN</t>
        </is>
      </c>
      <c r="F301" t="inlineStr">
        <is>
          <t>Sveaskog</t>
        </is>
      </c>
      <c r="G301" t="n">
        <v>10.5</v>
      </c>
      <c r="H301" t="n">
        <v>0</v>
      </c>
      <c r="I301" t="n">
        <v>0</v>
      </c>
      <c r="J301" t="n">
        <v>0</v>
      </c>
      <c r="K301" t="n">
        <v>0</v>
      </c>
      <c r="L301" t="n">
        <v>0</v>
      </c>
      <c r="M301" t="n">
        <v>0</v>
      </c>
      <c r="N301" t="n">
        <v>0</v>
      </c>
      <c r="O301" t="n">
        <v>0</v>
      </c>
      <c r="P301" t="n">
        <v>0</v>
      </c>
      <c r="Q301" t="n">
        <v>0</v>
      </c>
      <c r="R301" s="2" t="inlineStr"/>
    </row>
    <row r="302" ht="15" customHeight="1">
      <c r="A302" t="inlineStr">
        <is>
          <t>A 32282-2020</t>
        </is>
      </c>
      <c r="B302" s="1" t="n">
        <v>44015</v>
      </c>
      <c r="C302" s="1" t="n">
        <v>45358</v>
      </c>
      <c r="D302" t="inlineStr">
        <is>
          <t>DALARNAS LÄN</t>
        </is>
      </c>
      <c r="E302" t="inlineStr">
        <is>
          <t>ÄLVDALEN</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32285-2020</t>
        </is>
      </c>
      <c r="B303" s="1" t="n">
        <v>44015</v>
      </c>
      <c r="C303" s="1" t="n">
        <v>45358</v>
      </c>
      <c r="D303" t="inlineStr">
        <is>
          <t>DALARNAS LÄN</t>
        </is>
      </c>
      <c r="E303" t="inlineStr">
        <is>
          <t>ÄLVDALEN</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33816-2020</t>
        </is>
      </c>
      <c r="B304" s="1" t="n">
        <v>44027</v>
      </c>
      <c r="C304" s="1" t="n">
        <v>45358</v>
      </c>
      <c r="D304" t="inlineStr">
        <is>
          <t>DALARNAS LÄN</t>
        </is>
      </c>
      <c r="E304" t="inlineStr">
        <is>
          <t>ÄLVDALEN</t>
        </is>
      </c>
      <c r="G304" t="n">
        <v>1.3</v>
      </c>
      <c r="H304" t="n">
        <v>0</v>
      </c>
      <c r="I304" t="n">
        <v>0</v>
      </c>
      <c r="J304" t="n">
        <v>0</v>
      </c>
      <c r="K304" t="n">
        <v>0</v>
      </c>
      <c r="L304" t="n">
        <v>0</v>
      </c>
      <c r="M304" t="n">
        <v>0</v>
      </c>
      <c r="N304" t="n">
        <v>0</v>
      </c>
      <c r="O304" t="n">
        <v>0</v>
      </c>
      <c r="P304" t="n">
        <v>0</v>
      </c>
      <c r="Q304" t="n">
        <v>0</v>
      </c>
      <c r="R304" s="2" t="inlineStr"/>
    </row>
    <row r="305" ht="15" customHeight="1">
      <c r="A305" t="inlineStr">
        <is>
          <t>A 35833-2020</t>
        </is>
      </c>
      <c r="B305" s="1" t="n">
        <v>44047</v>
      </c>
      <c r="C305" s="1" t="n">
        <v>45358</v>
      </c>
      <c r="D305" t="inlineStr">
        <is>
          <t>DALARNAS LÄN</t>
        </is>
      </c>
      <c r="E305" t="inlineStr">
        <is>
          <t>ÄLVDALEN</t>
        </is>
      </c>
      <c r="G305" t="n">
        <v>5.8</v>
      </c>
      <c r="H305" t="n">
        <v>0</v>
      </c>
      <c r="I305" t="n">
        <v>0</v>
      </c>
      <c r="J305" t="n">
        <v>0</v>
      </c>
      <c r="K305" t="n">
        <v>0</v>
      </c>
      <c r="L305" t="n">
        <v>0</v>
      </c>
      <c r="M305" t="n">
        <v>0</v>
      </c>
      <c r="N305" t="n">
        <v>0</v>
      </c>
      <c r="O305" t="n">
        <v>0</v>
      </c>
      <c r="P305" t="n">
        <v>0</v>
      </c>
      <c r="Q305" t="n">
        <v>0</v>
      </c>
      <c r="R305" s="2" t="inlineStr"/>
    </row>
    <row r="306" ht="15" customHeight="1">
      <c r="A306" t="inlineStr">
        <is>
          <t>A 36741-2020</t>
        </is>
      </c>
      <c r="B306" s="1" t="n">
        <v>44053</v>
      </c>
      <c r="C306" s="1" t="n">
        <v>45358</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37580-2020</t>
        </is>
      </c>
      <c r="B307" s="1" t="n">
        <v>44056</v>
      </c>
      <c r="C307" s="1" t="n">
        <v>45358</v>
      </c>
      <c r="D307" t="inlineStr">
        <is>
          <t>DALARNAS LÄN</t>
        </is>
      </c>
      <c r="E307" t="inlineStr">
        <is>
          <t>ÄLVDALEN</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39203-2020</t>
        </is>
      </c>
      <c r="B308" s="1" t="n">
        <v>44063</v>
      </c>
      <c r="C308" s="1" t="n">
        <v>45358</v>
      </c>
      <c r="D308" t="inlineStr">
        <is>
          <t>DALARNAS LÄN</t>
        </is>
      </c>
      <c r="E308" t="inlineStr">
        <is>
          <t>ÄLVDALEN</t>
        </is>
      </c>
      <c r="G308" t="n">
        <v>1.4</v>
      </c>
      <c r="H308" t="n">
        <v>0</v>
      </c>
      <c r="I308" t="n">
        <v>0</v>
      </c>
      <c r="J308" t="n">
        <v>0</v>
      </c>
      <c r="K308" t="n">
        <v>0</v>
      </c>
      <c r="L308" t="n">
        <v>0</v>
      </c>
      <c r="M308" t="n">
        <v>0</v>
      </c>
      <c r="N308" t="n">
        <v>0</v>
      </c>
      <c r="O308" t="n">
        <v>0</v>
      </c>
      <c r="P308" t="n">
        <v>0</v>
      </c>
      <c r="Q308" t="n">
        <v>0</v>
      </c>
      <c r="R308" s="2" t="inlineStr"/>
    </row>
    <row r="309" ht="15" customHeight="1">
      <c r="A309" t="inlineStr">
        <is>
          <t>A 41831-2020</t>
        </is>
      </c>
      <c r="B309" s="1" t="n">
        <v>44074</v>
      </c>
      <c r="C309" s="1" t="n">
        <v>45358</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41814-2020</t>
        </is>
      </c>
      <c r="B310" s="1" t="n">
        <v>44074</v>
      </c>
      <c r="C310" s="1" t="n">
        <v>45358</v>
      </c>
      <c r="D310" t="inlineStr">
        <is>
          <t>DALARNAS LÄN</t>
        </is>
      </c>
      <c r="E310" t="inlineStr">
        <is>
          <t>ÄLVDALEN</t>
        </is>
      </c>
      <c r="G310" t="n">
        <v>0.3</v>
      </c>
      <c r="H310" t="n">
        <v>0</v>
      </c>
      <c r="I310" t="n">
        <v>0</v>
      </c>
      <c r="J310" t="n">
        <v>0</v>
      </c>
      <c r="K310" t="n">
        <v>0</v>
      </c>
      <c r="L310" t="n">
        <v>0</v>
      </c>
      <c r="M310" t="n">
        <v>0</v>
      </c>
      <c r="N310" t="n">
        <v>0</v>
      </c>
      <c r="O310" t="n">
        <v>0</v>
      </c>
      <c r="P310" t="n">
        <v>0</v>
      </c>
      <c r="Q310" t="n">
        <v>0</v>
      </c>
      <c r="R310" s="2" t="inlineStr"/>
    </row>
    <row r="311" ht="15" customHeight="1">
      <c r="A311" t="inlineStr">
        <is>
          <t>A 42861-2020</t>
        </is>
      </c>
      <c r="B311" s="1" t="n">
        <v>44078</v>
      </c>
      <c r="C311" s="1" t="n">
        <v>45358</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46881-2020</t>
        </is>
      </c>
      <c r="B312" s="1" t="n">
        <v>44096</v>
      </c>
      <c r="C312" s="1" t="n">
        <v>45358</v>
      </c>
      <c r="D312" t="inlineStr">
        <is>
          <t>DALARNAS LÄN</t>
        </is>
      </c>
      <c r="E312" t="inlineStr">
        <is>
          <t>ÄLVDALEN</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46893-2020</t>
        </is>
      </c>
      <c r="B313" s="1" t="n">
        <v>44096</v>
      </c>
      <c r="C313" s="1" t="n">
        <v>45358</v>
      </c>
      <c r="D313" t="inlineStr">
        <is>
          <t>DALARNAS LÄN</t>
        </is>
      </c>
      <c r="E313" t="inlineStr">
        <is>
          <t>ÄLVDALEN</t>
        </is>
      </c>
      <c r="F313" t="inlineStr">
        <is>
          <t>Bergvik skog öst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49737-2020</t>
        </is>
      </c>
      <c r="B314" s="1" t="n">
        <v>44106</v>
      </c>
      <c r="C314" s="1" t="n">
        <v>45358</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49587-2020</t>
        </is>
      </c>
      <c r="B315" s="1" t="n">
        <v>44106</v>
      </c>
      <c r="C315" s="1" t="n">
        <v>45358</v>
      </c>
      <c r="D315" t="inlineStr">
        <is>
          <t>DALARNAS LÄN</t>
        </is>
      </c>
      <c r="E315" t="inlineStr">
        <is>
          <t>ÄLVDALEN</t>
        </is>
      </c>
      <c r="G315" t="n">
        <v>0.9</v>
      </c>
      <c r="H315" t="n">
        <v>0</v>
      </c>
      <c r="I315" t="n">
        <v>0</v>
      </c>
      <c r="J315" t="n">
        <v>0</v>
      </c>
      <c r="K315" t="n">
        <v>0</v>
      </c>
      <c r="L315" t="n">
        <v>0</v>
      </c>
      <c r="M315" t="n">
        <v>0</v>
      </c>
      <c r="N315" t="n">
        <v>0</v>
      </c>
      <c r="O315" t="n">
        <v>0</v>
      </c>
      <c r="P315" t="n">
        <v>0</v>
      </c>
      <c r="Q315" t="n">
        <v>0</v>
      </c>
      <c r="R315" s="2" t="inlineStr"/>
    </row>
    <row r="316" ht="15" customHeight="1">
      <c r="A316" t="inlineStr">
        <is>
          <t>A 49734-2020</t>
        </is>
      </c>
      <c r="B316" s="1" t="n">
        <v>44106</v>
      </c>
      <c r="C316" s="1" t="n">
        <v>45358</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49956-2020</t>
        </is>
      </c>
      <c r="B317" s="1" t="n">
        <v>44109</v>
      </c>
      <c r="C317" s="1" t="n">
        <v>45358</v>
      </c>
      <c r="D317" t="inlineStr">
        <is>
          <t>DALARNAS LÄN</t>
        </is>
      </c>
      <c r="E317" t="inlineStr">
        <is>
          <t>ÄLVDALEN</t>
        </is>
      </c>
      <c r="F317" t="inlineStr">
        <is>
          <t>Övriga Aktiebolag</t>
        </is>
      </c>
      <c r="G317" t="n">
        <v>25.8</v>
      </c>
      <c r="H317" t="n">
        <v>0</v>
      </c>
      <c r="I317" t="n">
        <v>0</v>
      </c>
      <c r="J317" t="n">
        <v>0</v>
      </c>
      <c r="K317" t="n">
        <v>0</v>
      </c>
      <c r="L317" t="n">
        <v>0</v>
      </c>
      <c r="M317" t="n">
        <v>0</v>
      </c>
      <c r="N317" t="n">
        <v>0</v>
      </c>
      <c r="O317" t="n">
        <v>0</v>
      </c>
      <c r="P317" t="n">
        <v>0</v>
      </c>
      <c r="Q317" t="n">
        <v>0</v>
      </c>
      <c r="R317" s="2" t="inlineStr"/>
    </row>
    <row r="318" ht="15" customHeight="1">
      <c r="A318" t="inlineStr">
        <is>
          <t>A 49968-2020</t>
        </is>
      </c>
      <c r="B318" s="1" t="n">
        <v>44109</v>
      </c>
      <c r="C318" s="1" t="n">
        <v>45358</v>
      </c>
      <c r="D318" t="inlineStr">
        <is>
          <t>DALARNAS LÄN</t>
        </is>
      </c>
      <c r="E318" t="inlineStr">
        <is>
          <t>ÄLVDALEN</t>
        </is>
      </c>
      <c r="F318" t="inlineStr">
        <is>
          <t>Övriga Aktiebolag</t>
        </is>
      </c>
      <c r="G318" t="n">
        <v>11.8</v>
      </c>
      <c r="H318" t="n">
        <v>0</v>
      </c>
      <c r="I318" t="n">
        <v>0</v>
      </c>
      <c r="J318" t="n">
        <v>0</v>
      </c>
      <c r="K318" t="n">
        <v>0</v>
      </c>
      <c r="L318" t="n">
        <v>0</v>
      </c>
      <c r="M318" t="n">
        <v>0</v>
      </c>
      <c r="N318" t="n">
        <v>0</v>
      </c>
      <c r="O318" t="n">
        <v>0</v>
      </c>
      <c r="P318" t="n">
        <v>0</v>
      </c>
      <c r="Q318" t="n">
        <v>0</v>
      </c>
      <c r="R318" s="2" t="inlineStr"/>
    </row>
    <row r="319" ht="15" customHeight="1">
      <c r="A319" t="inlineStr">
        <is>
          <t>A 51519-2020</t>
        </is>
      </c>
      <c r="B319" s="1" t="n">
        <v>44113</v>
      </c>
      <c r="C319" s="1" t="n">
        <v>45358</v>
      </c>
      <c r="D319" t="inlineStr">
        <is>
          <t>DALARNAS LÄN</t>
        </is>
      </c>
      <c r="E319" t="inlineStr">
        <is>
          <t>ÄLVDALEN</t>
        </is>
      </c>
      <c r="G319" t="n">
        <v>0.8</v>
      </c>
      <c r="H319" t="n">
        <v>0</v>
      </c>
      <c r="I319" t="n">
        <v>0</v>
      </c>
      <c r="J319" t="n">
        <v>0</v>
      </c>
      <c r="K319" t="n">
        <v>0</v>
      </c>
      <c r="L319" t="n">
        <v>0</v>
      </c>
      <c r="M319" t="n">
        <v>0</v>
      </c>
      <c r="N319" t="n">
        <v>0</v>
      </c>
      <c r="O319" t="n">
        <v>0</v>
      </c>
      <c r="P319" t="n">
        <v>0</v>
      </c>
      <c r="Q319" t="n">
        <v>0</v>
      </c>
      <c r="R319" s="2" t="inlineStr"/>
    </row>
    <row r="320" ht="15" customHeight="1">
      <c r="A320" t="inlineStr">
        <is>
          <t>A 52401-2020</t>
        </is>
      </c>
      <c r="B320" s="1" t="n">
        <v>44113</v>
      </c>
      <c r="C320" s="1" t="n">
        <v>45358</v>
      </c>
      <c r="D320" t="inlineStr">
        <is>
          <t>DALARNAS LÄN</t>
        </is>
      </c>
      <c r="E320" t="inlineStr">
        <is>
          <t>ÄLVDALEN</t>
        </is>
      </c>
      <c r="G320" t="n">
        <v>4.4</v>
      </c>
      <c r="H320" t="n">
        <v>0</v>
      </c>
      <c r="I320" t="n">
        <v>0</v>
      </c>
      <c r="J320" t="n">
        <v>0</v>
      </c>
      <c r="K320" t="n">
        <v>0</v>
      </c>
      <c r="L320" t="n">
        <v>0</v>
      </c>
      <c r="M320" t="n">
        <v>0</v>
      </c>
      <c r="N320" t="n">
        <v>0</v>
      </c>
      <c r="O320" t="n">
        <v>0</v>
      </c>
      <c r="P320" t="n">
        <v>0</v>
      </c>
      <c r="Q320" t="n">
        <v>0</v>
      </c>
      <c r="R320" s="2" t="inlineStr"/>
    </row>
    <row r="321" ht="15" customHeight="1">
      <c r="A321" t="inlineStr">
        <is>
          <t>A 54138-2020</t>
        </is>
      </c>
      <c r="B321" s="1" t="n">
        <v>44125</v>
      </c>
      <c r="C321" s="1" t="n">
        <v>45358</v>
      </c>
      <c r="D321" t="inlineStr">
        <is>
          <t>DALARNAS LÄN</t>
        </is>
      </c>
      <c r="E321" t="inlineStr">
        <is>
          <t>ÄLVDALEN</t>
        </is>
      </c>
      <c r="F321" t="inlineStr">
        <is>
          <t>Bergvik skog öst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54338-2020</t>
        </is>
      </c>
      <c r="B322" s="1" t="n">
        <v>44126</v>
      </c>
      <c r="C322" s="1" t="n">
        <v>45358</v>
      </c>
      <c r="D322" t="inlineStr">
        <is>
          <t>DALARNAS LÄN</t>
        </is>
      </c>
      <c r="E322" t="inlineStr">
        <is>
          <t>ÄLVDALEN</t>
        </is>
      </c>
      <c r="G322" t="n">
        <v>3.4</v>
      </c>
      <c r="H322" t="n">
        <v>0</v>
      </c>
      <c r="I322" t="n">
        <v>0</v>
      </c>
      <c r="J322" t="n">
        <v>0</v>
      </c>
      <c r="K322" t="n">
        <v>0</v>
      </c>
      <c r="L322" t="n">
        <v>0</v>
      </c>
      <c r="M322" t="n">
        <v>0</v>
      </c>
      <c r="N322" t="n">
        <v>0</v>
      </c>
      <c r="O322" t="n">
        <v>0</v>
      </c>
      <c r="P322" t="n">
        <v>0</v>
      </c>
      <c r="Q322" t="n">
        <v>0</v>
      </c>
      <c r="R322" s="2" t="inlineStr"/>
    </row>
    <row r="323" ht="15" customHeight="1">
      <c r="A323" t="inlineStr">
        <is>
          <t>A 58004-2020</t>
        </is>
      </c>
      <c r="B323" s="1" t="n">
        <v>44140</v>
      </c>
      <c r="C323" s="1" t="n">
        <v>45358</v>
      </c>
      <c r="D323" t="inlineStr">
        <is>
          <t>DALARNAS LÄN</t>
        </is>
      </c>
      <c r="E323" t="inlineStr">
        <is>
          <t>ÄLVDALEN</t>
        </is>
      </c>
      <c r="G323" t="n">
        <v>2.9</v>
      </c>
      <c r="H323" t="n">
        <v>0</v>
      </c>
      <c r="I323" t="n">
        <v>0</v>
      </c>
      <c r="J323" t="n">
        <v>0</v>
      </c>
      <c r="K323" t="n">
        <v>0</v>
      </c>
      <c r="L323" t="n">
        <v>0</v>
      </c>
      <c r="M323" t="n">
        <v>0</v>
      </c>
      <c r="N323" t="n">
        <v>0</v>
      </c>
      <c r="O323" t="n">
        <v>0</v>
      </c>
      <c r="P323" t="n">
        <v>0</v>
      </c>
      <c r="Q323" t="n">
        <v>0</v>
      </c>
      <c r="R323" s="2" t="inlineStr"/>
    </row>
    <row r="324" ht="15" customHeight="1">
      <c r="A324" t="inlineStr">
        <is>
          <t>A 58571-2020</t>
        </is>
      </c>
      <c r="B324" s="1" t="n">
        <v>44145</v>
      </c>
      <c r="C324" s="1" t="n">
        <v>45358</v>
      </c>
      <c r="D324" t="inlineStr">
        <is>
          <t>DALARNAS LÄN</t>
        </is>
      </c>
      <c r="E324" t="inlineStr">
        <is>
          <t>ÄLVDALEN</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58573-2020</t>
        </is>
      </c>
      <c r="B325" s="1" t="n">
        <v>44145</v>
      </c>
      <c r="C325" s="1" t="n">
        <v>45358</v>
      </c>
      <c r="D325" t="inlineStr">
        <is>
          <t>DALARNAS LÄN</t>
        </is>
      </c>
      <c r="E325" t="inlineStr">
        <is>
          <t>ÄLVDALEN</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58719-2020</t>
        </is>
      </c>
      <c r="B326" s="1" t="n">
        <v>44146</v>
      </c>
      <c r="C326" s="1" t="n">
        <v>45358</v>
      </c>
      <c r="D326" t="inlineStr">
        <is>
          <t>DALARNAS LÄN</t>
        </is>
      </c>
      <c r="E326" t="inlineStr">
        <is>
          <t>ÄLVDALEN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58718-2020</t>
        </is>
      </c>
      <c r="B327" s="1" t="n">
        <v>44146</v>
      </c>
      <c r="C327" s="1" t="n">
        <v>45358</v>
      </c>
      <c r="D327" t="inlineStr">
        <is>
          <t>DALARNAS LÄN</t>
        </is>
      </c>
      <c r="E327" t="inlineStr">
        <is>
          <t>ÄLVDALEN</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61160-2020</t>
        </is>
      </c>
      <c r="B328" s="1" t="n">
        <v>44153</v>
      </c>
      <c r="C328" s="1" t="n">
        <v>45358</v>
      </c>
      <c r="D328" t="inlineStr">
        <is>
          <t>DALARNAS LÄN</t>
        </is>
      </c>
      <c r="E328" t="inlineStr">
        <is>
          <t>ÄLVDALEN</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63296-2020</t>
        </is>
      </c>
      <c r="B329" s="1" t="n">
        <v>44165</v>
      </c>
      <c r="C329" s="1" t="n">
        <v>45358</v>
      </c>
      <c r="D329" t="inlineStr">
        <is>
          <t>DALARNAS LÄN</t>
        </is>
      </c>
      <c r="E329" t="inlineStr">
        <is>
          <t>ÄLVDALEN</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66589-2020</t>
        </is>
      </c>
      <c r="B330" s="1" t="n">
        <v>44179</v>
      </c>
      <c r="C330" s="1" t="n">
        <v>45358</v>
      </c>
      <c r="D330" t="inlineStr">
        <is>
          <t>DALARNAS LÄN</t>
        </is>
      </c>
      <c r="E330" t="inlineStr">
        <is>
          <t>ÄLVDALEN</t>
        </is>
      </c>
      <c r="G330" t="n">
        <v>3.3</v>
      </c>
      <c r="H330" t="n">
        <v>0</v>
      </c>
      <c r="I330" t="n">
        <v>0</v>
      </c>
      <c r="J330" t="n">
        <v>0</v>
      </c>
      <c r="K330" t="n">
        <v>0</v>
      </c>
      <c r="L330" t="n">
        <v>0</v>
      </c>
      <c r="M330" t="n">
        <v>0</v>
      </c>
      <c r="N330" t="n">
        <v>0</v>
      </c>
      <c r="O330" t="n">
        <v>0</v>
      </c>
      <c r="P330" t="n">
        <v>0</v>
      </c>
      <c r="Q330" t="n">
        <v>0</v>
      </c>
      <c r="R330" s="2" t="inlineStr"/>
    </row>
    <row r="331" ht="15" customHeight="1">
      <c r="A331" t="inlineStr">
        <is>
          <t>A 33-2021</t>
        </is>
      </c>
      <c r="B331" s="1" t="n">
        <v>44198</v>
      </c>
      <c r="C331" s="1" t="n">
        <v>45358</v>
      </c>
      <c r="D331" t="inlineStr">
        <is>
          <t>DALARNAS LÄN</t>
        </is>
      </c>
      <c r="E331" t="inlineStr">
        <is>
          <t>ÄLVDALEN</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203-2021</t>
        </is>
      </c>
      <c r="B332" s="1" t="n">
        <v>44200</v>
      </c>
      <c r="C332" s="1" t="n">
        <v>45358</v>
      </c>
      <c r="D332" t="inlineStr">
        <is>
          <t>DALARNAS LÄN</t>
        </is>
      </c>
      <c r="E332" t="inlineStr">
        <is>
          <t>ÄLVDALEN</t>
        </is>
      </c>
      <c r="F332" t="inlineStr">
        <is>
          <t>Övriga statliga verk och myndigheter</t>
        </is>
      </c>
      <c r="G332" t="n">
        <v>19.1</v>
      </c>
      <c r="H332" t="n">
        <v>0</v>
      </c>
      <c r="I332" t="n">
        <v>0</v>
      </c>
      <c r="J332" t="n">
        <v>0</v>
      </c>
      <c r="K332" t="n">
        <v>0</v>
      </c>
      <c r="L332" t="n">
        <v>0</v>
      </c>
      <c r="M332" t="n">
        <v>0</v>
      </c>
      <c r="N332" t="n">
        <v>0</v>
      </c>
      <c r="O332" t="n">
        <v>0</v>
      </c>
      <c r="P332" t="n">
        <v>0</v>
      </c>
      <c r="Q332" t="n">
        <v>0</v>
      </c>
      <c r="R332" s="2" t="inlineStr"/>
    </row>
    <row r="333" ht="15" customHeight="1">
      <c r="A333" t="inlineStr">
        <is>
          <t>A 257-2021</t>
        </is>
      </c>
      <c r="B333" s="1" t="n">
        <v>44200</v>
      </c>
      <c r="C333" s="1" t="n">
        <v>45358</v>
      </c>
      <c r="D333" t="inlineStr">
        <is>
          <t>DALARNAS LÄN</t>
        </is>
      </c>
      <c r="E333" t="inlineStr">
        <is>
          <t>ÄLVDALEN</t>
        </is>
      </c>
      <c r="F333" t="inlineStr">
        <is>
          <t>Övriga statliga verk och myndigheter</t>
        </is>
      </c>
      <c r="G333" t="n">
        <v>6.1</v>
      </c>
      <c r="H333" t="n">
        <v>0</v>
      </c>
      <c r="I333" t="n">
        <v>0</v>
      </c>
      <c r="J333" t="n">
        <v>0</v>
      </c>
      <c r="K333" t="n">
        <v>0</v>
      </c>
      <c r="L333" t="n">
        <v>0</v>
      </c>
      <c r="M333" t="n">
        <v>0</v>
      </c>
      <c r="N333" t="n">
        <v>0</v>
      </c>
      <c r="O333" t="n">
        <v>0</v>
      </c>
      <c r="P333" t="n">
        <v>0</v>
      </c>
      <c r="Q333" t="n">
        <v>0</v>
      </c>
      <c r="R333" s="2" t="inlineStr"/>
    </row>
    <row r="334" ht="15" customHeight="1">
      <c r="A334" t="inlineStr">
        <is>
          <t>A 333-2021</t>
        </is>
      </c>
      <c r="B334" s="1" t="n">
        <v>44201</v>
      </c>
      <c r="C334" s="1" t="n">
        <v>45358</v>
      </c>
      <c r="D334" t="inlineStr">
        <is>
          <t>DALARNAS LÄN</t>
        </is>
      </c>
      <c r="E334" t="inlineStr">
        <is>
          <t>ÄLVDALEN</t>
        </is>
      </c>
      <c r="F334" t="inlineStr">
        <is>
          <t>Övriga statliga verk och myndigheter</t>
        </is>
      </c>
      <c r="G334" t="n">
        <v>5.4</v>
      </c>
      <c r="H334" t="n">
        <v>0</v>
      </c>
      <c r="I334" t="n">
        <v>0</v>
      </c>
      <c r="J334" t="n">
        <v>0</v>
      </c>
      <c r="K334" t="n">
        <v>0</v>
      </c>
      <c r="L334" t="n">
        <v>0</v>
      </c>
      <c r="M334" t="n">
        <v>0</v>
      </c>
      <c r="N334" t="n">
        <v>0</v>
      </c>
      <c r="O334" t="n">
        <v>0</v>
      </c>
      <c r="P334" t="n">
        <v>0</v>
      </c>
      <c r="Q334" t="n">
        <v>0</v>
      </c>
      <c r="R334" s="2" t="inlineStr"/>
    </row>
    <row r="335" ht="15" customHeight="1">
      <c r="A335" t="inlineStr">
        <is>
          <t>A 435-2021</t>
        </is>
      </c>
      <c r="B335" s="1" t="n">
        <v>44201</v>
      </c>
      <c r="C335" s="1" t="n">
        <v>45358</v>
      </c>
      <c r="D335" t="inlineStr">
        <is>
          <t>DALARNAS LÄN</t>
        </is>
      </c>
      <c r="E335" t="inlineStr">
        <is>
          <t>ÄLVDALEN</t>
        </is>
      </c>
      <c r="F335" t="inlineStr">
        <is>
          <t>Övriga statliga verk och myndigheter</t>
        </is>
      </c>
      <c r="G335" t="n">
        <v>1.7</v>
      </c>
      <c r="H335" t="n">
        <v>0</v>
      </c>
      <c r="I335" t="n">
        <v>0</v>
      </c>
      <c r="J335" t="n">
        <v>0</v>
      </c>
      <c r="K335" t="n">
        <v>0</v>
      </c>
      <c r="L335" t="n">
        <v>0</v>
      </c>
      <c r="M335" t="n">
        <v>0</v>
      </c>
      <c r="N335" t="n">
        <v>0</v>
      </c>
      <c r="O335" t="n">
        <v>0</v>
      </c>
      <c r="P335" t="n">
        <v>0</v>
      </c>
      <c r="Q335" t="n">
        <v>0</v>
      </c>
      <c r="R335" s="2" t="inlineStr"/>
    </row>
    <row r="336" ht="15" customHeight="1">
      <c r="A336" t="inlineStr">
        <is>
          <t>A 1871-2021</t>
        </is>
      </c>
      <c r="B336" s="1" t="n">
        <v>44210</v>
      </c>
      <c r="C336" s="1" t="n">
        <v>45358</v>
      </c>
      <c r="D336" t="inlineStr">
        <is>
          <t>DALARNAS LÄN</t>
        </is>
      </c>
      <c r="E336" t="inlineStr">
        <is>
          <t>ÄLVDALEN</t>
        </is>
      </c>
      <c r="F336" t="inlineStr">
        <is>
          <t>Övriga statliga verk och myndigheter</t>
        </is>
      </c>
      <c r="G336" t="n">
        <v>4.8</v>
      </c>
      <c r="H336" t="n">
        <v>0</v>
      </c>
      <c r="I336" t="n">
        <v>0</v>
      </c>
      <c r="J336" t="n">
        <v>0</v>
      </c>
      <c r="K336" t="n">
        <v>0</v>
      </c>
      <c r="L336" t="n">
        <v>0</v>
      </c>
      <c r="M336" t="n">
        <v>0</v>
      </c>
      <c r="N336" t="n">
        <v>0</v>
      </c>
      <c r="O336" t="n">
        <v>0</v>
      </c>
      <c r="P336" t="n">
        <v>0</v>
      </c>
      <c r="Q336" t="n">
        <v>0</v>
      </c>
      <c r="R336" s="2" t="inlineStr"/>
    </row>
    <row r="337" ht="15" customHeight="1">
      <c r="A337" t="inlineStr">
        <is>
          <t>A 1872-2021</t>
        </is>
      </c>
      <c r="B337" s="1" t="n">
        <v>44210</v>
      </c>
      <c r="C337" s="1" t="n">
        <v>45358</v>
      </c>
      <c r="D337" t="inlineStr">
        <is>
          <t>DALARNAS LÄN</t>
        </is>
      </c>
      <c r="E337" t="inlineStr">
        <is>
          <t>ÄLVDALEN</t>
        </is>
      </c>
      <c r="F337" t="inlineStr">
        <is>
          <t>Övriga statliga verk och myndigheter</t>
        </is>
      </c>
      <c r="G337" t="n">
        <v>19.6</v>
      </c>
      <c r="H337" t="n">
        <v>0</v>
      </c>
      <c r="I337" t="n">
        <v>0</v>
      </c>
      <c r="J337" t="n">
        <v>0</v>
      </c>
      <c r="K337" t="n">
        <v>0</v>
      </c>
      <c r="L337" t="n">
        <v>0</v>
      </c>
      <c r="M337" t="n">
        <v>0</v>
      </c>
      <c r="N337" t="n">
        <v>0</v>
      </c>
      <c r="O337" t="n">
        <v>0</v>
      </c>
      <c r="P337" t="n">
        <v>0</v>
      </c>
      <c r="Q337" t="n">
        <v>0</v>
      </c>
      <c r="R337" s="2" t="inlineStr"/>
    </row>
    <row r="338" ht="15" customHeight="1">
      <c r="A338" t="inlineStr">
        <is>
          <t>A 2219-2021</t>
        </is>
      </c>
      <c r="B338" s="1" t="n">
        <v>44210</v>
      </c>
      <c r="C338" s="1" t="n">
        <v>45358</v>
      </c>
      <c r="D338" t="inlineStr">
        <is>
          <t>DALARNAS LÄN</t>
        </is>
      </c>
      <c r="E338" t="inlineStr">
        <is>
          <t>ÄLVDALEN</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2690-2021</t>
        </is>
      </c>
      <c r="B339" s="1" t="n">
        <v>44214</v>
      </c>
      <c r="C339" s="1" t="n">
        <v>45358</v>
      </c>
      <c r="D339" t="inlineStr">
        <is>
          <t>DALARNAS LÄN</t>
        </is>
      </c>
      <c r="E339" t="inlineStr">
        <is>
          <t>ÄLVDALEN</t>
        </is>
      </c>
      <c r="F339" t="inlineStr">
        <is>
          <t>Allmännings- och besparingsskogar</t>
        </is>
      </c>
      <c r="G339" t="n">
        <v>70.3</v>
      </c>
      <c r="H339" t="n">
        <v>0</v>
      </c>
      <c r="I339" t="n">
        <v>0</v>
      </c>
      <c r="J339" t="n">
        <v>0</v>
      </c>
      <c r="K339" t="n">
        <v>0</v>
      </c>
      <c r="L339" t="n">
        <v>0</v>
      </c>
      <c r="M339" t="n">
        <v>0</v>
      </c>
      <c r="N339" t="n">
        <v>0</v>
      </c>
      <c r="O339" t="n">
        <v>0</v>
      </c>
      <c r="P339" t="n">
        <v>0</v>
      </c>
      <c r="Q339" t="n">
        <v>0</v>
      </c>
      <c r="R339" s="2" t="inlineStr"/>
    </row>
    <row r="340" ht="15" customHeight="1">
      <c r="A340" t="inlineStr">
        <is>
          <t>A 2746-2021</t>
        </is>
      </c>
      <c r="B340" s="1" t="n">
        <v>44215</v>
      </c>
      <c r="C340" s="1" t="n">
        <v>45358</v>
      </c>
      <c r="D340" t="inlineStr">
        <is>
          <t>DALARNAS LÄN</t>
        </is>
      </c>
      <c r="E340" t="inlineStr">
        <is>
          <t>ÄLVDALEN</t>
        </is>
      </c>
      <c r="F340" t="inlineStr">
        <is>
          <t>Kommuner</t>
        </is>
      </c>
      <c r="G340" t="n">
        <v>14.7</v>
      </c>
      <c r="H340" t="n">
        <v>0</v>
      </c>
      <c r="I340" t="n">
        <v>0</v>
      </c>
      <c r="J340" t="n">
        <v>0</v>
      </c>
      <c r="K340" t="n">
        <v>0</v>
      </c>
      <c r="L340" t="n">
        <v>0</v>
      </c>
      <c r="M340" t="n">
        <v>0</v>
      </c>
      <c r="N340" t="n">
        <v>0</v>
      </c>
      <c r="O340" t="n">
        <v>0</v>
      </c>
      <c r="P340" t="n">
        <v>0</v>
      </c>
      <c r="Q340" t="n">
        <v>0</v>
      </c>
      <c r="R340" s="2" t="inlineStr"/>
    </row>
    <row r="341" ht="15" customHeight="1">
      <c r="A341" t="inlineStr">
        <is>
          <t>A 4034-2021</t>
        </is>
      </c>
      <c r="B341" s="1" t="n">
        <v>44222</v>
      </c>
      <c r="C341" s="1" t="n">
        <v>45358</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4589-2021</t>
        </is>
      </c>
      <c r="B342" s="1" t="n">
        <v>44224</v>
      </c>
      <c r="C342" s="1" t="n">
        <v>45358</v>
      </c>
      <c r="D342" t="inlineStr">
        <is>
          <t>DALARNAS LÄN</t>
        </is>
      </c>
      <c r="E342" t="inlineStr">
        <is>
          <t>ÄLVDALEN</t>
        </is>
      </c>
      <c r="G342" t="n">
        <v>4.9</v>
      </c>
      <c r="H342" t="n">
        <v>0</v>
      </c>
      <c r="I342" t="n">
        <v>0</v>
      </c>
      <c r="J342" t="n">
        <v>0</v>
      </c>
      <c r="K342" t="n">
        <v>0</v>
      </c>
      <c r="L342" t="n">
        <v>0</v>
      </c>
      <c r="M342" t="n">
        <v>0</v>
      </c>
      <c r="N342" t="n">
        <v>0</v>
      </c>
      <c r="O342" t="n">
        <v>0</v>
      </c>
      <c r="P342" t="n">
        <v>0</v>
      </c>
      <c r="Q342" t="n">
        <v>0</v>
      </c>
      <c r="R342" s="2" t="inlineStr"/>
    </row>
    <row r="343" ht="15" customHeight="1">
      <c r="A343" t="inlineStr">
        <is>
          <t>A 5319-2021</t>
        </is>
      </c>
      <c r="B343" s="1" t="n">
        <v>44229</v>
      </c>
      <c r="C343" s="1" t="n">
        <v>45358</v>
      </c>
      <c r="D343" t="inlineStr">
        <is>
          <t>DALARNAS LÄN</t>
        </is>
      </c>
      <c r="E343" t="inlineStr">
        <is>
          <t>ÄLVDALEN</t>
        </is>
      </c>
      <c r="F343" t="inlineStr">
        <is>
          <t>Kommuner</t>
        </is>
      </c>
      <c r="G343" t="n">
        <v>15.3</v>
      </c>
      <c r="H343" t="n">
        <v>0</v>
      </c>
      <c r="I343" t="n">
        <v>0</v>
      </c>
      <c r="J343" t="n">
        <v>0</v>
      </c>
      <c r="K343" t="n">
        <v>0</v>
      </c>
      <c r="L343" t="n">
        <v>0</v>
      </c>
      <c r="M343" t="n">
        <v>0</v>
      </c>
      <c r="N343" t="n">
        <v>0</v>
      </c>
      <c r="O343" t="n">
        <v>0</v>
      </c>
      <c r="P343" t="n">
        <v>0</v>
      </c>
      <c r="Q343" t="n">
        <v>0</v>
      </c>
      <c r="R343" s="2" t="inlineStr"/>
    </row>
    <row r="344" ht="15" customHeight="1">
      <c r="A344" t="inlineStr">
        <is>
          <t>A 5567-2021</t>
        </is>
      </c>
      <c r="B344" s="1" t="n">
        <v>44230</v>
      </c>
      <c r="C344" s="1" t="n">
        <v>45358</v>
      </c>
      <c r="D344" t="inlineStr">
        <is>
          <t>DALARNAS LÄN</t>
        </is>
      </c>
      <c r="E344" t="inlineStr">
        <is>
          <t>ÄLVDALEN</t>
        </is>
      </c>
      <c r="F344" t="inlineStr">
        <is>
          <t>Övriga statliga verk och myndigheter</t>
        </is>
      </c>
      <c r="G344" t="n">
        <v>29.1</v>
      </c>
      <c r="H344" t="n">
        <v>0</v>
      </c>
      <c r="I344" t="n">
        <v>0</v>
      </c>
      <c r="J344" t="n">
        <v>0</v>
      </c>
      <c r="K344" t="n">
        <v>0</v>
      </c>
      <c r="L344" t="n">
        <v>0</v>
      </c>
      <c r="M344" t="n">
        <v>0</v>
      </c>
      <c r="N344" t="n">
        <v>0</v>
      </c>
      <c r="O344" t="n">
        <v>0</v>
      </c>
      <c r="P344" t="n">
        <v>0</v>
      </c>
      <c r="Q344" t="n">
        <v>0</v>
      </c>
      <c r="R344" s="2" t="inlineStr"/>
    </row>
    <row r="345" ht="15" customHeight="1">
      <c r="A345" t="inlineStr">
        <is>
          <t>A 7164-2021</t>
        </is>
      </c>
      <c r="B345" s="1" t="n">
        <v>44238</v>
      </c>
      <c r="C345" s="1" t="n">
        <v>45358</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7232-2021</t>
        </is>
      </c>
      <c r="B346" s="1" t="n">
        <v>44238</v>
      </c>
      <c r="C346" s="1" t="n">
        <v>45358</v>
      </c>
      <c r="D346" t="inlineStr">
        <is>
          <t>DALARNAS LÄN</t>
        </is>
      </c>
      <c r="E346" t="inlineStr">
        <is>
          <t>ÄLVDALEN</t>
        </is>
      </c>
      <c r="G346" t="n">
        <v>1.3</v>
      </c>
      <c r="H346" t="n">
        <v>0</v>
      </c>
      <c r="I346" t="n">
        <v>0</v>
      </c>
      <c r="J346" t="n">
        <v>0</v>
      </c>
      <c r="K346" t="n">
        <v>0</v>
      </c>
      <c r="L346" t="n">
        <v>0</v>
      </c>
      <c r="M346" t="n">
        <v>0</v>
      </c>
      <c r="N346" t="n">
        <v>0</v>
      </c>
      <c r="O346" t="n">
        <v>0</v>
      </c>
      <c r="P346" t="n">
        <v>0</v>
      </c>
      <c r="Q346" t="n">
        <v>0</v>
      </c>
      <c r="R346" s="2" t="inlineStr"/>
    </row>
    <row r="347" ht="15" customHeight="1">
      <c r="A347" t="inlineStr">
        <is>
          <t>A 11032-2021</t>
        </is>
      </c>
      <c r="B347" s="1" t="n">
        <v>44260</v>
      </c>
      <c r="C347" s="1" t="n">
        <v>45358</v>
      </c>
      <c r="D347" t="inlineStr">
        <is>
          <t>DALARNAS LÄN</t>
        </is>
      </c>
      <c r="E347" t="inlineStr">
        <is>
          <t>ÄLVDALEN</t>
        </is>
      </c>
      <c r="F347" t="inlineStr">
        <is>
          <t>Övriga statliga verk och myndigheter</t>
        </is>
      </c>
      <c r="G347" t="n">
        <v>35.9</v>
      </c>
      <c r="H347" t="n">
        <v>0</v>
      </c>
      <c r="I347" t="n">
        <v>0</v>
      </c>
      <c r="J347" t="n">
        <v>0</v>
      </c>
      <c r="K347" t="n">
        <v>0</v>
      </c>
      <c r="L347" t="n">
        <v>0</v>
      </c>
      <c r="M347" t="n">
        <v>0</v>
      </c>
      <c r="N347" t="n">
        <v>0</v>
      </c>
      <c r="O347" t="n">
        <v>0</v>
      </c>
      <c r="P347" t="n">
        <v>0</v>
      </c>
      <c r="Q347" t="n">
        <v>0</v>
      </c>
      <c r="R347" s="2" t="inlineStr"/>
    </row>
    <row r="348" ht="15" customHeight="1">
      <c r="A348" t="inlineStr">
        <is>
          <t>A 14290-2021</t>
        </is>
      </c>
      <c r="B348" s="1" t="n">
        <v>44278</v>
      </c>
      <c r="C348" s="1" t="n">
        <v>45358</v>
      </c>
      <c r="D348" t="inlineStr">
        <is>
          <t>DALARNAS LÄN</t>
        </is>
      </c>
      <c r="E348" t="inlineStr">
        <is>
          <t>ÄLVDALEN</t>
        </is>
      </c>
      <c r="G348" t="n">
        <v>1.9</v>
      </c>
      <c r="H348" t="n">
        <v>0</v>
      </c>
      <c r="I348" t="n">
        <v>0</v>
      </c>
      <c r="J348" t="n">
        <v>0</v>
      </c>
      <c r="K348" t="n">
        <v>0</v>
      </c>
      <c r="L348" t="n">
        <v>0</v>
      </c>
      <c r="M348" t="n">
        <v>0</v>
      </c>
      <c r="N348" t="n">
        <v>0</v>
      </c>
      <c r="O348" t="n">
        <v>0</v>
      </c>
      <c r="P348" t="n">
        <v>0</v>
      </c>
      <c r="Q348" t="n">
        <v>0</v>
      </c>
      <c r="R348" s="2" t="inlineStr"/>
    </row>
    <row r="349" ht="15" customHeight="1">
      <c r="A349" t="inlineStr">
        <is>
          <t>A 14548-2021</t>
        </is>
      </c>
      <c r="B349" s="1" t="n">
        <v>44279</v>
      </c>
      <c r="C349" s="1" t="n">
        <v>45358</v>
      </c>
      <c r="D349" t="inlineStr">
        <is>
          <t>DALARNAS LÄN</t>
        </is>
      </c>
      <c r="E349" t="inlineStr">
        <is>
          <t>ÄLVDALEN</t>
        </is>
      </c>
      <c r="G349" t="n">
        <v>6</v>
      </c>
      <c r="H349" t="n">
        <v>0</v>
      </c>
      <c r="I349" t="n">
        <v>0</v>
      </c>
      <c r="J349" t="n">
        <v>0</v>
      </c>
      <c r="K349" t="n">
        <v>0</v>
      </c>
      <c r="L349" t="n">
        <v>0</v>
      </c>
      <c r="M349" t="n">
        <v>0</v>
      </c>
      <c r="N349" t="n">
        <v>0</v>
      </c>
      <c r="O349" t="n">
        <v>0</v>
      </c>
      <c r="P349" t="n">
        <v>0</v>
      </c>
      <c r="Q349" t="n">
        <v>0</v>
      </c>
      <c r="R349" s="2" t="inlineStr"/>
    </row>
    <row r="350" ht="15" customHeight="1">
      <c r="A350" t="inlineStr">
        <is>
          <t>A 15045-2021</t>
        </is>
      </c>
      <c r="B350" s="1" t="n">
        <v>44281</v>
      </c>
      <c r="C350" s="1" t="n">
        <v>45358</v>
      </c>
      <c r="D350" t="inlineStr">
        <is>
          <t>DALARNAS LÄN</t>
        </is>
      </c>
      <c r="E350" t="inlineStr">
        <is>
          <t>ÄLVDALEN</t>
        </is>
      </c>
      <c r="G350" t="n">
        <v>1</v>
      </c>
      <c r="H350" t="n">
        <v>0</v>
      </c>
      <c r="I350" t="n">
        <v>0</v>
      </c>
      <c r="J350" t="n">
        <v>0</v>
      </c>
      <c r="K350" t="n">
        <v>0</v>
      </c>
      <c r="L350" t="n">
        <v>0</v>
      </c>
      <c r="M350" t="n">
        <v>0</v>
      </c>
      <c r="N350" t="n">
        <v>0</v>
      </c>
      <c r="O350" t="n">
        <v>0</v>
      </c>
      <c r="P350" t="n">
        <v>0</v>
      </c>
      <c r="Q350" t="n">
        <v>0</v>
      </c>
      <c r="R350" s="2" t="inlineStr"/>
    </row>
    <row r="351" ht="15" customHeight="1">
      <c r="A351" t="inlineStr">
        <is>
          <t>A 14995-2021</t>
        </is>
      </c>
      <c r="B351" s="1" t="n">
        <v>44281</v>
      </c>
      <c r="C351" s="1" t="n">
        <v>45358</v>
      </c>
      <c r="D351" t="inlineStr">
        <is>
          <t>DALARNAS LÄN</t>
        </is>
      </c>
      <c r="E351" t="inlineStr">
        <is>
          <t>ÄLVDALEN</t>
        </is>
      </c>
      <c r="G351" t="n">
        <v>17.8</v>
      </c>
      <c r="H351" t="n">
        <v>0</v>
      </c>
      <c r="I351" t="n">
        <v>0</v>
      </c>
      <c r="J351" t="n">
        <v>0</v>
      </c>
      <c r="K351" t="n">
        <v>0</v>
      </c>
      <c r="L351" t="n">
        <v>0</v>
      </c>
      <c r="M351" t="n">
        <v>0</v>
      </c>
      <c r="N351" t="n">
        <v>0</v>
      </c>
      <c r="O351" t="n">
        <v>0</v>
      </c>
      <c r="P351" t="n">
        <v>0</v>
      </c>
      <c r="Q351" t="n">
        <v>0</v>
      </c>
      <c r="R351" s="2" t="inlineStr"/>
    </row>
    <row r="352" ht="15" customHeight="1">
      <c r="A352" t="inlineStr">
        <is>
          <t>A 15251-2021</t>
        </is>
      </c>
      <c r="B352" s="1" t="n">
        <v>44284</v>
      </c>
      <c r="C352" s="1" t="n">
        <v>45358</v>
      </c>
      <c r="D352" t="inlineStr">
        <is>
          <t>DALARNAS LÄN</t>
        </is>
      </c>
      <c r="E352" t="inlineStr">
        <is>
          <t>ÄLVDALEN</t>
        </is>
      </c>
      <c r="G352" t="n">
        <v>6.1</v>
      </c>
      <c r="H352" t="n">
        <v>0</v>
      </c>
      <c r="I352" t="n">
        <v>0</v>
      </c>
      <c r="J352" t="n">
        <v>0</v>
      </c>
      <c r="K352" t="n">
        <v>0</v>
      </c>
      <c r="L352" t="n">
        <v>0</v>
      </c>
      <c r="M352" t="n">
        <v>0</v>
      </c>
      <c r="N352" t="n">
        <v>0</v>
      </c>
      <c r="O352" t="n">
        <v>0</v>
      </c>
      <c r="P352" t="n">
        <v>0</v>
      </c>
      <c r="Q352" t="n">
        <v>0</v>
      </c>
      <c r="R352" s="2" t="inlineStr"/>
    </row>
    <row r="353" ht="15" customHeight="1">
      <c r="A353" t="inlineStr">
        <is>
          <t>A 15952-2021</t>
        </is>
      </c>
      <c r="B353" s="1" t="n">
        <v>44286</v>
      </c>
      <c r="C353" s="1" t="n">
        <v>45358</v>
      </c>
      <c r="D353" t="inlineStr">
        <is>
          <t>DALARNAS LÄN</t>
        </is>
      </c>
      <c r="E353" t="inlineStr">
        <is>
          <t>ÄLVDALEN</t>
        </is>
      </c>
      <c r="F353" t="inlineStr">
        <is>
          <t>Övriga statliga verk och myndigheter</t>
        </is>
      </c>
      <c r="G353" t="n">
        <v>6.6</v>
      </c>
      <c r="H353" t="n">
        <v>0</v>
      </c>
      <c r="I353" t="n">
        <v>0</v>
      </c>
      <c r="J353" t="n">
        <v>0</v>
      </c>
      <c r="K353" t="n">
        <v>0</v>
      </c>
      <c r="L353" t="n">
        <v>0</v>
      </c>
      <c r="M353" t="n">
        <v>0</v>
      </c>
      <c r="N353" t="n">
        <v>0</v>
      </c>
      <c r="O353" t="n">
        <v>0</v>
      </c>
      <c r="P353" t="n">
        <v>0</v>
      </c>
      <c r="Q353" t="n">
        <v>0</v>
      </c>
      <c r="R353" s="2" t="inlineStr"/>
    </row>
    <row r="354" ht="15" customHeight="1">
      <c r="A354" t="inlineStr">
        <is>
          <t>A 16035-2021</t>
        </is>
      </c>
      <c r="B354" s="1" t="n">
        <v>44287</v>
      </c>
      <c r="C354" s="1" t="n">
        <v>45358</v>
      </c>
      <c r="D354" t="inlineStr">
        <is>
          <t>DALARNAS LÄN</t>
        </is>
      </c>
      <c r="E354" t="inlineStr">
        <is>
          <t>ÄLVDALEN</t>
        </is>
      </c>
      <c r="F354" t="inlineStr">
        <is>
          <t>Övriga statliga verk och myndigheter</t>
        </is>
      </c>
      <c r="G354" t="n">
        <v>2.2</v>
      </c>
      <c r="H354" t="n">
        <v>0</v>
      </c>
      <c r="I354" t="n">
        <v>0</v>
      </c>
      <c r="J354" t="n">
        <v>0</v>
      </c>
      <c r="K354" t="n">
        <v>0</v>
      </c>
      <c r="L354" t="n">
        <v>0</v>
      </c>
      <c r="M354" t="n">
        <v>0</v>
      </c>
      <c r="N354" t="n">
        <v>0</v>
      </c>
      <c r="O354" t="n">
        <v>0</v>
      </c>
      <c r="P354" t="n">
        <v>0</v>
      </c>
      <c r="Q354" t="n">
        <v>0</v>
      </c>
      <c r="R354" s="2" t="inlineStr"/>
    </row>
    <row r="355" ht="15" customHeight="1">
      <c r="A355" t="inlineStr">
        <is>
          <t>A 16262-2021</t>
        </is>
      </c>
      <c r="B355" s="1" t="n">
        <v>44292</v>
      </c>
      <c r="C355" s="1" t="n">
        <v>45358</v>
      </c>
      <c r="D355" t="inlineStr">
        <is>
          <t>DALARNAS LÄN</t>
        </is>
      </c>
      <c r="E355" t="inlineStr">
        <is>
          <t>ÄLVDALEN</t>
        </is>
      </c>
      <c r="G355" t="n">
        <v>2.2</v>
      </c>
      <c r="H355" t="n">
        <v>0</v>
      </c>
      <c r="I355" t="n">
        <v>0</v>
      </c>
      <c r="J355" t="n">
        <v>0</v>
      </c>
      <c r="K355" t="n">
        <v>0</v>
      </c>
      <c r="L355" t="n">
        <v>0</v>
      </c>
      <c r="M355" t="n">
        <v>0</v>
      </c>
      <c r="N355" t="n">
        <v>0</v>
      </c>
      <c r="O355" t="n">
        <v>0</v>
      </c>
      <c r="P355" t="n">
        <v>0</v>
      </c>
      <c r="Q355" t="n">
        <v>0</v>
      </c>
      <c r="R355" s="2" t="inlineStr"/>
    </row>
    <row r="356" ht="15" customHeight="1">
      <c r="A356" t="inlineStr">
        <is>
          <t>A 18961-2021</t>
        </is>
      </c>
      <c r="B356" s="1" t="n">
        <v>44308</v>
      </c>
      <c r="C356" s="1" t="n">
        <v>45358</v>
      </c>
      <c r="D356" t="inlineStr">
        <is>
          <t>DALARNAS LÄN</t>
        </is>
      </c>
      <c r="E356" t="inlineStr">
        <is>
          <t>ÄLVDALEN</t>
        </is>
      </c>
      <c r="F356" t="inlineStr">
        <is>
          <t>Övriga statliga verk och myndigheter</t>
        </is>
      </c>
      <c r="G356" t="n">
        <v>17.6</v>
      </c>
      <c r="H356" t="n">
        <v>0</v>
      </c>
      <c r="I356" t="n">
        <v>0</v>
      </c>
      <c r="J356" t="n">
        <v>0</v>
      </c>
      <c r="K356" t="n">
        <v>0</v>
      </c>
      <c r="L356" t="n">
        <v>0</v>
      </c>
      <c r="M356" t="n">
        <v>0</v>
      </c>
      <c r="N356" t="n">
        <v>0</v>
      </c>
      <c r="O356" t="n">
        <v>0</v>
      </c>
      <c r="P356" t="n">
        <v>0</v>
      </c>
      <c r="Q356" t="n">
        <v>0</v>
      </c>
      <c r="R356" s="2" t="inlineStr"/>
    </row>
    <row r="357" ht="15" customHeight="1">
      <c r="A357" t="inlineStr">
        <is>
          <t>A 19766-2021</t>
        </is>
      </c>
      <c r="B357" s="1" t="n">
        <v>44309</v>
      </c>
      <c r="C357" s="1" t="n">
        <v>45358</v>
      </c>
      <c r="D357" t="inlineStr">
        <is>
          <t>DALARNAS LÄN</t>
        </is>
      </c>
      <c r="E357" t="inlineStr">
        <is>
          <t>ÄLVDALEN</t>
        </is>
      </c>
      <c r="G357" t="n">
        <v>8.9</v>
      </c>
      <c r="H357" t="n">
        <v>0</v>
      </c>
      <c r="I357" t="n">
        <v>0</v>
      </c>
      <c r="J357" t="n">
        <v>0</v>
      </c>
      <c r="K357" t="n">
        <v>0</v>
      </c>
      <c r="L357" t="n">
        <v>0</v>
      </c>
      <c r="M357" t="n">
        <v>0</v>
      </c>
      <c r="N357" t="n">
        <v>0</v>
      </c>
      <c r="O357" t="n">
        <v>0</v>
      </c>
      <c r="P357" t="n">
        <v>0</v>
      </c>
      <c r="Q357" t="n">
        <v>0</v>
      </c>
      <c r="R357" s="2" t="inlineStr"/>
    </row>
    <row r="358" ht="15" customHeight="1">
      <c r="A358" t="inlineStr">
        <is>
          <t>A 19763-2021</t>
        </is>
      </c>
      <c r="B358" s="1" t="n">
        <v>44309</v>
      </c>
      <c r="C358" s="1" t="n">
        <v>45358</v>
      </c>
      <c r="D358" t="inlineStr">
        <is>
          <t>DALARNAS LÄN</t>
        </is>
      </c>
      <c r="E358" t="inlineStr">
        <is>
          <t>ÄLVDALEN</t>
        </is>
      </c>
      <c r="G358" t="n">
        <v>1.4</v>
      </c>
      <c r="H358" t="n">
        <v>0</v>
      </c>
      <c r="I358" t="n">
        <v>0</v>
      </c>
      <c r="J358" t="n">
        <v>0</v>
      </c>
      <c r="K358" t="n">
        <v>0</v>
      </c>
      <c r="L358" t="n">
        <v>0</v>
      </c>
      <c r="M358" t="n">
        <v>0</v>
      </c>
      <c r="N358" t="n">
        <v>0</v>
      </c>
      <c r="O358" t="n">
        <v>0</v>
      </c>
      <c r="P358" t="n">
        <v>0</v>
      </c>
      <c r="Q358" t="n">
        <v>0</v>
      </c>
      <c r="R358" s="2" t="inlineStr"/>
    </row>
    <row r="359" ht="15" customHeight="1">
      <c r="A359" t="inlineStr">
        <is>
          <t>A 19313-2021</t>
        </is>
      </c>
      <c r="B359" s="1" t="n">
        <v>44309</v>
      </c>
      <c r="C359" s="1" t="n">
        <v>45358</v>
      </c>
      <c r="D359" t="inlineStr">
        <is>
          <t>DALARNAS LÄN</t>
        </is>
      </c>
      <c r="E359" t="inlineStr">
        <is>
          <t>ÄLVDALEN</t>
        </is>
      </c>
      <c r="G359" t="n">
        <v>0.2</v>
      </c>
      <c r="H359" t="n">
        <v>0</v>
      </c>
      <c r="I359" t="n">
        <v>0</v>
      </c>
      <c r="J359" t="n">
        <v>0</v>
      </c>
      <c r="K359" t="n">
        <v>0</v>
      </c>
      <c r="L359" t="n">
        <v>0</v>
      </c>
      <c r="M359" t="n">
        <v>0</v>
      </c>
      <c r="N359" t="n">
        <v>0</v>
      </c>
      <c r="O359" t="n">
        <v>0</v>
      </c>
      <c r="P359" t="n">
        <v>0</v>
      </c>
      <c r="Q359" t="n">
        <v>0</v>
      </c>
      <c r="R359" s="2" t="inlineStr"/>
    </row>
    <row r="360" ht="15" customHeight="1">
      <c r="A360" t="inlineStr">
        <is>
          <t>A 19312-2021</t>
        </is>
      </c>
      <c r="B360" s="1" t="n">
        <v>44309</v>
      </c>
      <c r="C360" s="1" t="n">
        <v>45358</v>
      </c>
      <c r="D360" t="inlineStr">
        <is>
          <t>DALARNAS LÄN</t>
        </is>
      </c>
      <c r="E360" t="inlineStr">
        <is>
          <t>ÄLVDALEN</t>
        </is>
      </c>
      <c r="G360" t="n">
        <v>0.4</v>
      </c>
      <c r="H360" t="n">
        <v>0</v>
      </c>
      <c r="I360" t="n">
        <v>0</v>
      </c>
      <c r="J360" t="n">
        <v>0</v>
      </c>
      <c r="K360" t="n">
        <v>0</v>
      </c>
      <c r="L360" t="n">
        <v>0</v>
      </c>
      <c r="M360" t="n">
        <v>0</v>
      </c>
      <c r="N360" t="n">
        <v>0</v>
      </c>
      <c r="O360" t="n">
        <v>0</v>
      </c>
      <c r="P360" t="n">
        <v>0</v>
      </c>
      <c r="Q360" t="n">
        <v>0</v>
      </c>
      <c r="R360" s="2" t="inlineStr"/>
    </row>
    <row r="361" ht="15" customHeight="1">
      <c r="A361" t="inlineStr">
        <is>
          <t>A 19761-2021</t>
        </is>
      </c>
      <c r="B361" s="1" t="n">
        <v>44309</v>
      </c>
      <c r="C361" s="1" t="n">
        <v>45358</v>
      </c>
      <c r="D361" t="inlineStr">
        <is>
          <t>DALARNAS LÄN</t>
        </is>
      </c>
      <c r="E361" t="inlineStr">
        <is>
          <t>ÄLVDALEN</t>
        </is>
      </c>
      <c r="G361" t="n">
        <v>4.3</v>
      </c>
      <c r="H361" t="n">
        <v>0</v>
      </c>
      <c r="I361" t="n">
        <v>0</v>
      </c>
      <c r="J361" t="n">
        <v>0</v>
      </c>
      <c r="K361" t="n">
        <v>0</v>
      </c>
      <c r="L361" t="n">
        <v>0</v>
      </c>
      <c r="M361" t="n">
        <v>0</v>
      </c>
      <c r="N361" t="n">
        <v>0</v>
      </c>
      <c r="O361" t="n">
        <v>0</v>
      </c>
      <c r="P361" t="n">
        <v>0</v>
      </c>
      <c r="Q361" t="n">
        <v>0</v>
      </c>
      <c r="R361" s="2" t="inlineStr"/>
    </row>
    <row r="362" ht="15" customHeight="1">
      <c r="A362" t="inlineStr">
        <is>
          <t>A 19759-2021</t>
        </is>
      </c>
      <c r="B362" s="1" t="n">
        <v>44309</v>
      </c>
      <c r="C362" s="1" t="n">
        <v>45358</v>
      </c>
      <c r="D362" t="inlineStr">
        <is>
          <t>DALARNAS LÄN</t>
        </is>
      </c>
      <c r="E362" t="inlineStr">
        <is>
          <t>ÄLVDALEN</t>
        </is>
      </c>
      <c r="G362" t="n">
        <v>1.3</v>
      </c>
      <c r="H362" t="n">
        <v>0</v>
      </c>
      <c r="I362" t="n">
        <v>0</v>
      </c>
      <c r="J362" t="n">
        <v>0</v>
      </c>
      <c r="K362" t="n">
        <v>0</v>
      </c>
      <c r="L362" t="n">
        <v>0</v>
      </c>
      <c r="M362" t="n">
        <v>0</v>
      </c>
      <c r="N362" t="n">
        <v>0</v>
      </c>
      <c r="O362" t="n">
        <v>0</v>
      </c>
      <c r="P362" t="n">
        <v>0</v>
      </c>
      <c r="Q362" t="n">
        <v>0</v>
      </c>
      <c r="R362" s="2" t="inlineStr"/>
    </row>
    <row r="363" ht="15" customHeight="1">
      <c r="A363" t="inlineStr">
        <is>
          <t>A 20050-2021</t>
        </is>
      </c>
      <c r="B363" s="1" t="n">
        <v>44314</v>
      </c>
      <c r="C363" s="1" t="n">
        <v>45358</v>
      </c>
      <c r="D363" t="inlineStr">
        <is>
          <t>DALARNAS LÄN</t>
        </is>
      </c>
      <c r="E363" t="inlineStr">
        <is>
          <t>ÄLVDALEN</t>
        </is>
      </c>
      <c r="G363" t="n">
        <v>1.6</v>
      </c>
      <c r="H363" t="n">
        <v>0</v>
      </c>
      <c r="I363" t="n">
        <v>0</v>
      </c>
      <c r="J363" t="n">
        <v>0</v>
      </c>
      <c r="K363" t="n">
        <v>0</v>
      </c>
      <c r="L363" t="n">
        <v>0</v>
      </c>
      <c r="M363" t="n">
        <v>0</v>
      </c>
      <c r="N363" t="n">
        <v>0</v>
      </c>
      <c r="O363" t="n">
        <v>0</v>
      </c>
      <c r="P363" t="n">
        <v>0</v>
      </c>
      <c r="Q363" t="n">
        <v>0</v>
      </c>
      <c r="R363" s="2" t="inlineStr"/>
    </row>
    <row r="364" ht="15" customHeight="1">
      <c r="A364" t="inlineStr">
        <is>
          <t>A 20162-2021</t>
        </is>
      </c>
      <c r="B364" s="1" t="n">
        <v>44314</v>
      </c>
      <c r="C364" s="1" t="n">
        <v>45358</v>
      </c>
      <c r="D364" t="inlineStr">
        <is>
          <t>DALARNAS LÄN</t>
        </is>
      </c>
      <c r="E364" t="inlineStr">
        <is>
          <t>ÄLVDALEN</t>
        </is>
      </c>
      <c r="G364" t="n">
        <v>3.9</v>
      </c>
      <c r="H364" t="n">
        <v>0</v>
      </c>
      <c r="I364" t="n">
        <v>0</v>
      </c>
      <c r="J364" t="n">
        <v>0</v>
      </c>
      <c r="K364" t="n">
        <v>0</v>
      </c>
      <c r="L364" t="n">
        <v>0</v>
      </c>
      <c r="M364" t="n">
        <v>0</v>
      </c>
      <c r="N364" t="n">
        <v>0</v>
      </c>
      <c r="O364" t="n">
        <v>0</v>
      </c>
      <c r="P364" t="n">
        <v>0</v>
      </c>
      <c r="Q364" t="n">
        <v>0</v>
      </c>
      <c r="R364" s="2" t="inlineStr"/>
    </row>
    <row r="365" ht="15" customHeight="1">
      <c r="A365" t="inlineStr">
        <is>
          <t>A 21832-2021</t>
        </is>
      </c>
      <c r="B365" s="1" t="n">
        <v>44322</v>
      </c>
      <c r="C365" s="1" t="n">
        <v>45358</v>
      </c>
      <c r="D365" t="inlineStr">
        <is>
          <t>DALARNAS LÄN</t>
        </is>
      </c>
      <c r="E365" t="inlineStr">
        <is>
          <t>ÄLVDALEN</t>
        </is>
      </c>
      <c r="F365" t="inlineStr">
        <is>
          <t>Allmännings- och besparingsskogar</t>
        </is>
      </c>
      <c r="G365" t="n">
        <v>2.5</v>
      </c>
      <c r="H365" t="n">
        <v>0</v>
      </c>
      <c r="I365" t="n">
        <v>0</v>
      </c>
      <c r="J365" t="n">
        <v>0</v>
      </c>
      <c r="K365" t="n">
        <v>0</v>
      </c>
      <c r="L365" t="n">
        <v>0</v>
      </c>
      <c r="M365" t="n">
        <v>0</v>
      </c>
      <c r="N365" t="n">
        <v>0</v>
      </c>
      <c r="O365" t="n">
        <v>0</v>
      </c>
      <c r="P365" t="n">
        <v>0</v>
      </c>
      <c r="Q365" t="n">
        <v>0</v>
      </c>
      <c r="R365" s="2" t="inlineStr"/>
    </row>
    <row r="366" ht="15" customHeight="1">
      <c r="A366" t="inlineStr">
        <is>
          <t>A 22454-2021</t>
        </is>
      </c>
      <c r="B366" s="1" t="n">
        <v>44326</v>
      </c>
      <c r="C366" s="1" t="n">
        <v>45358</v>
      </c>
      <c r="D366" t="inlineStr">
        <is>
          <t>DALARNAS LÄN</t>
        </is>
      </c>
      <c r="E366" t="inlineStr">
        <is>
          <t>ÄLVDALEN</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22761-2021</t>
        </is>
      </c>
      <c r="B367" s="1" t="n">
        <v>44327</v>
      </c>
      <c r="C367" s="1" t="n">
        <v>45358</v>
      </c>
      <c r="D367" t="inlineStr">
        <is>
          <t>DALARNAS LÄN</t>
        </is>
      </c>
      <c r="E367" t="inlineStr">
        <is>
          <t>ÄLVDALEN</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22760-2021</t>
        </is>
      </c>
      <c r="B368" s="1" t="n">
        <v>44327</v>
      </c>
      <c r="C368" s="1" t="n">
        <v>45358</v>
      </c>
      <c r="D368" t="inlineStr">
        <is>
          <t>DALARNAS LÄN</t>
        </is>
      </c>
      <c r="E368" t="inlineStr">
        <is>
          <t>ÄLVDALEN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22651-2021</t>
        </is>
      </c>
      <c r="B369" s="1" t="n">
        <v>44327</v>
      </c>
      <c r="C369" s="1" t="n">
        <v>45358</v>
      </c>
      <c r="D369" t="inlineStr">
        <is>
          <t>DALARNAS LÄN</t>
        </is>
      </c>
      <c r="E369" t="inlineStr">
        <is>
          <t>ÄLVDALEN</t>
        </is>
      </c>
      <c r="G369" t="n">
        <v>5.9</v>
      </c>
      <c r="H369" t="n">
        <v>0</v>
      </c>
      <c r="I369" t="n">
        <v>0</v>
      </c>
      <c r="J369" t="n">
        <v>0</v>
      </c>
      <c r="K369" t="n">
        <v>0</v>
      </c>
      <c r="L369" t="n">
        <v>0</v>
      </c>
      <c r="M369" t="n">
        <v>0</v>
      </c>
      <c r="N369" t="n">
        <v>0</v>
      </c>
      <c r="O369" t="n">
        <v>0</v>
      </c>
      <c r="P369" t="n">
        <v>0</v>
      </c>
      <c r="Q369" t="n">
        <v>0</v>
      </c>
      <c r="R369" s="2" t="inlineStr"/>
    </row>
    <row r="370" ht="15" customHeight="1">
      <c r="A370" t="inlineStr">
        <is>
          <t>A 24849-2021</t>
        </is>
      </c>
      <c r="B370" s="1" t="n">
        <v>44340</v>
      </c>
      <c r="C370" s="1" t="n">
        <v>45358</v>
      </c>
      <c r="D370" t="inlineStr">
        <is>
          <t>DALARNAS LÄN</t>
        </is>
      </c>
      <c r="E370" t="inlineStr">
        <is>
          <t>ÄLVDALEN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26080-2021</t>
        </is>
      </c>
      <c r="B371" s="1" t="n">
        <v>44344</v>
      </c>
      <c r="C371" s="1" t="n">
        <v>45358</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26249-2021</t>
        </is>
      </c>
      <c r="B372" s="1" t="n">
        <v>44347</v>
      </c>
      <c r="C372" s="1" t="n">
        <v>45358</v>
      </c>
      <c r="D372" t="inlineStr">
        <is>
          <t>DALARNAS LÄN</t>
        </is>
      </c>
      <c r="E372" t="inlineStr">
        <is>
          <t>ÄLVDALEN</t>
        </is>
      </c>
      <c r="F372" t="inlineStr">
        <is>
          <t>Bergvik skog väst AB</t>
        </is>
      </c>
      <c r="G372" t="n">
        <v>2.6</v>
      </c>
      <c r="H372" t="n">
        <v>0</v>
      </c>
      <c r="I372" t="n">
        <v>0</v>
      </c>
      <c r="J372" t="n">
        <v>0</v>
      </c>
      <c r="K372" t="n">
        <v>0</v>
      </c>
      <c r="L372" t="n">
        <v>0</v>
      </c>
      <c r="M372" t="n">
        <v>0</v>
      </c>
      <c r="N372" t="n">
        <v>0</v>
      </c>
      <c r="O372" t="n">
        <v>0</v>
      </c>
      <c r="P372" t="n">
        <v>0</v>
      </c>
      <c r="Q372" t="n">
        <v>0</v>
      </c>
      <c r="R372" s="2" t="inlineStr"/>
    </row>
    <row r="373" ht="15" customHeight="1">
      <c r="A373" t="inlineStr">
        <is>
          <t>A 26734-2021</t>
        </is>
      </c>
      <c r="B373" s="1" t="n">
        <v>44349</v>
      </c>
      <c r="C373" s="1" t="n">
        <v>45358</v>
      </c>
      <c r="D373" t="inlineStr">
        <is>
          <t>DALARNAS LÄN</t>
        </is>
      </c>
      <c r="E373" t="inlineStr">
        <is>
          <t>ÄLVDALEN</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26726-2021</t>
        </is>
      </c>
      <c r="B374" s="1" t="n">
        <v>44349</v>
      </c>
      <c r="C374" s="1" t="n">
        <v>45358</v>
      </c>
      <c r="D374" t="inlineStr">
        <is>
          <t>DALARNAS LÄN</t>
        </is>
      </c>
      <c r="E374" t="inlineStr">
        <is>
          <t>ÄLVDALEN</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26874-2021</t>
        </is>
      </c>
      <c r="B375" s="1" t="n">
        <v>44349</v>
      </c>
      <c r="C375" s="1" t="n">
        <v>45358</v>
      </c>
      <c r="D375" t="inlineStr">
        <is>
          <t>DALARNAS LÄN</t>
        </is>
      </c>
      <c r="E375" t="inlineStr">
        <is>
          <t>ÄLVDALEN</t>
        </is>
      </c>
      <c r="F375" t="inlineStr">
        <is>
          <t>Bergvik skog öst AB</t>
        </is>
      </c>
      <c r="G375" t="n">
        <v>3.2</v>
      </c>
      <c r="H375" t="n">
        <v>0</v>
      </c>
      <c r="I375" t="n">
        <v>0</v>
      </c>
      <c r="J375" t="n">
        <v>0</v>
      </c>
      <c r="K375" t="n">
        <v>0</v>
      </c>
      <c r="L375" t="n">
        <v>0</v>
      </c>
      <c r="M375" t="n">
        <v>0</v>
      </c>
      <c r="N375" t="n">
        <v>0</v>
      </c>
      <c r="O375" t="n">
        <v>0</v>
      </c>
      <c r="P375" t="n">
        <v>0</v>
      </c>
      <c r="Q375" t="n">
        <v>0</v>
      </c>
      <c r="R375" s="2" t="inlineStr"/>
    </row>
    <row r="376" ht="15" customHeight="1">
      <c r="A376" t="inlineStr">
        <is>
          <t>A 27022-2021</t>
        </is>
      </c>
      <c r="B376" s="1" t="n">
        <v>44350</v>
      </c>
      <c r="C376" s="1" t="n">
        <v>45358</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28011-2021</t>
        </is>
      </c>
      <c r="B377" s="1" t="n">
        <v>44355</v>
      </c>
      <c r="C377" s="1" t="n">
        <v>45358</v>
      </c>
      <c r="D377" t="inlineStr">
        <is>
          <t>DALARNAS LÄN</t>
        </is>
      </c>
      <c r="E377" t="inlineStr">
        <is>
          <t>ÄLVDALEN</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28712-2021</t>
        </is>
      </c>
      <c r="B378" s="1" t="n">
        <v>44357</v>
      </c>
      <c r="C378" s="1" t="n">
        <v>45358</v>
      </c>
      <c r="D378" t="inlineStr">
        <is>
          <t>DALARNAS LÄN</t>
        </is>
      </c>
      <c r="E378" t="inlineStr">
        <is>
          <t>ÄLVDALEN</t>
        </is>
      </c>
      <c r="G378" t="n">
        <v>2</v>
      </c>
      <c r="H378" t="n">
        <v>0</v>
      </c>
      <c r="I378" t="n">
        <v>0</v>
      </c>
      <c r="J378" t="n">
        <v>0</v>
      </c>
      <c r="K378" t="n">
        <v>0</v>
      </c>
      <c r="L378" t="n">
        <v>0</v>
      </c>
      <c r="M378" t="n">
        <v>0</v>
      </c>
      <c r="N378" t="n">
        <v>0</v>
      </c>
      <c r="O378" t="n">
        <v>0</v>
      </c>
      <c r="P378" t="n">
        <v>0</v>
      </c>
      <c r="Q378" t="n">
        <v>0</v>
      </c>
      <c r="R378" s="2" t="inlineStr"/>
    </row>
    <row r="379" ht="15" customHeight="1">
      <c r="A379" t="inlineStr">
        <is>
          <t>A 30255-2021</t>
        </is>
      </c>
      <c r="B379" s="1" t="n">
        <v>44363</v>
      </c>
      <c r="C379" s="1" t="n">
        <v>45358</v>
      </c>
      <c r="D379" t="inlineStr">
        <is>
          <t>DALARNAS LÄN</t>
        </is>
      </c>
      <c r="E379" t="inlineStr">
        <is>
          <t>ÄLVDALEN</t>
        </is>
      </c>
      <c r="F379" t="inlineStr">
        <is>
          <t>Sveaskog</t>
        </is>
      </c>
      <c r="G379" t="n">
        <v>4.1</v>
      </c>
      <c r="H379" t="n">
        <v>0</v>
      </c>
      <c r="I379" t="n">
        <v>0</v>
      </c>
      <c r="J379" t="n">
        <v>0</v>
      </c>
      <c r="K379" t="n">
        <v>0</v>
      </c>
      <c r="L379" t="n">
        <v>0</v>
      </c>
      <c r="M379" t="n">
        <v>0</v>
      </c>
      <c r="N379" t="n">
        <v>0</v>
      </c>
      <c r="O379" t="n">
        <v>0</v>
      </c>
      <c r="P379" t="n">
        <v>0</v>
      </c>
      <c r="Q379" t="n">
        <v>0</v>
      </c>
      <c r="R379" s="2" t="inlineStr"/>
    </row>
    <row r="380" ht="15" customHeight="1">
      <c r="A380" t="inlineStr">
        <is>
          <t>A 30254-2021</t>
        </is>
      </c>
      <c r="B380" s="1" t="n">
        <v>44363</v>
      </c>
      <c r="C380" s="1" t="n">
        <v>45358</v>
      </c>
      <c r="D380" t="inlineStr">
        <is>
          <t>DALARNAS LÄN</t>
        </is>
      </c>
      <c r="E380" t="inlineStr">
        <is>
          <t>ÄLVDALEN</t>
        </is>
      </c>
      <c r="F380" t="inlineStr">
        <is>
          <t>Sveaskog</t>
        </is>
      </c>
      <c r="G380" t="n">
        <v>8.1</v>
      </c>
      <c r="H380" t="n">
        <v>0</v>
      </c>
      <c r="I380" t="n">
        <v>0</v>
      </c>
      <c r="J380" t="n">
        <v>0</v>
      </c>
      <c r="K380" t="n">
        <v>0</v>
      </c>
      <c r="L380" t="n">
        <v>0</v>
      </c>
      <c r="M380" t="n">
        <v>0</v>
      </c>
      <c r="N380" t="n">
        <v>0</v>
      </c>
      <c r="O380" t="n">
        <v>0</v>
      </c>
      <c r="P380" t="n">
        <v>0</v>
      </c>
      <c r="Q380" t="n">
        <v>0</v>
      </c>
      <c r="R380" s="2" t="inlineStr"/>
    </row>
    <row r="381" ht="15" customHeight="1">
      <c r="A381" t="inlineStr">
        <is>
          <t>A 30249-2021</t>
        </is>
      </c>
      <c r="B381" s="1" t="n">
        <v>44363</v>
      </c>
      <c r="C381" s="1" t="n">
        <v>45358</v>
      </c>
      <c r="D381" t="inlineStr">
        <is>
          <t>DALARNAS LÄN</t>
        </is>
      </c>
      <c r="E381" t="inlineStr">
        <is>
          <t>ÄLVDALEN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30355-2021</t>
        </is>
      </c>
      <c r="B382" s="1" t="n">
        <v>44364</v>
      </c>
      <c r="C382" s="1" t="n">
        <v>45358</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30797-2021</t>
        </is>
      </c>
      <c r="B383" s="1" t="n">
        <v>44365</v>
      </c>
      <c r="C383" s="1" t="n">
        <v>45358</v>
      </c>
      <c r="D383" t="inlineStr">
        <is>
          <t>DALARNAS LÄN</t>
        </is>
      </c>
      <c r="E383" t="inlineStr">
        <is>
          <t>ÄLVDALEN</t>
        </is>
      </c>
      <c r="G383" t="n">
        <v>2.1</v>
      </c>
      <c r="H383" t="n">
        <v>0</v>
      </c>
      <c r="I383" t="n">
        <v>0</v>
      </c>
      <c r="J383" t="n">
        <v>0</v>
      </c>
      <c r="K383" t="n">
        <v>0</v>
      </c>
      <c r="L383" t="n">
        <v>0</v>
      </c>
      <c r="M383" t="n">
        <v>0</v>
      </c>
      <c r="N383" t="n">
        <v>0</v>
      </c>
      <c r="O383" t="n">
        <v>0</v>
      </c>
      <c r="P383" t="n">
        <v>0</v>
      </c>
      <c r="Q383" t="n">
        <v>0</v>
      </c>
      <c r="R383" s="2" t="inlineStr"/>
    </row>
    <row r="384" ht="15" customHeight="1">
      <c r="A384" t="inlineStr">
        <is>
          <t>A 30799-2021</t>
        </is>
      </c>
      <c r="B384" s="1" t="n">
        <v>44365</v>
      </c>
      <c r="C384" s="1" t="n">
        <v>45358</v>
      </c>
      <c r="D384" t="inlineStr">
        <is>
          <t>DALARNAS LÄN</t>
        </is>
      </c>
      <c r="E384" t="inlineStr">
        <is>
          <t>ÄLVDALEN</t>
        </is>
      </c>
      <c r="G384" t="n">
        <v>1.2</v>
      </c>
      <c r="H384" t="n">
        <v>0</v>
      </c>
      <c r="I384" t="n">
        <v>0</v>
      </c>
      <c r="J384" t="n">
        <v>0</v>
      </c>
      <c r="K384" t="n">
        <v>0</v>
      </c>
      <c r="L384" t="n">
        <v>0</v>
      </c>
      <c r="M384" t="n">
        <v>0</v>
      </c>
      <c r="N384" t="n">
        <v>0</v>
      </c>
      <c r="O384" t="n">
        <v>0</v>
      </c>
      <c r="P384" t="n">
        <v>0</v>
      </c>
      <c r="Q384" t="n">
        <v>0</v>
      </c>
      <c r="R384" s="2" t="inlineStr"/>
    </row>
    <row r="385" ht="15" customHeight="1">
      <c r="A385" t="inlineStr">
        <is>
          <t>A 30972-2021</t>
        </is>
      </c>
      <c r="B385" s="1" t="n">
        <v>44365</v>
      </c>
      <c r="C385" s="1" t="n">
        <v>45358</v>
      </c>
      <c r="D385" t="inlineStr">
        <is>
          <t>DALARNAS LÄN</t>
        </is>
      </c>
      <c r="E385" t="inlineStr">
        <is>
          <t>ÄLVDALEN</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30969-2021</t>
        </is>
      </c>
      <c r="B386" s="1" t="n">
        <v>44365</v>
      </c>
      <c r="C386" s="1" t="n">
        <v>45358</v>
      </c>
      <c r="D386" t="inlineStr">
        <is>
          <t>DALARNAS LÄN</t>
        </is>
      </c>
      <c r="E386" t="inlineStr">
        <is>
          <t>ÄLVDALEN</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31167-2021</t>
        </is>
      </c>
      <c r="B387" s="1" t="n">
        <v>44368</v>
      </c>
      <c r="C387" s="1" t="n">
        <v>45358</v>
      </c>
      <c r="D387" t="inlineStr">
        <is>
          <t>DALARNAS LÄN</t>
        </is>
      </c>
      <c r="E387" t="inlineStr">
        <is>
          <t>ÄLVDALEN</t>
        </is>
      </c>
      <c r="G387" t="n">
        <v>1.3</v>
      </c>
      <c r="H387" t="n">
        <v>0</v>
      </c>
      <c r="I387" t="n">
        <v>0</v>
      </c>
      <c r="J387" t="n">
        <v>0</v>
      </c>
      <c r="K387" t="n">
        <v>0</v>
      </c>
      <c r="L387" t="n">
        <v>0</v>
      </c>
      <c r="M387" t="n">
        <v>0</v>
      </c>
      <c r="N387" t="n">
        <v>0</v>
      </c>
      <c r="O387" t="n">
        <v>0</v>
      </c>
      <c r="P387" t="n">
        <v>0</v>
      </c>
      <c r="Q387" t="n">
        <v>0</v>
      </c>
      <c r="R387" s="2" t="inlineStr"/>
    </row>
    <row r="388" ht="15" customHeight="1">
      <c r="A388" t="inlineStr">
        <is>
          <t>A 31714-2021</t>
        </is>
      </c>
      <c r="B388" s="1" t="n">
        <v>44369</v>
      </c>
      <c r="C388" s="1" t="n">
        <v>45358</v>
      </c>
      <c r="D388" t="inlineStr">
        <is>
          <t>DALARNAS LÄN</t>
        </is>
      </c>
      <c r="E388" t="inlineStr">
        <is>
          <t>ÄLVDALEN</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32009-2021</t>
        </is>
      </c>
      <c r="B389" s="1" t="n">
        <v>44370</v>
      </c>
      <c r="C389" s="1" t="n">
        <v>45358</v>
      </c>
      <c r="D389" t="inlineStr">
        <is>
          <t>DALARNAS LÄN</t>
        </is>
      </c>
      <c r="E389" t="inlineStr">
        <is>
          <t>ÄLVDALEN</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32362-2021</t>
        </is>
      </c>
      <c r="B390" s="1" t="n">
        <v>44371</v>
      </c>
      <c r="C390" s="1" t="n">
        <v>45358</v>
      </c>
      <c r="D390" t="inlineStr">
        <is>
          <t>DALARNAS LÄN</t>
        </is>
      </c>
      <c r="E390" t="inlineStr">
        <is>
          <t>ÄLVDALEN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33690-2021</t>
        </is>
      </c>
      <c r="B391" s="1" t="n">
        <v>44378</v>
      </c>
      <c r="C391" s="1" t="n">
        <v>45358</v>
      </c>
      <c r="D391" t="inlineStr">
        <is>
          <t>DALARNAS LÄN</t>
        </is>
      </c>
      <c r="E391" t="inlineStr">
        <is>
          <t>ÄLVDALEN</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33689-2021</t>
        </is>
      </c>
      <c r="B392" s="1" t="n">
        <v>44378</v>
      </c>
      <c r="C392" s="1" t="n">
        <v>45358</v>
      </c>
      <c r="D392" t="inlineStr">
        <is>
          <t>DALARNAS LÄN</t>
        </is>
      </c>
      <c r="E392" t="inlineStr">
        <is>
          <t>ÄLVDALEN</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36134-2021</t>
        </is>
      </c>
      <c r="B393" s="1" t="n">
        <v>44389</v>
      </c>
      <c r="C393" s="1" t="n">
        <v>45358</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36574-2021</t>
        </is>
      </c>
      <c r="B394" s="1" t="n">
        <v>44391</v>
      </c>
      <c r="C394" s="1" t="n">
        <v>45358</v>
      </c>
      <c r="D394" t="inlineStr">
        <is>
          <t>DALARNAS LÄN</t>
        </is>
      </c>
      <c r="E394" t="inlineStr">
        <is>
          <t>ÄLVDALEN</t>
        </is>
      </c>
      <c r="F394" t="inlineStr">
        <is>
          <t>Sveaskog</t>
        </is>
      </c>
      <c r="G394" t="n">
        <v>26.2</v>
      </c>
      <c r="H394" t="n">
        <v>0</v>
      </c>
      <c r="I394" t="n">
        <v>0</v>
      </c>
      <c r="J394" t="n">
        <v>0</v>
      </c>
      <c r="K394" t="n">
        <v>0</v>
      </c>
      <c r="L394" t="n">
        <v>0</v>
      </c>
      <c r="M394" t="n">
        <v>0</v>
      </c>
      <c r="N394" t="n">
        <v>0</v>
      </c>
      <c r="O394" t="n">
        <v>0</v>
      </c>
      <c r="P394" t="n">
        <v>0</v>
      </c>
      <c r="Q394" t="n">
        <v>0</v>
      </c>
      <c r="R394" s="2" t="inlineStr"/>
    </row>
    <row r="395" ht="15" customHeight="1">
      <c r="A395" t="inlineStr">
        <is>
          <t>A 36825-2021</t>
        </is>
      </c>
      <c r="B395" s="1" t="n">
        <v>44393</v>
      </c>
      <c r="C395" s="1" t="n">
        <v>45358</v>
      </c>
      <c r="D395" t="inlineStr">
        <is>
          <t>DALARNAS LÄN</t>
        </is>
      </c>
      <c r="E395" t="inlineStr">
        <is>
          <t>ÄLVDALEN</t>
        </is>
      </c>
      <c r="F395" t="inlineStr">
        <is>
          <t>Sveaskog</t>
        </is>
      </c>
      <c r="G395" t="n">
        <v>12.2</v>
      </c>
      <c r="H395" t="n">
        <v>0</v>
      </c>
      <c r="I395" t="n">
        <v>0</v>
      </c>
      <c r="J395" t="n">
        <v>0</v>
      </c>
      <c r="K395" t="n">
        <v>0</v>
      </c>
      <c r="L395" t="n">
        <v>0</v>
      </c>
      <c r="M395" t="n">
        <v>0</v>
      </c>
      <c r="N395" t="n">
        <v>0</v>
      </c>
      <c r="O395" t="n">
        <v>0</v>
      </c>
      <c r="P395" t="n">
        <v>0</v>
      </c>
      <c r="Q395" t="n">
        <v>0</v>
      </c>
      <c r="R395" s="2" t="inlineStr"/>
    </row>
    <row r="396" ht="15" customHeight="1">
      <c r="A396" t="inlineStr">
        <is>
          <t>A 36846-2021</t>
        </is>
      </c>
      <c r="B396" s="1" t="n">
        <v>44393</v>
      </c>
      <c r="C396" s="1" t="n">
        <v>45358</v>
      </c>
      <c r="D396" t="inlineStr">
        <is>
          <t>DALARNAS LÄN</t>
        </is>
      </c>
      <c r="E396" t="inlineStr">
        <is>
          <t>ÄLVDALEN</t>
        </is>
      </c>
      <c r="F396" t="inlineStr">
        <is>
          <t>Sveaskog</t>
        </is>
      </c>
      <c r="G396" t="n">
        <v>10.8</v>
      </c>
      <c r="H396" t="n">
        <v>0</v>
      </c>
      <c r="I396" t="n">
        <v>0</v>
      </c>
      <c r="J396" t="n">
        <v>0</v>
      </c>
      <c r="K396" t="n">
        <v>0</v>
      </c>
      <c r="L396" t="n">
        <v>0</v>
      </c>
      <c r="M396" t="n">
        <v>0</v>
      </c>
      <c r="N396" t="n">
        <v>0</v>
      </c>
      <c r="O396" t="n">
        <v>0</v>
      </c>
      <c r="P396" t="n">
        <v>0</v>
      </c>
      <c r="Q396" t="n">
        <v>0</v>
      </c>
      <c r="R396" s="2" t="inlineStr"/>
    </row>
    <row r="397" ht="15" customHeight="1">
      <c r="A397" t="inlineStr">
        <is>
          <t>A 36826-2021</t>
        </is>
      </c>
      <c r="B397" s="1" t="n">
        <v>44393</v>
      </c>
      <c r="C397" s="1" t="n">
        <v>45358</v>
      </c>
      <c r="D397" t="inlineStr">
        <is>
          <t>DALARNAS LÄN</t>
        </is>
      </c>
      <c r="E397" t="inlineStr">
        <is>
          <t>ÄLVDALEN</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36824-2021</t>
        </is>
      </c>
      <c r="B398" s="1" t="n">
        <v>44393</v>
      </c>
      <c r="C398" s="1" t="n">
        <v>45358</v>
      </c>
      <c r="D398" t="inlineStr">
        <is>
          <t>DALARNAS LÄN</t>
        </is>
      </c>
      <c r="E398" t="inlineStr">
        <is>
          <t>ÄLVDALEN</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37009-2021</t>
        </is>
      </c>
      <c r="B399" s="1" t="n">
        <v>44393</v>
      </c>
      <c r="C399" s="1" t="n">
        <v>45358</v>
      </c>
      <c r="D399" t="inlineStr">
        <is>
          <t>DALARNAS LÄN</t>
        </is>
      </c>
      <c r="E399" t="inlineStr">
        <is>
          <t>ÄLVDALEN</t>
        </is>
      </c>
      <c r="F399" t="inlineStr">
        <is>
          <t>Bergvik skog öst AB</t>
        </is>
      </c>
      <c r="G399" t="n">
        <v>3.3</v>
      </c>
      <c r="H399" t="n">
        <v>0</v>
      </c>
      <c r="I399" t="n">
        <v>0</v>
      </c>
      <c r="J399" t="n">
        <v>0</v>
      </c>
      <c r="K399" t="n">
        <v>0</v>
      </c>
      <c r="L399" t="n">
        <v>0</v>
      </c>
      <c r="M399" t="n">
        <v>0</v>
      </c>
      <c r="N399" t="n">
        <v>0</v>
      </c>
      <c r="O399" t="n">
        <v>0</v>
      </c>
      <c r="P399" t="n">
        <v>0</v>
      </c>
      <c r="Q399" t="n">
        <v>0</v>
      </c>
      <c r="R399" s="2" t="inlineStr"/>
    </row>
    <row r="400" ht="15" customHeight="1">
      <c r="A400" t="inlineStr">
        <is>
          <t>A 37490-2021</t>
        </is>
      </c>
      <c r="B400" s="1" t="n">
        <v>44399</v>
      </c>
      <c r="C400" s="1" t="n">
        <v>45358</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39064-2021</t>
        </is>
      </c>
      <c r="B401" s="1" t="n">
        <v>44411</v>
      </c>
      <c r="C401" s="1" t="n">
        <v>45358</v>
      </c>
      <c r="D401" t="inlineStr">
        <is>
          <t>DALARNAS LÄN</t>
        </is>
      </c>
      <c r="E401" t="inlineStr">
        <is>
          <t>ÄLVDALEN</t>
        </is>
      </c>
      <c r="F401" t="inlineStr">
        <is>
          <t>Övriga statliga verk och myndigheter</t>
        </is>
      </c>
      <c r="G401" t="n">
        <v>4.5</v>
      </c>
      <c r="H401" t="n">
        <v>0</v>
      </c>
      <c r="I401" t="n">
        <v>0</v>
      </c>
      <c r="J401" t="n">
        <v>0</v>
      </c>
      <c r="K401" t="n">
        <v>0</v>
      </c>
      <c r="L401" t="n">
        <v>0</v>
      </c>
      <c r="M401" t="n">
        <v>0</v>
      </c>
      <c r="N401" t="n">
        <v>0</v>
      </c>
      <c r="O401" t="n">
        <v>0</v>
      </c>
      <c r="P401" t="n">
        <v>0</v>
      </c>
      <c r="Q401" t="n">
        <v>0</v>
      </c>
      <c r="R401" s="2" t="inlineStr"/>
    </row>
    <row r="402" ht="15" customHeight="1">
      <c r="A402" t="inlineStr">
        <is>
          <t>A 38957-2021</t>
        </is>
      </c>
      <c r="B402" s="1" t="n">
        <v>44411</v>
      </c>
      <c r="C402" s="1" t="n">
        <v>45358</v>
      </c>
      <c r="D402" t="inlineStr">
        <is>
          <t>DALARNAS LÄN</t>
        </is>
      </c>
      <c r="E402" t="inlineStr">
        <is>
          <t>ÄLVDALEN</t>
        </is>
      </c>
      <c r="G402" t="n">
        <v>4.6</v>
      </c>
      <c r="H402" t="n">
        <v>0</v>
      </c>
      <c r="I402" t="n">
        <v>0</v>
      </c>
      <c r="J402" t="n">
        <v>0</v>
      </c>
      <c r="K402" t="n">
        <v>0</v>
      </c>
      <c r="L402" t="n">
        <v>0</v>
      </c>
      <c r="M402" t="n">
        <v>0</v>
      </c>
      <c r="N402" t="n">
        <v>0</v>
      </c>
      <c r="O402" t="n">
        <v>0</v>
      </c>
      <c r="P402" t="n">
        <v>0</v>
      </c>
      <c r="Q402" t="n">
        <v>0</v>
      </c>
      <c r="R402" s="2" t="inlineStr"/>
    </row>
    <row r="403" ht="15" customHeight="1">
      <c r="A403" t="inlineStr">
        <is>
          <t>A 39199-2021</t>
        </is>
      </c>
      <c r="B403" s="1" t="n">
        <v>44412</v>
      </c>
      <c r="C403" s="1" t="n">
        <v>45358</v>
      </c>
      <c r="D403" t="inlineStr">
        <is>
          <t>DALARNAS LÄN</t>
        </is>
      </c>
      <c r="E403" t="inlineStr">
        <is>
          <t>ÄLVDALEN</t>
        </is>
      </c>
      <c r="F403" t="inlineStr">
        <is>
          <t>Övriga statliga verk och myndigheter</t>
        </is>
      </c>
      <c r="G403" t="n">
        <v>5.2</v>
      </c>
      <c r="H403" t="n">
        <v>0</v>
      </c>
      <c r="I403" t="n">
        <v>0</v>
      </c>
      <c r="J403" t="n">
        <v>0</v>
      </c>
      <c r="K403" t="n">
        <v>0</v>
      </c>
      <c r="L403" t="n">
        <v>0</v>
      </c>
      <c r="M403" t="n">
        <v>0</v>
      </c>
      <c r="N403" t="n">
        <v>0</v>
      </c>
      <c r="O403" t="n">
        <v>0</v>
      </c>
      <c r="P403" t="n">
        <v>0</v>
      </c>
      <c r="Q403" t="n">
        <v>0</v>
      </c>
      <c r="R403" s="2" t="inlineStr"/>
    </row>
    <row r="404" ht="15" customHeight="1">
      <c r="A404" t="inlineStr">
        <is>
          <t>A 39267-2021</t>
        </is>
      </c>
      <c r="B404" s="1" t="n">
        <v>44413</v>
      </c>
      <c r="C404" s="1" t="n">
        <v>45358</v>
      </c>
      <c r="D404" t="inlineStr">
        <is>
          <t>DALARNAS LÄN</t>
        </is>
      </c>
      <c r="E404" t="inlineStr">
        <is>
          <t>ÄLVDALEN</t>
        </is>
      </c>
      <c r="G404" t="n">
        <v>2.4</v>
      </c>
      <c r="H404" t="n">
        <v>0</v>
      </c>
      <c r="I404" t="n">
        <v>0</v>
      </c>
      <c r="J404" t="n">
        <v>0</v>
      </c>
      <c r="K404" t="n">
        <v>0</v>
      </c>
      <c r="L404" t="n">
        <v>0</v>
      </c>
      <c r="M404" t="n">
        <v>0</v>
      </c>
      <c r="N404" t="n">
        <v>0</v>
      </c>
      <c r="O404" t="n">
        <v>0</v>
      </c>
      <c r="P404" t="n">
        <v>0</v>
      </c>
      <c r="Q404" t="n">
        <v>0</v>
      </c>
      <c r="R404" s="2" t="inlineStr"/>
    </row>
    <row r="405" ht="15" customHeight="1">
      <c r="A405" t="inlineStr">
        <is>
          <t>A 40234-2021</t>
        </is>
      </c>
      <c r="B405" s="1" t="n">
        <v>44419</v>
      </c>
      <c r="C405" s="1" t="n">
        <v>45358</v>
      </c>
      <c r="D405" t="inlineStr">
        <is>
          <t>DALARNAS LÄN</t>
        </is>
      </c>
      <c r="E405" t="inlineStr">
        <is>
          <t>ÄLVDALEN</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40235-2021</t>
        </is>
      </c>
      <c r="B406" s="1" t="n">
        <v>44419</v>
      </c>
      <c r="C406" s="1" t="n">
        <v>45358</v>
      </c>
      <c r="D406" t="inlineStr">
        <is>
          <t>DALARNAS LÄN</t>
        </is>
      </c>
      <c r="E406" t="inlineStr">
        <is>
          <t>ÄLVDALEN</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40919-2021</t>
        </is>
      </c>
      <c r="B407" s="1" t="n">
        <v>44421</v>
      </c>
      <c r="C407" s="1" t="n">
        <v>45358</v>
      </c>
      <c r="D407" t="inlineStr">
        <is>
          <t>DALARNAS LÄN</t>
        </is>
      </c>
      <c r="E407" t="inlineStr">
        <is>
          <t>ÄLVDALEN</t>
        </is>
      </c>
      <c r="F407" t="inlineStr">
        <is>
          <t>Kyrkan</t>
        </is>
      </c>
      <c r="G407" t="n">
        <v>3.4</v>
      </c>
      <c r="H407" t="n">
        <v>0</v>
      </c>
      <c r="I407" t="n">
        <v>0</v>
      </c>
      <c r="J407" t="n">
        <v>0</v>
      </c>
      <c r="K407" t="n">
        <v>0</v>
      </c>
      <c r="L407" t="n">
        <v>0</v>
      </c>
      <c r="M407" t="n">
        <v>0</v>
      </c>
      <c r="N407" t="n">
        <v>0</v>
      </c>
      <c r="O407" t="n">
        <v>0</v>
      </c>
      <c r="P407" t="n">
        <v>0</v>
      </c>
      <c r="Q407" t="n">
        <v>0</v>
      </c>
      <c r="R407" s="2" t="inlineStr"/>
    </row>
    <row r="408" ht="15" customHeight="1">
      <c r="A408" t="inlineStr">
        <is>
          <t>A 41020-2021</t>
        </is>
      </c>
      <c r="B408" s="1" t="n">
        <v>44421</v>
      </c>
      <c r="C408" s="1" t="n">
        <v>45358</v>
      </c>
      <c r="D408" t="inlineStr">
        <is>
          <t>DALARNAS LÄN</t>
        </is>
      </c>
      <c r="E408" t="inlineStr">
        <is>
          <t>ÄLVDALEN</t>
        </is>
      </c>
      <c r="G408" t="n">
        <v>5.5</v>
      </c>
      <c r="H408" t="n">
        <v>0</v>
      </c>
      <c r="I408" t="n">
        <v>0</v>
      </c>
      <c r="J408" t="n">
        <v>0</v>
      </c>
      <c r="K408" t="n">
        <v>0</v>
      </c>
      <c r="L408" t="n">
        <v>0</v>
      </c>
      <c r="M408" t="n">
        <v>0</v>
      </c>
      <c r="N408" t="n">
        <v>0</v>
      </c>
      <c r="O408" t="n">
        <v>0</v>
      </c>
      <c r="P408" t="n">
        <v>0</v>
      </c>
      <c r="Q408" t="n">
        <v>0</v>
      </c>
      <c r="R408" s="2" t="inlineStr"/>
    </row>
    <row r="409" ht="15" customHeight="1">
      <c r="A409" t="inlineStr">
        <is>
          <t>A 43972-2021</t>
        </is>
      </c>
      <c r="B409" s="1" t="n">
        <v>44434</v>
      </c>
      <c r="C409" s="1" t="n">
        <v>45358</v>
      </c>
      <c r="D409" t="inlineStr">
        <is>
          <t>DALARNAS LÄN</t>
        </is>
      </c>
      <c r="E409" t="inlineStr">
        <is>
          <t>ÄLVDALEN</t>
        </is>
      </c>
      <c r="F409" t="inlineStr">
        <is>
          <t>Sveaskog</t>
        </is>
      </c>
      <c r="G409" t="n">
        <v>3.5</v>
      </c>
      <c r="H409" t="n">
        <v>0</v>
      </c>
      <c r="I409" t="n">
        <v>0</v>
      </c>
      <c r="J409" t="n">
        <v>0</v>
      </c>
      <c r="K409" t="n">
        <v>0</v>
      </c>
      <c r="L409" t="n">
        <v>0</v>
      </c>
      <c r="M409" t="n">
        <v>0</v>
      </c>
      <c r="N409" t="n">
        <v>0</v>
      </c>
      <c r="O409" t="n">
        <v>0</v>
      </c>
      <c r="P409" t="n">
        <v>0</v>
      </c>
      <c r="Q409" t="n">
        <v>0</v>
      </c>
      <c r="R409" s="2" t="inlineStr"/>
    </row>
    <row r="410" ht="15" customHeight="1">
      <c r="A410" t="inlineStr">
        <is>
          <t>A 44386-2021</t>
        </is>
      </c>
      <c r="B410" s="1" t="n">
        <v>44435</v>
      </c>
      <c r="C410" s="1" t="n">
        <v>45358</v>
      </c>
      <c r="D410" t="inlineStr">
        <is>
          <t>DALARNAS LÄN</t>
        </is>
      </c>
      <c r="E410" t="inlineStr">
        <is>
          <t>ÄLVDALEN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44413-2021</t>
        </is>
      </c>
      <c r="B411" s="1" t="n">
        <v>44435</v>
      </c>
      <c r="C411" s="1" t="n">
        <v>45358</v>
      </c>
      <c r="D411" t="inlineStr">
        <is>
          <t>DALARNAS LÄN</t>
        </is>
      </c>
      <c r="E411" t="inlineStr">
        <is>
          <t>ÄLVDALEN</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48558-2021</t>
        </is>
      </c>
      <c r="B412" s="1" t="n">
        <v>44452</v>
      </c>
      <c r="C412" s="1" t="n">
        <v>45358</v>
      </c>
      <c r="D412" t="inlineStr">
        <is>
          <t>DALARNAS LÄN</t>
        </is>
      </c>
      <c r="E412" t="inlineStr">
        <is>
          <t>ÄLVDALEN</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48608-2021</t>
        </is>
      </c>
      <c r="B413" s="1" t="n">
        <v>44452</v>
      </c>
      <c r="C413" s="1" t="n">
        <v>45358</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48772-2021</t>
        </is>
      </c>
      <c r="B414" s="1" t="n">
        <v>44452</v>
      </c>
      <c r="C414" s="1" t="n">
        <v>45358</v>
      </c>
      <c r="D414" t="inlineStr">
        <is>
          <t>DALARNAS LÄN</t>
        </is>
      </c>
      <c r="E414" t="inlineStr">
        <is>
          <t>ÄLVDALEN</t>
        </is>
      </c>
      <c r="F414" t="inlineStr">
        <is>
          <t>Allmännings- och besparingsskogar</t>
        </is>
      </c>
      <c r="G414" t="n">
        <v>18.6</v>
      </c>
      <c r="H414" t="n">
        <v>0</v>
      </c>
      <c r="I414" t="n">
        <v>0</v>
      </c>
      <c r="J414" t="n">
        <v>0</v>
      </c>
      <c r="K414" t="n">
        <v>0</v>
      </c>
      <c r="L414" t="n">
        <v>0</v>
      </c>
      <c r="M414" t="n">
        <v>0</v>
      </c>
      <c r="N414" t="n">
        <v>0</v>
      </c>
      <c r="O414" t="n">
        <v>0</v>
      </c>
      <c r="P414" t="n">
        <v>0</v>
      </c>
      <c r="Q414" t="n">
        <v>0</v>
      </c>
      <c r="R414" s="2" t="inlineStr"/>
    </row>
    <row r="415" ht="15" customHeight="1">
      <c r="A415" t="inlineStr">
        <is>
          <t>A 49495-2021</t>
        </is>
      </c>
      <c r="B415" s="1" t="n">
        <v>44455</v>
      </c>
      <c r="C415" s="1" t="n">
        <v>45358</v>
      </c>
      <c r="D415" t="inlineStr">
        <is>
          <t>DALARNAS LÄN</t>
        </is>
      </c>
      <c r="E415" t="inlineStr">
        <is>
          <t>ÄLVDALEN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49862-2021</t>
        </is>
      </c>
      <c r="B416" s="1" t="n">
        <v>44455</v>
      </c>
      <c r="C416" s="1" t="n">
        <v>45358</v>
      </c>
      <c r="D416" t="inlineStr">
        <is>
          <t>DALARNAS LÄN</t>
        </is>
      </c>
      <c r="E416" t="inlineStr">
        <is>
          <t>ÄLVDALEN</t>
        </is>
      </c>
      <c r="F416" t="inlineStr">
        <is>
          <t>Allmännings- och besparingsskogar</t>
        </is>
      </c>
      <c r="G416" t="n">
        <v>51.2</v>
      </c>
      <c r="H416" t="n">
        <v>0</v>
      </c>
      <c r="I416" t="n">
        <v>0</v>
      </c>
      <c r="J416" t="n">
        <v>0</v>
      </c>
      <c r="K416" t="n">
        <v>0</v>
      </c>
      <c r="L416" t="n">
        <v>0</v>
      </c>
      <c r="M416" t="n">
        <v>0</v>
      </c>
      <c r="N416" t="n">
        <v>0</v>
      </c>
      <c r="O416" t="n">
        <v>0</v>
      </c>
      <c r="P416" t="n">
        <v>0</v>
      </c>
      <c r="Q416" t="n">
        <v>0</v>
      </c>
      <c r="R416" s="2" t="inlineStr"/>
    </row>
    <row r="417" ht="15" customHeight="1">
      <c r="A417" t="inlineStr">
        <is>
          <t>A 50265-2021</t>
        </is>
      </c>
      <c r="B417" s="1" t="n">
        <v>44459</v>
      </c>
      <c r="C417" s="1" t="n">
        <v>45358</v>
      </c>
      <c r="D417" t="inlineStr">
        <is>
          <t>DALARNAS LÄN</t>
        </is>
      </c>
      <c r="E417" t="inlineStr">
        <is>
          <t>ÄLVDALEN</t>
        </is>
      </c>
      <c r="F417" t="inlineStr">
        <is>
          <t>Sveaskog</t>
        </is>
      </c>
      <c r="G417" t="n">
        <v>9.5</v>
      </c>
      <c r="H417" t="n">
        <v>0</v>
      </c>
      <c r="I417" t="n">
        <v>0</v>
      </c>
      <c r="J417" t="n">
        <v>0</v>
      </c>
      <c r="K417" t="n">
        <v>0</v>
      </c>
      <c r="L417" t="n">
        <v>0</v>
      </c>
      <c r="M417" t="n">
        <v>0</v>
      </c>
      <c r="N417" t="n">
        <v>0</v>
      </c>
      <c r="O417" t="n">
        <v>0</v>
      </c>
      <c r="P417" t="n">
        <v>0</v>
      </c>
      <c r="Q417" t="n">
        <v>0</v>
      </c>
      <c r="R417" s="2" t="inlineStr"/>
    </row>
    <row r="418" ht="15" customHeight="1">
      <c r="A418" t="inlineStr">
        <is>
          <t>A 50341-2021</t>
        </is>
      </c>
      <c r="B418" s="1" t="n">
        <v>44459</v>
      </c>
      <c r="C418" s="1" t="n">
        <v>45358</v>
      </c>
      <c r="D418" t="inlineStr">
        <is>
          <t>DALARNAS LÄN</t>
        </is>
      </c>
      <c r="E418" t="inlineStr">
        <is>
          <t>ÄLVDALEN</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50349-2021</t>
        </is>
      </c>
      <c r="B419" s="1" t="n">
        <v>44459</v>
      </c>
      <c r="C419" s="1" t="n">
        <v>45358</v>
      </c>
      <c r="D419" t="inlineStr">
        <is>
          <t>DALARNAS LÄN</t>
        </is>
      </c>
      <c r="E419" t="inlineStr">
        <is>
          <t>ÄLVDALEN</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50708-2021</t>
        </is>
      </c>
      <c r="B420" s="1" t="n">
        <v>44459</v>
      </c>
      <c r="C420" s="1" t="n">
        <v>45358</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51161-2021</t>
        </is>
      </c>
      <c r="B421" s="1" t="n">
        <v>44461</v>
      </c>
      <c r="C421" s="1" t="n">
        <v>45358</v>
      </c>
      <c r="D421" t="inlineStr">
        <is>
          <t>DALARNAS LÄN</t>
        </is>
      </c>
      <c r="E421" t="inlineStr">
        <is>
          <t>ÄLVDALEN</t>
        </is>
      </c>
      <c r="G421" t="n">
        <v>2</v>
      </c>
      <c r="H421" t="n">
        <v>0</v>
      </c>
      <c r="I421" t="n">
        <v>0</v>
      </c>
      <c r="J421" t="n">
        <v>0</v>
      </c>
      <c r="K421" t="n">
        <v>0</v>
      </c>
      <c r="L421" t="n">
        <v>0</v>
      </c>
      <c r="M421" t="n">
        <v>0</v>
      </c>
      <c r="N421" t="n">
        <v>0</v>
      </c>
      <c r="O421" t="n">
        <v>0</v>
      </c>
      <c r="P421" t="n">
        <v>0</v>
      </c>
      <c r="Q421" t="n">
        <v>0</v>
      </c>
      <c r="R421" s="2" t="inlineStr"/>
    </row>
    <row r="422" ht="15" customHeight="1">
      <c r="A422" t="inlineStr">
        <is>
          <t>A 51844-2021</t>
        </is>
      </c>
      <c r="B422" s="1" t="n">
        <v>44462</v>
      </c>
      <c r="C422" s="1" t="n">
        <v>45358</v>
      </c>
      <c r="D422" t="inlineStr">
        <is>
          <t>DALARNAS LÄN</t>
        </is>
      </c>
      <c r="E422" t="inlineStr">
        <is>
          <t>ÄLVDALEN</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52124-2021</t>
        </is>
      </c>
      <c r="B423" s="1" t="n">
        <v>44463</v>
      </c>
      <c r="C423" s="1" t="n">
        <v>45358</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52877-2021</t>
        </is>
      </c>
      <c r="B424" s="1" t="n">
        <v>44467</v>
      </c>
      <c r="C424" s="1" t="n">
        <v>45358</v>
      </c>
      <c r="D424" t="inlineStr">
        <is>
          <t>DALARNAS LÄN</t>
        </is>
      </c>
      <c r="E424" t="inlineStr">
        <is>
          <t>ÄLVDALEN</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52866-2021</t>
        </is>
      </c>
      <c r="B425" s="1" t="n">
        <v>44467</v>
      </c>
      <c r="C425" s="1" t="n">
        <v>45358</v>
      </c>
      <c r="D425" t="inlineStr">
        <is>
          <t>DALARNAS LÄN</t>
        </is>
      </c>
      <c r="E425" t="inlineStr">
        <is>
          <t>ÄLVDALEN</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52873-2021</t>
        </is>
      </c>
      <c r="B426" s="1" t="n">
        <v>44467</v>
      </c>
      <c r="C426" s="1" t="n">
        <v>45358</v>
      </c>
      <c r="D426" t="inlineStr">
        <is>
          <t>DALARNAS LÄN</t>
        </is>
      </c>
      <c r="E426" t="inlineStr">
        <is>
          <t>ÄLVDALEN</t>
        </is>
      </c>
      <c r="F426" t="inlineStr">
        <is>
          <t>Sveaskog</t>
        </is>
      </c>
      <c r="G426" t="n">
        <v>14.2</v>
      </c>
      <c r="H426" t="n">
        <v>0</v>
      </c>
      <c r="I426" t="n">
        <v>0</v>
      </c>
      <c r="J426" t="n">
        <v>0</v>
      </c>
      <c r="K426" t="n">
        <v>0</v>
      </c>
      <c r="L426" t="n">
        <v>0</v>
      </c>
      <c r="M426" t="n">
        <v>0</v>
      </c>
      <c r="N426" t="n">
        <v>0</v>
      </c>
      <c r="O426" t="n">
        <v>0</v>
      </c>
      <c r="P426" t="n">
        <v>0</v>
      </c>
      <c r="Q426" t="n">
        <v>0</v>
      </c>
      <c r="R426" s="2" t="inlineStr"/>
    </row>
    <row r="427" ht="15" customHeight="1">
      <c r="A427" t="inlineStr">
        <is>
          <t>A 54292-2021</t>
        </is>
      </c>
      <c r="B427" s="1" t="n">
        <v>44471</v>
      </c>
      <c r="C427" s="1" t="n">
        <v>45358</v>
      </c>
      <c r="D427" t="inlineStr">
        <is>
          <t>DALARNAS LÄN</t>
        </is>
      </c>
      <c r="E427" t="inlineStr">
        <is>
          <t>ÄLVDALEN</t>
        </is>
      </c>
      <c r="G427" t="n">
        <v>3.1</v>
      </c>
      <c r="H427" t="n">
        <v>0</v>
      </c>
      <c r="I427" t="n">
        <v>0</v>
      </c>
      <c r="J427" t="n">
        <v>0</v>
      </c>
      <c r="K427" t="n">
        <v>0</v>
      </c>
      <c r="L427" t="n">
        <v>0</v>
      </c>
      <c r="M427" t="n">
        <v>0</v>
      </c>
      <c r="N427" t="n">
        <v>0</v>
      </c>
      <c r="O427" t="n">
        <v>0</v>
      </c>
      <c r="P427" t="n">
        <v>0</v>
      </c>
      <c r="Q427" t="n">
        <v>0</v>
      </c>
      <c r="R427" s="2" t="inlineStr"/>
    </row>
    <row r="428" ht="15" customHeight="1">
      <c r="A428" t="inlineStr">
        <is>
          <t>A 54387-2021</t>
        </is>
      </c>
      <c r="B428" s="1" t="n">
        <v>44473</v>
      </c>
      <c r="C428" s="1" t="n">
        <v>45358</v>
      </c>
      <c r="D428" t="inlineStr">
        <is>
          <t>DALARNAS LÄN</t>
        </is>
      </c>
      <c r="E428" t="inlineStr">
        <is>
          <t>ÄLVDALEN</t>
        </is>
      </c>
      <c r="F428" t="inlineStr">
        <is>
          <t>Bergvik skog öst AB</t>
        </is>
      </c>
      <c r="G428" t="n">
        <v>2.9</v>
      </c>
      <c r="H428" t="n">
        <v>0</v>
      </c>
      <c r="I428" t="n">
        <v>0</v>
      </c>
      <c r="J428" t="n">
        <v>0</v>
      </c>
      <c r="K428" t="n">
        <v>0</v>
      </c>
      <c r="L428" t="n">
        <v>0</v>
      </c>
      <c r="M428" t="n">
        <v>0</v>
      </c>
      <c r="N428" t="n">
        <v>0</v>
      </c>
      <c r="O428" t="n">
        <v>0</v>
      </c>
      <c r="P428" t="n">
        <v>0</v>
      </c>
      <c r="Q428" t="n">
        <v>0</v>
      </c>
      <c r="R428" s="2" t="inlineStr"/>
    </row>
    <row r="429" ht="15" customHeight="1">
      <c r="A429" t="inlineStr">
        <is>
          <t>A 55778-2021</t>
        </is>
      </c>
      <c r="B429" s="1" t="n">
        <v>44476</v>
      </c>
      <c r="C429" s="1" t="n">
        <v>45358</v>
      </c>
      <c r="D429" t="inlineStr">
        <is>
          <t>DALARNAS LÄN</t>
        </is>
      </c>
      <c r="E429" t="inlineStr">
        <is>
          <t>ÄLVDALEN</t>
        </is>
      </c>
      <c r="G429" t="n">
        <v>3.2</v>
      </c>
      <c r="H429" t="n">
        <v>0</v>
      </c>
      <c r="I429" t="n">
        <v>0</v>
      </c>
      <c r="J429" t="n">
        <v>0</v>
      </c>
      <c r="K429" t="n">
        <v>0</v>
      </c>
      <c r="L429" t="n">
        <v>0</v>
      </c>
      <c r="M429" t="n">
        <v>0</v>
      </c>
      <c r="N429" t="n">
        <v>0</v>
      </c>
      <c r="O429" t="n">
        <v>0</v>
      </c>
      <c r="P429" t="n">
        <v>0</v>
      </c>
      <c r="Q429" t="n">
        <v>0</v>
      </c>
      <c r="R429" s="2" t="inlineStr"/>
    </row>
    <row r="430" ht="15" customHeight="1">
      <c r="A430" t="inlineStr">
        <is>
          <t>A 55990-2021</t>
        </is>
      </c>
      <c r="B430" s="1" t="n">
        <v>44477</v>
      </c>
      <c r="C430" s="1" t="n">
        <v>45358</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56041-2021</t>
        </is>
      </c>
      <c r="B431" s="1" t="n">
        <v>44477</v>
      </c>
      <c r="C431" s="1" t="n">
        <v>45358</v>
      </c>
      <c r="D431" t="inlineStr">
        <is>
          <t>DALARNAS LÄN</t>
        </is>
      </c>
      <c r="E431" t="inlineStr">
        <is>
          <t>ÄLVDALEN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56047-2021</t>
        </is>
      </c>
      <c r="B432" s="1" t="n">
        <v>44477</v>
      </c>
      <c r="C432" s="1" t="n">
        <v>45358</v>
      </c>
      <c r="D432" t="inlineStr">
        <is>
          <t>DALARNAS LÄN</t>
        </is>
      </c>
      <c r="E432" t="inlineStr">
        <is>
          <t>ÄLVDALEN</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56045-2021</t>
        </is>
      </c>
      <c r="B433" s="1" t="n">
        <v>44477</v>
      </c>
      <c r="C433" s="1" t="n">
        <v>45358</v>
      </c>
      <c r="D433" t="inlineStr">
        <is>
          <t>DALARNAS LÄN</t>
        </is>
      </c>
      <c r="E433" t="inlineStr">
        <is>
          <t>ÄLVDALEN</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56691-2021</t>
        </is>
      </c>
      <c r="B434" s="1" t="n">
        <v>44481</v>
      </c>
      <c r="C434" s="1" t="n">
        <v>45358</v>
      </c>
      <c r="D434" t="inlineStr">
        <is>
          <t>DALARNAS LÄN</t>
        </is>
      </c>
      <c r="E434" t="inlineStr">
        <is>
          <t>ÄLVDALEN</t>
        </is>
      </c>
      <c r="F434" t="inlineStr">
        <is>
          <t>Allmännings- och besparingsskogar</t>
        </is>
      </c>
      <c r="G434" t="n">
        <v>6.6</v>
      </c>
      <c r="H434" t="n">
        <v>0</v>
      </c>
      <c r="I434" t="n">
        <v>0</v>
      </c>
      <c r="J434" t="n">
        <v>0</v>
      </c>
      <c r="K434" t="n">
        <v>0</v>
      </c>
      <c r="L434" t="n">
        <v>0</v>
      </c>
      <c r="M434" t="n">
        <v>0</v>
      </c>
      <c r="N434" t="n">
        <v>0</v>
      </c>
      <c r="O434" t="n">
        <v>0</v>
      </c>
      <c r="P434" t="n">
        <v>0</v>
      </c>
      <c r="Q434" t="n">
        <v>0</v>
      </c>
      <c r="R434" s="2" t="inlineStr"/>
    </row>
    <row r="435" ht="15" customHeight="1">
      <c r="A435" t="inlineStr">
        <is>
          <t>A 57783-2021</t>
        </is>
      </c>
      <c r="B435" s="1" t="n">
        <v>44484</v>
      </c>
      <c r="C435" s="1" t="n">
        <v>45358</v>
      </c>
      <c r="D435" t="inlineStr">
        <is>
          <t>DALARNAS LÄN</t>
        </is>
      </c>
      <c r="E435" t="inlineStr">
        <is>
          <t>ÄLVDALEN</t>
        </is>
      </c>
      <c r="G435" t="n">
        <v>6.9</v>
      </c>
      <c r="H435" t="n">
        <v>0</v>
      </c>
      <c r="I435" t="n">
        <v>0</v>
      </c>
      <c r="J435" t="n">
        <v>0</v>
      </c>
      <c r="K435" t="n">
        <v>0</v>
      </c>
      <c r="L435" t="n">
        <v>0</v>
      </c>
      <c r="M435" t="n">
        <v>0</v>
      </c>
      <c r="N435" t="n">
        <v>0</v>
      </c>
      <c r="O435" t="n">
        <v>0</v>
      </c>
      <c r="P435" t="n">
        <v>0</v>
      </c>
      <c r="Q435" t="n">
        <v>0</v>
      </c>
      <c r="R435" s="2" t="inlineStr"/>
    </row>
    <row r="436" ht="15" customHeight="1">
      <c r="A436" t="inlineStr">
        <is>
          <t>A 57799-2021</t>
        </is>
      </c>
      <c r="B436" s="1" t="n">
        <v>44484</v>
      </c>
      <c r="C436" s="1" t="n">
        <v>45358</v>
      </c>
      <c r="D436" t="inlineStr">
        <is>
          <t>DALARNAS LÄN</t>
        </is>
      </c>
      <c r="E436" t="inlineStr">
        <is>
          <t>ÄLVDALEN</t>
        </is>
      </c>
      <c r="F436" t="inlineStr">
        <is>
          <t>Allmännings- och besparingsskogar</t>
        </is>
      </c>
      <c r="G436" t="n">
        <v>18.7</v>
      </c>
      <c r="H436" t="n">
        <v>0</v>
      </c>
      <c r="I436" t="n">
        <v>0</v>
      </c>
      <c r="J436" t="n">
        <v>0</v>
      </c>
      <c r="K436" t="n">
        <v>0</v>
      </c>
      <c r="L436" t="n">
        <v>0</v>
      </c>
      <c r="M436" t="n">
        <v>0</v>
      </c>
      <c r="N436" t="n">
        <v>0</v>
      </c>
      <c r="O436" t="n">
        <v>0</v>
      </c>
      <c r="P436" t="n">
        <v>0</v>
      </c>
      <c r="Q436" t="n">
        <v>0</v>
      </c>
      <c r="R436" s="2" t="inlineStr"/>
    </row>
    <row r="437" ht="15" customHeight="1">
      <c r="A437" t="inlineStr">
        <is>
          <t>A 58509-2021</t>
        </is>
      </c>
      <c r="B437" s="1" t="n">
        <v>44488</v>
      </c>
      <c r="C437" s="1" t="n">
        <v>45358</v>
      </c>
      <c r="D437" t="inlineStr">
        <is>
          <t>DALARNAS LÄN</t>
        </is>
      </c>
      <c r="E437" t="inlineStr">
        <is>
          <t>ÄLVDALEN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59658-2021</t>
        </is>
      </c>
      <c r="B438" s="1" t="n">
        <v>44494</v>
      </c>
      <c r="C438" s="1" t="n">
        <v>45358</v>
      </c>
      <c r="D438" t="inlineStr">
        <is>
          <t>DALARNAS LÄN</t>
        </is>
      </c>
      <c r="E438" t="inlineStr">
        <is>
          <t>ÄLVDALEN</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60258-2021</t>
        </is>
      </c>
      <c r="B439" s="1" t="n">
        <v>44495</v>
      </c>
      <c r="C439" s="1" t="n">
        <v>45358</v>
      </c>
      <c r="D439" t="inlineStr">
        <is>
          <t>DALARNAS LÄN</t>
        </is>
      </c>
      <c r="E439" t="inlineStr">
        <is>
          <t>ÄLVDALEN</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60265-2021</t>
        </is>
      </c>
      <c r="B440" s="1" t="n">
        <v>44495</v>
      </c>
      <c r="C440" s="1" t="n">
        <v>45358</v>
      </c>
      <c r="D440" t="inlineStr">
        <is>
          <t>DALARNAS LÄN</t>
        </is>
      </c>
      <c r="E440" t="inlineStr">
        <is>
          <t>ÄLVDALEN</t>
        </is>
      </c>
      <c r="F440" t="inlineStr">
        <is>
          <t>Allmännings- och besparingsskogar</t>
        </is>
      </c>
      <c r="G440" t="n">
        <v>10</v>
      </c>
      <c r="H440" t="n">
        <v>0</v>
      </c>
      <c r="I440" t="n">
        <v>0</v>
      </c>
      <c r="J440" t="n">
        <v>0</v>
      </c>
      <c r="K440" t="n">
        <v>0</v>
      </c>
      <c r="L440" t="n">
        <v>0</v>
      </c>
      <c r="M440" t="n">
        <v>0</v>
      </c>
      <c r="N440" t="n">
        <v>0</v>
      </c>
      <c r="O440" t="n">
        <v>0</v>
      </c>
      <c r="P440" t="n">
        <v>0</v>
      </c>
      <c r="Q440" t="n">
        <v>0</v>
      </c>
      <c r="R440" s="2" t="inlineStr"/>
    </row>
    <row r="441" ht="15" customHeight="1">
      <c r="A441" t="inlineStr">
        <is>
          <t>A 60642-2021</t>
        </is>
      </c>
      <c r="B441" s="1" t="n">
        <v>44496</v>
      </c>
      <c r="C441" s="1" t="n">
        <v>45358</v>
      </c>
      <c r="D441" t="inlineStr">
        <is>
          <t>DALARNAS LÄN</t>
        </is>
      </c>
      <c r="E441" t="inlineStr">
        <is>
          <t>ÄLVDALEN</t>
        </is>
      </c>
      <c r="F441" t="inlineStr">
        <is>
          <t>Allmännings- och besparingsskogar</t>
        </is>
      </c>
      <c r="G441" t="n">
        <v>0.9</v>
      </c>
      <c r="H441" t="n">
        <v>0</v>
      </c>
      <c r="I441" t="n">
        <v>0</v>
      </c>
      <c r="J441" t="n">
        <v>0</v>
      </c>
      <c r="K441" t="n">
        <v>0</v>
      </c>
      <c r="L441" t="n">
        <v>0</v>
      </c>
      <c r="M441" t="n">
        <v>0</v>
      </c>
      <c r="N441" t="n">
        <v>0</v>
      </c>
      <c r="O441" t="n">
        <v>0</v>
      </c>
      <c r="P441" t="n">
        <v>0</v>
      </c>
      <c r="Q441" t="n">
        <v>0</v>
      </c>
      <c r="R441" s="2" t="inlineStr"/>
    </row>
    <row r="442" ht="15" customHeight="1">
      <c r="A442" t="inlineStr">
        <is>
          <t>A 61315-2021</t>
        </is>
      </c>
      <c r="B442" s="1" t="n">
        <v>44498</v>
      </c>
      <c r="C442" s="1" t="n">
        <v>45358</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61563-2021</t>
        </is>
      </c>
      <c r="B443" s="1" t="n">
        <v>44501</v>
      </c>
      <c r="C443" s="1" t="n">
        <v>45358</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62024-2021</t>
        </is>
      </c>
      <c r="B444" s="1" t="n">
        <v>44502</v>
      </c>
      <c r="C444" s="1" t="n">
        <v>45358</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62643-2021</t>
        </is>
      </c>
      <c r="B445" s="1" t="n">
        <v>44503</v>
      </c>
      <c r="C445" s="1" t="n">
        <v>45358</v>
      </c>
      <c r="D445" t="inlineStr">
        <is>
          <t>DALARNAS LÄN</t>
        </is>
      </c>
      <c r="E445" t="inlineStr">
        <is>
          <t>ÄLVDALEN</t>
        </is>
      </c>
      <c r="F445" t="inlineStr">
        <is>
          <t>Sveaskog</t>
        </is>
      </c>
      <c r="G445" t="n">
        <v>48.7</v>
      </c>
      <c r="H445" t="n">
        <v>0</v>
      </c>
      <c r="I445" t="n">
        <v>0</v>
      </c>
      <c r="J445" t="n">
        <v>0</v>
      </c>
      <c r="K445" t="n">
        <v>0</v>
      </c>
      <c r="L445" t="n">
        <v>0</v>
      </c>
      <c r="M445" t="n">
        <v>0</v>
      </c>
      <c r="N445" t="n">
        <v>0</v>
      </c>
      <c r="O445" t="n">
        <v>0</v>
      </c>
      <c r="P445" t="n">
        <v>0</v>
      </c>
      <c r="Q445" t="n">
        <v>0</v>
      </c>
      <c r="R445" s="2" t="inlineStr"/>
    </row>
    <row r="446" ht="15" customHeight="1">
      <c r="A446" t="inlineStr">
        <is>
          <t>A 62680-2021</t>
        </is>
      </c>
      <c r="B446" s="1" t="n">
        <v>44504</v>
      </c>
      <c r="C446" s="1" t="n">
        <v>45358</v>
      </c>
      <c r="D446" t="inlineStr">
        <is>
          <t>DALARNAS LÄN</t>
        </is>
      </c>
      <c r="E446" t="inlineStr">
        <is>
          <t>ÄLVDALEN</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63079-2021</t>
        </is>
      </c>
      <c r="B447" s="1" t="n">
        <v>44505</v>
      </c>
      <c r="C447" s="1" t="n">
        <v>45358</v>
      </c>
      <c r="D447" t="inlineStr">
        <is>
          <t>DALARNAS LÄN</t>
        </is>
      </c>
      <c r="E447" t="inlineStr">
        <is>
          <t>ÄLVDALEN</t>
        </is>
      </c>
      <c r="F447" t="inlineStr">
        <is>
          <t>Bergvik skog väst AB</t>
        </is>
      </c>
      <c r="G447" t="n">
        <v>4</v>
      </c>
      <c r="H447" t="n">
        <v>0</v>
      </c>
      <c r="I447" t="n">
        <v>0</v>
      </c>
      <c r="J447" t="n">
        <v>0</v>
      </c>
      <c r="K447" t="n">
        <v>0</v>
      </c>
      <c r="L447" t="n">
        <v>0</v>
      </c>
      <c r="M447" t="n">
        <v>0</v>
      </c>
      <c r="N447" t="n">
        <v>0</v>
      </c>
      <c r="O447" t="n">
        <v>0</v>
      </c>
      <c r="P447" t="n">
        <v>0</v>
      </c>
      <c r="Q447" t="n">
        <v>0</v>
      </c>
      <c r="R447" s="2" t="inlineStr"/>
    </row>
    <row r="448" ht="15" customHeight="1">
      <c r="A448" t="inlineStr">
        <is>
          <t>A 63114-2021</t>
        </is>
      </c>
      <c r="B448" s="1" t="n">
        <v>44505</v>
      </c>
      <c r="C448" s="1" t="n">
        <v>45358</v>
      </c>
      <c r="D448" t="inlineStr">
        <is>
          <t>DALARNAS LÄN</t>
        </is>
      </c>
      <c r="E448" t="inlineStr">
        <is>
          <t>ÄLVDALEN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63120-2021</t>
        </is>
      </c>
      <c r="B449" s="1" t="n">
        <v>44505</v>
      </c>
      <c r="C449" s="1" t="n">
        <v>45358</v>
      </c>
      <c r="D449" t="inlineStr">
        <is>
          <t>DALARNAS LÄN</t>
        </is>
      </c>
      <c r="E449" t="inlineStr">
        <is>
          <t>ÄLVDALEN</t>
        </is>
      </c>
      <c r="F449" t="inlineStr">
        <is>
          <t>Bergvik skog väst AB</t>
        </is>
      </c>
      <c r="G449" t="n">
        <v>18.6</v>
      </c>
      <c r="H449" t="n">
        <v>0</v>
      </c>
      <c r="I449" t="n">
        <v>0</v>
      </c>
      <c r="J449" t="n">
        <v>0</v>
      </c>
      <c r="K449" t="n">
        <v>0</v>
      </c>
      <c r="L449" t="n">
        <v>0</v>
      </c>
      <c r="M449" t="n">
        <v>0</v>
      </c>
      <c r="N449" t="n">
        <v>0</v>
      </c>
      <c r="O449" t="n">
        <v>0</v>
      </c>
      <c r="P449" t="n">
        <v>0</v>
      </c>
      <c r="Q449" t="n">
        <v>0</v>
      </c>
      <c r="R449" s="2" t="inlineStr"/>
    </row>
    <row r="450" ht="15" customHeight="1">
      <c r="A450" t="inlineStr">
        <is>
          <t>A 63273-2021</t>
        </is>
      </c>
      <c r="B450" s="1" t="n">
        <v>44508</v>
      </c>
      <c r="C450" s="1" t="n">
        <v>45358</v>
      </c>
      <c r="D450" t="inlineStr">
        <is>
          <t>DALARNAS LÄN</t>
        </is>
      </c>
      <c r="E450" t="inlineStr">
        <is>
          <t>ÄLVDALEN</t>
        </is>
      </c>
      <c r="F450" t="inlineStr">
        <is>
          <t>Bergvik skog väst AB</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63242-2021</t>
        </is>
      </c>
      <c r="B451" s="1" t="n">
        <v>44508</v>
      </c>
      <c r="C451" s="1" t="n">
        <v>45358</v>
      </c>
      <c r="D451" t="inlineStr">
        <is>
          <t>DALARNAS LÄN</t>
        </is>
      </c>
      <c r="E451" t="inlineStr">
        <is>
          <t>ÄLVDALEN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63250-2021</t>
        </is>
      </c>
      <c r="B452" s="1" t="n">
        <v>44508</v>
      </c>
      <c r="C452" s="1" t="n">
        <v>45358</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63325-2021</t>
        </is>
      </c>
      <c r="B453" s="1" t="n">
        <v>44508</v>
      </c>
      <c r="C453" s="1" t="n">
        <v>45358</v>
      </c>
      <c r="D453" t="inlineStr">
        <is>
          <t>DALARNAS LÄN</t>
        </is>
      </c>
      <c r="E453" t="inlineStr">
        <is>
          <t>ÄLVDALEN</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66634-2021</t>
        </is>
      </c>
      <c r="B454" s="1" t="n">
        <v>44519</v>
      </c>
      <c r="C454" s="1" t="n">
        <v>45358</v>
      </c>
      <c r="D454" t="inlineStr">
        <is>
          <t>DALARNAS LÄN</t>
        </is>
      </c>
      <c r="E454" t="inlineStr">
        <is>
          <t>ÄLVDALEN</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66887-2021</t>
        </is>
      </c>
      <c r="B455" s="1" t="n">
        <v>44522</v>
      </c>
      <c r="C455" s="1" t="n">
        <v>45358</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68204-2021</t>
        </is>
      </c>
      <c r="B456" s="1" t="n">
        <v>44526</v>
      </c>
      <c r="C456" s="1" t="n">
        <v>45358</v>
      </c>
      <c r="D456" t="inlineStr">
        <is>
          <t>DALARNAS LÄN</t>
        </is>
      </c>
      <c r="E456" t="inlineStr">
        <is>
          <t>ÄLVDALEN</t>
        </is>
      </c>
      <c r="F456" t="inlineStr">
        <is>
          <t>Kyrkan</t>
        </is>
      </c>
      <c r="G456" t="n">
        <v>5</v>
      </c>
      <c r="H456" t="n">
        <v>0</v>
      </c>
      <c r="I456" t="n">
        <v>0</v>
      </c>
      <c r="J456" t="n">
        <v>0</v>
      </c>
      <c r="K456" t="n">
        <v>0</v>
      </c>
      <c r="L456" t="n">
        <v>0</v>
      </c>
      <c r="M456" t="n">
        <v>0</v>
      </c>
      <c r="N456" t="n">
        <v>0</v>
      </c>
      <c r="O456" t="n">
        <v>0</v>
      </c>
      <c r="P456" t="n">
        <v>0</v>
      </c>
      <c r="Q456" t="n">
        <v>0</v>
      </c>
      <c r="R456" s="2" t="inlineStr"/>
    </row>
    <row r="457" ht="15" customHeight="1">
      <c r="A457" t="inlineStr">
        <is>
          <t>A 68219-2021</t>
        </is>
      </c>
      <c r="B457" s="1" t="n">
        <v>44526</v>
      </c>
      <c r="C457" s="1" t="n">
        <v>45358</v>
      </c>
      <c r="D457" t="inlineStr">
        <is>
          <t>DALARNAS LÄN</t>
        </is>
      </c>
      <c r="E457" t="inlineStr">
        <is>
          <t>ÄLVDALEN</t>
        </is>
      </c>
      <c r="F457" t="inlineStr">
        <is>
          <t>Kyrkan</t>
        </is>
      </c>
      <c r="G457" t="n">
        <v>2.7</v>
      </c>
      <c r="H457" t="n">
        <v>0</v>
      </c>
      <c r="I457" t="n">
        <v>0</v>
      </c>
      <c r="J457" t="n">
        <v>0</v>
      </c>
      <c r="K457" t="n">
        <v>0</v>
      </c>
      <c r="L457" t="n">
        <v>0</v>
      </c>
      <c r="M457" t="n">
        <v>0</v>
      </c>
      <c r="N457" t="n">
        <v>0</v>
      </c>
      <c r="O457" t="n">
        <v>0</v>
      </c>
      <c r="P457" t="n">
        <v>0</v>
      </c>
      <c r="Q457" t="n">
        <v>0</v>
      </c>
      <c r="R457" s="2" t="inlineStr"/>
    </row>
    <row r="458" ht="15" customHeight="1">
      <c r="A458" t="inlineStr">
        <is>
          <t>A 68383-2021</t>
        </is>
      </c>
      <c r="B458" s="1" t="n">
        <v>44529</v>
      </c>
      <c r="C458" s="1" t="n">
        <v>45358</v>
      </c>
      <c r="D458" t="inlineStr">
        <is>
          <t>DALARNAS LÄN</t>
        </is>
      </c>
      <c r="E458" t="inlineStr">
        <is>
          <t>ÄLVDALEN</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70140-2021</t>
        </is>
      </c>
      <c r="B459" s="1" t="n">
        <v>44533</v>
      </c>
      <c r="C459" s="1" t="n">
        <v>45358</v>
      </c>
      <c r="D459" t="inlineStr">
        <is>
          <t>DALARNAS LÄN</t>
        </is>
      </c>
      <c r="E459" t="inlineStr">
        <is>
          <t>ÄLVDALEN</t>
        </is>
      </c>
      <c r="G459" t="n">
        <v>2.5</v>
      </c>
      <c r="H459" t="n">
        <v>0</v>
      </c>
      <c r="I459" t="n">
        <v>0</v>
      </c>
      <c r="J459" t="n">
        <v>0</v>
      </c>
      <c r="K459" t="n">
        <v>0</v>
      </c>
      <c r="L459" t="n">
        <v>0</v>
      </c>
      <c r="M459" t="n">
        <v>0</v>
      </c>
      <c r="N459" t="n">
        <v>0</v>
      </c>
      <c r="O459" t="n">
        <v>0</v>
      </c>
      <c r="P459" t="n">
        <v>0</v>
      </c>
      <c r="Q459" t="n">
        <v>0</v>
      </c>
      <c r="R459" s="2" t="inlineStr"/>
    </row>
    <row r="460" ht="15" customHeight="1">
      <c r="A460" t="inlineStr">
        <is>
          <t>A 70252-2021</t>
        </is>
      </c>
      <c r="B460" s="1" t="n">
        <v>44536</v>
      </c>
      <c r="C460" s="1" t="n">
        <v>45358</v>
      </c>
      <c r="D460" t="inlineStr">
        <is>
          <t>DALARNAS LÄN</t>
        </is>
      </c>
      <c r="E460" t="inlineStr">
        <is>
          <t>ÄLVDALEN</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70990-2021</t>
        </is>
      </c>
      <c r="B461" s="1" t="n">
        <v>44538</v>
      </c>
      <c r="C461" s="1" t="n">
        <v>45358</v>
      </c>
      <c r="D461" t="inlineStr">
        <is>
          <t>DALARNAS LÄN</t>
        </is>
      </c>
      <c r="E461" t="inlineStr">
        <is>
          <t>ÄLVDALEN</t>
        </is>
      </c>
      <c r="F461" t="inlineStr">
        <is>
          <t>Kyrkan</t>
        </is>
      </c>
      <c r="G461" t="n">
        <v>3.5</v>
      </c>
      <c r="H461" t="n">
        <v>0</v>
      </c>
      <c r="I461" t="n">
        <v>0</v>
      </c>
      <c r="J461" t="n">
        <v>0</v>
      </c>
      <c r="K461" t="n">
        <v>0</v>
      </c>
      <c r="L461" t="n">
        <v>0</v>
      </c>
      <c r="M461" t="n">
        <v>0</v>
      </c>
      <c r="N461" t="n">
        <v>0</v>
      </c>
      <c r="O461" t="n">
        <v>0</v>
      </c>
      <c r="P461" t="n">
        <v>0</v>
      </c>
      <c r="Q461" t="n">
        <v>0</v>
      </c>
      <c r="R461" s="2" t="inlineStr"/>
    </row>
    <row r="462" ht="15" customHeight="1">
      <c r="A462" t="inlineStr">
        <is>
          <t>A 71282-2021</t>
        </is>
      </c>
      <c r="B462" s="1" t="n">
        <v>44539</v>
      </c>
      <c r="C462" s="1" t="n">
        <v>45358</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71652-2021</t>
        </is>
      </c>
      <c r="B463" s="1" t="n">
        <v>44543</v>
      </c>
      <c r="C463" s="1" t="n">
        <v>45358</v>
      </c>
      <c r="D463" t="inlineStr">
        <is>
          <t>DALARNAS LÄN</t>
        </is>
      </c>
      <c r="E463" t="inlineStr">
        <is>
          <t>ÄLVDALEN</t>
        </is>
      </c>
      <c r="G463" t="n">
        <v>4.3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45358</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45358</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45358</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45358</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45358</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45358</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45358</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45358</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45358</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45358</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45358</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45358</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45358</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45358</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45358</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45358</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45358</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45358</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45358</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45358</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45358</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45358</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45358</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45358</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45358</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45358</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45358</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45358</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45358</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45358</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45358</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45358</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45358</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45358</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45358</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45358</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45358</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45358</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45358</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45358</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45358</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45358</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45358</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45358</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45358</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45358</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45358</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45358</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45358</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45358</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45358</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45358</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45358</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45358</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45358</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45358</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45358</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45358</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45358</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45358</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45358</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45358</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45358</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45358</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45358</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45358</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45358</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45358</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45358</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45358</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45358</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40720-2022</t>
        </is>
      </c>
      <c r="B535" s="1" t="n">
        <v>44824</v>
      </c>
      <c r="C535" s="1" t="n">
        <v>45358</v>
      </c>
      <c r="D535" t="inlineStr">
        <is>
          <t>DALARNAS LÄN</t>
        </is>
      </c>
      <c r="E535" t="inlineStr">
        <is>
          <t>ÄLVDALEN</t>
        </is>
      </c>
      <c r="F535" t="inlineStr">
        <is>
          <t>Övriga statliga verk och myndigheter</t>
        </is>
      </c>
      <c r="G535" t="n">
        <v>6.7</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45358</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45358</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45358</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45358</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45358</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45358</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45358</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45358</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45358</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45358</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45358</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45358</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45358</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45358</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45358</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45358</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45358</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45358</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45358</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45358</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45358</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45358</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45358</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45358</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45358</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45358</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45358</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45358</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45358</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45358</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45358</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45358</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45358</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45358</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45358</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45358</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45358</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45358</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45358</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45358</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45358</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45358</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45358</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45358</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45358</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45358</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45358</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45358</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45358</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45358</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45358</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45358</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45358</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45358</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45358</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45358</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45358</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45358</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45358</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45358</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45358</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45358</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45358</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45358</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45358</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45358</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45358</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45358</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45358</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45358</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45358</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45358</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45358</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45358</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45358</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45358</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45358</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45358</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45358</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5476-2023</t>
        </is>
      </c>
      <c r="B615" s="1" t="n">
        <v>44960</v>
      </c>
      <c r="C615" s="1" t="n">
        <v>45358</v>
      </c>
      <c r="D615" t="inlineStr">
        <is>
          <t>DALARNAS LÄN</t>
        </is>
      </c>
      <c r="E615" t="inlineStr">
        <is>
          <t>ÄLVDALEN</t>
        </is>
      </c>
      <c r="F615" t="inlineStr">
        <is>
          <t>Allmännings- och besparingsskogar</t>
        </is>
      </c>
      <c r="G615" t="n">
        <v>2.2</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45358</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45358</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45358</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45358</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45358</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45358</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45358</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45358</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45358</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45358</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45358</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45358</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45358</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45358</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45358</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45358</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45358</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45358</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45358</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23872-2023</t>
        </is>
      </c>
      <c r="B635" s="1" t="n">
        <v>45078</v>
      </c>
      <c r="C635" s="1" t="n">
        <v>45358</v>
      </c>
      <c r="D635" t="inlineStr">
        <is>
          <t>DALARNAS LÄN</t>
        </is>
      </c>
      <c r="E635" t="inlineStr">
        <is>
          <t>ÄLVDALEN</t>
        </is>
      </c>
      <c r="F635" t="inlineStr">
        <is>
          <t>Allmännings- och besparingsskogar</t>
        </is>
      </c>
      <c r="G635" t="n">
        <v>79.5</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45358</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45358</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45358</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45358</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45358</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45358</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45358</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45358</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45358</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45358</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45358</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45358</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45358</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45358</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45358</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45358</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45358</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45358</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45358</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45358</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45358</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45358</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45358</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45358</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45358</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45358</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45358</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45358</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45358</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45358</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45358</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45358</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45358</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45358</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45358</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45358</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45358</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45358</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45358</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45358</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45358</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45358</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45358</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45358</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45358</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45358</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45358</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45358</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45358</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45358</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45358</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45358</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45358</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45358</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45358</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45358</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45358</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45358</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45358</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45358</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45358</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45358</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45358</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45358</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45358</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45358</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45358</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45358</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45358</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45358</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45358</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45358</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45358</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45358</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40996-2023</t>
        </is>
      </c>
      <c r="B710" s="1" t="n">
        <v>45173</v>
      </c>
      <c r="C710" s="1" t="n">
        <v>45358</v>
      </c>
      <c r="D710" t="inlineStr">
        <is>
          <t>DALARNAS LÄN</t>
        </is>
      </c>
      <c r="E710" t="inlineStr">
        <is>
          <t>ÄLVDALEN</t>
        </is>
      </c>
      <c r="F710" t="inlineStr">
        <is>
          <t>Bergvik skog väst AB</t>
        </is>
      </c>
      <c r="G710" t="n">
        <v>8</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45358</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45358</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45358</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45358</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43473-2023</t>
        </is>
      </c>
      <c r="B715" s="1" t="n">
        <v>45184</v>
      </c>
      <c r="C715" s="1" t="n">
        <v>45358</v>
      </c>
      <c r="D715" t="inlineStr">
        <is>
          <t>DALARNAS LÄN</t>
        </is>
      </c>
      <c r="E715" t="inlineStr">
        <is>
          <t>ÄLVDALEN</t>
        </is>
      </c>
      <c r="G715" t="n">
        <v>33.5</v>
      </c>
      <c r="H715" t="n">
        <v>0</v>
      </c>
      <c r="I715" t="n">
        <v>0</v>
      </c>
      <c r="J715" t="n">
        <v>0</v>
      </c>
      <c r="K715" t="n">
        <v>0</v>
      </c>
      <c r="L715" t="n">
        <v>0</v>
      </c>
      <c r="M715" t="n">
        <v>0</v>
      </c>
      <c r="N715" t="n">
        <v>0</v>
      </c>
      <c r="O715" t="n">
        <v>0</v>
      </c>
      <c r="P715" t="n">
        <v>0</v>
      </c>
      <c r="Q715" t="n">
        <v>0</v>
      </c>
      <c r="R715" s="2" t="inlineStr"/>
    </row>
    <row r="716" ht="15" customHeight="1">
      <c r="A716" t="inlineStr">
        <is>
          <t>A 45155-2023</t>
        </is>
      </c>
      <c r="B716" s="1" t="n">
        <v>45187</v>
      </c>
      <c r="C716" s="1" t="n">
        <v>45358</v>
      </c>
      <c r="D716" t="inlineStr">
        <is>
          <t>DALARNAS LÄN</t>
        </is>
      </c>
      <c r="E716" t="inlineStr">
        <is>
          <t>ÄLVDALEN</t>
        </is>
      </c>
      <c r="G716" t="n">
        <v>40.1</v>
      </c>
      <c r="H716" t="n">
        <v>0</v>
      </c>
      <c r="I716" t="n">
        <v>0</v>
      </c>
      <c r="J716" t="n">
        <v>0</v>
      </c>
      <c r="K716" t="n">
        <v>0</v>
      </c>
      <c r="L716" t="n">
        <v>0</v>
      </c>
      <c r="M716" t="n">
        <v>0</v>
      </c>
      <c r="N716" t="n">
        <v>0</v>
      </c>
      <c r="O716" t="n">
        <v>0</v>
      </c>
      <c r="P716" t="n">
        <v>0</v>
      </c>
      <c r="Q716" t="n">
        <v>0</v>
      </c>
      <c r="R716" s="2" t="inlineStr"/>
    </row>
    <row r="717" ht="15" customHeight="1">
      <c r="A717" t="inlineStr">
        <is>
          <t>A 46559-2023</t>
        </is>
      </c>
      <c r="B717" s="1" t="n">
        <v>45187</v>
      </c>
      <c r="C717" s="1" t="n">
        <v>45358</v>
      </c>
      <c r="D717" t="inlineStr">
        <is>
          <t>DALARNAS LÄN</t>
        </is>
      </c>
      <c r="E717" t="inlineStr">
        <is>
          <t>ÄLVDALEN</t>
        </is>
      </c>
      <c r="G717" t="n">
        <v>9.6</v>
      </c>
      <c r="H717" t="n">
        <v>0</v>
      </c>
      <c r="I717" t="n">
        <v>0</v>
      </c>
      <c r="J717" t="n">
        <v>0</v>
      </c>
      <c r="K717" t="n">
        <v>0</v>
      </c>
      <c r="L717" t="n">
        <v>0</v>
      </c>
      <c r="M717" t="n">
        <v>0</v>
      </c>
      <c r="N717" t="n">
        <v>0</v>
      </c>
      <c r="O717" t="n">
        <v>0</v>
      </c>
      <c r="P717" t="n">
        <v>0</v>
      </c>
      <c r="Q717" t="n">
        <v>0</v>
      </c>
      <c r="R717" s="2" t="inlineStr"/>
    </row>
    <row r="718" ht="15" customHeight="1">
      <c r="A718" t="inlineStr">
        <is>
          <t>A 44077-2023</t>
        </is>
      </c>
      <c r="B718" s="1" t="n">
        <v>45188</v>
      </c>
      <c r="C718" s="1" t="n">
        <v>45358</v>
      </c>
      <c r="D718" t="inlineStr">
        <is>
          <t>DALARNAS LÄN</t>
        </is>
      </c>
      <c r="E718" t="inlineStr">
        <is>
          <t>ÄLVDALEN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44253-2023</t>
        </is>
      </c>
      <c r="B719" s="1" t="n">
        <v>45188</v>
      </c>
      <c r="C719" s="1" t="n">
        <v>45358</v>
      </c>
      <c r="D719" t="inlineStr">
        <is>
          <t>DALARNAS LÄN</t>
        </is>
      </c>
      <c r="E719" t="inlineStr">
        <is>
          <t>ÄLVDALEN</t>
        </is>
      </c>
      <c r="F719" t="inlineStr">
        <is>
          <t>Allmännings- och besparingsskogar</t>
        </is>
      </c>
      <c r="G719" t="n">
        <v>1.7</v>
      </c>
      <c r="H719" t="n">
        <v>0</v>
      </c>
      <c r="I719" t="n">
        <v>0</v>
      </c>
      <c r="J719" t="n">
        <v>0</v>
      </c>
      <c r="K719" t="n">
        <v>0</v>
      </c>
      <c r="L719" t="n">
        <v>0</v>
      </c>
      <c r="M719" t="n">
        <v>0</v>
      </c>
      <c r="N719" t="n">
        <v>0</v>
      </c>
      <c r="O719" t="n">
        <v>0</v>
      </c>
      <c r="P719" t="n">
        <v>0</v>
      </c>
      <c r="Q719" t="n">
        <v>0</v>
      </c>
      <c r="R719" s="2" t="inlineStr"/>
    </row>
    <row r="720" ht="15" customHeight="1">
      <c r="A720" t="inlineStr">
        <is>
          <t>A 44605-2023</t>
        </is>
      </c>
      <c r="B720" s="1" t="n">
        <v>45189</v>
      </c>
      <c r="C720" s="1" t="n">
        <v>45358</v>
      </c>
      <c r="D720" t="inlineStr">
        <is>
          <t>DALARNAS LÄN</t>
        </is>
      </c>
      <c r="E720" t="inlineStr">
        <is>
          <t>ÄLVDALEN</t>
        </is>
      </c>
      <c r="G720" t="n">
        <v>16.9</v>
      </c>
      <c r="H720" t="n">
        <v>0</v>
      </c>
      <c r="I720" t="n">
        <v>0</v>
      </c>
      <c r="J720" t="n">
        <v>0</v>
      </c>
      <c r="K720" t="n">
        <v>0</v>
      </c>
      <c r="L720" t="n">
        <v>0</v>
      </c>
      <c r="M720" t="n">
        <v>0</v>
      </c>
      <c r="N720" t="n">
        <v>0</v>
      </c>
      <c r="O720" t="n">
        <v>0</v>
      </c>
      <c r="P720" t="n">
        <v>0</v>
      </c>
      <c r="Q720" t="n">
        <v>0</v>
      </c>
      <c r="R720" s="2" t="inlineStr"/>
    </row>
    <row r="721" ht="15" customHeight="1">
      <c r="A721" t="inlineStr">
        <is>
          <t>A 45122-2023</t>
        </is>
      </c>
      <c r="B721" s="1" t="n">
        <v>45191</v>
      </c>
      <c r="C721" s="1" t="n">
        <v>45358</v>
      </c>
      <c r="D721" t="inlineStr">
        <is>
          <t>DALARNAS LÄN</t>
        </is>
      </c>
      <c r="E721" t="inlineStr">
        <is>
          <t>ÄLVDALEN</t>
        </is>
      </c>
      <c r="G721" t="n">
        <v>2.7</v>
      </c>
      <c r="H721" t="n">
        <v>0</v>
      </c>
      <c r="I721" t="n">
        <v>0</v>
      </c>
      <c r="J721" t="n">
        <v>0</v>
      </c>
      <c r="K721" t="n">
        <v>0</v>
      </c>
      <c r="L721" t="n">
        <v>0</v>
      </c>
      <c r="M721" t="n">
        <v>0</v>
      </c>
      <c r="N721" t="n">
        <v>0</v>
      </c>
      <c r="O721" t="n">
        <v>0</v>
      </c>
      <c r="P721" t="n">
        <v>0</v>
      </c>
      <c r="Q721" t="n">
        <v>0</v>
      </c>
      <c r="R721" s="2" t="inlineStr"/>
    </row>
    <row r="722" ht="15" customHeight="1">
      <c r="A722" t="inlineStr">
        <is>
          <t>A 45540-2023</t>
        </is>
      </c>
      <c r="B722" s="1" t="n">
        <v>45194</v>
      </c>
      <c r="C722" s="1" t="n">
        <v>45358</v>
      </c>
      <c r="D722" t="inlineStr">
        <is>
          <t>DALARNAS LÄN</t>
        </is>
      </c>
      <c r="E722" t="inlineStr">
        <is>
          <t>ÄLVDALEN</t>
        </is>
      </c>
      <c r="G722" t="n">
        <v>14.5</v>
      </c>
      <c r="H722" t="n">
        <v>0</v>
      </c>
      <c r="I722" t="n">
        <v>0</v>
      </c>
      <c r="J722" t="n">
        <v>0</v>
      </c>
      <c r="K722" t="n">
        <v>0</v>
      </c>
      <c r="L722" t="n">
        <v>0</v>
      </c>
      <c r="M722" t="n">
        <v>0</v>
      </c>
      <c r="N722" t="n">
        <v>0</v>
      </c>
      <c r="O722" t="n">
        <v>0</v>
      </c>
      <c r="P722" t="n">
        <v>0</v>
      </c>
      <c r="Q722" t="n">
        <v>0</v>
      </c>
      <c r="R722" s="2" t="inlineStr"/>
    </row>
    <row r="723" ht="15" customHeight="1">
      <c r="A723" t="inlineStr">
        <is>
          <t>A 45544-2023</t>
        </is>
      </c>
      <c r="B723" s="1" t="n">
        <v>45194</v>
      </c>
      <c r="C723" s="1" t="n">
        <v>45358</v>
      </c>
      <c r="D723" t="inlineStr">
        <is>
          <t>DALARNAS LÄN</t>
        </is>
      </c>
      <c r="E723" t="inlineStr">
        <is>
          <t>ÄLVDALEN</t>
        </is>
      </c>
      <c r="F723" t="inlineStr">
        <is>
          <t>Allmännings- och besparingsskogar</t>
        </is>
      </c>
      <c r="G723" t="n">
        <v>9.6</v>
      </c>
      <c r="H723" t="n">
        <v>0</v>
      </c>
      <c r="I723" t="n">
        <v>0</v>
      </c>
      <c r="J723" t="n">
        <v>0</v>
      </c>
      <c r="K723" t="n">
        <v>0</v>
      </c>
      <c r="L723" t="n">
        <v>0</v>
      </c>
      <c r="M723" t="n">
        <v>0</v>
      </c>
      <c r="N723" t="n">
        <v>0</v>
      </c>
      <c r="O723" t="n">
        <v>0</v>
      </c>
      <c r="P723" t="n">
        <v>0</v>
      </c>
      <c r="Q723" t="n">
        <v>0</v>
      </c>
      <c r="R723" s="2" t="inlineStr"/>
    </row>
    <row r="724" ht="15" customHeight="1">
      <c r="A724" t="inlineStr">
        <is>
          <t>A 45898-2023</t>
        </is>
      </c>
      <c r="B724" s="1" t="n">
        <v>45195</v>
      </c>
      <c r="C724" s="1" t="n">
        <v>45358</v>
      </c>
      <c r="D724" t="inlineStr">
        <is>
          <t>DALARNAS LÄN</t>
        </is>
      </c>
      <c r="E724" t="inlineStr">
        <is>
          <t>ÄLVDALEN</t>
        </is>
      </c>
      <c r="G724" t="n">
        <v>3.6</v>
      </c>
      <c r="H724" t="n">
        <v>0</v>
      </c>
      <c r="I724" t="n">
        <v>0</v>
      </c>
      <c r="J724" t="n">
        <v>0</v>
      </c>
      <c r="K724" t="n">
        <v>0</v>
      </c>
      <c r="L724" t="n">
        <v>0</v>
      </c>
      <c r="M724" t="n">
        <v>0</v>
      </c>
      <c r="N724" t="n">
        <v>0</v>
      </c>
      <c r="O724" t="n">
        <v>0</v>
      </c>
      <c r="P724" t="n">
        <v>0</v>
      </c>
      <c r="Q724" t="n">
        <v>0</v>
      </c>
      <c r="R724" s="2" t="inlineStr"/>
    </row>
    <row r="725" ht="15" customHeight="1">
      <c r="A725" t="inlineStr">
        <is>
          <t>A 45859-2023</t>
        </is>
      </c>
      <c r="B725" s="1" t="n">
        <v>45195</v>
      </c>
      <c r="C725" s="1" t="n">
        <v>45358</v>
      </c>
      <c r="D725" t="inlineStr">
        <is>
          <t>DALARNAS LÄN</t>
        </is>
      </c>
      <c r="E725" t="inlineStr">
        <is>
          <t>ÄLVDALEN</t>
        </is>
      </c>
      <c r="G725" t="n">
        <v>1.3</v>
      </c>
      <c r="H725" t="n">
        <v>0</v>
      </c>
      <c r="I725" t="n">
        <v>0</v>
      </c>
      <c r="J725" t="n">
        <v>0</v>
      </c>
      <c r="K725" t="n">
        <v>0</v>
      </c>
      <c r="L725" t="n">
        <v>0</v>
      </c>
      <c r="M725" t="n">
        <v>0</v>
      </c>
      <c r="N725" t="n">
        <v>0</v>
      </c>
      <c r="O725" t="n">
        <v>0</v>
      </c>
      <c r="P725" t="n">
        <v>0</v>
      </c>
      <c r="Q725" t="n">
        <v>0</v>
      </c>
      <c r="R725" s="2" t="inlineStr"/>
    </row>
    <row r="726" ht="15" customHeight="1">
      <c r="A726" t="inlineStr">
        <is>
          <t>A 45894-2023</t>
        </is>
      </c>
      <c r="B726" s="1" t="n">
        <v>45195</v>
      </c>
      <c r="C726" s="1" t="n">
        <v>45358</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46011-2023</t>
        </is>
      </c>
      <c r="B727" s="1" t="n">
        <v>45196</v>
      </c>
      <c r="C727" s="1" t="n">
        <v>45358</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46322-2023</t>
        </is>
      </c>
      <c r="B728" s="1" t="n">
        <v>45197</v>
      </c>
      <c r="C728" s="1" t="n">
        <v>45358</v>
      </c>
      <c r="D728" t="inlineStr">
        <is>
          <t>DALARNAS LÄN</t>
        </is>
      </c>
      <c r="E728" t="inlineStr">
        <is>
          <t>ÄLVDALEN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46329-2023</t>
        </is>
      </c>
      <c r="B729" s="1" t="n">
        <v>45197</v>
      </c>
      <c r="C729" s="1" t="n">
        <v>45358</v>
      </c>
      <c r="D729" t="inlineStr">
        <is>
          <t>DALARNAS LÄN</t>
        </is>
      </c>
      <c r="E729" t="inlineStr">
        <is>
          <t>ÄLVDALEN</t>
        </is>
      </c>
      <c r="G729" t="n">
        <v>2.8</v>
      </c>
      <c r="H729" t="n">
        <v>0</v>
      </c>
      <c r="I729" t="n">
        <v>0</v>
      </c>
      <c r="J729" t="n">
        <v>0</v>
      </c>
      <c r="K729" t="n">
        <v>0</v>
      </c>
      <c r="L729" t="n">
        <v>0</v>
      </c>
      <c r="M729" t="n">
        <v>0</v>
      </c>
      <c r="N729" t="n">
        <v>0</v>
      </c>
      <c r="O729" t="n">
        <v>0</v>
      </c>
      <c r="P729" t="n">
        <v>0</v>
      </c>
      <c r="Q729" t="n">
        <v>0</v>
      </c>
      <c r="R729" s="2" t="inlineStr"/>
    </row>
    <row r="730" ht="15" customHeight="1">
      <c r="A730" t="inlineStr">
        <is>
          <t>A 47064-2023</t>
        </is>
      </c>
      <c r="B730" s="1" t="n">
        <v>45201</v>
      </c>
      <c r="C730" s="1" t="n">
        <v>45358</v>
      </c>
      <c r="D730" t="inlineStr">
        <is>
          <t>DALARNAS LÄN</t>
        </is>
      </c>
      <c r="E730" t="inlineStr">
        <is>
          <t>ÄLVDALEN</t>
        </is>
      </c>
      <c r="F730" t="inlineStr">
        <is>
          <t>Bergvik skog väst AB</t>
        </is>
      </c>
      <c r="G730" t="n">
        <v>5.6</v>
      </c>
      <c r="H730" t="n">
        <v>0</v>
      </c>
      <c r="I730" t="n">
        <v>0</v>
      </c>
      <c r="J730" t="n">
        <v>0</v>
      </c>
      <c r="K730" t="n">
        <v>0</v>
      </c>
      <c r="L730" t="n">
        <v>0</v>
      </c>
      <c r="M730" t="n">
        <v>0</v>
      </c>
      <c r="N730" t="n">
        <v>0</v>
      </c>
      <c r="O730" t="n">
        <v>0</v>
      </c>
      <c r="P730" t="n">
        <v>0</v>
      </c>
      <c r="Q730" t="n">
        <v>0</v>
      </c>
      <c r="R730" s="2" t="inlineStr"/>
    </row>
    <row r="731" ht="15" customHeight="1">
      <c r="A731" t="inlineStr">
        <is>
          <t>A 47078-2023</t>
        </is>
      </c>
      <c r="B731" s="1" t="n">
        <v>45201</v>
      </c>
      <c r="C731" s="1" t="n">
        <v>45358</v>
      </c>
      <c r="D731" t="inlineStr">
        <is>
          <t>DALARNAS LÄN</t>
        </is>
      </c>
      <c r="E731" t="inlineStr">
        <is>
          <t>ÄLVDALEN</t>
        </is>
      </c>
      <c r="F731" t="inlineStr">
        <is>
          <t>Bergvik skog väst AB</t>
        </is>
      </c>
      <c r="G731" t="n">
        <v>6.6</v>
      </c>
      <c r="H731" t="n">
        <v>0</v>
      </c>
      <c r="I731" t="n">
        <v>0</v>
      </c>
      <c r="J731" t="n">
        <v>0</v>
      </c>
      <c r="K731" t="n">
        <v>0</v>
      </c>
      <c r="L731" t="n">
        <v>0</v>
      </c>
      <c r="M731" t="n">
        <v>0</v>
      </c>
      <c r="N731" t="n">
        <v>0</v>
      </c>
      <c r="O731" t="n">
        <v>0</v>
      </c>
      <c r="P731" t="n">
        <v>0</v>
      </c>
      <c r="Q731" t="n">
        <v>0</v>
      </c>
      <c r="R731" s="2" t="inlineStr"/>
    </row>
    <row r="732" ht="15" customHeight="1">
      <c r="A732" t="inlineStr">
        <is>
          <t>A 47081-2023</t>
        </is>
      </c>
      <c r="B732" s="1" t="n">
        <v>45201</v>
      </c>
      <c r="C732" s="1" t="n">
        <v>45358</v>
      </c>
      <c r="D732" t="inlineStr">
        <is>
          <t>DALARNAS LÄN</t>
        </is>
      </c>
      <c r="E732" t="inlineStr">
        <is>
          <t>ÄLVDALEN</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47085-2023</t>
        </is>
      </c>
      <c r="B733" s="1" t="n">
        <v>45201</v>
      </c>
      <c r="C733" s="1" t="n">
        <v>45358</v>
      </c>
      <c r="D733" t="inlineStr">
        <is>
          <t>DALARNAS LÄN</t>
        </is>
      </c>
      <c r="E733" t="inlineStr">
        <is>
          <t>ÄLVDALEN</t>
        </is>
      </c>
      <c r="G733" t="n">
        <v>7.2</v>
      </c>
      <c r="H733" t="n">
        <v>0</v>
      </c>
      <c r="I733" t="n">
        <v>0</v>
      </c>
      <c r="J733" t="n">
        <v>0</v>
      </c>
      <c r="K733" t="n">
        <v>0</v>
      </c>
      <c r="L733" t="n">
        <v>0</v>
      </c>
      <c r="M733" t="n">
        <v>0</v>
      </c>
      <c r="N733" t="n">
        <v>0</v>
      </c>
      <c r="O733" t="n">
        <v>0</v>
      </c>
      <c r="P733" t="n">
        <v>0</v>
      </c>
      <c r="Q733" t="n">
        <v>0</v>
      </c>
      <c r="R733" s="2" t="inlineStr"/>
    </row>
    <row r="734" ht="15" customHeight="1">
      <c r="A734" t="inlineStr">
        <is>
          <t>A 47054-2023</t>
        </is>
      </c>
      <c r="B734" s="1" t="n">
        <v>45201</v>
      </c>
      <c r="C734" s="1" t="n">
        <v>45358</v>
      </c>
      <c r="D734" t="inlineStr">
        <is>
          <t>DALARNAS LÄN</t>
        </is>
      </c>
      <c r="E734" t="inlineStr">
        <is>
          <t>ÄLVDALEN</t>
        </is>
      </c>
      <c r="G734" t="n">
        <v>1.8</v>
      </c>
      <c r="H734" t="n">
        <v>0</v>
      </c>
      <c r="I734" t="n">
        <v>0</v>
      </c>
      <c r="J734" t="n">
        <v>0</v>
      </c>
      <c r="K734" t="n">
        <v>0</v>
      </c>
      <c r="L734" t="n">
        <v>0</v>
      </c>
      <c r="M734" t="n">
        <v>0</v>
      </c>
      <c r="N734" t="n">
        <v>0</v>
      </c>
      <c r="O734" t="n">
        <v>0</v>
      </c>
      <c r="P734" t="n">
        <v>0</v>
      </c>
      <c r="Q734" t="n">
        <v>0</v>
      </c>
      <c r="R734" s="2" t="inlineStr"/>
    </row>
    <row r="735" ht="15" customHeight="1">
      <c r="A735" t="inlineStr">
        <is>
          <t>A 47071-2023</t>
        </is>
      </c>
      <c r="B735" s="1" t="n">
        <v>45201</v>
      </c>
      <c r="C735" s="1" t="n">
        <v>45358</v>
      </c>
      <c r="D735" t="inlineStr">
        <is>
          <t>DALARNAS LÄN</t>
        </is>
      </c>
      <c r="E735" t="inlineStr">
        <is>
          <t>ÄLVDALEN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47873-2023</t>
        </is>
      </c>
      <c r="B736" s="1" t="n">
        <v>45204</v>
      </c>
      <c r="C736" s="1" t="n">
        <v>45358</v>
      </c>
      <c r="D736" t="inlineStr">
        <is>
          <t>DALARNAS LÄN</t>
        </is>
      </c>
      <c r="E736" t="inlineStr">
        <is>
          <t>ÄLVDALEN</t>
        </is>
      </c>
      <c r="G736" t="n">
        <v>1.3</v>
      </c>
      <c r="H736" t="n">
        <v>0</v>
      </c>
      <c r="I736" t="n">
        <v>0</v>
      </c>
      <c r="J736" t="n">
        <v>0</v>
      </c>
      <c r="K736" t="n">
        <v>0</v>
      </c>
      <c r="L736" t="n">
        <v>0</v>
      </c>
      <c r="M736" t="n">
        <v>0</v>
      </c>
      <c r="N736" t="n">
        <v>0</v>
      </c>
      <c r="O736" t="n">
        <v>0</v>
      </c>
      <c r="P736" t="n">
        <v>0</v>
      </c>
      <c r="Q736" t="n">
        <v>0</v>
      </c>
      <c r="R736" s="2" t="inlineStr"/>
    </row>
    <row r="737" ht="15" customHeight="1">
      <c r="A737" t="inlineStr">
        <is>
          <t>A 47877-2023</t>
        </is>
      </c>
      <c r="B737" s="1" t="n">
        <v>45204</v>
      </c>
      <c r="C737" s="1" t="n">
        <v>45358</v>
      </c>
      <c r="D737" t="inlineStr">
        <is>
          <t>DALARNAS LÄN</t>
        </is>
      </c>
      <c r="E737" t="inlineStr">
        <is>
          <t>ÄLVDALEN</t>
        </is>
      </c>
      <c r="G737" t="n">
        <v>4.8</v>
      </c>
      <c r="H737" t="n">
        <v>0</v>
      </c>
      <c r="I737" t="n">
        <v>0</v>
      </c>
      <c r="J737" t="n">
        <v>0</v>
      </c>
      <c r="K737" t="n">
        <v>0</v>
      </c>
      <c r="L737" t="n">
        <v>0</v>
      </c>
      <c r="M737" t="n">
        <v>0</v>
      </c>
      <c r="N737" t="n">
        <v>0</v>
      </c>
      <c r="O737" t="n">
        <v>0</v>
      </c>
      <c r="P737" t="n">
        <v>0</v>
      </c>
      <c r="Q737" t="n">
        <v>0</v>
      </c>
      <c r="R737" s="2" t="inlineStr"/>
    </row>
    <row r="738" ht="15" customHeight="1">
      <c r="A738" t="inlineStr">
        <is>
          <t>A 47869-2023</t>
        </is>
      </c>
      <c r="B738" s="1" t="n">
        <v>45204</v>
      </c>
      <c r="C738" s="1" t="n">
        <v>45358</v>
      </c>
      <c r="D738" t="inlineStr">
        <is>
          <t>DALARNAS LÄN</t>
        </is>
      </c>
      <c r="E738" t="inlineStr">
        <is>
          <t>ÄLVDALEN</t>
        </is>
      </c>
      <c r="G738" t="n">
        <v>11</v>
      </c>
      <c r="H738" t="n">
        <v>0</v>
      </c>
      <c r="I738" t="n">
        <v>0</v>
      </c>
      <c r="J738" t="n">
        <v>0</v>
      </c>
      <c r="K738" t="n">
        <v>0</v>
      </c>
      <c r="L738" t="n">
        <v>0</v>
      </c>
      <c r="M738" t="n">
        <v>0</v>
      </c>
      <c r="N738" t="n">
        <v>0</v>
      </c>
      <c r="O738" t="n">
        <v>0</v>
      </c>
      <c r="P738" t="n">
        <v>0</v>
      </c>
      <c r="Q738" t="n">
        <v>0</v>
      </c>
      <c r="R738" s="2" t="inlineStr"/>
    </row>
    <row r="739" ht="15" customHeight="1">
      <c r="A739" t="inlineStr">
        <is>
          <t>A 48652-2023</t>
        </is>
      </c>
      <c r="B739" s="1" t="n">
        <v>45208</v>
      </c>
      <c r="C739" s="1" t="n">
        <v>45358</v>
      </c>
      <c r="D739" t="inlineStr">
        <is>
          <t>DALARNAS LÄN</t>
        </is>
      </c>
      <c r="E739" t="inlineStr">
        <is>
          <t>ÄLVDALEN</t>
        </is>
      </c>
      <c r="G739" t="n">
        <v>15</v>
      </c>
      <c r="H739" t="n">
        <v>0</v>
      </c>
      <c r="I739" t="n">
        <v>0</v>
      </c>
      <c r="J739" t="n">
        <v>0</v>
      </c>
      <c r="K739" t="n">
        <v>0</v>
      </c>
      <c r="L739" t="n">
        <v>0</v>
      </c>
      <c r="M739" t="n">
        <v>0</v>
      </c>
      <c r="N739" t="n">
        <v>0</v>
      </c>
      <c r="O739" t="n">
        <v>0</v>
      </c>
      <c r="P739" t="n">
        <v>0</v>
      </c>
      <c r="Q739" t="n">
        <v>0</v>
      </c>
      <c r="R739" s="2" t="inlineStr"/>
    </row>
    <row r="740" ht="15" customHeight="1">
      <c r="A740" t="inlineStr">
        <is>
          <t>A 48951-2023</t>
        </is>
      </c>
      <c r="B740" s="1" t="n">
        <v>45209</v>
      </c>
      <c r="C740" s="1" t="n">
        <v>45358</v>
      </c>
      <c r="D740" t="inlineStr">
        <is>
          <t>DALARNAS LÄN</t>
        </is>
      </c>
      <c r="E740" t="inlineStr">
        <is>
          <t>ÄLVDALEN</t>
        </is>
      </c>
      <c r="G740" t="n">
        <v>1.6</v>
      </c>
      <c r="H740" t="n">
        <v>0</v>
      </c>
      <c r="I740" t="n">
        <v>0</v>
      </c>
      <c r="J740" t="n">
        <v>0</v>
      </c>
      <c r="K740" t="n">
        <v>0</v>
      </c>
      <c r="L740" t="n">
        <v>0</v>
      </c>
      <c r="M740" t="n">
        <v>0</v>
      </c>
      <c r="N740" t="n">
        <v>0</v>
      </c>
      <c r="O740" t="n">
        <v>0</v>
      </c>
      <c r="P740" t="n">
        <v>0</v>
      </c>
      <c r="Q740" t="n">
        <v>0</v>
      </c>
      <c r="R740" s="2" t="inlineStr"/>
    </row>
    <row r="741" ht="15" customHeight="1">
      <c r="A741" t="inlineStr">
        <is>
          <t>A 48954-2023</t>
        </is>
      </c>
      <c r="B741" s="1" t="n">
        <v>45209</v>
      </c>
      <c r="C741" s="1" t="n">
        <v>45358</v>
      </c>
      <c r="D741" t="inlineStr">
        <is>
          <t>DALARNAS LÄN</t>
        </is>
      </c>
      <c r="E741" t="inlineStr">
        <is>
          <t>ÄLVDALEN</t>
        </is>
      </c>
      <c r="G741" t="n">
        <v>7</v>
      </c>
      <c r="H741" t="n">
        <v>0</v>
      </c>
      <c r="I741" t="n">
        <v>0</v>
      </c>
      <c r="J741" t="n">
        <v>0</v>
      </c>
      <c r="K741" t="n">
        <v>0</v>
      </c>
      <c r="L741" t="n">
        <v>0</v>
      </c>
      <c r="M741" t="n">
        <v>0</v>
      </c>
      <c r="N741" t="n">
        <v>0</v>
      </c>
      <c r="O741" t="n">
        <v>0</v>
      </c>
      <c r="P741" t="n">
        <v>0</v>
      </c>
      <c r="Q741" t="n">
        <v>0</v>
      </c>
      <c r="R741" s="2" t="inlineStr"/>
    </row>
    <row r="742" ht="15" customHeight="1">
      <c r="A742" t="inlineStr">
        <is>
          <t>A 49081-2023</t>
        </is>
      </c>
      <c r="B742" s="1" t="n">
        <v>45210</v>
      </c>
      <c r="C742" s="1" t="n">
        <v>45358</v>
      </c>
      <c r="D742" t="inlineStr">
        <is>
          <t>DALARNAS LÄN</t>
        </is>
      </c>
      <c r="E742" t="inlineStr">
        <is>
          <t>ÄLVDALEN</t>
        </is>
      </c>
      <c r="G742" t="n">
        <v>16.3</v>
      </c>
      <c r="H742" t="n">
        <v>0</v>
      </c>
      <c r="I742" t="n">
        <v>0</v>
      </c>
      <c r="J742" t="n">
        <v>0</v>
      </c>
      <c r="K742" t="n">
        <v>0</v>
      </c>
      <c r="L742" t="n">
        <v>0</v>
      </c>
      <c r="M742" t="n">
        <v>0</v>
      </c>
      <c r="N742" t="n">
        <v>0</v>
      </c>
      <c r="O742" t="n">
        <v>0</v>
      </c>
      <c r="P742" t="n">
        <v>0</v>
      </c>
      <c r="Q742" t="n">
        <v>0</v>
      </c>
      <c r="R742" s="2" t="inlineStr"/>
    </row>
    <row r="743" ht="15" customHeight="1">
      <c r="A743" t="inlineStr">
        <is>
          <t>A 49063-2023</t>
        </is>
      </c>
      <c r="B743" s="1" t="n">
        <v>45210</v>
      </c>
      <c r="C743" s="1" t="n">
        <v>45358</v>
      </c>
      <c r="D743" t="inlineStr">
        <is>
          <t>DALARNAS LÄN</t>
        </is>
      </c>
      <c r="E743" t="inlineStr">
        <is>
          <t>ÄLVDALEN</t>
        </is>
      </c>
      <c r="G743" t="n">
        <v>4.1</v>
      </c>
      <c r="H743" t="n">
        <v>0</v>
      </c>
      <c r="I743" t="n">
        <v>0</v>
      </c>
      <c r="J743" t="n">
        <v>0</v>
      </c>
      <c r="K743" t="n">
        <v>0</v>
      </c>
      <c r="L743" t="n">
        <v>0</v>
      </c>
      <c r="M743" t="n">
        <v>0</v>
      </c>
      <c r="N743" t="n">
        <v>0</v>
      </c>
      <c r="O743" t="n">
        <v>0</v>
      </c>
      <c r="P743" t="n">
        <v>0</v>
      </c>
      <c r="Q743" t="n">
        <v>0</v>
      </c>
      <c r="R743" s="2" t="inlineStr"/>
    </row>
    <row r="744" ht="15" customHeight="1">
      <c r="A744" t="inlineStr">
        <is>
          <t>A 49137-2023</t>
        </is>
      </c>
      <c r="B744" s="1" t="n">
        <v>45210</v>
      </c>
      <c r="C744" s="1" t="n">
        <v>45358</v>
      </c>
      <c r="D744" t="inlineStr">
        <is>
          <t>DALARNAS LÄN</t>
        </is>
      </c>
      <c r="E744" t="inlineStr">
        <is>
          <t>ÄLVDALEN</t>
        </is>
      </c>
      <c r="F744" t="inlineStr">
        <is>
          <t>Allmännings- och besparingsskogar</t>
        </is>
      </c>
      <c r="G744" t="n">
        <v>1.9</v>
      </c>
      <c r="H744" t="n">
        <v>0</v>
      </c>
      <c r="I744" t="n">
        <v>0</v>
      </c>
      <c r="J744" t="n">
        <v>0</v>
      </c>
      <c r="K744" t="n">
        <v>0</v>
      </c>
      <c r="L744" t="n">
        <v>0</v>
      </c>
      <c r="M744" t="n">
        <v>0</v>
      </c>
      <c r="N744" t="n">
        <v>0</v>
      </c>
      <c r="O744" t="n">
        <v>0</v>
      </c>
      <c r="P744" t="n">
        <v>0</v>
      </c>
      <c r="Q744" t="n">
        <v>0</v>
      </c>
      <c r="R744" s="2" t="inlineStr"/>
    </row>
    <row r="745" ht="15" customHeight="1">
      <c r="A745" t="inlineStr">
        <is>
          <t>A 49236-2023</t>
        </is>
      </c>
      <c r="B745" s="1" t="n">
        <v>45210</v>
      </c>
      <c r="C745" s="1" t="n">
        <v>45358</v>
      </c>
      <c r="D745" t="inlineStr">
        <is>
          <t>DALARNAS LÄN</t>
        </is>
      </c>
      <c r="E745" t="inlineStr">
        <is>
          <t>ÄLVDALEN</t>
        </is>
      </c>
      <c r="F745" t="inlineStr">
        <is>
          <t>Bergvik skog väst AB</t>
        </is>
      </c>
      <c r="G745" t="n">
        <v>4.4</v>
      </c>
      <c r="H745" t="n">
        <v>0</v>
      </c>
      <c r="I745" t="n">
        <v>0</v>
      </c>
      <c r="J745" t="n">
        <v>0</v>
      </c>
      <c r="K745" t="n">
        <v>0</v>
      </c>
      <c r="L745" t="n">
        <v>0</v>
      </c>
      <c r="M745" t="n">
        <v>0</v>
      </c>
      <c r="N745" t="n">
        <v>0</v>
      </c>
      <c r="O745" t="n">
        <v>0</v>
      </c>
      <c r="P745" t="n">
        <v>0</v>
      </c>
      <c r="Q745" t="n">
        <v>0</v>
      </c>
      <c r="R745" s="2" t="inlineStr"/>
    </row>
    <row r="746" ht="15" customHeight="1">
      <c r="A746" t="inlineStr">
        <is>
          <t>A 49203-2023</t>
        </is>
      </c>
      <c r="B746" s="1" t="n">
        <v>45210</v>
      </c>
      <c r="C746" s="1" t="n">
        <v>45358</v>
      </c>
      <c r="D746" t="inlineStr">
        <is>
          <t>DALARNAS LÄN</t>
        </is>
      </c>
      <c r="E746" t="inlineStr">
        <is>
          <t>ÄLVDALEN</t>
        </is>
      </c>
      <c r="F746" t="inlineStr">
        <is>
          <t>Bergvik skog väst AB</t>
        </is>
      </c>
      <c r="G746" t="n">
        <v>18.2</v>
      </c>
      <c r="H746" t="n">
        <v>0</v>
      </c>
      <c r="I746" t="n">
        <v>0</v>
      </c>
      <c r="J746" t="n">
        <v>0</v>
      </c>
      <c r="K746" t="n">
        <v>0</v>
      </c>
      <c r="L746" t="n">
        <v>0</v>
      </c>
      <c r="M746" t="n">
        <v>0</v>
      </c>
      <c r="N746" t="n">
        <v>0</v>
      </c>
      <c r="O746" t="n">
        <v>0</v>
      </c>
      <c r="P746" t="n">
        <v>0</v>
      </c>
      <c r="Q746" t="n">
        <v>0</v>
      </c>
      <c r="R746" s="2" t="inlineStr"/>
    </row>
    <row r="747" ht="15" customHeight="1">
      <c r="A747" t="inlineStr">
        <is>
          <t>A 49272-2023</t>
        </is>
      </c>
      <c r="B747" s="1" t="n">
        <v>45210</v>
      </c>
      <c r="C747" s="1" t="n">
        <v>45358</v>
      </c>
      <c r="D747" t="inlineStr">
        <is>
          <t>DALARNAS LÄN</t>
        </is>
      </c>
      <c r="E747" t="inlineStr">
        <is>
          <t>ÄLVDALEN</t>
        </is>
      </c>
      <c r="F747" t="inlineStr">
        <is>
          <t>Allmännings- och besparingsskogar</t>
        </is>
      </c>
      <c r="G747" t="n">
        <v>2.8</v>
      </c>
      <c r="H747" t="n">
        <v>0</v>
      </c>
      <c r="I747" t="n">
        <v>0</v>
      </c>
      <c r="J747" t="n">
        <v>0</v>
      </c>
      <c r="K747" t="n">
        <v>0</v>
      </c>
      <c r="L747" t="n">
        <v>0</v>
      </c>
      <c r="M747" t="n">
        <v>0</v>
      </c>
      <c r="N747" t="n">
        <v>0</v>
      </c>
      <c r="O747" t="n">
        <v>0</v>
      </c>
      <c r="P747" t="n">
        <v>0</v>
      </c>
      <c r="Q747" t="n">
        <v>0</v>
      </c>
      <c r="R747" s="2" t="inlineStr"/>
    </row>
    <row r="748" ht="15" customHeight="1">
      <c r="A748" t="inlineStr">
        <is>
          <t>A 49404-2023</t>
        </is>
      </c>
      <c r="B748" s="1" t="n">
        <v>45211</v>
      </c>
      <c r="C748" s="1" t="n">
        <v>45358</v>
      </c>
      <c r="D748" t="inlineStr">
        <is>
          <t>DALARNAS LÄN</t>
        </is>
      </c>
      <c r="E748" t="inlineStr">
        <is>
          <t>ÄLVDALEN</t>
        </is>
      </c>
      <c r="F748" t="inlineStr">
        <is>
          <t>Allmännings- och besparingsskogar</t>
        </is>
      </c>
      <c r="G748" t="n">
        <v>1</v>
      </c>
      <c r="H748" t="n">
        <v>0</v>
      </c>
      <c r="I748" t="n">
        <v>0</v>
      </c>
      <c r="J748" t="n">
        <v>0</v>
      </c>
      <c r="K748" t="n">
        <v>0</v>
      </c>
      <c r="L748" t="n">
        <v>0</v>
      </c>
      <c r="M748" t="n">
        <v>0</v>
      </c>
      <c r="N748" t="n">
        <v>0</v>
      </c>
      <c r="O748" t="n">
        <v>0</v>
      </c>
      <c r="P748" t="n">
        <v>0</v>
      </c>
      <c r="Q748" t="n">
        <v>0</v>
      </c>
      <c r="R748" s="2" t="inlineStr"/>
    </row>
    <row r="749" ht="15" customHeight="1">
      <c r="A749" t="inlineStr">
        <is>
          <t>A 49723-2023</t>
        </is>
      </c>
      <c r="B749" s="1" t="n">
        <v>45212</v>
      </c>
      <c r="C749" s="1" t="n">
        <v>45358</v>
      </c>
      <c r="D749" t="inlineStr">
        <is>
          <t>DALARNAS LÄN</t>
        </is>
      </c>
      <c r="E749" t="inlineStr">
        <is>
          <t>ÄLVDALEN</t>
        </is>
      </c>
      <c r="F749" t="inlineStr">
        <is>
          <t>Bergvik skog väst AB</t>
        </is>
      </c>
      <c r="G749" t="n">
        <v>5</v>
      </c>
      <c r="H749" t="n">
        <v>0</v>
      </c>
      <c r="I749" t="n">
        <v>0</v>
      </c>
      <c r="J749" t="n">
        <v>0</v>
      </c>
      <c r="K749" t="n">
        <v>0</v>
      </c>
      <c r="L749" t="n">
        <v>0</v>
      </c>
      <c r="M749" t="n">
        <v>0</v>
      </c>
      <c r="N749" t="n">
        <v>0</v>
      </c>
      <c r="O749" t="n">
        <v>0</v>
      </c>
      <c r="P749" t="n">
        <v>0</v>
      </c>
      <c r="Q749" t="n">
        <v>0</v>
      </c>
      <c r="R749" s="2" t="inlineStr"/>
    </row>
    <row r="750" ht="15" customHeight="1">
      <c r="A750" t="inlineStr">
        <is>
          <t>A 49974-2023</t>
        </is>
      </c>
      <c r="B750" s="1" t="n">
        <v>45215</v>
      </c>
      <c r="C750" s="1" t="n">
        <v>45358</v>
      </c>
      <c r="D750" t="inlineStr">
        <is>
          <t>DALARNAS LÄN</t>
        </is>
      </c>
      <c r="E750" t="inlineStr">
        <is>
          <t>ÄLVDALEN</t>
        </is>
      </c>
      <c r="G750" t="n">
        <v>0.6</v>
      </c>
      <c r="H750" t="n">
        <v>0</v>
      </c>
      <c r="I750" t="n">
        <v>0</v>
      </c>
      <c r="J750" t="n">
        <v>0</v>
      </c>
      <c r="K750" t="n">
        <v>0</v>
      </c>
      <c r="L750" t="n">
        <v>0</v>
      </c>
      <c r="M750" t="n">
        <v>0</v>
      </c>
      <c r="N750" t="n">
        <v>0</v>
      </c>
      <c r="O750" t="n">
        <v>0</v>
      </c>
      <c r="P750" t="n">
        <v>0</v>
      </c>
      <c r="Q750" t="n">
        <v>0</v>
      </c>
      <c r="R750" s="2" t="inlineStr"/>
    </row>
    <row r="751" ht="15" customHeight="1">
      <c r="A751" t="inlineStr">
        <is>
          <t>A 50440-2023</t>
        </is>
      </c>
      <c r="B751" s="1" t="n">
        <v>45216</v>
      </c>
      <c r="C751" s="1" t="n">
        <v>45358</v>
      </c>
      <c r="D751" t="inlineStr">
        <is>
          <t>DALARNAS LÄN</t>
        </is>
      </c>
      <c r="E751" t="inlineStr">
        <is>
          <t>ÄLVDALEN</t>
        </is>
      </c>
      <c r="F751" t="inlineStr">
        <is>
          <t>Allmännings- och besparingsskogar</t>
        </is>
      </c>
      <c r="G751" t="n">
        <v>3.4</v>
      </c>
      <c r="H751" t="n">
        <v>0</v>
      </c>
      <c r="I751" t="n">
        <v>0</v>
      </c>
      <c r="J751" t="n">
        <v>0</v>
      </c>
      <c r="K751" t="n">
        <v>0</v>
      </c>
      <c r="L751" t="n">
        <v>0</v>
      </c>
      <c r="M751" t="n">
        <v>0</v>
      </c>
      <c r="N751" t="n">
        <v>0</v>
      </c>
      <c r="O751" t="n">
        <v>0</v>
      </c>
      <c r="P751" t="n">
        <v>0</v>
      </c>
      <c r="Q751" t="n">
        <v>0</v>
      </c>
      <c r="R751" s="2" t="inlineStr"/>
    </row>
    <row r="752" ht="15" customHeight="1">
      <c r="A752" t="inlineStr">
        <is>
          <t>A 51967-2023</t>
        </is>
      </c>
      <c r="B752" s="1" t="n">
        <v>45223</v>
      </c>
      <c r="C752" s="1" t="n">
        <v>45358</v>
      </c>
      <c r="D752" t="inlineStr">
        <is>
          <t>DALARNAS LÄN</t>
        </is>
      </c>
      <c r="E752" t="inlineStr">
        <is>
          <t>ÄLVDALEN</t>
        </is>
      </c>
      <c r="G752" t="n">
        <v>2.2</v>
      </c>
      <c r="H752" t="n">
        <v>0</v>
      </c>
      <c r="I752" t="n">
        <v>0</v>
      </c>
      <c r="J752" t="n">
        <v>0</v>
      </c>
      <c r="K752" t="n">
        <v>0</v>
      </c>
      <c r="L752" t="n">
        <v>0</v>
      </c>
      <c r="M752" t="n">
        <v>0</v>
      </c>
      <c r="N752" t="n">
        <v>0</v>
      </c>
      <c r="O752" t="n">
        <v>0</v>
      </c>
      <c r="P752" t="n">
        <v>0</v>
      </c>
      <c r="Q752" t="n">
        <v>0</v>
      </c>
      <c r="R752" s="2" t="inlineStr"/>
    </row>
    <row r="753" ht="15" customHeight="1">
      <c r="A753" t="inlineStr">
        <is>
          <t>A 51897-2023</t>
        </is>
      </c>
      <c r="B753" s="1" t="n">
        <v>45223</v>
      </c>
      <c r="C753" s="1" t="n">
        <v>45358</v>
      </c>
      <c r="D753" t="inlineStr">
        <is>
          <t>DALARNAS LÄN</t>
        </is>
      </c>
      <c r="E753" t="inlineStr">
        <is>
          <t>ÄLVDALEN</t>
        </is>
      </c>
      <c r="F753" t="inlineStr">
        <is>
          <t>Allmännings- och besparingsskogar</t>
        </is>
      </c>
      <c r="G753" t="n">
        <v>32.6</v>
      </c>
      <c r="H753" t="n">
        <v>0</v>
      </c>
      <c r="I753" t="n">
        <v>0</v>
      </c>
      <c r="J753" t="n">
        <v>0</v>
      </c>
      <c r="K753" t="n">
        <v>0</v>
      </c>
      <c r="L753" t="n">
        <v>0</v>
      </c>
      <c r="M753" t="n">
        <v>0</v>
      </c>
      <c r="N753" t="n">
        <v>0</v>
      </c>
      <c r="O753" t="n">
        <v>0</v>
      </c>
      <c r="P753" t="n">
        <v>0</v>
      </c>
      <c r="Q753" t="n">
        <v>0</v>
      </c>
      <c r="R753" s="2" t="inlineStr"/>
    </row>
    <row r="754" ht="15" customHeight="1">
      <c r="A754" t="inlineStr">
        <is>
          <t>A 52210-2023</t>
        </is>
      </c>
      <c r="B754" s="1" t="n">
        <v>45224</v>
      </c>
      <c r="C754" s="1" t="n">
        <v>45358</v>
      </c>
      <c r="D754" t="inlineStr">
        <is>
          <t>DALARNAS LÄN</t>
        </is>
      </c>
      <c r="E754" t="inlineStr">
        <is>
          <t>ÄLVDALEN</t>
        </is>
      </c>
      <c r="F754" t="inlineStr">
        <is>
          <t>Allmännings- och besparingsskogar</t>
        </is>
      </c>
      <c r="G754" t="n">
        <v>16.2</v>
      </c>
      <c r="H754" t="n">
        <v>0</v>
      </c>
      <c r="I754" t="n">
        <v>0</v>
      </c>
      <c r="J754" t="n">
        <v>0</v>
      </c>
      <c r="K754" t="n">
        <v>0</v>
      </c>
      <c r="L754" t="n">
        <v>0</v>
      </c>
      <c r="M754" t="n">
        <v>0</v>
      </c>
      <c r="N754" t="n">
        <v>0</v>
      </c>
      <c r="O754" t="n">
        <v>0</v>
      </c>
      <c r="P754" t="n">
        <v>0</v>
      </c>
      <c r="Q754" t="n">
        <v>0</v>
      </c>
      <c r="R754" s="2" t="inlineStr"/>
    </row>
    <row r="755" ht="15" customHeight="1">
      <c r="A755" t="inlineStr">
        <is>
          <t>A 52388-2023</t>
        </is>
      </c>
      <c r="B755" s="1" t="n">
        <v>45224</v>
      </c>
      <c r="C755" s="1" t="n">
        <v>45358</v>
      </c>
      <c r="D755" t="inlineStr">
        <is>
          <t>DALARNAS LÄN</t>
        </is>
      </c>
      <c r="E755" t="inlineStr">
        <is>
          <t>ÄLVDALEN</t>
        </is>
      </c>
      <c r="G755" t="n">
        <v>4.2</v>
      </c>
      <c r="H755" t="n">
        <v>0</v>
      </c>
      <c r="I755" t="n">
        <v>0</v>
      </c>
      <c r="J755" t="n">
        <v>0</v>
      </c>
      <c r="K755" t="n">
        <v>0</v>
      </c>
      <c r="L755" t="n">
        <v>0</v>
      </c>
      <c r="M755" t="n">
        <v>0</v>
      </c>
      <c r="N755" t="n">
        <v>0</v>
      </c>
      <c r="O755" t="n">
        <v>0</v>
      </c>
      <c r="P755" t="n">
        <v>0</v>
      </c>
      <c r="Q755" t="n">
        <v>0</v>
      </c>
      <c r="R755" s="2" t="inlineStr"/>
    </row>
    <row r="756" ht="15" customHeight="1">
      <c r="A756" t="inlineStr">
        <is>
          <t>A 52483-2023</t>
        </is>
      </c>
      <c r="B756" s="1" t="n">
        <v>45225</v>
      </c>
      <c r="C756" s="1" t="n">
        <v>45358</v>
      </c>
      <c r="D756" t="inlineStr">
        <is>
          <t>DALARNAS LÄN</t>
        </is>
      </c>
      <c r="E756" t="inlineStr">
        <is>
          <t>ÄLVDALEN</t>
        </is>
      </c>
      <c r="F756" t="inlineStr">
        <is>
          <t>Allmännings- och besparingsskogar</t>
        </is>
      </c>
      <c r="G756" t="n">
        <v>30.9</v>
      </c>
      <c r="H756" t="n">
        <v>0</v>
      </c>
      <c r="I756" t="n">
        <v>0</v>
      </c>
      <c r="J756" t="n">
        <v>0</v>
      </c>
      <c r="K756" t="n">
        <v>0</v>
      </c>
      <c r="L756" t="n">
        <v>0</v>
      </c>
      <c r="M756" t="n">
        <v>0</v>
      </c>
      <c r="N756" t="n">
        <v>0</v>
      </c>
      <c r="O756" t="n">
        <v>0</v>
      </c>
      <c r="P756" t="n">
        <v>0</v>
      </c>
      <c r="Q756" t="n">
        <v>0</v>
      </c>
      <c r="R756" s="2" t="inlineStr"/>
      <c r="U756">
        <f>HYPERLINK("https://klasma.github.io/Logging_2039/knärot/A 52483-2023 karta knärot.png", "A 52483-2023")</f>
        <v/>
      </c>
      <c r="V756">
        <f>HYPERLINK("https://klasma.github.io/Logging_2039/klagomål/A 52483-2023 FSC-klagomål.docx", "A 52483-2023")</f>
        <v/>
      </c>
      <c r="W756">
        <f>HYPERLINK("https://klasma.github.io/Logging_2039/klagomålsmail/A 52483-2023 FSC-klagomål mail.docx", "A 52483-2023")</f>
        <v/>
      </c>
      <c r="X756">
        <f>HYPERLINK("https://klasma.github.io/Logging_2039/tillsyn/A 52483-2023 tillsynsbegäran.docx", "A 52483-2023")</f>
        <v/>
      </c>
      <c r="Y756">
        <f>HYPERLINK("https://klasma.github.io/Logging_2039/tillsynsmail/A 52483-2023 tillsynsbegäran mail.docx", "A 52483-2023")</f>
        <v/>
      </c>
    </row>
    <row r="757" ht="15" customHeight="1">
      <c r="A757" t="inlineStr">
        <is>
          <t>A 53408-2023</t>
        </is>
      </c>
      <c r="B757" s="1" t="n">
        <v>45229</v>
      </c>
      <c r="C757" s="1" t="n">
        <v>45358</v>
      </c>
      <c r="D757" t="inlineStr">
        <is>
          <t>DALARNAS LÄN</t>
        </is>
      </c>
      <c r="E757" t="inlineStr">
        <is>
          <t>ÄLVDALEN</t>
        </is>
      </c>
      <c r="G757" t="n">
        <v>2</v>
      </c>
      <c r="H757" t="n">
        <v>0</v>
      </c>
      <c r="I757" t="n">
        <v>0</v>
      </c>
      <c r="J757" t="n">
        <v>0</v>
      </c>
      <c r="K757" t="n">
        <v>0</v>
      </c>
      <c r="L757" t="n">
        <v>0</v>
      </c>
      <c r="M757" t="n">
        <v>0</v>
      </c>
      <c r="N757" t="n">
        <v>0</v>
      </c>
      <c r="O757" t="n">
        <v>0</v>
      </c>
      <c r="P757" t="n">
        <v>0</v>
      </c>
      <c r="Q757" t="n">
        <v>0</v>
      </c>
      <c r="R757" s="2" t="inlineStr"/>
    </row>
    <row r="758" ht="15" customHeight="1">
      <c r="A758" t="inlineStr">
        <is>
          <t>A 53200-2023</t>
        </is>
      </c>
      <c r="B758" s="1" t="n">
        <v>45229</v>
      </c>
      <c r="C758" s="1" t="n">
        <v>45358</v>
      </c>
      <c r="D758" t="inlineStr">
        <is>
          <t>DALARNAS LÄN</t>
        </is>
      </c>
      <c r="E758" t="inlineStr">
        <is>
          <t>ÄLVDALEN</t>
        </is>
      </c>
      <c r="G758" t="n">
        <v>2.4</v>
      </c>
      <c r="H758" t="n">
        <v>0</v>
      </c>
      <c r="I758" t="n">
        <v>0</v>
      </c>
      <c r="J758" t="n">
        <v>0</v>
      </c>
      <c r="K758" t="n">
        <v>0</v>
      </c>
      <c r="L758" t="n">
        <v>0</v>
      </c>
      <c r="M758" t="n">
        <v>0</v>
      </c>
      <c r="N758" t="n">
        <v>0</v>
      </c>
      <c r="O758" t="n">
        <v>0</v>
      </c>
      <c r="P758" t="n">
        <v>0</v>
      </c>
      <c r="Q758" t="n">
        <v>0</v>
      </c>
      <c r="R758" s="2" t="inlineStr"/>
    </row>
    <row r="759" ht="15" customHeight="1">
      <c r="A759" t="inlineStr">
        <is>
          <t>A 54491-2023</t>
        </is>
      </c>
      <c r="B759" s="1" t="n">
        <v>45233</v>
      </c>
      <c r="C759" s="1" t="n">
        <v>45358</v>
      </c>
      <c r="D759" t="inlineStr">
        <is>
          <t>DALARNAS LÄN</t>
        </is>
      </c>
      <c r="E759" t="inlineStr">
        <is>
          <t>ÄLVDALEN</t>
        </is>
      </c>
      <c r="F759" t="inlineStr">
        <is>
          <t>Allmännings- och besparingsskogar</t>
        </is>
      </c>
      <c r="G759" t="n">
        <v>4.4</v>
      </c>
      <c r="H759" t="n">
        <v>0</v>
      </c>
      <c r="I759" t="n">
        <v>0</v>
      </c>
      <c r="J759" t="n">
        <v>0</v>
      </c>
      <c r="K759" t="n">
        <v>0</v>
      </c>
      <c r="L759" t="n">
        <v>0</v>
      </c>
      <c r="M759" t="n">
        <v>0</v>
      </c>
      <c r="N759" t="n">
        <v>0</v>
      </c>
      <c r="O759" t="n">
        <v>0</v>
      </c>
      <c r="P759" t="n">
        <v>0</v>
      </c>
      <c r="Q759" t="n">
        <v>0</v>
      </c>
      <c r="R759" s="2" t="inlineStr"/>
    </row>
    <row r="760" ht="15" customHeight="1">
      <c r="A760" t="inlineStr">
        <is>
          <t>A 54433-2023</t>
        </is>
      </c>
      <c r="B760" s="1" t="n">
        <v>45233</v>
      </c>
      <c r="C760" s="1" t="n">
        <v>45358</v>
      </c>
      <c r="D760" t="inlineStr">
        <is>
          <t>DALARNAS LÄN</t>
        </is>
      </c>
      <c r="E760" t="inlineStr">
        <is>
          <t>ÄLVDALEN</t>
        </is>
      </c>
      <c r="F760" t="inlineStr">
        <is>
          <t>Allmännings- och besparingsskogar</t>
        </is>
      </c>
      <c r="G760" t="n">
        <v>26.4</v>
      </c>
      <c r="H760" t="n">
        <v>0</v>
      </c>
      <c r="I760" t="n">
        <v>0</v>
      </c>
      <c r="J760" t="n">
        <v>0</v>
      </c>
      <c r="K760" t="n">
        <v>0</v>
      </c>
      <c r="L760" t="n">
        <v>0</v>
      </c>
      <c r="M760" t="n">
        <v>0</v>
      </c>
      <c r="N760" t="n">
        <v>0</v>
      </c>
      <c r="O760" t="n">
        <v>0</v>
      </c>
      <c r="P760" t="n">
        <v>0</v>
      </c>
      <c r="Q760" t="n">
        <v>0</v>
      </c>
      <c r="R760" s="2" t="inlineStr"/>
    </row>
    <row r="761" ht="15" customHeight="1">
      <c r="A761" t="inlineStr">
        <is>
          <t>A 54493-2023</t>
        </is>
      </c>
      <c r="B761" s="1" t="n">
        <v>45233</v>
      </c>
      <c r="C761" s="1" t="n">
        <v>45358</v>
      </c>
      <c r="D761" t="inlineStr">
        <is>
          <t>DALARNAS LÄN</t>
        </is>
      </c>
      <c r="E761" t="inlineStr">
        <is>
          <t>ÄLVDALEN</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54443-2023</t>
        </is>
      </c>
      <c r="B762" s="1" t="n">
        <v>45233</v>
      </c>
      <c r="C762" s="1" t="n">
        <v>45358</v>
      </c>
      <c r="D762" t="inlineStr">
        <is>
          <t>DALARNAS LÄN</t>
        </is>
      </c>
      <c r="E762" t="inlineStr">
        <is>
          <t>ÄLVDALEN</t>
        </is>
      </c>
      <c r="F762" t="inlineStr">
        <is>
          <t>Allmännings- och besparingsskogar</t>
        </is>
      </c>
      <c r="G762" t="n">
        <v>11.6</v>
      </c>
      <c r="H762" t="n">
        <v>0</v>
      </c>
      <c r="I762" t="n">
        <v>0</v>
      </c>
      <c r="J762" t="n">
        <v>0</v>
      </c>
      <c r="K762" t="n">
        <v>0</v>
      </c>
      <c r="L762" t="n">
        <v>0</v>
      </c>
      <c r="M762" t="n">
        <v>0</v>
      </c>
      <c r="N762" t="n">
        <v>0</v>
      </c>
      <c r="O762" t="n">
        <v>0</v>
      </c>
      <c r="P762" t="n">
        <v>0</v>
      </c>
      <c r="Q762" t="n">
        <v>0</v>
      </c>
      <c r="R762" s="2" t="inlineStr"/>
    </row>
    <row r="763" ht="15" customHeight="1">
      <c r="A763" t="inlineStr">
        <is>
          <t>A 54445-2023</t>
        </is>
      </c>
      <c r="B763" s="1" t="n">
        <v>45233</v>
      </c>
      <c r="C763" s="1" t="n">
        <v>45358</v>
      </c>
      <c r="D763" t="inlineStr">
        <is>
          <t>DALARNAS LÄN</t>
        </is>
      </c>
      <c r="E763" t="inlineStr">
        <is>
          <t>ÄLVDALEN</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54736-2023</t>
        </is>
      </c>
      <c r="B764" s="1" t="n">
        <v>45236</v>
      </c>
      <c r="C764" s="1" t="n">
        <v>45358</v>
      </c>
      <c r="D764" t="inlineStr">
        <is>
          <t>DALARNAS LÄN</t>
        </is>
      </c>
      <c r="E764" t="inlineStr">
        <is>
          <t>ÄLVDALEN</t>
        </is>
      </c>
      <c r="F764" t="inlineStr">
        <is>
          <t>Allmännings- och besparingsskogar</t>
        </is>
      </c>
      <c r="G764" t="n">
        <v>28.5</v>
      </c>
      <c r="H764" t="n">
        <v>0</v>
      </c>
      <c r="I764" t="n">
        <v>0</v>
      </c>
      <c r="J764" t="n">
        <v>0</v>
      </c>
      <c r="K764" t="n">
        <v>0</v>
      </c>
      <c r="L764" t="n">
        <v>0</v>
      </c>
      <c r="M764" t="n">
        <v>0</v>
      </c>
      <c r="N764" t="n">
        <v>0</v>
      </c>
      <c r="O764" t="n">
        <v>0</v>
      </c>
      <c r="P764" t="n">
        <v>0</v>
      </c>
      <c r="Q764" t="n">
        <v>0</v>
      </c>
      <c r="R764" s="2" t="inlineStr"/>
    </row>
    <row r="765" ht="15" customHeight="1">
      <c r="A765" t="inlineStr">
        <is>
          <t>A 56229-2023</t>
        </is>
      </c>
      <c r="B765" s="1" t="n">
        <v>45240</v>
      </c>
      <c r="C765" s="1" t="n">
        <v>45358</v>
      </c>
      <c r="D765" t="inlineStr">
        <is>
          <t>DALARNAS LÄN</t>
        </is>
      </c>
      <c r="E765" t="inlineStr">
        <is>
          <t>ÄLVDALEN</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56230-2023</t>
        </is>
      </c>
      <c r="B766" s="1" t="n">
        <v>45240</v>
      </c>
      <c r="C766" s="1" t="n">
        <v>45358</v>
      </c>
      <c r="D766" t="inlineStr">
        <is>
          <t>DALARNAS LÄN</t>
        </is>
      </c>
      <c r="E766" t="inlineStr">
        <is>
          <t>ÄLVDALEN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56226-2023</t>
        </is>
      </c>
      <c r="B767" s="1" t="n">
        <v>45240</v>
      </c>
      <c r="C767" s="1" t="n">
        <v>45358</v>
      </c>
      <c r="D767" t="inlineStr">
        <is>
          <t>DALARNAS LÄN</t>
        </is>
      </c>
      <c r="E767" t="inlineStr">
        <is>
          <t>ÄLVDALEN</t>
        </is>
      </c>
      <c r="F767" t="inlineStr">
        <is>
          <t>Övriga Aktiebolag</t>
        </is>
      </c>
      <c r="G767" t="n">
        <v>5.8</v>
      </c>
      <c r="H767" t="n">
        <v>0</v>
      </c>
      <c r="I767" t="n">
        <v>0</v>
      </c>
      <c r="J767" t="n">
        <v>0</v>
      </c>
      <c r="K767" t="n">
        <v>0</v>
      </c>
      <c r="L767" t="n">
        <v>0</v>
      </c>
      <c r="M767" t="n">
        <v>0</v>
      </c>
      <c r="N767" t="n">
        <v>0</v>
      </c>
      <c r="O767" t="n">
        <v>0</v>
      </c>
      <c r="P767" t="n">
        <v>0</v>
      </c>
      <c r="Q767" t="n">
        <v>0</v>
      </c>
      <c r="R767" s="2" t="inlineStr"/>
    </row>
    <row r="768" ht="15" customHeight="1">
      <c r="A768" t="inlineStr">
        <is>
          <t>A 56222-2023</t>
        </is>
      </c>
      <c r="B768" s="1" t="n">
        <v>45240</v>
      </c>
      <c r="C768" s="1" t="n">
        <v>45358</v>
      </c>
      <c r="D768" t="inlineStr">
        <is>
          <t>DALARNAS LÄN</t>
        </is>
      </c>
      <c r="E768" t="inlineStr">
        <is>
          <t>ÄLVDALEN</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56224-2023</t>
        </is>
      </c>
      <c r="B769" s="1" t="n">
        <v>45240</v>
      </c>
      <c r="C769" s="1" t="n">
        <v>45358</v>
      </c>
      <c r="D769" t="inlineStr">
        <is>
          <t>DALARNAS LÄN</t>
        </is>
      </c>
      <c r="E769" t="inlineStr">
        <is>
          <t>ÄLVDALEN</t>
        </is>
      </c>
      <c r="F769" t="inlineStr">
        <is>
          <t>Övriga Aktiebolag</t>
        </is>
      </c>
      <c r="G769" t="n">
        <v>10.9</v>
      </c>
      <c r="H769" t="n">
        <v>0</v>
      </c>
      <c r="I769" t="n">
        <v>0</v>
      </c>
      <c r="J769" t="n">
        <v>0</v>
      </c>
      <c r="K769" t="n">
        <v>0</v>
      </c>
      <c r="L769" t="n">
        <v>0</v>
      </c>
      <c r="M769" t="n">
        <v>0</v>
      </c>
      <c r="N769" t="n">
        <v>0</v>
      </c>
      <c r="O769" t="n">
        <v>0</v>
      </c>
      <c r="P769" t="n">
        <v>0</v>
      </c>
      <c r="Q769" t="n">
        <v>0</v>
      </c>
      <c r="R769" s="2" t="inlineStr"/>
    </row>
    <row r="770" ht="15" customHeight="1">
      <c r="A770" t="inlineStr">
        <is>
          <t>A 56619-2023</t>
        </is>
      </c>
      <c r="B770" s="1" t="n">
        <v>45243</v>
      </c>
      <c r="C770" s="1" t="n">
        <v>45358</v>
      </c>
      <c r="D770" t="inlineStr">
        <is>
          <t>DALARNAS LÄN</t>
        </is>
      </c>
      <c r="E770" t="inlineStr">
        <is>
          <t>ÄLVDALEN</t>
        </is>
      </c>
      <c r="G770" t="n">
        <v>5.6</v>
      </c>
      <c r="H770" t="n">
        <v>0</v>
      </c>
      <c r="I770" t="n">
        <v>0</v>
      </c>
      <c r="J770" t="n">
        <v>0</v>
      </c>
      <c r="K770" t="n">
        <v>0</v>
      </c>
      <c r="L770" t="n">
        <v>0</v>
      </c>
      <c r="M770" t="n">
        <v>0</v>
      </c>
      <c r="N770" t="n">
        <v>0</v>
      </c>
      <c r="O770" t="n">
        <v>0</v>
      </c>
      <c r="P770" t="n">
        <v>0</v>
      </c>
      <c r="Q770" t="n">
        <v>0</v>
      </c>
      <c r="R770" s="2" t="inlineStr"/>
    </row>
    <row r="771" ht="15" customHeight="1">
      <c r="A771" t="inlineStr">
        <is>
          <t>A 57435-2023</t>
        </is>
      </c>
      <c r="B771" s="1" t="n">
        <v>45246</v>
      </c>
      <c r="C771" s="1" t="n">
        <v>45358</v>
      </c>
      <c r="D771" t="inlineStr">
        <is>
          <t>DALARNAS LÄN</t>
        </is>
      </c>
      <c r="E771" t="inlineStr">
        <is>
          <t>ÄLVDALEN</t>
        </is>
      </c>
      <c r="G771" t="n">
        <v>2.3</v>
      </c>
      <c r="H771" t="n">
        <v>0</v>
      </c>
      <c r="I771" t="n">
        <v>0</v>
      </c>
      <c r="J771" t="n">
        <v>0</v>
      </c>
      <c r="K771" t="n">
        <v>0</v>
      </c>
      <c r="L771" t="n">
        <v>0</v>
      </c>
      <c r="M771" t="n">
        <v>0</v>
      </c>
      <c r="N771" t="n">
        <v>0</v>
      </c>
      <c r="O771" t="n">
        <v>0</v>
      </c>
      <c r="P771" t="n">
        <v>0</v>
      </c>
      <c r="Q771" t="n">
        <v>0</v>
      </c>
      <c r="R771" s="2" t="inlineStr"/>
    </row>
    <row r="772" ht="15" customHeight="1">
      <c r="A772" t="inlineStr">
        <is>
          <t>A 57467-2023</t>
        </is>
      </c>
      <c r="B772" s="1" t="n">
        <v>45246</v>
      </c>
      <c r="C772" s="1" t="n">
        <v>45358</v>
      </c>
      <c r="D772" t="inlineStr">
        <is>
          <t>DALARNAS LÄN</t>
        </is>
      </c>
      <c r="E772" t="inlineStr">
        <is>
          <t>ÄLVDALEN</t>
        </is>
      </c>
      <c r="G772" t="n">
        <v>0.2</v>
      </c>
      <c r="H772" t="n">
        <v>0</v>
      </c>
      <c r="I772" t="n">
        <v>0</v>
      </c>
      <c r="J772" t="n">
        <v>0</v>
      </c>
      <c r="K772" t="n">
        <v>0</v>
      </c>
      <c r="L772" t="n">
        <v>0</v>
      </c>
      <c r="M772" t="n">
        <v>0</v>
      </c>
      <c r="N772" t="n">
        <v>0</v>
      </c>
      <c r="O772" t="n">
        <v>0</v>
      </c>
      <c r="P772" t="n">
        <v>0</v>
      </c>
      <c r="Q772" t="n">
        <v>0</v>
      </c>
      <c r="R772" s="2" t="inlineStr"/>
    </row>
    <row r="773" ht="15" customHeight="1">
      <c r="A773" t="inlineStr">
        <is>
          <t>A 57470-2023</t>
        </is>
      </c>
      <c r="B773" s="1" t="n">
        <v>45246</v>
      </c>
      <c r="C773" s="1" t="n">
        <v>45358</v>
      </c>
      <c r="D773" t="inlineStr">
        <is>
          <t>DALARNAS LÄN</t>
        </is>
      </c>
      <c r="E773" t="inlineStr">
        <is>
          <t>ÄLVDALEN</t>
        </is>
      </c>
      <c r="G773" t="n">
        <v>0.4</v>
      </c>
      <c r="H773" t="n">
        <v>0</v>
      </c>
      <c r="I773" t="n">
        <v>0</v>
      </c>
      <c r="J773" t="n">
        <v>0</v>
      </c>
      <c r="K773" t="n">
        <v>0</v>
      </c>
      <c r="L773" t="n">
        <v>0</v>
      </c>
      <c r="M773" t="n">
        <v>0</v>
      </c>
      <c r="N773" t="n">
        <v>0</v>
      </c>
      <c r="O773" t="n">
        <v>0</v>
      </c>
      <c r="P773" t="n">
        <v>0</v>
      </c>
      <c r="Q773" t="n">
        <v>0</v>
      </c>
      <c r="R773" s="2" t="inlineStr"/>
    </row>
    <row r="774" ht="15" customHeight="1">
      <c r="A774" t="inlineStr">
        <is>
          <t>A 57817-2023</t>
        </is>
      </c>
      <c r="B774" s="1" t="n">
        <v>45247</v>
      </c>
      <c r="C774" s="1" t="n">
        <v>45358</v>
      </c>
      <c r="D774" t="inlineStr">
        <is>
          <t>DALARNAS LÄN</t>
        </is>
      </c>
      <c r="E774" t="inlineStr">
        <is>
          <t>ÄLVDALEN</t>
        </is>
      </c>
      <c r="G774" t="n">
        <v>6.4</v>
      </c>
      <c r="H774" t="n">
        <v>0</v>
      </c>
      <c r="I774" t="n">
        <v>0</v>
      </c>
      <c r="J774" t="n">
        <v>0</v>
      </c>
      <c r="K774" t="n">
        <v>0</v>
      </c>
      <c r="L774" t="n">
        <v>0</v>
      </c>
      <c r="M774" t="n">
        <v>0</v>
      </c>
      <c r="N774" t="n">
        <v>0</v>
      </c>
      <c r="O774" t="n">
        <v>0</v>
      </c>
      <c r="P774" t="n">
        <v>0</v>
      </c>
      <c r="Q774" t="n">
        <v>0</v>
      </c>
      <c r="R774" s="2" t="inlineStr"/>
    </row>
    <row r="775" ht="15" customHeight="1">
      <c r="A775" t="inlineStr">
        <is>
          <t>A 57933-2023</t>
        </is>
      </c>
      <c r="B775" s="1" t="n">
        <v>45247</v>
      </c>
      <c r="C775" s="1" t="n">
        <v>45358</v>
      </c>
      <c r="D775" t="inlineStr">
        <is>
          <t>DALARNAS LÄN</t>
        </is>
      </c>
      <c r="E775" t="inlineStr">
        <is>
          <t>ÄLVDALEN</t>
        </is>
      </c>
      <c r="F775" t="inlineStr">
        <is>
          <t>Allmännings- och besparingsskogar</t>
        </is>
      </c>
      <c r="G775" t="n">
        <v>7.6</v>
      </c>
      <c r="H775" t="n">
        <v>0</v>
      </c>
      <c r="I775" t="n">
        <v>0</v>
      </c>
      <c r="J775" t="n">
        <v>0</v>
      </c>
      <c r="K775" t="n">
        <v>0</v>
      </c>
      <c r="L775" t="n">
        <v>0</v>
      </c>
      <c r="M775" t="n">
        <v>0</v>
      </c>
      <c r="N775" t="n">
        <v>0</v>
      </c>
      <c r="O775" t="n">
        <v>0</v>
      </c>
      <c r="P775" t="n">
        <v>0</v>
      </c>
      <c r="Q775" t="n">
        <v>0</v>
      </c>
      <c r="R775" s="2" t="inlineStr"/>
    </row>
    <row r="776" ht="15" customHeight="1">
      <c r="A776" t="inlineStr">
        <is>
          <t>A 57821-2023</t>
        </is>
      </c>
      <c r="B776" s="1" t="n">
        <v>45247</v>
      </c>
      <c r="C776" s="1" t="n">
        <v>45358</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57941-2023</t>
        </is>
      </c>
      <c r="B777" s="1" t="n">
        <v>45247</v>
      </c>
      <c r="C777" s="1" t="n">
        <v>45358</v>
      </c>
      <c r="D777" t="inlineStr">
        <is>
          <t>DALARNAS LÄN</t>
        </is>
      </c>
      <c r="E777" t="inlineStr">
        <is>
          <t>ÄLVDALEN</t>
        </is>
      </c>
      <c r="F777" t="inlineStr">
        <is>
          <t>Allmännings- och besparingsskogar</t>
        </is>
      </c>
      <c r="G777" t="n">
        <v>14.6</v>
      </c>
      <c r="H777" t="n">
        <v>0</v>
      </c>
      <c r="I777" t="n">
        <v>0</v>
      </c>
      <c r="J777" t="n">
        <v>0</v>
      </c>
      <c r="K777" t="n">
        <v>0</v>
      </c>
      <c r="L777" t="n">
        <v>0</v>
      </c>
      <c r="M777" t="n">
        <v>0</v>
      </c>
      <c r="N777" t="n">
        <v>0</v>
      </c>
      <c r="O777" t="n">
        <v>0</v>
      </c>
      <c r="P777" t="n">
        <v>0</v>
      </c>
      <c r="Q777" t="n">
        <v>0</v>
      </c>
      <c r="R777" s="2" t="inlineStr"/>
    </row>
    <row r="778" ht="15" customHeight="1">
      <c r="A778" t="inlineStr">
        <is>
          <t>A 58223-2023</t>
        </is>
      </c>
      <c r="B778" s="1" t="n">
        <v>45250</v>
      </c>
      <c r="C778" s="1" t="n">
        <v>45358</v>
      </c>
      <c r="D778" t="inlineStr">
        <is>
          <t>DALARNAS LÄN</t>
        </is>
      </c>
      <c r="E778" t="inlineStr">
        <is>
          <t>ÄLVDALEN</t>
        </is>
      </c>
      <c r="F778" t="inlineStr">
        <is>
          <t>Allmännings- och besparingsskogar</t>
        </is>
      </c>
      <c r="G778" t="n">
        <v>6.9</v>
      </c>
      <c r="H778" t="n">
        <v>0</v>
      </c>
      <c r="I778" t="n">
        <v>0</v>
      </c>
      <c r="J778" t="n">
        <v>0</v>
      </c>
      <c r="K778" t="n">
        <v>0</v>
      </c>
      <c r="L778" t="n">
        <v>0</v>
      </c>
      <c r="M778" t="n">
        <v>0</v>
      </c>
      <c r="N778" t="n">
        <v>0</v>
      </c>
      <c r="O778" t="n">
        <v>0</v>
      </c>
      <c r="P778" t="n">
        <v>0</v>
      </c>
      <c r="Q778" t="n">
        <v>0</v>
      </c>
      <c r="R778" s="2" t="inlineStr"/>
    </row>
    <row r="779" ht="15" customHeight="1">
      <c r="A779" t="inlineStr">
        <is>
          <t>A 58303-2023</t>
        </is>
      </c>
      <c r="B779" s="1" t="n">
        <v>45250</v>
      </c>
      <c r="C779" s="1" t="n">
        <v>45358</v>
      </c>
      <c r="D779" t="inlineStr">
        <is>
          <t>DALARNAS LÄN</t>
        </is>
      </c>
      <c r="E779" t="inlineStr">
        <is>
          <t>ÄLVDALEN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58376-2023</t>
        </is>
      </c>
      <c r="B780" s="1" t="n">
        <v>45250</v>
      </c>
      <c r="C780" s="1" t="n">
        <v>45358</v>
      </c>
      <c r="D780" t="inlineStr">
        <is>
          <t>DALARNAS LÄN</t>
        </is>
      </c>
      <c r="E780" t="inlineStr">
        <is>
          <t>ÄLVDALEN</t>
        </is>
      </c>
      <c r="G780" t="n">
        <v>4.8</v>
      </c>
      <c r="H780" t="n">
        <v>0</v>
      </c>
      <c r="I780" t="n">
        <v>0</v>
      </c>
      <c r="J780" t="n">
        <v>0</v>
      </c>
      <c r="K780" t="n">
        <v>0</v>
      </c>
      <c r="L780" t="n">
        <v>0</v>
      </c>
      <c r="M780" t="n">
        <v>0</v>
      </c>
      <c r="N780" t="n">
        <v>0</v>
      </c>
      <c r="O780" t="n">
        <v>0</v>
      </c>
      <c r="P780" t="n">
        <v>0</v>
      </c>
      <c r="Q780" t="n">
        <v>0</v>
      </c>
      <c r="R780" s="2" t="inlineStr"/>
    </row>
    <row r="781" ht="15" customHeight="1">
      <c r="A781" t="inlineStr">
        <is>
          <t>A 58374-2023</t>
        </is>
      </c>
      <c r="B781" s="1" t="n">
        <v>45250</v>
      </c>
      <c r="C781" s="1" t="n">
        <v>45358</v>
      </c>
      <c r="D781" t="inlineStr">
        <is>
          <t>DALARNAS LÄN</t>
        </is>
      </c>
      <c r="E781" t="inlineStr">
        <is>
          <t>ÄLVDALEN</t>
        </is>
      </c>
      <c r="G781" t="n">
        <v>2.4</v>
      </c>
      <c r="H781" t="n">
        <v>0</v>
      </c>
      <c r="I781" t="n">
        <v>0</v>
      </c>
      <c r="J781" t="n">
        <v>0</v>
      </c>
      <c r="K781" t="n">
        <v>0</v>
      </c>
      <c r="L781" t="n">
        <v>0</v>
      </c>
      <c r="M781" t="n">
        <v>0</v>
      </c>
      <c r="N781" t="n">
        <v>0</v>
      </c>
      <c r="O781" t="n">
        <v>0</v>
      </c>
      <c r="P781" t="n">
        <v>0</v>
      </c>
      <c r="Q781" t="n">
        <v>0</v>
      </c>
      <c r="R781" s="2" t="inlineStr"/>
    </row>
    <row r="782" ht="15" customHeight="1">
      <c r="A782" t="inlineStr">
        <is>
          <t>A 58498-2023</t>
        </is>
      </c>
      <c r="B782" s="1" t="n">
        <v>45251</v>
      </c>
      <c r="C782" s="1" t="n">
        <v>45358</v>
      </c>
      <c r="D782" t="inlineStr">
        <is>
          <t>DALARNAS LÄN</t>
        </is>
      </c>
      <c r="E782" t="inlineStr">
        <is>
          <t>ÄLVDALEN</t>
        </is>
      </c>
      <c r="F782" t="inlineStr">
        <is>
          <t>Allmännings- och besparingsskogar</t>
        </is>
      </c>
      <c r="G782" t="n">
        <v>13.4</v>
      </c>
      <c r="H782" t="n">
        <v>0</v>
      </c>
      <c r="I782" t="n">
        <v>0</v>
      </c>
      <c r="J782" t="n">
        <v>0</v>
      </c>
      <c r="K782" t="n">
        <v>0</v>
      </c>
      <c r="L782" t="n">
        <v>0</v>
      </c>
      <c r="M782" t="n">
        <v>0</v>
      </c>
      <c r="N782" t="n">
        <v>0</v>
      </c>
      <c r="O782" t="n">
        <v>0</v>
      </c>
      <c r="P782" t="n">
        <v>0</v>
      </c>
      <c r="Q782" t="n">
        <v>0</v>
      </c>
      <c r="R782" s="2" t="inlineStr"/>
    </row>
    <row r="783" ht="15" customHeight="1">
      <c r="A783" t="inlineStr">
        <is>
          <t>A 58621-2023</t>
        </is>
      </c>
      <c r="B783" s="1" t="n">
        <v>45251</v>
      </c>
      <c r="C783" s="1" t="n">
        <v>45358</v>
      </c>
      <c r="D783" t="inlineStr">
        <is>
          <t>DALARNAS LÄN</t>
        </is>
      </c>
      <c r="E783" t="inlineStr">
        <is>
          <t>ÄLVDALEN</t>
        </is>
      </c>
      <c r="G783" t="n">
        <v>2.9</v>
      </c>
      <c r="H783" t="n">
        <v>0</v>
      </c>
      <c r="I783" t="n">
        <v>0</v>
      </c>
      <c r="J783" t="n">
        <v>0</v>
      </c>
      <c r="K783" t="n">
        <v>0</v>
      </c>
      <c r="L783" t="n">
        <v>0</v>
      </c>
      <c r="M783" t="n">
        <v>0</v>
      </c>
      <c r="N783" t="n">
        <v>0</v>
      </c>
      <c r="O783" t="n">
        <v>0</v>
      </c>
      <c r="P783" t="n">
        <v>0</v>
      </c>
      <c r="Q783" t="n">
        <v>0</v>
      </c>
      <c r="R783" s="2" t="inlineStr"/>
    </row>
    <row r="784" ht="15" customHeight="1">
      <c r="A784" t="inlineStr">
        <is>
          <t>A 59129-2023</t>
        </is>
      </c>
      <c r="B784" s="1" t="n">
        <v>45253</v>
      </c>
      <c r="C784" s="1" t="n">
        <v>45358</v>
      </c>
      <c r="D784" t="inlineStr">
        <is>
          <t>DALARNAS LÄN</t>
        </is>
      </c>
      <c r="E784" t="inlineStr">
        <is>
          <t>ÄLVDALEN</t>
        </is>
      </c>
      <c r="G784" t="n">
        <v>0.7</v>
      </c>
      <c r="H784" t="n">
        <v>0</v>
      </c>
      <c r="I784" t="n">
        <v>0</v>
      </c>
      <c r="J784" t="n">
        <v>0</v>
      </c>
      <c r="K784" t="n">
        <v>0</v>
      </c>
      <c r="L784" t="n">
        <v>0</v>
      </c>
      <c r="M784" t="n">
        <v>0</v>
      </c>
      <c r="N784" t="n">
        <v>0</v>
      </c>
      <c r="O784" t="n">
        <v>0</v>
      </c>
      <c r="P784" t="n">
        <v>0</v>
      </c>
      <c r="Q784" t="n">
        <v>0</v>
      </c>
      <c r="R784" s="2" t="inlineStr"/>
    </row>
    <row r="785" ht="15" customHeight="1">
      <c r="A785" t="inlineStr">
        <is>
          <t>A 59142-2023</t>
        </is>
      </c>
      <c r="B785" s="1" t="n">
        <v>45253</v>
      </c>
      <c r="C785" s="1" t="n">
        <v>45358</v>
      </c>
      <c r="D785" t="inlineStr">
        <is>
          <t>DALARNAS LÄN</t>
        </is>
      </c>
      <c r="E785" t="inlineStr">
        <is>
          <t>ÄLVDALEN</t>
        </is>
      </c>
      <c r="G785" t="n">
        <v>0.8</v>
      </c>
      <c r="H785" t="n">
        <v>0</v>
      </c>
      <c r="I785" t="n">
        <v>0</v>
      </c>
      <c r="J785" t="n">
        <v>0</v>
      </c>
      <c r="K785" t="n">
        <v>0</v>
      </c>
      <c r="L785" t="n">
        <v>0</v>
      </c>
      <c r="M785" t="n">
        <v>0</v>
      </c>
      <c r="N785" t="n">
        <v>0</v>
      </c>
      <c r="O785" t="n">
        <v>0</v>
      </c>
      <c r="P785" t="n">
        <v>0</v>
      </c>
      <c r="Q785" t="n">
        <v>0</v>
      </c>
      <c r="R785" s="2" t="inlineStr"/>
    </row>
    <row r="786" ht="15" customHeight="1">
      <c r="A786" t="inlineStr">
        <is>
          <t>A 59138-2023</t>
        </is>
      </c>
      <c r="B786" s="1" t="n">
        <v>45253</v>
      </c>
      <c r="C786" s="1" t="n">
        <v>45358</v>
      </c>
      <c r="D786" t="inlineStr">
        <is>
          <t>DALARNAS LÄN</t>
        </is>
      </c>
      <c r="E786" t="inlineStr">
        <is>
          <t>ÄLVDALEN</t>
        </is>
      </c>
      <c r="G786" t="n">
        <v>0.4</v>
      </c>
      <c r="H786" t="n">
        <v>0</v>
      </c>
      <c r="I786" t="n">
        <v>0</v>
      </c>
      <c r="J786" t="n">
        <v>0</v>
      </c>
      <c r="K786" t="n">
        <v>0</v>
      </c>
      <c r="L786" t="n">
        <v>0</v>
      </c>
      <c r="M786" t="n">
        <v>0</v>
      </c>
      <c r="N786" t="n">
        <v>0</v>
      </c>
      <c r="O786" t="n">
        <v>0</v>
      </c>
      <c r="P786" t="n">
        <v>0</v>
      </c>
      <c r="Q786" t="n">
        <v>0</v>
      </c>
      <c r="R786" s="2" t="inlineStr"/>
    </row>
    <row r="787" ht="15" customHeight="1">
      <c r="A787" t="inlineStr">
        <is>
          <t>A 59177-2023</t>
        </is>
      </c>
      <c r="B787" s="1" t="n">
        <v>45253</v>
      </c>
      <c r="C787" s="1" t="n">
        <v>45358</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59190-2023</t>
        </is>
      </c>
      <c r="B788" s="1" t="n">
        <v>45253</v>
      </c>
      <c r="C788" s="1" t="n">
        <v>45358</v>
      </c>
      <c r="D788" t="inlineStr">
        <is>
          <t>DALARNAS LÄN</t>
        </is>
      </c>
      <c r="E788" t="inlineStr">
        <is>
          <t>ÄLVDALEN</t>
        </is>
      </c>
      <c r="F788" t="inlineStr">
        <is>
          <t>Allmännings- och besparingsskogar</t>
        </is>
      </c>
      <c r="G788" t="n">
        <v>27.8</v>
      </c>
      <c r="H788" t="n">
        <v>0</v>
      </c>
      <c r="I788" t="n">
        <v>0</v>
      </c>
      <c r="J788" t="n">
        <v>0</v>
      </c>
      <c r="K788" t="n">
        <v>0</v>
      </c>
      <c r="L788" t="n">
        <v>0</v>
      </c>
      <c r="M788" t="n">
        <v>0</v>
      </c>
      <c r="N788" t="n">
        <v>0</v>
      </c>
      <c r="O788" t="n">
        <v>0</v>
      </c>
      <c r="P788" t="n">
        <v>0</v>
      </c>
      <c r="Q788" t="n">
        <v>0</v>
      </c>
      <c r="R788" s="2" t="inlineStr"/>
    </row>
    <row r="789" ht="15" customHeight="1">
      <c r="A789" t="inlineStr">
        <is>
          <t>A 59510-2023</t>
        </is>
      </c>
      <c r="B789" s="1" t="n">
        <v>45254</v>
      </c>
      <c r="C789" s="1" t="n">
        <v>45358</v>
      </c>
      <c r="D789" t="inlineStr">
        <is>
          <t>DALARNAS LÄN</t>
        </is>
      </c>
      <c r="E789" t="inlineStr">
        <is>
          <t>ÄLVDALEN</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59547-2023</t>
        </is>
      </c>
      <c r="B790" s="1" t="n">
        <v>45254</v>
      </c>
      <c r="C790" s="1" t="n">
        <v>45358</v>
      </c>
      <c r="D790" t="inlineStr">
        <is>
          <t>DALARNAS LÄN</t>
        </is>
      </c>
      <c r="E790" t="inlineStr">
        <is>
          <t>ÄLVDALEN</t>
        </is>
      </c>
      <c r="G790" t="n">
        <v>2.5</v>
      </c>
      <c r="H790" t="n">
        <v>0</v>
      </c>
      <c r="I790" t="n">
        <v>0</v>
      </c>
      <c r="J790" t="n">
        <v>0</v>
      </c>
      <c r="K790" t="n">
        <v>0</v>
      </c>
      <c r="L790" t="n">
        <v>0</v>
      </c>
      <c r="M790" t="n">
        <v>0</v>
      </c>
      <c r="N790" t="n">
        <v>0</v>
      </c>
      <c r="O790" t="n">
        <v>0</v>
      </c>
      <c r="P790" t="n">
        <v>0</v>
      </c>
      <c r="Q790" t="n">
        <v>0</v>
      </c>
      <c r="R790" s="2" t="inlineStr"/>
    </row>
    <row r="791" ht="15" customHeight="1">
      <c r="A791" t="inlineStr">
        <is>
          <t>A 59786-2023</t>
        </is>
      </c>
      <c r="B791" s="1" t="n">
        <v>45254</v>
      </c>
      <c r="C791" s="1" t="n">
        <v>45358</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59778-2023</t>
        </is>
      </c>
      <c r="B792" s="1" t="n">
        <v>45254</v>
      </c>
      <c r="C792" s="1" t="n">
        <v>45358</v>
      </c>
      <c r="D792" t="inlineStr">
        <is>
          <t>DALARNAS LÄN</t>
        </is>
      </c>
      <c r="E792" t="inlineStr">
        <is>
          <t>ÄLVDALEN</t>
        </is>
      </c>
      <c r="G792" t="n">
        <v>7.1</v>
      </c>
      <c r="H792" t="n">
        <v>0</v>
      </c>
      <c r="I792" t="n">
        <v>0</v>
      </c>
      <c r="J792" t="n">
        <v>0</v>
      </c>
      <c r="K792" t="n">
        <v>0</v>
      </c>
      <c r="L792" t="n">
        <v>0</v>
      </c>
      <c r="M792" t="n">
        <v>0</v>
      </c>
      <c r="N792" t="n">
        <v>0</v>
      </c>
      <c r="O792" t="n">
        <v>0</v>
      </c>
      <c r="P792" t="n">
        <v>0</v>
      </c>
      <c r="Q792" t="n">
        <v>0</v>
      </c>
      <c r="R792" s="2" t="inlineStr"/>
    </row>
    <row r="793" ht="15" customHeight="1">
      <c r="A793" t="inlineStr">
        <is>
          <t>A 59774-2023</t>
        </is>
      </c>
      <c r="B793" s="1" t="n">
        <v>45254</v>
      </c>
      <c r="C793" s="1" t="n">
        <v>45358</v>
      </c>
      <c r="D793" t="inlineStr">
        <is>
          <t>DALARNAS LÄN</t>
        </is>
      </c>
      <c r="E793" t="inlineStr">
        <is>
          <t>ÄLVDALEN</t>
        </is>
      </c>
      <c r="G793" t="n">
        <v>6.6</v>
      </c>
      <c r="H793" t="n">
        <v>0</v>
      </c>
      <c r="I793" t="n">
        <v>0</v>
      </c>
      <c r="J793" t="n">
        <v>0</v>
      </c>
      <c r="K793" t="n">
        <v>0</v>
      </c>
      <c r="L793" t="n">
        <v>0</v>
      </c>
      <c r="M793" t="n">
        <v>0</v>
      </c>
      <c r="N793" t="n">
        <v>0</v>
      </c>
      <c r="O793" t="n">
        <v>0</v>
      </c>
      <c r="P793" t="n">
        <v>0</v>
      </c>
      <c r="Q793" t="n">
        <v>0</v>
      </c>
      <c r="R793" s="2" t="inlineStr"/>
    </row>
    <row r="794" ht="15" customHeight="1">
      <c r="A794" t="inlineStr">
        <is>
          <t>A 59947-2023</t>
        </is>
      </c>
      <c r="B794" s="1" t="n">
        <v>45257</v>
      </c>
      <c r="C794" s="1" t="n">
        <v>45358</v>
      </c>
      <c r="D794" t="inlineStr">
        <is>
          <t>DALARNAS LÄN</t>
        </is>
      </c>
      <c r="E794" t="inlineStr">
        <is>
          <t>ÄLVDALEN</t>
        </is>
      </c>
      <c r="G794" t="n">
        <v>3.1</v>
      </c>
      <c r="H794" t="n">
        <v>0</v>
      </c>
      <c r="I794" t="n">
        <v>0</v>
      </c>
      <c r="J794" t="n">
        <v>0</v>
      </c>
      <c r="K794" t="n">
        <v>0</v>
      </c>
      <c r="L794" t="n">
        <v>0</v>
      </c>
      <c r="M794" t="n">
        <v>0</v>
      </c>
      <c r="N794" t="n">
        <v>0</v>
      </c>
      <c r="O794" t="n">
        <v>0</v>
      </c>
      <c r="P794" t="n">
        <v>0</v>
      </c>
      <c r="Q794" t="n">
        <v>0</v>
      </c>
      <c r="R794" s="2" t="inlineStr"/>
    </row>
    <row r="795" ht="15" customHeight="1">
      <c r="A795" t="inlineStr">
        <is>
          <t>A 60354-2023</t>
        </is>
      </c>
      <c r="B795" s="1" t="n">
        <v>45259</v>
      </c>
      <c r="C795" s="1" t="n">
        <v>45358</v>
      </c>
      <c r="D795" t="inlineStr">
        <is>
          <t>DALARNAS LÄN</t>
        </is>
      </c>
      <c r="E795" t="inlineStr">
        <is>
          <t>ÄLVDALEN</t>
        </is>
      </c>
      <c r="F795" t="inlineStr">
        <is>
          <t>Allmännings- och besparingsskogar</t>
        </is>
      </c>
      <c r="G795" t="n">
        <v>30.3</v>
      </c>
      <c r="H795" t="n">
        <v>0</v>
      </c>
      <c r="I795" t="n">
        <v>0</v>
      </c>
      <c r="J795" t="n">
        <v>0</v>
      </c>
      <c r="K795" t="n">
        <v>0</v>
      </c>
      <c r="L795" t="n">
        <v>0</v>
      </c>
      <c r="M795" t="n">
        <v>0</v>
      </c>
      <c r="N795" t="n">
        <v>0</v>
      </c>
      <c r="O795" t="n">
        <v>0</v>
      </c>
      <c r="P795" t="n">
        <v>0</v>
      </c>
      <c r="Q795" t="n">
        <v>0</v>
      </c>
      <c r="R795" s="2" t="inlineStr"/>
    </row>
    <row r="796" ht="15" customHeight="1">
      <c r="A796" t="inlineStr">
        <is>
          <t>A 60676-2023</t>
        </is>
      </c>
      <c r="B796" s="1" t="n">
        <v>45260</v>
      </c>
      <c r="C796" s="1" t="n">
        <v>45358</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60655-2023</t>
        </is>
      </c>
      <c r="B797" s="1" t="n">
        <v>45260</v>
      </c>
      <c r="C797" s="1" t="n">
        <v>45358</v>
      </c>
      <c r="D797" t="inlineStr">
        <is>
          <t>DALARNAS LÄN</t>
        </is>
      </c>
      <c r="E797" t="inlineStr">
        <is>
          <t>ÄLVDALEN</t>
        </is>
      </c>
      <c r="G797" t="n">
        <v>3</v>
      </c>
      <c r="H797" t="n">
        <v>0</v>
      </c>
      <c r="I797" t="n">
        <v>0</v>
      </c>
      <c r="J797" t="n">
        <v>0</v>
      </c>
      <c r="K797" t="n">
        <v>0</v>
      </c>
      <c r="L797" t="n">
        <v>0</v>
      </c>
      <c r="M797" t="n">
        <v>0</v>
      </c>
      <c r="N797" t="n">
        <v>0</v>
      </c>
      <c r="O797" t="n">
        <v>0</v>
      </c>
      <c r="P797" t="n">
        <v>0</v>
      </c>
      <c r="Q797" t="n">
        <v>0</v>
      </c>
      <c r="R797" s="2" t="inlineStr"/>
    </row>
    <row r="798" ht="15" customHeight="1">
      <c r="A798" t="inlineStr">
        <is>
          <t>A 60716-2023</t>
        </is>
      </c>
      <c r="B798" s="1" t="n">
        <v>45260</v>
      </c>
      <c r="C798" s="1" t="n">
        <v>45358</v>
      </c>
      <c r="D798" t="inlineStr">
        <is>
          <t>DALARNAS LÄN</t>
        </is>
      </c>
      <c r="E798" t="inlineStr">
        <is>
          <t>ÄLVDALEN</t>
        </is>
      </c>
      <c r="G798" t="n">
        <v>1.2</v>
      </c>
      <c r="H798" t="n">
        <v>0</v>
      </c>
      <c r="I798" t="n">
        <v>0</v>
      </c>
      <c r="J798" t="n">
        <v>0</v>
      </c>
      <c r="K798" t="n">
        <v>0</v>
      </c>
      <c r="L798" t="n">
        <v>0</v>
      </c>
      <c r="M798" t="n">
        <v>0</v>
      </c>
      <c r="N798" t="n">
        <v>0</v>
      </c>
      <c r="O798" t="n">
        <v>0</v>
      </c>
      <c r="P798" t="n">
        <v>0</v>
      </c>
      <c r="Q798" t="n">
        <v>0</v>
      </c>
      <c r="R798" s="2" t="inlineStr"/>
    </row>
    <row r="799" ht="15" customHeight="1">
      <c r="A799" t="inlineStr">
        <is>
          <t>A 61714-2023</t>
        </is>
      </c>
      <c r="B799" s="1" t="n">
        <v>45265</v>
      </c>
      <c r="C799" s="1" t="n">
        <v>45358</v>
      </c>
      <c r="D799" t="inlineStr">
        <is>
          <t>DALARNAS LÄN</t>
        </is>
      </c>
      <c r="E799" t="inlineStr">
        <is>
          <t>ÄLVDALEN</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62525-2023</t>
        </is>
      </c>
      <c r="B800" s="1" t="n">
        <v>45268</v>
      </c>
      <c r="C800" s="1" t="n">
        <v>45358</v>
      </c>
      <c r="D800" t="inlineStr">
        <is>
          <t>DALARNAS LÄN</t>
        </is>
      </c>
      <c r="E800" t="inlineStr">
        <is>
          <t>ÄLVDALEN</t>
        </is>
      </c>
      <c r="F800" t="inlineStr">
        <is>
          <t>Allmännings- och besparingsskogar</t>
        </is>
      </c>
      <c r="G800" t="n">
        <v>3.5</v>
      </c>
      <c r="H800" t="n">
        <v>0</v>
      </c>
      <c r="I800" t="n">
        <v>0</v>
      </c>
      <c r="J800" t="n">
        <v>0</v>
      </c>
      <c r="K800" t="n">
        <v>0</v>
      </c>
      <c r="L800" t="n">
        <v>0</v>
      </c>
      <c r="M800" t="n">
        <v>0</v>
      </c>
      <c r="N800" t="n">
        <v>0</v>
      </c>
      <c r="O800" t="n">
        <v>0</v>
      </c>
      <c r="P800" t="n">
        <v>0</v>
      </c>
      <c r="Q800" t="n">
        <v>0</v>
      </c>
      <c r="R800" s="2" t="inlineStr"/>
    </row>
    <row r="801" ht="15" customHeight="1">
      <c r="A801" t="inlineStr">
        <is>
          <t>A 62935-2023</t>
        </is>
      </c>
      <c r="B801" s="1" t="n">
        <v>45272</v>
      </c>
      <c r="C801" s="1" t="n">
        <v>45358</v>
      </c>
      <c r="D801" t="inlineStr">
        <is>
          <t>DALARNAS LÄN</t>
        </is>
      </c>
      <c r="E801" t="inlineStr">
        <is>
          <t>ÄLVDALEN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63329-2023</t>
        </is>
      </c>
      <c r="B802" s="1" t="n">
        <v>45274</v>
      </c>
      <c r="C802" s="1" t="n">
        <v>45358</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63494-2023</t>
        </is>
      </c>
      <c r="B803" s="1" t="n">
        <v>45274</v>
      </c>
      <c r="C803" s="1" t="n">
        <v>45358</v>
      </c>
      <c r="D803" t="inlineStr">
        <is>
          <t>DALARNAS LÄN</t>
        </is>
      </c>
      <c r="E803" t="inlineStr">
        <is>
          <t>ÄLVDALEN</t>
        </is>
      </c>
      <c r="F803" t="inlineStr">
        <is>
          <t>Allmännings- och besparingsskogar</t>
        </is>
      </c>
      <c r="G803" t="n">
        <v>14.9</v>
      </c>
      <c r="H803" t="n">
        <v>0</v>
      </c>
      <c r="I803" t="n">
        <v>0</v>
      </c>
      <c r="J803" t="n">
        <v>0</v>
      </c>
      <c r="K803" t="n">
        <v>0</v>
      </c>
      <c r="L803" t="n">
        <v>0</v>
      </c>
      <c r="M803" t="n">
        <v>0</v>
      </c>
      <c r="N803" t="n">
        <v>0</v>
      </c>
      <c r="O803" t="n">
        <v>0</v>
      </c>
      <c r="P803" t="n">
        <v>0</v>
      </c>
      <c r="Q803" t="n">
        <v>0</v>
      </c>
      <c r="R803" s="2" t="inlineStr"/>
    </row>
    <row r="804" ht="15" customHeight="1">
      <c r="A804" t="inlineStr">
        <is>
          <t>A 64699-2023</t>
        </is>
      </c>
      <c r="B804" s="1" t="n">
        <v>45281</v>
      </c>
      <c r="C804" s="1" t="n">
        <v>45358</v>
      </c>
      <c r="D804" t="inlineStr">
        <is>
          <t>DALARNAS LÄN</t>
        </is>
      </c>
      <c r="E804" t="inlineStr">
        <is>
          <t>ÄLVDALEN</t>
        </is>
      </c>
      <c r="F804" t="inlineStr">
        <is>
          <t>Allmännings- och besparingsskogar</t>
        </is>
      </c>
      <c r="G804" t="n">
        <v>6.6</v>
      </c>
      <c r="H804" t="n">
        <v>0</v>
      </c>
      <c r="I804" t="n">
        <v>0</v>
      </c>
      <c r="J804" t="n">
        <v>0</v>
      </c>
      <c r="K804" t="n">
        <v>0</v>
      </c>
      <c r="L804" t="n">
        <v>0</v>
      </c>
      <c r="M804" t="n">
        <v>0</v>
      </c>
      <c r="N804" t="n">
        <v>0</v>
      </c>
      <c r="O804" t="n">
        <v>0</v>
      </c>
      <c r="P804" t="n">
        <v>0</v>
      </c>
      <c r="Q804" t="n">
        <v>0</v>
      </c>
      <c r="R804" s="2" t="inlineStr"/>
    </row>
    <row r="805" ht="15" customHeight="1">
      <c r="A805" t="inlineStr">
        <is>
          <t>A 510-2024</t>
        </is>
      </c>
      <c r="B805" s="1" t="n">
        <v>45299</v>
      </c>
      <c r="C805" s="1" t="n">
        <v>45358</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505-2024</t>
        </is>
      </c>
      <c r="B806" s="1" t="n">
        <v>45299</v>
      </c>
      <c r="C806" s="1" t="n">
        <v>45358</v>
      </c>
      <c r="D806" t="inlineStr">
        <is>
          <t>DALARNAS LÄN</t>
        </is>
      </c>
      <c r="E806" t="inlineStr">
        <is>
          <t>ÄLVDALEN</t>
        </is>
      </c>
      <c r="G806" t="n">
        <v>1.4</v>
      </c>
      <c r="H806" t="n">
        <v>0</v>
      </c>
      <c r="I806" t="n">
        <v>0</v>
      </c>
      <c r="J806" t="n">
        <v>0</v>
      </c>
      <c r="K806" t="n">
        <v>0</v>
      </c>
      <c r="L806" t="n">
        <v>0</v>
      </c>
      <c r="M806" t="n">
        <v>0</v>
      </c>
      <c r="N806" t="n">
        <v>0</v>
      </c>
      <c r="O806" t="n">
        <v>0</v>
      </c>
      <c r="P806" t="n">
        <v>0</v>
      </c>
      <c r="Q806" t="n">
        <v>0</v>
      </c>
      <c r="R806" s="2" t="inlineStr"/>
    </row>
    <row r="807" ht="15" customHeight="1">
      <c r="A807" t="inlineStr">
        <is>
          <t>A 1310-2024</t>
        </is>
      </c>
      <c r="B807" s="1" t="n">
        <v>45303</v>
      </c>
      <c r="C807" s="1" t="n">
        <v>45358</v>
      </c>
      <c r="D807" t="inlineStr">
        <is>
          <t>DALARNAS LÄN</t>
        </is>
      </c>
      <c r="E807" t="inlineStr">
        <is>
          <t>ÄLVDALEN</t>
        </is>
      </c>
      <c r="G807" t="n">
        <v>4.3</v>
      </c>
      <c r="H807" t="n">
        <v>0</v>
      </c>
      <c r="I807" t="n">
        <v>0</v>
      </c>
      <c r="J807" t="n">
        <v>0</v>
      </c>
      <c r="K807" t="n">
        <v>0</v>
      </c>
      <c r="L807" t="n">
        <v>0</v>
      </c>
      <c r="M807" t="n">
        <v>0</v>
      </c>
      <c r="N807" t="n">
        <v>0</v>
      </c>
      <c r="O807" t="n">
        <v>0</v>
      </c>
      <c r="P807" t="n">
        <v>0</v>
      </c>
      <c r="Q807" t="n">
        <v>0</v>
      </c>
      <c r="R807" s="2" t="inlineStr"/>
    </row>
    <row r="808" ht="15" customHeight="1">
      <c r="A808" t="inlineStr">
        <is>
          <t>A 1794-2024</t>
        </is>
      </c>
      <c r="B808" s="1" t="n">
        <v>45307</v>
      </c>
      <c r="C808" s="1" t="n">
        <v>45358</v>
      </c>
      <c r="D808" t="inlineStr">
        <is>
          <t>DALARNAS LÄN</t>
        </is>
      </c>
      <c r="E808" t="inlineStr">
        <is>
          <t>ÄLVDALEN</t>
        </is>
      </c>
      <c r="G808" t="n">
        <v>1</v>
      </c>
      <c r="H808" t="n">
        <v>0</v>
      </c>
      <c r="I808" t="n">
        <v>0</v>
      </c>
      <c r="J808" t="n">
        <v>0</v>
      </c>
      <c r="K808" t="n">
        <v>0</v>
      </c>
      <c r="L808" t="n">
        <v>0</v>
      </c>
      <c r="M808" t="n">
        <v>0</v>
      </c>
      <c r="N808" t="n">
        <v>0</v>
      </c>
      <c r="O808" t="n">
        <v>0</v>
      </c>
      <c r="P808" t="n">
        <v>0</v>
      </c>
      <c r="Q808" t="n">
        <v>0</v>
      </c>
      <c r="R808" s="2" t="inlineStr"/>
    </row>
    <row r="809" ht="15" customHeight="1">
      <c r="A809" t="inlineStr">
        <is>
          <t>A 1790-2024</t>
        </is>
      </c>
      <c r="B809" s="1" t="n">
        <v>45307</v>
      </c>
      <c r="C809" s="1" t="n">
        <v>45358</v>
      </c>
      <c r="D809" t="inlineStr">
        <is>
          <t>DALARNAS LÄN</t>
        </is>
      </c>
      <c r="E809" t="inlineStr">
        <is>
          <t>ÄLVDALEN</t>
        </is>
      </c>
      <c r="G809" t="n">
        <v>1.9</v>
      </c>
      <c r="H809" t="n">
        <v>0</v>
      </c>
      <c r="I809" t="n">
        <v>0</v>
      </c>
      <c r="J809" t="n">
        <v>0</v>
      </c>
      <c r="K809" t="n">
        <v>0</v>
      </c>
      <c r="L809" t="n">
        <v>0</v>
      </c>
      <c r="M809" t="n">
        <v>0</v>
      </c>
      <c r="N809" t="n">
        <v>0</v>
      </c>
      <c r="O809" t="n">
        <v>0</v>
      </c>
      <c r="P809" t="n">
        <v>0</v>
      </c>
      <c r="Q809" t="n">
        <v>0</v>
      </c>
      <c r="R809" s="2" t="inlineStr"/>
    </row>
    <row r="810" ht="15" customHeight="1">
      <c r="A810" t="inlineStr">
        <is>
          <t>A 1804-2024</t>
        </is>
      </c>
      <c r="B810" s="1" t="n">
        <v>45307</v>
      </c>
      <c r="C810" s="1" t="n">
        <v>45358</v>
      </c>
      <c r="D810" t="inlineStr">
        <is>
          <t>DALARNAS LÄN</t>
        </is>
      </c>
      <c r="E810" t="inlineStr">
        <is>
          <t>ÄLVDALEN</t>
        </is>
      </c>
      <c r="G810" t="n">
        <v>1.9</v>
      </c>
      <c r="H810" t="n">
        <v>0</v>
      </c>
      <c r="I810" t="n">
        <v>0</v>
      </c>
      <c r="J810" t="n">
        <v>0</v>
      </c>
      <c r="K810" t="n">
        <v>0</v>
      </c>
      <c r="L810" t="n">
        <v>0</v>
      </c>
      <c r="M810" t="n">
        <v>0</v>
      </c>
      <c r="N810" t="n">
        <v>0</v>
      </c>
      <c r="O810" t="n">
        <v>0</v>
      </c>
      <c r="P810" t="n">
        <v>0</v>
      </c>
      <c r="Q810" t="n">
        <v>0</v>
      </c>
      <c r="R810" s="2" t="inlineStr"/>
    </row>
    <row r="811" ht="15" customHeight="1">
      <c r="A811" t="inlineStr">
        <is>
          <t>A 2384-2024</t>
        </is>
      </c>
      <c r="B811" s="1" t="n">
        <v>45310</v>
      </c>
      <c r="C811" s="1" t="n">
        <v>45358</v>
      </c>
      <c r="D811" t="inlineStr">
        <is>
          <t>DALARNAS LÄN</t>
        </is>
      </c>
      <c r="E811" t="inlineStr">
        <is>
          <t>ÄLVDALEN</t>
        </is>
      </c>
      <c r="G811" t="n">
        <v>2.7</v>
      </c>
      <c r="H811" t="n">
        <v>0</v>
      </c>
      <c r="I811" t="n">
        <v>0</v>
      </c>
      <c r="J811" t="n">
        <v>0</v>
      </c>
      <c r="K811" t="n">
        <v>0</v>
      </c>
      <c r="L811" t="n">
        <v>0</v>
      </c>
      <c r="M811" t="n">
        <v>0</v>
      </c>
      <c r="N811" t="n">
        <v>0</v>
      </c>
      <c r="O811" t="n">
        <v>0</v>
      </c>
      <c r="P811" t="n">
        <v>0</v>
      </c>
      <c r="Q811" t="n">
        <v>0</v>
      </c>
      <c r="R811" s="2" t="inlineStr"/>
    </row>
    <row r="812" ht="15" customHeight="1">
      <c r="A812" t="inlineStr">
        <is>
          <t>A 2375-2024</t>
        </is>
      </c>
      <c r="B812" s="1" t="n">
        <v>45310</v>
      </c>
      <c r="C812" s="1" t="n">
        <v>45358</v>
      </c>
      <c r="D812" t="inlineStr">
        <is>
          <t>DALARNAS LÄN</t>
        </is>
      </c>
      <c r="E812" t="inlineStr">
        <is>
          <t>ÄLVDALEN</t>
        </is>
      </c>
      <c r="G812" t="n">
        <v>5.4</v>
      </c>
      <c r="H812" t="n">
        <v>0</v>
      </c>
      <c r="I812" t="n">
        <v>0</v>
      </c>
      <c r="J812" t="n">
        <v>0</v>
      </c>
      <c r="K812" t="n">
        <v>0</v>
      </c>
      <c r="L812" t="n">
        <v>0</v>
      </c>
      <c r="M812" t="n">
        <v>0</v>
      </c>
      <c r="N812" t="n">
        <v>0</v>
      </c>
      <c r="O812" t="n">
        <v>0</v>
      </c>
      <c r="P812" t="n">
        <v>0</v>
      </c>
      <c r="Q812" t="n">
        <v>0</v>
      </c>
      <c r="R812" s="2" t="inlineStr"/>
    </row>
    <row r="813" ht="15" customHeight="1">
      <c r="A813" t="inlineStr">
        <is>
          <t>A 2377-2024</t>
        </is>
      </c>
      <c r="B813" s="1" t="n">
        <v>45310</v>
      </c>
      <c r="C813" s="1" t="n">
        <v>45358</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2381-2024</t>
        </is>
      </c>
      <c r="B814" s="1" t="n">
        <v>45310</v>
      </c>
      <c r="C814" s="1" t="n">
        <v>45358</v>
      </c>
      <c r="D814" t="inlineStr">
        <is>
          <t>DALARNAS LÄN</t>
        </is>
      </c>
      <c r="E814" t="inlineStr">
        <is>
          <t>ÄLVDALEN</t>
        </is>
      </c>
      <c r="G814" t="n">
        <v>1.1</v>
      </c>
      <c r="H814" t="n">
        <v>0</v>
      </c>
      <c r="I814" t="n">
        <v>0</v>
      </c>
      <c r="J814" t="n">
        <v>0</v>
      </c>
      <c r="K814" t="n">
        <v>0</v>
      </c>
      <c r="L814" t="n">
        <v>0</v>
      </c>
      <c r="M814" t="n">
        <v>0</v>
      </c>
      <c r="N814" t="n">
        <v>0</v>
      </c>
      <c r="O814" t="n">
        <v>0</v>
      </c>
      <c r="P814" t="n">
        <v>0</v>
      </c>
      <c r="Q814" t="n">
        <v>0</v>
      </c>
      <c r="R814" s="2" t="inlineStr"/>
    </row>
    <row r="815" ht="15" customHeight="1">
      <c r="A815" t="inlineStr">
        <is>
          <t>A 2410-2024</t>
        </is>
      </c>
      <c r="B815" s="1" t="n">
        <v>45310</v>
      </c>
      <c r="C815" s="1" t="n">
        <v>45358</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3009-2024</t>
        </is>
      </c>
      <c r="B816" s="1" t="n">
        <v>45315</v>
      </c>
      <c r="C816" s="1" t="n">
        <v>45358</v>
      </c>
      <c r="D816" t="inlineStr">
        <is>
          <t>DALARNAS LÄN</t>
        </is>
      </c>
      <c r="E816" t="inlineStr">
        <is>
          <t>ÄLVDALEN</t>
        </is>
      </c>
      <c r="G816" t="n">
        <v>7</v>
      </c>
      <c r="H816" t="n">
        <v>0</v>
      </c>
      <c r="I816" t="n">
        <v>0</v>
      </c>
      <c r="J816" t="n">
        <v>0</v>
      </c>
      <c r="K816" t="n">
        <v>0</v>
      </c>
      <c r="L816" t="n">
        <v>0</v>
      </c>
      <c r="M816" t="n">
        <v>0</v>
      </c>
      <c r="N816" t="n">
        <v>0</v>
      </c>
      <c r="O816" t="n">
        <v>0</v>
      </c>
      <c r="P816" t="n">
        <v>0</v>
      </c>
      <c r="Q816" t="n">
        <v>0</v>
      </c>
      <c r="R816" s="2" t="inlineStr"/>
    </row>
    <row r="817" ht="15" customHeight="1">
      <c r="A817" t="inlineStr">
        <is>
          <t>A 3050-2024</t>
        </is>
      </c>
      <c r="B817" s="1" t="n">
        <v>45316</v>
      </c>
      <c r="C817" s="1" t="n">
        <v>45358</v>
      </c>
      <c r="D817" t="inlineStr">
        <is>
          <t>DALARNAS LÄN</t>
        </is>
      </c>
      <c r="E817" t="inlineStr">
        <is>
          <t>ÄLVDALEN</t>
        </is>
      </c>
      <c r="G817" t="n">
        <v>10</v>
      </c>
      <c r="H817" t="n">
        <v>0</v>
      </c>
      <c r="I817" t="n">
        <v>0</v>
      </c>
      <c r="J817" t="n">
        <v>0</v>
      </c>
      <c r="K817" t="n">
        <v>0</v>
      </c>
      <c r="L817" t="n">
        <v>0</v>
      </c>
      <c r="M817" t="n">
        <v>0</v>
      </c>
      <c r="N817" t="n">
        <v>0</v>
      </c>
      <c r="O817" t="n">
        <v>0</v>
      </c>
      <c r="P817" t="n">
        <v>0</v>
      </c>
      <c r="Q817" t="n">
        <v>0</v>
      </c>
      <c r="R817" s="2" t="inlineStr"/>
    </row>
    <row r="818" ht="15" customHeight="1">
      <c r="A818" t="inlineStr">
        <is>
          <t>A 3808-2024</t>
        </is>
      </c>
      <c r="B818" s="1" t="n">
        <v>45321</v>
      </c>
      <c r="C818" s="1" t="n">
        <v>45358</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45358</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45358</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45358</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3893-2024</t>
        </is>
      </c>
      <c r="B822" s="1" t="n">
        <v>45322</v>
      </c>
      <c r="C822" s="1" t="n">
        <v>45358</v>
      </c>
      <c r="D822" t="inlineStr">
        <is>
          <t>DALARNAS LÄN</t>
        </is>
      </c>
      <c r="E822" t="inlineStr">
        <is>
          <t>ÄLVDALEN</t>
        </is>
      </c>
      <c r="G822" t="n">
        <v>0.5</v>
      </c>
      <c r="H822" t="n">
        <v>0</v>
      </c>
      <c r="I822" t="n">
        <v>0</v>
      </c>
      <c r="J822" t="n">
        <v>0</v>
      </c>
      <c r="K822" t="n">
        <v>0</v>
      </c>
      <c r="L822" t="n">
        <v>0</v>
      </c>
      <c r="M822" t="n">
        <v>0</v>
      </c>
      <c r="N822" t="n">
        <v>0</v>
      </c>
      <c r="O822" t="n">
        <v>0</v>
      </c>
      <c r="P822" t="n">
        <v>0</v>
      </c>
      <c r="Q822" t="n">
        <v>0</v>
      </c>
      <c r="R822" s="2" t="inlineStr"/>
    </row>
    <row r="823" ht="15" customHeight="1">
      <c r="A823" t="inlineStr">
        <is>
          <t>A 3905-2024</t>
        </is>
      </c>
      <c r="B823" s="1" t="n">
        <v>45322</v>
      </c>
      <c r="C823" s="1" t="n">
        <v>45358</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3903-2024</t>
        </is>
      </c>
      <c r="B824" s="1" t="n">
        <v>45322</v>
      </c>
      <c r="C824" s="1" t="n">
        <v>45358</v>
      </c>
      <c r="D824" t="inlineStr">
        <is>
          <t>DALARNAS LÄN</t>
        </is>
      </c>
      <c r="E824" t="inlineStr">
        <is>
          <t>ÄLVDALEN</t>
        </is>
      </c>
      <c r="G824" t="n">
        <v>0.7</v>
      </c>
      <c r="H824" t="n">
        <v>0</v>
      </c>
      <c r="I824" t="n">
        <v>0</v>
      </c>
      <c r="J824" t="n">
        <v>0</v>
      </c>
      <c r="K824" t="n">
        <v>0</v>
      </c>
      <c r="L824" t="n">
        <v>0</v>
      </c>
      <c r="M824" t="n">
        <v>0</v>
      </c>
      <c r="N824" t="n">
        <v>0</v>
      </c>
      <c r="O824" t="n">
        <v>0</v>
      </c>
      <c r="P824" t="n">
        <v>0</v>
      </c>
      <c r="Q824" t="n">
        <v>0</v>
      </c>
      <c r="R824" s="2" t="inlineStr"/>
    </row>
    <row r="825" ht="15" customHeight="1">
      <c r="A825" t="inlineStr">
        <is>
          <t>A 3914-2024</t>
        </is>
      </c>
      <c r="B825" s="1" t="n">
        <v>45322</v>
      </c>
      <c r="C825" s="1" t="n">
        <v>45358</v>
      </c>
      <c r="D825" t="inlineStr">
        <is>
          <t>DALARNAS LÄN</t>
        </is>
      </c>
      <c r="E825" t="inlineStr">
        <is>
          <t>ÄLVDALEN</t>
        </is>
      </c>
      <c r="G825" t="n">
        <v>0.3</v>
      </c>
      <c r="H825" t="n">
        <v>0</v>
      </c>
      <c r="I825" t="n">
        <v>0</v>
      </c>
      <c r="J825" t="n">
        <v>0</v>
      </c>
      <c r="K825" t="n">
        <v>0</v>
      </c>
      <c r="L825" t="n">
        <v>0</v>
      </c>
      <c r="M825" t="n">
        <v>0</v>
      </c>
      <c r="N825" t="n">
        <v>0</v>
      </c>
      <c r="O825" t="n">
        <v>0</v>
      </c>
      <c r="P825" t="n">
        <v>0</v>
      </c>
      <c r="Q825" t="n">
        <v>0</v>
      </c>
      <c r="R825" s="2" t="inlineStr"/>
    </row>
    <row r="826" ht="15" customHeight="1">
      <c r="A826" t="inlineStr">
        <is>
          <t>A 4050-2024</t>
        </is>
      </c>
      <c r="B826" s="1" t="n">
        <v>45323</v>
      </c>
      <c r="C826" s="1" t="n">
        <v>45358</v>
      </c>
      <c r="D826" t="inlineStr">
        <is>
          <t>DALARNAS LÄN</t>
        </is>
      </c>
      <c r="E826" t="inlineStr">
        <is>
          <t>ÄLVDALEN</t>
        </is>
      </c>
      <c r="F826" t="inlineStr">
        <is>
          <t>Övriga statliga verk och myndigheter</t>
        </is>
      </c>
      <c r="G826" t="n">
        <v>1.2</v>
      </c>
      <c r="H826" t="n">
        <v>0</v>
      </c>
      <c r="I826" t="n">
        <v>0</v>
      </c>
      <c r="J826" t="n">
        <v>0</v>
      </c>
      <c r="K826" t="n">
        <v>0</v>
      </c>
      <c r="L826" t="n">
        <v>0</v>
      </c>
      <c r="M826" t="n">
        <v>0</v>
      </c>
      <c r="N826" t="n">
        <v>0</v>
      </c>
      <c r="O826" t="n">
        <v>0</v>
      </c>
      <c r="P826" t="n">
        <v>0</v>
      </c>
      <c r="Q826" t="n">
        <v>0</v>
      </c>
      <c r="R826" s="2" t="inlineStr"/>
    </row>
    <row r="827" ht="15" customHeight="1">
      <c r="A827" t="inlineStr">
        <is>
          <t>A 4525-2024</t>
        </is>
      </c>
      <c r="B827" s="1" t="n">
        <v>45327</v>
      </c>
      <c r="C827" s="1" t="n">
        <v>45358</v>
      </c>
      <c r="D827" t="inlineStr">
        <is>
          <t>DALARNAS LÄN</t>
        </is>
      </c>
      <c r="E827" t="inlineStr">
        <is>
          <t>ÄLVDALEN</t>
        </is>
      </c>
      <c r="G827" t="n">
        <v>12.5</v>
      </c>
      <c r="H827" t="n">
        <v>0</v>
      </c>
      <c r="I827" t="n">
        <v>0</v>
      </c>
      <c r="J827" t="n">
        <v>0</v>
      </c>
      <c r="K827" t="n">
        <v>0</v>
      </c>
      <c r="L827" t="n">
        <v>0</v>
      </c>
      <c r="M827" t="n">
        <v>0</v>
      </c>
      <c r="N827" t="n">
        <v>0</v>
      </c>
      <c r="O827" t="n">
        <v>0</v>
      </c>
      <c r="P827" t="n">
        <v>0</v>
      </c>
      <c r="Q827" t="n">
        <v>0</v>
      </c>
      <c r="R827" s="2" t="inlineStr"/>
    </row>
    <row r="828" ht="15" customHeight="1">
      <c r="A828" t="inlineStr">
        <is>
          <t>A 4380-2024</t>
        </is>
      </c>
      <c r="B828" s="1" t="n">
        <v>45327</v>
      </c>
      <c r="C828" s="1" t="n">
        <v>45358</v>
      </c>
      <c r="D828" t="inlineStr">
        <is>
          <t>DALARNAS LÄN</t>
        </is>
      </c>
      <c r="E828" t="inlineStr">
        <is>
          <t>ÄLVDALEN</t>
        </is>
      </c>
      <c r="G828" t="n">
        <v>6.3</v>
      </c>
      <c r="H828" t="n">
        <v>0</v>
      </c>
      <c r="I828" t="n">
        <v>0</v>
      </c>
      <c r="J828" t="n">
        <v>0</v>
      </c>
      <c r="K828" t="n">
        <v>0</v>
      </c>
      <c r="L828" t="n">
        <v>0</v>
      </c>
      <c r="M828" t="n">
        <v>0</v>
      </c>
      <c r="N828" t="n">
        <v>0</v>
      </c>
      <c r="O828" t="n">
        <v>0</v>
      </c>
      <c r="P828" t="n">
        <v>0</v>
      </c>
      <c r="Q828" t="n">
        <v>0</v>
      </c>
      <c r="R828" s="2" t="inlineStr"/>
    </row>
    <row r="829" ht="15" customHeight="1">
      <c r="A829" t="inlineStr">
        <is>
          <t>A 4709-2024</t>
        </is>
      </c>
      <c r="B829" s="1" t="n">
        <v>45328</v>
      </c>
      <c r="C829" s="1" t="n">
        <v>45358</v>
      </c>
      <c r="D829" t="inlineStr">
        <is>
          <t>DALARNAS LÄN</t>
        </is>
      </c>
      <c r="E829" t="inlineStr">
        <is>
          <t>ÄLVDALEN</t>
        </is>
      </c>
      <c r="G829" t="n">
        <v>9.1</v>
      </c>
      <c r="H829" t="n">
        <v>0</v>
      </c>
      <c r="I829" t="n">
        <v>0</v>
      </c>
      <c r="J829" t="n">
        <v>0</v>
      </c>
      <c r="K829" t="n">
        <v>0</v>
      </c>
      <c r="L829" t="n">
        <v>0</v>
      </c>
      <c r="M829" t="n">
        <v>0</v>
      </c>
      <c r="N829" t="n">
        <v>0</v>
      </c>
      <c r="O829" t="n">
        <v>0</v>
      </c>
      <c r="P829" t="n">
        <v>0</v>
      </c>
      <c r="Q829" t="n">
        <v>0</v>
      </c>
      <c r="R829" s="2" t="inlineStr"/>
    </row>
    <row r="830" ht="15" customHeight="1">
      <c r="A830" t="inlineStr">
        <is>
          <t>A 4671-2024</t>
        </is>
      </c>
      <c r="B830" s="1" t="n">
        <v>45328</v>
      </c>
      <c r="C830" s="1" t="n">
        <v>45358</v>
      </c>
      <c r="D830" t="inlineStr">
        <is>
          <t>DALARNAS LÄN</t>
        </is>
      </c>
      <c r="E830" t="inlineStr">
        <is>
          <t>ÄLVDALEN</t>
        </is>
      </c>
      <c r="G830" t="n">
        <v>4.8</v>
      </c>
      <c r="H830" t="n">
        <v>0</v>
      </c>
      <c r="I830" t="n">
        <v>0</v>
      </c>
      <c r="J830" t="n">
        <v>0</v>
      </c>
      <c r="K830" t="n">
        <v>0</v>
      </c>
      <c r="L830" t="n">
        <v>0</v>
      </c>
      <c r="M830" t="n">
        <v>0</v>
      </c>
      <c r="N830" t="n">
        <v>0</v>
      </c>
      <c r="O830" t="n">
        <v>0</v>
      </c>
      <c r="P830" t="n">
        <v>0</v>
      </c>
      <c r="Q830" t="n">
        <v>0</v>
      </c>
      <c r="R830" s="2" t="inlineStr"/>
    </row>
    <row r="831" ht="15" customHeight="1">
      <c r="A831" t="inlineStr">
        <is>
          <t>A 4712-2024</t>
        </is>
      </c>
      <c r="B831" s="1" t="n">
        <v>45328</v>
      </c>
      <c r="C831" s="1" t="n">
        <v>45358</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45358</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5170-2024</t>
        </is>
      </c>
      <c r="B833" s="1" t="n">
        <v>45330</v>
      </c>
      <c r="C833" s="1" t="n">
        <v>45358</v>
      </c>
      <c r="D833" t="inlineStr">
        <is>
          <t>DALARNAS LÄN</t>
        </is>
      </c>
      <c r="E833" t="inlineStr">
        <is>
          <t>ÄLVDALEN</t>
        </is>
      </c>
      <c r="G833" t="n">
        <v>15.8</v>
      </c>
      <c r="H833" t="n">
        <v>0</v>
      </c>
      <c r="I833" t="n">
        <v>0</v>
      </c>
      <c r="J833" t="n">
        <v>0</v>
      </c>
      <c r="K833" t="n">
        <v>0</v>
      </c>
      <c r="L833" t="n">
        <v>0</v>
      </c>
      <c r="M833" t="n">
        <v>0</v>
      </c>
      <c r="N833" t="n">
        <v>0</v>
      </c>
      <c r="O833" t="n">
        <v>0</v>
      </c>
      <c r="P833" t="n">
        <v>0</v>
      </c>
      <c r="Q833" t="n">
        <v>0</v>
      </c>
      <c r="R833" s="2" t="inlineStr"/>
    </row>
    <row r="834" ht="15" customHeight="1">
      <c r="A834" t="inlineStr">
        <is>
          <t>A 5885-2024</t>
        </is>
      </c>
      <c r="B834" s="1" t="n">
        <v>45335</v>
      </c>
      <c r="C834" s="1" t="n">
        <v>45358</v>
      </c>
      <c r="D834" t="inlineStr">
        <is>
          <t>DALARNAS LÄN</t>
        </is>
      </c>
      <c r="E834" t="inlineStr">
        <is>
          <t>ÄLVDALEN</t>
        </is>
      </c>
      <c r="G834" t="n">
        <v>0.8</v>
      </c>
      <c r="H834" t="n">
        <v>0</v>
      </c>
      <c r="I834" t="n">
        <v>0</v>
      </c>
      <c r="J834" t="n">
        <v>0</v>
      </c>
      <c r="K834" t="n">
        <v>0</v>
      </c>
      <c r="L834" t="n">
        <v>0</v>
      </c>
      <c r="M834" t="n">
        <v>0</v>
      </c>
      <c r="N834" t="n">
        <v>0</v>
      </c>
      <c r="O834" t="n">
        <v>0</v>
      </c>
      <c r="P834" t="n">
        <v>0</v>
      </c>
      <c r="Q834" t="n">
        <v>0</v>
      </c>
      <c r="R834" s="2" t="inlineStr"/>
    </row>
    <row r="835" ht="15" customHeight="1">
      <c r="A835" t="inlineStr">
        <is>
          <t>A 5883-2024</t>
        </is>
      </c>
      <c r="B835" s="1" t="n">
        <v>45335</v>
      </c>
      <c r="C835" s="1" t="n">
        <v>45358</v>
      </c>
      <c r="D835" t="inlineStr">
        <is>
          <t>DALARNAS LÄN</t>
        </is>
      </c>
      <c r="E835" t="inlineStr">
        <is>
          <t>ÄLVDALEN</t>
        </is>
      </c>
      <c r="G835" t="n">
        <v>12</v>
      </c>
      <c r="H835" t="n">
        <v>0</v>
      </c>
      <c r="I835" t="n">
        <v>0</v>
      </c>
      <c r="J835" t="n">
        <v>0</v>
      </c>
      <c r="K835" t="n">
        <v>0</v>
      </c>
      <c r="L835" t="n">
        <v>0</v>
      </c>
      <c r="M835" t="n">
        <v>0</v>
      </c>
      <c r="N835" t="n">
        <v>0</v>
      </c>
      <c r="O835" t="n">
        <v>0</v>
      </c>
      <c r="P835" t="n">
        <v>0</v>
      </c>
      <c r="Q835" t="n">
        <v>0</v>
      </c>
      <c r="R835" s="2" t="inlineStr"/>
    </row>
    <row r="836" ht="15" customHeight="1">
      <c r="A836" t="inlineStr">
        <is>
          <t>A 6001-2024</t>
        </is>
      </c>
      <c r="B836" s="1" t="n">
        <v>45336</v>
      </c>
      <c r="C836" s="1" t="n">
        <v>45358</v>
      </c>
      <c r="D836" t="inlineStr">
        <is>
          <t>DALARNAS LÄN</t>
        </is>
      </c>
      <c r="E836" t="inlineStr">
        <is>
          <t>ÄLVDALEN</t>
        </is>
      </c>
      <c r="G836" t="n">
        <v>1.4</v>
      </c>
      <c r="H836" t="n">
        <v>0</v>
      </c>
      <c r="I836" t="n">
        <v>0</v>
      </c>
      <c r="J836" t="n">
        <v>0</v>
      </c>
      <c r="K836" t="n">
        <v>0</v>
      </c>
      <c r="L836" t="n">
        <v>0</v>
      </c>
      <c r="M836" t="n">
        <v>0</v>
      </c>
      <c r="N836" t="n">
        <v>0</v>
      </c>
      <c r="O836" t="n">
        <v>0</v>
      </c>
      <c r="P836" t="n">
        <v>0</v>
      </c>
      <c r="Q836" t="n">
        <v>0</v>
      </c>
      <c r="R836" s="2" t="inlineStr"/>
    </row>
    <row r="837" ht="15" customHeight="1">
      <c r="A837" t="inlineStr">
        <is>
          <t>A 6230-2024</t>
        </is>
      </c>
      <c r="B837" s="1" t="n">
        <v>45337</v>
      </c>
      <c r="C837" s="1" t="n">
        <v>45358</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6652-2024</t>
        </is>
      </c>
      <c r="B838" s="1" t="n">
        <v>45341</v>
      </c>
      <c r="C838" s="1" t="n">
        <v>45358</v>
      </c>
      <c r="D838" t="inlineStr">
        <is>
          <t>DALARNAS LÄN</t>
        </is>
      </c>
      <c r="E838" t="inlineStr">
        <is>
          <t>ÄLVDALEN</t>
        </is>
      </c>
      <c r="G838" t="n">
        <v>3.6</v>
      </c>
      <c r="H838" t="n">
        <v>0</v>
      </c>
      <c r="I838" t="n">
        <v>0</v>
      </c>
      <c r="J838" t="n">
        <v>0</v>
      </c>
      <c r="K838" t="n">
        <v>0</v>
      </c>
      <c r="L838" t="n">
        <v>0</v>
      </c>
      <c r="M838" t="n">
        <v>0</v>
      </c>
      <c r="N838" t="n">
        <v>0</v>
      </c>
      <c r="O838" t="n">
        <v>0</v>
      </c>
      <c r="P838" t="n">
        <v>0</v>
      </c>
      <c r="Q838" t="n">
        <v>0</v>
      </c>
      <c r="R838" s="2" t="inlineStr"/>
    </row>
    <row r="839" ht="15" customHeight="1">
      <c r="A839" t="inlineStr">
        <is>
          <t>A 7045-2024</t>
        </is>
      </c>
      <c r="B839" s="1" t="n">
        <v>45343</v>
      </c>
      <c r="C839" s="1" t="n">
        <v>45358</v>
      </c>
      <c r="D839" t="inlineStr">
        <is>
          <t>DALARNAS LÄN</t>
        </is>
      </c>
      <c r="E839" t="inlineStr">
        <is>
          <t>ÄLVDALEN</t>
        </is>
      </c>
      <c r="G839" t="n">
        <v>13</v>
      </c>
      <c r="H839" t="n">
        <v>0</v>
      </c>
      <c r="I839" t="n">
        <v>0</v>
      </c>
      <c r="J839" t="n">
        <v>0</v>
      </c>
      <c r="K839" t="n">
        <v>0</v>
      </c>
      <c r="L839" t="n">
        <v>0</v>
      </c>
      <c r="M839" t="n">
        <v>0</v>
      </c>
      <c r="N839" t="n">
        <v>0</v>
      </c>
      <c r="O839" t="n">
        <v>0</v>
      </c>
      <c r="P839" t="n">
        <v>0</v>
      </c>
      <c r="Q839" t="n">
        <v>0</v>
      </c>
      <c r="R839" s="2" t="inlineStr"/>
    </row>
    <row r="840" ht="15" customHeight="1">
      <c r="A840" t="inlineStr">
        <is>
          <t>A 7541-2024</t>
        </is>
      </c>
      <c r="B840" s="1" t="n">
        <v>45348</v>
      </c>
      <c r="C840" s="1" t="n">
        <v>45358</v>
      </c>
      <c r="D840" t="inlineStr">
        <is>
          <t>DALARNAS LÄN</t>
        </is>
      </c>
      <c r="E840" t="inlineStr">
        <is>
          <t>ÄLVDALEN</t>
        </is>
      </c>
      <c r="G840" t="n">
        <v>2.1</v>
      </c>
      <c r="H840" t="n">
        <v>0</v>
      </c>
      <c r="I840" t="n">
        <v>0</v>
      </c>
      <c r="J840" t="n">
        <v>0</v>
      </c>
      <c r="K840" t="n">
        <v>0</v>
      </c>
      <c r="L840" t="n">
        <v>0</v>
      </c>
      <c r="M840" t="n">
        <v>0</v>
      </c>
      <c r="N840" t="n">
        <v>0</v>
      </c>
      <c r="O840" t="n">
        <v>0</v>
      </c>
      <c r="P840" t="n">
        <v>0</v>
      </c>
      <c r="Q840" t="n">
        <v>0</v>
      </c>
      <c r="R840" s="2" t="inlineStr"/>
    </row>
    <row r="841" ht="15" customHeight="1">
      <c r="A841" t="inlineStr">
        <is>
          <t>A 7576-2024</t>
        </is>
      </c>
      <c r="B841" s="1" t="n">
        <v>45348</v>
      </c>
      <c r="C841" s="1" t="n">
        <v>45358</v>
      </c>
      <c r="D841" t="inlineStr">
        <is>
          <t>DALARNAS LÄN</t>
        </is>
      </c>
      <c r="E841" t="inlineStr">
        <is>
          <t>ÄLVDALEN</t>
        </is>
      </c>
      <c r="G841" t="n">
        <v>11.1</v>
      </c>
      <c r="H841" t="n">
        <v>0</v>
      </c>
      <c r="I841" t="n">
        <v>0</v>
      </c>
      <c r="J841" t="n">
        <v>0</v>
      </c>
      <c r="K841" t="n">
        <v>0</v>
      </c>
      <c r="L841" t="n">
        <v>0</v>
      </c>
      <c r="M841" t="n">
        <v>0</v>
      </c>
      <c r="N841" t="n">
        <v>0</v>
      </c>
      <c r="O841" t="n">
        <v>0</v>
      </c>
      <c r="P841" t="n">
        <v>0</v>
      </c>
      <c r="Q841" t="n">
        <v>0</v>
      </c>
      <c r="R841" s="2" t="inlineStr"/>
    </row>
    <row r="842" ht="15" customHeight="1">
      <c r="A842" t="inlineStr">
        <is>
          <t>A 7581-2024</t>
        </is>
      </c>
      <c r="B842" s="1" t="n">
        <v>45348</v>
      </c>
      <c r="C842" s="1" t="n">
        <v>45358</v>
      </c>
      <c r="D842" t="inlineStr">
        <is>
          <t>DALARNAS LÄN</t>
        </is>
      </c>
      <c r="E842" t="inlineStr">
        <is>
          <t>ÄLVDALEN</t>
        </is>
      </c>
      <c r="G842" t="n">
        <v>1.5</v>
      </c>
      <c r="H842" t="n">
        <v>0</v>
      </c>
      <c r="I842" t="n">
        <v>0</v>
      </c>
      <c r="J842" t="n">
        <v>0</v>
      </c>
      <c r="K842" t="n">
        <v>0</v>
      </c>
      <c r="L842" t="n">
        <v>0</v>
      </c>
      <c r="M842" t="n">
        <v>0</v>
      </c>
      <c r="N842" t="n">
        <v>0</v>
      </c>
      <c r="O842" t="n">
        <v>0</v>
      </c>
      <c r="P842" t="n">
        <v>0</v>
      </c>
      <c r="Q842" t="n">
        <v>0</v>
      </c>
      <c r="R842" s="2" t="inlineStr"/>
    </row>
    <row r="843" ht="15" customHeight="1">
      <c r="A843" t="inlineStr">
        <is>
          <t>A 7998-2024</t>
        </is>
      </c>
      <c r="B843" s="1" t="n">
        <v>45350</v>
      </c>
      <c r="C843" s="1" t="n">
        <v>45358</v>
      </c>
      <c r="D843" t="inlineStr">
        <is>
          <t>DALARNAS LÄN</t>
        </is>
      </c>
      <c r="E843" t="inlineStr">
        <is>
          <t>ÄLVDALEN</t>
        </is>
      </c>
      <c r="F843" t="inlineStr">
        <is>
          <t>Kommuner</t>
        </is>
      </c>
      <c r="G843" t="n">
        <v>7.9</v>
      </c>
      <c r="H843" t="n">
        <v>0</v>
      </c>
      <c r="I843" t="n">
        <v>0</v>
      </c>
      <c r="J843" t="n">
        <v>0</v>
      </c>
      <c r="K843" t="n">
        <v>0</v>
      </c>
      <c r="L843" t="n">
        <v>0</v>
      </c>
      <c r="M843" t="n">
        <v>0</v>
      </c>
      <c r="N843" t="n">
        <v>0</v>
      </c>
      <c r="O843" t="n">
        <v>0</v>
      </c>
      <c r="P843" t="n">
        <v>0</v>
      </c>
      <c r="Q843" t="n">
        <v>0</v>
      </c>
      <c r="R843" s="2" t="inlineStr"/>
    </row>
    <row r="844" ht="15" customHeight="1">
      <c r="A844" t="inlineStr">
        <is>
          <t>A 8784-2024</t>
        </is>
      </c>
      <c r="B844" s="1" t="n">
        <v>45356</v>
      </c>
      <c r="C844" s="1" t="n">
        <v>45358</v>
      </c>
      <c r="D844" t="inlineStr">
        <is>
          <t>DALARNAS LÄN</t>
        </is>
      </c>
      <c r="E844" t="inlineStr">
        <is>
          <t>ÄLVDALEN</t>
        </is>
      </c>
      <c r="G844" t="n">
        <v>1.6</v>
      </c>
      <c r="H844" t="n">
        <v>0</v>
      </c>
      <c r="I844" t="n">
        <v>0</v>
      </c>
      <c r="J844" t="n">
        <v>0</v>
      </c>
      <c r="K844" t="n">
        <v>0</v>
      </c>
      <c r="L844" t="n">
        <v>0</v>
      </c>
      <c r="M844" t="n">
        <v>0</v>
      </c>
      <c r="N844" t="n">
        <v>0</v>
      </c>
      <c r="O844" t="n">
        <v>0</v>
      </c>
      <c r="P844" t="n">
        <v>0</v>
      </c>
      <c r="Q844" t="n">
        <v>0</v>
      </c>
      <c r="R844" s="2" t="inlineStr"/>
    </row>
    <row r="845" ht="15" customHeight="1">
      <c r="A845" t="inlineStr">
        <is>
          <t>A 9084-2024</t>
        </is>
      </c>
      <c r="B845" s="1" t="n">
        <v>45357</v>
      </c>
      <c r="C845" s="1" t="n">
        <v>45358</v>
      </c>
      <c r="D845" t="inlineStr">
        <is>
          <t>DALARNAS LÄN</t>
        </is>
      </c>
      <c r="E845" t="inlineStr">
        <is>
          <t>ÄLVDALEN</t>
        </is>
      </c>
      <c r="F845" t="inlineStr">
        <is>
          <t>Övriga Aktiebolag</t>
        </is>
      </c>
      <c r="G845" t="n">
        <v>5.6</v>
      </c>
      <c r="H845" t="n">
        <v>0</v>
      </c>
      <c r="I845" t="n">
        <v>0</v>
      </c>
      <c r="J845" t="n">
        <v>0</v>
      </c>
      <c r="K845" t="n">
        <v>0</v>
      </c>
      <c r="L845" t="n">
        <v>0</v>
      </c>
      <c r="M845" t="n">
        <v>0</v>
      </c>
      <c r="N845" t="n">
        <v>0</v>
      </c>
      <c r="O845" t="n">
        <v>0</v>
      </c>
      <c r="P845" t="n">
        <v>0</v>
      </c>
      <c r="Q845" t="n">
        <v>0</v>
      </c>
      <c r="R845" s="2" t="inlineStr"/>
    </row>
    <row r="846" ht="15" customHeight="1">
      <c r="A846" t="inlineStr">
        <is>
          <t>A 9091-2024</t>
        </is>
      </c>
      <c r="B846" s="1" t="n">
        <v>45357</v>
      </c>
      <c r="C846" s="1" t="n">
        <v>45358</v>
      </c>
      <c r="D846" t="inlineStr">
        <is>
          <t>DALARNAS LÄN</t>
        </is>
      </c>
      <c r="E846" t="inlineStr">
        <is>
          <t>ÄLVDALEN</t>
        </is>
      </c>
      <c r="F846" t="inlineStr">
        <is>
          <t>Övriga Aktiebolag</t>
        </is>
      </c>
      <c r="G846" t="n">
        <v>2</v>
      </c>
      <c r="H846" t="n">
        <v>0</v>
      </c>
      <c r="I846" t="n">
        <v>0</v>
      </c>
      <c r="J846" t="n">
        <v>0</v>
      </c>
      <c r="K846" t="n">
        <v>0</v>
      </c>
      <c r="L846" t="n">
        <v>0</v>
      </c>
      <c r="M846" t="n">
        <v>0</v>
      </c>
      <c r="N846" t="n">
        <v>0</v>
      </c>
      <c r="O846" t="n">
        <v>0</v>
      </c>
      <c r="P846" t="n">
        <v>0</v>
      </c>
      <c r="Q846" t="n">
        <v>0</v>
      </c>
      <c r="R846" s="2" t="inlineStr"/>
    </row>
    <row r="847" ht="15" customHeight="1">
      <c r="A847" t="inlineStr">
        <is>
          <t>A 9100-2024</t>
        </is>
      </c>
      <c r="B847" s="1" t="n">
        <v>45357</v>
      </c>
      <c r="C847" s="1" t="n">
        <v>45358</v>
      </c>
      <c r="D847" t="inlineStr">
        <is>
          <t>DALARNAS LÄN</t>
        </is>
      </c>
      <c r="E847" t="inlineStr">
        <is>
          <t>ÄLVDALEN</t>
        </is>
      </c>
      <c r="F847" t="inlineStr">
        <is>
          <t>Övriga Aktiebolag</t>
        </is>
      </c>
      <c r="G847" t="n">
        <v>6.3</v>
      </c>
      <c r="H847" t="n">
        <v>0</v>
      </c>
      <c r="I847" t="n">
        <v>0</v>
      </c>
      <c r="J847" t="n">
        <v>0</v>
      </c>
      <c r="K847" t="n">
        <v>0</v>
      </c>
      <c r="L847" t="n">
        <v>0</v>
      </c>
      <c r="M847" t="n">
        <v>0</v>
      </c>
      <c r="N847" t="n">
        <v>0</v>
      </c>
      <c r="O847" t="n">
        <v>0</v>
      </c>
      <c r="P847" t="n">
        <v>0</v>
      </c>
      <c r="Q847" t="n">
        <v>0</v>
      </c>
      <c r="R847" s="2" t="inlineStr"/>
    </row>
    <row r="848" ht="15" customHeight="1">
      <c r="A848" t="inlineStr">
        <is>
          <t>A 9108-2024</t>
        </is>
      </c>
      <c r="B848" s="1" t="n">
        <v>45358</v>
      </c>
      <c r="C848" s="1" t="n">
        <v>45358</v>
      </c>
      <c r="D848" t="inlineStr">
        <is>
          <t>DALARNAS LÄN</t>
        </is>
      </c>
      <c r="E848" t="inlineStr">
        <is>
          <t>ÄLVDALEN</t>
        </is>
      </c>
      <c r="F848" t="inlineStr">
        <is>
          <t>Övriga Aktiebolag</t>
        </is>
      </c>
      <c r="G848" t="n">
        <v>24.4</v>
      </c>
      <c r="H848" t="n">
        <v>0</v>
      </c>
      <c r="I848" t="n">
        <v>0</v>
      </c>
      <c r="J848" t="n">
        <v>0</v>
      </c>
      <c r="K848" t="n">
        <v>0</v>
      </c>
      <c r="L848" t="n">
        <v>0</v>
      </c>
      <c r="M848" t="n">
        <v>0</v>
      </c>
      <c r="N848" t="n">
        <v>0</v>
      </c>
      <c r="O848" t="n">
        <v>0</v>
      </c>
      <c r="P848" t="n">
        <v>0</v>
      </c>
      <c r="Q848" t="n">
        <v>0</v>
      </c>
      <c r="R848" s="2" t="inlineStr"/>
    </row>
    <row r="849">
      <c r="A849" t="inlineStr">
        <is>
          <t>A 9085-2024</t>
        </is>
      </c>
      <c r="B849" s="1" t="n">
        <v>45357</v>
      </c>
      <c r="C849" s="1" t="n">
        <v>45358</v>
      </c>
      <c r="D849" t="inlineStr">
        <is>
          <t>DALARNAS LÄN</t>
        </is>
      </c>
      <c r="E849" t="inlineStr">
        <is>
          <t>ÄLVDALEN</t>
        </is>
      </c>
      <c r="F849" t="inlineStr">
        <is>
          <t>Övriga Aktiebolag</t>
        </is>
      </c>
      <c r="G849" t="n">
        <v>1.7</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2024-03-07T13:22:28Z</dcterms:created>
  <dcterms:modified xmlns:dcterms="http://purl.org/dc/terms/" xmlns:xsi="http://www.w3.org/2001/XMLSchema-instance" xsi:type="dcterms:W3CDTF">2024-03-07T13:22:29Z</dcterms:modified>
</cp:coreProperties>
</file>