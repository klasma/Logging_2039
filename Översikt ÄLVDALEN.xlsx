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45824</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45824</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45824</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45824</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45824</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45824</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45824</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45824</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45824</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45824</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45824</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45824</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45824</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45824</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45824</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45824</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45824</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45824</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45824</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45824</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45824</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45824</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45824</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23427-2025</t>
        </is>
      </c>
      <c r="B44" s="1" t="n">
        <v>45792</v>
      </c>
      <c r="C44" s="1" t="n">
        <v>45824</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HYPERLINK("https://klasma.github.io/Logging_202039/artfynd/A 23427-2025 artfynd.xlsx", "A 23427-2025")</f>
        <v/>
      </c>
      <c r="T44">
        <f>HYPERLINK("https://klasma.github.io/Logging_202039/kartor/A 23427-2025 karta.png", "A 23427-2025")</f>
        <v/>
      </c>
      <c r="V44">
        <f>HYPERLINK("https://klasma.github.io/Logging_202039/klagomål/A 23427-2025 FSC-klagomål.docx", "A 23427-2025")</f>
        <v/>
      </c>
      <c r="W44">
        <f>HYPERLINK("https://klasma.github.io/Logging_202039/klagomålsmail/A 23427-2025 FSC-klagomål mail.docx", "A 23427-2025")</f>
        <v/>
      </c>
      <c r="X44">
        <f>HYPERLINK("https://klasma.github.io/Logging_202039/tillsyn/A 23427-2025 tillsynsbegäran.docx", "A 23427-2025")</f>
        <v/>
      </c>
      <c r="Y44">
        <f>HYPERLINK("https://klasma.github.io/Logging_202039/tillsynsmail/A 23427-2025 tillsynsbegäran mail.docx", "A 23427-2025")</f>
        <v/>
      </c>
    </row>
    <row r="45" ht="15" customHeight="1">
      <c r="A45" t="inlineStr">
        <is>
          <t>A 33608-2021</t>
        </is>
      </c>
      <c r="B45" s="1" t="n">
        <v>44378</v>
      </c>
      <c r="C45" s="1" t="n">
        <v>45824</v>
      </c>
      <c r="D45" t="inlineStr">
        <is>
          <t>DALARNAS LÄN</t>
        </is>
      </c>
      <c r="E45" t="inlineStr">
        <is>
          <t>ÄLVDALEN</t>
        </is>
      </c>
      <c r="F45" t="inlineStr">
        <is>
          <t>Sveaskog</t>
        </is>
      </c>
      <c r="G45" t="n">
        <v>6.4</v>
      </c>
      <c r="H45" t="n">
        <v>1</v>
      </c>
      <c r="I45" t="n">
        <v>0</v>
      </c>
      <c r="J45" t="n">
        <v>6</v>
      </c>
      <c r="K45" t="n">
        <v>0</v>
      </c>
      <c r="L45" t="n">
        <v>0</v>
      </c>
      <c r="M45" t="n">
        <v>0</v>
      </c>
      <c r="N45" t="n">
        <v>0</v>
      </c>
      <c r="O45" t="n">
        <v>6</v>
      </c>
      <c r="P45" t="n">
        <v>0</v>
      </c>
      <c r="Q45" t="n">
        <v>6</v>
      </c>
      <c r="R45" s="2" t="inlineStr">
        <is>
          <t>Blanksvart spiklav
Duvhök
Kolflarnlav
Mörk kolflarnlav
Vedflamlav
Vedskivlav</t>
        </is>
      </c>
      <c r="S45">
        <f>HYPERLINK("https://klasma.github.io/Logging_2039/artfynd/A 33608-2021 artfynd.xlsx", "A 33608-2021")</f>
        <v/>
      </c>
      <c r="T45">
        <f>HYPERLINK("https://klasma.github.io/Logging_2039/kartor/A 33608-2021 karta.png", "A 33608-2021")</f>
        <v/>
      </c>
      <c r="V45">
        <f>HYPERLINK("https://klasma.github.io/Logging_2039/klagomål/A 33608-2021 FSC-klagomål.docx", "A 33608-2021")</f>
        <v/>
      </c>
      <c r="W45">
        <f>HYPERLINK("https://klasma.github.io/Logging_2039/klagomålsmail/A 33608-2021 FSC-klagomål mail.docx", "A 33608-2021")</f>
        <v/>
      </c>
      <c r="X45">
        <f>HYPERLINK("https://klasma.github.io/Logging_2039/tillsyn/A 33608-2021 tillsynsbegäran.docx", "A 33608-2021")</f>
        <v/>
      </c>
      <c r="Y45">
        <f>HYPERLINK("https://klasma.github.io/Logging_2039/tillsynsmail/A 33608-2021 tillsynsbegäran mail.docx", "A 33608-2021")</f>
        <v/>
      </c>
      <c r="Z45">
        <f>HYPERLINK("https://klasma.github.io/Logging_2039/fåglar/A 33608-2021 prioriterade fågelarter.docx", "A 33608-2021")</f>
        <v/>
      </c>
    </row>
    <row r="46" ht="15" customHeight="1">
      <c r="A46" t="inlineStr">
        <is>
          <t>A 54314-2021</t>
        </is>
      </c>
      <c r="B46" s="1" t="n">
        <v>44472</v>
      </c>
      <c r="C46" s="1" t="n">
        <v>45824</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54671-2021</t>
        </is>
      </c>
      <c r="B47" s="1" t="n">
        <v>44473</v>
      </c>
      <c r="C47" s="1" t="n">
        <v>45824</v>
      </c>
      <c r="D47" t="inlineStr">
        <is>
          <t>DALARNAS LÄN</t>
        </is>
      </c>
      <c r="E47" t="inlineStr">
        <is>
          <t>ÄLVDALEN</t>
        </is>
      </c>
      <c r="G47" t="n">
        <v>26.4</v>
      </c>
      <c r="H47" t="n">
        <v>0</v>
      </c>
      <c r="I47" t="n">
        <v>0</v>
      </c>
      <c r="J47" t="n">
        <v>4</v>
      </c>
      <c r="K47" t="n">
        <v>1</v>
      </c>
      <c r="L47" t="n">
        <v>1</v>
      </c>
      <c r="M47" t="n">
        <v>0</v>
      </c>
      <c r="N47" t="n">
        <v>0</v>
      </c>
      <c r="O47" t="n">
        <v>6</v>
      </c>
      <c r="P47" t="n">
        <v>2</v>
      </c>
      <c r="Q47" t="n">
        <v>6</v>
      </c>
      <c r="R47" s="2" t="inlineStr">
        <is>
          <t>Timmerskapania
Fläckporing
Granticka
Kolflarnlav
Mörk kolflarnlav
Ullticka</t>
        </is>
      </c>
      <c r="S47">
        <f>HYPERLINK("https://klasma.github.io/Logging_2039/artfynd/A 54671-2021 artfynd.xlsx", "A 54671-2021")</f>
        <v/>
      </c>
      <c r="T47">
        <f>HYPERLINK("https://klasma.github.io/Logging_2039/kartor/A 54671-2021 karta.png", "A 54671-2021")</f>
        <v/>
      </c>
      <c r="V47">
        <f>HYPERLINK("https://klasma.github.io/Logging_2039/klagomål/A 54671-2021 FSC-klagomål.docx", "A 54671-2021")</f>
        <v/>
      </c>
      <c r="W47">
        <f>HYPERLINK("https://klasma.github.io/Logging_2039/klagomålsmail/A 54671-2021 FSC-klagomål mail.docx", "A 54671-2021")</f>
        <v/>
      </c>
      <c r="X47">
        <f>HYPERLINK("https://klasma.github.io/Logging_2039/tillsyn/A 54671-2021 tillsynsbegäran.docx", "A 54671-2021")</f>
        <v/>
      </c>
      <c r="Y47">
        <f>HYPERLINK("https://klasma.github.io/Logging_2039/tillsynsmail/A 54671-2021 tillsynsbegäran mail.docx", "A 54671-2021")</f>
        <v/>
      </c>
    </row>
    <row r="48" ht="15" customHeight="1">
      <c r="A48" t="inlineStr">
        <is>
          <t>A 39278-2022</t>
        </is>
      </c>
      <c r="B48" s="1" t="n">
        <v>44817</v>
      </c>
      <c r="C48" s="1" t="n">
        <v>45824</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970-2023</t>
        </is>
      </c>
      <c r="B49" s="1" t="n">
        <v>44935</v>
      </c>
      <c r="C49" s="1" t="n">
        <v>45824</v>
      </c>
      <c r="D49" t="inlineStr">
        <is>
          <t>DALARNAS LÄN</t>
        </is>
      </c>
      <c r="E49" t="inlineStr">
        <is>
          <t>ÄLVDALEN</t>
        </is>
      </c>
      <c r="F49" t="inlineStr">
        <is>
          <t>Övriga Aktiebolag</t>
        </is>
      </c>
      <c r="G49" t="n">
        <v>17</v>
      </c>
      <c r="H49" t="n">
        <v>1</v>
      </c>
      <c r="I49" t="n">
        <v>1</v>
      </c>
      <c r="J49" t="n">
        <v>5</v>
      </c>
      <c r="K49" t="n">
        <v>0</v>
      </c>
      <c r="L49" t="n">
        <v>0</v>
      </c>
      <c r="M49" t="n">
        <v>0</v>
      </c>
      <c r="N49" t="n">
        <v>0</v>
      </c>
      <c r="O49" t="n">
        <v>5</v>
      </c>
      <c r="P49" t="n">
        <v>0</v>
      </c>
      <c r="Q49" t="n">
        <v>6</v>
      </c>
      <c r="R49" s="2" t="inlineStr">
        <is>
          <t>Garnlav
Kolflarnlav
Nordtagging
Tretåig hackspett
Vedskivlav
Bronshjon</t>
        </is>
      </c>
      <c r="S49">
        <f>HYPERLINK("https://klasma.github.io/Logging_2039/artfynd/A 970-2023 artfynd.xlsx", "A 970-2023")</f>
        <v/>
      </c>
      <c r="T49">
        <f>HYPERLINK("https://klasma.github.io/Logging_2039/kartor/A 970-2023 karta.png", "A 970-2023")</f>
        <v/>
      </c>
      <c r="V49">
        <f>HYPERLINK("https://klasma.github.io/Logging_2039/klagomål/A 970-2023 FSC-klagomål.docx", "A 970-2023")</f>
        <v/>
      </c>
      <c r="W49">
        <f>HYPERLINK("https://klasma.github.io/Logging_2039/klagomålsmail/A 970-2023 FSC-klagomål mail.docx", "A 970-2023")</f>
        <v/>
      </c>
      <c r="X49">
        <f>HYPERLINK("https://klasma.github.io/Logging_2039/tillsyn/A 970-2023 tillsynsbegäran.docx", "A 970-2023")</f>
        <v/>
      </c>
      <c r="Y49">
        <f>HYPERLINK("https://klasma.github.io/Logging_2039/tillsynsmail/A 970-2023 tillsynsbegäran mail.docx", "A 970-2023")</f>
        <v/>
      </c>
      <c r="Z49">
        <f>HYPERLINK("https://klasma.github.io/Logging_2039/fåglar/A 970-2023 prioriterade fågelarter.docx", "A 970-2023")</f>
        <v/>
      </c>
    </row>
    <row r="50" ht="15" customHeight="1">
      <c r="A50" t="inlineStr">
        <is>
          <t>A 1523-2023</t>
        </is>
      </c>
      <c r="B50" s="1" t="n">
        <v>44937</v>
      </c>
      <c r="C50" s="1" t="n">
        <v>45824</v>
      </c>
      <c r="D50" t="inlineStr">
        <is>
          <t>DALARNAS LÄN</t>
        </is>
      </c>
      <c r="E50" t="inlineStr">
        <is>
          <t>ÄLVDALEN</t>
        </is>
      </c>
      <c r="F50" t="inlineStr">
        <is>
          <t>Allmännings- och besparingsskogar</t>
        </is>
      </c>
      <c r="G50" t="n">
        <v>32.9</v>
      </c>
      <c r="H50" t="n">
        <v>6</v>
      </c>
      <c r="I50" t="n">
        <v>0</v>
      </c>
      <c r="J50" t="n">
        <v>2</v>
      </c>
      <c r="K50" t="n">
        <v>1</v>
      </c>
      <c r="L50" t="n">
        <v>1</v>
      </c>
      <c r="M50" t="n">
        <v>0</v>
      </c>
      <c r="N50" t="n">
        <v>0</v>
      </c>
      <c r="O50" t="n">
        <v>4</v>
      </c>
      <c r="P50" t="n">
        <v>2</v>
      </c>
      <c r="Q50" t="n">
        <v>6</v>
      </c>
      <c r="R50" s="2" t="inlineStr">
        <is>
          <t>Tornseglare
Hussvala
Buskskvätta
Kungsörn
Grönsiska
Göktyta</t>
        </is>
      </c>
      <c r="S50">
        <f>HYPERLINK("https://klasma.github.io/Logging_2039/artfynd/A 1523-2023 artfynd.xlsx", "A 1523-2023")</f>
        <v/>
      </c>
      <c r="T50">
        <f>HYPERLINK("https://klasma.github.io/Logging_2039/kartor/A 1523-2023 karta.png", "A 1523-2023")</f>
        <v/>
      </c>
      <c r="V50">
        <f>HYPERLINK("https://klasma.github.io/Logging_2039/klagomål/A 1523-2023 FSC-klagomål.docx", "A 1523-2023")</f>
        <v/>
      </c>
      <c r="W50">
        <f>HYPERLINK("https://klasma.github.io/Logging_2039/klagomålsmail/A 1523-2023 FSC-klagomål mail.docx", "A 1523-2023")</f>
        <v/>
      </c>
      <c r="X50">
        <f>HYPERLINK("https://klasma.github.io/Logging_2039/tillsyn/A 1523-2023 tillsynsbegäran.docx", "A 1523-2023")</f>
        <v/>
      </c>
      <c r="Y50">
        <f>HYPERLINK("https://klasma.github.io/Logging_2039/tillsynsmail/A 1523-2023 tillsynsbegäran mail.docx", "A 1523-2023")</f>
        <v/>
      </c>
      <c r="Z50">
        <f>HYPERLINK("https://klasma.github.io/Logging_2039/fåglar/A 1523-2023 prioriterade fågelarter.docx", "A 1523-2023")</f>
        <v/>
      </c>
    </row>
    <row r="51" ht="15" customHeight="1">
      <c r="A51" t="inlineStr">
        <is>
          <t>A 48521-2023</t>
        </is>
      </c>
      <c r="B51" s="1" t="n">
        <v>45208</v>
      </c>
      <c r="C51" s="1" t="n">
        <v>45824</v>
      </c>
      <c r="D51" t="inlineStr">
        <is>
          <t>DALARNAS LÄN</t>
        </is>
      </c>
      <c r="E51" t="inlineStr">
        <is>
          <t>ÄLVDALEN</t>
        </is>
      </c>
      <c r="F51" t="inlineStr">
        <is>
          <t>Sveaskog</t>
        </is>
      </c>
      <c r="G51" t="n">
        <v>12.3</v>
      </c>
      <c r="H51" t="n">
        <v>0</v>
      </c>
      <c r="I51" t="n">
        <v>2</v>
      </c>
      <c r="J51" t="n">
        <v>3</v>
      </c>
      <c r="K51" t="n">
        <v>1</v>
      </c>
      <c r="L51" t="n">
        <v>0</v>
      </c>
      <c r="M51" t="n">
        <v>0</v>
      </c>
      <c r="N51" t="n">
        <v>0</v>
      </c>
      <c r="O51" t="n">
        <v>4</v>
      </c>
      <c r="P51" t="n">
        <v>1</v>
      </c>
      <c r="Q51" t="n">
        <v>6</v>
      </c>
      <c r="R51" s="2" t="inlineStr">
        <is>
          <t>Tallgråticka
Blå taggsvamp
Motaggsvamp
Orange taggsvamp
Dropptaggsvamp
Skarp dropptaggsvamp</t>
        </is>
      </c>
      <c r="S51">
        <f>HYPERLINK("https://klasma.github.io/Logging_2039/artfynd/A 48521-2023 artfynd.xlsx", "A 48521-2023")</f>
        <v/>
      </c>
      <c r="T51">
        <f>HYPERLINK("https://klasma.github.io/Logging_2039/kartor/A 48521-2023 karta.png", "A 48521-2023")</f>
        <v/>
      </c>
      <c r="V51">
        <f>HYPERLINK("https://klasma.github.io/Logging_2039/klagomål/A 48521-2023 FSC-klagomål.docx", "A 48521-2023")</f>
        <v/>
      </c>
      <c r="W51">
        <f>HYPERLINK("https://klasma.github.io/Logging_2039/klagomålsmail/A 48521-2023 FSC-klagomål mail.docx", "A 48521-2023")</f>
        <v/>
      </c>
      <c r="X51">
        <f>HYPERLINK("https://klasma.github.io/Logging_2039/tillsyn/A 48521-2023 tillsynsbegäran.docx", "A 48521-2023")</f>
        <v/>
      </c>
      <c r="Y51">
        <f>HYPERLINK("https://klasma.github.io/Logging_2039/tillsynsmail/A 48521-2023 tillsynsbegäran mail.docx", "A 48521-2023")</f>
        <v/>
      </c>
    </row>
    <row r="52" ht="15" customHeight="1">
      <c r="A52" t="inlineStr">
        <is>
          <t>A 18270-2024</t>
        </is>
      </c>
      <c r="B52" s="1" t="n">
        <v>45421</v>
      </c>
      <c r="C52" s="1" t="n">
        <v>45824</v>
      </c>
      <c r="D52" t="inlineStr">
        <is>
          <t>DALARNAS LÄN</t>
        </is>
      </c>
      <c r="E52" t="inlineStr">
        <is>
          <t>ÄLVDALEN</t>
        </is>
      </c>
      <c r="F52" t="inlineStr">
        <is>
          <t>Sveaskog</t>
        </is>
      </c>
      <c r="G52" t="n">
        <v>8.9</v>
      </c>
      <c r="H52" t="n">
        <v>0</v>
      </c>
      <c r="I52" t="n">
        <v>0</v>
      </c>
      <c r="J52" t="n">
        <v>6</v>
      </c>
      <c r="K52" t="n">
        <v>0</v>
      </c>
      <c r="L52" t="n">
        <v>0</v>
      </c>
      <c r="M52" t="n">
        <v>0</v>
      </c>
      <c r="N52" t="n">
        <v>0</v>
      </c>
      <c r="O52" t="n">
        <v>6</v>
      </c>
      <c r="P52" t="n">
        <v>0</v>
      </c>
      <c r="Q52" t="n">
        <v>6</v>
      </c>
      <c r="R52" s="2" t="inlineStr">
        <is>
          <t>Dvärgbägarlav
Kolflarnlav
Mörk kolflarnlav
Skrovellav
Vedflamlav
Vedskivlav</t>
        </is>
      </c>
      <c r="S52">
        <f>HYPERLINK("https://klasma.github.io/Logging_2039/artfynd/A 18270-2024 artfynd.xlsx", "A 18270-2024")</f>
        <v/>
      </c>
      <c r="T52">
        <f>HYPERLINK("https://klasma.github.io/Logging_2039/kartor/A 18270-2024 karta.png", "A 18270-2024")</f>
        <v/>
      </c>
      <c r="V52">
        <f>HYPERLINK("https://klasma.github.io/Logging_2039/klagomål/A 18270-2024 FSC-klagomål.docx", "A 18270-2024")</f>
        <v/>
      </c>
      <c r="W52">
        <f>HYPERLINK("https://klasma.github.io/Logging_2039/klagomålsmail/A 18270-2024 FSC-klagomål mail.docx", "A 18270-2024")</f>
        <v/>
      </c>
      <c r="X52">
        <f>HYPERLINK("https://klasma.github.io/Logging_2039/tillsyn/A 18270-2024 tillsynsbegäran.docx", "A 18270-2024")</f>
        <v/>
      </c>
      <c r="Y52">
        <f>HYPERLINK("https://klasma.github.io/Logging_2039/tillsynsmail/A 18270-2024 tillsynsbegäran mail.docx", "A 18270-2024")</f>
        <v/>
      </c>
    </row>
    <row r="53" ht="15" customHeight="1">
      <c r="A53" t="inlineStr">
        <is>
          <t>A 22701-2024</t>
        </is>
      </c>
      <c r="B53" s="1" t="n">
        <v>45448</v>
      </c>
      <c r="C53" s="1" t="n">
        <v>45824</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24507-2024</t>
        </is>
      </c>
      <c r="B54" s="1" t="n">
        <v>45460</v>
      </c>
      <c r="C54" s="1" t="n">
        <v>45824</v>
      </c>
      <c r="D54" t="inlineStr">
        <is>
          <t>DALARNAS LÄN</t>
        </is>
      </c>
      <c r="E54" t="inlineStr">
        <is>
          <t>ÄLVDALEN</t>
        </is>
      </c>
      <c r="F54" t="inlineStr">
        <is>
          <t>Sveaskog</t>
        </is>
      </c>
      <c r="G54" t="n">
        <v>12.2</v>
      </c>
      <c r="H54" t="n">
        <v>1</v>
      </c>
      <c r="I54" t="n">
        <v>1</v>
      </c>
      <c r="J54" t="n">
        <v>5</v>
      </c>
      <c r="K54" t="n">
        <v>0</v>
      </c>
      <c r="L54" t="n">
        <v>0</v>
      </c>
      <c r="M54" t="n">
        <v>0</v>
      </c>
      <c r="N54" t="n">
        <v>0</v>
      </c>
      <c r="O54" t="n">
        <v>5</v>
      </c>
      <c r="P54" t="n">
        <v>0</v>
      </c>
      <c r="Q54" t="n">
        <v>6</v>
      </c>
      <c r="R54" s="2" t="inlineStr">
        <is>
          <t>Dvärgbägarlav
Kolflarnlav
Mörk kolflarnlav
Varglav
Vedflamlav
Skarp dropptaggsvamp</t>
        </is>
      </c>
      <c r="S54">
        <f>HYPERLINK("https://klasma.github.io/Logging_2039/artfynd/A 24507-2024 artfynd.xlsx", "A 24507-2024")</f>
        <v/>
      </c>
      <c r="T54">
        <f>HYPERLINK("https://klasma.github.io/Logging_2039/kartor/A 24507-2024 karta.png", "A 24507-2024")</f>
        <v/>
      </c>
      <c r="V54">
        <f>HYPERLINK("https://klasma.github.io/Logging_2039/klagomål/A 24507-2024 FSC-klagomål.docx", "A 24507-2024")</f>
        <v/>
      </c>
      <c r="W54">
        <f>HYPERLINK("https://klasma.github.io/Logging_2039/klagomålsmail/A 24507-2024 FSC-klagomål mail.docx", "A 24507-2024")</f>
        <v/>
      </c>
      <c r="X54">
        <f>HYPERLINK("https://klasma.github.io/Logging_2039/tillsyn/A 24507-2024 tillsynsbegäran.docx", "A 24507-2024")</f>
        <v/>
      </c>
      <c r="Y54">
        <f>HYPERLINK("https://klasma.github.io/Logging_2039/tillsynsmail/A 24507-2024 tillsynsbegäran mail.docx", "A 24507-2024")</f>
        <v/>
      </c>
    </row>
    <row r="55" ht="15" customHeight="1">
      <c r="A55" t="inlineStr">
        <is>
          <t>A 29422-2024</t>
        </is>
      </c>
      <c r="B55" s="1" t="n">
        <v>45483</v>
      </c>
      <c r="C55" s="1" t="n">
        <v>45824</v>
      </c>
      <c r="D55" t="inlineStr">
        <is>
          <t>DALARNAS LÄN</t>
        </is>
      </c>
      <c r="E55" t="inlineStr">
        <is>
          <t>ÄLVDALEN</t>
        </is>
      </c>
      <c r="G55" t="n">
        <v>30.6</v>
      </c>
      <c r="H55" t="n">
        <v>0</v>
      </c>
      <c r="I55" t="n">
        <v>2</v>
      </c>
      <c r="J55" t="n">
        <v>3</v>
      </c>
      <c r="K55" t="n">
        <v>1</v>
      </c>
      <c r="L55" t="n">
        <v>0</v>
      </c>
      <c r="M55" t="n">
        <v>0</v>
      </c>
      <c r="N55" t="n">
        <v>0</v>
      </c>
      <c r="O55" t="n">
        <v>4</v>
      </c>
      <c r="P55" t="n">
        <v>1</v>
      </c>
      <c r="Q55" t="n">
        <v>6</v>
      </c>
      <c r="R55" s="2" t="inlineStr">
        <is>
          <t>Goliatmusseron
Blå taggsvamp
Kolflarnlav
Mörk kolflarnlav
Dropptaggsvamp
Skarp dropptaggsvamp</t>
        </is>
      </c>
      <c r="S55">
        <f>HYPERLINK("https://klasma.github.io/Logging_2039/artfynd/A 29422-2024 artfynd.xlsx", "A 29422-2024")</f>
        <v/>
      </c>
      <c r="T55">
        <f>HYPERLINK("https://klasma.github.io/Logging_2039/kartor/A 29422-2024 karta.png", "A 29422-2024")</f>
        <v/>
      </c>
      <c r="V55">
        <f>HYPERLINK("https://klasma.github.io/Logging_2039/klagomål/A 29422-2024 FSC-klagomål.docx", "A 29422-2024")</f>
        <v/>
      </c>
      <c r="W55">
        <f>HYPERLINK("https://klasma.github.io/Logging_2039/klagomålsmail/A 29422-2024 FSC-klagomål mail.docx", "A 29422-2024")</f>
        <v/>
      </c>
      <c r="X55">
        <f>HYPERLINK("https://klasma.github.io/Logging_2039/tillsyn/A 29422-2024 tillsynsbegäran.docx", "A 29422-2024")</f>
        <v/>
      </c>
      <c r="Y55">
        <f>HYPERLINK("https://klasma.github.io/Logging_2039/tillsynsmail/A 29422-2024 tillsynsbegäran mail.docx", "A 29422-2024")</f>
        <v/>
      </c>
    </row>
    <row r="56" ht="15" customHeight="1">
      <c r="A56" t="inlineStr">
        <is>
          <t>A 19534-2025</t>
        </is>
      </c>
      <c r="B56" s="1" t="n">
        <v>45770</v>
      </c>
      <c r="C56" s="1" t="n">
        <v>45824</v>
      </c>
      <c r="D56" t="inlineStr">
        <is>
          <t>DALARNAS LÄN</t>
        </is>
      </c>
      <c r="E56" t="inlineStr">
        <is>
          <t>ÄLVDALEN</t>
        </is>
      </c>
      <c r="F56" t="inlineStr">
        <is>
          <t>Sveaskog</t>
        </is>
      </c>
      <c r="G56" t="n">
        <v>34</v>
      </c>
      <c r="H56" t="n">
        <v>1</v>
      </c>
      <c r="I56" t="n">
        <v>1</v>
      </c>
      <c r="J56" t="n">
        <v>5</v>
      </c>
      <c r="K56" t="n">
        <v>0</v>
      </c>
      <c r="L56" t="n">
        <v>0</v>
      </c>
      <c r="M56" t="n">
        <v>0</v>
      </c>
      <c r="N56" t="n">
        <v>0</v>
      </c>
      <c r="O56" t="n">
        <v>5</v>
      </c>
      <c r="P56" t="n">
        <v>0</v>
      </c>
      <c r="Q56" t="n">
        <v>6</v>
      </c>
      <c r="R56" s="2" t="inlineStr">
        <is>
          <t>Dvärgbägarlav
Kolflarnlav
Mörk kolflarnlav
Varglav
Vedflamlav
Dropptaggsvamp</t>
        </is>
      </c>
      <c r="S56">
        <f>HYPERLINK("https://klasma.github.io/Logging_202039/artfynd/A 19534-2025 artfynd.xlsx", "A 19534-2025")</f>
        <v/>
      </c>
      <c r="T56">
        <f>HYPERLINK("https://klasma.github.io/Logging_202039/kartor/A 19534-2025 karta.png", "A 19534-2025")</f>
        <v/>
      </c>
      <c r="V56">
        <f>HYPERLINK("https://klasma.github.io/Logging_202039/klagomål/A 19534-2025 FSC-klagomål.docx", "A 19534-2025")</f>
        <v/>
      </c>
      <c r="W56">
        <f>HYPERLINK("https://klasma.github.io/Logging_202039/klagomålsmail/A 19534-2025 FSC-klagomål mail.docx", "A 19534-2025")</f>
        <v/>
      </c>
      <c r="X56">
        <f>HYPERLINK("https://klasma.github.io/Logging_202039/tillsyn/A 19534-2025 tillsynsbegäran.docx", "A 19534-2025")</f>
        <v/>
      </c>
      <c r="Y56">
        <f>HYPERLINK("https://klasma.github.io/Logging_202039/tillsynsmail/A 19534-2025 tillsynsbegäran mail.docx", "A 19534-2025")</f>
        <v/>
      </c>
    </row>
    <row r="57" ht="15" customHeight="1">
      <c r="A57" t="inlineStr">
        <is>
          <t>A 31542-2019</t>
        </is>
      </c>
      <c r="B57" s="1" t="n">
        <v>43641</v>
      </c>
      <c r="C57" s="1" t="n">
        <v>45824</v>
      </c>
      <c r="D57" t="inlineStr">
        <is>
          <t>DALARNAS LÄN</t>
        </is>
      </c>
      <c r="E57" t="inlineStr">
        <is>
          <t>ÄLVDALEN</t>
        </is>
      </c>
      <c r="G57" t="n">
        <v>4</v>
      </c>
      <c r="H57" t="n">
        <v>0</v>
      </c>
      <c r="I57" t="n">
        <v>1</v>
      </c>
      <c r="J57" t="n">
        <v>4</v>
      </c>
      <c r="K57" t="n">
        <v>0</v>
      </c>
      <c r="L57" t="n">
        <v>0</v>
      </c>
      <c r="M57" t="n">
        <v>0</v>
      </c>
      <c r="N57" t="n">
        <v>0</v>
      </c>
      <c r="O57" t="n">
        <v>4</v>
      </c>
      <c r="P57" t="n">
        <v>0</v>
      </c>
      <c r="Q57" t="n">
        <v>5</v>
      </c>
      <c r="R57" s="2" t="inlineStr">
        <is>
          <t>Doftskinn
Garnlav
Kolflarnlav
Violettgrå tagellav
Vedticka</t>
        </is>
      </c>
      <c r="S57">
        <f>HYPERLINK("https://klasma.github.io/Logging_2039/artfynd/A 31542-2019 artfynd.xlsx", "A 31542-2019")</f>
        <v/>
      </c>
      <c r="T57">
        <f>HYPERLINK("https://klasma.github.io/Logging_2039/kartor/A 31542-2019 karta.png", "A 31542-2019")</f>
        <v/>
      </c>
      <c r="V57">
        <f>HYPERLINK("https://klasma.github.io/Logging_2039/klagomål/A 31542-2019 FSC-klagomål.docx", "A 31542-2019")</f>
        <v/>
      </c>
      <c r="W57">
        <f>HYPERLINK("https://klasma.github.io/Logging_2039/klagomålsmail/A 31542-2019 FSC-klagomål mail.docx", "A 31542-2019")</f>
        <v/>
      </c>
      <c r="X57">
        <f>HYPERLINK("https://klasma.github.io/Logging_2039/tillsyn/A 31542-2019 tillsynsbegäran.docx", "A 31542-2019")</f>
        <v/>
      </c>
      <c r="Y57">
        <f>HYPERLINK("https://klasma.github.io/Logging_2039/tillsynsmail/A 31542-2019 tillsynsbegäran mail.docx", "A 31542-2019")</f>
        <v/>
      </c>
    </row>
    <row r="58" ht="15" customHeight="1">
      <c r="A58" t="inlineStr">
        <is>
          <t>A 2511-2023</t>
        </is>
      </c>
      <c r="B58" s="1" t="n">
        <v>44943</v>
      </c>
      <c r="C58" s="1" t="n">
        <v>45824</v>
      </c>
      <c r="D58" t="inlineStr">
        <is>
          <t>DALARNAS LÄN</t>
        </is>
      </c>
      <c r="E58" t="inlineStr">
        <is>
          <t>ÄLVDALEN</t>
        </is>
      </c>
      <c r="G58" t="n">
        <v>4</v>
      </c>
      <c r="H58" t="n">
        <v>3</v>
      </c>
      <c r="I58" t="n">
        <v>3</v>
      </c>
      <c r="J58" t="n">
        <v>1</v>
      </c>
      <c r="K58" t="n">
        <v>0</v>
      </c>
      <c r="L58" t="n">
        <v>0</v>
      </c>
      <c r="M58" t="n">
        <v>0</v>
      </c>
      <c r="N58" t="n">
        <v>0</v>
      </c>
      <c r="O58" t="n">
        <v>1</v>
      </c>
      <c r="P58" t="n">
        <v>0</v>
      </c>
      <c r="Q58" t="n">
        <v>5</v>
      </c>
      <c r="R58" s="2" t="inlineStr">
        <is>
          <t>Garnlav
Korallrot
Spindelblomster
Stuplav
Revlummer</t>
        </is>
      </c>
      <c r="S58">
        <f>HYPERLINK("https://klasma.github.io/Logging_2039/artfynd/A 2511-2023 artfynd.xlsx", "A 2511-2023")</f>
        <v/>
      </c>
      <c r="T58">
        <f>HYPERLINK("https://klasma.github.io/Logging_2039/kartor/A 2511-2023 karta.png", "A 2511-2023")</f>
        <v/>
      </c>
      <c r="V58">
        <f>HYPERLINK("https://klasma.github.io/Logging_2039/klagomål/A 2511-2023 FSC-klagomål.docx", "A 2511-2023")</f>
        <v/>
      </c>
      <c r="W58">
        <f>HYPERLINK("https://klasma.github.io/Logging_2039/klagomålsmail/A 2511-2023 FSC-klagomål mail.docx", "A 2511-2023")</f>
        <v/>
      </c>
      <c r="X58">
        <f>HYPERLINK("https://klasma.github.io/Logging_2039/tillsyn/A 2511-2023 tillsynsbegäran.docx", "A 2511-2023")</f>
        <v/>
      </c>
      <c r="Y58">
        <f>HYPERLINK("https://klasma.github.io/Logging_2039/tillsynsmail/A 2511-2023 tillsynsbegäran mail.docx", "A 2511-2023")</f>
        <v/>
      </c>
    </row>
    <row r="59" ht="15" customHeight="1">
      <c r="A59" t="inlineStr">
        <is>
          <t>A 29234-2023</t>
        </is>
      </c>
      <c r="B59" s="1" t="n">
        <v>45105</v>
      </c>
      <c r="C59" s="1" t="n">
        <v>45824</v>
      </c>
      <c r="D59" t="inlineStr">
        <is>
          <t>DALARNAS LÄN</t>
        </is>
      </c>
      <c r="E59" t="inlineStr">
        <is>
          <t>ÄLVDALEN</t>
        </is>
      </c>
      <c r="F59" t="inlineStr">
        <is>
          <t>Allmännings- och besparingsskogar</t>
        </is>
      </c>
      <c r="G59" t="n">
        <v>17.7</v>
      </c>
      <c r="H59" t="n">
        <v>1</v>
      </c>
      <c r="I59" t="n">
        <v>0</v>
      </c>
      <c r="J59" t="n">
        <v>5</v>
      </c>
      <c r="K59" t="n">
        <v>0</v>
      </c>
      <c r="L59" t="n">
        <v>0</v>
      </c>
      <c r="M59" t="n">
        <v>0</v>
      </c>
      <c r="N59" t="n">
        <v>0</v>
      </c>
      <c r="O59" t="n">
        <v>5</v>
      </c>
      <c r="P59" t="n">
        <v>0</v>
      </c>
      <c r="Q59" t="n">
        <v>5</v>
      </c>
      <c r="R59" s="2" t="inlineStr">
        <is>
          <t>Garnlav
Kolflarnlav
Varglav
Vedflamlav
Vedskivlav</t>
        </is>
      </c>
      <c r="S59">
        <f>HYPERLINK("https://klasma.github.io/Logging_2039/artfynd/A 29234-2023 artfynd.xlsx", "A 29234-2023")</f>
        <v/>
      </c>
      <c r="T59">
        <f>HYPERLINK("https://klasma.github.io/Logging_2039/kartor/A 29234-2023 karta.png", "A 29234-2023")</f>
        <v/>
      </c>
      <c r="V59">
        <f>HYPERLINK("https://klasma.github.io/Logging_2039/klagomål/A 29234-2023 FSC-klagomål.docx", "A 29234-2023")</f>
        <v/>
      </c>
      <c r="W59">
        <f>HYPERLINK("https://klasma.github.io/Logging_2039/klagomålsmail/A 29234-2023 FSC-klagomål mail.docx", "A 29234-2023")</f>
        <v/>
      </c>
      <c r="X59">
        <f>HYPERLINK("https://klasma.github.io/Logging_2039/tillsyn/A 29234-2023 tillsynsbegäran.docx", "A 29234-2023")</f>
        <v/>
      </c>
      <c r="Y59">
        <f>HYPERLINK("https://klasma.github.io/Logging_2039/tillsynsmail/A 29234-2023 tillsynsbegäran mail.docx", "A 29234-2023")</f>
        <v/>
      </c>
    </row>
    <row r="60" ht="15" customHeight="1">
      <c r="A60" t="inlineStr">
        <is>
          <t>A 32101-2023</t>
        </is>
      </c>
      <c r="B60" s="1" t="n">
        <v>45119</v>
      </c>
      <c r="C60" s="1" t="n">
        <v>45824</v>
      </c>
      <c r="D60" t="inlineStr">
        <is>
          <t>DALARNAS LÄN</t>
        </is>
      </c>
      <c r="E60" t="inlineStr">
        <is>
          <t>ÄLVDALEN</t>
        </is>
      </c>
      <c r="F60" t="inlineStr">
        <is>
          <t>Sveaskog</t>
        </is>
      </c>
      <c r="G60" t="n">
        <v>12.1</v>
      </c>
      <c r="H60" t="n">
        <v>1</v>
      </c>
      <c r="I60" t="n">
        <v>2</v>
      </c>
      <c r="J60" t="n">
        <v>3</v>
      </c>
      <c r="K60" t="n">
        <v>0</v>
      </c>
      <c r="L60" t="n">
        <v>0</v>
      </c>
      <c r="M60" t="n">
        <v>0</v>
      </c>
      <c r="N60" t="n">
        <v>0</v>
      </c>
      <c r="O60" t="n">
        <v>3</v>
      </c>
      <c r="P60" t="n">
        <v>0</v>
      </c>
      <c r="Q60" t="n">
        <v>5</v>
      </c>
      <c r="R60" s="2" t="inlineStr">
        <is>
          <t>Blanksvart spiklav
Garnlav
Kolflarnlav
Plattlummer
Skarp dropptaggsvamp</t>
        </is>
      </c>
      <c r="S60">
        <f>HYPERLINK("https://klasma.github.io/Logging_2039/artfynd/A 32101-2023 artfynd.xlsx", "A 32101-2023")</f>
        <v/>
      </c>
      <c r="T60">
        <f>HYPERLINK("https://klasma.github.io/Logging_2039/kartor/A 32101-2023 karta.png", "A 32101-2023")</f>
        <v/>
      </c>
      <c r="V60">
        <f>HYPERLINK("https://klasma.github.io/Logging_2039/klagomål/A 32101-2023 FSC-klagomål.docx", "A 32101-2023")</f>
        <v/>
      </c>
      <c r="W60">
        <f>HYPERLINK("https://klasma.github.io/Logging_2039/klagomålsmail/A 32101-2023 FSC-klagomål mail.docx", "A 32101-2023")</f>
        <v/>
      </c>
      <c r="X60">
        <f>HYPERLINK("https://klasma.github.io/Logging_2039/tillsyn/A 32101-2023 tillsynsbegäran.docx", "A 32101-2023")</f>
        <v/>
      </c>
      <c r="Y60">
        <f>HYPERLINK("https://klasma.github.io/Logging_2039/tillsynsmail/A 32101-2023 tillsynsbegäran mail.docx", "A 32101-2023")</f>
        <v/>
      </c>
    </row>
    <row r="61" ht="15" customHeight="1">
      <c r="A61" t="inlineStr">
        <is>
          <t>A 37662-2023</t>
        </is>
      </c>
      <c r="B61" s="1" t="n">
        <v>45159</v>
      </c>
      <c r="C61" s="1" t="n">
        <v>45824</v>
      </c>
      <c r="D61" t="inlineStr">
        <is>
          <t>DALARNAS LÄN</t>
        </is>
      </c>
      <c r="E61" t="inlineStr">
        <is>
          <t>ÄLVDALEN</t>
        </is>
      </c>
      <c r="F61" t="inlineStr">
        <is>
          <t>Allmännings- och besparingsskogar</t>
        </is>
      </c>
      <c r="G61" t="n">
        <v>13.5</v>
      </c>
      <c r="H61" t="n">
        <v>0</v>
      </c>
      <c r="I61" t="n">
        <v>1</v>
      </c>
      <c r="J61" t="n">
        <v>3</v>
      </c>
      <c r="K61" t="n">
        <v>1</v>
      </c>
      <c r="L61" t="n">
        <v>0</v>
      </c>
      <c r="M61" t="n">
        <v>0</v>
      </c>
      <c r="N61" t="n">
        <v>0</v>
      </c>
      <c r="O61" t="n">
        <v>4</v>
      </c>
      <c r="P61" t="n">
        <v>1</v>
      </c>
      <c r="Q61" t="n">
        <v>5</v>
      </c>
      <c r="R61" s="2" t="inlineStr">
        <is>
          <t>Smalfotad taggsvamp
Nordtagging
Vaddporing
Vedflamlav
Dropptaggsvamp</t>
        </is>
      </c>
      <c r="S61">
        <f>HYPERLINK("https://klasma.github.io/Logging_2039/artfynd/A 37662-2023 artfynd.xlsx", "A 37662-2023")</f>
        <v/>
      </c>
      <c r="T61">
        <f>HYPERLINK("https://klasma.github.io/Logging_2039/kartor/A 37662-2023 karta.png", "A 37662-2023")</f>
        <v/>
      </c>
      <c r="V61">
        <f>HYPERLINK("https://klasma.github.io/Logging_2039/klagomål/A 37662-2023 FSC-klagomål.docx", "A 37662-2023")</f>
        <v/>
      </c>
      <c r="W61">
        <f>HYPERLINK("https://klasma.github.io/Logging_2039/klagomålsmail/A 37662-2023 FSC-klagomål mail.docx", "A 37662-2023")</f>
        <v/>
      </c>
      <c r="X61">
        <f>HYPERLINK("https://klasma.github.io/Logging_2039/tillsyn/A 37662-2023 tillsynsbegäran.docx", "A 37662-2023")</f>
        <v/>
      </c>
      <c r="Y61">
        <f>HYPERLINK("https://klasma.github.io/Logging_2039/tillsynsmail/A 37662-2023 tillsynsbegäran mail.docx", "A 37662-2023")</f>
        <v/>
      </c>
    </row>
    <row r="62" ht="15" customHeight="1">
      <c r="A62" t="inlineStr">
        <is>
          <t>A 38585-2023</t>
        </is>
      </c>
      <c r="B62" s="1" t="n">
        <v>45162</v>
      </c>
      <c r="C62" s="1" t="n">
        <v>45824</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49053-2023</t>
        </is>
      </c>
      <c r="B63" s="1" t="n">
        <v>45210</v>
      </c>
      <c r="C63" s="1" t="n">
        <v>45824</v>
      </c>
      <c r="D63" t="inlineStr">
        <is>
          <t>DALARNAS LÄN</t>
        </is>
      </c>
      <c r="E63" t="inlineStr">
        <is>
          <t>ÄLVDALEN</t>
        </is>
      </c>
      <c r="F63" t="inlineStr">
        <is>
          <t>Sveaskog</t>
        </is>
      </c>
      <c r="G63" t="n">
        <v>3.6</v>
      </c>
      <c r="H63" t="n">
        <v>0</v>
      </c>
      <c r="I63" t="n">
        <v>2</v>
      </c>
      <c r="J63" t="n">
        <v>3</v>
      </c>
      <c r="K63" t="n">
        <v>0</v>
      </c>
      <c r="L63" t="n">
        <v>0</v>
      </c>
      <c r="M63" t="n">
        <v>0</v>
      </c>
      <c r="N63" t="n">
        <v>0</v>
      </c>
      <c r="O63" t="n">
        <v>3</v>
      </c>
      <c r="P63" t="n">
        <v>0</v>
      </c>
      <c r="Q63" t="n">
        <v>5</v>
      </c>
      <c r="R63" s="2" t="inlineStr">
        <is>
          <t>Kolflarnlav
Nordtagging
Vedflamlav
Dropptaggsvamp
Skarp dropptaggsvamp</t>
        </is>
      </c>
      <c r="S63">
        <f>HYPERLINK("https://klasma.github.io/Logging_2039/artfynd/A 49053-2023 artfynd.xlsx", "A 49053-2023")</f>
        <v/>
      </c>
      <c r="T63">
        <f>HYPERLINK("https://klasma.github.io/Logging_2039/kartor/A 49053-2023 karta.png", "A 49053-2023")</f>
        <v/>
      </c>
      <c r="V63">
        <f>HYPERLINK("https://klasma.github.io/Logging_2039/klagomål/A 49053-2023 FSC-klagomål.docx", "A 49053-2023")</f>
        <v/>
      </c>
      <c r="W63">
        <f>HYPERLINK("https://klasma.github.io/Logging_2039/klagomålsmail/A 49053-2023 FSC-klagomål mail.docx", "A 49053-2023")</f>
        <v/>
      </c>
      <c r="X63">
        <f>HYPERLINK("https://klasma.github.io/Logging_2039/tillsyn/A 49053-2023 tillsynsbegäran.docx", "A 49053-2023")</f>
        <v/>
      </c>
      <c r="Y63">
        <f>HYPERLINK("https://klasma.github.io/Logging_2039/tillsynsmail/A 49053-2023 tillsynsbegäran mail.docx", "A 49053-2023")</f>
        <v/>
      </c>
    </row>
    <row r="64" ht="15" customHeight="1">
      <c r="A64" t="inlineStr">
        <is>
          <t>A 53546-2023</t>
        </is>
      </c>
      <c r="B64" s="1" t="n">
        <v>45224</v>
      </c>
      <c r="C64" s="1" t="n">
        <v>45824</v>
      </c>
      <c r="D64" t="inlineStr">
        <is>
          <t>DALARNAS LÄN</t>
        </is>
      </c>
      <c r="E64" t="inlineStr">
        <is>
          <t>ÄLVDALEN</t>
        </is>
      </c>
      <c r="F64" t="inlineStr">
        <is>
          <t>Allmännings- och besparingsskogar</t>
        </is>
      </c>
      <c r="G64" t="n">
        <v>26.9</v>
      </c>
      <c r="H64" t="n">
        <v>0</v>
      </c>
      <c r="I64" t="n">
        <v>0</v>
      </c>
      <c r="J64" t="n">
        <v>4</v>
      </c>
      <c r="K64" t="n">
        <v>0</v>
      </c>
      <c r="L64" t="n">
        <v>1</v>
      </c>
      <c r="M64" t="n">
        <v>0</v>
      </c>
      <c r="N64" t="n">
        <v>0</v>
      </c>
      <c r="O64" t="n">
        <v>5</v>
      </c>
      <c r="P64" t="n">
        <v>1</v>
      </c>
      <c r="Q64" t="n">
        <v>5</v>
      </c>
      <c r="R64" s="2" t="inlineStr">
        <is>
          <t>Broktagel
Dvärgbägarlav
Garnlav
Kolflarnlav
Mörk kolflarnlav</t>
        </is>
      </c>
      <c r="S64">
        <f>HYPERLINK("https://klasma.github.io/Logging_2039/artfynd/A 53546-2023 artfynd.xlsx", "A 53546-2023")</f>
        <v/>
      </c>
      <c r="T64">
        <f>HYPERLINK("https://klasma.github.io/Logging_2039/kartor/A 53546-2023 karta.png", "A 53546-2023")</f>
        <v/>
      </c>
      <c r="V64">
        <f>HYPERLINK("https://klasma.github.io/Logging_2039/klagomål/A 53546-2023 FSC-klagomål.docx", "A 53546-2023")</f>
        <v/>
      </c>
      <c r="W64">
        <f>HYPERLINK("https://klasma.github.io/Logging_2039/klagomålsmail/A 53546-2023 FSC-klagomål mail.docx", "A 53546-2023")</f>
        <v/>
      </c>
      <c r="X64">
        <f>HYPERLINK("https://klasma.github.io/Logging_2039/tillsyn/A 53546-2023 tillsynsbegäran.docx", "A 53546-2023")</f>
        <v/>
      </c>
      <c r="Y64">
        <f>HYPERLINK("https://klasma.github.io/Logging_2039/tillsynsmail/A 53546-2023 tillsynsbegäran mail.docx", "A 53546-2023")</f>
        <v/>
      </c>
    </row>
    <row r="65" ht="15" customHeight="1">
      <c r="A65" t="inlineStr">
        <is>
          <t>A 9785-2024</t>
        </is>
      </c>
      <c r="B65" s="1" t="n">
        <v>45362</v>
      </c>
      <c r="C65" s="1" t="n">
        <v>45824</v>
      </c>
      <c r="D65" t="inlineStr">
        <is>
          <t>DALARNAS LÄN</t>
        </is>
      </c>
      <c r="E65" t="inlineStr">
        <is>
          <t>ÄLVDALEN</t>
        </is>
      </c>
      <c r="F65" t="inlineStr">
        <is>
          <t>Övriga statliga verk och myndigheter</t>
        </is>
      </c>
      <c r="G65" t="n">
        <v>12.8</v>
      </c>
      <c r="H65" t="n">
        <v>0</v>
      </c>
      <c r="I65" t="n">
        <v>2</v>
      </c>
      <c r="J65" t="n">
        <v>3</v>
      </c>
      <c r="K65" t="n">
        <v>0</v>
      </c>
      <c r="L65" t="n">
        <v>0</v>
      </c>
      <c r="M65" t="n">
        <v>0</v>
      </c>
      <c r="N65" t="n">
        <v>0</v>
      </c>
      <c r="O65" t="n">
        <v>3</v>
      </c>
      <c r="P65" t="n">
        <v>0</v>
      </c>
      <c r="Q65" t="n">
        <v>5</v>
      </c>
      <c r="R65" s="2" t="inlineStr">
        <is>
          <t>Blanksvart spiklav
Kolflarnlav
Tallriska
Dropptaggsvamp
Vedticka</t>
        </is>
      </c>
      <c r="S65">
        <f>HYPERLINK("https://klasma.github.io/Logging_2039/artfynd/A 9785-2024 artfynd.xlsx", "A 9785-2024")</f>
        <v/>
      </c>
      <c r="T65">
        <f>HYPERLINK("https://klasma.github.io/Logging_2039/kartor/A 9785-2024 karta.png", "A 9785-2024")</f>
        <v/>
      </c>
      <c r="V65">
        <f>HYPERLINK("https://klasma.github.io/Logging_2039/klagomål/A 9785-2024 FSC-klagomål.docx", "A 9785-2024")</f>
        <v/>
      </c>
      <c r="W65">
        <f>HYPERLINK("https://klasma.github.io/Logging_2039/klagomålsmail/A 9785-2024 FSC-klagomål mail.docx", "A 9785-2024")</f>
        <v/>
      </c>
      <c r="X65">
        <f>HYPERLINK("https://klasma.github.io/Logging_2039/tillsyn/A 9785-2024 tillsynsbegäran.docx", "A 9785-2024")</f>
        <v/>
      </c>
      <c r="Y65">
        <f>HYPERLINK("https://klasma.github.io/Logging_2039/tillsynsmail/A 9785-2024 tillsynsbegäran mail.docx", "A 9785-2024")</f>
        <v/>
      </c>
    </row>
    <row r="66" ht="15" customHeight="1">
      <c r="A66" t="inlineStr">
        <is>
          <t>A 10282-2024</t>
        </is>
      </c>
      <c r="B66" s="1" t="n">
        <v>45365</v>
      </c>
      <c r="C66" s="1" t="n">
        <v>45824</v>
      </c>
      <c r="D66" t="inlineStr">
        <is>
          <t>DALARNAS LÄN</t>
        </is>
      </c>
      <c r="E66" t="inlineStr">
        <is>
          <t>ÄLVDALEN</t>
        </is>
      </c>
      <c r="G66" t="n">
        <v>1.2</v>
      </c>
      <c r="H66" t="n">
        <v>1</v>
      </c>
      <c r="I66" t="n">
        <v>1</v>
      </c>
      <c r="J66" t="n">
        <v>3</v>
      </c>
      <c r="K66" t="n">
        <v>1</v>
      </c>
      <c r="L66" t="n">
        <v>0</v>
      </c>
      <c r="M66" t="n">
        <v>0</v>
      </c>
      <c r="N66" t="n">
        <v>0</v>
      </c>
      <c r="O66" t="n">
        <v>4</v>
      </c>
      <c r="P66" t="n">
        <v>1</v>
      </c>
      <c r="Q66" t="n">
        <v>5</v>
      </c>
      <c r="R66" s="2" t="inlineStr">
        <is>
          <t>Knärot
Garnlav
Ullticka
Violettgrå tagellav
Vedticka</t>
        </is>
      </c>
      <c r="S66">
        <f>HYPERLINK("https://klasma.github.io/Logging_2039/artfynd/A 10282-2024 artfynd.xlsx", "A 10282-2024")</f>
        <v/>
      </c>
      <c r="T66">
        <f>HYPERLINK("https://klasma.github.io/Logging_2039/kartor/A 10282-2024 karta.png", "A 10282-2024")</f>
        <v/>
      </c>
      <c r="U66">
        <f>HYPERLINK("https://klasma.github.io/Logging_2039/knärot/A 10282-2024 karta knärot.png", "A 10282-2024")</f>
        <v/>
      </c>
      <c r="V66">
        <f>HYPERLINK("https://klasma.github.io/Logging_2039/klagomål/A 10282-2024 FSC-klagomål.docx", "A 10282-2024")</f>
        <v/>
      </c>
      <c r="W66">
        <f>HYPERLINK("https://klasma.github.io/Logging_2039/klagomålsmail/A 10282-2024 FSC-klagomål mail.docx", "A 10282-2024")</f>
        <v/>
      </c>
      <c r="X66">
        <f>HYPERLINK("https://klasma.github.io/Logging_2039/tillsyn/A 10282-2024 tillsynsbegäran.docx", "A 10282-2024")</f>
        <v/>
      </c>
      <c r="Y66">
        <f>HYPERLINK("https://klasma.github.io/Logging_2039/tillsynsmail/A 10282-2024 tillsynsbegäran mail.docx", "A 10282-2024")</f>
        <v/>
      </c>
    </row>
    <row r="67" ht="15" customHeight="1">
      <c r="A67" t="inlineStr">
        <is>
          <t>A 19616-2024</t>
        </is>
      </c>
      <c r="B67" s="1" t="n">
        <v>45432</v>
      </c>
      <c r="C67" s="1" t="n">
        <v>45824</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21115-2024</t>
        </is>
      </c>
      <c r="B68" s="1" t="n">
        <v>45440</v>
      </c>
      <c r="C68" s="1" t="n">
        <v>45824</v>
      </c>
      <c r="D68" t="inlineStr">
        <is>
          <t>DALARNAS LÄN</t>
        </is>
      </c>
      <c r="E68" t="inlineStr">
        <is>
          <t>ÄLVDALEN</t>
        </is>
      </c>
      <c r="F68" t="inlineStr">
        <is>
          <t>Sveaskog</t>
        </is>
      </c>
      <c r="G68" t="n">
        <v>19.7</v>
      </c>
      <c r="H68" t="n">
        <v>1</v>
      </c>
      <c r="I68" t="n">
        <v>1</v>
      </c>
      <c r="J68" t="n">
        <v>3</v>
      </c>
      <c r="K68" t="n">
        <v>0</v>
      </c>
      <c r="L68" t="n">
        <v>1</v>
      </c>
      <c r="M68" t="n">
        <v>0</v>
      </c>
      <c r="N68" t="n">
        <v>0</v>
      </c>
      <c r="O68" t="n">
        <v>4</v>
      </c>
      <c r="P68" t="n">
        <v>1</v>
      </c>
      <c r="Q68" t="n">
        <v>5</v>
      </c>
      <c r="R68" s="2" t="inlineStr">
        <is>
          <t>Mosippa
Blanksvart spiklav
Kolflarnlav
Mörk kolflarnlav
Dropptaggsvamp</t>
        </is>
      </c>
      <c r="S68">
        <f>HYPERLINK("https://klasma.github.io/Logging_2039/artfynd/A 21115-2024 artfynd.xlsx", "A 21115-2024")</f>
        <v/>
      </c>
      <c r="T68">
        <f>HYPERLINK("https://klasma.github.io/Logging_2039/kartor/A 21115-2024 karta.png", "A 21115-2024")</f>
        <v/>
      </c>
      <c r="V68">
        <f>HYPERLINK("https://klasma.github.io/Logging_2039/klagomål/A 21115-2024 FSC-klagomål.docx", "A 21115-2024")</f>
        <v/>
      </c>
      <c r="W68">
        <f>HYPERLINK("https://klasma.github.io/Logging_2039/klagomålsmail/A 21115-2024 FSC-klagomål mail.docx", "A 21115-2024")</f>
        <v/>
      </c>
      <c r="X68">
        <f>HYPERLINK("https://klasma.github.io/Logging_2039/tillsyn/A 21115-2024 tillsynsbegäran.docx", "A 21115-2024")</f>
        <v/>
      </c>
      <c r="Y68">
        <f>HYPERLINK("https://klasma.github.io/Logging_2039/tillsynsmail/A 21115-2024 tillsynsbegäran mail.docx", "A 21115-2024")</f>
        <v/>
      </c>
    </row>
    <row r="69" ht="15" customHeight="1">
      <c r="A69" t="inlineStr">
        <is>
          <t>A 21670-2024</t>
        </is>
      </c>
      <c r="B69" s="1" t="n">
        <v>45442</v>
      </c>
      <c r="C69" s="1" t="n">
        <v>45824</v>
      </c>
      <c r="D69" t="inlineStr">
        <is>
          <t>DALARNAS LÄN</t>
        </is>
      </c>
      <c r="E69" t="inlineStr">
        <is>
          <t>ÄLVDALEN</t>
        </is>
      </c>
      <c r="F69" t="inlineStr">
        <is>
          <t>Sveaskog</t>
        </is>
      </c>
      <c r="G69" t="n">
        <v>7.8</v>
      </c>
      <c r="H69" t="n">
        <v>1</v>
      </c>
      <c r="I69" t="n">
        <v>0</v>
      </c>
      <c r="J69" t="n">
        <v>4</v>
      </c>
      <c r="K69" t="n">
        <v>0</v>
      </c>
      <c r="L69" t="n">
        <v>1</v>
      </c>
      <c r="M69" t="n">
        <v>0</v>
      </c>
      <c r="N69" t="n">
        <v>0</v>
      </c>
      <c r="O69" t="n">
        <v>5</v>
      </c>
      <c r="P69" t="n">
        <v>1</v>
      </c>
      <c r="Q69" t="n">
        <v>5</v>
      </c>
      <c r="R69" s="2" t="inlineStr">
        <is>
          <t>Mosippa
Blanksvart spiklav
Kolflarnlav
Mörk kolflarnlav
Vedflamlav</t>
        </is>
      </c>
      <c r="S69">
        <f>HYPERLINK("https://klasma.github.io/Logging_2039/artfynd/A 21670-2024 artfynd.xlsx", "A 21670-2024")</f>
        <v/>
      </c>
      <c r="T69">
        <f>HYPERLINK("https://klasma.github.io/Logging_2039/kartor/A 21670-2024 karta.png", "A 21670-2024")</f>
        <v/>
      </c>
      <c r="V69">
        <f>HYPERLINK("https://klasma.github.io/Logging_2039/klagomål/A 21670-2024 FSC-klagomål.docx", "A 21670-2024")</f>
        <v/>
      </c>
      <c r="W69">
        <f>HYPERLINK("https://klasma.github.io/Logging_2039/klagomålsmail/A 21670-2024 FSC-klagomål mail.docx", "A 21670-2024")</f>
        <v/>
      </c>
      <c r="X69">
        <f>HYPERLINK("https://klasma.github.io/Logging_2039/tillsyn/A 21670-2024 tillsynsbegäran.docx", "A 21670-2024")</f>
        <v/>
      </c>
      <c r="Y69">
        <f>HYPERLINK("https://klasma.github.io/Logging_2039/tillsynsmail/A 21670-2024 tillsynsbegäran mail.docx", "A 21670-2024")</f>
        <v/>
      </c>
    </row>
    <row r="70" ht="15" customHeight="1">
      <c r="A70" t="inlineStr">
        <is>
          <t>A 25089-2024</t>
        </is>
      </c>
      <c r="B70" s="1" t="n">
        <v>45462</v>
      </c>
      <c r="C70" s="1" t="n">
        <v>45824</v>
      </c>
      <c r="D70" t="inlineStr">
        <is>
          <t>DALARNAS LÄN</t>
        </is>
      </c>
      <c r="E70" t="inlineStr">
        <is>
          <t>ÄLVDALEN</t>
        </is>
      </c>
      <c r="F70" t="inlineStr">
        <is>
          <t>Sveaskog</t>
        </is>
      </c>
      <c r="G70" t="n">
        <v>3.9</v>
      </c>
      <c r="H70" t="n">
        <v>0</v>
      </c>
      <c r="I70" t="n">
        <v>1</v>
      </c>
      <c r="J70" t="n">
        <v>4</v>
      </c>
      <c r="K70" t="n">
        <v>0</v>
      </c>
      <c r="L70" t="n">
        <v>0</v>
      </c>
      <c r="M70" t="n">
        <v>0</v>
      </c>
      <c r="N70" t="n">
        <v>0</v>
      </c>
      <c r="O70" t="n">
        <v>4</v>
      </c>
      <c r="P70" t="n">
        <v>0</v>
      </c>
      <c r="Q70" t="n">
        <v>5</v>
      </c>
      <c r="R70" s="2" t="inlineStr">
        <is>
          <t>Blanksvart spiklav
Kolflarnlav
Mörk kolflarnlav
Vedflamlav
Skarp dropptaggsvamp</t>
        </is>
      </c>
      <c r="S70">
        <f>HYPERLINK("https://klasma.github.io/Logging_2039/artfynd/A 25089-2024 artfynd.xlsx", "A 25089-2024")</f>
        <v/>
      </c>
      <c r="T70">
        <f>HYPERLINK("https://klasma.github.io/Logging_2039/kartor/A 25089-2024 karta.png", "A 25089-2024")</f>
        <v/>
      </c>
      <c r="V70">
        <f>HYPERLINK("https://klasma.github.io/Logging_2039/klagomål/A 25089-2024 FSC-klagomål.docx", "A 25089-2024")</f>
        <v/>
      </c>
      <c r="W70">
        <f>HYPERLINK("https://klasma.github.io/Logging_2039/klagomålsmail/A 25089-2024 FSC-klagomål mail.docx", "A 25089-2024")</f>
        <v/>
      </c>
      <c r="X70">
        <f>HYPERLINK("https://klasma.github.io/Logging_2039/tillsyn/A 25089-2024 tillsynsbegäran.docx", "A 25089-2024")</f>
        <v/>
      </c>
      <c r="Y70">
        <f>HYPERLINK("https://klasma.github.io/Logging_2039/tillsynsmail/A 25089-2024 tillsynsbegäran mail.docx", "A 25089-2024")</f>
        <v/>
      </c>
    </row>
    <row r="71" ht="15" customHeight="1">
      <c r="A71" t="inlineStr">
        <is>
          <t>A 32997-2024</t>
        </is>
      </c>
      <c r="B71" s="1" t="n">
        <v>45517</v>
      </c>
      <c r="C71" s="1" t="n">
        <v>45824</v>
      </c>
      <c r="D71" t="inlineStr">
        <is>
          <t>DALARNAS LÄN</t>
        </is>
      </c>
      <c r="E71" t="inlineStr">
        <is>
          <t>ÄLVDALEN</t>
        </is>
      </c>
      <c r="G71" t="n">
        <v>2.7</v>
      </c>
      <c r="H71" t="n">
        <v>0</v>
      </c>
      <c r="I71" t="n">
        <v>1</v>
      </c>
      <c r="J71" t="n">
        <v>2</v>
      </c>
      <c r="K71" t="n">
        <v>2</v>
      </c>
      <c r="L71" t="n">
        <v>0</v>
      </c>
      <c r="M71" t="n">
        <v>0</v>
      </c>
      <c r="N71" t="n">
        <v>0</v>
      </c>
      <c r="O71" t="n">
        <v>4</v>
      </c>
      <c r="P71" t="n">
        <v>2</v>
      </c>
      <c r="Q71" t="n">
        <v>5</v>
      </c>
      <c r="R71" s="2" t="inlineStr">
        <is>
          <t>Smalfotad taggsvamp
Tajgataggsvamp
Svart taggsvamp
Tallriska
Dropptaggsvamp</t>
        </is>
      </c>
      <c r="S71">
        <f>HYPERLINK("https://klasma.github.io/Logging_2039/artfynd/A 32997-2024 artfynd.xlsx", "A 32997-2024")</f>
        <v/>
      </c>
      <c r="T71">
        <f>HYPERLINK("https://klasma.github.io/Logging_2039/kartor/A 32997-2024 karta.png", "A 32997-2024")</f>
        <v/>
      </c>
      <c r="V71">
        <f>HYPERLINK("https://klasma.github.io/Logging_2039/klagomål/A 32997-2024 FSC-klagomål.docx", "A 32997-2024")</f>
        <v/>
      </c>
      <c r="W71">
        <f>HYPERLINK("https://klasma.github.io/Logging_2039/klagomålsmail/A 32997-2024 FSC-klagomål mail.docx", "A 32997-2024")</f>
        <v/>
      </c>
      <c r="X71">
        <f>HYPERLINK("https://klasma.github.io/Logging_2039/tillsyn/A 32997-2024 tillsynsbegäran.docx", "A 32997-2024")</f>
        <v/>
      </c>
      <c r="Y71">
        <f>HYPERLINK("https://klasma.github.io/Logging_2039/tillsynsmail/A 32997-2024 tillsynsbegäran mail.docx", "A 32997-2024")</f>
        <v/>
      </c>
    </row>
    <row r="72" ht="15" customHeight="1">
      <c r="A72" t="inlineStr">
        <is>
          <t>A 33882-2024</t>
        </is>
      </c>
      <c r="B72" s="1" t="n">
        <v>45522</v>
      </c>
      <c r="C72" s="1" t="n">
        <v>45824</v>
      </c>
      <c r="D72" t="inlineStr">
        <is>
          <t>DALARNAS LÄN</t>
        </is>
      </c>
      <c r="E72" t="inlineStr">
        <is>
          <t>ÄLVDALEN</t>
        </is>
      </c>
      <c r="G72" t="n">
        <v>36.4</v>
      </c>
      <c r="H72" t="n">
        <v>2</v>
      </c>
      <c r="I72" t="n">
        <v>1</v>
      </c>
      <c r="J72" t="n">
        <v>4</v>
      </c>
      <c r="K72" t="n">
        <v>0</v>
      </c>
      <c r="L72" t="n">
        <v>0</v>
      </c>
      <c r="M72" t="n">
        <v>0</v>
      </c>
      <c r="N72" t="n">
        <v>0</v>
      </c>
      <c r="O72" t="n">
        <v>4</v>
      </c>
      <c r="P72" t="n">
        <v>0</v>
      </c>
      <c r="Q72" t="n">
        <v>5</v>
      </c>
      <c r="R72" s="2" t="inlineStr">
        <is>
          <t>Garnlav
Granticka
Skrovellav
Tretåig hackspett
Spindelblomster</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34150-2024</t>
        </is>
      </c>
      <c r="B73" s="1" t="n">
        <v>45524</v>
      </c>
      <c r="C73" s="1" t="n">
        <v>45824</v>
      </c>
      <c r="D73" t="inlineStr">
        <is>
          <t>DALARNAS LÄN</t>
        </is>
      </c>
      <c r="E73" t="inlineStr">
        <is>
          <t>ÄLVDALEN</t>
        </is>
      </c>
      <c r="F73" t="inlineStr">
        <is>
          <t>Sveaskog</t>
        </is>
      </c>
      <c r="G73" t="n">
        <v>7.8</v>
      </c>
      <c r="H73" t="n">
        <v>0</v>
      </c>
      <c r="I73" t="n">
        <v>2</v>
      </c>
      <c r="J73" t="n">
        <v>3</v>
      </c>
      <c r="K73" t="n">
        <v>0</v>
      </c>
      <c r="L73" t="n">
        <v>0</v>
      </c>
      <c r="M73" t="n">
        <v>0</v>
      </c>
      <c r="N73" t="n">
        <v>0</v>
      </c>
      <c r="O73" t="n">
        <v>3</v>
      </c>
      <c r="P73" t="n">
        <v>0</v>
      </c>
      <c r="Q73" t="n">
        <v>5</v>
      </c>
      <c r="R73" s="2" t="inlineStr">
        <is>
          <t>Blanksvart spiklav
Blå taggsvamp
Violettgrå tagellav
Dropptaggsvamp
Skarp dropptaggsvamp</t>
        </is>
      </c>
      <c r="S73">
        <f>HYPERLINK("https://klasma.github.io/Logging_2039/artfynd/A 34150-2024 artfynd.xlsx", "A 34150-2024")</f>
        <v/>
      </c>
      <c r="T73">
        <f>HYPERLINK("https://klasma.github.io/Logging_2039/kartor/A 34150-2024 karta.png", "A 34150-2024")</f>
        <v/>
      </c>
      <c r="V73">
        <f>HYPERLINK("https://klasma.github.io/Logging_2039/klagomål/A 34150-2024 FSC-klagomål.docx", "A 34150-2024")</f>
        <v/>
      </c>
      <c r="W73">
        <f>HYPERLINK("https://klasma.github.io/Logging_2039/klagomålsmail/A 34150-2024 FSC-klagomål mail.docx", "A 34150-2024")</f>
        <v/>
      </c>
      <c r="X73">
        <f>HYPERLINK("https://klasma.github.io/Logging_2039/tillsyn/A 34150-2024 tillsynsbegäran.docx", "A 34150-2024")</f>
        <v/>
      </c>
      <c r="Y73">
        <f>HYPERLINK("https://klasma.github.io/Logging_2039/tillsynsmail/A 34150-2024 tillsynsbegäran mail.docx", "A 34150-2024")</f>
        <v/>
      </c>
    </row>
    <row r="74" ht="15" customHeight="1">
      <c r="A74" t="inlineStr">
        <is>
          <t>A 47285-2024</t>
        </is>
      </c>
      <c r="B74" s="1" t="n">
        <v>45587</v>
      </c>
      <c r="C74" s="1" t="n">
        <v>45824</v>
      </c>
      <c r="D74" t="inlineStr">
        <is>
          <t>DALARNAS LÄN</t>
        </is>
      </c>
      <c r="E74" t="inlineStr">
        <is>
          <t>ÄLVDALEN</t>
        </is>
      </c>
      <c r="F74" t="inlineStr">
        <is>
          <t>Sveaskog</t>
        </is>
      </c>
      <c r="G74" t="n">
        <v>17</v>
      </c>
      <c r="H74" t="n">
        <v>0</v>
      </c>
      <c r="I74" t="n">
        <v>1</v>
      </c>
      <c r="J74" t="n">
        <v>4</v>
      </c>
      <c r="K74" t="n">
        <v>0</v>
      </c>
      <c r="L74" t="n">
        <v>0</v>
      </c>
      <c r="M74" t="n">
        <v>0</v>
      </c>
      <c r="N74" t="n">
        <v>0</v>
      </c>
      <c r="O74" t="n">
        <v>4</v>
      </c>
      <c r="P74" t="n">
        <v>0</v>
      </c>
      <c r="Q74" t="n">
        <v>5</v>
      </c>
      <c r="R74" s="2" t="inlineStr">
        <is>
          <t>Kolflarnlav
Mörk kolflarnlav
Orange taggsvamp
Vedflamlav
Dropptaggsvamp</t>
        </is>
      </c>
      <c r="S74">
        <f>HYPERLINK("https://klasma.github.io/Logging_2039/artfynd/A 47285-2024 artfynd.xlsx", "A 47285-2024")</f>
        <v/>
      </c>
      <c r="T74">
        <f>HYPERLINK("https://klasma.github.io/Logging_2039/kartor/A 47285-2024 karta.png", "A 47285-2024")</f>
        <v/>
      </c>
      <c r="V74">
        <f>HYPERLINK("https://klasma.github.io/Logging_2039/klagomål/A 47285-2024 FSC-klagomål.docx", "A 47285-2024")</f>
        <v/>
      </c>
      <c r="W74">
        <f>HYPERLINK("https://klasma.github.io/Logging_2039/klagomålsmail/A 47285-2024 FSC-klagomål mail.docx", "A 47285-2024")</f>
        <v/>
      </c>
      <c r="X74">
        <f>HYPERLINK("https://klasma.github.io/Logging_2039/tillsyn/A 47285-2024 tillsynsbegäran.docx", "A 47285-2024")</f>
        <v/>
      </c>
      <c r="Y74">
        <f>HYPERLINK("https://klasma.github.io/Logging_2039/tillsynsmail/A 47285-2024 tillsynsbegäran mail.docx", "A 47285-2024")</f>
        <v/>
      </c>
    </row>
    <row r="75" ht="15" customHeight="1">
      <c r="A75" t="inlineStr">
        <is>
          <t>A 16894-2025</t>
        </is>
      </c>
      <c r="B75" s="1" t="n">
        <v>45755</v>
      </c>
      <c r="C75" s="1" t="n">
        <v>45824</v>
      </c>
      <c r="D75" t="inlineStr">
        <is>
          <t>DALARNAS LÄN</t>
        </is>
      </c>
      <c r="E75" t="inlineStr">
        <is>
          <t>ÄLVDALEN</t>
        </is>
      </c>
      <c r="F75" t="inlineStr">
        <is>
          <t>Sveaskog</t>
        </is>
      </c>
      <c r="G75" t="n">
        <v>17.3</v>
      </c>
      <c r="H75" t="n">
        <v>0</v>
      </c>
      <c r="I75" t="n">
        <v>1</v>
      </c>
      <c r="J75" t="n">
        <v>4</v>
      </c>
      <c r="K75" t="n">
        <v>0</v>
      </c>
      <c r="L75" t="n">
        <v>0</v>
      </c>
      <c r="M75" t="n">
        <v>0</v>
      </c>
      <c r="N75" t="n">
        <v>0</v>
      </c>
      <c r="O75" t="n">
        <v>4</v>
      </c>
      <c r="P75" t="n">
        <v>0</v>
      </c>
      <c r="Q75" t="n">
        <v>5</v>
      </c>
      <c r="R75" s="2" t="inlineStr">
        <is>
          <t>Dvärgbägarlav
Kolflarnlav
Mörk kolflarnlav
Vedflamlav
Dropptaggsvamp</t>
        </is>
      </c>
      <c r="S75">
        <f>HYPERLINK("https://klasma.github.io/Logging_202039/artfynd/A 16894-2025 artfynd.xlsx", "A 16894-2025")</f>
        <v/>
      </c>
      <c r="T75">
        <f>HYPERLINK("https://klasma.github.io/Logging_202039/kartor/A 16894-2025 karta.png", "A 16894-2025")</f>
        <v/>
      </c>
      <c r="V75">
        <f>HYPERLINK("https://klasma.github.io/Logging_202039/klagomål/A 16894-2025 FSC-klagomål.docx", "A 16894-2025")</f>
        <v/>
      </c>
      <c r="W75">
        <f>HYPERLINK("https://klasma.github.io/Logging_202039/klagomålsmail/A 16894-2025 FSC-klagomål mail.docx", "A 16894-2025")</f>
        <v/>
      </c>
      <c r="X75">
        <f>HYPERLINK("https://klasma.github.io/Logging_202039/tillsyn/A 16894-2025 tillsynsbegäran.docx", "A 16894-2025")</f>
        <v/>
      </c>
      <c r="Y75">
        <f>HYPERLINK("https://klasma.github.io/Logging_202039/tillsynsmail/A 16894-2025 tillsynsbegäran mail.docx", "A 16894-2025")</f>
        <v/>
      </c>
    </row>
    <row r="76" ht="15" customHeight="1">
      <c r="A76" t="inlineStr">
        <is>
          <t>A 46264-2019</t>
        </is>
      </c>
      <c r="B76" s="1" t="n">
        <v>43713</v>
      </c>
      <c r="C76" s="1" t="n">
        <v>45824</v>
      </c>
      <c r="D76" t="inlineStr">
        <is>
          <t>DALARNAS LÄN</t>
        </is>
      </c>
      <c r="E76" t="inlineStr">
        <is>
          <t>ÄLVDALEN</t>
        </is>
      </c>
      <c r="G76" t="n">
        <v>19.4</v>
      </c>
      <c r="H76" t="n">
        <v>0</v>
      </c>
      <c r="I76" t="n">
        <v>0</v>
      </c>
      <c r="J76" t="n">
        <v>4</v>
      </c>
      <c r="K76" t="n">
        <v>0</v>
      </c>
      <c r="L76" t="n">
        <v>0</v>
      </c>
      <c r="M76" t="n">
        <v>0</v>
      </c>
      <c r="N76" t="n">
        <v>0</v>
      </c>
      <c r="O76" t="n">
        <v>4</v>
      </c>
      <c r="P76" t="n">
        <v>0</v>
      </c>
      <c r="Q76" t="n">
        <v>4</v>
      </c>
      <c r="R76" s="2" t="inlineStr">
        <is>
          <t>Kolflarnlav
Mörk kolflarnlav
Vedflamlav
Vedskivlav</t>
        </is>
      </c>
      <c r="S76">
        <f>HYPERLINK("https://klasma.github.io/Logging_2039/artfynd/A 46264-2019 artfynd.xlsx", "A 46264-2019")</f>
        <v/>
      </c>
      <c r="T76">
        <f>HYPERLINK("https://klasma.github.io/Logging_2039/kartor/A 46264-2019 karta.png", "A 46264-2019")</f>
        <v/>
      </c>
      <c r="V76">
        <f>HYPERLINK("https://klasma.github.io/Logging_2039/klagomål/A 46264-2019 FSC-klagomål.docx", "A 46264-2019")</f>
        <v/>
      </c>
      <c r="W76">
        <f>HYPERLINK("https://klasma.github.io/Logging_2039/klagomålsmail/A 46264-2019 FSC-klagomål mail.docx", "A 46264-2019")</f>
        <v/>
      </c>
      <c r="X76">
        <f>HYPERLINK("https://klasma.github.io/Logging_2039/tillsyn/A 46264-2019 tillsynsbegäran.docx", "A 46264-2019")</f>
        <v/>
      </c>
      <c r="Y76">
        <f>HYPERLINK("https://klasma.github.io/Logging_2039/tillsynsmail/A 46264-2019 tillsynsbegäran mail.docx", "A 46264-2019")</f>
        <v/>
      </c>
    </row>
    <row r="77" ht="15" customHeight="1">
      <c r="A77" t="inlineStr">
        <is>
          <t>A 58508-2021</t>
        </is>
      </c>
      <c r="B77" s="1" t="n">
        <v>44488</v>
      </c>
      <c r="C77" s="1" t="n">
        <v>45824</v>
      </c>
      <c r="D77" t="inlineStr">
        <is>
          <t>DALARNAS LÄN</t>
        </is>
      </c>
      <c r="E77" t="inlineStr">
        <is>
          <t>ÄLVDALEN</t>
        </is>
      </c>
      <c r="F77" t="inlineStr">
        <is>
          <t>Sveaskog</t>
        </is>
      </c>
      <c r="G77" t="n">
        <v>13.3</v>
      </c>
      <c r="H77" t="n">
        <v>1</v>
      </c>
      <c r="I77" t="n">
        <v>0</v>
      </c>
      <c r="J77" t="n">
        <v>4</v>
      </c>
      <c r="K77" t="n">
        <v>0</v>
      </c>
      <c r="L77" t="n">
        <v>0</v>
      </c>
      <c r="M77" t="n">
        <v>0</v>
      </c>
      <c r="N77" t="n">
        <v>0</v>
      </c>
      <c r="O77" t="n">
        <v>4</v>
      </c>
      <c r="P77" t="n">
        <v>0</v>
      </c>
      <c r="Q77" t="n">
        <v>4</v>
      </c>
      <c r="R77" s="2" t="inlineStr">
        <is>
          <t>Kolflarnlav
Mörk kolflarnlav
Varglav
Vedflamlav</t>
        </is>
      </c>
      <c r="S77">
        <f>HYPERLINK("https://klasma.github.io/Logging_2039/artfynd/A 58508-2021 artfynd.xlsx", "A 58508-2021")</f>
        <v/>
      </c>
      <c r="T77">
        <f>HYPERLINK("https://klasma.github.io/Logging_2039/kartor/A 58508-2021 karta.png", "A 58508-2021")</f>
        <v/>
      </c>
      <c r="V77">
        <f>HYPERLINK("https://klasma.github.io/Logging_2039/klagomål/A 58508-2021 FSC-klagomål.docx", "A 58508-2021")</f>
        <v/>
      </c>
      <c r="W77">
        <f>HYPERLINK("https://klasma.github.io/Logging_2039/klagomålsmail/A 58508-2021 FSC-klagomål mail.docx", "A 58508-2021")</f>
        <v/>
      </c>
      <c r="X77">
        <f>HYPERLINK("https://klasma.github.io/Logging_2039/tillsyn/A 58508-2021 tillsynsbegäran.docx", "A 58508-2021")</f>
        <v/>
      </c>
      <c r="Y77">
        <f>HYPERLINK("https://klasma.github.io/Logging_2039/tillsynsmail/A 58508-2021 tillsynsbegäran mail.docx", "A 58508-2021")</f>
        <v/>
      </c>
    </row>
    <row r="78" ht="15" customHeight="1">
      <c r="A78" t="inlineStr">
        <is>
          <t>A 40710-2022</t>
        </is>
      </c>
      <c r="B78" s="1" t="n">
        <v>44824</v>
      </c>
      <c r="C78" s="1" t="n">
        <v>45824</v>
      </c>
      <c r="D78" t="inlineStr">
        <is>
          <t>DALARNAS LÄN</t>
        </is>
      </c>
      <c r="E78" t="inlineStr">
        <is>
          <t>ÄLVDALEN</t>
        </is>
      </c>
      <c r="F78" t="inlineStr">
        <is>
          <t>Övriga statliga verk och myndigheter</t>
        </is>
      </c>
      <c r="G78" t="n">
        <v>6.7</v>
      </c>
      <c r="H78" t="n">
        <v>1</v>
      </c>
      <c r="I78" t="n">
        <v>1</v>
      </c>
      <c r="J78" t="n">
        <v>2</v>
      </c>
      <c r="K78" t="n">
        <v>0</v>
      </c>
      <c r="L78" t="n">
        <v>1</v>
      </c>
      <c r="M78" t="n">
        <v>0</v>
      </c>
      <c r="N78" t="n">
        <v>0</v>
      </c>
      <c r="O78" t="n">
        <v>3</v>
      </c>
      <c r="P78" t="n">
        <v>1</v>
      </c>
      <c r="Q78" t="n">
        <v>4</v>
      </c>
      <c r="R78" s="2" t="inlineStr">
        <is>
          <t>Mosippa
Garnlav
Tallticka
Stuplav</t>
        </is>
      </c>
      <c r="S78">
        <f>HYPERLINK("https://klasma.github.io/Logging_2039/artfynd/A 40710-2022 artfynd.xlsx", "A 40710-2022")</f>
        <v/>
      </c>
      <c r="T78">
        <f>HYPERLINK("https://klasma.github.io/Logging_2039/kartor/A 40710-2022 karta.png", "A 40710-2022")</f>
        <v/>
      </c>
      <c r="V78">
        <f>HYPERLINK("https://klasma.github.io/Logging_2039/klagomål/A 40710-2022 FSC-klagomål.docx", "A 40710-2022")</f>
        <v/>
      </c>
      <c r="W78">
        <f>HYPERLINK("https://klasma.github.io/Logging_2039/klagomålsmail/A 40710-2022 FSC-klagomål mail.docx", "A 40710-2022")</f>
        <v/>
      </c>
      <c r="X78">
        <f>HYPERLINK("https://klasma.github.io/Logging_2039/tillsyn/A 40710-2022 tillsynsbegäran.docx", "A 40710-2022")</f>
        <v/>
      </c>
      <c r="Y78">
        <f>HYPERLINK("https://klasma.github.io/Logging_2039/tillsynsmail/A 40710-2022 tillsynsbegäran mail.docx", "A 40710-2022")</f>
        <v/>
      </c>
    </row>
    <row r="79" ht="15" customHeight="1">
      <c r="A79" t="inlineStr">
        <is>
          <t>A 41966-2022</t>
        </is>
      </c>
      <c r="B79" s="1" t="n">
        <v>44830</v>
      </c>
      <c r="C79" s="1" t="n">
        <v>45824</v>
      </c>
      <c r="D79" t="inlineStr">
        <is>
          <t>DALARNAS LÄN</t>
        </is>
      </c>
      <c r="E79" t="inlineStr">
        <is>
          <t>ÄLVDALEN</t>
        </is>
      </c>
      <c r="F79" t="inlineStr">
        <is>
          <t>Sveaskog</t>
        </is>
      </c>
      <c r="G79" t="n">
        <v>3</v>
      </c>
      <c r="H79" t="n">
        <v>2</v>
      </c>
      <c r="I79" t="n">
        <v>1</v>
      </c>
      <c r="J79" t="n">
        <v>2</v>
      </c>
      <c r="K79" t="n">
        <v>0</v>
      </c>
      <c r="L79" t="n">
        <v>1</v>
      </c>
      <c r="M79" t="n">
        <v>0</v>
      </c>
      <c r="N79" t="n">
        <v>0</v>
      </c>
      <c r="O79" t="n">
        <v>3</v>
      </c>
      <c r="P79" t="n">
        <v>1</v>
      </c>
      <c r="Q79" t="n">
        <v>4</v>
      </c>
      <c r="R79" s="2" t="inlineStr">
        <is>
          <t>Mosippa
Kolflarnlav
Spillkråka
Dropptaggsvamp</t>
        </is>
      </c>
      <c r="S79">
        <f>HYPERLINK("https://klasma.github.io/Logging_2039/artfynd/A 41966-2022 artfynd.xlsx", "A 41966-2022")</f>
        <v/>
      </c>
      <c r="T79">
        <f>HYPERLINK("https://klasma.github.io/Logging_2039/kartor/A 41966-2022 karta.png", "A 41966-2022")</f>
        <v/>
      </c>
      <c r="V79">
        <f>HYPERLINK("https://klasma.github.io/Logging_2039/klagomål/A 41966-2022 FSC-klagomål.docx", "A 41966-2022")</f>
        <v/>
      </c>
      <c r="W79">
        <f>HYPERLINK("https://klasma.github.io/Logging_2039/klagomålsmail/A 41966-2022 FSC-klagomål mail.docx", "A 41966-2022")</f>
        <v/>
      </c>
      <c r="X79">
        <f>HYPERLINK("https://klasma.github.io/Logging_2039/tillsyn/A 41966-2022 tillsynsbegäran.docx", "A 41966-2022")</f>
        <v/>
      </c>
      <c r="Y79">
        <f>HYPERLINK("https://klasma.github.io/Logging_2039/tillsynsmail/A 41966-2022 tillsynsbegäran mail.docx", "A 41966-2022")</f>
        <v/>
      </c>
      <c r="Z79">
        <f>HYPERLINK("https://klasma.github.io/Logging_2039/fåglar/A 41966-2022 prioriterade fågelarter.docx", "A 41966-2022")</f>
        <v/>
      </c>
    </row>
    <row r="80" ht="15" customHeight="1">
      <c r="A80" t="inlineStr">
        <is>
          <t>A 50207-2022</t>
        </is>
      </c>
      <c r="B80" s="1" t="n">
        <v>44865</v>
      </c>
      <c r="C80" s="1" t="n">
        <v>45824</v>
      </c>
      <c r="D80" t="inlineStr">
        <is>
          <t>DALARNAS LÄN</t>
        </is>
      </c>
      <c r="E80" t="inlineStr">
        <is>
          <t>ÄLVDALEN</t>
        </is>
      </c>
      <c r="F80" t="inlineStr">
        <is>
          <t>Sveaskog</t>
        </is>
      </c>
      <c r="G80" t="n">
        <v>1.4</v>
      </c>
      <c r="H80" t="n">
        <v>0</v>
      </c>
      <c r="I80" t="n">
        <v>1</v>
      </c>
      <c r="J80" t="n">
        <v>3</v>
      </c>
      <c r="K80" t="n">
        <v>0</v>
      </c>
      <c r="L80" t="n">
        <v>0</v>
      </c>
      <c r="M80" t="n">
        <v>0</v>
      </c>
      <c r="N80" t="n">
        <v>0</v>
      </c>
      <c r="O80" t="n">
        <v>3</v>
      </c>
      <c r="P80" t="n">
        <v>0</v>
      </c>
      <c r="Q80" t="n">
        <v>4</v>
      </c>
      <c r="R80" s="2" t="inlineStr">
        <is>
          <t>Blanksvart spiklav
Kolflarnlav
Mörk kolflarnlav
Dropptaggsvamp</t>
        </is>
      </c>
      <c r="S80">
        <f>HYPERLINK("https://klasma.github.io/Logging_2039/artfynd/A 50207-2022 artfynd.xlsx", "A 50207-2022")</f>
        <v/>
      </c>
      <c r="T80">
        <f>HYPERLINK("https://klasma.github.io/Logging_2039/kartor/A 50207-2022 karta.png", "A 50207-2022")</f>
        <v/>
      </c>
      <c r="V80">
        <f>HYPERLINK("https://klasma.github.io/Logging_2039/klagomål/A 50207-2022 FSC-klagomål.docx", "A 50207-2022")</f>
        <v/>
      </c>
      <c r="W80">
        <f>HYPERLINK("https://klasma.github.io/Logging_2039/klagomålsmail/A 50207-2022 FSC-klagomål mail.docx", "A 50207-2022")</f>
        <v/>
      </c>
      <c r="X80">
        <f>HYPERLINK("https://klasma.github.io/Logging_2039/tillsyn/A 50207-2022 tillsynsbegäran.docx", "A 50207-2022")</f>
        <v/>
      </c>
      <c r="Y80">
        <f>HYPERLINK("https://klasma.github.io/Logging_2039/tillsynsmail/A 50207-2022 tillsynsbegäran mail.docx", "A 50207-2022")</f>
        <v/>
      </c>
    </row>
    <row r="81" ht="15" customHeight="1">
      <c r="A81" t="inlineStr">
        <is>
          <t>A 56078-2022</t>
        </is>
      </c>
      <c r="B81" s="1" t="n">
        <v>44889</v>
      </c>
      <c r="C81" s="1" t="n">
        <v>45824</v>
      </c>
      <c r="D81" t="inlineStr">
        <is>
          <t>DALARNAS LÄN</t>
        </is>
      </c>
      <c r="E81" t="inlineStr">
        <is>
          <t>ÄLVDALEN</t>
        </is>
      </c>
      <c r="F81" t="inlineStr">
        <is>
          <t>Bergvik skog öst AB</t>
        </is>
      </c>
      <c r="G81" t="n">
        <v>2.4</v>
      </c>
      <c r="H81" t="n">
        <v>3</v>
      </c>
      <c r="I81" t="n">
        <v>1</v>
      </c>
      <c r="J81" t="n">
        <v>1</v>
      </c>
      <c r="K81" t="n">
        <v>0</v>
      </c>
      <c r="L81" t="n">
        <v>1</v>
      </c>
      <c r="M81" t="n">
        <v>0</v>
      </c>
      <c r="N81" t="n">
        <v>0</v>
      </c>
      <c r="O81" t="n">
        <v>2</v>
      </c>
      <c r="P81" t="n">
        <v>1</v>
      </c>
      <c r="Q81" t="n">
        <v>4</v>
      </c>
      <c r="R81" s="2" t="inlineStr">
        <is>
          <t>Storspov
Buskskvätta
Dropptaggsvamp
Enkelbeckasin</t>
        </is>
      </c>
      <c r="S81">
        <f>HYPERLINK("https://klasma.github.io/Logging_2039/artfynd/A 56078-2022 artfynd.xlsx", "A 56078-2022")</f>
        <v/>
      </c>
      <c r="T81">
        <f>HYPERLINK("https://klasma.github.io/Logging_2039/kartor/A 56078-2022 karta.png", "A 56078-2022")</f>
        <v/>
      </c>
      <c r="V81">
        <f>HYPERLINK("https://klasma.github.io/Logging_2039/klagomål/A 56078-2022 FSC-klagomål.docx", "A 56078-2022")</f>
        <v/>
      </c>
      <c r="W81">
        <f>HYPERLINK("https://klasma.github.io/Logging_2039/klagomålsmail/A 56078-2022 FSC-klagomål mail.docx", "A 56078-2022")</f>
        <v/>
      </c>
      <c r="X81">
        <f>HYPERLINK("https://klasma.github.io/Logging_2039/tillsyn/A 56078-2022 tillsynsbegäran.docx", "A 56078-2022")</f>
        <v/>
      </c>
      <c r="Y81">
        <f>HYPERLINK("https://klasma.github.io/Logging_2039/tillsynsmail/A 56078-2022 tillsynsbegäran mail.docx", "A 56078-2022")</f>
        <v/>
      </c>
      <c r="Z81">
        <f>HYPERLINK("https://klasma.github.io/Logging_2039/fåglar/A 56078-2022 prioriterade fågelarter.docx", "A 56078-2022")</f>
        <v/>
      </c>
    </row>
    <row r="82" ht="15" customHeight="1">
      <c r="A82" t="inlineStr">
        <is>
          <t>A 28822-2023</t>
        </is>
      </c>
      <c r="B82" s="1" t="n">
        <v>45104</v>
      </c>
      <c r="C82" s="1" t="n">
        <v>45824</v>
      </c>
      <c r="D82" t="inlineStr">
        <is>
          <t>DALARNAS LÄN</t>
        </is>
      </c>
      <c r="E82" t="inlineStr">
        <is>
          <t>ÄLVDALEN</t>
        </is>
      </c>
      <c r="F82" t="inlineStr">
        <is>
          <t>Sveaskog</t>
        </is>
      </c>
      <c r="G82" t="n">
        <v>4</v>
      </c>
      <c r="H82" t="n">
        <v>0</v>
      </c>
      <c r="I82" t="n">
        <v>1</v>
      </c>
      <c r="J82" t="n">
        <v>3</v>
      </c>
      <c r="K82" t="n">
        <v>0</v>
      </c>
      <c r="L82" t="n">
        <v>0</v>
      </c>
      <c r="M82" t="n">
        <v>0</v>
      </c>
      <c r="N82" t="n">
        <v>0</v>
      </c>
      <c r="O82" t="n">
        <v>3</v>
      </c>
      <c r="P82" t="n">
        <v>0</v>
      </c>
      <c r="Q82" t="n">
        <v>4</v>
      </c>
      <c r="R82" s="2" t="inlineStr">
        <is>
          <t>Skrovlig taggsvamp
Talltaggsvamp
Vaddporing
Dropptaggsvamp</t>
        </is>
      </c>
      <c r="S82">
        <f>HYPERLINK("https://klasma.github.io/Logging_2039/artfynd/A 28822-2023 artfynd.xlsx", "A 28822-2023")</f>
        <v/>
      </c>
      <c r="T82">
        <f>HYPERLINK("https://klasma.github.io/Logging_2039/kartor/A 28822-2023 karta.png", "A 28822-2023")</f>
        <v/>
      </c>
      <c r="V82">
        <f>HYPERLINK("https://klasma.github.io/Logging_2039/klagomål/A 28822-2023 FSC-klagomål.docx", "A 28822-2023")</f>
        <v/>
      </c>
      <c r="W82">
        <f>HYPERLINK("https://klasma.github.io/Logging_2039/klagomålsmail/A 28822-2023 FSC-klagomål mail.docx", "A 28822-2023")</f>
        <v/>
      </c>
      <c r="X82">
        <f>HYPERLINK("https://klasma.github.io/Logging_2039/tillsyn/A 28822-2023 tillsynsbegäran.docx", "A 28822-2023")</f>
        <v/>
      </c>
      <c r="Y82">
        <f>HYPERLINK("https://klasma.github.io/Logging_2039/tillsynsmail/A 28822-2023 tillsynsbegäran mail.docx", "A 28822-2023")</f>
        <v/>
      </c>
    </row>
    <row r="83" ht="15" customHeight="1">
      <c r="A83" t="inlineStr">
        <is>
          <t>A 29252-2023</t>
        </is>
      </c>
      <c r="B83" s="1" t="n">
        <v>45105</v>
      </c>
      <c r="C83" s="1" t="n">
        <v>45824</v>
      </c>
      <c r="D83" t="inlineStr">
        <is>
          <t>DALARNAS LÄN</t>
        </is>
      </c>
      <c r="E83" t="inlineStr">
        <is>
          <t>ÄLVDALEN</t>
        </is>
      </c>
      <c r="F83" t="inlineStr">
        <is>
          <t>Allmännings- och besparingsskogar</t>
        </is>
      </c>
      <c r="G83" t="n">
        <v>3.5</v>
      </c>
      <c r="H83" t="n">
        <v>1</v>
      </c>
      <c r="I83" t="n">
        <v>0</v>
      </c>
      <c r="J83" t="n">
        <v>4</v>
      </c>
      <c r="K83" t="n">
        <v>0</v>
      </c>
      <c r="L83" t="n">
        <v>0</v>
      </c>
      <c r="M83" t="n">
        <v>0</v>
      </c>
      <c r="N83" t="n">
        <v>0</v>
      </c>
      <c r="O83" t="n">
        <v>4</v>
      </c>
      <c r="P83" t="n">
        <v>0</v>
      </c>
      <c r="Q83" t="n">
        <v>4</v>
      </c>
      <c r="R83" s="2" t="inlineStr">
        <is>
          <t>Knottrig blåslav
Kolflarnlav
Varglav
Vedflamlav</t>
        </is>
      </c>
      <c r="S83">
        <f>HYPERLINK("https://klasma.github.io/Logging_2039/artfynd/A 29252-2023 artfynd.xlsx", "A 29252-2023")</f>
        <v/>
      </c>
      <c r="T83">
        <f>HYPERLINK("https://klasma.github.io/Logging_2039/kartor/A 29252-2023 karta.png", "A 29252-2023")</f>
        <v/>
      </c>
      <c r="V83">
        <f>HYPERLINK("https://klasma.github.io/Logging_2039/klagomål/A 29252-2023 FSC-klagomål.docx", "A 29252-2023")</f>
        <v/>
      </c>
      <c r="W83">
        <f>HYPERLINK("https://klasma.github.io/Logging_2039/klagomålsmail/A 29252-2023 FSC-klagomål mail.docx", "A 29252-2023")</f>
        <v/>
      </c>
      <c r="X83">
        <f>HYPERLINK("https://klasma.github.io/Logging_2039/tillsyn/A 29252-2023 tillsynsbegäran.docx", "A 29252-2023")</f>
        <v/>
      </c>
      <c r="Y83">
        <f>HYPERLINK("https://klasma.github.io/Logging_2039/tillsynsmail/A 29252-2023 tillsynsbegäran mail.docx", "A 29252-2023")</f>
        <v/>
      </c>
    </row>
    <row r="84" ht="15" customHeight="1">
      <c r="A84" t="inlineStr">
        <is>
          <t>A 33550-2023</t>
        </is>
      </c>
      <c r="B84" s="1" t="n">
        <v>45118</v>
      </c>
      <c r="C84" s="1" t="n">
        <v>45824</v>
      </c>
      <c r="D84" t="inlineStr">
        <is>
          <t>DALARNAS LÄN</t>
        </is>
      </c>
      <c r="E84" t="inlineStr">
        <is>
          <t>ÄLVDALEN</t>
        </is>
      </c>
      <c r="G84" t="n">
        <v>1</v>
      </c>
      <c r="H84" t="n">
        <v>0</v>
      </c>
      <c r="I84" t="n">
        <v>1</v>
      </c>
      <c r="J84" t="n">
        <v>3</v>
      </c>
      <c r="K84" t="n">
        <v>0</v>
      </c>
      <c r="L84" t="n">
        <v>0</v>
      </c>
      <c r="M84" t="n">
        <v>0</v>
      </c>
      <c r="N84" t="n">
        <v>0</v>
      </c>
      <c r="O84" t="n">
        <v>3</v>
      </c>
      <c r="P84" t="n">
        <v>0</v>
      </c>
      <c r="Q84" t="n">
        <v>4</v>
      </c>
      <c r="R84" s="2" t="inlineStr">
        <is>
          <t>Garnlav
Granticka
Vedskivlav
Dropptaggsvamp</t>
        </is>
      </c>
      <c r="S84">
        <f>HYPERLINK("https://klasma.github.io/Logging_2039/artfynd/A 33550-2023 artfynd.xlsx", "A 33550-2023")</f>
        <v/>
      </c>
      <c r="T84">
        <f>HYPERLINK("https://klasma.github.io/Logging_2039/kartor/A 33550-2023 karta.png", "A 33550-2023")</f>
        <v/>
      </c>
      <c r="V84">
        <f>HYPERLINK("https://klasma.github.io/Logging_2039/klagomål/A 33550-2023 FSC-klagomål.docx", "A 33550-2023")</f>
        <v/>
      </c>
      <c r="W84">
        <f>HYPERLINK("https://klasma.github.io/Logging_2039/klagomålsmail/A 33550-2023 FSC-klagomål mail.docx", "A 33550-2023")</f>
        <v/>
      </c>
      <c r="X84">
        <f>HYPERLINK("https://klasma.github.io/Logging_2039/tillsyn/A 33550-2023 tillsynsbegäran.docx", "A 33550-2023")</f>
        <v/>
      </c>
      <c r="Y84">
        <f>HYPERLINK("https://klasma.github.io/Logging_2039/tillsynsmail/A 33550-2023 tillsynsbegäran mail.docx", "A 33550-2023")</f>
        <v/>
      </c>
    </row>
    <row r="85" ht="15" customHeight="1">
      <c r="A85" t="inlineStr">
        <is>
          <t>A 42874-2023</t>
        </is>
      </c>
      <c r="B85" s="1" t="n">
        <v>45182</v>
      </c>
      <c r="C85" s="1" t="n">
        <v>45824</v>
      </c>
      <c r="D85" t="inlineStr">
        <is>
          <t>DALARNAS LÄN</t>
        </is>
      </c>
      <c r="E85" t="inlineStr">
        <is>
          <t>ÄLVDALEN</t>
        </is>
      </c>
      <c r="F85" t="inlineStr">
        <is>
          <t>Sveaskog</t>
        </is>
      </c>
      <c r="G85" t="n">
        <v>2.7</v>
      </c>
      <c r="H85" t="n">
        <v>0</v>
      </c>
      <c r="I85" t="n">
        <v>1</v>
      </c>
      <c r="J85" t="n">
        <v>3</v>
      </c>
      <c r="K85" t="n">
        <v>0</v>
      </c>
      <c r="L85" t="n">
        <v>0</v>
      </c>
      <c r="M85" t="n">
        <v>0</v>
      </c>
      <c r="N85" t="n">
        <v>0</v>
      </c>
      <c r="O85" t="n">
        <v>3</v>
      </c>
      <c r="P85" t="n">
        <v>0</v>
      </c>
      <c r="Q85" t="n">
        <v>4</v>
      </c>
      <c r="R85" s="2" t="inlineStr">
        <is>
          <t>Blå taggsvamp
Motaggsvamp
Reliktbock
Skarp dropptaggsvamp</t>
        </is>
      </c>
      <c r="S85">
        <f>HYPERLINK("https://klasma.github.io/Logging_2039/artfynd/A 42874-2023 artfynd.xlsx", "A 42874-2023")</f>
        <v/>
      </c>
      <c r="T85">
        <f>HYPERLINK("https://klasma.github.io/Logging_2039/kartor/A 42874-2023 karta.png", "A 42874-2023")</f>
        <v/>
      </c>
      <c r="V85">
        <f>HYPERLINK("https://klasma.github.io/Logging_2039/klagomål/A 42874-2023 FSC-klagomål.docx", "A 42874-2023")</f>
        <v/>
      </c>
      <c r="W85">
        <f>HYPERLINK("https://klasma.github.io/Logging_2039/klagomålsmail/A 42874-2023 FSC-klagomål mail.docx", "A 42874-2023")</f>
        <v/>
      </c>
      <c r="X85">
        <f>HYPERLINK("https://klasma.github.io/Logging_2039/tillsyn/A 42874-2023 tillsynsbegäran.docx", "A 42874-2023")</f>
        <v/>
      </c>
      <c r="Y85">
        <f>HYPERLINK("https://klasma.github.io/Logging_2039/tillsynsmail/A 42874-2023 tillsynsbegäran mail.docx", "A 42874-2023")</f>
        <v/>
      </c>
    </row>
    <row r="86" ht="15" customHeight="1">
      <c r="A86" t="inlineStr">
        <is>
          <t>A 49052-2023</t>
        </is>
      </c>
      <c r="B86" s="1" t="n">
        <v>45210</v>
      </c>
      <c r="C86" s="1" t="n">
        <v>45824</v>
      </c>
      <c r="D86" t="inlineStr">
        <is>
          <t>DALARNAS LÄN</t>
        </is>
      </c>
      <c r="E86" t="inlineStr">
        <is>
          <t>ÄLVDALEN</t>
        </is>
      </c>
      <c r="F86" t="inlineStr">
        <is>
          <t>Sveaskog</t>
        </is>
      </c>
      <c r="G86" t="n">
        <v>4.4</v>
      </c>
      <c r="H86" t="n">
        <v>1</v>
      </c>
      <c r="I86" t="n">
        <v>0</v>
      </c>
      <c r="J86" t="n">
        <v>4</v>
      </c>
      <c r="K86" t="n">
        <v>0</v>
      </c>
      <c r="L86" t="n">
        <v>0</v>
      </c>
      <c r="M86" t="n">
        <v>0</v>
      </c>
      <c r="N86" t="n">
        <v>0</v>
      </c>
      <c r="O86" t="n">
        <v>4</v>
      </c>
      <c r="P86" t="n">
        <v>0</v>
      </c>
      <c r="Q86" t="n">
        <v>4</v>
      </c>
      <c r="R86" s="2" t="inlineStr">
        <is>
          <t>Kolflarnlav
Mörk kolflarnlav
Varglav
Vedflamlav</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59190-2023</t>
        </is>
      </c>
      <c r="B87" s="1" t="n">
        <v>45253</v>
      </c>
      <c r="C87" s="1" t="n">
        <v>45824</v>
      </c>
      <c r="D87" t="inlineStr">
        <is>
          <t>DALARNAS LÄN</t>
        </is>
      </c>
      <c r="E87" t="inlineStr">
        <is>
          <t>ÄLVDALEN</t>
        </is>
      </c>
      <c r="F87" t="inlineStr">
        <is>
          <t>Allmännings- och besparingsskogar</t>
        </is>
      </c>
      <c r="G87" t="n">
        <v>27.8</v>
      </c>
      <c r="H87" t="n">
        <v>0</v>
      </c>
      <c r="I87" t="n">
        <v>0</v>
      </c>
      <c r="J87" t="n">
        <v>4</v>
      </c>
      <c r="K87" t="n">
        <v>0</v>
      </c>
      <c r="L87" t="n">
        <v>0</v>
      </c>
      <c r="M87" t="n">
        <v>0</v>
      </c>
      <c r="N87" t="n">
        <v>0</v>
      </c>
      <c r="O87" t="n">
        <v>4</v>
      </c>
      <c r="P87" t="n">
        <v>0</v>
      </c>
      <c r="Q87" t="n">
        <v>4</v>
      </c>
      <c r="R87" s="2" t="inlineStr">
        <is>
          <t>Garnlav
Liten svartspik
Violettgrå tagellav
Vitgrynig nållav</t>
        </is>
      </c>
      <c r="S87">
        <f>HYPERLINK("https://klasma.github.io/Logging_2039/artfynd/A 59190-2023 artfynd.xlsx", "A 59190-2023")</f>
        <v/>
      </c>
      <c r="T87">
        <f>HYPERLINK("https://klasma.github.io/Logging_2039/kartor/A 59190-2023 karta.png", "A 59190-2023")</f>
        <v/>
      </c>
      <c r="V87">
        <f>HYPERLINK("https://klasma.github.io/Logging_2039/klagomål/A 59190-2023 FSC-klagomål.docx", "A 59190-2023")</f>
        <v/>
      </c>
      <c r="W87">
        <f>HYPERLINK("https://klasma.github.io/Logging_2039/klagomålsmail/A 59190-2023 FSC-klagomål mail.docx", "A 59190-2023")</f>
        <v/>
      </c>
      <c r="X87">
        <f>HYPERLINK("https://klasma.github.io/Logging_2039/tillsyn/A 59190-2023 tillsynsbegäran.docx", "A 59190-2023")</f>
        <v/>
      </c>
      <c r="Y87">
        <f>HYPERLINK("https://klasma.github.io/Logging_2039/tillsynsmail/A 59190-2023 tillsynsbegäran mail.docx", "A 59190-2023")</f>
        <v/>
      </c>
    </row>
    <row r="88" ht="15" customHeight="1">
      <c r="A88" t="inlineStr">
        <is>
          <t>A 9786-2024</t>
        </is>
      </c>
      <c r="B88" s="1" t="n">
        <v>45362</v>
      </c>
      <c r="C88" s="1" t="n">
        <v>45824</v>
      </c>
      <c r="D88" t="inlineStr">
        <is>
          <t>DALARNAS LÄN</t>
        </is>
      </c>
      <c r="E88" t="inlineStr">
        <is>
          <t>ÄLVDALEN</t>
        </is>
      </c>
      <c r="F88" t="inlineStr">
        <is>
          <t>Övriga statliga verk och myndigheter</t>
        </is>
      </c>
      <c r="G88" t="n">
        <v>12.5</v>
      </c>
      <c r="H88" t="n">
        <v>0</v>
      </c>
      <c r="I88" t="n">
        <v>1</v>
      </c>
      <c r="J88" t="n">
        <v>3</v>
      </c>
      <c r="K88" t="n">
        <v>0</v>
      </c>
      <c r="L88" t="n">
        <v>0</v>
      </c>
      <c r="M88" t="n">
        <v>0</v>
      </c>
      <c r="N88" t="n">
        <v>0</v>
      </c>
      <c r="O88" t="n">
        <v>3</v>
      </c>
      <c r="P88" t="n">
        <v>0</v>
      </c>
      <c r="Q88" t="n">
        <v>4</v>
      </c>
      <c r="R88" s="2" t="inlineStr">
        <is>
          <t>Mörk kolflarnlav
Nordtagging
Vedflamlav
Dropptaggsvamp</t>
        </is>
      </c>
      <c r="S88">
        <f>HYPERLINK("https://klasma.github.io/Logging_2039/artfynd/A 9786-2024 artfynd.xlsx", "A 9786-2024")</f>
        <v/>
      </c>
      <c r="T88">
        <f>HYPERLINK("https://klasma.github.io/Logging_2039/kartor/A 9786-2024 karta.png", "A 9786-2024")</f>
        <v/>
      </c>
      <c r="V88">
        <f>HYPERLINK("https://klasma.github.io/Logging_2039/klagomål/A 9786-2024 FSC-klagomål.docx", "A 9786-2024")</f>
        <v/>
      </c>
      <c r="W88">
        <f>HYPERLINK("https://klasma.github.io/Logging_2039/klagomålsmail/A 9786-2024 FSC-klagomål mail.docx", "A 9786-2024")</f>
        <v/>
      </c>
      <c r="X88">
        <f>HYPERLINK("https://klasma.github.io/Logging_2039/tillsyn/A 9786-2024 tillsynsbegäran.docx", "A 9786-2024")</f>
        <v/>
      </c>
      <c r="Y88">
        <f>HYPERLINK("https://klasma.github.io/Logging_2039/tillsynsmail/A 9786-2024 tillsynsbegäran mail.docx", "A 9786-2024")</f>
        <v/>
      </c>
    </row>
    <row r="89" ht="15" customHeight="1">
      <c r="A89" t="inlineStr">
        <is>
          <t>A 17824-2024</t>
        </is>
      </c>
      <c r="B89" s="1" t="n">
        <v>45418</v>
      </c>
      <c r="C89" s="1" t="n">
        <v>45824</v>
      </c>
      <c r="D89" t="inlineStr">
        <is>
          <t>DALARNAS LÄN</t>
        </is>
      </c>
      <c r="E89" t="inlineStr">
        <is>
          <t>ÄLVDALEN</t>
        </is>
      </c>
      <c r="F89" t="inlineStr">
        <is>
          <t>Övriga statliga verk och myndigheter</t>
        </is>
      </c>
      <c r="G89" t="n">
        <v>14</v>
      </c>
      <c r="H89" t="n">
        <v>0</v>
      </c>
      <c r="I89" t="n">
        <v>0</v>
      </c>
      <c r="J89" t="n">
        <v>4</v>
      </c>
      <c r="K89" t="n">
        <v>0</v>
      </c>
      <c r="L89" t="n">
        <v>0</v>
      </c>
      <c r="M89" t="n">
        <v>0</v>
      </c>
      <c r="N89" t="n">
        <v>0</v>
      </c>
      <c r="O89" t="n">
        <v>4</v>
      </c>
      <c r="P89" t="n">
        <v>0</v>
      </c>
      <c r="Q89" t="n">
        <v>4</v>
      </c>
      <c r="R89" s="2" t="inlineStr">
        <is>
          <t>Kolflarnlav
Mörk kolflarnlav
Reliktbock
Vedskivlav</t>
        </is>
      </c>
      <c r="S89">
        <f>HYPERLINK("https://klasma.github.io/Logging_2039/artfynd/A 17824-2024 artfynd.xlsx", "A 17824-2024")</f>
        <v/>
      </c>
      <c r="T89">
        <f>HYPERLINK("https://klasma.github.io/Logging_2039/kartor/A 17824-2024 karta.png", "A 17824-2024")</f>
        <v/>
      </c>
      <c r="V89">
        <f>HYPERLINK("https://klasma.github.io/Logging_2039/klagomål/A 17824-2024 FSC-klagomål.docx", "A 17824-2024")</f>
        <v/>
      </c>
      <c r="W89">
        <f>HYPERLINK("https://klasma.github.io/Logging_2039/klagomålsmail/A 17824-2024 FSC-klagomål mail.docx", "A 17824-2024")</f>
        <v/>
      </c>
      <c r="X89">
        <f>HYPERLINK("https://klasma.github.io/Logging_2039/tillsyn/A 17824-2024 tillsynsbegäran.docx", "A 17824-2024")</f>
        <v/>
      </c>
      <c r="Y89">
        <f>HYPERLINK("https://klasma.github.io/Logging_2039/tillsynsmail/A 17824-2024 tillsynsbegäran mail.docx", "A 17824-2024")</f>
        <v/>
      </c>
    </row>
    <row r="90" ht="15" customHeight="1">
      <c r="A90" t="inlineStr">
        <is>
          <t>A 21114-2024</t>
        </is>
      </c>
      <c r="B90" s="1" t="n">
        <v>45440</v>
      </c>
      <c r="C90" s="1" t="n">
        <v>45824</v>
      </c>
      <c r="D90" t="inlineStr">
        <is>
          <t>DALARNAS LÄN</t>
        </is>
      </c>
      <c r="E90" t="inlineStr">
        <is>
          <t>ÄLVDALEN</t>
        </is>
      </c>
      <c r="F90" t="inlineStr">
        <is>
          <t>Sveaskog</t>
        </is>
      </c>
      <c r="G90" t="n">
        <v>7.6</v>
      </c>
      <c r="H90" t="n">
        <v>1</v>
      </c>
      <c r="I90" t="n">
        <v>0</v>
      </c>
      <c r="J90" t="n">
        <v>4</v>
      </c>
      <c r="K90" t="n">
        <v>0</v>
      </c>
      <c r="L90" t="n">
        <v>0</v>
      </c>
      <c r="M90" t="n">
        <v>0</v>
      </c>
      <c r="N90" t="n">
        <v>0</v>
      </c>
      <c r="O90" t="n">
        <v>4</v>
      </c>
      <c r="P90" t="n">
        <v>0</v>
      </c>
      <c r="Q90" t="n">
        <v>4</v>
      </c>
      <c r="R90" s="2" t="inlineStr">
        <is>
          <t>Blanksvart spiklav
Kolflarnlav
Mörk kolflarnlav
Varglav</t>
        </is>
      </c>
      <c r="S90">
        <f>HYPERLINK("https://klasma.github.io/Logging_2039/artfynd/A 21114-2024 artfynd.xlsx", "A 21114-2024")</f>
        <v/>
      </c>
      <c r="T90">
        <f>HYPERLINK("https://klasma.github.io/Logging_2039/kartor/A 21114-2024 karta.png", "A 21114-2024")</f>
        <v/>
      </c>
      <c r="V90">
        <f>HYPERLINK("https://klasma.github.io/Logging_2039/klagomål/A 21114-2024 FSC-klagomål.docx", "A 21114-2024")</f>
        <v/>
      </c>
      <c r="W90">
        <f>HYPERLINK("https://klasma.github.io/Logging_2039/klagomålsmail/A 21114-2024 FSC-klagomål mail.docx", "A 21114-2024")</f>
        <v/>
      </c>
      <c r="X90">
        <f>HYPERLINK("https://klasma.github.io/Logging_2039/tillsyn/A 21114-2024 tillsynsbegäran.docx", "A 21114-2024")</f>
        <v/>
      </c>
      <c r="Y90">
        <f>HYPERLINK("https://klasma.github.io/Logging_2039/tillsynsmail/A 21114-2024 tillsynsbegäran mail.docx", "A 21114-2024")</f>
        <v/>
      </c>
    </row>
    <row r="91" ht="15" customHeight="1">
      <c r="A91" t="inlineStr">
        <is>
          <t>A 32204-2024</t>
        </is>
      </c>
      <c r="B91" s="1" t="n">
        <v>45511</v>
      </c>
      <c r="C91" s="1" t="n">
        <v>45824</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Blanksvart spiklav
Kolflarnlav
Mörk kolflarnlav
Vedflamlav</t>
        </is>
      </c>
      <c r="S91">
        <f>HYPERLINK("https://klasma.github.io/Logging_2039/artfynd/A 32204-2024 artfynd.xlsx", "A 32204-2024")</f>
        <v/>
      </c>
      <c r="T91">
        <f>HYPERLINK("https://klasma.github.io/Logging_2039/kartor/A 32204-2024 karta.png", "A 32204-2024")</f>
        <v/>
      </c>
      <c r="V91">
        <f>HYPERLINK("https://klasma.github.io/Logging_2039/klagomål/A 32204-2024 FSC-klagomål.docx", "A 32204-2024")</f>
        <v/>
      </c>
      <c r="W91">
        <f>HYPERLINK("https://klasma.github.io/Logging_2039/klagomålsmail/A 32204-2024 FSC-klagomål mail.docx", "A 32204-2024")</f>
        <v/>
      </c>
      <c r="X91">
        <f>HYPERLINK("https://klasma.github.io/Logging_2039/tillsyn/A 32204-2024 tillsynsbegäran.docx", "A 32204-2024")</f>
        <v/>
      </c>
      <c r="Y91">
        <f>HYPERLINK("https://klasma.github.io/Logging_2039/tillsynsmail/A 32204-2024 tillsynsbegäran mail.docx", "A 32204-2024")</f>
        <v/>
      </c>
    </row>
    <row r="92" ht="15" customHeight="1">
      <c r="A92" t="inlineStr">
        <is>
          <t>A 32207-2024</t>
        </is>
      </c>
      <c r="B92" s="1" t="n">
        <v>45511</v>
      </c>
      <c r="C92" s="1" t="n">
        <v>45824</v>
      </c>
      <c r="D92" t="inlineStr">
        <is>
          <t>DALARNAS LÄN</t>
        </is>
      </c>
      <c r="E92" t="inlineStr">
        <is>
          <t>ÄLVDALEN</t>
        </is>
      </c>
      <c r="F92" t="inlineStr">
        <is>
          <t>Sveaskog</t>
        </is>
      </c>
      <c r="G92" t="n">
        <v>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32207-2024 artfynd.xlsx", "A 32207-2024")</f>
        <v/>
      </c>
      <c r="T92">
        <f>HYPERLINK("https://klasma.github.io/Logging_2039/kartor/A 32207-2024 karta.png", "A 32207-2024")</f>
        <v/>
      </c>
      <c r="V92">
        <f>HYPERLINK("https://klasma.github.io/Logging_2039/klagomål/A 32207-2024 FSC-klagomål.docx", "A 32207-2024")</f>
        <v/>
      </c>
      <c r="W92">
        <f>HYPERLINK("https://klasma.github.io/Logging_2039/klagomålsmail/A 32207-2024 FSC-klagomål mail.docx", "A 32207-2024")</f>
        <v/>
      </c>
      <c r="X92">
        <f>HYPERLINK("https://klasma.github.io/Logging_2039/tillsyn/A 32207-2024 tillsynsbegäran.docx", "A 32207-2024")</f>
        <v/>
      </c>
      <c r="Y92">
        <f>HYPERLINK("https://klasma.github.io/Logging_2039/tillsynsmail/A 32207-2024 tillsynsbegäran mail.docx", "A 32207-2024")</f>
        <v/>
      </c>
    </row>
    <row r="93" ht="15" customHeight="1">
      <c r="A93" t="inlineStr">
        <is>
          <t>A 38819-2024</t>
        </is>
      </c>
      <c r="B93" s="1" t="n">
        <v>45547</v>
      </c>
      <c r="C93" s="1" t="n">
        <v>45824</v>
      </c>
      <c r="D93" t="inlineStr">
        <is>
          <t>DALARNAS LÄN</t>
        </is>
      </c>
      <c r="E93" t="inlineStr">
        <is>
          <t>ÄLVDALEN</t>
        </is>
      </c>
      <c r="F93" t="inlineStr">
        <is>
          <t>Sveaskog</t>
        </is>
      </c>
      <c r="G93" t="n">
        <v>2.9</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38819-2024 artfynd.xlsx", "A 38819-2024")</f>
        <v/>
      </c>
      <c r="T93">
        <f>HYPERLINK("https://klasma.github.io/Logging_2039/kartor/A 38819-2024 karta.png", "A 38819-2024")</f>
        <v/>
      </c>
      <c r="V93">
        <f>HYPERLINK("https://klasma.github.io/Logging_2039/klagomål/A 38819-2024 FSC-klagomål.docx", "A 38819-2024")</f>
        <v/>
      </c>
      <c r="W93">
        <f>HYPERLINK("https://klasma.github.io/Logging_2039/klagomålsmail/A 38819-2024 FSC-klagomål mail.docx", "A 38819-2024")</f>
        <v/>
      </c>
      <c r="X93">
        <f>HYPERLINK("https://klasma.github.io/Logging_2039/tillsyn/A 38819-2024 tillsynsbegäran.docx", "A 38819-2024")</f>
        <v/>
      </c>
      <c r="Y93">
        <f>HYPERLINK("https://klasma.github.io/Logging_2039/tillsynsmail/A 38819-2024 tillsynsbegäran mail.docx", "A 38819-2024")</f>
        <v/>
      </c>
    </row>
    <row r="94" ht="15" customHeight="1">
      <c r="A94" t="inlineStr">
        <is>
          <t>A 25090-2025</t>
        </is>
      </c>
      <c r="B94" s="1" t="n">
        <v>45800</v>
      </c>
      <c r="C94" s="1" t="n">
        <v>45824</v>
      </c>
      <c r="D94" t="inlineStr">
        <is>
          <t>DALARNAS LÄN</t>
        </is>
      </c>
      <c r="E94" t="inlineStr">
        <is>
          <t>ÄLVDALEN</t>
        </is>
      </c>
      <c r="F94" t="inlineStr">
        <is>
          <t>Sveaskog</t>
        </is>
      </c>
      <c r="G94" t="n">
        <v>12.5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HYPERLINK("https://klasma.github.io/Logging_202039/artfynd/A 25090-2025 artfynd.xlsx", "A 25090-2025")</f>
        <v/>
      </c>
      <c r="T94">
        <f>HYPERLINK("https://klasma.github.io/Logging_202039/kartor/A 25090-2025 karta.png", "A 25090-2025")</f>
        <v/>
      </c>
      <c r="V94">
        <f>HYPERLINK("https://klasma.github.io/Logging_202039/klagomål/A 25090-2025 FSC-klagomål.docx", "A 25090-2025")</f>
        <v/>
      </c>
      <c r="W94">
        <f>HYPERLINK("https://klasma.github.io/Logging_202039/klagomålsmail/A 25090-2025 FSC-klagomål mail.docx", "A 25090-2025")</f>
        <v/>
      </c>
      <c r="X94">
        <f>HYPERLINK("https://klasma.github.io/Logging_202039/tillsyn/A 25090-2025 tillsynsbegäran.docx", "A 25090-2025")</f>
        <v/>
      </c>
      <c r="Y94">
        <f>HYPERLINK("https://klasma.github.io/Logging_202039/tillsynsmail/A 25090-2025 tillsynsbegäran mail.docx", "A 25090-2025")</f>
        <v/>
      </c>
    </row>
    <row r="95" ht="15" customHeight="1">
      <c r="A95" t="inlineStr">
        <is>
          <t>A 26765-2025</t>
        </is>
      </c>
      <c r="B95" s="1" t="n">
        <v>45810</v>
      </c>
      <c r="C95" s="1" t="n">
        <v>45824</v>
      </c>
      <c r="D95" t="inlineStr">
        <is>
          <t>DALARNAS LÄN</t>
        </is>
      </c>
      <c r="E95" t="inlineStr">
        <is>
          <t>ÄLVDALEN</t>
        </is>
      </c>
      <c r="F95" t="inlineStr">
        <is>
          <t>Allmännings- och besparingsskogar</t>
        </is>
      </c>
      <c r="G95" t="n">
        <v>17.5</v>
      </c>
      <c r="H95" t="n">
        <v>1</v>
      </c>
      <c r="I95" t="n">
        <v>0</v>
      </c>
      <c r="J95" t="n">
        <v>3</v>
      </c>
      <c r="K95" t="n">
        <v>0</v>
      </c>
      <c r="L95" t="n">
        <v>0</v>
      </c>
      <c r="M95" t="n">
        <v>0</v>
      </c>
      <c r="N95" t="n">
        <v>0</v>
      </c>
      <c r="O95" t="n">
        <v>3</v>
      </c>
      <c r="P95" t="n">
        <v>0</v>
      </c>
      <c r="Q95" t="n">
        <v>4</v>
      </c>
      <c r="R95" s="2" t="inlineStr">
        <is>
          <t>Kolflarnlav
Vedflamlav
Vedskivlav
Tjäder</t>
        </is>
      </c>
      <c r="S95">
        <f>HYPERLINK("https://klasma.github.io/Logging_202039/artfynd/A 26765-2025 artfynd.xlsx", "A 26765-2025")</f>
        <v/>
      </c>
      <c r="T95">
        <f>HYPERLINK("https://klasma.github.io/Logging_202039/kartor/A 26765-2025 karta.png", "A 26765-2025")</f>
        <v/>
      </c>
      <c r="V95">
        <f>HYPERLINK("https://klasma.github.io/Logging_202039/klagomål/A 26765-2025 FSC-klagomål.docx", "A 26765-2025")</f>
        <v/>
      </c>
      <c r="W95">
        <f>HYPERLINK("https://klasma.github.io/Logging_202039/klagomålsmail/A 26765-2025 FSC-klagomål mail.docx", "A 26765-2025")</f>
        <v/>
      </c>
      <c r="X95">
        <f>HYPERLINK("https://klasma.github.io/Logging_202039/tillsyn/A 26765-2025 tillsynsbegäran.docx", "A 26765-2025")</f>
        <v/>
      </c>
      <c r="Y95">
        <f>HYPERLINK("https://klasma.github.io/Logging_202039/tillsynsmail/A 26765-2025 tillsynsbegäran mail.docx", "A 26765-2025")</f>
        <v/>
      </c>
      <c r="Z95">
        <f>HYPERLINK("https://klasma.github.io/Logging_202039/fåglar/A 26765-2025 prioriterade fågelarter.docx", "A 26765-2025")</f>
        <v/>
      </c>
    </row>
    <row r="96" ht="15" customHeight="1">
      <c r="A96" t="inlineStr">
        <is>
          <t>A 42208-2019</t>
        </is>
      </c>
      <c r="B96" s="1" t="n">
        <v>43703</v>
      </c>
      <c r="C96" s="1" t="n">
        <v>45824</v>
      </c>
      <c r="D96" t="inlineStr">
        <is>
          <t>DALARNAS LÄN</t>
        </is>
      </c>
      <c r="E96" t="inlineStr">
        <is>
          <t>ÄLVDALEN</t>
        </is>
      </c>
      <c r="G96" t="n">
        <v>21.5</v>
      </c>
      <c r="H96" t="n">
        <v>0</v>
      </c>
      <c r="I96" t="n">
        <v>0</v>
      </c>
      <c r="J96" t="n">
        <v>3</v>
      </c>
      <c r="K96" t="n">
        <v>0</v>
      </c>
      <c r="L96" t="n">
        <v>0</v>
      </c>
      <c r="M96" t="n">
        <v>0</v>
      </c>
      <c r="N96" t="n">
        <v>0</v>
      </c>
      <c r="O96" t="n">
        <v>3</v>
      </c>
      <c r="P96" t="n">
        <v>0</v>
      </c>
      <c r="Q96" t="n">
        <v>3</v>
      </c>
      <c r="R96" s="2" t="inlineStr">
        <is>
          <t>Blanksvart spiklav
Dvärgbägarlav
Vitplätt</t>
        </is>
      </c>
      <c r="S96">
        <f>HYPERLINK("https://klasma.github.io/Logging_2039/artfynd/A 42208-2019 artfynd.xlsx", "A 42208-2019")</f>
        <v/>
      </c>
      <c r="T96">
        <f>HYPERLINK("https://klasma.github.io/Logging_2039/kartor/A 42208-2019 karta.png", "A 42208-2019")</f>
        <v/>
      </c>
      <c r="V96">
        <f>HYPERLINK("https://klasma.github.io/Logging_2039/klagomål/A 42208-2019 FSC-klagomål.docx", "A 42208-2019")</f>
        <v/>
      </c>
      <c r="W96">
        <f>HYPERLINK("https://klasma.github.io/Logging_2039/klagomålsmail/A 42208-2019 FSC-klagomål mail.docx", "A 42208-2019")</f>
        <v/>
      </c>
      <c r="X96">
        <f>HYPERLINK("https://klasma.github.io/Logging_2039/tillsyn/A 42208-2019 tillsynsbegäran.docx", "A 42208-2019")</f>
        <v/>
      </c>
      <c r="Y96">
        <f>HYPERLINK("https://klasma.github.io/Logging_2039/tillsynsmail/A 42208-2019 tillsynsbegäran mail.docx", "A 42208-2019")</f>
        <v/>
      </c>
    </row>
    <row r="97" ht="15" customHeight="1">
      <c r="A97" t="inlineStr">
        <is>
          <t>A 34201-2020</t>
        </is>
      </c>
      <c r="B97" s="1" t="n">
        <v>44029</v>
      </c>
      <c r="C97" s="1" t="n">
        <v>45824</v>
      </c>
      <c r="D97" t="inlineStr">
        <is>
          <t>DALARNAS LÄN</t>
        </is>
      </c>
      <c r="E97" t="inlineStr">
        <is>
          <t>ÄLVDALEN</t>
        </is>
      </c>
      <c r="F97" t="inlineStr">
        <is>
          <t>Sveaskog</t>
        </is>
      </c>
      <c r="G97" t="n">
        <v>6.9</v>
      </c>
      <c r="H97" t="n">
        <v>3</v>
      </c>
      <c r="I97" t="n">
        <v>1</v>
      </c>
      <c r="J97" t="n">
        <v>1</v>
      </c>
      <c r="K97" t="n">
        <v>0</v>
      </c>
      <c r="L97" t="n">
        <v>0</v>
      </c>
      <c r="M97" t="n">
        <v>0</v>
      </c>
      <c r="N97" t="n">
        <v>0</v>
      </c>
      <c r="O97" t="n">
        <v>1</v>
      </c>
      <c r="P97" t="n">
        <v>0</v>
      </c>
      <c r="Q97" t="n">
        <v>3</v>
      </c>
      <c r="R97" s="2" t="inlineStr">
        <is>
          <t>Varglav
Plattlummer
Fläcknycklar</t>
        </is>
      </c>
      <c r="S97">
        <f>HYPERLINK("https://klasma.github.io/Logging_2039/artfynd/A 34201-2020 artfynd.xlsx", "A 34201-2020")</f>
        <v/>
      </c>
      <c r="T97">
        <f>HYPERLINK("https://klasma.github.io/Logging_2039/kartor/A 34201-2020 karta.png", "A 34201-2020")</f>
        <v/>
      </c>
      <c r="V97">
        <f>HYPERLINK("https://klasma.github.io/Logging_2039/klagomål/A 34201-2020 FSC-klagomål.docx", "A 34201-2020")</f>
        <v/>
      </c>
      <c r="W97">
        <f>HYPERLINK("https://klasma.github.io/Logging_2039/klagomålsmail/A 34201-2020 FSC-klagomål mail.docx", "A 34201-2020")</f>
        <v/>
      </c>
      <c r="X97">
        <f>HYPERLINK("https://klasma.github.io/Logging_2039/tillsyn/A 34201-2020 tillsynsbegäran.docx", "A 34201-2020")</f>
        <v/>
      </c>
      <c r="Y97">
        <f>HYPERLINK("https://klasma.github.io/Logging_2039/tillsynsmail/A 34201-2020 tillsynsbegäran mail.docx", "A 34201-2020")</f>
        <v/>
      </c>
    </row>
    <row r="98" ht="15" customHeight="1">
      <c r="A98" t="inlineStr">
        <is>
          <t>A 58570-2020</t>
        </is>
      </c>
      <c r="B98" s="1" t="n">
        <v>44145</v>
      </c>
      <c r="C98" s="1" t="n">
        <v>45824</v>
      </c>
      <c r="D98" t="inlineStr">
        <is>
          <t>DALARNAS LÄN</t>
        </is>
      </c>
      <c r="E98" t="inlineStr">
        <is>
          <t>ÄLVDALEN</t>
        </is>
      </c>
      <c r="F98" t="inlineStr">
        <is>
          <t>Sveaskog</t>
        </is>
      </c>
      <c r="G98" t="n">
        <v>15.3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58570-2020 artfynd.xlsx", "A 58570-2020")</f>
        <v/>
      </c>
      <c r="T98">
        <f>HYPERLINK("https://klasma.github.io/Logging_2039/kartor/A 58570-2020 karta.png", "A 58570-2020")</f>
        <v/>
      </c>
      <c r="V98">
        <f>HYPERLINK("https://klasma.github.io/Logging_2039/klagomål/A 58570-2020 FSC-klagomål.docx", "A 58570-2020")</f>
        <v/>
      </c>
      <c r="W98">
        <f>HYPERLINK("https://klasma.github.io/Logging_2039/klagomålsmail/A 58570-2020 FSC-klagomål mail.docx", "A 58570-2020")</f>
        <v/>
      </c>
      <c r="X98">
        <f>HYPERLINK("https://klasma.github.io/Logging_2039/tillsyn/A 58570-2020 tillsynsbegäran.docx", "A 58570-2020")</f>
        <v/>
      </c>
      <c r="Y98">
        <f>HYPERLINK("https://klasma.github.io/Logging_2039/tillsynsmail/A 58570-2020 tillsynsbegäran mail.docx", "A 58570-2020")</f>
        <v/>
      </c>
    </row>
    <row r="99" ht="15" customHeight="1">
      <c r="A99" t="inlineStr">
        <is>
          <t>A 33582-2021</t>
        </is>
      </c>
      <c r="B99" s="1" t="n">
        <v>44377</v>
      </c>
      <c r="C99" s="1" t="n">
        <v>45824</v>
      </c>
      <c r="D99" t="inlineStr">
        <is>
          <t>DALARNAS LÄN</t>
        </is>
      </c>
      <c r="E99" t="inlineStr">
        <is>
          <t>ÄLVDALEN</t>
        </is>
      </c>
      <c r="F99" t="inlineStr">
        <is>
          <t>Sveaskog</t>
        </is>
      </c>
      <c r="G99" t="n">
        <v>9.199999999999999</v>
      </c>
      <c r="H99" t="n">
        <v>0</v>
      </c>
      <c r="I99" t="n">
        <v>1</v>
      </c>
      <c r="J99" t="n">
        <v>2</v>
      </c>
      <c r="K99" t="n">
        <v>0</v>
      </c>
      <c r="L99" t="n">
        <v>0</v>
      </c>
      <c r="M99" t="n">
        <v>0</v>
      </c>
      <c r="N99" t="n">
        <v>0</v>
      </c>
      <c r="O99" t="n">
        <v>2</v>
      </c>
      <c r="P99" t="n">
        <v>0</v>
      </c>
      <c r="Q99" t="n">
        <v>3</v>
      </c>
      <c r="R99" s="2" t="inlineStr">
        <is>
          <t>Blanksvart spiklav
Dvärgbägarlav
Dropptaggsvamp</t>
        </is>
      </c>
      <c r="S99">
        <f>HYPERLINK("https://klasma.github.io/Logging_2039/artfynd/A 33582-2021 artfynd.xlsx", "A 33582-2021")</f>
        <v/>
      </c>
      <c r="T99">
        <f>HYPERLINK("https://klasma.github.io/Logging_2039/kartor/A 33582-2021 karta.png", "A 33582-2021")</f>
        <v/>
      </c>
      <c r="V99">
        <f>HYPERLINK("https://klasma.github.io/Logging_2039/klagomål/A 33582-2021 FSC-klagomål.docx", "A 33582-2021")</f>
        <v/>
      </c>
      <c r="W99">
        <f>HYPERLINK("https://klasma.github.io/Logging_2039/klagomålsmail/A 33582-2021 FSC-klagomål mail.docx", "A 33582-2021")</f>
        <v/>
      </c>
      <c r="X99">
        <f>HYPERLINK("https://klasma.github.io/Logging_2039/tillsyn/A 33582-2021 tillsynsbegäran.docx", "A 33582-2021")</f>
        <v/>
      </c>
      <c r="Y99">
        <f>HYPERLINK("https://klasma.github.io/Logging_2039/tillsynsmail/A 33582-2021 tillsynsbegäran mail.docx", "A 33582-2021")</f>
        <v/>
      </c>
    </row>
    <row r="100" ht="15" customHeight="1">
      <c r="A100" t="inlineStr">
        <is>
          <t>A 51732-2021</t>
        </is>
      </c>
      <c r="B100" s="1" t="n">
        <v>44461</v>
      </c>
      <c r="C100" s="1" t="n">
        <v>45824</v>
      </c>
      <c r="D100" t="inlineStr">
        <is>
          <t>DALARNAS LÄN</t>
        </is>
      </c>
      <c r="E100" t="inlineStr">
        <is>
          <t>ÄLVDALEN</t>
        </is>
      </c>
      <c r="F100" t="inlineStr">
        <is>
          <t>Övriga statliga verk och myndigheter</t>
        </is>
      </c>
      <c r="G100" t="n">
        <v>5</v>
      </c>
      <c r="H100" t="n">
        <v>0</v>
      </c>
      <c r="I100" t="n">
        <v>2</v>
      </c>
      <c r="J100" t="n">
        <v>1</v>
      </c>
      <c r="K100" t="n">
        <v>0</v>
      </c>
      <c r="L100" t="n">
        <v>0</v>
      </c>
      <c r="M100" t="n">
        <v>0</v>
      </c>
      <c r="N100" t="n">
        <v>0</v>
      </c>
      <c r="O100" t="n">
        <v>1</v>
      </c>
      <c r="P100" t="n">
        <v>0</v>
      </c>
      <c r="Q100" t="n">
        <v>3</v>
      </c>
      <c r="R100" s="2" t="inlineStr">
        <is>
          <t>Garnlav
Svavelriska
Vedticka</t>
        </is>
      </c>
      <c r="S100">
        <f>HYPERLINK("https://klasma.github.io/Logging_2039/artfynd/A 51732-2021 artfynd.xlsx", "A 51732-2021")</f>
        <v/>
      </c>
      <c r="T100">
        <f>HYPERLINK("https://klasma.github.io/Logging_2039/kartor/A 51732-2021 karta.png", "A 51732-2021")</f>
        <v/>
      </c>
      <c r="V100">
        <f>HYPERLINK("https://klasma.github.io/Logging_2039/klagomål/A 51732-2021 FSC-klagomål.docx", "A 51732-2021")</f>
        <v/>
      </c>
      <c r="W100">
        <f>HYPERLINK("https://klasma.github.io/Logging_2039/klagomålsmail/A 51732-2021 FSC-klagomål mail.docx", "A 51732-2021")</f>
        <v/>
      </c>
      <c r="X100">
        <f>HYPERLINK("https://klasma.github.io/Logging_2039/tillsyn/A 51732-2021 tillsynsbegäran.docx", "A 51732-2021")</f>
        <v/>
      </c>
      <c r="Y100">
        <f>HYPERLINK("https://klasma.github.io/Logging_2039/tillsynsmail/A 51732-2021 tillsynsbegäran mail.docx", "A 51732-2021")</f>
        <v/>
      </c>
    </row>
    <row r="101" ht="15" customHeight="1">
      <c r="A101" t="inlineStr">
        <is>
          <t>A 54257-2021</t>
        </is>
      </c>
      <c r="B101" s="1" t="n">
        <v>44470</v>
      </c>
      <c r="C101" s="1" t="n">
        <v>45824</v>
      </c>
      <c r="D101" t="inlineStr">
        <is>
          <t>DALARNAS LÄN</t>
        </is>
      </c>
      <c r="E101" t="inlineStr">
        <is>
          <t>ÄLVDALEN</t>
        </is>
      </c>
      <c r="F101" t="inlineStr">
        <is>
          <t>Bergvik skog öst AB</t>
        </is>
      </c>
      <c r="G101" t="n">
        <v>6.8</v>
      </c>
      <c r="H101" t="n">
        <v>0</v>
      </c>
      <c r="I101" t="n">
        <v>1</v>
      </c>
      <c r="J101" t="n">
        <v>2</v>
      </c>
      <c r="K101" t="n">
        <v>0</v>
      </c>
      <c r="L101" t="n">
        <v>0</v>
      </c>
      <c r="M101" t="n">
        <v>0</v>
      </c>
      <c r="N101" t="n">
        <v>0</v>
      </c>
      <c r="O101" t="n">
        <v>2</v>
      </c>
      <c r="P101" t="n">
        <v>0</v>
      </c>
      <c r="Q101" t="n">
        <v>3</v>
      </c>
      <c r="R101" s="2" t="inlineStr">
        <is>
          <t>Motaggsvamp
Mörk kolflarnlav
Dropptaggsvamp</t>
        </is>
      </c>
      <c r="S101">
        <f>HYPERLINK("https://klasma.github.io/Logging_2039/artfynd/A 54257-2021 artfynd.xlsx", "A 54257-2021")</f>
        <v/>
      </c>
      <c r="T101">
        <f>HYPERLINK("https://klasma.github.io/Logging_2039/kartor/A 54257-2021 karta.png", "A 54257-2021")</f>
        <v/>
      </c>
      <c r="V101">
        <f>HYPERLINK("https://klasma.github.io/Logging_2039/klagomål/A 54257-2021 FSC-klagomål.docx", "A 54257-2021")</f>
        <v/>
      </c>
      <c r="W101">
        <f>HYPERLINK("https://klasma.github.io/Logging_2039/klagomålsmail/A 54257-2021 FSC-klagomål mail.docx", "A 54257-2021")</f>
        <v/>
      </c>
      <c r="X101">
        <f>HYPERLINK("https://klasma.github.io/Logging_2039/tillsyn/A 54257-2021 tillsynsbegäran.docx", "A 54257-2021")</f>
        <v/>
      </c>
      <c r="Y101">
        <f>HYPERLINK("https://klasma.github.io/Logging_2039/tillsynsmail/A 54257-2021 tillsynsbegäran mail.docx", "A 54257-2021")</f>
        <v/>
      </c>
    </row>
    <row r="102" ht="15" customHeight="1">
      <c r="A102" t="inlineStr">
        <is>
          <t>A 65467-2021</t>
        </is>
      </c>
      <c r="B102" s="1" t="n">
        <v>44516</v>
      </c>
      <c r="C102" s="1" t="n">
        <v>45824</v>
      </c>
      <c r="D102" t="inlineStr">
        <is>
          <t>DALARNAS LÄN</t>
        </is>
      </c>
      <c r="E102" t="inlineStr">
        <is>
          <t>ÄLVDALEN</t>
        </is>
      </c>
      <c r="F102" t="inlineStr">
        <is>
          <t>Sveaskog</t>
        </is>
      </c>
      <c r="G102" t="n">
        <v>47</v>
      </c>
      <c r="H102" t="n">
        <v>1</v>
      </c>
      <c r="I102" t="n">
        <v>0</v>
      </c>
      <c r="J102" t="n">
        <v>3</v>
      </c>
      <c r="K102" t="n">
        <v>0</v>
      </c>
      <c r="L102" t="n">
        <v>0</v>
      </c>
      <c r="M102" t="n">
        <v>0</v>
      </c>
      <c r="N102" t="n">
        <v>0</v>
      </c>
      <c r="O102" t="n">
        <v>3</v>
      </c>
      <c r="P102" t="n">
        <v>0</v>
      </c>
      <c r="Q102" t="n">
        <v>3</v>
      </c>
      <c r="R102" s="2" t="inlineStr">
        <is>
          <t>Dvärgbägarlav
Garnlav
Varglav</t>
        </is>
      </c>
      <c r="S102">
        <f>HYPERLINK("https://klasma.github.io/Logging_2039/artfynd/A 65467-2021 artfynd.xlsx", "A 65467-2021")</f>
        <v/>
      </c>
      <c r="T102">
        <f>HYPERLINK("https://klasma.github.io/Logging_2039/kartor/A 65467-2021 karta.png", "A 65467-2021")</f>
        <v/>
      </c>
      <c r="V102">
        <f>HYPERLINK("https://klasma.github.io/Logging_2039/klagomål/A 65467-2021 FSC-klagomål.docx", "A 65467-2021")</f>
        <v/>
      </c>
      <c r="W102">
        <f>HYPERLINK("https://klasma.github.io/Logging_2039/klagomålsmail/A 65467-2021 FSC-klagomål mail.docx", "A 65467-2021")</f>
        <v/>
      </c>
      <c r="X102">
        <f>HYPERLINK("https://klasma.github.io/Logging_2039/tillsyn/A 65467-2021 tillsynsbegäran.docx", "A 65467-2021")</f>
        <v/>
      </c>
      <c r="Y102">
        <f>HYPERLINK("https://klasma.github.io/Logging_2039/tillsynsmail/A 65467-2021 tillsynsbegäran mail.docx", "A 65467-2021")</f>
        <v/>
      </c>
    </row>
    <row r="103" ht="15" customHeight="1">
      <c r="A103" t="inlineStr">
        <is>
          <t>A 40720-2022</t>
        </is>
      </c>
      <c r="B103" s="1" t="n">
        <v>44824</v>
      </c>
      <c r="C103" s="1" t="n">
        <v>45824</v>
      </c>
      <c r="D103" t="inlineStr">
        <is>
          <t>DALARNAS LÄN</t>
        </is>
      </c>
      <c r="E103" t="inlineStr">
        <is>
          <t>ÄLVDALEN</t>
        </is>
      </c>
      <c r="F103" t="inlineStr">
        <is>
          <t>Övriga statliga verk och myndigheter</t>
        </is>
      </c>
      <c r="G103" t="n">
        <v>6.7</v>
      </c>
      <c r="H103" t="n">
        <v>0</v>
      </c>
      <c r="I103" t="n">
        <v>0</v>
      </c>
      <c r="J103" t="n">
        <v>3</v>
      </c>
      <c r="K103" t="n">
        <v>0</v>
      </c>
      <c r="L103" t="n">
        <v>0</v>
      </c>
      <c r="M103" t="n">
        <v>0</v>
      </c>
      <c r="N103" t="n">
        <v>0</v>
      </c>
      <c r="O103" t="n">
        <v>3</v>
      </c>
      <c r="P103" t="n">
        <v>0</v>
      </c>
      <c r="Q103" t="n">
        <v>3</v>
      </c>
      <c r="R103" s="2" t="inlineStr">
        <is>
          <t>Dvärgbägarlav
Mörk kolflarnlav
Vedflamlav</t>
        </is>
      </c>
      <c r="S103">
        <f>HYPERLINK("https://klasma.github.io/Logging_2039/artfynd/A 40720-2022 artfynd.xlsx", "A 40720-2022")</f>
        <v/>
      </c>
      <c r="T103">
        <f>HYPERLINK("https://klasma.github.io/Logging_2039/kartor/A 40720-2022 karta.png", "A 40720-2022")</f>
        <v/>
      </c>
      <c r="V103">
        <f>HYPERLINK("https://klasma.github.io/Logging_2039/klagomål/A 40720-2022 FSC-klagomål.docx", "A 40720-2022")</f>
        <v/>
      </c>
      <c r="W103">
        <f>HYPERLINK("https://klasma.github.io/Logging_2039/klagomålsmail/A 40720-2022 FSC-klagomål mail.docx", "A 40720-2022")</f>
        <v/>
      </c>
      <c r="X103">
        <f>HYPERLINK("https://klasma.github.io/Logging_2039/tillsyn/A 40720-2022 tillsynsbegäran.docx", "A 40720-2022")</f>
        <v/>
      </c>
      <c r="Y103">
        <f>HYPERLINK("https://klasma.github.io/Logging_2039/tillsynsmail/A 40720-2022 tillsynsbegäran mail.docx", "A 40720-2022")</f>
        <v/>
      </c>
    </row>
    <row r="104" ht="15" customHeight="1">
      <c r="A104" t="inlineStr">
        <is>
          <t>A 41909-2022</t>
        </is>
      </c>
      <c r="B104" s="1" t="n">
        <v>44830</v>
      </c>
      <c r="C104" s="1" t="n">
        <v>45824</v>
      </c>
      <c r="D104" t="inlineStr">
        <is>
          <t>DALARNAS LÄN</t>
        </is>
      </c>
      <c r="E104" t="inlineStr">
        <is>
          <t>ÄLVDALEN</t>
        </is>
      </c>
      <c r="F104" t="inlineStr">
        <is>
          <t>Sveaskog</t>
        </is>
      </c>
      <c r="G104" t="n">
        <v>3.5</v>
      </c>
      <c r="H104" t="n">
        <v>1</v>
      </c>
      <c r="I104" t="n">
        <v>0</v>
      </c>
      <c r="J104" t="n">
        <v>2</v>
      </c>
      <c r="K104" t="n">
        <v>1</v>
      </c>
      <c r="L104" t="n">
        <v>0</v>
      </c>
      <c r="M104" t="n">
        <v>0</v>
      </c>
      <c r="N104" t="n">
        <v>0</v>
      </c>
      <c r="O104" t="n">
        <v>3</v>
      </c>
      <c r="P104" t="n">
        <v>1</v>
      </c>
      <c r="Q104" t="n">
        <v>3</v>
      </c>
      <c r="R104" s="2" t="inlineStr">
        <is>
          <t>Tajgataggsvamp
Blanksvart spiklav
Talltita</t>
        </is>
      </c>
      <c r="S104">
        <f>HYPERLINK("https://klasma.github.io/Logging_2039/artfynd/A 41909-2022 artfynd.xlsx", "A 41909-2022")</f>
        <v/>
      </c>
      <c r="T104">
        <f>HYPERLINK("https://klasma.github.io/Logging_2039/kartor/A 41909-2022 karta.png", "A 41909-2022")</f>
        <v/>
      </c>
      <c r="V104">
        <f>HYPERLINK("https://klasma.github.io/Logging_2039/klagomål/A 41909-2022 FSC-klagomål.docx", "A 41909-2022")</f>
        <v/>
      </c>
      <c r="W104">
        <f>HYPERLINK("https://klasma.github.io/Logging_2039/klagomålsmail/A 41909-2022 FSC-klagomål mail.docx", "A 41909-2022")</f>
        <v/>
      </c>
      <c r="X104">
        <f>HYPERLINK("https://klasma.github.io/Logging_2039/tillsyn/A 41909-2022 tillsynsbegäran.docx", "A 41909-2022")</f>
        <v/>
      </c>
      <c r="Y104">
        <f>HYPERLINK("https://klasma.github.io/Logging_2039/tillsynsmail/A 41909-2022 tillsynsbegäran mail.docx", "A 41909-2022")</f>
        <v/>
      </c>
      <c r="Z104">
        <f>HYPERLINK("https://klasma.github.io/Logging_2039/fåglar/A 41909-2022 prioriterade fågelarter.docx", "A 41909-2022")</f>
        <v/>
      </c>
    </row>
    <row r="105" ht="15" customHeight="1">
      <c r="A105" t="inlineStr">
        <is>
          <t>A 41921-2022</t>
        </is>
      </c>
      <c r="B105" s="1" t="n">
        <v>44830</v>
      </c>
      <c r="C105" s="1" t="n">
        <v>45824</v>
      </c>
      <c r="D105" t="inlineStr">
        <is>
          <t>DALARNAS LÄN</t>
        </is>
      </c>
      <c r="E105" t="inlineStr">
        <is>
          <t>ÄLVDALEN</t>
        </is>
      </c>
      <c r="F105" t="inlineStr">
        <is>
          <t>Sveaskog</t>
        </is>
      </c>
      <c r="G105" t="n">
        <v>5.4</v>
      </c>
      <c r="H105" t="n">
        <v>1</v>
      </c>
      <c r="I105" t="n">
        <v>0</v>
      </c>
      <c r="J105" t="n">
        <v>3</v>
      </c>
      <c r="K105" t="n">
        <v>0</v>
      </c>
      <c r="L105" t="n">
        <v>0</v>
      </c>
      <c r="M105" t="n">
        <v>0</v>
      </c>
      <c r="N105" t="n">
        <v>0</v>
      </c>
      <c r="O105" t="n">
        <v>3</v>
      </c>
      <c r="P105" t="n">
        <v>0</v>
      </c>
      <c r="Q105" t="n">
        <v>3</v>
      </c>
      <c r="R105" s="2" t="inlineStr">
        <is>
          <t>Blågrå svartspik
Tretåig hackspett
Vedskivlav</t>
        </is>
      </c>
      <c r="S105">
        <f>HYPERLINK("https://klasma.github.io/Logging_2039/artfynd/A 41921-2022 artfynd.xlsx", "A 41921-2022")</f>
        <v/>
      </c>
      <c r="T105">
        <f>HYPERLINK("https://klasma.github.io/Logging_2039/kartor/A 41921-2022 karta.png", "A 41921-2022")</f>
        <v/>
      </c>
      <c r="V105">
        <f>HYPERLINK("https://klasma.github.io/Logging_2039/klagomål/A 41921-2022 FSC-klagomål.docx", "A 41921-2022")</f>
        <v/>
      </c>
      <c r="W105">
        <f>HYPERLINK("https://klasma.github.io/Logging_2039/klagomålsmail/A 41921-2022 FSC-klagomål mail.docx", "A 41921-2022")</f>
        <v/>
      </c>
      <c r="X105">
        <f>HYPERLINK("https://klasma.github.io/Logging_2039/tillsyn/A 41921-2022 tillsynsbegäran.docx", "A 41921-2022")</f>
        <v/>
      </c>
      <c r="Y105">
        <f>HYPERLINK("https://klasma.github.io/Logging_2039/tillsynsmail/A 41921-2022 tillsynsbegäran mail.docx", "A 41921-2022")</f>
        <v/>
      </c>
      <c r="Z105">
        <f>HYPERLINK("https://klasma.github.io/Logging_2039/fåglar/A 41921-2022 prioriterade fågelarter.docx", "A 41921-2022")</f>
        <v/>
      </c>
    </row>
    <row r="106" ht="15" customHeight="1">
      <c r="A106" t="inlineStr">
        <is>
          <t>A 41919-2022</t>
        </is>
      </c>
      <c r="B106" s="1" t="n">
        <v>44830</v>
      </c>
      <c r="C106" s="1" t="n">
        <v>45824</v>
      </c>
      <c r="D106" t="inlineStr">
        <is>
          <t>DALARNAS LÄN</t>
        </is>
      </c>
      <c r="E106" t="inlineStr">
        <is>
          <t>ÄLVDALEN</t>
        </is>
      </c>
      <c r="F106" t="inlineStr">
        <is>
          <t>Sveaskog</t>
        </is>
      </c>
      <c r="G106" t="n">
        <v>0.9</v>
      </c>
      <c r="H106" t="n">
        <v>0</v>
      </c>
      <c r="I106" t="n">
        <v>1</v>
      </c>
      <c r="J106" t="n">
        <v>1</v>
      </c>
      <c r="K106" t="n">
        <v>1</v>
      </c>
      <c r="L106" t="n">
        <v>0</v>
      </c>
      <c r="M106" t="n">
        <v>0</v>
      </c>
      <c r="N106" t="n">
        <v>0</v>
      </c>
      <c r="O106" t="n">
        <v>2</v>
      </c>
      <c r="P106" t="n">
        <v>1</v>
      </c>
      <c r="Q106" t="n">
        <v>3</v>
      </c>
      <c r="R106" s="2" t="inlineStr">
        <is>
          <t>Gräddporing
Blanksvart spiklav
Vedticka</t>
        </is>
      </c>
      <c r="S106">
        <f>HYPERLINK("https://klasma.github.io/Logging_2039/artfynd/A 41919-2022 artfynd.xlsx", "A 41919-2022")</f>
        <v/>
      </c>
      <c r="T106">
        <f>HYPERLINK("https://klasma.github.io/Logging_2039/kartor/A 41919-2022 karta.png", "A 41919-2022")</f>
        <v/>
      </c>
      <c r="V106">
        <f>HYPERLINK("https://klasma.github.io/Logging_2039/klagomål/A 41919-2022 FSC-klagomål.docx", "A 41919-2022")</f>
        <v/>
      </c>
      <c r="W106">
        <f>HYPERLINK("https://klasma.github.io/Logging_2039/klagomålsmail/A 41919-2022 FSC-klagomål mail.docx", "A 41919-2022")</f>
        <v/>
      </c>
      <c r="X106">
        <f>HYPERLINK("https://klasma.github.io/Logging_2039/tillsyn/A 41919-2022 tillsynsbegäran.docx", "A 41919-2022")</f>
        <v/>
      </c>
      <c r="Y106">
        <f>HYPERLINK("https://klasma.github.io/Logging_2039/tillsynsmail/A 41919-2022 tillsynsbegäran mail.docx", "A 41919-2022")</f>
        <v/>
      </c>
    </row>
    <row r="107" ht="15" customHeight="1">
      <c r="A107" t="inlineStr">
        <is>
          <t>A 5476-2023</t>
        </is>
      </c>
      <c r="B107" s="1" t="n">
        <v>44960</v>
      </c>
      <c r="C107" s="1" t="n">
        <v>45824</v>
      </c>
      <c r="D107" t="inlineStr">
        <is>
          <t>DALARNAS LÄN</t>
        </is>
      </c>
      <c r="E107" t="inlineStr">
        <is>
          <t>ÄLVDALEN</t>
        </is>
      </c>
      <c r="F107" t="inlineStr">
        <is>
          <t>Allmännings- och besparingsskogar</t>
        </is>
      </c>
      <c r="G107" t="n">
        <v>2.2</v>
      </c>
      <c r="H107" t="n">
        <v>0</v>
      </c>
      <c r="I107" t="n">
        <v>1</v>
      </c>
      <c r="J107" t="n">
        <v>2</v>
      </c>
      <c r="K107" t="n">
        <v>0</v>
      </c>
      <c r="L107" t="n">
        <v>0</v>
      </c>
      <c r="M107" t="n">
        <v>0</v>
      </c>
      <c r="N107" t="n">
        <v>0</v>
      </c>
      <c r="O107" t="n">
        <v>2</v>
      </c>
      <c r="P107" t="n">
        <v>0</v>
      </c>
      <c r="Q107" t="n">
        <v>3</v>
      </c>
      <c r="R107" s="2" t="inlineStr">
        <is>
          <t>Blågrå svartspik
Kolflarnlav
Dropptaggsvamp</t>
        </is>
      </c>
      <c r="S107">
        <f>HYPERLINK("https://klasma.github.io/Logging_2039/artfynd/A 5476-2023 artfynd.xlsx", "A 5476-2023")</f>
        <v/>
      </c>
      <c r="T107">
        <f>HYPERLINK("https://klasma.github.io/Logging_2039/kartor/A 5476-2023 karta.png", "A 5476-2023")</f>
        <v/>
      </c>
      <c r="V107">
        <f>HYPERLINK("https://klasma.github.io/Logging_2039/klagomål/A 5476-2023 FSC-klagomål.docx", "A 5476-2023")</f>
        <v/>
      </c>
      <c r="W107">
        <f>HYPERLINK("https://klasma.github.io/Logging_2039/klagomålsmail/A 5476-2023 FSC-klagomål mail.docx", "A 5476-2023")</f>
        <v/>
      </c>
      <c r="X107">
        <f>HYPERLINK("https://klasma.github.io/Logging_2039/tillsyn/A 5476-2023 tillsynsbegäran.docx", "A 5476-2023")</f>
        <v/>
      </c>
      <c r="Y107">
        <f>HYPERLINK("https://klasma.github.io/Logging_2039/tillsynsmail/A 5476-2023 tillsynsbegäran mail.docx", "A 5476-2023")</f>
        <v/>
      </c>
    </row>
    <row r="108" ht="15" customHeight="1">
      <c r="A108" t="inlineStr">
        <is>
          <t>A 28848-2023</t>
        </is>
      </c>
      <c r="B108" s="1" t="n">
        <v>45104</v>
      </c>
      <c r="C108" s="1" t="n">
        <v>45824</v>
      </c>
      <c r="D108" t="inlineStr">
        <is>
          <t>DALARNAS LÄN</t>
        </is>
      </c>
      <c r="E108" t="inlineStr">
        <is>
          <t>ÄLVDALEN</t>
        </is>
      </c>
      <c r="F108" t="inlineStr">
        <is>
          <t>Sveaskog</t>
        </is>
      </c>
      <c r="G108" t="n">
        <v>6.3</v>
      </c>
      <c r="H108" t="n">
        <v>0</v>
      </c>
      <c r="I108" t="n">
        <v>0</v>
      </c>
      <c r="J108" t="n">
        <v>3</v>
      </c>
      <c r="K108" t="n">
        <v>0</v>
      </c>
      <c r="L108" t="n">
        <v>0</v>
      </c>
      <c r="M108" t="n">
        <v>0</v>
      </c>
      <c r="N108" t="n">
        <v>0</v>
      </c>
      <c r="O108" t="n">
        <v>3</v>
      </c>
      <c r="P108" t="n">
        <v>0</v>
      </c>
      <c r="Q108" t="n">
        <v>3</v>
      </c>
      <c r="R108" s="2" t="inlineStr">
        <is>
          <t>Blanksvart spiklav
Garnlav
Kolflarnlav</t>
        </is>
      </c>
      <c r="S108">
        <f>HYPERLINK("https://klasma.github.io/Logging_2039/artfynd/A 28848-2023 artfynd.xlsx", "A 28848-2023")</f>
        <v/>
      </c>
      <c r="T108">
        <f>HYPERLINK("https://klasma.github.io/Logging_2039/kartor/A 28848-2023 karta.png", "A 28848-2023")</f>
        <v/>
      </c>
      <c r="V108">
        <f>HYPERLINK("https://klasma.github.io/Logging_2039/klagomål/A 28848-2023 FSC-klagomål.docx", "A 28848-2023")</f>
        <v/>
      </c>
      <c r="W108">
        <f>HYPERLINK("https://klasma.github.io/Logging_2039/klagomålsmail/A 28848-2023 FSC-klagomål mail.docx", "A 28848-2023")</f>
        <v/>
      </c>
      <c r="X108">
        <f>HYPERLINK("https://klasma.github.io/Logging_2039/tillsyn/A 28848-2023 tillsynsbegäran.docx", "A 28848-2023")</f>
        <v/>
      </c>
      <c r="Y108">
        <f>HYPERLINK("https://klasma.github.io/Logging_2039/tillsynsmail/A 28848-2023 tillsynsbegäran mail.docx", "A 28848-2023")</f>
        <v/>
      </c>
    </row>
    <row r="109" ht="15" customHeight="1">
      <c r="A109" t="inlineStr">
        <is>
          <t>A 31228-2023</t>
        </is>
      </c>
      <c r="B109" s="1" t="n">
        <v>45114</v>
      </c>
      <c r="C109" s="1" t="n">
        <v>45824</v>
      </c>
      <c r="D109" t="inlineStr">
        <is>
          <t>DALARNAS LÄN</t>
        </is>
      </c>
      <c r="E109" t="inlineStr">
        <is>
          <t>ÄLVDALEN</t>
        </is>
      </c>
      <c r="F109" t="inlineStr">
        <is>
          <t>Sveaskog</t>
        </is>
      </c>
      <c r="G109" t="n">
        <v>6.1</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31228-2023 artfynd.xlsx", "A 31228-2023")</f>
        <v/>
      </c>
      <c r="T109">
        <f>HYPERLINK("https://klasma.github.io/Logging_2039/kartor/A 31228-2023 karta.png", "A 31228-2023")</f>
        <v/>
      </c>
      <c r="V109">
        <f>HYPERLINK("https://klasma.github.io/Logging_2039/klagomål/A 31228-2023 FSC-klagomål.docx", "A 31228-2023")</f>
        <v/>
      </c>
      <c r="W109">
        <f>HYPERLINK("https://klasma.github.io/Logging_2039/klagomålsmail/A 31228-2023 FSC-klagomål mail.docx", "A 31228-2023")</f>
        <v/>
      </c>
      <c r="X109">
        <f>HYPERLINK("https://klasma.github.io/Logging_2039/tillsyn/A 31228-2023 tillsynsbegäran.docx", "A 31228-2023")</f>
        <v/>
      </c>
      <c r="Y109">
        <f>HYPERLINK("https://klasma.github.io/Logging_2039/tillsynsmail/A 31228-2023 tillsynsbegäran mail.docx", "A 31228-2023")</f>
        <v/>
      </c>
    </row>
    <row r="110" ht="15" customHeight="1">
      <c r="A110" t="inlineStr">
        <is>
          <t>A 32403-2023</t>
        </is>
      </c>
      <c r="B110" s="1" t="n">
        <v>45120</v>
      </c>
      <c r="C110" s="1" t="n">
        <v>45824</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35141-2023</t>
        </is>
      </c>
      <c r="B111" s="1" t="n">
        <v>45145</v>
      </c>
      <c r="C111" s="1" t="n">
        <v>45824</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44128-2023</t>
        </is>
      </c>
      <c r="B112" s="1" t="n">
        <v>45188</v>
      </c>
      <c r="C112" s="1" t="n">
        <v>45824</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7024-2024</t>
        </is>
      </c>
      <c r="B113" s="1" t="n">
        <v>45343</v>
      </c>
      <c r="C113" s="1" t="n">
        <v>45824</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9787-2024</t>
        </is>
      </c>
      <c r="B114" s="1" t="n">
        <v>45362</v>
      </c>
      <c r="C114" s="1" t="n">
        <v>45824</v>
      </c>
      <c r="D114" t="inlineStr">
        <is>
          <t>DALARNAS LÄN</t>
        </is>
      </c>
      <c r="E114" t="inlineStr">
        <is>
          <t>ÄLVDALEN</t>
        </is>
      </c>
      <c r="F114" t="inlineStr">
        <is>
          <t>Övriga statliga verk och myndigheter</t>
        </is>
      </c>
      <c r="G114" t="n">
        <v>14.9</v>
      </c>
      <c r="H114" t="n">
        <v>1</v>
      </c>
      <c r="I114" t="n">
        <v>0</v>
      </c>
      <c r="J114" t="n">
        <v>3</v>
      </c>
      <c r="K114" t="n">
        <v>0</v>
      </c>
      <c r="L114" t="n">
        <v>0</v>
      </c>
      <c r="M114" t="n">
        <v>0</v>
      </c>
      <c r="N114" t="n">
        <v>0</v>
      </c>
      <c r="O114" t="n">
        <v>3</v>
      </c>
      <c r="P114" t="n">
        <v>0</v>
      </c>
      <c r="Q114" t="n">
        <v>3</v>
      </c>
      <c r="R114" s="2" t="inlineStr">
        <is>
          <t>Kolflarnlav
Varglav
Vedflamlav</t>
        </is>
      </c>
      <c r="S114">
        <f>HYPERLINK("https://klasma.github.io/Logging_2039/artfynd/A 9787-2024 artfynd.xlsx", "A 9787-2024")</f>
        <v/>
      </c>
      <c r="T114">
        <f>HYPERLINK("https://klasma.github.io/Logging_2039/kartor/A 9787-2024 karta.png", "A 9787-2024")</f>
        <v/>
      </c>
      <c r="V114">
        <f>HYPERLINK("https://klasma.github.io/Logging_2039/klagomål/A 9787-2024 FSC-klagomål.docx", "A 9787-2024")</f>
        <v/>
      </c>
      <c r="W114">
        <f>HYPERLINK("https://klasma.github.io/Logging_2039/klagomålsmail/A 9787-2024 FSC-klagomål mail.docx", "A 9787-2024")</f>
        <v/>
      </c>
      <c r="X114">
        <f>HYPERLINK("https://klasma.github.io/Logging_2039/tillsyn/A 9787-2024 tillsynsbegäran.docx", "A 9787-2024")</f>
        <v/>
      </c>
      <c r="Y114">
        <f>HYPERLINK("https://klasma.github.io/Logging_2039/tillsynsmail/A 9787-2024 tillsynsbegäran mail.docx", "A 9787-2024")</f>
        <v/>
      </c>
    </row>
    <row r="115" ht="15" customHeight="1">
      <c r="A115" t="inlineStr">
        <is>
          <t>A 18839-2024</t>
        </is>
      </c>
      <c r="B115" s="1" t="n">
        <v>45426</v>
      </c>
      <c r="C115" s="1" t="n">
        <v>45824</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18838-2024</t>
        </is>
      </c>
      <c r="B116" s="1" t="n">
        <v>45426</v>
      </c>
      <c r="C116" s="1" t="n">
        <v>45824</v>
      </c>
      <c r="D116" t="inlineStr">
        <is>
          <t>DALARNAS LÄN</t>
        </is>
      </c>
      <c r="E116" t="inlineStr">
        <is>
          <t>ÄLVDALEN</t>
        </is>
      </c>
      <c r="F116" t="inlineStr">
        <is>
          <t>Sveaskog</t>
        </is>
      </c>
      <c r="G116" t="n">
        <v>7.3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18838-2024 artfynd.xlsx", "A 18838-2024")</f>
        <v/>
      </c>
      <c r="T116">
        <f>HYPERLINK("https://klasma.github.io/Logging_2039/kartor/A 18838-2024 karta.png", "A 18838-2024")</f>
        <v/>
      </c>
      <c r="V116">
        <f>HYPERLINK("https://klasma.github.io/Logging_2039/klagomål/A 18838-2024 FSC-klagomål.docx", "A 18838-2024")</f>
        <v/>
      </c>
      <c r="W116">
        <f>HYPERLINK("https://klasma.github.io/Logging_2039/klagomålsmail/A 18838-2024 FSC-klagomål mail.docx", "A 18838-2024")</f>
        <v/>
      </c>
      <c r="X116">
        <f>HYPERLINK("https://klasma.github.io/Logging_2039/tillsyn/A 18838-2024 tillsynsbegäran.docx", "A 18838-2024")</f>
        <v/>
      </c>
      <c r="Y116">
        <f>HYPERLINK("https://klasma.github.io/Logging_2039/tillsynsmail/A 18838-2024 tillsynsbegäran mail.docx", "A 18838-2024")</f>
        <v/>
      </c>
    </row>
    <row r="117" ht="15" customHeight="1">
      <c r="A117" t="inlineStr">
        <is>
          <t>A 21656-2024</t>
        </is>
      </c>
      <c r="B117" s="1" t="n">
        <v>45442</v>
      </c>
      <c r="C117" s="1" t="n">
        <v>45824</v>
      </c>
      <c r="D117" t="inlineStr">
        <is>
          <t>DALARNAS LÄN</t>
        </is>
      </c>
      <c r="E117" t="inlineStr">
        <is>
          <t>ÄLVDALEN</t>
        </is>
      </c>
      <c r="F117" t="inlineStr">
        <is>
          <t>Sveaskog</t>
        </is>
      </c>
      <c r="G117" t="n">
        <v>4.9</v>
      </c>
      <c r="H117" t="n">
        <v>0</v>
      </c>
      <c r="I117" t="n">
        <v>0</v>
      </c>
      <c r="J117" t="n">
        <v>2</v>
      </c>
      <c r="K117" t="n">
        <v>1</v>
      </c>
      <c r="L117" t="n">
        <v>0</v>
      </c>
      <c r="M117" t="n">
        <v>0</v>
      </c>
      <c r="N117" t="n">
        <v>0</v>
      </c>
      <c r="O117" t="n">
        <v>3</v>
      </c>
      <c r="P117" t="n">
        <v>1</v>
      </c>
      <c r="Q117" t="n">
        <v>3</v>
      </c>
      <c r="R117" s="2" t="inlineStr">
        <is>
          <t>Gräddporing
Kolflarnlav
Vedflamlav</t>
        </is>
      </c>
      <c r="S117">
        <f>HYPERLINK("https://klasma.github.io/Logging_2039/artfynd/A 21656-2024 artfynd.xlsx", "A 21656-2024")</f>
        <v/>
      </c>
      <c r="T117">
        <f>HYPERLINK("https://klasma.github.io/Logging_2039/kartor/A 21656-2024 karta.png", "A 21656-2024")</f>
        <v/>
      </c>
      <c r="V117">
        <f>HYPERLINK("https://klasma.github.io/Logging_2039/klagomål/A 21656-2024 FSC-klagomål.docx", "A 21656-2024")</f>
        <v/>
      </c>
      <c r="W117">
        <f>HYPERLINK("https://klasma.github.io/Logging_2039/klagomålsmail/A 21656-2024 FSC-klagomål mail.docx", "A 21656-2024")</f>
        <v/>
      </c>
      <c r="X117">
        <f>HYPERLINK("https://klasma.github.io/Logging_2039/tillsyn/A 21656-2024 tillsynsbegäran.docx", "A 21656-2024")</f>
        <v/>
      </c>
      <c r="Y117">
        <f>HYPERLINK("https://klasma.github.io/Logging_2039/tillsynsmail/A 21656-2024 tillsynsbegäran mail.docx", "A 21656-2024")</f>
        <v/>
      </c>
    </row>
    <row r="118" ht="15" customHeight="1">
      <c r="A118" t="inlineStr">
        <is>
          <t>A 31057-2024</t>
        </is>
      </c>
      <c r="B118" s="1" t="n">
        <v>45502</v>
      </c>
      <c r="C118" s="1" t="n">
        <v>45824</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43740-2024</t>
        </is>
      </c>
      <c r="B119" s="1" t="n">
        <v>45569</v>
      </c>
      <c r="C119" s="1" t="n">
        <v>45824</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19262-2025</t>
        </is>
      </c>
      <c r="B120" s="1" t="n">
        <v>45769</v>
      </c>
      <c r="C120" s="1" t="n">
        <v>45824</v>
      </c>
      <c r="D120" t="inlineStr">
        <is>
          <t>DALARNAS LÄN</t>
        </is>
      </c>
      <c r="E120" t="inlineStr">
        <is>
          <t>ÄLVDALEN</t>
        </is>
      </c>
      <c r="F120" t="inlineStr">
        <is>
          <t>Allmännings- och besparingsskogar</t>
        </is>
      </c>
      <c r="G120" t="n">
        <v>8.800000000000001</v>
      </c>
      <c r="H120" t="n">
        <v>0</v>
      </c>
      <c r="I120" t="n">
        <v>0</v>
      </c>
      <c r="J120" t="n">
        <v>2</v>
      </c>
      <c r="K120" t="n">
        <v>1</v>
      </c>
      <c r="L120" t="n">
        <v>0</v>
      </c>
      <c r="M120" t="n">
        <v>0</v>
      </c>
      <c r="N120" t="n">
        <v>0</v>
      </c>
      <c r="O120" t="n">
        <v>3</v>
      </c>
      <c r="P120" t="n">
        <v>1</v>
      </c>
      <c r="Q120" t="n">
        <v>3</v>
      </c>
      <c r="R120" s="2" t="inlineStr">
        <is>
          <t>Gräddporing
Dvärgbägarlav
Nordtagging</t>
        </is>
      </c>
      <c r="S120">
        <f>HYPERLINK("https://klasma.github.io/Logging_202039/artfynd/A 19262-2025 artfynd.xlsx", "A 19262-2025")</f>
        <v/>
      </c>
      <c r="T120">
        <f>HYPERLINK("https://klasma.github.io/Logging_202039/kartor/A 19262-2025 karta.png", "A 19262-2025")</f>
        <v/>
      </c>
      <c r="V120">
        <f>HYPERLINK("https://klasma.github.io/Logging_202039/klagomål/A 19262-2025 FSC-klagomål.docx", "A 19262-2025")</f>
        <v/>
      </c>
      <c r="W120">
        <f>HYPERLINK("https://klasma.github.io/Logging_202039/klagomålsmail/A 19262-2025 FSC-klagomål mail.docx", "A 19262-2025")</f>
        <v/>
      </c>
      <c r="X120">
        <f>HYPERLINK("https://klasma.github.io/Logging_202039/tillsyn/A 19262-2025 tillsynsbegäran.docx", "A 19262-2025")</f>
        <v/>
      </c>
      <c r="Y120">
        <f>HYPERLINK("https://klasma.github.io/Logging_202039/tillsynsmail/A 19262-2025 tillsynsbegäran mail.docx", "A 19262-2025")</f>
        <v/>
      </c>
    </row>
    <row r="121" ht="15" customHeight="1">
      <c r="A121" t="inlineStr">
        <is>
          <t>A 25752-2025</t>
        </is>
      </c>
      <c r="B121" s="1" t="n">
        <v>45804</v>
      </c>
      <c r="C121" s="1" t="n">
        <v>45824</v>
      </c>
      <c r="D121" t="inlineStr">
        <is>
          <t>DALARNAS LÄN</t>
        </is>
      </c>
      <c r="E121" t="inlineStr">
        <is>
          <t>ÄLVDALEN</t>
        </is>
      </c>
      <c r="F121" t="inlineStr">
        <is>
          <t>Sveaskog</t>
        </is>
      </c>
      <c r="G121" t="n">
        <v>2</v>
      </c>
      <c r="H121" t="n">
        <v>1</v>
      </c>
      <c r="I121" t="n">
        <v>0</v>
      </c>
      <c r="J121" t="n">
        <v>3</v>
      </c>
      <c r="K121" t="n">
        <v>0</v>
      </c>
      <c r="L121" t="n">
        <v>0</v>
      </c>
      <c r="M121" t="n">
        <v>0</v>
      </c>
      <c r="N121" t="n">
        <v>0</v>
      </c>
      <c r="O121" t="n">
        <v>3</v>
      </c>
      <c r="P121" t="n">
        <v>0</v>
      </c>
      <c r="Q121" t="n">
        <v>3</v>
      </c>
      <c r="R121" s="2" t="inlineStr">
        <is>
          <t>Dvärgbägarlav
Mörk kolflarnlav
Varglav</t>
        </is>
      </c>
      <c r="S121">
        <f>HYPERLINK("https://klasma.github.io/Logging_202039/artfynd/A 25752-2025 artfynd.xlsx", "A 25752-2025")</f>
        <v/>
      </c>
      <c r="T121">
        <f>HYPERLINK("https://klasma.github.io/Logging_202039/kartor/A 25752-2025 karta.png", "A 25752-2025")</f>
        <v/>
      </c>
      <c r="V121">
        <f>HYPERLINK("https://klasma.github.io/Logging_202039/klagomål/A 25752-2025 FSC-klagomål.docx", "A 25752-2025")</f>
        <v/>
      </c>
      <c r="W121">
        <f>HYPERLINK("https://klasma.github.io/Logging_202039/klagomålsmail/A 25752-2025 FSC-klagomål mail.docx", "A 25752-2025")</f>
        <v/>
      </c>
      <c r="X121">
        <f>HYPERLINK("https://klasma.github.io/Logging_202039/tillsyn/A 25752-2025 tillsynsbegäran.docx", "A 25752-2025")</f>
        <v/>
      </c>
      <c r="Y121">
        <f>HYPERLINK("https://klasma.github.io/Logging_202039/tillsynsmail/A 25752-2025 tillsynsbegäran mail.docx", "A 25752-2025")</f>
        <v/>
      </c>
    </row>
    <row r="122" ht="15" customHeight="1">
      <c r="A122" t="inlineStr">
        <is>
          <t>A 26751-2025</t>
        </is>
      </c>
      <c r="B122" s="1" t="n">
        <v>45810</v>
      </c>
      <c r="C122" s="1" t="n">
        <v>45824</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HYPERLINK("https://klasma.github.io/Logging_202039/artfynd/A 26751-2025 artfynd.xlsx", "A 26751-2025")</f>
        <v/>
      </c>
      <c r="T122">
        <f>HYPERLINK("https://klasma.github.io/Logging_202039/kartor/A 26751-2025 karta.png", "A 26751-2025")</f>
        <v/>
      </c>
      <c r="V122">
        <f>HYPERLINK("https://klasma.github.io/Logging_202039/klagomål/A 26751-2025 FSC-klagomål.docx", "A 26751-2025")</f>
        <v/>
      </c>
      <c r="W122">
        <f>HYPERLINK("https://klasma.github.io/Logging_202039/klagomålsmail/A 26751-2025 FSC-klagomål mail.docx", "A 26751-2025")</f>
        <v/>
      </c>
      <c r="X122">
        <f>HYPERLINK("https://klasma.github.io/Logging_202039/tillsyn/A 26751-2025 tillsynsbegäran.docx", "A 26751-2025")</f>
        <v/>
      </c>
      <c r="Y122">
        <f>HYPERLINK("https://klasma.github.io/Logging_202039/tillsynsmail/A 26751-2025 tillsynsbegäran mail.docx", "A 26751-2025")</f>
        <v/>
      </c>
    </row>
    <row r="123" ht="15" customHeight="1">
      <c r="A123" t="inlineStr">
        <is>
          <t>A 27933-2025</t>
        </is>
      </c>
      <c r="B123" s="1" t="n">
        <v>45817</v>
      </c>
      <c r="C123" s="1" t="n">
        <v>45824</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HYPERLINK("https://klasma.github.io/Logging_202039/artfynd/A 27933-2025 artfynd.xlsx", "A 27933-2025")</f>
        <v/>
      </c>
      <c r="T123">
        <f>HYPERLINK("https://klasma.github.io/Logging_202039/kartor/A 27933-2025 karta.png", "A 27933-2025")</f>
        <v/>
      </c>
      <c r="V123">
        <f>HYPERLINK("https://klasma.github.io/Logging_202039/klagomål/A 27933-2025 FSC-klagomål.docx", "A 27933-2025")</f>
        <v/>
      </c>
      <c r="W123">
        <f>HYPERLINK("https://klasma.github.io/Logging_202039/klagomålsmail/A 27933-2025 FSC-klagomål mail.docx", "A 27933-2025")</f>
        <v/>
      </c>
      <c r="X123">
        <f>HYPERLINK("https://klasma.github.io/Logging_202039/tillsyn/A 27933-2025 tillsynsbegäran.docx", "A 27933-2025")</f>
        <v/>
      </c>
      <c r="Y123">
        <f>HYPERLINK("https://klasma.github.io/Logging_202039/tillsynsmail/A 27933-2025 tillsynsbegäran mail.docx", "A 27933-2025")</f>
        <v/>
      </c>
    </row>
    <row r="124" ht="15" customHeight="1">
      <c r="A124" t="inlineStr">
        <is>
          <t>A 45015-2019</t>
        </is>
      </c>
      <c r="B124" s="1" t="n">
        <v>43707</v>
      </c>
      <c r="C124" s="1" t="n">
        <v>45824</v>
      </c>
      <c r="D124" t="inlineStr">
        <is>
          <t>DALARNAS LÄN</t>
        </is>
      </c>
      <c r="E124" t="inlineStr">
        <is>
          <t>ÄLVDALEN</t>
        </is>
      </c>
      <c r="F124" t="inlineStr">
        <is>
          <t>Sveaskog</t>
        </is>
      </c>
      <c r="G124" t="n">
        <v>33.8</v>
      </c>
      <c r="H124" t="n">
        <v>1</v>
      </c>
      <c r="I124" t="n">
        <v>0</v>
      </c>
      <c r="J124" t="n">
        <v>2</v>
      </c>
      <c r="K124" t="n">
        <v>0</v>
      </c>
      <c r="L124" t="n">
        <v>0</v>
      </c>
      <c r="M124" t="n">
        <v>0</v>
      </c>
      <c r="N124" t="n">
        <v>0</v>
      </c>
      <c r="O124" t="n">
        <v>2</v>
      </c>
      <c r="P124" t="n">
        <v>0</v>
      </c>
      <c r="Q124" t="n">
        <v>2</v>
      </c>
      <c r="R124" s="2" t="inlineStr">
        <is>
          <t>Skrovellav
Varglav</t>
        </is>
      </c>
      <c r="S124">
        <f>HYPERLINK("https://klasma.github.io/Logging_2039/artfynd/A 45015-2019 artfynd.xlsx", "A 45015-2019")</f>
        <v/>
      </c>
      <c r="T124">
        <f>HYPERLINK("https://klasma.github.io/Logging_2039/kartor/A 45015-2019 karta.png", "A 45015-2019")</f>
        <v/>
      </c>
      <c r="V124">
        <f>HYPERLINK("https://klasma.github.io/Logging_2039/klagomål/A 45015-2019 FSC-klagomål.docx", "A 45015-2019")</f>
        <v/>
      </c>
      <c r="W124">
        <f>HYPERLINK("https://klasma.github.io/Logging_2039/klagomålsmail/A 45015-2019 FSC-klagomål mail.docx", "A 45015-2019")</f>
        <v/>
      </c>
      <c r="X124">
        <f>HYPERLINK("https://klasma.github.io/Logging_2039/tillsyn/A 45015-2019 tillsynsbegäran.docx", "A 45015-2019")</f>
        <v/>
      </c>
      <c r="Y124">
        <f>HYPERLINK("https://klasma.github.io/Logging_2039/tillsynsmail/A 45015-2019 tillsynsbegäran mail.docx", "A 45015-2019")</f>
        <v/>
      </c>
    </row>
    <row r="125" ht="15" customHeight="1">
      <c r="A125" t="inlineStr">
        <is>
          <t>A 16638-2021</t>
        </is>
      </c>
      <c r="B125" s="1" t="n">
        <v>44284</v>
      </c>
      <c r="C125" s="1" t="n">
        <v>45824</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30615-2021</t>
        </is>
      </c>
      <c r="B126" s="1" t="n">
        <v>44365</v>
      </c>
      <c r="C126" s="1" t="n">
        <v>45824</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40231-2021</t>
        </is>
      </c>
      <c r="B127" s="1" t="n">
        <v>44419</v>
      </c>
      <c r="C127" s="1" t="n">
        <v>45824</v>
      </c>
      <c r="D127" t="inlineStr">
        <is>
          <t>DALARNAS LÄN</t>
        </is>
      </c>
      <c r="E127" t="inlineStr">
        <is>
          <t>ÄLVDALEN</t>
        </is>
      </c>
      <c r="F127" t="inlineStr">
        <is>
          <t>Sveaskog</t>
        </is>
      </c>
      <c r="G127" t="n">
        <v>4.1</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40231-2021 artfynd.xlsx", "A 40231-2021")</f>
        <v/>
      </c>
      <c r="T127">
        <f>HYPERLINK("https://klasma.github.io/Logging_2039/kartor/A 40231-2021 karta.png", "A 40231-2021")</f>
        <v/>
      </c>
      <c r="V127">
        <f>HYPERLINK("https://klasma.github.io/Logging_2039/klagomål/A 40231-2021 FSC-klagomål.docx", "A 40231-2021")</f>
        <v/>
      </c>
      <c r="W127">
        <f>HYPERLINK("https://klasma.github.io/Logging_2039/klagomålsmail/A 40231-2021 FSC-klagomål mail.docx", "A 40231-2021")</f>
        <v/>
      </c>
      <c r="X127">
        <f>HYPERLINK("https://klasma.github.io/Logging_2039/tillsyn/A 40231-2021 tillsynsbegäran.docx", "A 40231-2021")</f>
        <v/>
      </c>
      <c r="Y127">
        <f>HYPERLINK("https://klasma.github.io/Logging_2039/tillsynsmail/A 40231-2021 tillsynsbegäran mail.docx", "A 40231-2021")</f>
        <v/>
      </c>
    </row>
    <row r="128" ht="15" customHeight="1">
      <c r="A128" t="inlineStr">
        <is>
          <t>A 44407-2021</t>
        </is>
      </c>
      <c r="B128" s="1" t="n">
        <v>44435</v>
      </c>
      <c r="C128" s="1" t="n">
        <v>45824</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54632-2021</t>
        </is>
      </c>
      <c r="B129" s="1" t="n">
        <v>44473</v>
      </c>
      <c r="C129" s="1" t="n">
        <v>45824</v>
      </c>
      <c r="D129" t="inlineStr">
        <is>
          <t>DALARNAS LÄN</t>
        </is>
      </c>
      <c r="E129" t="inlineStr">
        <is>
          <t>ÄLVDALEN</t>
        </is>
      </c>
      <c r="G129" t="n">
        <v>4.8</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67709-2021</t>
        </is>
      </c>
      <c r="B130" s="1" t="n">
        <v>44525</v>
      </c>
      <c r="C130" s="1" t="n">
        <v>45824</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69726-2021</t>
        </is>
      </c>
      <c r="B131" s="1" t="n">
        <v>44532</v>
      </c>
      <c r="C131" s="1" t="n">
        <v>45824</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19918-2022</t>
        </is>
      </c>
      <c r="B132" s="1" t="n">
        <v>44697</v>
      </c>
      <c r="C132" s="1" t="n">
        <v>45824</v>
      </c>
      <c r="D132" t="inlineStr">
        <is>
          <t>DALARNAS LÄN</t>
        </is>
      </c>
      <c r="E132" t="inlineStr">
        <is>
          <t>ÄLVDALEN</t>
        </is>
      </c>
      <c r="F132" t="inlineStr">
        <is>
          <t>Sveaskog</t>
        </is>
      </c>
      <c r="G132" t="n">
        <v>20.8</v>
      </c>
      <c r="H132" t="n">
        <v>2</v>
      </c>
      <c r="I132" t="n">
        <v>0</v>
      </c>
      <c r="J132" t="n">
        <v>2</v>
      </c>
      <c r="K132" t="n">
        <v>0</v>
      </c>
      <c r="L132" t="n">
        <v>0</v>
      </c>
      <c r="M132" t="n">
        <v>0</v>
      </c>
      <c r="N132" t="n">
        <v>0</v>
      </c>
      <c r="O132" t="n">
        <v>2</v>
      </c>
      <c r="P132" t="n">
        <v>0</v>
      </c>
      <c r="Q132" t="n">
        <v>2</v>
      </c>
      <c r="R132" s="2" t="inlineStr">
        <is>
          <t>Buskskvätta
Ärtsångare</t>
        </is>
      </c>
      <c r="S132">
        <f>HYPERLINK("https://klasma.github.io/Logging_2039/artfynd/A 19918-2022 artfynd.xlsx", "A 19918-2022")</f>
        <v/>
      </c>
      <c r="T132">
        <f>HYPERLINK("https://klasma.github.io/Logging_2039/kartor/A 19918-2022 karta.png", "A 19918-2022")</f>
        <v/>
      </c>
      <c r="V132">
        <f>HYPERLINK("https://klasma.github.io/Logging_2039/klagomål/A 19918-2022 FSC-klagomål.docx", "A 19918-2022")</f>
        <v/>
      </c>
      <c r="W132">
        <f>HYPERLINK("https://klasma.github.io/Logging_2039/klagomålsmail/A 19918-2022 FSC-klagomål mail.docx", "A 19918-2022")</f>
        <v/>
      </c>
      <c r="X132">
        <f>HYPERLINK("https://klasma.github.io/Logging_2039/tillsyn/A 19918-2022 tillsynsbegäran.docx", "A 19918-2022")</f>
        <v/>
      </c>
      <c r="Y132">
        <f>HYPERLINK("https://klasma.github.io/Logging_2039/tillsynsmail/A 19918-2022 tillsynsbegäran mail.docx", "A 19918-2022")</f>
        <v/>
      </c>
      <c r="Z132">
        <f>HYPERLINK("https://klasma.github.io/Logging_2039/fåglar/A 19918-2022 prioriterade fågelarter.docx", "A 19918-2022")</f>
        <v/>
      </c>
    </row>
    <row r="133" ht="15" customHeight="1">
      <c r="A133" t="inlineStr">
        <is>
          <t>A 21629-2022</t>
        </is>
      </c>
      <c r="B133" s="1" t="n">
        <v>44706</v>
      </c>
      <c r="C133" s="1" t="n">
        <v>45824</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50242-2022</t>
        </is>
      </c>
      <c r="B134" s="1" t="n">
        <v>44865</v>
      </c>
      <c r="C134" s="1" t="n">
        <v>45824</v>
      </c>
      <c r="D134" t="inlineStr">
        <is>
          <t>DALARNAS LÄN</t>
        </is>
      </c>
      <c r="E134" t="inlineStr">
        <is>
          <t>ÄLVDALEN</t>
        </is>
      </c>
      <c r="F134" t="inlineStr">
        <is>
          <t>Sveaskog</t>
        </is>
      </c>
      <c r="G134" t="n">
        <v>10.7</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50242-2022 artfynd.xlsx", "A 50242-2022")</f>
        <v/>
      </c>
      <c r="T134">
        <f>HYPERLINK("https://klasma.github.io/Logging_2039/kartor/A 50242-2022 karta.png", "A 50242-2022")</f>
        <v/>
      </c>
      <c r="V134">
        <f>HYPERLINK("https://klasma.github.io/Logging_2039/klagomål/A 50242-2022 FSC-klagomål.docx", "A 50242-2022")</f>
        <v/>
      </c>
      <c r="W134">
        <f>HYPERLINK("https://klasma.github.io/Logging_2039/klagomålsmail/A 50242-2022 FSC-klagomål mail.docx", "A 50242-2022")</f>
        <v/>
      </c>
      <c r="X134">
        <f>HYPERLINK("https://klasma.github.io/Logging_2039/tillsyn/A 50242-2022 tillsynsbegäran.docx", "A 50242-2022")</f>
        <v/>
      </c>
      <c r="Y134">
        <f>HYPERLINK("https://klasma.github.io/Logging_2039/tillsynsmail/A 50242-2022 tillsynsbegäran mail.docx", "A 50242-2022")</f>
        <v/>
      </c>
    </row>
    <row r="135" ht="15" customHeight="1">
      <c r="A135" t="inlineStr">
        <is>
          <t>A 52490-2022</t>
        </is>
      </c>
      <c r="B135" s="1" t="n">
        <v>44874</v>
      </c>
      <c r="C135" s="1" t="n">
        <v>45824</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21857-2023</t>
        </is>
      </c>
      <c r="B136" s="1" t="n">
        <v>45068</v>
      </c>
      <c r="C136" s="1" t="n">
        <v>45824</v>
      </c>
      <c r="D136" t="inlineStr">
        <is>
          <t>DALARNAS LÄN</t>
        </is>
      </c>
      <c r="E136" t="inlineStr">
        <is>
          <t>ÄLVDALEN</t>
        </is>
      </c>
      <c r="F136" t="inlineStr">
        <is>
          <t>Allmännings- och besparingsskogar</t>
        </is>
      </c>
      <c r="G136" t="n">
        <v>25.2</v>
      </c>
      <c r="H136" t="n">
        <v>1</v>
      </c>
      <c r="I136" t="n">
        <v>0</v>
      </c>
      <c r="J136" t="n">
        <v>2</v>
      </c>
      <c r="K136" t="n">
        <v>0</v>
      </c>
      <c r="L136" t="n">
        <v>0</v>
      </c>
      <c r="M136" t="n">
        <v>0</v>
      </c>
      <c r="N136" t="n">
        <v>0</v>
      </c>
      <c r="O136" t="n">
        <v>2</v>
      </c>
      <c r="P136" t="n">
        <v>0</v>
      </c>
      <c r="Q136" t="n">
        <v>2</v>
      </c>
      <c r="R136" s="2" t="inlineStr">
        <is>
          <t>Svartvit flugsnappare
Vedflamlav</t>
        </is>
      </c>
      <c r="S136">
        <f>HYPERLINK("https://klasma.github.io/Logging_2039/artfynd/A 21857-2023 artfynd.xlsx", "A 21857-2023")</f>
        <v/>
      </c>
      <c r="T136">
        <f>HYPERLINK("https://klasma.github.io/Logging_2039/kartor/A 21857-2023 karta.png", "A 21857-2023")</f>
        <v/>
      </c>
      <c r="V136">
        <f>HYPERLINK("https://klasma.github.io/Logging_2039/klagomål/A 21857-2023 FSC-klagomål.docx", "A 21857-2023")</f>
        <v/>
      </c>
      <c r="W136">
        <f>HYPERLINK("https://klasma.github.io/Logging_2039/klagomålsmail/A 21857-2023 FSC-klagomål mail.docx", "A 21857-2023")</f>
        <v/>
      </c>
      <c r="X136">
        <f>HYPERLINK("https://klasma.github.io/Logging_2039/tillsyn/A 21857-2023 tillsynsbegäran.docx", "A 21857-2023")</f>
        <v/>
      </c>
      <c r="Y136">
        <f>HYPERLINK("https://klasma.github.io/Logging_2039/tillsynsmail/A 21857-2023 tillsynsbegäran mail.docx", "A 21857-2023")</f>
        <v/>
      </c>
      <c r="Z136">
        <f>HYPERLINK("https://klasma.github.io/Logging_2039/fåglar/A 21857-2023 prioriterade fågelarter.docx", "A 21857-2023")</f>
        <v/>
      </c>
    </row>
    <row r="137" ht="15" customHeight="1">
      <c r="A137" t="inlineStr">
        <is>
          <t>A 27967-2023</t>
        </is>
      </c>
      <c r="B137" s="1" t="n">
        <v>45098</v>
      </c>
      <c r="C137" s="1" t="n">
        <v>45824</v>
      </c>
      <c r="D137" t="inlineStr">
        <is>
          <t>DALARNAS LÄN</t>
        </is>
      </c>
      <c r="E137" t="inlineStr">
        <is>
          <t>ÄLVDALEN</t>
        </is>
      </c>
      <c r="F137" t="inlineStr">
        <is>
          <t>Sveaskog</t>
        </is>
      </c>
      <c r="G137" t="n">
        <v>1.9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HYPERLINK("https://klasma.github.io/Logging_2039/artfynd/A 27967-2023 artfynd.xlsx", "A 27967-2023")</f>
        <v/>
      </c>
      <c r="T137">
        <f>HYPERLINK("https://klasma.github.io/Logging_2039/kartor/A 27967-2023 karta.png", "A 27967-2023")</f>
        <v/>
      </c>
      <c r="V137">
        <f>HYPERLINK("https://klasma.github.io/Logging_2039/klagomål/A 27967-2023 FSC-klagomål.docx", "A 27967-2023")</f>
        <v/>
      </c>
      <c r="W137">
        <f>HYPERLINK("https://klasma.github.io/Logging_2039/klagomålsmail/A 27967-2023 FSC-klagomål mail.docx", "A 27967-2023")</f>
        <v/>
      </c>
      <c r="X137">
        <f>HYPERLINK("https://klasma.github.io/Logging_2039/tillsyn/A 27967-2023 tillsynsbegäran.docx", "A 27967-2023")</f>
        <v/>
      </c>
      <c r="Y137">
        <f>HYPERLINK("https://klasma.github.io/Logging_2039/tillsynsmail/A 27967-2023 tillsynsbegäran mail.docx", "A 27967-2023")</f>
        <v/>
      </c>
    </row>
    <row r="138" ht="15" customHeight="1">
      <c r="A138" t="inlineStr">
        <is>
          <t>A 33894-2023</t>
        </is>
      </c>
      <c r="B138" s="1" t="n">
        <v>45121</v>
      </c>
      <c r="C138" s="1" t="n">
        <v>45824</v>
      </c>
      <c r="D138" t="inlineStr">
        <is>
          <t>DALARNAS LÄN</t>
        </is>
      </c>
      <c r="E138" t="inlineStr">
        <is>
          <t>ÄLVDALEN</t>
        </is>
      </c>
      <c r="F138" t="inlineStr">
        <is>
          <t>Sveaskog</t>
        </is>
      </c>
      <c r="G138" t="n">
        <v>3</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33894-2023 artfynd.xlsx", "A 33894-2023")</f>
        <v/>
      </c>
      <c r="T138">
        <f>HYPERLINK("https://klasma.github.io/Logging_2039/kartor/A 33894-2023 karta.png", "A 33894-2023")</f>
        <v/>
      </c>
      <c r="V138">
        <f>HYPERLINK("https://klasma.github.io/Logging_2039/klagomål/A 33894-2023 FSC-klagomål.docx", "A 33894-2023")</f>
        <v/>
      </c>
      <c r="W138">
        <f>HYPERLINK("https://klasma.github.io/Logging_2039/klagomålsmail/A 33894-2023 FSC-klagomål mail.docx", "A 33894-2023")</f>
        <v/>
      </c>
      <c r="X138">
        <f>HYPERLINK("https://klasma.github.io/Logging_2039/tillsyn/A 33894-2023 tillsynsbegäran.docx", "A 33894-2023")</f>
        <v/>
      </c>
      <c r="Y138">
        <f>HYPERLINK("https://klasma.github.io/Logging_2039/tillsynsmail/A 33894-2023 tillsynsbegäran mail.docx", "A 33894-2023")</f>
        <v/>
      </c>
    </row>
    <row r="139" ht="15" customHeight="1">
      <c r="A139" t="inlineStr">
        <is>
          <t>A 35184-2023</t>
        </is>
      </c>
      <c r="B139" s="1" t="n">
        <v>45145</v>
      </c>
      <c r="C139" s="1" t="n">
        <v>45824</v>
      </c>
      <c r="D139" t="inlineStr">
        <is>
          <t>DALARNAS LÄN</t>
        </is>
      </c>
      <c r="E139" t="inlineStr">
        <is>
          <t>ÄLVDALEN</t>
        </is>
      </c>
      <c r="F139" t="inlineStr">
        <is>
          <t>Sveaskog</t>
        </is>
      </c>
      <c r="G139" t="n">
        <v>1.7</v>
      </c>
      <c r="H139" t="n">
        <v>0</v>
      </c>
      <c r="I139" t="n">
        <v>0</v>
      </c>
      <c r="J139" t="n">
        <v>2</v>
      </c>
      <c r="K139" t="n">
        <v>0</v>
      </c>
      <c r="L139" t="n">
        <v>0</v>
      </c>
      <c r="M139" t="n">
        <v>0</v>
      </c>
      <c r="N139" t="n">
        <v>0</v>
      </c>
      <c r="O139" t="n">
        <v>2</v>
      </c>
      <c r="P139" t="n">
        <v>0</v>
      </c>
      <c r="Q139" t="n">
        <v>2</v>
      </c>
      <c r="R139" s="2" t="inlineStr">
        <is>
          <t>Blanksvart spiklav
Kolflarnlav</t>
        </is>
      </c>
      <c r="S139">
        <f>HYPERLINK("https://klasma.github.io/Logging_2039/artfynd/A 35184-2023 artfynd.xlsx", "A 35184-2023")</f>
        <v/>
      </c>
      <c r="T139">
        <f>HYPERLINK("https://klasma.github.io/Logging_2039/kartor/A 35184-2023 karta.png", "A 35184-2023")</f>
        <v/>
      </c>
      <c r="V139">
        <f>HYPERLINK("https://klasma.github.io/Logging_2039/klagomål/A 35184-2023 FSC-klagomål.docx", "A 35184-2023")</f>
        <v/>
      </c>
      <c r="W139">
        <f>HYPERLINK("https://klasma.github.io/Logging_2039/klagomålsmail/A 35184-2023 FSC-klagomål mail.docx", "A 35184-2023")</f>
        <v/>
      </c>
      <c r="X139">
        <f>HYPERLINK("https://klasma.github.io/Logging_2039/tillsyn/A 35184-2023 tillsynsbegäran.docx", "A 35184-2023")</f>
        <v/>
      </c>
      <c r="Y139">
        <f>HYPERLINK("https://klasma.github.io/Logging_2039/tillsynsmail/A 35184-2023 tillsynsbegäran mail.docx", "A 35184-2023")</f>
        <v/>
      </c>
    </row>
    <row r="140" ht="15" customHeight="1">
      <c r="A140" t="inlineStr">
        <is>
          <t>A 37664-2023</t>
        </is>
      </c>
      <c r="B140" s="1" t="n">
        <v>45159</v>
      </c>
      <c r="C140" s="1" t="n">
        <v>45824</v>
      </c>
      <c r="D140" t="inlineStr">
        <is>
          <t>DALARNAS LÄN</t>
        </is>
      </c>
      <c r="E140" t="inlineStr">
        <is>
          <t>ÄLVDALEN</t>
        </is>
      </c>
      <c r="F140" t="inlineStr">
        <is>
          <t>Allmännings- och besparingsskogar</t>
        </is>
      </c>
      <c r="G140" t="n">
        <v>0.6</v>
      </c>
      <c r="H140" t="n">
        <v>0</v>
      </c>
      <c r="I140" t="n">
        <v>1</v>
      </c>
      <c r="J140" t="n">
        <v>1</v>
      </c>
      <c r="K140" t="n">
        <v>0</v>
      </c>
      <c r="L140" t="n">
        <v>0</v>
      </c>
      <c r="M140" t="n">
        <v>0</v>
      </c>
      <c r="N140" t="n">
        <v>0</v>
      </c>
      <c r="O140" t="n">
        <v>1</v>
      </c>
      <c r="P140" t="n">
        <v>0</v>
      </c>
      <c r="Q140" t="n">
        <v>2</v>
      </c>
      <c r="R140" s="2" t="inlineStr">
        <is>
          <t>Vaddporing
Mindre märgborre</t>
        </is>
      </c>
      <c r="S140">
        <f>HYPERLINK("https://klasma.github.io/Logging_2039/artfynd/A 37664-2023 artfynd.xlsx", "A 37664-2023")</f>
        <v/>
      </c>
      <c r="T140">
        <f>HYPERLINK("https://klasma.github.io/Logging_2039/kartor/A 37664-2023 karta.png", "A 37664-2023")</f>
        <v/>
      </c>
      <c r="V140">
        <f>HYPERLINK("https://klasma.github.io/Logging_2039/klagomål/A 37664-2023 FSC-klagomål.docx", "A 37664-2023")</f>
        <v/>
      </c>
      <c r="W140">
        <f>HYPERLINK("https://klasma.github.io/Logging_2039/klagomålsmail/A 37664-2023 FSC-klagomål mail.docx", "A 37664-2023")</f>
        <v/>
      </c>
      <c r="X140">
        <f>HYPERLINK("https://klasma.github.io/Logging_2039/tillsyn/A 37664-2023 tillsynsbegäran.docx", "A 37664-2023")</f>
        <v/>
      </c>
      <c r="Y140">
        <f>HYPERLINK("https://klasma.github.io/Logging_2039/tillsynsmail/A 37664-2023 tillsynsbegäran mail.docx", "A 37664-2023")</f>
        <v/>
      </c>
    </row>
    <row r="141" ht="15" customHeight="1">
      <c r="A141" t="inlineStr">
        <is>
          <t>A 42848-2023</t>
        </is>
      </c>
      <c r="B141" s="1" t="n">
        <v>45182</v>
      </c>
      <c r="C141" s="1" t="n">
        <v>45824</v>
      </c>
      <c r="D141" t="inlineStr">
        <is>
          <t>DALARNAS LÄN</t>
        </is>
      </c>
      <c r="E141" t="inlineStr">
        <is>
          <t>ÄLVDALEN</t>
        </is>
      </c>
      <c r="F141" t="inlineStr">
        <is>
          <t>Allmännings- och besparingsskogar</t>
        </is>
      </c>
      <c r="G141" t="n">
        <v>1.9</v>
      </c>
      <c r="H141" t="n">
        <v>0</v>
      </c>
      <c r="I141" t="n">
        <v>1</v>
      </c>
      <c r="J141" t="n">
        <v>1</v>
      </c>
      <c r="K141" t="n">
        <v>0</v>
      </c>
      <c r="L141" t="n">
        <v>0</v>
      </c>
      <c r="M141" t="n">
        <v>0</v>
      </c>
      <c r="N141" t="n">
        <v>0</v>
      </c>
      <c r="O141" t="n">
        <v>1</v>
      </c>
      <c r="P141" t="n">
        <v>0</v>
      </c>
      <c r="Q141" t="n">
        <v>2</v>
      </c>
      <c r="R141" s="2" t="inlineStr">
        <is>
          <t>Blå taggsvamp
Dropptaggsvamp</t>
        </is>
      </c>
      <c r="S141">
        <f>HYPERLINK("https://klasma.github.io/Logging_2039/artfynd/A 42848-2023 artfynd.xlsx", "A 42848-2023")</f>
        <v/>
      </c>
      <c r="T141">
        <f>HYPERLINK("https://klasma.github.io/Logging_2039/kartor/A 42848-2023 karta.png", "A 42848-2023")</f>
        <v/>
      </c>
      <c r="V141">
        <f>HYPERLINK("https://klasma.github.io/Logging_2039/klagomål/A 42848-2023 FSC-klagomål.docx", "A 42848-2023")</f>
        <v/>
      </c>
      <c r="W141">
        <f>HYPERLINK("https://klasma.github.io/Logging_2039/klagomålsmail/A 42848-2023 FSC-klagomål mail.docx", "A 42848-2023")</f>
        <v/>
      </c>
      <c r="X141">
        <f>HYPERLINK("https://klasma.github.io/Logging_2039/tillsyn/A 42848-2023 tillsynsbegäran.docx", "A 42848-2023")</f>
        <v/>
      </c>
      <c r="Y141">
        <f>HYPERLINK("https://klasma.github.io/Logging_2039/tillsynsmail/A 42848-2023 tillsynsbegäran mail.docx", "A 42848-2023")</f>
        <v/>
      </c>
    </row>
    <row r="142" ht="15" customHeight="1">
      <c r="A142" t="inlineStr">
        <is>
          <t>A 9079-2024</t>
        </is>
      </c>
      <c r="B142" s="1" t="n">
        <v>45357</v>
      </c>
      <c r="C142" s="1" t="n">
        <v>45824</v>
      </c>
      <c r="D142" t="inlineStr">
        <is>
          <t>DALARNAS LÄN</t>
        </is>
      </c>
      <c r="E142" t="inlineStr">
        <is>
          <t>ÄLVDALEN</t>
        </is>
      </c>
      <c r="F142" t="inlineStr">
        <is>
          <t>Övriga Aktiebolag</t>
        </is>
      </c>
      <c r="G142" t="n">
        <v>15.2</v>
      </c>
      <c r="H142" t="n">
        <v>1</v>
      </c>
      <c r="I142" t="n">
        <v>0</v>
      </c>
      <c r="J142" t="n">
        <v>1</v>
      </c>
      <c r="K142" t="n">
        <v>0</v>
      </c>
      <c r="L142" t="n">
        <v>0</v>
      </c>
      <c r="M142" t="n">
        <v>0</v>
      </c>
      <c r="N142" t="n">
        <v>0</v>
      </c>
      <c r="O142" t="n">
        <v>1</v>
      </c>
      <c r="P142" t="n">
        <v>0</v>
      </c>
      <c r="Q142" t="n">
        <v>2</v>
      </c>
      <c r="R142" s="2" t="inlineStr">
        <is>
          <t>Kortskaftad ärgspik
Fläcknycklar</t>
        </is>
      </c>
      <c r="S142">
        <f>HYPERLINK("https://klasma.github.io/Logging_2039/artfynd/A 9079-2024 artfynd.xlsx", "A 9079-2024")</f>
        <v/>
      </c>
      <c r="T142">
        <f>HYPERLINK("https://klasma.github.io/Logging_2039/kartor/A 9079-2024 karta.png", "A 9079-2024")</f>
        <v/>
      </c>
      <c r="V142">
        <f>HYPERLINK("https://klasma.github.io/Logging_2039/klagomål/A 9079-2024 FSC-klagomål.docx", "A 9079-2024")</f>
        <v/>
      </c>
      <c r="W142">
        <f>HYPERLINK("https://klasma.github.io/Logging_2039/klagomålsmail/A 9079-2024 FSC-klagomål mail.docx", "A 9079-2024")</f>
        <v/>
      </c>
      <c r="X142">
        <f>HYPERLINK("https://klasma.github.io/Logging_2039/tillsyn/A 9079-2024 tillsynsbegäran.docx", "A 9079-2024")</f>
        <v/>
      </c>
      <c r="Y142">
        <f>HYPERLINK("https://klasma.github.io/Logging_2039/tillsynsmail/A 9079-2024 tillsynsbegäran mail.docx", "A 9079-2024")</f>
        <v/>
      </c>
    </row>
    <row r="143" ht="15" customHeight="1">
      <c r="A143" t="inlineStr">
        <is>
          <t>A 19612-2024</t>
        </is>
      </c>
      <c r="B143" s="1" t="n">
        <v>45432</v>
      </c>
      <c r="C143" s="1" t="n">
        <v>45824</v>
      </c>
      <c r="D143" t="inlineStr">
        <is>
          <t>DALARNAS LÄN</t>
        </is>
      </c>
      <c r="E143" t="inlineStr">
        <is>
          <t>ÄLVDALEN</t>
        </is>
      </c>
      <c r="F143" t="inlineStr">
        <is>
          <t>Sveaskog</t>
        </is>
      </c>
      <c r="G143" t="n">
        <v>3.1</v>
      </c>
      <c r="H143" t="n">
        <v>0</v>
      </c>
      <c r="I143" t="n">
        <v>0</v>
      </c>
      <c r="J143" t="n">
        <v>2</v>
      </c>
      <c r="K143" t="n">
        <v>0</v>
      </c>
      <c r="L143" t="n">
        <v>0</v>
      </c>
      <c r="M143" t="n">
        <v>0</v>
      </c>
      <c r="N143" t="n">
        <v>0</v>
      </c>
      <c r="O143" t="n">
        <v>2</v>
      </c>
      <c r="P143" t="n">
        <v>0</v>
      </c>
      <c r="Q143" t="n">
        <v>2</v>
      </c>
      <c r="R143" s="2" t="inlineStr">
        <is>
          <t>Blanksvart spiklav
Kolflarnlav</t>
        </is>
      </c>
      <c r="S143">
        <f>HYPERLINK("https://klasma.github.io/Logging_2039/artfynd/A 19612-2024 artfynd.xlsx", "A 19612-2024")</f>
        <v/>
      </c>
      <c r="T143">
        <f>HYPERLINK("https://klasma.github.io/Logging_2039/kartor/A 19612-2024 karta.png", "A 19612-2024")</f>
        <v/>
      </c>
      <c r="V143">
        <f>HYPERLINK("https://klasma.github.io/Logging_2039/klagomål/A 19612-2024 FSC-klagomål.docx", "A 19612-2024")</f>
        <v/>
      </c>
      <c r="W143">
        <f>HYPERLINK("https://klasma.github.io/Logging_2039/klagomålsmail/A 19612-2024 FSC-klagomål mail.docx", "A 19612-2024")</f>
        <v/>
      </c>
      <c r="X143">
        <f>HYPERLINK("https://klasma.github.io/Logging_2039/tillsyn/A 19612-2024 tillsynsbegäran.docx", "A 19612-2024")</f>
        <v/>
      </c>
      <c r="Y143">
        <f>HYPERLINK("https://klasma.github.io/Logging_2039/tillsynsmail/A 19612-2024 tillsynsbegäran mail.docx", "A 19612-2024")</f>
        <v/>
      </c>
    </row>
    <row r="144" ht="15" customHeight="1">
      <c r="A144" t="inlineStr">
        <is>
          <t>A 32206-2024</t>
        </is>
      </c>
      <c r="B144" s="1" t="n">
        <v>45511</v>
      </c>
      <c r="C144" s="1" t="n">
        <v>45824</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52198-2024</t>
        </is>
      </c>
      <c r="B145" s="1" t="n">
        <v>45608</v>
      </c>
      <c r="C145" s="1" t="n">
        <v>45824</v>
      </c>
      <c r="D145" t="inlineStr">
        <is>
          <t>DALARNAS LÄN</t>
        </is>
      </c>
      <c r="E145" t="inlineStr">
        <is>
          <t>ÄLVDALEN</t>
        </is>
      </c>
      <c r="F145" t="inlineStr">
        <is>
          <t>Allmännings- och besparingsskogar</t>
        </is>
      </c>
      <c r="G145" t="n">
        <v>2.7</v>
      </c>
      <c r="H145" t="n">
        <v>1</v>
      </c>
      <c r="I145" t="n">
        <v>1</v>
      </c>
      <c r="J145" t="n">
        <v>1</v>
      </c>
      <c r="K145" t="n">
        <v>0</v>
      </c>
      <c r="L145" t="n">
        <v>0</v>
      </c>
      <c r="M145" t="n">
        <v>0</v>
      </c>
      <c r="N145" t="n">
        <v>0</v>
      </c>
      <c r="O145" t="n">
        <v>1</v>
      </c>
      <c r="P145" t="n">
        <v>0</v>
      </c>
      <c r="Q145" t="n">
        <v>2</v>
      </c>
      <c r="R145" s="2" t="inlineStr">
        <is>
          <t>Spillkråka
Skarp dropptaggsvamp</t>
        </is>
      </c>
      <c r="S145">
        <f>HYPERLINK("https://klasma.github.io/Logging_2039/artfynd/A 52198-2024 artfynd.xlsx", "A 52198-2024")</f>
        <v/>
      </c>
      <c r="T145">
        <f>HYPERLINK("https://klasma.github.io/Logging_2039/kartor/A 52198-2024 karta.png", "A 52198-2024")</f>
        <v/>
      </c>
      <c r="V145">
        <f>HYPERLINK("https://klasma.github.io/Logging_2039/klagomål/A 52198-2024 FSC-klagomål.docx", "A 52198-2024")</f>
        <v/>
      </c>
      <c r="W145">
        <f>HYPERLINK("https://klasma.github.io/Logging_2039/klagomålsmail/A 52198-2024 FSC-klagomål mail.docx", "A 52198-2024")</f>
        <v/>
      </c>
      <c r="X145">
        <f>HYPERLINK("https://klasma.github.io/Logging_2039/tillsyn/A 52198-2024 tillsynsbegäran.docx", "A 52198-2024")</f>
        <v/>
      </c>
      <c r="Y145">
        <f>HYPERLINK("https://klasma.github.io/Logging_2039/tillsynsmail/A 52198-2024 tillsynsbegäran mail.docx", "A 52198-2024")</f>
        <v/>
      </c>
      <c r="Z145">
        <f>HYPERLINK("https://klasma.github.io/Logging_2039/fåglar/A 52198-2024 prioriterade fågelarter.docx", "A 52198-2024")</f>
        <v/>
      </c>
    </row>
    <row r="146" ht="15" customHeight="1">
      <c r="A146" t="inlineStr">
        <is>
          <t>A 59429-2024</t>
        </is>
      </c>
      <c r="B146" s="1" t="n">
        <v>45638</v>
      </c>
      <c r="C146" s="1" t="n">
        <v>45824</v>
      </c>
      <c r="D146" t="inlineStr">
        <is>
          <t>DALARNAS LÄN</t>
        </is>
      </c>
      <c r="E146" t="inlineStr">
        <is>
          <t>ÄLVDALEN</t>
        </is>
      </c>
      <c r="F146" t="inlineStr">
        <is>
          <t>Allmännings- och besparingsskogar</t>
        </is>
      </c>
      <c r="G146" t="n">
        <v>4.9</v>
      </c>
      <c r="H146" t="n">
        <v>0</v>
      </c>
      <c r="I146" t="n">
        <v>0</v>
      </c>
      <c r="J146" t="n">
        <v>2</v>
      </c>
      <c r="K146" t="n">
        <v>0</v>
      </c>
      <c r="L146" t="n">
        <v>0</v>
      </c>
      <c r="M146" t="n">
        <v>0</v>
      </c>
      <c r="N146" t="n">
        <v>0</v>
      </c>
      <c r="O146" t="n">
        <v>2</v>
      </c>
      <c r="P146" t="n">
        <v>0</v>
      </c>
      <c r="Q146" t="n">
        <v>2</v>
      </c>
      <c r="R146" s="2" t="inlineStr">
        <is>
          <t>Garnlav
Skrovellav</t>
        </is>
      </c>
      <c r="S146">
        <f>HYPERLINK("https://klasma.github.io/Logging_2039/artfynd/A 59429-2024 artfynd.xlsx", "A 59429-2024")</f>
        <v/>
      </c>
      <c r="T146">
        <f>HYPERLINK("https://klasma.github.io/Logging_2039/kartor/A 59429-2024 karta.png", "A 59429-2024")</f>
        <v/>
      </c>
      <c r="V146">
        <f>HYPERLINK("https://klasma.github.io/Logging_2039/klagomål/A 59429-2024 FSC-klagomål.docx", "A 59429-2024")</f>
        <v/>
      </c>
      <c r="W146">
        <f>HYPERLINK("https://klasma.github.io/Logging_2039/klagomålsmail/A 59429-2024 FSC-klagomål mail.docx", "A 59429-2024")</f>
        <v/>
      </c>
      <c r="X146">
        <f>HYPERLINK("https://klasma.github.io/Logging_2039/tillsyn/A 59429-2024 tillsynsbegäran.docx", "A 59429-2024")</f>
        <v/>
      </c>
      <c r="Y146">
        <f>HYPERLINK("https://klasma.github.io/Logging_2039/tillsynsmail/A 59429-2024 tillsynsbegäran mail.docx", "A 59429-2024")</f>
        <v/>
      </c>
    </row>
    <row r="147" ht="15" customHeight="1">
      <c r="A147" t="inlineStr">
        <is>
          <t>A 17546-2025</t>
        </is>
      </c>
      <c r="B147" s="1" t="n">
        <v>45757</v>
      </c>
      <c r="C147" s="1" t="n">
        <v>45824</v>
      </c>
      <c r="D147" t="inlineStr">
        <is>
          <t>DALARNAS LÄN</t>
        </is>
      </c>
      <c r="E147" t="inlineStr">
        <is>
          <t>ÄLVDALEN</t>
        </is>
      </c>
      <c r="F147" t="inlineStr">
        <is>
          <t>Sveaskog</t>
        </is>
      </c>
      <c r="G147" t="n">
        <v>3.5</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HYPERLINK("https://klasma.github.io/Logging_202039/artfynd/A 17546-2025 artfynd.xlsx", "A 17546-2025")</f>
        <v/>
      </c>
      <c r="T147">
        <f>HYPERLINK("https://klasma.github.io/Logging_202039/kartor/A 17546-2025 karta.png", "A 17546-2025")</f>
        <v/>
      </c>
      <c r="V147">
        <f>HYPERLINK("https://klasma.github.io/Logging_202039/klagomål/A 17546-2025 FSC-klagomål.docx", "A 17546-2025")</f>
        <v/>
      </c>
      <c r="W147">
        <f>HYPERLINK("https://klasma.github.io/Logging_202039/klagomålsmail/A 17546-2025 FSC-klagomål mail.docx", "A 17546-2025")</f>
        <v/>
      </c>
      <c r="X147">
        <f>HYPERLINK("https://klasma.github.io/Logging_202039/tillsyn/A 17546-2025 tillsynsbegäran.docx", "A 17546-2025")</f>
        <v/>
      </c>
      <c r="Y147">
        <f>HYPERLINK("https://klasma.github.io/Logging_202039/tillsynsmail/A 17546-2025 tillsynsbegäran mail.docx", "A 17546-2025")</f>
        <v/>
      </c>
    </row>
    <row r="148" ht="15" customHeight="1">
      <c r="A148" t="inlineStr">
        <is>
          <t>A 22191-2025</t>
        </is>
      </c>
      <c r="B148" s="1" t="n">
        <v>45785</v>
      </c>
      <c r="C148" s="1" t="n">
        <v>45824</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Kolflarnlav
Vedflamlav</t>
        </is>
      </c>
      <c r="S148">
        <f>HYPERLINK("https://klasma.github.io/Logging_202039/artfynd/A 22191-2025 artfynd.xlsx", "A 22191-2025")</f>
        <v/>
      </c>
      <c r="T148">
        <f>HYPERLINK("https://klasma.github.io/Logging_202039/kartor/A 22191-2025 karta.png", "A 22191-2025")</f>
        <v/>
      </c>
      <c r="V148">
        <f>HYPERLINK("https://klasma.github.io/Logging_202039/klagomål/A 22191-2025 FSC-klagomål.docx", "A 22191-2025")</f>
        <v/>
      </c>
      <c r="W148">
        <f>HYPERLINK("https://klasma.github.io/Logging_202039/klagomålsmail/A 22191-2025 FSC-klagomål mail.docx", "A 22191-2025")</f>
        <v/>
      </c>
      <c r="X148">
        <f>HYPERLINK("https://klasma.github.io/Logging_202039/tillsyn/A 22191-2025 tillsynsbegäran.docx", "A 22191-2025")</f>
        <v/>
      </c>
      <c r="Y148">
        <f>HYPERLINK("https://klasma.github.io/Logging_202039/tillsynsmail/A 22191-2025 tillsynsbegäran mail.docx", "A 22191-2025")</f>
        <v/>
      </c>
    </row>
    <row r="149" ht="15" customHeight="1">
      <c r="A149" t="inlineStr">
        <is>
          <t>A 22522-2019</t>
        </is>
      </c>
      <c r="B149" s="1" t="n">
        <v>43587</v>
      </c>
      <c r="C149" s="1" t="n">
        <v>45824</v>
      </c>
      <c r="D149" t="inlineStr">
        <is>
          <t>DALARNAS LÄN</t>
        </is>
      </c>
      <c r="E149" t="inlineStr">
        <is>
          <t>ÄLVDALEN</t>
        </is>
      </c>
      <c r="G149" t="n">
        <v>5.1</v>
      </c>
      <c r="H149" t="n">
        <v>1</v>
      </c>
      <c r="I149" t="n">
        <v>0</v>
      </c>
      <c r="J149" t="n">
        <v>1</v>
      </c>
      <c r="K149" t="n">
        <v>0</v>
      </c>
      <c r="L149" t="n">
        <v>0</v>
      </c>
      <c r="M149" t="n">
        <v>0</v>
      </c>
      <c r="N149" t="n">
        <v>0</v>
      </c>
      <c r="O149" t="n">
        <v>1</v>
      </c>
      <c r="P149" t="n">
        <v>0</v>
      </c>
      <c r="Q149" t="n">
        <v>1</v>
      </c>
      <c r="R149" s="2" t="inlineStr">
        <is>
          <t>Utter</t>
        </is>
      </c>
      <c r="S149">
        <f>HYPERLINK("https://klasma.github.io/Logging_2039/artfynd/A 22522-2019 artfynd.xlsx", "A 22522-2019")</f>
        <v/>
      </c>
      <c r="T149">
        <f>HYPERLINK("https://klasma.github.io/Logging_2039/kartor/A 22522-2019 karta.png", "A 22522-2019")</f>
        <v/>
      </c>
      <c r="V149">
        <f>HYPERLINK("https://klasma.github.io/Logging_2039/klagomål/A 22522-2019 FSC-klagomål.docx", "A 22522-2019")</f>
        <v/>
      </c>
      <c r="W149">
        <f>HYPERLINK("https://klasma.github.io/Logging_2039/klagomålsmail/A 22522-2019 FSC-klagomål mail.docx", "A 22522-2019")</f>
        <v/>
      </c>
      <c r="X149">
        <f>HYPERLINK("https://klasma.github.io/Logging_2039/tillsyn/A 22522-2019 tillsynsbegäran.docx", "A 22522-2019")</f>
        <v/>
      </c>
      <c r="Y149">
        <f>HYPERLINK("https://klasma.github.io/Logging_2039/tillsynsmail/A 22522-2019 tillsynsbegäran mail.docx", "A 22522-2019")</f>
        <v/>
      </c>
    </row>
    <row r="150" ht="15" customHeight="1">
      <c r="A150" t="inlineStr">
        <is>
          <t>A 18227-2020</t>
        </is>
      </c>
      <c r="B150" s="1" t="n">
        <v>43928</v>
      </c>
      <c r="C150" s="1" t="n">
        <v>45824</v>
      </c>
      <c r="D150" t="inlineStr">
        <is>
          <t>DALARNAS LÄN</t>
        </is>
      </c>
      <c r="E150" t="inlineStr">
        <is>
          <t>ÄLVDALEN</t>
        </is>
      </c>
      <c r="F150" t="inlineStr">
        <is>
          <t>Sveaskog</t>
        </is>
      </c>
      <c r="G150" t="n">
        <v>13.1</v>
      </c>
      <c r="H150" t="n">
        <v>1</v>
      </c>
      <c r="I150" t="n">
        <v>0</v>
      </c>
      <c r="J150" t="n">
        <v>1</v>
      </c>
      <c r="K150" t="n">
        <v>0</v>
      </c>
      <c r="L150" t="n">
        <v>0</v>
      </c>
      <c r="M150" t="n">
        <v>0</v>
      </c>
      <c r="N150" t="n">
        <v>0</v>
      </c>
      <c r="O150" t="n">
        <v>1</v>
      </c>
      <c r="P150" t="n">
        <v>0</v>
      </c>
      <c r="Q150" t="n">
        <v>1</v>
      </c>
      <c r="R150" s="2" t="inlineStr">
        <is>
          <t>Varglav</t>
        </is>
      </c>
      <c r="S150">
        <f>HYPERLINK("https://klasma.github.io/Logging_2039/artfynd/A 18227-2020 artfynd.xlsx", "A 18227-2020")</f>
        <v/>
      </c>
      <c r="T150">
        <f>HYPERLINK("https://klasma.github.io/Logging_2039/kartor/A 18227-2020 karta.png", "A 18227-2020")</f>
        <v/>
      </c>
      <c r="V150">
        <f>HYPERLINK("https://klasma.github.io/Logging_2039/klagomål/A 18227-2020 FSC-klagomål.docx", "A 18227-2020")</f>
        <v/>
      </c>
      <c r="W150">
        <f>HYPERLINK("https://klasma.github.io/Logging_2039/klagomålsmail/A 18227-2020 FSC-klagomål mail.docx", "A 18227-2020")</f>
        <v/>
      </c>
      <c r="X150">
        <f>HYPERLINK("https://klasma.github.io/Logging_2039/tillsyn/A 18227-2020 tillsynsbegäran.docx", "A 18227-2020")</f>
        <v/>
      </c>
      <c r="Y150">
        <f>HYPERLINK("https://klasma.github.io/Logging_2039/tillsynsmail/A 18227-2020 tillsynsbegäran mail.docx", "A 18227-2020")</f>
        <v/>
      </c>
    </row>
    <row r="151" ht="15" customHeight="1">
      <c r="A151" t="inlineStr">
        <is>
          <t>A 19669-2020</t>
        </is>
      </c>
      <c r="B151" s="1" t="n">
        <v>43937</v>
      </c>
      <c r="C151" s="1" t="n">
        <v>45824</v>
      </c>
      <c r="D151" t="inlineStr">
        <is>
          <t>DALARNAS LÄN</t>
        </is>
      </c>
      <c r="E151" t="inlineStr">
        <is>
          <t>ÄLVDALEN</t>
        </is>
      </c>
      <c r="F151" t="inlineStr">
        <is>
          <t>Sveaskog</t>
        </is>
      </c>
      <c r="G151" t="n">
        <v>12.9</v>
      </c>
      <c r="H151" t="n">
        <v>1</v>
      </c>
      <c r="I151" t="n">
        <v>0</v>
      </c>
      <c r="J151" t="n">
        <v>1</v>
      </c>
      <c r="K151" t="n">
        <v>0</v>
      </c>
      <c r="L151" t="n">
        <v>0</v>
      </c>
      <c r="M151" t="n">
        <v>0</v>
      </c>
      <c r="N151" t="n">
        <v>0</v>
      </c>
      <c r="O151" t="n">
        <v>1</v>
      </c>
      <c r="P151" t="n">
        <v>0</v>
      </c>
      <c r="Q151" t="n">
        <v>1</v>
      </c>
      <c r="R151" s="2" t="inlineStr">
        <is>
          <t>Varglav</t>
        </is>
      </c>
      <c r="S151">
        <f>HYPERLINK("https://klasma.github.io/Logging_2039/artfynd/A 19669-2020 artfynd.xlsx", "A 19669-2020")</f>
        <v/>
      </c>
      <c r="T151">
        <f>HYPERLINK("https://klasma.github.io/Logging_2039/kartor/A 19669-2020 karta.png", "A 19669-2020")</f>
        <v/>
      </c>
      <c r="V151">
        <f>HYPERLINK("https://klasma.github.io/Logging_2039/klagomål/A 19669-2020 FSC-klagomål.docx", "A 19669-2020")</f>
        <v/>
      </c>
      <c r="W151">
        <f>HYPERLINK("https://klasma.github.io/Logging_2039/klagomålsmail/A 19669-2020 FSC-klagomål mail.docx", "A 19669-2020")</f>
        <v/>
      </c>
      <c r="X151">
        <f>HYPERLINK("https://klasma.github.io/Logging_2039/tillsyn/A 19669-2020 tillsynsbegäran.docx", "A 19669-2020")</f>
        <v/>
      </c>
      <c r="Y151">
        <f>HYPERLINK("https://klasma.github.io/Logging_2039/tillsynsmail/A 19669-2020 tillsynsbegäran mail.docx", "A 19669-2020")</f>
        <v/>
      </c>
    </row>
    <row r="152" ht="15" customHeight="1">
      <c r="A152" t="inlineStr">
        <is>
          <t>A 38505-2020</t>
        </is>
      </c>
      <c r="B152" s="1" t="n">
        <v>44061</v>
      </c>
      <c r="C152" s="1" t="n">
        <v>45824</v>
      </c>
      <c r="D152" t="inlineStr">
        <is>
          <t>DALARNAS LÄN</t>
        </is>
      </c>
      <c r="E152" t="inlineStr">
        <is>
          <t>ÄLVDALEN</t>
        </is>
      </c>
      <c r="F152" t="inlineStr">
        <is>
          <t>Sveaskog</t>
        </is>
      </c>
      <c r="G152" t="n">
        <v>1.7</v>
      </c>
      <c r="H152" t="n">
        <v>1</v>
      </c>
      <c r="I152" t="n">
        <v>0</v>
      </c>
      <c r="J152" t="n">
        <v>1</v>
      </c>
      <c r="K152" t="n">
        <v>0</v>
      </c>
      <c r="L152" t="n">
        <v>0</v>
      </c>
      <c r="M152" t="n">
        <v>0</v>
      </c>
      <c r="N152" t="n">
        <v>0</v>
      </c>
      <c r="O152" t="n">
        <v>1</v>
      </c>
      <c r="P152" t="n">
        <v>0</v>
      </c>
      <c r="Q152" t="n">
        <v>1</v>
      </c>
      <c r="R152" s="2" t="inlineStr">
        <is>
          <t>Varglav</t>
        </is>
      </c>
      <c r="S152">
        <f>HYPERLINK("https://klasma.github.io/Logging_2039/artfynd/A 38505-2020 artfynd.xlsx", "A 38505-2020")</f>
        <v/>
      </c>
      <c r="T152">
        <f>HYPERLINK("https://klasma.github.io/Logging_2039/kartor/A 38505-2020 karta.png", "A 38505-2020")</f>
        <v/>
      </c>
      <c r="V152">
        <f>HYPERLINK("https://klasma.github.io/Logging_2039/klagomål/A 38505-2020 FSC-klagomål.docx", "A 38505-2020")</f>
        <v/>
      </c>
      <c r="W152">
        <f>HYPERLINK("https://klasma.github.io/Logging_2039/klagomålsmail/A 38505-2020 FSC-klagomål mail.docx", "A 38505-2020")</f>
        <v/>
      </c>
      <c r="X152">
        <f>HYPERLINK("https://klasma.github.io/Logging_2039/tillsyn/A 38505-2020 tillsynsbegäran.docx", "A 38505-2020")</f>
        <v/>
      </c>
      <c r="Y152">
        <f>HYPERLINK("https://klasma.github.io/Logging_2039/tillsynsmail/A 38505-2020 tillsynsbegäran mail.docx", "A 38505-2020")</f>
        <v/>
      </c>
    </row>
    <row r="153" ht="15" customHeight="1">
      <c r="A153" t="inlineStr">
        <is>
          <t>A 46279-2020</t>
        </is>
      </c>
      <c r="B153" s="1" t="n">
        <v>44092</v>
      </c>
      <c r="C153" s="1" t="n">
        <v>45824</v>
      </c>
      <c r="D153" t="inlineStr">
        <is>
          <t>DALARNAS LÄN</t>
        </is>
      </c>
      <c r="E153" t="inlineStr">
        <is>
          <t>ÄLVDALEN</t>
        </is>
      </c>
      <c r="F153" t="inlineStr">
        <is>
          <t>Sveaskog</t>
        </is>
      </c>
      <c r="G153" t="n">
        <v>0.5</v>
      </c>
      <c r="H153" t="n">
        <v>0</v>
      </c>
      <c r="I153" t="n">
        <v>0</v>
      </c>
      <c r="J153" t="n">
        <v>1</v>
      </c>
      <c r="K153" t="n">
        <v>0</v>
      </c>
      <c r="L153" t="n">
        <v>0</v>
      </c>
      <c r="M153" t="n">
        <v>0</v>
      </c>
      <c r="N153" t="n">
        <v>0</v>
      </c>
      <c r="O153" t="n">
        <v>1</v>
      </c>
      <c r="P153" t="n">
        <v>0</v>
      </c>
      <c r="Q153" t="n">
        <v>1</v>
      </c>
      <c r="R153" s="2" t="inlineStr">
        <is>
          <t>Nordtagging</t>
        </is>
      </c>
      <c r="S153">
        <f>HYPERLINK("https://klasma.github.io/Logging_2039/artfynd/A 46279-2020 artfynd.xlsx", "A 46279-2020")</f>
        <v/>
      </c>
      <c r="T153">
        <f>HYPERLINK("https://klasma.github.io/Logging_2039/kartor/A 46279-2020 karta.png", "A 46279-2020")</f>
        <v/>
      </c>
      <c r="V153">
        <f>HYPERLINK("https://klasma.github.io/Logging_2039/klagomål/A 46279-2020 FSC-klagomål.docx", "A 46279-2020")</f>
        <v/>
      </c>
      <c r="W153">
        <f>HYPERLINK("https://klasma.github.io/Logging_2039/klagomålsmail/A 46279-2020 FSC-klagomål mail.docx", "A 46279-2020")</f>
        <v/>
      </c>
      <c r="X153">
        <f>HYPERLINK("https://klasma.github.io/Logging_2039/tillsyn/A 46279-2020 tillsynsbegäran.docx", "A 46279-2020")</f>
        <v/>
      </c>
      <c r="Y153">
        <f>HYPERLINK("https://klasma.github.io/Logging_2039/tillsynsmail/A 46279-2020 tillsynsbegäran mail.docx", "A 46279-2020")</f>
        <v/>
      </c>
    </row>
    <row r="154" ht="15" customHeight="1">
      <c r="A154" t="inlineStr">
        <is>
          <t>A 11061-2021</t>
        </is>
      </c>
      <c r="B154" s="1" t="n">
        <v>44260</v>
      </c>
      <c r="C154" s="1" t="n">
        <v>45824</v>
      </c>
      <c r="D154" t="inlineStr">
        <is>
          <t>DALARNAS LÄN</t>
        </is>
      </c>
      <c r="E154" t="inlineStr">
        <is>
          <t>ÄLVDALEN</t>
        </is>
      </c>
      <c r="F154" t="inlineStr">
        <is>
          <t>Övriga statliga verk och myndigheter</t>
        </is>
      </c>
      <c r="G154" t="n">
        <v>43.7</v>
      </c>
      <c r="H154" t="n">
        <v>1</v>
      </c>
      <c r="I154" t="n">
        <v>0</v>
      </c>
      <c r="J154" t="n">
        <v>0</v>
      </c>
      <c r="K154" t="n">
        <v>0</v>
      </c>
      <c r="L154" t="n">
        <v>0</v>
      </c>
      <c r="M154" t="n">
        <v>0</v>
      </c>
      <c r="N154" t="n">
        <v>0</v>
      </c>
      <c r="O154" t="n">
        <v>0</v>
      </c>
      <c r="P154" t="n">
        <v>0</v>
      </c>
      <c r="Q154" t="n">
        <v>1</v>
      </c>
      <c r="R154" s="2" t="inlineStr">
        <is>
          <t>Större vattensalamander</t>
        </is>
      </c>
      <c r="S154">
        <f>HYPERLINK("https://klasma.github.io/Logging_2039/artfynd/A 11061-2021 artfynd.xlsx", "A 11061-2021")</f>
        <v/>
      </c>
      <c r="T154">
        <f>HYPERLINK("https://klasma.github.io/Logging_2039/kartor/A 11061-2021 karta.png", "A 11061-2021")</f>
        <v/>
      </c>
      <c r="V154">
        <f>HYPERLINK("https://klasma.github.io/Logging_2039/klagomål/A 11061-2021 FSC-klagomål.docx", "A 11061-2021")</f>
        <v/>
      </c>
      <c r="W154">
        <f>HYPERLINK("https://klasma.github.io/Logging_2039/klagomålsmail/A 11061-2021 FSC-klagomål mail.docx", "A 11061-2021")</f>
        <v/>
      </c>
      <c r="X154">
        <f>HYPERLINK("https://klasma.github.io/Logging_2039/tillsyn/A 11061-2021 tillsynsbegäran.docx", "A 11061-2021")</f>
        <v/>
      </c>
      <c r="Y154">
        <f>HYPERLINK("https://klasma.github.io/Logging_2039/tillsynsmail/A 11061-2021 tillsynsbegäran mail.docx", "A 11061-2021")</f>
        <v/>
      </c>
    </row>
    <row r="155" ht="15" customHeight="1">
      <c r="A155" t="inlineStr">
        <is>
          <t>A 16035-2021</t>
        </is>
      </c>
      <c r="B155" s="1" t="n">
        <v>44287</v>
      </c>
      <c r="C155" s="1" t="n">
        <v>45824</v>
      </c>
      <c r="D155" t="inlineStr">
        <is>
          <t>DALARNAS LÄN</t>
        </is>
      </c>
      <c r="E155" t="inlineStr">
        <is>
          <t>ÄLVDALEN</t>
        </is>
      </c>
      <c r="F155" t="inlineStr">
        <is>
          <t>Övriga statliga verk och myndigheter</t>
        </is>
      </c>
      <c r="G155" t="n">
        <v>2.2</v>
      </c>
      <c r="H155" t="n">
        <v>0</v>
      </c>
      <c r="I155" t="n">
        <v>0</v>
      </c>
      <c r="J155" t="n">
        <v>1</v>
      </c>
      <c r="K155" t="n">
        <v>0</v>
      </c>
      <c r="L155" t="n">
        <v>0</v>
      </c>
      <c r="M155" t="n">
        <v>0</v>
      </c>
      <c r="N155" t="n">
        <v>0</v>
      </c>
      <c r="O155" t="n">
        <v>1</v>
      </c>
      <c r="P155" t="n">
        <v>0</v>
      </c>
      <c r="Q155" t="n">
        <v>1</v>
      </c>
      <c r="R155" s="2" t="inlineStr">
        <is>
          <t>Gultoppig fingersvamp</t>
        </is>
      </c>
      <c r="S155">
        <f>HYPERLINK("https://klasma.github.io/Logging_2039/artfynd/A 16035-2021 artfynd.xlsx", "A 16035-2021")</f>
        <v/>
      </c>
      <c r="T155">
        <f>HYPERLINK("https://klasma.github.io/Logging_2039/kartor/A 16035-2021 karta.png", "A 16035-2021")</f>
        <v/>
      </c>
      <c r="V155">
        <f>HYPERLINK("https://klasma.github.io/Logging_2039/klagomål/A 16035-2021 FSC-klagomål.docx", "A 16035-2021")</f>
        <v/>
      </c>
      <c r="W155">
        <f>HYPERLINK("https://klasma.github.io/Logging_2039/klagomålsmail/A 16035-2021 FSC-klagomål mail.docx", "A 16035-2021")</f>
        <v/>
      </c>
      <c r="X155">
        <f>HYPERLINK("https://klasma.github.io/Logging_2039/tillsyn/A 16035-2021 tillsynsbegäran.docx", "A 16035-2021")</f>
        <v/>
      </c>
      <c r="Y155">
        <f>HYPERLINK("https://klasma.github.io/Logging_2039/tillsynsmail/A 16035-2021 tillsynsbegäran mail.docx", "A 16035-2021")</f>
        <v/>
      </c>
    </row>
    <row r="156" ht="15" customHeight="1">
      <c r="A156" t="inlineStr">
        <is>
          <t>A 22407-2021</t>
        </is>
      </c>
      <c r="B156" s="1" t="n">
        <v>44326</v>
      </c>
      <c r="C156" s="1" t="n">
        <v>45824</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22759-2021</t>
        </is>
      </c>
      <c r="B157" s="1" t="n">
        <v>44327</v>
      </c>
      <c r="C157" s="1" t="n">
        <v>45824</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24847-2021</t>
        </is>
      </c>
      <c r="B158" s="1" t="n">
        <v>44340</v>
      </c>
      <c r="C158" s="1" t="n">
        <v>45824</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26736-2021</t>
        </is>
      </c>
      <c r="B159" s="1" t="n">
        <v>44349</v>
      </c>
      <c r="C159" s="1" t="n">
        <v>45824</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30971-2021</t>
        </is>
      </c>
      <c r="B160" s="1" t="n">
        <v>44365</v>
      </c>
      <c r="C160" s="1" t="n">
        <v>45824</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31761-2021</t>
        </is>
      </c>
      <c r="B161" s="1" t="n">
        <v>44370</v>
      </c>
      <c r="C161" s="1" t="n">
        <v>45824</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34099-2021</t>
        </is>
      </c>
      <c r="B162" s="1" t="n">
        <v>44379</v>
      </c>
      <c r="C162" s="1" t="n">
        <v>45824</v>
      </c>
      <c r="D162" t="inlineStr">
        <is>
          <t>DALARNAS LÄN</t>
        </is>
      </c>
      <c r="E162" t="inlineStr">
        <is>
          <t>ÄLVDALEN</t>
        </is>
      </c>
      <c r="F162" t="inlineStr">
        <is>
          <t>Sveaskog</t>
        </is>
      </c>
      <c r="G162" t="n">
        <v>9.4</v>
      </c>
      <c r="H162" t="n">
        <v>1</v>
      </c>
      <c r="I162" t="n">
        <v>0</v>
      </c>
      <c r="J162" t="n">
        <v>1</v>
      </c>
      <c r="K162" t="n">
        <v>0</v>
      </c>
      <c r="L162" t="n">
        <v>0</v>
      </c>
      <c r="M162" t="n">
        <v>0</v>
      </c>
      <c r="N162" t="n">
        <v>0</v>
      </c>
      <c r="O162" t="n">
        <v>1</v>
      </c>
      <c r="P162" t="n">
        <v>0</v>
      </c>
      <c r="Q162" t="n">
        <v>1</v>
      </c>
      <c r="R162" s="2" t="inlineStr">
        <is>
          <t>Varglav</t>
        </is>
      </c>
      <c r="S162">
        <f>HYPERLINK("https://klasma.github.io/Logging_2039/artfynd/A 34099-2021 artfynd.xlsx", "A 34099-2021")</f>
        <v/>
      </c>
      <c r="T162">
        <f>HYPERLINK("https://klasma.github.io/Logging_2039/kartor/A 34099-2021 karta.png", "A 34099-2021")</f>
        <v/>
      </c>
      <c r="V162">
        <f>HYPERLINK("https://klasma.github.io/Logging_2039/klagomål/A 34099-2021 FSC-klagomål.docx", "A 34099-2021")</f>
        <v/>
      </c>
      <c r="W162">
        <f>HYPERLINK("https://klasma.github.io/Logging_2039/klagomålsmail/A 34099-2021 FSC-klagomål mail.docx", "A 34099-2021")</f>
        <v/>
      </c>
      <c r="X162">
        <f>HYPERLINK("https://klasma.github.io/Logging_2039/tillsyn/A 34099-2021 tillsynsbegäran.docx", "A 34099-2021")</f>
        <v/>
      </c>
      <c r="Y162">
        <f>HYPERLINK("https://klasma.github.io/Logging_2039/tillsynsmail/A 34099-2021 tillsynsbegäran mail.docx", "A 34099-2021")</f>
        <v/>
      </c>
    </row>
    <row r="163" ht="15" customHeight="1">
      <c r="A163" t="inlineStr">
        <is>
          <t>A 36574-2021</t>
        </is>
      </c>
      <c r="B163" s="1" t="n">
        <v>44391</v>
      </c>
      <c r="C163" s="1" t="n">
        <v>45824</v>
      </c>
      <c r="D163" t="inlineStr">
        <is>
          <t>DALARNAS LÄN</t>
        </is>
      </c>
      <c r="E163" t="inlineStr">
        <is>
          <t>ÄLVDALEN</t>
        </is>
      </c>
      <c r="F163" t="inlineStr">
        <is>
          <t>Sveaskog</t>
        </is>
      </c>
      <c r="G163" t="n">
        <v>26.2</v>
      </c>
      <c r="H163" t="n">
        <v>1</v>
      </c>
      <c r="I163" t="n">
        <v>0</v>
      </c>
      <c r="J163" t="n">
        <v>0</v>
      </c>
      <c r="K163" t="n">
        <v>0</v>
      </c>
      <c r="L163" t="n">
        <v>0</v>
      </c>
      <c r="M163" t="n">
        <v>0</v>
      </c>
      <c r="N163" t="n">
        <v>0</v>
      </c>
      <c r="O163" t="n">
        <v>0</v>
      </c>
      <c r="P163" t="n">
        <v>0</v>
      </c>
      <c r="Q163" t="n">
        <v>1</v>
      </c>
      <c r="R163" s="2" t="inlineStr">
        <is>
          <t>Lavskrika</t>
        </is>
      </c>
      <c r="S163">
        <f>HYPERLINK("https://klasma.github.io/Logging_2039/artfynd/A 36574-2021 artfynd.xlsx", "A 36574-2021")</f>
        <v/>
      </c>
      <c r="T163">
        <f>HYPERLINK("https://klasma.github.io/Logging_2039/kartor/A 36574-2021 karta.png", "A 36574-2021")</f>
        <v/>
      </c>
      <c r="V163">
        <f>HYPERLINK("https://klasma.github.io/Logging_2039/klagomål/A 36574-2021 FSC-klagomål.docx", "A 36574-2021")</f>
        <v/>
      </c>
      <c r="W163">
        <f>HYPERLINK("https://klasma.github.io/Logging_2039/klagomålsmail/A 36574-2021 FSC-klagomål mail.docx", "A 36574-2021")</f>
        <v/>
      </c>
      <c r="X163">
        <f>HYPERLINK("https://klasma.github.io/Logging_2039/tillsyn/A 36574-2021 tillsynsbegäran.docx", "A 36574-2021")</f>
        <v/>
      </c>
      <c r="Y163">
        <f>HYPERLINK("https://klasma.github.io/Logging_2039/tillsynsmail/A 36574-2021 tillsynsbegäran mail.docx", "A 36574-2021")</f>
        <v/>
      </c>
      <c r="Z163">
        <f>HYPERLINK("https://klasma.github.io/Logging_2039/fåglar/A 36574-2021 prioriterade fågelarter.docx", "A 36574-2021")</f>
        <v/>
      </c>
    </row>
    <row r="164" ht="15" customHeight="1">
      <c r="A164" t="inlineStr">
        <is>
          <t>A 60419-2021</t>
        </is>
      </c>
      <c r="B164" s="1" t="n">
        <v>44496</v>
      </c>
      <c r="C164" s="1" t="n">
        <v>45824</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65500-2021</t>
        </is>
      </c>
      <c r="B165" s="1" t="n">
        <v>44516</v>
      </c>
      <c r="C165" s="1" t="n">
        <v>45824</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71652-2021</t>
        </is>
      </c>
      <c r="B166" s="1" t="n">
        <v>44543</v>
      </c>
      <c r="C166" s="1" t="n">
        <v>45824</v>
      </c>
      <c r="D166" t="inlineStr">
        <is>
          <t>DALARNAS LÄN</t>
        </is>
      </c>
      <c r="E166" t="inlineStr">
        <is>
          <t>ÄLVDALEN</t>
        </is>
      </c>
      <c r="G166" t="n">
        <v>4.3</v>
      </c>
      <c r="H166" t="n">
        <v>1</v>
      </c>
      <c r="I166" t="n">
        <v>0</v>
      </c>
      <c r="J166" t="n">
        <v>1</v>
      </c>
      <c r="K166" t="n">
        <v>0</v>
      </c>
      <c r="L166" t="n">
        <v>0</v>
      </c>
      <c r="M166" t="n">
        <v>0</v>
      </c>
      <c r="N166" t="n">
        <v>0</v>
      </c>
      <c r="O166" t="n">
        <v>1</v>
      </c>
      <c r="P166" t="n">
        <v>0</v>
      </c>
      <c r="Q166" t="n">
        <v>1</v>
      </c>
      <c r="R166" s="2" t="inlineStr">
        <is>
          <t>Tretåig hackspett</t>
        </is>
      </c>
      <c r="S166">
        <f>HYPERLINK("https://klasma.github.io/Logging_2039/artfynd/A 71652-2021 artfynd.xlsx", "A 71652-2021")</f>
        <v/>
      </c>
      <c r="T166">
        <f>HYPERLINK("https://klasma.github.io/Logging_2039/kartor/A 71652-2021 karta.png", "A 71652-2021")</f>
        <v/>
      </c>
      <c r="V166">
        <f>HYPERLINK("https://klasma.github.io/Logging_2039/klagomål/A 71652-2021 FSC-klagomål.docx", "A 71652-2021")</f>
        <v/>
      </c>
      <c r="W166">
        <f>HYPERLINK("https://klasma.github.io/Logging_2039/klagomålsmail/A 71652-2021 FSC-klagomål mail.docx", "A 71652-2021")</f>
        <v/>
      </c>
      <c r="X166">
        <f>HYPERLINK("https://klasma.github.io/Logging_2039/tillsyn/A 71652-2021 tillsynsbegäran.docx", "A 71652-2021")</f>
        <v/>
      </c>
      <c r="Y166">
        <f>HYPERLINK("https://klasma.github.io/Logging_2039/tillsynsmail/A 71652-2021 tillsynsbegäran mail.docx", "A 71652-2021")</f>
        <v/>
      </c>
      <c r="Z166">
        <f>HYPERLINK("https://klasma.github.io/Logging_2039/fåglar/A 71652-2021 prioriterade fågelarter.docx", "A 71652-2021")</f>
        <v/>
      </c>
    </row>
    <row r="167" ht="15" customHeight="1">
      <c r="A167" t="inlineStr">
        <is>
          <t>A 72175-2021</t>
        </is>
      </c>
      <c r="B167" s="1" t="n">
        <v>44544</v>
      </c>
      <c r="C167" s="1" t="n">
        <v>45824</v>
      </c>
      <c r="D167" t="inlineStr">
        <is>
          <t>DALARNAS LÄN</t>
        </is>
      </c>
      <c r="E167" t="inlineStr">
        <is>
          <t>ÄLVDALEN</t>
        </is>
      </c>
      <c r="F167" t="inlineStr">
        <is>
          <t>Sveaskog</t>
        </is>
      </c>
      <c r="G167" t="n">
        <v>20.3</v>
      </c>
      <c r="H167" t="n">
        <v>1</v>
      </c>
      <c r="I167" t="n">
        <v>0</v>
      </c>
      <c r="J167" t="n">
        <v>1</v>
      </c>
      <c r="K167" t="n">
        <v>0</v>
      </c>
      <c r="L167" t="n">
        <v>0</v>
      </c>
      <c r="M167" t="n">
        <v>0</v>
      </c>
      <c r="N167" t="n">
        <v>0</v>
      </c>
      <c r="O167" t="n">
        <v>1</v>
      </c>
      <c r="P167" t="n">
        <v>0</v>
      </c>
      <c r="Q167" t="n">
        <v>1</v>
      </c>
      <c r="R167" s="2" t="inlineStr">
        <is>
          <t>Varglav</t>
        </is>
      </c>
      <c r="S167">
        <f>HYPERLINK("https://klasma.github.io/Logging_2039/artfynd/A 72175-2021 artfynd.xlsx", "A 72175-2021")</f>
        <v/>
      </c>
      <c r="T167">
        <f>HYPERLINK("https://klasma.github.io/Logging_2039/kartor/A 72175-2021 karta.png", "A 72175-2021")</f>
        <v/>
      </c>
      <c r="V167">
        <f>HYPERLINK("https://klasma.github.io/Logging_2039/klagomål/A 72175-2021 FSC-klagomål.docx", "A 72175-2021")</f>
        <v/>
      </c>
      <c r="W167">
        <f>HYPERLINK("https://klasma.github.io/Logging_2039/klagomålsmail/A 72175-2021 FSC-klagomål mail.docx", "A 72175-2021")</f>
        <v/>
      </c>
      <c r="X167">
        <f>HYPERLINK("https://klasma.github.io/Logging_2039/tillsyn/A 72175-2021 tillsynsbegäran.docx", "A 72175-2021")</f>
        <v/>
      </c>
      <c r="Y167">
        <f>HYPERLINK("https://klasma.github.io/Logging_2039/tillsynsmail/A 72175-2021 tillsynsbegäran mail.docx", "A 72175-2021")</f>
        <v/>
      </c>
    </row>
    <row r="168" ht="15" customHeight="1">
      <c r="A168" t="inlineStr">
        <is>
          <t>A 32572-2022</t>
        </is>
      </c>
      <c r="B168" s="1" t="n">
        <v>44783</v>
      </c>
      <c r="C168" s="1" t="n">
        <v>45824</v>
      </c>
      <c r="D168" t="inlineStr">
        <is>
          <t>DALARNAS LÄN</t>
        </is>
      </c>
      <c r="E168" t="inlineStr">
        <is>
          <t>ÄLVDALEN</t>
        </is>
      </c>
      <c r="G168" t="n">
        <v>5.7</v>
      </c>
      <c r="H168" t="n">
        <v>1</v>
      </c>
      <c r="I168" t="n">
        <v>0</v>
      </c>
      <c r="J168" t="n">
        <v>0</v>
      </c>
      <c r="K168" t="n">
        <v>1</v>
      </c>
      <c r="L168" t="n">
        <v>0</v>
      </c>
      <c r="M168" t="n">
        <v>0</v>
      </c>
      <c r="N168" t="n">
        <v>0</v>
      </c>
      <c r="O168" t="n">
        <v>1</v>
      </c>
      <c r="P168" t="n">
        <v>1</v>
      </c>
      <c r="Q168" t="n">
        <v>1</v>
      </c>
      <c r="R168" s="2" t="inlineStr">
        <is>
          <t>Knärot</t>
        </is>
      </c>
      <c r="S168">
        <f>HYPERLINK("https://klasma.github.io/Logging_2039/artfynd/A 32572-2022 artfynd.xlsx", "A 32572-2022")</f>
        <v/>
      </c>
      <c r="T168">
        <f>HYPERLINK("https://klasma.github.io/Logging_2039/kartor/A 32572-2022 karta.png", "A 32572-2022")</f>
        <v/>
      </c>
      <c r="U168">
        <f>HYPERLINK("https://klasma.github.io/Logging_2039/knärot/A 32572-2022 karta knärot.png", "A 32572-2022")</f>
        <v/>
      </c>
      <c r="V168">
        <f>HYPERLINK("https://klasma.github.io/Logging_2039/klagomål/A 32572-2022 FSC-klagomål.docx", "A 32572-2022")</f>
        <v/>
      </c>
      <c r="W168">
        <f>HYPERLINK("https://klasma.github.io/Logging_2039/klagomålsmail/A 32572-2022 FSC-klagomål mail.docx", "A 32572-2022")</f>
        <v/>
      </c>
      <c r="X168">
        <f>HYPERLINK("https://klasma.github.io/Logging_2039/tillsyn/A 32572-2022 tillsynsbegäran.docx", "A 32572-2022")</f>
        <v/>
      </c>
      <c r="Y168">
        <f>HYPERLINK("https://klasma.github.io/Logging_2039/tillsynsmail/A 32572-2022 tillsynsbegäran mail.docx", "A 32572-2022")</f>
        <v/>
      </c>
    </row>
    <row r="169" ht="15" customHeight="1">
      <c r="A169" t="inlineStr">
        <is>
          <t>A 39419-2022</t>
        </is>
      </c>
      <c r="B169" s="1" t="n">
        <v>44818</v>
      </c>
      <c r="C169" s="1" t="n">
        <v>45824</v>
      </c>
      <c r="D169" t="inlineStr">
        <is>
          <t>DALARNAS LÄN</t>
        </is>
      </c>
      <c r="E169" t="inlineStr">
        <is>
          <t>ÄLVDALEN</t>
        </is>
      </c>
      <c r="G169" t="n">
        <v>4.3</v>
      </c>
      <c r="H169" t="n">
        <v>0</v>
      </c>
      <c r="I169" t="n">
        <v>0</v>
      </c>
      <c r="J169" t="n">
        <v>1</v>
      </c>
      <c r="K169" t="n">
        <v>0</v>
      </c>
      <c r="L169" t="n">
        <v>0</v>
      </c>
      <c r="M169" t="n">
        <v>0</v>
      </c>
      <c r="N169" t="n">
        <v>0</v>
      </c>
      <c r="O169" t="n">
        <v>1</v>
      </c>
      <c r="P169" t="n">
        <v>0</v>
      </c>
      <c r="Q169" t="n">
        <v>1</v>
      </c>
      <c r="R169" s="2" t="inlineStr">
        <is>
          <t>Lunglav</t>
        </is>
      </c>
      <c r="S169">
        <f>HYPERLINK("https://klasma.github.io/Logging_2039/artfynd/A 39419-2022 artfynd.xlsx", "A 39419-2022")</f>
        <v/>
      </c>
      <c r="T169">
        <f>HYPERLINK("https://klasma.github.io/Logging_2039/kartor/A 39419-2022 karta.png", "A 39419-2022")</f>
        <v/>
      </c>
      <c r="V169">
        <f>HYPERLINK("https://klasma.github.io/Logging_2039/klagomål/A 39419-2022 FSC-klagomål.docx", "A 39419-2022")</f>
        <v/>
      </c>
      <c r="W169">
        <f>HYPERLINK("https://klasma.github.io/Logging_2039/klagomålsmail/A 39419-2022 FSC-klagomål mail.docx", "A 39419-2022")</f>
        <v/>
      </c>
      <c r="X169">
        <f>HYPERLINK("https://klasma.github.io/Logging_2039/tillsyn/A 39419-2022 tillsynsbegäran.docx", "A 39419-2022")</f>
        <v/>
      </c>
      <c r="Y169">
        <f>HYPERLINK("https://klasma.github.io/Logging_2039/tillsynsmail/A 39419-2022 tillsynsbegäran mail.docx", "A 39419-2022")</f>
        <v/>
      </c>
    </row>
    <row r="170" ht="15" customHeight="1">
      <c r="A170" t="inlineStr">
        <is>
          <t>A 43651-2022</t>
        </is>
      </c>
      <c r="B170" s="1" t="n">
        <v>44837</v>
      </c>
      <c r="C170" s="1" t="n">
        <v>45824</v>
      </c>
      <c r="D170" t="inlineStr">
        <is>
          <t>DALARNAS LÄN</t>
        </is>
      </c>
      <c r="E170" t="inlineStr">
        <is>
          <t>ÄLVDALEN</t>
        </is>
      </c>
      <c r="F170" t="inlineStr">
        <is>
          <t>Bergvik skog väst AB</t>
        </is>
      </c>
      <c r="G170" t="n">
        <v>1.6</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43651-2022 artfynd.xlsx", "A 43651-2022")</f>
        <v/>
      </c>
      <c r="T170">
        <f>HYPERLINK("https://klasma.github.io/Logging_2039/kartor/A 43651-2022 karta.png", "A 43651-2022")</f>
        <v/>
      </c>
      <c r="V170">
        <f>HYPERLINK("https://klasma.github.io/Logging_2039/klagomål/A 43651-2022 FSC-klagomål.docx", "A 43651-2022")</f>
        <v/>
      </c>
      <c r="W170">
        <f>HYPERLINK("https://klasma.github.io/Logging_2039/klagomålsmail/A 43651-2022 FSC-klagomål mail.docx", "A 43651-2022")</f>
        <v/>
      </c>
      <c r="X170">
        <f>HYPERLINK("https://klasma.github.io/Logging_2039/tillsyn/A 43651-2022 tillsynsbegäran.docx", "A 43651-2022")</f>
        <v/>
      </c>
      <c r="Y170">
        <f>HYPERLINK("https://klasma.github.io/Logging_2039/tillsynsmail/A 43651-2022 tillsynsbegäran mail.docx", "A 43651-2022")</f>
        <v/>
      </c>
    </row>
    <row r="171" ht="15" customHeight="1">
      <c r="A171" t="inlineStr">
        <is>
          <t>A 50251-2022</t>
        </is>
      </c>
      <c r="B171" s="1" t="n">
        <v>44865</v>
      </c>
      <c r="C171" s="1" t="n">
        <v>45824</v>
      </c>
      <c r="D171" t="inlineStr">
        <is>
          <t>DALARNAS LÄN</t>
        </is>
      </c>
      <c r="E171" t="inlineStr">
        <is>
          <t>ÄLVDALEN</t>
        </is>
      </c>
      <c r="F171" t="inlineStr">
        <is>
          <t>Sveaskog</t>
        </is>
      </c>
      <c r="G171" t="n">
        <v>4.4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50251-2022 artfynd.xlsx", "A 50251-2022")</f>
        <v/>
      </c>
      <c r="T171">
        <f>HYPERLINK("https://klasma.github.io/Logging_2039/kartor/A 50251-2022 karta.png", "A 50251-2022")</f>
        <v/>
      </c>
      <c r="V171">
        <f>HYPERLINK("https://klasma.github.io/Logging_2039/klagomål/A 50251-2022 FSC-klagomål.docx", "A 50251-2022")</f>
        <v/>
      </c>
      <c r="W171">
        <f>HYPERLINK("https://klasma.github.io/Logging_2039/klagomålsmail/A 50251-2022 FSC-klagomål mail.docx", "A 50251-2022")</f>
        <v/>
      </c>
      <c r="X171">
        <f>HYPERLINK("https://klasma.github.io/Logging_2039/tillsyn/A 50251-2022 tillsynsbegäran.docx", "A 50251-2022")</f>
        <v/>
      </c>
      <c r="Y171">
        <f>HYPERLINK("https://klasma.github.io/Logging_2039/tillsynsmail/A 50251-2022 tillsynsbegäran mail.docx", "A 50251-2022")</f>
        <v/>
      </c>
    </row>
    <row r="172" ht="15" customHeight="1">
      <c r="A172" t="inlineStr">
        <is>
          <t>A 50252-2022</t>
        </is>
      </c>
      <c r="B172" s="1" t="n">
        <v>44865</v>
      </c>
      <c r="C172" s="1" t="n">
        <v>45824</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51477-2022</t>
        </is>
      </c>
      <c r="B173" s="1" t="n">
        <v>44869</v>
      </c>
      <c r="C173" s="1" t="n">
        <v>45824</v>
      </c>
      <c r="D173" t="inlineStr">
        <is>
          <t>DALARNAS LÄN</t>
        </is>
      </c>
      <c r="E173" t="inlineStr">
        <is>
          <t>ÄLVDALEN</t>
        </is>
      </c>
      <c r="F173" t="inlineStr">
        <is>
          <t>Sveaskog</t>
        </is>
      </c>
      <c r="G173" t="n">
        <v>3.8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51477-2022 artfynd.xlsx", "A 51477-2022")</f>
        <v/>
      </c>
      <c r="T173">
        <f>HYPERLINK("https://klasma.github.io/Logging_2039/kartor/A 51477-2022 karta.png", "A 51477-2022")</f>
        <v/>
      </c>
      <c r="V173">
        <f>HYPERLINK("https://klasma.github.io/Logging_2039/klagomål/A 51477-2022 FSC-klagomål.docx", "A 51477-2022")</f>
        <v/>
      </c>
      <c r="W173">
        <f>HYPERLINK("https://klasma.github.io/Logging_2039/klagomålsmail/A 51477-2022 FSC-klagomål mail.docx", "A 51477-2022")</f>
        <v/>
      </c>
      <c r="X173">
        <f>HYPERLINK("https://klasma.github.io/Logging_2039/tillsyn/A 51477-2022 tillsynsbegäran.docx", "A 51477-2022")</f>
        <v/>
      </c>
      <c r="Y173">
        <f>HYPERLINK("https://klasma.github.io/Logging_2039/tillsynsmail/A 51477-2022 tillsynsbegäran mail.docx", "A 51477-2022")</f>
        <v/>
      </c>
    </row>
    <row r="174" ht="15" customHeight="1">
      <c r="A174" t="inlineStr">
        <is>
          <t>A 55062-2022</t>
        </is>
      </c>
      <c r="B174" s="1" t="n">
        <v>44881</v>
      </c>
      <c r="C174" s="1" t="n">
        <v>45824</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62665-2022</t>
        </is>
      </c>
      <c r="B175" s="1" t="n">
        <v>44917</v>
      </c>
      <c r="C175" s="1" t="n">
        <v>45824</v>
      </c>
      <c r="D175" t="inlineStr">
        <is>
          <t>DALARNAS LÄN</t>
        </is>
      </c>
      <c r="E175" t="inlineStr">
        <is>
          <t>ÄLVDALEN</t>
        </is>
      </c>
      <c r="G175" t="n">
        <v>0.6</v>
      </c>
      <c r="H175" t="n">
        <v>0</v>
      </c>
      <c r="I175" t="n">
        <v>1</v>
      </c>
      <c r="J175" t="n">
        <v>0</v>
      </c>
      <c r="K175" t="n">
        <v>0</v>
      </c>
      <c r="L175" t="n">
        <v>0</v>
      </c>
      <c r="M175" t="n">
        <v>0</v>
      </c>
      <c r="N175" t="n">
        <v>0</v>
      </c>
      <c r="O175" t="n">
        <v>0</v>
      </c>
      <c r="P175" t="n">
        <v>0</v>
      </c>
      <c r="Q175" t="n">
        <v>1</v>
      </c>
      <c r="R175" s="2" t="inlineStr">
        <is>
          <t>Luddlav</t>
        </is>
      </c>
      <c r="S175">
        <f>HYPERLINK("https://klasma.github.io/Logging_2039/artfynd/A 62665-2022 artfynd.xlsx", "A 62665-2022")</f>
        <v/>
      </c>
      <c r="T175">
        <f>HYPERLINK("https://klasma.github.io/Logging_2039/kartor/A 62665-2022 karta.png", "A 62665-2022")</f>
        <v/>
      </c>
      <c r="V175">
        <f>HYPERLINK("https://klasma.github.io/Logging_2039/klagomål/A 62665-2022 FSC-klagomål.docx", "A 62665-2022")</f>
        <v/>
      </c>
      <c r="W175">
        <f>HYPERLINK("https://klasma.github.io/Logging_2039/klagomålsmail/A 62665-2022 FSC-klagomål mail.docx", "A 62665-2022")</f>
        <v/>
      </c>
      <c r="X175">
        <f>HYPERLINK("https://klasma.github.io/Logging_2039/tillsyn/A 62665-2022 tillsynsbegäran.docx", "A 62665-2022")</f>
        <v/>
      </c>
      <c r="Y175">
        <f>HYPERLINK("https://klasma.github.io/Logging_2039/tillsynsmail/A 62665-2022 tillsynsbegäran mail.docx", "A 62665-2022")</f>
        <v/>
      </c>
    </row>
    <row r="176" ht="15" customHeight="1">
      <c r="A176" t="inlineStr">
        <is>
          <t>A 23872-2023</t>
        </is>
      </c>
      <c r="B176" s="1" t="n">
        <v>45078</v>
      </c>
      <c r="C176" s="1" t="n">
        <v>45824</v>
      </c>
      <c r="D176" t="inlineStr">
        <is>
          <t>DALARNAS LÄN</t>
        </is>
      </c>
      <c r="E176" t="inlineStr">
        <is>
          <t>ÄLVDALEN</t>
        </is>
      </c>
      <c r="F176" t="inlineStr">
        <is>
          <t>Allmännings- och besparingsskogar</t>
        </is>
      </c>
      <c r="G176" t="n">
        <v>79.5</v>
      </c>
      <c r="H176" t="n">
        <v>1</v>
      </c>
      <c r="I176" t="n">
        <v>0</v>
      </c>
      <c r="J176" t="n">
        <v>0</v>
      </c>
      <c r="K176" t="n">
        <v>0</v>
      </c>
      <c r="L176" t="n">
        <v>0</v>
      </c>
      <c r="M176" t="n">
        <v>0</v>
      </c>
      <c r="N176" t="n">
        <v>0</v>
      </c>
      <c r="O176" t="n">
        <v>0</v>
      </c>
      <c r="P176" t="n">
        <v>0</v>
      </c>
      <c r="Q176" t="n">
        <v>1</v>
      </c>
      <c r="R176" s="2" t="inlineStr">
        <is>
          <t>Vanlig groda</t>
        </is>
      </c>
      <c r="S176">
        <f>HYPERLINK("https://klasma.github.io/Logging_2039/artfynd/A 23872-2023 artfynd.xlsx", "A 23872-2023")</f>
        <v/>
      </c>
      <c r="T176">
        <f>HYPERLINK("https://klasma.github.io/Logging_2039/kartor/A 23872-2023 karta.png", "A 23872-2023")</f>
        <v/>
      </c>
      <c r="V176">
        <f>HYPERLINK("https://klasma.github.io/Logging_2039/klagomål/A 23872-2023 FSC-klagomål.docx", "A 23872-2023")</f>
        <v/>
      </c>
      <c r="W176">
        <f>HYPERLINK("https://klasma.github.io/Logging_2039/klagomålsmail/A 23872-2023 FSC-klagomål mail.docx", "A 23872-2023")</f>
        <v/>
      </c>
      <c r="X176">
        <f>HYPERLINK("https://klasma.github.io/Logging_2039/tillsyn/A 23872-2023 tillsynsbegäran.docx", "A 23872-2023")</f>
        <v/>
      </c>
      <c r="Y176">
        <f>HYPERLINK("https://klasma.github.io/Logging_2039/tillsynsmail/A 23872-2023 tillsynsbegäran mail.docx", "A 23872-2023")</f>
        <v/>
      </c>
    </row>
    <row r="177" ht="15" customHeight="1">
      <c r="A177" t="inlineStr">
        <is>
          <t>A 33553-2023</t>
        </is>
      </c>
      <c r="B177" s="1" t="n">
        <v>45118</v>
      </c>
      <c r="C177" s="1" t="n">
        <v>45824</v>
      </c>
      <c r="D177" t="inlineStr">
        <is>
          <t>DALARNAS LÄN</t>
        </is>
      </c>
      <c r="E177" t="inlineStr">
        <is>
          <t>ÄLVDALEN</t>
        </is>
      </c>
      <c r="G177" t="n">
        <v>1.3</v>
      </c>
      <c r="H177" t="n">
        <v>0</v>
      </c>
      <c r="I177" t="n">
        <v>0</v>
      </c>
      <c r="J177" t="n">
        <v>1</v>
      </c>
      <c r="K177" t="n">
        <v>0</v>
      </c>
      <c r="L177" t="n">
        <v>0</v>
      </c>
      <c r="M177" t="n">
        <v>0</v>
      </c>
      <c r="N177" t="n">
        <v>0</v>
      </c>
      <c r="O177" t="n">
        <v>1</v>
      </c>
      <c r="P177" t="n">
        <v>0</v>
      </c>
      <c r="Q177" t="n">
        <v>1</v>
      </c>
      <c r="R177" s="2" t="inlineStr">
        <is>
          <t>Lunglav</t>
        </is>
      </c>
      <c r="S177">
        <f>HYPERLINK("https://klasma.github.io/Logging_2039/artfynd/A 33553-2023 artfynd.xlsx", "A 33553-2023")</f>
        <v/>
      </c>
      <c r="T177">
        <f>HYPERLINK("https://klasma.github.io/Logging_2039/kartor/A 33553-2023 karta.png", "A 33553-2023")</f>
        <v/>
      </c>
      <c r="V177">
        <f>HYPERLINK("https://klasma.github.io/Logging_2039/klagomål/A 33553-2023 FSC-klagomål.docx", "A 33553-2023")</f>
        <v/>
      </c>
      <c r="W177">
        <f>HYPERLINK("https://klasma.github.io/Logging_2039/klagomålsmail/A 33553-2023 FSC-klagomål mail.docx", "A 33553-2023")</f>
        <v/>
      </c>
      <c r="X177">
        <f>HYPERLINK("https://klasma.github.io/Logging_2039/tillsyn/A 33553-2023 tillsynsbegäran.docx", "A 33553-2023")</f>
        <v/>
      </c>
      <c r="Y177">
        <f>HYPERLINK("https://klasma.github.io/Logging_2039/tillsynsmail/A 33553-2023 tillsynsbegäran mail.docx", "A 33553-2023")</f>
        <v/>
      </c>
    </row>
    <row r="178" ht="15" customHeight="1">
      <c r="A178" t="inlineStr">
        <is>
          <t>A 35185-2023</t>
        </is>
      </c>
      <c r="B178" s="1" t="n">
        <v>45145</v>
      </c>
      <c r="C178" s="1" t="n">
        <v>45824</v>
      </c>
      <c r="D178" t="inlineStr">
        <is>
          <t>DALARNAS LÄN</t>
        </is>
      </c>
      <c r="E178" t="inlineStr">
        <is>
          <t>ÄLVDALEN</t>
        </is>
      </c>
      <c r="F178" t="inlineStr">
        <is>
          <t>Sveaskog</t>
        </is>
      </c>
      <c r="G178" t="n">
        <v>1.4</v>
      </c>
      <c r="H178" t="n">
        <v>0</v>
      </c>
      <c r="I178" t="n">
        <v>0</v>
      </c>
      <c r="J178" t="n">
        <v>1</v>
      </c>
      <c r="K178" t="n">
        <v>0</v>
      </c>
      <c r="L178" t="n">
        <v>0</v>
      </c>
      <c r="M178" t="n">
        <v>0</v>
      </c>
      <c r="N178" t="n">
        <v>0</v>
      </c>
      <c r="O178" t="n">
        <v>1</v>
      </c>
      <c r="P178" t="n">
        <v>0</v>
      </c>
      <c r="Q178" t="n">
        <v>1</v>
      </c>
      <c r="R178" s="2" t="inlineStr">
        <is>
          <t>Kolflarnlav</t>
        </is>
      </c>
      <c r="S178">
        <f>HYPERLINK("https://klasma.github.io/Logging_2039/artfynd/A 35185-2023 artfynd.xlsx", "A 35185-2023")</f>
        <v/>
      </c>
      <c r="T178">
        <f>HYPERLINK("https://klasma.github.io/Logging_2039/kartor/A 35185-2023 karta.png", "A 35185-2023")</f>
        <v/>
      </c>
      <c r="V178">
        <f>HYPERLINK("https://klasma.github.io/Logging_2039/klagomål/A 35185-2023 FSC-klagomål.docx", "A 35185-2023")</f>
        <v/>
      </c>
      <c r="W178">
        <f>HYPERLINK("https://klasma.github.io/Logging_2039/klagomålsmail/A 35185-2023 FSC-klagomål mail.docx", "A 35185-2023")</f>
        <v/>
      </c>
      <c r="X178">
        <f>HYPERLINK("https://klasma.github.io/Logging_2039/tillsyn/A 35185-2023 tillsynsbegäran.docx", "A 35185-2023")</f>
        <v/>
      </c>
      <c r="Y178">
        <f>HYPERLINK("https://klasma.github.io/Logging_2039/tillsynsmail/A 35185-2023 tillsynsbegäran mail.docx", "A 35185-2023")</f>
        <v/>
      </c>
    </row>
    <row r="179" ht="15" customHeight="1">
      <c r="A179" t="inlineStr">
        <is>
          <t>A 43473-2023</t>
        </is>
      </c>
      <c r="B179" s="1" t="n">
        <v>45184</v>
      </c>
      <c r="C179" s="1" t="n">
        <v>45824</v>
      </c>
      <c r="D179" t="inlineStr">
        <is>
          <t>DALARNAS LÄN</t>
        </is>
      </c>
      <c r="E179" t="inlineStr">
        <is>
          <t>ÄLVDALEN</t>
        </is>
      </c>
      <c r="G179" t="n">
        <v>33.5</v>
      </c>
      <c r="H179" t="n">
        <v>0</v>
      </c>
      <c r="I179" t="n">
        <v>0</v>
      </c>
      <c r="J179" t="n">
        <v>1</v>
      </c>
      <c r="K179" t="n">
        <v>0</v>
      </c>
      <c r="L179" t="n">
        <v>0</v>
      </c>
      <c r="M179" t="n">
        <v>0</v>
      </c>
      <c r="N179" t="n">
        <v>0</v>
      </c>
      <c r="O179" t="n">
        <v>1</v>
      </c>
      <c r="P179" t="n">
        <v>0</v>
      </c>
      <c r="Q179" t="n">
        <v>1</v>
      </c>
      <c r="R179" s="2" t="inlineStr">
        <is>
          <t>Vedflamlav</t>
        </is>
      </c>
      <c r="S179">
        <f>HYPERLINK("https://klasma.github.io/Logging_2039/artfynd/A 43473-2023 artfynd.xlsx", "A 43473-2023")</f>
        <v/>
      </c>
      <c r="T179">
        <f>HYPERLINK("https://klasma.github.io/Logging_2039/kartor/A 43473-2023 karta.png", "A 43473-2023")</f>
        <v/>
      </c>
      <c r="V179">
        <f>HYPERLINK("https://klasma.github.io/Logging_2039/klagomål/A 43473-2023 FSC-klagomål.docx", "A 43473-2023")</f>
        <v/>
      </c>
      <c r="W179">
        <f>HYPERLINK("https://klasma.github.io/Logging_2039/klagomålsmail/A 43473-2023 FSC-klagomål mail.docx", "A 43473-2023")</f>
        <v/>
      </c>
      <c r="X179">
        <f>HYPERLINK("https://klasma.github.io/Logging_2039/tillsyn/A 43473-2023 tillsynsbegäran.docx", "A 43473-2023")</f>
        <v/>
      </c>
      <c r="Y179">
        <f>HYPERLINK("https://klasma.github.io/Logging_2039/tillsynsmail/A 43473-2023 tillsynsbegäran mail.docx", "A 43473-2023")</f>
        <v/>
      </c>
    </row>
    <row r="180" ht="15" customHeight="1">
      <c r="A180" t="inlineStr">
        <is>
          <t>A 53966-2023</t>
        </is>
      </c>
      <c r="B180" s="1" t="n">
        <v>45231</v>
      </c>
      <c r="C180" s="1" t="n">
        <v>45824</v>
      </c>
      <c r="D180" t="inlineStr">
        <is>
          <t>DALARNAS LÄN</t>
        </is>
      </c>
      <c r="E180" t="inlineStr">
        <is>
          <t>ÄLVDALEN</t>
        </is>
      </c>
      <c r="F180" t="inlineStr">
        <is>
          <t>Bergvik skog öst AB</t>
        </is>
      </c>
      <c r="G180" t="n">
        <v>14.7</v>
      </c>
      <c r="H180" t="n">
        <v>1</v>
      </c>
      <c r="I180" t="n">
        <v>0</v>
      </c>
      <c r="J180" t="n">
        <v>0</v>
      </c>
      <c r="K180" t="n">
        <v>1</v>
      </c>
      <c r="L180" t="n">
        <v>0</v>
      </c>
      <c r="M180" t="n">
        <v>0</v>
      </c>
      <c r="N180" t="n">
        <v>0</v>
      </c>
      <c r="O180" t="n">
        <v>1</v>
      </c>
      <c r="P180" t="n">
        <v>1</v>
      </c>
      <c r="Q180" t="n">
        <v>1</v>
      </c>
      <c r="R180" s="2" t="inlineStr">
        <is>
          <t>Lappuggla</t>
        </is>
      </c>
      <c r="S180">
        <f>HYPERLINK("https://klasma.github.io/Logging_2039/artfynd/A 53966-2023 artfynd.xlsx", "A 53966-2023")</f>
        <v/>
      </c>
      <c r="T180">
        <f>HYPERLINK("https://klasma.github.io/Logging_2039/kartor/A 53966-2023 karta.png", "A 53966-2023")</f>
        <v/>
      </c>
      <c r="V180">
        <f>HYPERLINK("https://klasma.github.io/Logging_2039/klagomål/A 53966-2023 FSC-klagomål.docx", "A 53966-2023")</f>
        <v/>
      </c>
      <c r="W180">
        <f>HYPERLINK("https://klasma.github.io/Logging_2039/klagomålsmail/A 53966-2023 FSC-klagomål mail.docx", "A 53966-2023")</f>
        <v/>
      </c>
      <c r="X180">
        <f>HYPERLINK("https://klasma.github.io/Logging_2039/tillsyn/A 53966-2023 tillsynsbegäran.docx", "A 53966-2023")</f>
        <v/>
      </c>
      <c r="Y180">
        <f>HYPERLINK("https://klasma.github.io/Logging_2039/tillsynsmail/A 53966-2023 tillsynsbegäran mail.docx", "A 53966-2023")</f>
        <v/>
      </c>
      <c r="Z180">
        <f>HYPERLINK("https://klasma.github.io/Logging_2039/fåglar/A 53966-2023 prioriterade fågelarter.docx", "A 53966-2023")</f>
        <v/>
      </c>
    </row>
    <row r="181" ht="15" customHeight="1">
      <c r="A181" t="inlineStr">
        <is>
          <t>A 9094-2024</t>
        </is>
      </c>
      <c r="B181" s="1" t="n">
        <v>45357</v>
      </c>
      <c r="C181" s="1" t="n">
        <v>45824</v>
      </c>
      <c r="D181" t="inlineStr">
        <is>
          <t>DALARNAS LÄN</t>
        </is>
      </c>
      <c r="E181" t="inlineStr">
        <is>
          <t>ÄLVDALEN</t>
        </is>
      </c>
      <c r="G181" t="n">
        <v>4.6</v>
      </c>
      <c r="H181" t="n">
        <v>0</v>
      </c>
      <c r="I181" t="n">
        <v>0</v>
      </c>
      <c r="J181" t="n">
        <v>1</v>
      </c>
      <c r="K181" t="n">
        <v>0</v>
      </c>
      <c r="L181" t="n">
        <v>0</v>
      </c>
      <c r="M181" t="n">
        <v>0</v>
      </c>
      <c r="N181" t="n">
        <v>0</v>
      </c>
      <c r="O181" t="n">
        <v>1</v>
      </c>
      <c r="P181" t="n">
        <v>0</v>
      </c>
      <c r="Q181" t="n">
        <v>1</v>
      </c>
      <c r="R181" s="2" t="inlineStr">
        <is>
          <t>Nordtagging</t>
        </is>
      </c>
      <c r="S181">
        <f>HYPERLINK("https://klasma.github.io/Logging_2039/artfynd/A 9094-2024 artfynd.xlsx", "A 9094-2024")</f>
        <v/>
      </c>
      <c r="T181">
        <f>HYPERLINK("https://klasma.github.io/Logging_2039/kartor/A 9094-2024 karta.png", "A 9094-2024")</f>
        <v/>
      </c>
      <c r="V181">
        <f>HYPERLINK("https://klasma.github.io/Logging_2039/klagomål/A 9094-2024 FSC-klagomål.docx", "A 9094-2024")</f>
        <v/>
      </c>
      <c r="W181">
        <f>HYPERLINK("https://klasma.github.io/Logging_2039/klagomålsmail/A 9094-2024 FSC-klagomål mail.docx", "A 9094-2024")</f>
        <v/>
      </c>
      <c r="X181">
        <f>HYPERLINK("https://klasma.github.io/Logging_2039/tillsyn/A 9094-2024 tillsynsbegäran.docx", "A 9094-2024")</f>
        <v/>
      </c>
      <c r="Y181">
        <f>HYPERLINK("https://klasma.github.io/Logging_2039/tillsynsmail/A 9094-2024 tillsynsbegäran mail.docx", "A 9094-2024")</f>
        <v/>
      </c>
    </row>
    <row r="182" ht="15" customHeight="1">
      <c r="A182" t="inlineStr">
        <is>
          <t>A 14277-2024</t>
        </is>
      </c>
      <c r="B182" s="1" t="n">
        <v>45393</v>
      </c>
      <c r="C182" s="1" t="n">
        <v>45824</v>
      </c>
      <c r="D182" t="inlineStr">
        <is>
          <t>DALARNAS LÄN</t>
        </is>
      </c>
      <c r="E182" t="inlineStr">
        <is>
          <t>ÄLVDALEN</t>
        </is>
      </c>
      <c r="F182" t="inlineStr">
        <is>
          <t>Allmännings- och besparingsskogar</t>
        </is>
      </c>
      <c r="G182" t="n">
        <v>2.8</v>
      </c>
      <c r="H182" t="n">
        <v>1</v>
      </c>
      <c r="I182" t="n">
        <v>0</v>
      </c>
      <c r="J182" t="n">
        <v>1</v>
      </c>
      <c r="K182" t="n">
        <v>0</v>
      </c>
      <c r="L182" t="n">
        <v>0</v>
      </c>
      <c r="M182" t="n">
        <v>0</v>
      </c>
      <c r="N182" t="n">
        <v>0</v>
      </c>
      <c r="O182" t="n">
        <v>1</v>
      </c>
      <c r="P182" t="n">
        <v>0</v>
      </c>
      <c r="Q182" t="n">
        <v>1</v>
      </c>
      <c r="R182" s="2" t="inlineStr">
        <is>
          <t>Talltita</t>
        </is>
      </c>
      <c r="S182">
        <f>HYPERLINK("https://klasma.github.io/Logging_2039/artfynd/A 14277-2024 artfynd.xlsx", "A 14277-2024")</f>
        <v/>
      </c>
      <c r="T182">
        <f>HYPERLINK("https://klasma.github.io/Logging_2039/kartor/A 14277-2024 karta.png", "A 14277-2024")</f>
        <v/>
      </c>
      <c r="V182">
        <f>HYPERLINK("https://klasma.github.io/Logging_2039/klagomål/A 14277-2024 FSC-klagomål.docx", "A 14277-2024")</f>
        <v/>
      </c>
      <c r="W182">
        <f>HYPERLINK("https://klasma.github.io/Logging_2039/klagomålsmail/A 14277-2024 FSC-klagomål mail.docx", "A 14277-2024")</f>
        <v/>
      </c>
      <c r="X182">
        <f>HYPERLINK("https://klasma.github.io/Logging_2039/tillsyn/A 14277-2024 tillsynsbegäran.docx", "A 14277-2024")</f>
        <v/>
      </c>
      <c r="Y182">
        <f>HYPERLINK("https://klasma.github.io/Logging_2039/tillsynsmail/A 14277-2024 tillsynsbegäran mail.docx", "A 14277-2024")</f>
        <v/>
      </c>
      <c r="Z182">
        <f>HYPERLINK("https://klasma.github.io/Logging_2039/fåglar/A 14277-2024 prioriterade fågelarter.docx", "A 14277-2024")</f>
        <v/>
      </c>
    </row>
    <row r="183" ht="15" customHeight="1">
      <c r="A183" t="inlineStr">
        <is>
          <t>A 17784-2024</t>
        </is>
      </c>
      <c r="B183" s="1" t="n">
        <v>45415</v>
      </c>
      <c r="C183" s="1" t="n">
        <v>45824</v>
      </c>
      <c r="D183" t="inlineStr">
        <is>
          <t>DALARNAS LÄN</t>
        </is>
      </c>
      <c r="E183" t="inlineStr">
        <is>
          <t>ÄLVDALEN</t>
        </is>
      </c>
      <c r="F183" t="inlineStr">
        <is>
          <t>Övriga statliga verk och myndigheter</t>
        </is>
      </c>
      <c r="G183" t="n">
        <v>20.4</v>
      </c>
      <c r="H183" t="n">
        <v>1</v>
      </c>
      <c r="I183" t="n">
        <v>1</v>
      </c>
      <c r="J183" t="n">
        <v>0</v>
      </c>
      <c r="K183" t="n">
        <v>0</v>
      </c>
      <c r="L183" t="n">
        <v>0</v>
      </c>
      <c r="M183" t="n">
        <v>0</v>
      </c>
      <c r="N183" t="n">
        <v>0</v>
      </c>
      <c r="O183" t="n">
        <v>0</v>
      </c>
      <c r="P183" t="n">
        <v>0</v>
      </c>
      <c r="Q183" t="n">
        <v>1</v>
      </c>
      <c r="R183" s="2" t="inlineStr">
        <is>
          <t>Plattlummer</t>
        </is>
      </c>
      <c r="S183">
        <f>HYPERLINK("https://klasma.github.io/Logging_2039/artfynd/A 17784-2024 artfynd.xlsx", "A 17784-2024")</f>
        <v/>
      </c>
      <c r="T183">
        <f>HYPERLINK("https://klasma.github.io/Logging_2039/kartor/A 17784-2024 karta.png", "A 17784-2024")</f>
        <v/>
      </c>
      <c r="V183">
        <f>HYPERLINK("https://klasma.github.io/Logging_2039/klagomål/A 17784-2024 FSC-klagomål.docx", "A 17784-2024")</f>
        <v/>
      </c>
      <c r="W183">
        <f>HYPERLINK("https://klasma.github.io/Logging_2039/klagomålsmail/A 17784-2024 FSC-klagomål mail.docx", "A 17784-2024")</f>
        <v/>
      </c>
      <c r="X183">
        <f>HYPERLINK("https://klasma.github.io/Logging_2039/tillsyn/A 17784-2024 tillsynsbegäran.docx", "A 17784-2024")</f>
        <v/>
      </c>
      <c r="Y183">
        <f>HYPERLINK("https://klasma.github.io/Logging_2039/tillsynsmail/A 17784-2024 tillsynsbegäran mail.docx", "A 17784-2024")</f>
        <v/>
      </c>
    </row>
    <row r="184" ht="15" customHeight="1">
      <c r="A184" t="inlineStr">
        <is>
          <t>A 19614-2024</t>
        </is>
      </c>
      <c r="B184" s="1" t="n">
        <v>45432</v>
      </c>
      <c r="C184" s="1" t="n">
        <v>45824</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21658-2024</t>
        </is>
      </c>
      <c r="B185" s="1" t="n">
        <v>45442</v>
      </c>
      <c r="C185" s="1" t="n">
        <v>45824</v>
      </c>
      <c r="D185" t="inlineStr">
        <is>
          <t>DALARNAS LÄN</t>
        </is>
      </c>
      <c r="E185" t="inlineStr">
        <is>
          <t>ÄLVDALEN</t>
        </is>
      </c>
      <c r="F185" t="inlineStr">
        <is>
          <t>Sveaskog</t>
        </is>
      </c>
      <c r="G185" t="n">
        <v>4.2</v>
      </c>
      <c r="H185" t="n">
        <v>1</v>
      </c>
      <c r="I185" t="n">
        <v>0</v>
      </c>
      <c r="J185" t="n">
        <v>1</v>
      </c>
      <c r="K185" t="n">
        <v>0</v>
      </c>
      <c r="L185" t="n">
        <v>0</v>
      </c>
      <c r="M185" t="n">
        <v>0</v>
      </c>
      <c r="N185" t="n">
        <v>0</v>
      </c>
      <c r="O185" t="n">
        <v>1</v>
      </c>
      <c r="P185" t="n">
        <v>0</v>
      </c>
      <c r="Q185" t="n">
        <v>1</v>
      </c>
      <c r="R185" s="2" t="inlineStr">
        <is>
          <t>Varglav</t>
        </is>
      </c>
      <c r="S185">
        <f>HYPERLINK("https://klasma.github.io/Logging_2039/artfynd/A 21658-2024 artfynd.xlsx", "A 21658-2024")</f>
        <v/>
      </c>
      <c r="T185">
        <f>HYPERLINK("https://klasma.github.io/Logging_2039/kartor/A 21658-2024 karta.png", "A 21658-2024")</f>
        <v/>
      </c>
      <c r="V185">
        <f>HYPERLINK("https://klasma.github.io/Logging_2039/klagomål/A 21658-2024 FSC-klagomål.docx", "A 21658-2024")</f>
        <v/>
      </c>
      <c r="W185">
        <f>HYPERLINK("https://klasma.github.io/Logging_2039/klagomålsmail/A 21658-2024 FSC-klagomål mail.docx", "A 21658-2024")</f>
        <v/>
      </c>
      <c r="X185">
        <f>HYPERLINK("https://klasma.github.io/Logging_2039/tillsyn/A 21658-2024 tillsynsbegäran.docx", "A 21658-2024")</f>
        <v/>
      </c>
      <c r="Y185">
        <f>HYPERLINK("https://klasma.github.io/Logging_2039/tillsynsmail/A 21658-2024 tillsynsbegäran mail.docx", "A 21658-2024")</f>
        <v/>
      </c>
    </row>
    <row r="186" ht="15" customHeight="1">
      <c r="A186" t="inlineStr">
        <is>
          <t>A 30691-2024</t>
        </is>
      </c>
      <c r="B186" s="1" t="n">
        <v>45496</v>
      </c>
      <c r="C186" s="1" t="n">
        <v>45824</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31145-2024</t>
        </is>
      </c>
      <c r="B187" s="1" t="n">
        <v>45502</v>
      </c>
      <c r="C187" s="1" t="n">
        <v>45824</v>
      </c>
      <c r="D187" t="inlineStr">
        <is>
          <t>DALARNAS LÄN</t>
        </is>
      </c>
      <c r="E187" t="inlineStr">
        <is>
          <t>ÄLVDALEN</t>
        </is>
      </c>
      <c r="G187" t="n">
        <v>1.2</v>
      </c>
      <c r="H187" t="n">
        <v>1</v>
      </c>
      <c r="I187" t="n">
        <v>0</v>
      </c>
      <c r="J187" t="n">
        <v>1</v>
      </c>
      <c r="K187" t="n">
        <v>0</v>
      </c>
      <c r="L187" t="n">
        <v>0</v>
      </c>
      <c r="M187" t="n">
        <v>0</v>
      </c>
      <c r="N187" t="n">
        <v>0</v>
      </c>
      <c r="O187" t="n">
        <v>1</v>
      </c>
      <c r="P187" t="n">
        <v>0</v>
      </c>
      <c r="Q187" t="n">
        <v>1</v>
      </c>
      <c r="R187" s="2" t="inlineStr">
        <is>
          <t>Tretåig hackspett</t>
        </is>
      </c>
      <c r="S187">
        <f>HYPERLINK("https://klasma.github.io/Logging_2039/artfynd/A 31145-2024 artfynd.xlsx", "A 31145-2024")</f>
        <v/>
      </c>
      <c r="T187">
        <f>HYPERLINK("https://klasma.github.io/Logging_2039/kartor/A 31145-2024 karta.png", "A 31145-2024")</f>
        <v/>
      </c>
      <c r="V187">
        <f>HYPERLINK("https://klasma.github.io/Logging_2039/klagomål/A 31145-2024 FSC-klagomål.docx", "A 31145-2024")</f>
        <v/>
      </c>
      <c r="W187">
        <f>HYPERLINK("https://klasma.github.io/Logging_2039/klagomålsmail/A 31145-2024 FSC-klagomål mail.docx", "A 31145-2024")</f>
        <v/>
      </c>
      <c r="X187">
        <f>HYPERLINK("https://klasma.github.io/Logging_2039/tillsyn/A 31145-2024 tillsynsbegäran.docx", "A 31145-2024")</f>
        <v/>
      </c>
      <c r="Y187">
        <f>HYPERLINK("https://klasma.github.io/Logging_2039/tillsynsmail/A 31145-2024 tillsynsbegäran mail.docx", "A 31145-2024")</f>
        <v/>
      </c>
      <c r="Z187">
        <f>HYPERLINK("https://klasma.github.io/Logging_2039/fåglar/A 31145-2024 prioriterade fågelarter.docx", "A 31145-2024")</f>
        <v/>
      </c>
    </row>
    <row r="188" ht="15" customHeight="1">
      <c r="A188" t="inlineStr">
        <is>
          <t>A 31771-2024</t>
        </is>
      </c>
      <c r="B188" s="1" t="n">
        <v>45509</v>
      </c>
      <c r="C188" s="1" t="n">
        <v>45824</v>
      </c>
      <c r="D188" t="inlineStr">
        <is>
          <t>DALARNAS LÄN</t>
        </is>
      </c>
      <c r="E188" t="inlineStr">
        <is>
          <t>ÄLVDALEN</t>
        </is>
      </c>
      <c r="F188" t="inlineStr">
        <is>
          <t>Allmännings- och besparingsskogar</t>
        </is>
      </c>
      <c r="G188" t="n">
        <v>17.8</v>
      </c>
      <c r="H188" t="n">
        <v>1</v>
      </c>
      <c r="I188" t="n">
        <v>0</v>
      </c>
      <c r="J188" t="n">
        <v>0</v>
      </c>
      <c r="K188" t="n">
        <v>0</v>
      </c>
      <c r="L188" t="n">
        <v>1</v>
      </c>
      <c r="M188" t="n">
        <v>0</v>
      </c>
      <c r="N188" t="n">
        <v>0</v>
      </c>
      <c r="O188" t="n">
        <v>1</v>
      </c>
      <c r="P188" t="n">
        <v>1</v>
      </c>
      <c r="Q188" t="n">
        <v>1</v>
      </c>
      <c r="R188" s="2" t="inlineStr">
        <is>
          <t>Mosippa</t>
        </is>
      </c>
      <c r="S188">
        <f>HYPERLINK("https://klasma.github.io/Logging_2039/artfynd/A 31771-2024 artfynd.xlsx", "A 31771-2024")</f>
        <v/>
      </c>
      <c r="T188">
        <f>HYPERLINK("https://klasma.github.io/Logging_2039/kartor/A 31771-2024 karta.png", "A 31771-2024")</f>
        <v/>
      </c>
      <c r="V188">
        <f>HYPERLINK("https://klasma.github.io/Logging_2039/klagomål/A 31771-2024 FSC-klagomål.docx", "A 31771-2024")</f>
        <v/>
      </c>
      <c r="W188">
        <f>HYPERLINK("https://klasma.github.io/Logging_2039/klagomålsmail/A 31771-2024 FSC-klagomål mail.docx", "A 31771-2024")</f>
        <v/>
      </c>
      <c r="X188">
        <f>HYPERLINK("https://klasma.github.io/Logging_2039/tillsyn/A 31771-2024 tillsynsbegäran.docx", "A 31771-2024")</f>
        <v/>
      </c>
      <c r="Y188">
        <f>HYPERLINK("https://klasma.github.io/Logging_2039/tillsynsmail/A 31771-2024 tillsynsbegäran mail.docx", "A 31771-2024")</f>
        <v/>
      </c>
    </row>
    <row r="189" ht="15" customHeight="1">
      <c r="A189" t="inlineStr">
        <is>
          <t>A 32199-2024</t>
        </is>
      </c>
      <c r="B189" s="1" t="n">
        <v>45511</v>
      </c>
      <c r="C189" s="1" t="n">
        <v>45824</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45202-2024</t>
        </is>
      </c>
      <c r="B190" s="1" t="n">
        <v>45575</v>
      </c>
      <c r="C190" s="1" t="n">
        <v>45824</v>
      </c>
      <c r="D190" t="inlineStr">
        <is>
          <t>DALARNAS LÄN</t>
        </is>
      </c>
      <c r="E190" t="inlineStr">
        <is>
          <t>ÄLVDALEN</t>
        </is>
      </c>
      <c r="G190" t="n">
        <v>184.5</v>
      </c>
      <c r="H190" t="n">
        <v>1</v>
      </c>
      <c r="I190" t="n">
        <v>0</v>
      </c>
      <c r="J190" t="n">
        <v>0</v>
      </c>
      <c r="K190" t="n">
        <v>0</v>
      </c>
      <c r="L190" t="n">
        <v>0</v>
      </c>
      <c r="M190" t="n">
        <v>0</v>
      </c>
      <c r="N190" t="n">
        <v>0</v>
      </c>
      <c r="O190" t="n">
        <v>0</v>
      </c>
      <c r="P190" t="n">
        <v>0</v>
      </c>
      <c r="Q190" t="n">
        <v>1</v>
      </c>
      <c r="R190" s="2" t="inlineStr">
        <is>
          <t>Lavskrika</t>
        </is>
      </c>
      <c r="S190">
        <f>HYPERLINK("https://klasma.github.io/Logging_2039/artfynd/A 45202-2024 artfynd.xlsx", "A 45202-2024")</f>
        <v/>
      </c>
      <c r="T190">
        <f>HYPERLINK("https://klasma.github.io/Logging_2039/kartor/A 45202-2024 karta.png", "A 45202-2024")</f>
        <v/>
      </c>
      <c r="V190">
        <f>HYPERLINK("https://klasma.github.io/Logging_2039/klagomål/A 45202-2024 FSC-klagomål.docx", "A 45202-2024")</f>
        <v/>
      </c>
      <c r="W190">
        <f>HYPERLINK("https://klasma.github.io/Logging_2039/klagomålsmail/A 45202-2024 FSC-klagomål mail.docx", "A 45202-2024")</f>
        <v/>
      </c>
      <c r="X190">
        <f>HYPERLINK("https://klasma.github.io/Logging_2039/tillsyn/A 45202-2024 tillsynsbegäran.docx", "A 45202-2024")</f>
        <v/>
      </c>
      <c r="Y190">
        <f>HYPERLINK("https://klasma.github.io/Logging_2039/tillsynsmail/A 45202-2024 tillsynsbegäran mail.docx", "A 45202-2024")</f>
        <v/>
      </c>
      <c r="Z190">
        <f>HYPERLINK("https://klasma.github.io/Logging_2039/fåglar/A 45202-2024 prioriterade fågelarter.docx", "A 45202-2024")</f>
        <v/>
      </c>
    </row>
    <row r="191" ht="15" customHeight="1">
      <c r="A191" t="inlineStr">
        <is>
          <t>A 45201-2024</t>
        </is>
      </c>
      <c r="B191" s="1" t="n">
        <v>45575</v>
      </c>
      <c r="C191" s="1" t="n">
        <v>45824</v>
      </c>
      <c r="D191" t="inlineStr">
        <is>
          <t>DALARNAS LÄN</t>
        </is>
      </c>
      <c r="E191" t="inlineStr">
        <is>
          <t>ÄLVDALEN</t>
        </is>
      </c>
      <c r="G191" t="n">
        <v>24.6</v>
      </c>
      <c r="H191" t="n">
        <v>1</v>
      </c>
      <c r="I191" t="n">
        <v>0</v>
      </c>
      <c r="J191" t="n">
        <v>1</v>
      </c>
      <c r="K191" t="n">
        <v>0</v>
      </c>
      <c r="L191" t="n">
        <v>0</v>
      </c>
      <c r="M191" t="n">
        <v>0</v>
      </c>
      <c r="N191" t="n">
        <v>0</v>
      </c>
      <c r="O191" t="n">
        <v>1</v>
      </c>
      <c r="P191" t="n">
        <v>0</v>
      </c>
      <c r="Q191" t="n">
        <v>1</v>
      </c>
      <c r="R191" s="2" t="inlineStr">
        <is>
          <t>Varglav</t>
        </is>
      </c>
      <c r="S191">
        <f>HYPERLINK("https://klasma.github.io/Logging_2039/artfynd/A 45201-2024 artfynd.xlsx", "A 45201-2024")</f>
        <v/>
      </c>
      <c r="T191">
        <f>HYPERLINK("https://klasma.github.io/Logging_2039/kartor/A 45201-2024 karta.png", "A 45201-2024")</f>
        <v/>
      </c>
      <c r="V191">
        <f>HYPERLINK("https://klasma.github.io/Logging_2039/klagomål/A 45201-2024 FSC-klagomål.docx", "A 45201-2024")</f>
        <v/>
      </c>
      <c r="W191">
        <f>HYPERLINK("https://klasma.github.io/Logging_2039/klagomålsmail/A 45201-2024 FSC-klagomål mail.docx", "A 45201-2024")</f>
        <v/>
      </c>
      <c r="X191">
        <f>HYPERLINK("https://klasma.github.io/Logging_2039/tillsyn/A 45201-2024 tillsynsbegäran.docx", "A 45201-2024")</f>
        <v/>
      </c>
      <c r="Y191">
        <f>HYPERLINK("https://klasma.github.io/Logging_2039/tillsynsmail/A 45201-2024 tillsynsbegäran mail.docx", "A 45201-2024")</f>
        <v/>
      </c>
    </row>
    <row r="192" ht="15" customHeight="1">
      <c r="A192" t="inlineStr">
        <is>
          <t>A 50981-2024</t>
        </is>
      </c>
      <c r="B192" s="1" t="n">
        <v>45603</v>
      </c>
      <c r="C192" s="1" t="n">
        <v>45824</v>
      </c>
      <c r="D192" t="inlineStr">
        <is>
          <t>DALARNAS LÄN</t>
        </is>
      </c>
      <c r="E192" t="inlineStr">
        <is>
          <t>ÄLVDALEN</t>
        </is>
      </c>
      <c r="G192" t="n">
        <v>5.1</v>
      </c>
      <c r="H192" t="n">
        <v>0</v>
      </c>
      <c r="I192" t="n">
        <v>0</v>
      </c>
      <c r="J192" t="n">
        <v>1</v>
      </c>
      <c r="K192" t="n">
        <v>0</v>
      </c>
      <c r="L192" t="n">
        <v>0</v>
      </c>
      <c r="M192" t="n">
        <v>0</v>
      </c>
      <c r="N192" t="n">
        <v>0</v>
      </c>
      <c r="O192" t="n">
        <v>1</v>
      </c>
      <c r="P192" t="n">
        <v>0</v>
      </c>
      <c r="Q192" t="n">
        <v>1</v>
      </c>
      <c r="R192" s="2" t="inlineStr">
        <is>
          <t>Vedskivlav</t>
        </is>
      </c>
      <c r="S192">
        <f>HYPERLINK("https://klasma.github.io/Logging_2039/artfynd/A 50981-2024 artfynd.xlsx", "A 50981-2024")</f>
        <v/>
      </c>
      <c r="T192">
        <f>HYPERLINK("https://klasma.github.io/Logging_2039/kartor/A 50981-2024 karta.png", "A 50981-2024")</f>
        <v/>
      </c>
      <c r="V192">
        <f>HYPERLINK("https://klasma.github.io/Logging_2039/klagomål/A 50981-2024 FSC-klagomål.docx", "A 50981-2024")</f>
        <v/>
      </c>
      <c r="W192">
        <f>HYPERLINK("https://klasma.github.io/Logging_2039/klagomålsmail/A 50981-2024 FSC-klagomål mail.docx", "A 50981-2024")</f>
        <v/>
      </c>
      <c r="X192">
        <f>HYPERLINK("https://klasma.github.io/Logging_2039/tillsyn/A 50981-2024 tillsynsbegäran.docx", "A 50981-2024")</f>
        <v/>
      </c>
      <c r="Y192">
        <f>HYPERLINK("https://klasma.github.io/Logging_2039/tillsynsmail/A 50981-2024 tillsynsbegäran mail.docx", "A 50981-2024")</f>
        <v/>
      </c>
    </row>
    <row r="193" ht="15" customHeight="1">
      <c r="A193" t="inlineStr">
        <is>
          <t>A 662-2025</t>
        </is>
      </c>
      <c r="B193" s="1" t="n">
        <v>45664</v>
      </c>
      <c r="C193" s="1" t="n">
        <v>45824</v>
      </c>
      <c r="D193" t="inlineStr">
        <is>
          <t>DALARNAS LÄN</t>
        </is>
      </c>
      <c r="E193" t="inlineStr">
        <is>
          <t>ÄLVDALEN</t>
        </is>
      </c>
      <c r="G193" t="n">
        <v>20</v>
      </c>
      <c r="H193" t="n">
        <v>0</v>
      </c>
      <c r="I193" t="n">
        <v>0</v>
      </c>
      <c r="J193" t="n">
        <v>1</v>
      </c>
      <c r="K193" t="n">
        <v>0</v>
      </c>
      <c r="L193" t="n">
        <v>0</v>
      </c>
      <c r="M193" t="n">
        <v>0</v>
      </c>
      <c r="N193" t="n">
        <v>0</v>
      </c>
      <c r="O193" t="n">
        <v>1</v>
      </c>
      <c r="P193" t="n">
        <v>0</v>
      </c>
      <c r="Q193" t="n">
        <v>1</v>
      </c>
      <c r="R193" s="2" t="inlineStr">
        <is>
          <t>Garnlav</t>
        </is>
      </c>
      <c r="S193">
        <f>HYPERLINK("https://klasma.github.io/Logging_2039/artfynd/A 662-2025 artfynd.xlsx", "A 662-2025")</f>
        <v/>
      </c>
      <c r="T193">
        <f>HYPERLINK("https://klasma.github.io/Logging_2039/kartor/A 662-2025 karta.png", "A 662-2025")</f>
        <v/>
      </c>
      <c r="V193">
        <f>HYPERLINK("https://klasma.github.io/Logging_2039/klagomål/A 662-2025 FSC-klagomål.docx", "A 662-2025")</f>
        <v/>
      </c>
      <c r="W193">
        <f>HYPERLINK("https://klasma.github.io/Logging_2039/klagomålsmail/A 662-2025 FSC-klagomål mail.docx", "A 662-2025")</f>
        <v/>
      </c>
      <c r="X193">
        <f>HYPERLINK("https://klasma.github.io/Logging_2039/tillsyn/A 662-2025 tillsynsbegäran.docx", "A 662-2025")</f>
        <v/>
      </c>
      <c r="Y193">
        <f>HYPERLINK("https://klasma.github.io/Logging_2039/tillsynsmail/A 662-2025 tillsynsbegäran mail.docx", "A 662-2025")</f>
        <v/>
      </c>
    </row>
    <row r="194" ht="15" customHeight="1">
      <c r="A194" t="inlineStr">
        <is>
          <t>A 19338-2025</t>
        </is>
      </c>
      <c r="B194" s="1" t="n">
        <v>45769</v>
      </c>
      <c r="C194" s="1" t="n">
        <v>45824</v>
      </c>
      <c r="D194" t="inlineStr">
        <is>
          <t>DALARNAS LÄN</t>
        </is>
      </c>
      <c r="E194" t="inlineStr">
        <is>
          <t>ÄLVDALEN</t>
        </is>
      </c>
      <c r="F194" t="inlineStr">
        <is>
          <t>Sveaskog</t>
        </is>
      </c>
      <c r="G194" t="n">
        <v>5.5</v>
      </c>
      <c r="H194" t="n">
        <v>1</v>
      </c>
      <c r="I194" t="n">
        <v>0</v>
      </c>
      <c r="J194" t="n">
        <v>1</v>
      </c>
      <c r="K194" t="n">
        <v>0</v>
      </c>
      <c r="L194" t="n">
        <v>0</v>
      </c>
      <c r="M194" t="n">
        <v>0</v>
      </c>
      <c r="N194" t="n">
        <v>0</v>
      </c>
      <c r="O194" t="n">
        <v>1</v>
      </c>
      <c r="P194" t="n">
        <v>0</v>
      </c>
      <c r="Q194" t="n">
        <v>1</v>
      </c>
      <c r="R194" s="2" t="inlineStr">
        <is>
          <t>Varglav</t>
        </is>
      </c>
      <c r="S194">
        <f>HYPERLINK("https://klasma.github.io/Logging_202039/artfynd/A 19338-2025 artfynd.xlsx", "A 19338-2025")</f>
        <v/>
      </c>
      <c r="T194">
        <f>HYPERLINK("https://klasma.github.io/Logging_202039/kartor/A 19338-2025 karta.png", "A 19338-2025")</f>
        <v/>
      </c>
      <c r="V194">
        <f>HYPERLINK("https://klasma.github.io/Logging_202039/klagomål/A 19338-2025 FSC-klagomål.docx", "A 19338-2025")</f>
        <v/>
      </c>
      <c r="W194">
        <f>HYPERLINK("https://klasma.github.io/Logging_202039/klagomålsmail/A 19338-2025 FSC-klagomål mail.docx", "A 19338-2025")</f>
        <v/>
      </c>
      <c r="X194">
        <f>HYPERLINK("https://klasma.github.io/Logging_202039/tillsyn/A 19338-2025 tillsynsbegäran.docx", "A 19338-2025")</f>
        <v/>
      </c>
      <c r="Y194">
        <f>HYPERLINK("https://klasma.github.io/Logging_202039/tillsynsmail/A 19338-2025 tillsynsbegäran mail.docx", "A 19338-2025")</f>
        <v/>
      </c>
    </row>
    <row r="195" ht="15" customHeight="1">
      <c r="A195" t="inlineStr">
        <is>
          <t>A 19443-2025</t>
        </is>
      </c>
      <c r="B195" s="1" t="n">
        <v>45770</v>
      </c>
      <c r="C195" s="1" t="n">
        <v>45824</v>
      </c>
      <c r="D195" t="inlineStr">
        <is>
          <t>DALARNAS LÄN</t>
        </is>
      </c>
      <c r="E195" t="inlineStr">
        <is>
          <t>ÄLVDALEN</t>
        </is>
      </c>
      <c r="F195" t="inlineStr">
        <is>
          <t>Sveaskog</t>
        </is>
      </c>
      <c r="G195" t="n">
        <v>5.5</v>
      </c>
      <c r="H195" t="n">
        <v>1</v>
      </c>
      <c r="I195" t="n">
        <v>0</v>
      </c>
      <c r="J195" t="n">
        <v>1</v>
      </c>
      <c r="K195" t="n">
        <v>0</v>
      </c>
      <c r="L195" t="n">
        <v>0</v>
      </c>
      <c r="M195" t="n">
        <v>0</v>
      </c>
      <c r="N195" t="n">
        <v>0</v>
      </c>
      <c r="O195" t="n">
        <v>1</v>
      </c>
      <c r="P195" t="n">
        <v>0</v>
      </c>
      <c r="Q195" t="n">
        <v>1</v>
      </c>
      <c r="R195" s="2" t="inlineStr">
        <is>
          <t>Varglav</t>
        </is>
      </c>
      <c r="S195">
        <f>HYPERLINK("https://klasma.github.io/Logging_202039/artfynd/A 19443-2025 artfynd.xlsx", "A 19443-2025")</f>
        <v/>
      </c>
      <c r="T195">
        <f>HYPERLINK("https://klasma.github.io/Logging_202039/kartor/A 19443-2025 karta.png", "A 19443-2025")</f>
        <v/>
      </c>
      <c r="V195">
        <f>HYPERLINK("https://klasma.github.io/Logging_202039/klagomål/A 19443-2025 FSC-klagomål.docx", "A 19443-2025")</f>
        <v/>
      </c>
      <c r="W195">
        <f>HYPERLINK("https://klasma.github.io/Logging_202039/klagomålsmail/A 19443-2025 FSC-klagomål mail.docx", "A 19443-2025")</f>
        <v/>
      </c>
      <c r="X195">
        <f>HYPERLINK("https://klasma.github.io/Logging_202039/tillsyn/A 19443-2025 tillsynsbegäran.docx", "A 19443-2025")</f>
        <v/>
      </c>
      <c r="Y195">
        <f>HYPERLINK("https://klasma.github.io/Logging_202039/tillsynsmail/A 19443-2025 tillsynsbegäran mail.docx", "A 19443-2025")</f>
        <v/>
      </c>
    </row>
    <row r="196" ht="15" customHeight="1">
      <c r="A196" t="inlineStr">
        <is>
          <t>A 27929-2025</t>
        </is>
      </c>
      <c r="B196" s="1" t="n">
        <v>45817</v>
      </c>
      <c r="C196" s="1" t="n">
        <v>45824</v>
      </c>
      <c r="D196" t="inlineStr">
        <is>
          <t>DALARNAS LÄN</t>
        </is>
      </c>
      <c r="E196" t="inlineStr">
        <is>
          <t>ÄLVDALEN</t>
        </is>
      </c>
      <c r="F196" t="inlineStr">
        <is>
          <t>Sveaskog</t>
        </is>
      </c>
      <c r="G196" t="n">
        <v>2.7</v>
      </c>
      <c r="H196" t="n">
        <v>0</v>
      </c>
      <c r="I196" t="n">
        <v>1</v>
      </c>
      <c r="J196" t="n">
        <v>0</v>
      </c>
      <c r="K196" t="n">
        <v>0</v>
      </c>
      <c r="L196" t="n">
        <v>0</v>
      </c>
      <c r="M196" t="n">
        <v>0</v>
      </c>
      <c r="N196" t="n">
        <v>0</v>
      </c>
      <c r="O196" t="n">
        <v>0</v>
      </c>
      <c r="P196" t="n">
        <v>0</v>
      </c>
      <c r="Q196" t="n">
        <v>1</v>
      </c>
      <c r="R196" s="2" t="inlineStr">
        <is>
          <t>Dropptaggsvamp</t>
        </is>
      </c>
      <c r="S196">
        <f>HYPERLINK("https://klasma.github.io/Logging_202039/artfynd/A 27929-2025 artfynd.xlsx", "A 27929-2025")</f>
        <v/>
      </c>
      <c r="T196">
        <f>HYPERLINK("https://klasma.github.io/Logging_202039/kartor/A 27929-2025 karta.png", "A 27929-2025")</f>
        <v/>
      </c>
      <c r="V196">
        <f>HYPERLINK("https://klasma.github.io/Logging_202039/klagomål/A 27929-2025 FSC-klagomål.docx", "A 27929-2025")</f>
        <v/>
      </c>
      <c r="W196">
        <f>HYPERLINK("https://klasma.github.io/Logging_202039/klagomålsmail/A 27929-2025 FSC-klagomål mail.docx", "A 27929-2025")</f>
        <v/>
      </c>
      <c r="X196">
        <f>HYPERLINK("https://klasma.github.io/Logging_202039/tillsyn/A 27929-2025 tillsynsbegäran.docx", "A 27929-2025")</f>
        <v/>
      </c>
      <c r="Y196">
        <f>HYPERLINK("https://klasma.github.io/Logging_202039/tillsynsmail/A 27929-2025 tillsynsbegäran mail.docx", "A 27929-2025")</f>
        <v/>
      </c>
    </row>
    <row r="197" ht="15" customHeight="1">
      <c r="A197" t="inlineStr">
        <is>
          <t>A 27937-2025</t>
        </is>
      </c>
      <c r="B197" s="1" t="n">
        <v>45817</v>
      </c>
      <c r="C197" s="1" t="n">
        <v>45824</v>
      </c>
      <c r="D197" t="inlineStr">
        <is>
          <t>DALARNAS LÄN</t>
        </is>
      </c>
      <c r="E197" t="inlineStr">
        <is>
          <t>ÄLVDALEN</t>
        </is>
      </c>
      <c r="F197" t="inlineStr">
        <is>
          <t>Sveaskog</t>
        </is>
      </c>
      <c r="G197" t="n">
        <v>0.9</v>
      </c>
      <c r="H197" t="n">
        <v>0</v>
      </c>
      <c r="I197" t="n">
        <v>0</v>
      </c>
      <c r="J197" t="n">
        <v>1</v>
      </c>
      <c r="K197" t="n">
        <v>0</v>
      </c>
      <c r="L197" t="n">
        <v>0</v>
      </c>
      <c r="M197" t="n">
        <v>0</v>
      </c>
      <c r="N197" t="n">
        <v>0</v>
      </c>
      <c r="O197" t="n">
        <v>1</v>
      </c>
      <c r="P197" t="n">
        <v>0</v>
      </c>
      <c r="Q197" t="n">
        <v>1</v>
      </c>
      <c r="R197" s="2" t="inlineStr">
        <is>
          <t>Kolflarnlav</t>
        </is>
      </c>
      <c r="S197">
        <f>HYPERLINK("https://klasma.github.io/Logging_202039/artfynd/A 27937-2025 artfynd.xlsx", "A 27937-2025")</f>
        <v/>
      </c>
      <c r="T197">
        <f>HYPERLINK("https://klasma.github.io/Logging_202039/kartor/A 27937-2025 karta.png", "A 27937-2025")</f>
        <v/>
      </c>
      <c r="V197">
        <f>HYPERLINK("https://klasma.github.io/Logging_202039/klagomål/A 27937-2025 FSC-klagomål.docx", "A 27937-2025")</f>
        <v/>
      </c>
      <c r="W197">
        <f>HYPERLINK("https://klasma.github.io/Logging_202039/klagomålsmail/A 27937-2025 FSC-klagomål mail.docx", "A 27937-2025")</f>
        <v/>
      </c>
      <c r="X197">
        <f>HYPERLINK("https://klasma.github.io/Logging_202039/tillsyn/A 27937-2025 tillsynsbegäran.docx", "A 27937-2025")</f>
        <v/>
      </c>
      <c r="Y197">
        <f>HYPERLINK("https://klasma.github.io/Logging_202039/tillsynsmail/A 27937-2025 tillsynsbegäran mail.docx", "A 27937-2025")</f>
        <v/>
      </c>
    </row>
    <row r="198" ht="15" customHeight="1">
      <c r="A198" t="inlineStr">
        <is>
          <t>A 17751-2019</t>
        </is>
      </c>
      <c r="B198" s="1" t="n">
        <v>43556</v>
      </c>
      <c r="C198" s="1" t="n">
        <v>45824</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17741-2019</t>
        </is>
      </c>
      <c r="B199" s="1" t="n">
        <v>43556</v>
      </c>
      <c r="C199" s="1" t="n">
        <v>45824</v>
      </c>
      <c r="D199" t="inlineStr">
        <is>
          <t>DALARNAS LÄN</t>
        </is>
      </c>
      <c r="E199" t="inlineStr">
        <is>
          <t>ÄLVDALEN</t>
        </is>
      </c>
      <c r="G199" t="n">
        <v>2.3</v>
      </c>
      <c r="H199" t="n">
        <v>0</v>
      </c>
      <c r="I199" t="n">
        <v>0</v>
      </c>
      <c r="J199" t="n">
        <v>0</v>
      </c>
      <c r="K199" t="n">
        <v>0</v>
      </c>
      <c r="L199" t="n">
        <v>0</v>
      </c>
      <c r="M199" t="n">
        <v>0</v>
      </c>
      <c r="N199" t="n">
        <v>0</v>
      </c>
      <c r="O199" t="n">
        <v>0</v>
      </c>
      <c r="P199" t="n">
        <v>0</v>
      </c>
      <c r="Q199" t="n">
        <v>0</v>
      </c>
      <c r="R199" s="2" t="inlineStr"/>
    </row>
    <row r="200" ht="15" customHeight="1">
      <c r="A200" t="inlineStr">
        <is>
          <t>A 20104-2019</t>
        </is>
      </c>
      <c r="B200" s="1" t="n">
        <v>43570</v>
      </c>
      <c r="C200" s="1" t="n">
        <v>45824</v>
      </c>
      <c r="D200" t="inlineStr">
        <is>
          <t>DALARNAS LÄN</t>
        </is>
      </c>
      <c r="E200" t="inlineStr">
        <is>
          <t>ÄLVDALEN</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20004-2019</t>
        </is>
      </c>
      <c r="B201" s="1" t="n">
        <v>43570</v>
      </c>
      <c r="C201" s="1" t="n">
        <v>45824</v>
      </c>
      <c r="D201" t="inlineStr">
        <is>
          <t>DALARNAS LÄN</t>
        </is>
      </c>
      <c r="E201" t="inlineStr">
        <is>
          <t>ÄLVDALEN</t>
        </is>
      </c>
      <c r="G201" t="n">
        <v>2.2</v>
      </c>
      <c r="H201" t="n">
        <v>0</v>
      </c>
      <c r="I201" t="n">
        <v>0</v>
      </c>
      <c r="J201" t="n">
        <v>0</v>
      </c>
      <c r="K201" t="n">
        <v>0</v>
      </c>
      <c r="L201" t="n">
        <v>0</v>
      </c>
      <c r="M201" t="n">
        <v>0</v>
      </c>
      <c r="N201" t="n">
        <v>0</v>
      </c>
      <c r="O201" t="n">
        <v>0</v>
      </c>
      <c r="P201" t="n">
        <v>0</v>
      </c>
      <c r="Q201" t="n">
        <v>0</v>
      </c>
      <c r="R201" s="2" t="inlineStr"/>
    </row>
    <row r="202" ht="15" customHeight="1">
      <c r="A202" t="inlineStr">
        <is>
          <t>A 20948-2019</t>
        </is>
      </c>
      <c r="B202" s="1" t="n">
        <v>43578</v>
      </c>
      <c r="C202" s="1" t="n">
        <v>45824</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20962-2019</t>
        </is>
      </c>
      <c r="B203" s="1" t="n">
        <v>43578</v>
      </c>
      <c r="C203" s="1" t="n">
        <v>45824</v>
      </c>
      <c r="D203" t="inlineStr">
        <is>
          <t>DALARNAS LÄN</t>
        </is>
      </c>
      <c r="E203" t="inlineStr">
        <is>
          <t>ÄLVDALEN</t>
        </is>
      </c>
      <c r="G203" t="n">
        <v>1.4</v>
      </c>
      <c r="H203" t="n">
        <v>0</v>
      </c>
      <c r="I203" t="n">
        <v>0</v>
      </c>
      <c r="J203" t="n">
        <v>0</v>
      </c>
      <c r="K203" t="n">
        <v>0</v>
      </c>
      <c r="L203" t="n">
        <v>0</v>
      </c>
      <c r="M203" t="n">
        <v>0</v>
      </c>
      <c r="N203" t="n">
        <v>0</v>
      </c>
      <c r="O203" t="n">
        <v>0</v>
      </c>
      <c r="P203" t="n">
        <v>0</v>
      </c>
      <c r="Q203" t="n">
        <v>0</v>
      </c>
      <c r="R203" s="2" t="inlineStr"/>
    </row>
    <row r="204" ht="15" customHeight="1">
      <c r="A204" t="inlineStr">
        <is>
          <t>A 21717-2019</t>
        </is>
      </c>
      <c r="B204" s="1" t="n">
        <v>43581</v>
      </c>
      <c r="C204" s="1" t="n">
        <v>45824</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21969-2019</t>
        </is>
      </c>
      <c r="B205" s="1" t="n">
        <v>43584</v>
      </c>
      <c r="C205" s="1" t="n">
        <v>45824</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23360-2019</t>
        </is>
      </c>
      <c r="B206" s="1" t="n">
        <v>43593</v>
      </c>
      <c r="C206" s="1" t="n">
        <v>45824</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23946-2019</t>
        </is>
      </c>
      <c r="B207" s="1" t="n">
        <v>43596</v>
      </c>
      <c r="C207" s="1" t="n">
        <v>45824</v>
      </c>
      <c r="D207" t="inlineStr">
        <is>
          <t>DALARNAS LÄN</t>
        </is>
      </c>
      <c r="E207" t="inlineStr">
        <is>
          <t>ÄLVDALEN</t>
        </is>
      </c>
      <c r="G207" t="n">
        <v>3.6</v>
      </c>
      <c r="H207" t="n">
        <v>0</v>
      </c>
      <c r="I207" t="n">
        <v>0</v>
      </c>
      <c r="J207" t="n">
        <v>0</v>
      </c>
      <c r="K207" t="n">
        <v>0</v>
      </c>
      <c r="L207" t="n">
        <v>0</v>
      </c>
      <c r="M207" t="n">
        <v>0</v>
      </c>
      <c r="N207" t="n">
        <v>0</v>
      </c>
      <c r="O207" t="n">
        <v>0</v>
      </c>
      <c r="P207" t="n">
        <v>0</v>
      </c>
      <c r="Q207" t="n">
        <v>0</v>
      </c>
      <c r="R207" s="2" t="inlineStr"/>
    </row>
    <row r="208" ht="15" customHeight="1">
      <c r="A208" t="inlineStr">
        <is>
          <t>A 24651-2019</t>
        </is>
      </c>
      <c r="B208" s="1" t="n">
        <v>43601</v>
      </c>
      <c r="C208" s="1" t="n">
        <v>45824</v>
      </c>
      <c r="D208" t="inlineStr">
        <is>
          <t>DALARNAS LÄN</t>
        </is>
      </c>
      <c r="E208" t="inlineStr">
        <is>
          <t>ÄLVDALEN</t>
        </is>
      </c>
      <c r="G208" t="n">
        <v>10.1</v>
      </c>
      <c r="H208" t="n">
        <v>0</v>
      </c>
      <c r="I208" t="n">
        <v>0</v>
      </c>
      <c r="J208" t="n">
        <v>0</v>
      </c>
      <c r="K208" t="n">
        <v>0</v>
      </c>
      <c r="L208" t="n">
        <v>0</v>
      </c>
      <c r="M208" t="n">
        <v>0</v>
      </c>
      <c r="N208" t="n">
        <v>0</v>
      </c>
      <c r="O208" t="n">
        <v>0</v>
      </c>
      <c r="P208" t="n">
        <v>0</v>
      </c>
      <c r="Q208" t="n">
        <v>0</v>
      </c>
      <c r="R208" s="2" t="inlineStr"/>
    </row>
    <row r="209" ht="15" customHeight="1">
      <c r="A209" t="inlineStr">
        <is>
          <t>A 25001-2019</t>
        </is>
      </c>
      <c r="B209" s="1" t="n">
        <v>43602</v>
      </c>
      <c r="C209" s="1" t="n">
        <v>45824</v>
      </c>
      <c r="D209" t="inlineStr">
        <is>
          <t>DALARNAS LÄN</t>
        </is>
      </c>
      <c r="E209" t="inlineStr">
        <is>
          <t>ÄLVDALEN</t>
        </is>
      </c>
      <c r="F209" t="inlineStr">
        <is>
          <t>Kommuner</t>
        </is>
      </c>
      <c r="G209" t="n">
        <v>4.8</v>
      </c>
      <c r="H209" t="n">
        <v>0</v>
      </c>
      <c r="I209" t="n">
        <v>0</v>
      </c>
      <c r="J209" t="n">
        <v>0</v>
      </c>
      <c r="K209" t="n">
        <v>0</v>
      </c>
      <c r="L209" t="n">
        <v>0</v>
      </c>
      <c r="M209" t="n">
        <v>0</v>
      </c>
      <c r="N209" t="n">
        <v>0</v>
      </c>
      <c r="O209" t="n">
        <v>0</v>
      </c>
      <c r="P209" t="n">
        <v>0</v>
      </c>
      <c r="Q209" t="n">
        <v>0</v>
      </c>
      <c r="R209" s="2" t="inlineStr"/>
    </row>
    <row r="210" ht="15" customHeight="1">
      <c r="A210" t="inlineStr">
        <is>
          <t>A 26164-2019</t>
        </is>
      </c>
      <c r="B210" s="1" t="n">
        <v>43609</v>
      </c>
      <c r="C210" s="1" t="n">
        <v>45824</v>
      </c>
      <c r="D210" t="inlineStr">
        <is>
          <t>DALARNAS LÄN</t>
        </is>
      </c>
      <c r="E210" t="inlineStr">
        <is>
          <t>ÄLVDALEN</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26127-2019</t>
        </is>
      </c>
      <c r="B211" s="1" t="n">
        <v>43609</v>
      </c>
      <c r="C211" s="1" t="n">
        <v>45824</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27077-2019</t>
        </is>
      </c>
      <c r="B212" s="1" t="n">
        <v>43609</v>
      </c>
      <c r="C212" s="1" t="n">
        <v>45824</v>
      </c>
      <c r="D212" t="inlineStr">
        <is>
          <t>DALARNAS LÄN</t>
        </is>
      </c>
      <c r="E212" t="inlineStr">
        <is>
          <t>ÄLVDALEN</t>
        </is>
      </c>
      <c r="G212" t="n">
        <v>7.4</v>
      </c>
      <c r="H212" t="n">
        <v>0</v>
      </c>
      <c r="I212" t="n">
        <v>0</v>
      </c>
      <c r="J212" t="n">
        <v>0</v>
      </c>
      <c r="K212" t="n">
        <v>0</v>
      </c>
      <c r="L212" t="n">
        <v>0</v>
      </c>
      <c r="M212" t="n">
        <v>0</v>
      </c>
      <c r="N212" t="n">
        <v>0</v>
      </c>
      <c r="O212" t="n">
        <v>0</v>
      </c>
      <c r="P212" t="n">
        <v>0</v>
      </c>
      <c r="Q212" t="n">
        <v>0</v>
      </c>
      <c r="R212" s="2" t="inlineStr"/>
    </row>
    <row r="213" ht="15" customHeight="1">
      <c r="A213" t="inlineStr">
        <is>
          <t>A 26103-2019</t>
        </is>
      </c>
      <c r="B213" s="1" t="n">
        <v>43609</v>
      </c>
      <c r="C213" s="1" t="n">
        <v>45824</v>
      </c>
      <c r="D213" t="inlineStr">
        <is>
          <t>DALARNAS LÄN</t>
        </is>
      </c>
      <c r="E213" t="inlineStr">
        <is>
          <t>ÄLVDALEN</t>
        </is>
      </c>
      <c r="G213" t="n">
        <v>12.7</v>
      </c>
      <c r="H213" t="n">
        <v>0</v>
      </c>
      <c r="I213" t="n">
        <v>0</v>
      </c>
      <c r="J213" t="n">
        <v>0</v>
      </c>
      <c r="K213" t="n">
        <v>0</v>
      </c>
      <c r="L213" t="n">
        <v>0</v>
      </c>
      <c r="M213" t="n">
        <v>0</v>
      </c>
      <c r="N213" t="n">
        <v>0</v>
      </c>
      <c r="O213" t="n">
        <v>0</v>
      </c>
      <c r="P213" t="n">
        <v>0</v>
      </c>
      <c r="Q213" t="n">
        <v>0</v>
      </c>
      <c r="R213" s="2" t="inlineStr"/>
    </row>
    <row r="214" ht="15" customHeight="1">
      <c r="A214" t="inlineStr">
        <is>
          <t>A 26910-2019</t>
        </is>
      </c>
      <c r="B214" s="1" t="n">
        <v>43613</v>
      </c>
      <c r="C214" s="1" t="n">
        <v>45824</v>
      </c>
      <c r="D214" t="inlineStr">
        <is>
          <t>DALARNAS LÄN</t>
        </is>
      </c>
      <c r="E214" t="inlineStr">
        <is>
          <t>ÄLVDALEN</t>
        </is>
      </c>
      <c r="G214" t="n">
        <v>4.1</v>
      </c>
      <c r="H214" t="n">
        <v>0</v>
      </c>
      <c r="I214" t="n">
        <v>0</v>
      </c>
      <c r="J214" t="n">
        <v>0</v>
      </c>
      <c r="K214" t="n">
        <v>0</v>
      </c>
      <c r="L214" t="n">
        <v>0</v>
      </c>
      <c r="M214" t="n">
        <v>0</v>
      </c>
      <c r="N214" t="n">
        <v>0</v>
      </c>
      <c r="O214" t="n">
        <v>0</v>
      </c>
      <c r="P214" t="n">
        <v>0</v>
      </c>
      <c r="Q214" t="n">
        <v>0</v>
      </c>
      <c r="R214" s="2" t="inlineStr"/>
    </row>
    <row r="215" ht="15" customHeight="1">
      <c r="A215" t="inlineStr">
        <is>
          <t>A 27720-2019</t>
        </is>
      </c>
      <c r="B215" s="1" t="n">
        <v>43619</v>
      </c>
      <c r="C215" s="1" t="n">
        <v>45824</v>
      </c>
      <c r="D215" t="inlineStr">
        <is>
          <t>DALARNAS LÄN</t>
        </is>
      </c>
      <c r="E215" t="inlineStr">
        <is>
          <t>ÄLVDALEN</t>
        </is>
      </c>
      <c r="F215" t="inlineStr">
        <is>
          <t>Bergvik skog väst AB</t>
        </is>
      </c>
      <c r="G215" t="n">
        <v>12.4</v>
      </c>
      <c r="H215" t="n">
        <v>0</v>
      </c>
      <c r="I215" t="n">
        <v>0</v>
      </c>
      <c r="J215" t="n">
        <v>0</v>
      </c>
      <c r="K215" t="n">
        <v>0</v>
      </c>
      <c r="L215" t="n">
        <v>0</v>
      </c>
      <c r="M215" t="n">
        <v>0</v>
      </c>
      <c r="N215" t="n">
        <v>0</v>
      </c>
      <c r="O215" t="n">
        <v>0</v>
      </c>
      <c r="P215" t="n">
        <v>0</v>
      </c>
      <c r="Q215" t="n">
        <v>0</v>
      </c>
      <c r="R215" s="2" t="inlineStr"/>
    </row>
    <row r="216" ht="15" customHeight="1">
      <c r="A216" t="inlineStr">
        <is>
          <t>A 27691-2019</t>
        </is>
      </c>
      <c r="B216" s="1" t="n">
        <v>43619</v>
      </c>
      <c r="C216" s="1" t="n">
        <v>45824</v>
      </c>
      <c r="D216" t="inlineStr">
        <is>
          <t>DALARNAS LÄN</t>
        </is>
      </c>
      <c r="E216" t="inlineStr">
        <is>
          <t>ÄLVDALEN</t>
        </is>
      </c>
      <c r="G216" t="n">
        <v>3.1</v>
      </c>
      <c r="H216" t="n">
        <v>0</v>
      </c>
      <c r="I216" t="n">
        <v>0</v>
      </c>
      <c r="J216" t="n">
        <v>0</v>
      </c>
      <c r="K216" t="n">
        <v>0</v>
      </c>
      <c r="L216" t="n">
        <v>0</v>
      </c>
      <c r="M216" t="n">
        <v>0</v>
      </c>
      <c r="N216" t="n">
        <v>0</v>
      </c>
      <c r="O216" t="n">
        <v>0</v>
      </c>
      <c r="P216" t="n">
        <v>0</v>
      </c>
      <c r="Q216" t="n">
        <v>0</v>
      </c>
      <c r="R216" s="2" t="inlineStr"/>
    </row>
    <row r="217" ht="15" customHeight="1">
      <c r="A217" t="inlineStr">
        <is>
          <t>A 28350-2019</t>
        </is>
      </c>
      <c r="B217" s="1" t="n">
        <v>43624</v>
      </c>
      <c r="C217" s="1" t="n">
        <v>45824</v>
      </c>
      <c r="D217" t="inlineStr">
        <is>
          <t>DALARNAS LÄN</t>
        </is>
      </c>
      <c r="E217" t="inlineStr">
        <is>
          <t>ÄLVDALEN</t>
        </is>
      </c>
      <c r="G217" t="n">
        <v>18.2</v>
      </c>
      <c r="H217" t="n">
        <v>0</v>
      </c>
      <c r="I217" t="n">
        <v>0</v>
      </c>
      <c r="J217" t="n">
        <v>0</v>
      </c>
      <c r="K217" t="n">
        <v>0</v>
      </c>
      <c r="L217" t="n">
        <v>0</v>
      </c>
      <c r="M217" t="n">
        <v>0</v>
      </c>
      <c r="N217" t="n">
        <v>0</v>
      </c>
      <c r="O217" t="n">
        <v>0</v>
      </c>
      <c r="P217" t="n">
        <v>0</v>
      </c>
      <c r="Q217" t="n">
        <v>0</v>
      </c>
      <c r="R217" s="2" t="inlineStr"/>
    </row>
    <row r="218" ht="15" customHeight="1">
      <c r="A218" t="inlineStr">
        <is>
          <t>A 28536-2019</t>
        </is>
      </c>
      <c r="B218" s="1" t="n">
        <v>43626</v>
      </c>
      <c r="C218" s="1" t="n">
        <v>45824</v>
      </c>
      <c r="D218" t="inlineStr">
        <is>
          <t>DALARNAS LÄN</t>
        </is>
      </c>
      <c r="E218" t="inlineStr">
        <is>
          <t>ÄLVDALEN</t>
        </is>
      </c>
      <c r="G218" t="n">
        <v>6.4</v>
      </c>
      <c r="H218" t="n">
        <v>0</v>
      </c>
      <c r="I218" t="n">
        <v>0</v>
      </c>
      <c r="J218" t="n">
        <v>0</v>
      </c>
      <c r="K218" t="n">
        <v>0</v>
      </c>
      <c r="L218" t="n">
        <v>0</v>
      </c>
      <c r="M218" t="n">
        <v>0</v>
      </c>
      <c r="N218" t="n">
        <v>0</v>
      </c>
      <c r="O218" t="n">
        <v>0</v>
      </c>
      <c r="P218" t="n">
        <v>0</v>
      </c>
      <c r="Q218" t="n">
        <v>0</v>
      </c>
      <c r="R218" s="2" t="inlineStr"/>
    </row>
    <row r="219" ht="15" customHeight="1">
      <c r="A219" t="inlineStr">
        <is>
          <t>A 28544-2019</t>
        </is>
      </c>
      <c r="B219" s="1" t="n">
        <v>43626</v>
      </c>
      <c r="C219" s="1" t="n">
        <v>45824</v>
      </c>
      <c r="D219" t="inlineStr">
        <is>
          <t>DALARNAS LÄN</t>
        </is>
      </c>
      <c r="E219" t="inlineStr">
        <is>
          <t>ÄLVDALEN</t>
        </is>
      </c>
      <c r="G219" t="n">
        <v>4.3</v>
      </c>
      <c r="H219" t="n">
        <v>0</v>
      </c>
      <c r="I219" t="n">
        <v>0</v>
      </c>
      <c r="J219" t="n">
        <v>0</v>
      </c>
      <c r="K219" t="n">
        <v>0</v>
      </c>
      <c r="L219" t="n">
        <v>0</v>
      </c>
      <c r="M219" t="n">
        <v>0</v>
      </c>
      <c r="N219" t="n">
        <v>0</v>
      </c>
      <c r="O219" t="n">
        <v>0</v>
      </c>
      <c r="P219" t="n">
        <v>0</v>
      </c>
      <c r="Q219" t="n">
        <v>0</v>
      </c>
      <c r="R219" s="2" t="inlineStr"/>
    </row>
    <row r="220" ht="15" customHeight="1">
      <c r="A220" t="inlineStr">
        <is>
          <t>A 28527-2019</t>
        </is>
      </c>
      <c r="B220" s="1" t="n">
        <v>43626</v>
      </c>
      <c r="C220" s="1" t="n">
        <v>45824</v>
      </c>
      <c r="D220" t="inlineStr">
        <is>
          <t>DALARNAS LÄN</t>
        </is>
      </c>
      <c r="E220" t="inlineStr">
        <is>
          <t>ÄLVDALEN</t>
        </is>
      </c>
      <c r="G220" t="n">
        <v>1.6</v>
      </c>
      <c r="H220" t="n">
        <v>0</v>
      </c>
      <c r="I220" t="n">
        <v>0</v>
      </c>
      <c r="J220" t="n">
        <v>0</v>
      </c>
      <c r="K220" t="n">
        <v>0</v>
      </c>
      <c r="L220" t="n">
        <v>0</v>
      </c>
      <c r="M220" t="n">
        <v>0</v>
      </c>
      <c r="N220" t="n">
        <v>0</v>
      </c>
      <c r="O220" t="n">
        <v>0</v>
      </c>
      <c r="P220" t="n">
        <v>0</v>
      </c>
      <c r="Q220" t="n">
        <v>0</v>
      </c>
      <c r="R220" s="2" t="inlineStr"/>
    </row>
    <row r="221" ht="15" customHeight="1">
      <c r="A221" t="inlineStr">
        <is>
          <t>A 28549-2019</t>
        </is>
      </c>
      <c r="B221" s="1" t="n">
        <v>43626</v>
      </c>
      <c r="C221" s="1" t="n">
        <v>45824</v>
      </c>
      <c r="D221" t="inlineStr">
        <is>
          <t>DALARNAS LÄN</t>
        </is>
      </c>
      <c r="E221" t="inlineStr">
        <is>
          <t>ÄLVDALEN</t>
        </is>
      </c>
      <c r="G221" t="n">
        <v>10.5</v>
      </c>
      <c r="H221" t="n">
        <v>0</v>
      </c>
      <c r="I221" t="n">
        <v>0</v>
      </c>
      <c r="J221" t="n">
        <v>0</v>
      </c>
      <c r="K221" t="n">
        <v>0</v>
      </c>
      <c r="L221" t="n">
        <v>0</v>
      </c>
      <c r="M221" t="n">
        <v>0</v>
      </c>
      <c r="N221" t="n">
        <v>0</v>
      </c>
      <c r="O221" t="n">
        <v>0</v>
      </c>
      <c r="P221" t="n">
        <v>0</v>
      </c>
      <c r="Q221" t="n">
        <v>0</v>
      </c>
      <c r="R221" s="2" t="inlineStr"/>
    </row>
    <row r="222" ht="15" customHeight="1">
      <c r="A222" t="inlineStr">
        <is>
          <t>A 28965-2019</t>
        </is>
      </c>
      <c r="B222" s="1" t="n">
        <v>43628</v>
      </c>
      <c r="C222" s="1" t="n">
        <v>45824</v>
      </c>
      <c r="D222" t="inlineStr">
        <is>
          <t>DALARNAS LÄN</t>
        </is>
      </c>
      <c r="E222" t="inlineStr">
        <is>
          <t>ÄLVDALEN</t>
        </is>
      </c>
      <c r="G222" t="n">
        <v>3.1</v>
      </c>
      <c r="H222" t="n">
        <v>0</v>
      </c>
      <c r="I222" t="n">
        <v>0</v>
      </c>
      <c r="J222" t="n">
        <v>0</v>
      </c>
      <c r="K222" t="n">
        <v>0</v>
      </c>
      <c r="L222" t="n">
        <v>0</v>
      </c>
      <c r="M222" t="n">
        <v>0</v>
      </c>
      <c r="N222" t="n">
        <v>0</v>
      </c>
      <c r="O222" t="n">
        <v>0</v>
      </c>
      <c r="P222" t="n">
        <v>0</v>
      </c>
      <c r="Q222" t="n">
        <v>0</v>
      </c>
      <c r="R222" s="2" t="inlineStr"/>
    </row>
    <row r="223" ht="15" customHeight="1">
      <c r="A223" t="inlineStr">
        <is>
          <t>A 30506-2019</t>
        </is>
      </c>
      <c r="B223" s="1" t="n">
        <v>43635</v>
      </c>
      <c r="C223" s="1" t="n">
        <v>45824</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32347-2019</t>
        </is>
      </c>
      <c r="B224" s="1" t="n">
        <v>43644</v>
      </c>
      <c r="C224" s="1" t="n">
        <v>45824</v>
      </c>
      <c r="D224" t="inlineStr">
        <is>
          <t>DALARNAS LÄN</t>
        </is>
      </c>
      <c r="E224" t="inlineStr">
        <is>
          <t>ÄLVDALEN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32357-2019</t>
        </is>
      </c>
      <c r="B225" s="1" t="n">
        <v>43644</v>
      </c>
      <c r="C225" s="1" t="n">
        <v>45824</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32359-2019</t>
        </is>
      </c>
      <c r="B226" s="1" t="n">
        <v>43644</v>
      </c>
      <c r="C226" s="1" t="n">
        <v>45824</v>
      </c>
      <c r="D226" t="inlineStr">
        <is>
          <t>DALARNAS LÄN</t>
        </is>
      </c>
      <c r="E226" t="inlineStr">
        <is>
          <t>ÄLVDALEN</t>
        </is>
      </c>
      <c r="G226" t="n">
        <v>0.7</v>
      </c>
      <c r="H226" t="n">
        <v>0</v>
      </c>
      <c r="I226" t="n">
        <v>0</v>
      </c>
      <c r="J226" t="n">
        <v>0</v>
      </c>
      <c r="K226" t="n">
        <v>0</v>
      </c>
      <c r="L226" t="n">
        <v>0</v>
      </c>
      <c r="M226" t="n">
        <v>0</v>
      </c>
      <c r="N226" t="n">
        <v>0</v>
      </c>
      <c r="O226" t="n">
        <v>0</v>
      </c>
      <c r="P226" t="n">
        <v>0</v>
      </c>
      <c r="Q226" t="n">
        <v>0</v>
      </c>
      <c r="R226" s="2" t="inlineStr"/>
    </row>
    <row r="227" ht="15" customHeight="1">
      <c r="A227" t="inlineStr">
        <is>
          <t>A 32670-2019</t>
        </is>
      </c>
      <c r="B227" s="1" t="n">
        <v>43647</v>
      </c>
      <c r="C227" s="1" t="n">
        <v>45824</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35529-2019</t>
        </is>
      </c>
      <c r="B228" s="1" t="n">
        <v>43654</v>
      </c>
      <c r="C228" s="1" t="n">
        <v>45824</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34550-2019</t>
        </is>
      </c>
      <c r="B229" s="1" t="n">
        <v>43657</v>
      </c>
      <c r="C229" s="1" t="n">
        <v>45824</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36080-2019</t>
        </is>
      </c>
      <c r="B230" s="1" t="n">
        <v>43657</v>
      </c>
      <c r="C230" s="1" t="n">
        <v>45824</v>
      </c>
      <c r="D230" t="inlineStr">
        <is>
          <t>DALARNAS LÄN</t>
        </is>
      </c>
      <c r="E230" t="inlineStr">
        <is>
          <t>ÄLVDALEN</t>
        </is>
      </c>
      <c r="G230" t="n">
        <v>1.7</v>
      </c>
      <c r="H230" t="n">
        <v>0</v>
      </c>
      <c r="I230" t="n">
        <v>0</v>
      </c>
      <c r="J230" t="n">
        <v>0</v>
      </c>
      <c r="K230" t="n">
        <v>0</v>
      </c>
      <c r="L230" t="n">
        <v>0</v>
      </c>
      <c r="M230" t="n">
        <v>0</v>
      </c>
      <c r="N230" t="n">
        <v>0</v>
      </c>
      <c r="O230" t="n">
        <v>0</v>
      </c>
      <c r="P230" t="n">
        <v>0</v>
      </c>
      <c r="Q230" t="n">
        <v>0</v>
      </c>
      <c r="R230" s="2" t="inlineStr"/>
    </row>
    <row r="231" ht="15" customHeight="1">
      <c r="A231" t="inlineStr">
        <is>
          <t>A 35136-2019</t>
        </is>
      </c>
      <c r="B231" s="1" t="n">
        <v>43661</v>
      </c>
      <c r="C231" s="1" t="n">
        <v>45824</v>
      </c>
      <c r="D231" t="inlineStr">
        <is>
          <t>DALARNAS LÄN</t>
        </is>
      </c>
      <c r="E231" t="inlineStr">
        <is>
          <t>ÄLVDALEN</t>
        </is>
      </c>
      <c r="G231" t="n">
        <v>0.8</v>
      </c>
      <c r="H231" t="n">
        <v>0</v>
      </c>
      <c r="I231" t="n">
        <v>0</v>
      </c>
      <c r="J231" t="n">
        <v>0</v>
      </c>
      <c r="K231" t="n">
        <v>0</v>
      </c>
      <c r="L231" t="n">
        <v>0</v>
      </c>
      <c r="M231" t="n">
        <v>0</v>
      </c>
      <c r="N231" t="n">
        <v>0</v>
      </c>
      <c r="O231" t="n">
        <v>0</v>
      </c>
      <c r="P231" t="n">
        <v>0</v>
      </c>
      <c r="Q231" t="n">
        <v>0</v>
      </c>
      <c r="R231" s="2" t="inlineStr"/>
    </row>
    <row r="232" ht="15" customHeight="1">
      <c r="A232" t="inlineStr">
        <is>
          <t>A 35463-2019</t>
        </is>
      </c>
      <c r="B232" s="1" t="n">
        <v>43663</v>
      </c>
      <c r="C232" s="1" t="n">
        <v>45824</v>
      </c>
      <c r="D232" t="inlineStr">
        <is>
          <t>DALARNAS LÄN</t>
        </is>
      </c>
      <c r="E232" t="inlineStr">
        <is>
          <t>ÄLVDALEN</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35457-2019</t>
        </is>
      </c>
      <c r="B233" s="1" t="n">
        <v>43663</v>
      </c>
      <c r="C233" s="1" t="n">
        <v>45824</v>
      </c>
      <c r="D233" t="inlineStr">
        <is>
          <t>DALARNAS LÄN</t>
        </is>
      </c>
      <c r="E233" t="inlineStr">
        <is>
          <t>ÄLVDALEN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35458-2019</t>
        </is>
      </c>
      <c r="B234" s="1" t="n">
        <v>43663</v>
      </c>
      <c r="C234" s="1" t="n">
        <v>45824</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35609-2019</t>
        </is>
      </c>
      <c r="B235" s="1" t="n">
        <v>43664</v>
      </c>
      <c r="C235" s="1" t="n">
        <v>45824</v>
      </c>
      <c r="D235" t="inlineStr">
        <is>
          <t>DALARNAS LÄN</t>
        </is>
      </c>
      <c r="E235" t="inlineStr">
        <is>
          <t>ÄLVDALEN</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35708-2019</t>
        </is>
      </c>
      <c r="B236" s="1" t="n">
        <v>43664</v>
      </c>
      <c r="C236" s="1" t="n">
        <v>45824</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35707-2019</t>
        </is>
      </c>
      <c r="B237" s="1" t="n">
        <v>43664</v>
      </c>
      <c r="C237" s="1" t="n">
        <v>45824</v>
      </c>
      <c r="D237" t="inlineStr">
        <is>
          <t>DALARNAS LÄN</t>
        </is>
      </c>
      <c r="E237" t="inlineStr">
        <is>
          <t>ÄLVDALEN</t>
        </is>
      </c>
      <c r="G237" t="n">
        <v>4.8</v>
      </c>
      <c r="H237" t="n">
        <v>0</v>
      </c>
      <c r="I237" t="n">
        <v>0</v>
      </c>
      <c r="J237" t="n">
        <v>0</v>
      </c>
      <c r="K237" t="n">
        <v>0</v>
      </c>
      <c r="L237" t="n">
        <v>0</v>
      </c>
      <c r="M237" t="n">
        <v>0</v>
      </c>
      <c r="N237" t="n">
        <v>0</v>
      </c>
      <c r="O237" t="n">
        <v>0</v>
      </c>
      <c r="P237" t="n">
        <v>0</v>
      </c>
      <c r="Q237" t="n">
        <v>0</v>
      </c>
      <c r="R237" s="2" t="inlineStr"/>
    </row>
    <row r="238" ht="15" customHeight="1">
      <c r="A238" t="inlineStr">
        <is>
          <t>A 36482-2019</t>
        </is>
      </c>
      <c r="B238" s="1" t="n">
        <v>43668</v>
      </c>
      <c r="C238" s="1" t="n">
        <v>45824</v>
      </c>
      <c r="D238" t="inlineStr">
        <is>
          <t>DALARNAS LÄN</t>
        </is>
      </c>
      <c r="E238" t="inlineStr">
        <is>
          <t>ÄLVDALEN</t>
        </is>
      </c>
      <c r="G238" t="n">
        <v>3</v>
      </c>
      <c r="H238" t="n">
        <v>0</v>
      </c>
      <c r="I238" t="n">
        <v>0</v>
      </c>
      <c r="J238" t="n">
        <v>0</v>
      </c>
      <c r="K238" t="n">
        <v>0</v>
      </c>
      <c r="L238" t="n">
        <v>0</v>
      </c>
      <c r="M238" t="n">
        <v>0</v>
      </c>
      <c r="N238" t="n">
        <v>0</v>
      </c>
      <c r="O238" t="n">
        <v>0</v>
      </c>
      <c r="P238" t="n">
        <v>0</v>
      </c>
      <c r="Q238" t="n">
        <v>0</v>
      </c>
      <c r="R238" s="2" t="inlineStr"/>
    </row>
    <row r="239" ht="15" customHeight="1">
      <c r="A239" t="inlineStr">
        <is>
          <t>A 36063-2019</t>
        </is>
      </c>
      <c r="B239" s="1" t="n">
        <v>43668</v>
      </c>
      <c r="C239" s="1" t="n">
        <v>45824</v>
      </c>
      <c r="D239" t="inlineStr">
        <is>
          <t>DALARNAS LÄN</t>
        </is>
      </c>
      <c r="E239" t="inlineStr">
        <is>
          <t>ÄLVDALEN</t>
        </is>
      </c>
      <c r="G239" t="n">
        <v>2.2</v>
      </c>
      <c r="H239" t="n">
        <v>0</v>
      </c>
      <c r="I239" t="n">
        <v>0</v>
      </c>
      <c r="J239" t="n">
        <v>0</v>
      </c>
      <c r="K239" t="n">
        <v>0</v>
      </c>
      <c r="L239" t="n">
        <v>0</v>
      </c>
      <c r="M239" t="n">
        <v>0</v>
      </c>
      <c r="N239" t="n">
        <v>0</v>
      </c>
      <c r="O239" t="n">
        <v>0</v>
      </c>
      <c r="P239" t="n">
        <v>0</v>
      </c>
      <c r="Q239" t="n">
        <v>0</v>
      </c>
      <c r="R239" s="2" t="inlineStr"/>
    </row>
    <row r="240" ht="15" customHeight="1">
      <c r="A240" t="inlineStr">
        <is>
          <t>A 37645-2019</t>
        </is>
      </c>
      <c r="B240" s="1" t="n">
        <v>43682</v>
      </c>
      <c r="C240" s="1" t="n">
        <v>45824</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37939-2019</t>
        </is>
      </c>
      <c r="B241" s="1" t="n">
        <v>43683</v>
      </c>
      <c r="C241" s="1" t="n">
        <v>45824</v>
      </c>
      <c r="D241" t="inlineStr">
        <is>
          <t>DALARNAS LÄN</t>
        </is>
      </c>
      <c r="E241" t="inlineStr">
        <is>
          <t>ÄLVDALEN</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37991-2019</t>
        </is>
      </c>
      <c r="B242" s="1" t="n">
        <v>43683</v>
      </c>
      <c r="C242" s="1" t="n">
        <v>45824</v>
      </c>
      <c r="D242" t="inlineStr">
        <is>
          <t>DALARNAS LÄN</t>
        </is>
      </c>
      <c r="E242" t="inlineStr">
        <is>
          <t>ÄLVDALEN</t>
        </is>
      </c>
      <c r="G242" t="n">
        <v>5.8</v>
      </c>
      <c r="H242" t="n">
        <v>0</v>
      </c>
      <c r="I242" t="n">
        <v>0</v>
      </c>
      <c r="J242" t="n">
        <v>0</v>
      </c>
      <c r="K242" t="n">
        <v>0</v>
      </c>
      <c r="L242" t="n">
        <v>0</v>
      </c>
      <c r="M242" t="n">
        <v>0</v>
      </c>
      <c r="N242" t="n">
        <v>0</v>
      </c>
      <c r="O242" t="n">
        <v>0</v>
      </c>
      <c r="P242" t="n">
        <v>0</v>
      </c>
      <c r="Q242" t="n">
        <v>0</v>
      </c>
      <c r="R242" s="2" t="inlineStr"/>
    </row>
    <row r="243" ht="15" customHeight="1">
      <c r="A243" t="inlineStr">
        <is>
          <t>A 38039-2019</t>
        </is>
      </c>
      <c r="B243" s="1" t="n">
        <v>43683</v>
      </c>
      <c r="C243" s="1" t="n">
        <v>45824</v>
      </c>
      <c r="D243" t="inlineStr">
        <is>
          <t>DALARNAS LÄN</t>
        </is>
      </c>
      <c r="E243" t="inlineStr">
        <is>
          <t>ÄLVDALEN</t>
        </is>
      </c>
      <c r="F243" t="inlineStr">
        <is>
          <t>Övriga statliga verk och myndigheter</t>
        </is>
      </c>
      <c r="G243" t="n">
        <v>3.6</v>
      </c>
      <c r="H243" t="n">
        <v>0</v>
      </c>
      <c r="I243" t="n">
        <v>0</v>
      </c>
      <c r="J243" t="n">
        <v>0</v>
      </c>
      <c r="K243" t="n">
        <v>0</v>
      </c>
      <c r="L243" t="n">
        <v>0</v>
      </c>
      <c r="M243" t="n">
        <v>0</v>
      </c>
      <c r="N243" t="n">
        <v>0</v>
      </c>
      <c r="O243" t="n">
        <v>0</v>
      </c>
      <c r="P243" t="n">
        <v>0</v>
      </c>
      <c r="Q243" t="n">
        <v>0</v>
      </c>
      <c r="R243" s="2" t="inlineStr"/>
    </row>
    <row r="244" ht="15" customHeight="1">
      <c r="A244" t="inlineStr">
        <is>
          <t>A 38021-2019</t>
        </is>
      </c>
      <c r="B244" s="1" t="n">
        <v>43683</v>
      </c>
      <c r="C244" s="1" t="n">
        <v>45824</v>
      </c>
      <c r="D244" t="inlineStr">
        <is>
          <t>DALARNAS LÄN</t>
        </is>
      </c>
      <c r="E244" t="inlineStr">
        <is>
          <t>ÄLVDALEN</t>
        </is>
      </c>
      <c r="F244" t="inlineStr">
        <is>
          <t>Övriga statliga verk och myndigheter</t>
        </is>
      </c>
      <c r="G244" t="n">
        <v>4.7</v>
      </c>
      <c r="H244" t="n">
        <v>0</v>
      </c>
      <c r="I244" t="n">
        <v>0</v>
      </c>
      <c r="J244" t="n">
        <v>0</v>
      </c>
      <c r="K244" t="n">
        <v>0</v>
      </c>
      <c r="L244" t="n">
        <v>0</v>
      </c>
      <c r="M244" t="n">
        <v>0</v>
      </c>
      <c r="N244" t="n">
        <v>0</v>
      </c>
      <c r="O244" t="n">
        <v>0</v>
      </c>
      <c r="P244" t="n">
        <v>0</v>
      </c>
      <c r="Q244" t="n">
        <v>0</v>
      </c>
      <c r="R244" s="2" t="inlineStr"/>
    </row>
    <row r="245" ht="15" customHeight="1">
      <c r="A245" t="inlineStr">
        <is>
          <t>A 38864-2019</t>
        </is>
      </c>
      <c r="B245" s="1" t="n">
        <v>43689</v>
      </c>
      <c r="C245" s="1" t="n">
        <v>45824</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41242-2019</t>
        </is>
      </c>
      <c r="B246" s="1" t="n">
        <v>43698</v>
      </c>
      <c r="C246" s="1" t="n">
        <v>45824</v>
      </c>
      <c r="D246" t="inlineStr">
        <is>
          <t>DALARNAS LÄN</t>
        </is>
      </c>
      <c r="E246" t="inlineStr">
        <is>
          <t>ÄLVDALEN</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43540-2019</t>
        </is>
      </c>
      <c r="B247" s="1" t="n">
        <v>43706</v>
      </c>
      <c r="C247" s="1" t="n">
        <v>45824</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43543-2019</t>
        </is>
      </c>
      <c r="B248" s="1" t="n">
        <v>43706</v>
      </c>
      <c r="C248" s="1" t="n">
        <v>45824</v>
      </c>
      <c r="D248" t="inlineStr">
        <is>
          <t>DALARNAS LÄN</t>
        </is>
      </c>
      <c r="E248" t="inlineStr">
        <is>
          <t>ÄLVDALEN</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46240-2019</t>
        </is>
      </c>
      <c r="B249" s="1" t="n">
        <v>43714</v>
      </c>
      <c r="C249" s="1" t="n">
        <v>45824</v>
      </c>
      <c r="D249" t="inlineStr">
        <is>
          <t>DALARNAS LÄN</t>
        </is>
      </c>
      <c r="E249" t="inlineStr">
        <is>
          <t>ÄLVDALEN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49014-2019</t>
        </is>
      </c>
      <c r="B250" s="1" t="n">
        <v>43731</v>
      </c>
      <c r="C250" s="1" t="n">
        <v>45824</v>
      </c>
      <c r="D250" t="inlineStr">
        <is>
          <t>DALARNAS LÄN</t>
        </is>
      </c>
      <c r="E250" t="inlineStr">
        <is>
          <t>ÄLVDALEN</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49230-2019</t>
        </is>
      </c>
      <c r="B251" s="1" t="n">
        <v>43731</v>
      </c>
      <c r="C251" s="1" t="n">
        <v>45824</v>
      </c>
      <c r="D251" t="inlineStr">
        <is>
          <t>DALARNAS LÄN</t>
        </is>
      </c>
      <c r="E251" t="inlineStr">
        <is>
          <t>ÄLVDALEN</t>
        </is>
      </c>
      <c r="F251" t="inlineStr">
        <is>
          <t>Allmännings- och besparingsskogar</t>
        </is>
      </c>
      <c r="G251" t="n">
        <v>11.9</v>
      </c>
      <c r="H251" t="n">
        <v>0</v>
      </c>
      <c r="I251" t="n">
        <v>0</v>
      </c>
      <c r="J251" t="n">
        <v>0</v>
      </c>
      <c r="K251" t="n">
        <v>0</v>
      </c>
      <c r="L251" t="n">
        <v>0</v>
      </c>
      <c r="M251" t="n">
        <v>0</v>
      </c>
      <c r="N251" t="n">
        <v>0</v>
      </c>
      <c r="O251" t="n">
        <v>0</v>
      </c>
      <c r="P251" t="n">
        <v>0</v>
      </c>
      <c r="Q251" t="n">
        <v>0</v>
      </c>
      <c r="R251" s="2" t="inlineStr"/>
    </row>
    <row r="252" ht="15" customHeight="1">
      <c r="A252" t="inlineStr">
        <is>
          <t>A 50431-2019</t>
        </is>
      </c>
      <c r="B252" s="1" t="n">
        <v>43735</v>
      </c>
      <c r="C252" s="1" t="n">
        <v>45824</v>
      </c>
      <c r="D252" t="inlineStr">
        <is>
          <t>DALARNAS LÄN</t>
        </is>
      </c>
      <c r="E252" t="inlineStr">
        <is>
          <t>ÄLVDALEN</t>
        </is>
      </c>
      <c r="G252" t="n">
        <v>2.5</v>
      </c>
      <c r="H252" t="n">
        <v>0</v>
      </c>
      <c r="I252" t="n">
        <v>0</v>
      </c>
      <c r="J252" t="n">
        <v>0</v>
      </c>
      <c r="K252" t="n">
        <v>0</v>
      </c>
      <c r="L252" t="n">
        <v>0</v>
      </c>
      <c r="M252" t="n">
        <v>0</v>
      </c>
      <c r="N252" t="n">
        <v>0</v>
      </c>
      <c r="O252" t="n">
        <v>0</v>
      </c>
      <c r="P252" t="n">
        <v>0</v>
      </c>
      <c r="Q252" t="n">
        <v>0</v>
      </c>
      <c r="R252" s="2" t="inlineStr"/>
    </row>
    <row r="253" ht="15" customHeight="1">
      <c r="A253" t="inlineStr">
        <is>
          <t>A 50669-2019</t>
        </is>
      </c>
      <c r="B253" s="1" t="n">
        <v>43737</v>
      </c>
      <c r="C253" s="1" t="n">
        <v>45824</v>
      </c>
      <c r="D253" t="inlineStr">
        <is>
          <t>DALARNAS LÄN</t>
        </is>
      </c>
      <c r="E253" t="inlineStr">
        <is>
          <t>ÄLVDALEN</t>
        </is>
      </c>
      <c r="G253" t="n">
        <v>6.1</v>
      </c>
      <c r="H253" t="n">
        <v>0</v>
      </c>
      <c r="I253" t="n">
        <v>0</v>
      </c>
      <c r="J253" t="n">
        <v>0</v>
      </c>
      <c r="K253" t="n">
        <v>0</v>
      </c>
      <c r="L253" t="n">
        <v>0</v>
      </c>
      <c r="M253" t="n">
        <v>0</v>
      </c>
      <c r="N253" t="n">
        <v>0</v>
      </c>
      <c r="O253" t="n">
        <v>0</v>
      </c>
      <c r="P253" t="n">
        <v>0</v>
      </c>
      <c r="Q253" t="n">
        <v>0</v>
      </c>
      <c r="R253" s="2" t="inlineStr"/>
    </row>
    <row r="254" ht="15" customHeight="1">
      <c r="A254" t="inlineStr">
        <is>
          <t>A 50670-2019</t>
        </is>
      </c>
      <c r="B254" s="1" t="n">
        <v>43738</v>
      </c>
      <c r="C254" s="1" t="n">
        <v>45824</v>
      </c>
      <c r="D254" t="inlineStr">
        <is>
          <t>DALARNAS LÄN</t>
        </is>
      </c>
      <c r="E254" t="inlineStr">
        <is>
          <t>ÄLVDALEN</t>
        </is>
      </c>
      <c r="G254" t="n">
        <v>8.1</v>
      </c>
      <c r="H254" t="n">
        <v>0</v>
      </c>
      <c r="I254" t="n">
        <v>0</v>
      </c>
      <c r="J254" t="n">
        <v>0</v>
      </c>
      <c r="K254" t="n">
        <v>0</v>
      </c>
      <c r="L254" t="n">
        <v>0</v>
      </c>
      <c r="M254" t="n">
        <v>0</v>
      </c>
      <c r="N254" t="n">
        <v>0</v>
      </c>
      <c r="O254" t="n">
        <v>0</v>
      </c>
      <c r="P254" t="n">
        <v>0</v>
      </c>
      <c r="Q254" t="n">
        <v>0</v>
      </c>
      <c r="R254" s="2" t="inlineStr"/>
    </row>
    <row r="255" ht="15" customHeight="1">
      <c r="A255" t="inlineStr">
        <is>
          <t>A 51354-2019</t>
        </is>
      </c>
      <c r="B255" s="1" t="n">
        <v>43740</v>
      </c>
      <c r="C255" s="1" t="n">
        <v>45824</v>
      </c>
      <c r="D255" t="inlineStr">
        <is>
          <t>DALARNAS LÄN</t>
        </is>
      </c>
      <c r="E255" t="inlineStr">
        <is>
          <t>ÄLVDALEN</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51798-2019</t>
        </is>
      </c>
      <c r="B256" s="1" t="n">
        <v>43741</v>
      </c>
      <c r="C256" s="1" t="n">
        <v>45824</v>
      </c>
      <c r="D256" t="inlineStr">
        <is>
          <t>DALARNAS LÄN</t>
        </is>
      </c>
      <c r="E256" t="inlineStr">
        <is>
          <t>ÄLVDALEN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52131-2019</t>
        </is>
      </c>
      <c r="B257" s="1" t="n">
        <v>43742</v>
      </c>
      <c r="C257" s="1" t="n">
        <v>45824</v>
      </c>
      <c r="D257" t="inlineStr">
        <is>
          <t>DALARNAS LÄN</t>
        </is>
      </c>
      <c r="E257" t="inlineStr">
        <is>
          <t>ÄLVDALEN</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52466-2019</t>
        </is>
      </c>
      <c r="B258" s="1" t="n">
        <v>43745</v>
      </c>
      <c r="C258" s="1" t="n">
        <v>45824</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55649-2019</t>
        </is>
      </c>
      <c r="B259" s="1" t="n">
        <v>43760</v>
      </c>
      <c r="C259" s="1" t="n">
        <v>45824</v>
      </c>
      <c r="D259" t="inlineStr">
        <is>
          <t>DALARNAS LÄN</t>
        </is>
      </c>
      <c r="E259" t="inlineStr">
        <is>
          <t>ÄLVDALEN</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59488-2019</t>
        </is>
      </c>
      <c r="B260" s="1" t="n">
        <v>43776</v>
      </c>
      <c r="C260" s="1" t="n">
        <v>45824</v>
      </c>
      <c r="D260" t="inlineStr">
        <is>
          <t>DALARNAS LÄN</t>
        </is>
      </c>
      <c r="E260" t="inlineStr">
        <is>
          <t>ÄLVDALEN</t>
        </is>
      </c>
      <c r="F260" t="inlineStr">
        <is>
          <t>Bergvik skog väst AB</t>
        </is>
      </c>
      <c r="G260" t="n">
        <v>7.2</v>
      </c>
      <c r="H260" t="n">
        <v>0</v>
      </c>
      <c r="I260" t="n">
        <v>0</v>
      </c>
      <c r="J260" t="n">
        <v>0</v>
      </c>
      <c r="K260" t="n">
        <v>0</v>
      </c>
      <c r="L260" t="n">
        <v>0</v>
      </c>
      <c r="M260" t="n">
        <v>0</v>
      </c>
      <c r="N260" t="n">
        <v>0</v>
      </c>
      <c r="O260" t="n">
        <v>0</v>
      </c>
      <c r="P260" t="n">
        <v>0</v>
      </c>
      <c r="Q260" t="n">
        <v>0</v>
      </c>
      <c r="R260" s="2" t="inlineStr"/>
    </row>
    <row r="261" ht="15" customHeight="1">
      <c r="A261" t="inlineStr">
        <is>
          <t>A 59846-2019</t>
        </is>
      </c>
      <c r="B261" s="1" t="n">
        <v>43777</v>
      </c>
      <c r="C261" s="1" t="n">
        <v>45824</v>
      </c>
      <c r="D261" t="inlineStr">
        <is>
          <t>DALARNAS LÄN</t>
        </is>
      </c>
      <c r="E261" t="inlineStr">
        <is>
          <t>ÄLVDALEN</t>
        </is>
      </c>
      <c r="G261" t="n">
        <v>3.4</v>
      </c>
      <c r="H261" t="n">
        <v>0</v>
      </c>
      <c r="I261" t="n">
        <v>0</v>
      </c>
      <c r="J261" t="n">
        <v>0</v>
      </c>
      <c r="K261" t="n">
        <v>0</v>
      </c>
      <c r="L261" t="n">
        <v>0</v>
      </c>
      <c r="M261" t="n">
        <v>0</v>
      </c>
      <c r="N261" t="n">
        <v>0</v>
      </c>
      <c r="O261" t="n">
        <v>0</v>
      </c>
      <c r="P261" t="n">
        <v>0</v>
      </c>
      <c r="Q261" t="n">
        <v>0</v>
      </c>
      <c r="R261" s="2" t="inlineStr"/>
    </row>
    <row r="262" ht="15" customHeight="1">
      <c r="A262" t="inlineStr">
        <is>
          <t>A 59959-2019</t>
        </is>
      </c>
      <c r="B262" s="1" t="n">
        <v>43777</v>
      </c>
      <c r="C262" s="1" t="n">
        <v>45824</v>
      </c>
      <c r="D262" t="inlineStr">
        <is>
          <t>DALARNAS LÄN</t>
        </is>
      </c>
      <c r="E262" t="inlineStr">
        <is>
          <t>ÄLVDALEN</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59947-2019</t>
        </is>
      </c>
      <c r="B263" s="1" t="n">
        <v>43777</v>
      </c>
      <c r="C263" s="1" t="n">
        <v>45824</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59957-2019</t>
        </is>
      </c>
      <c r="B264" s="1" t="n">
        <v>43777</v>
      </c>
      <c r="C264" s="1" t="n">
        <v>45824</v>
      </c>
      <c r="D264" t="inlineStr">
        <is>
          <t>DALARNAS LÄN</t>
        </is>
      </c>
      <c r="E264" t="inlineStr">
        <is>
          <t>ÄLVDALEN</t>
        </is>
      </c>
      <c r="G264" t="n">
        <v>4.5</v>
      </c>
      <c r="H264" t="n">
        <v>0</v>
      </c>
      <c r="I264" t="n">
        <v>0</v>
      </c>
      <c r="J264" t="n">
        <v>0</v>
      </c>
      <c r="K264" t="n">
        <v>0</v>
      </c>
      <c r="L264" t="n">
        <v>0</v>
      </c>
      <c r="M264" t="n">
        <v>0</v>
      </c>
      <c r="N264" t="n">
        <v>0</v>
      </c>
      <c r="O264" t="n">
        <v>0</v>
      </c>
      <c r="P264" t="n">
        <v>0</v>
      </c>
      <c r="Q264" t="n">
        <v>0</v>
      </c>
      <c r="R264" s="2" t="inlineStr"/>
    </row>
    <row r="265" ht="15" customHeight="1">
      <c r="A265" t="inlineStr">
        <is>
          <t>A 60345-2019</t>
        </is>
      </c>
      <c r="B265" s="1" t="n">
        <v>43780</v>
      </c>
      <c r="C265" s="1" t="n">
        <v>45824</v>
      </c>
      <c r="D265" t="inlineStr">
        <is>
          <t>DALARNAS LÄN</t>
        </is>
      </c>
      <c r="E265" t="inlineStr">
        <is>
          <t>ÄLVDALEN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61262-2019</t>
        </is>
      </c>
      <c r="B266" s="1" t="n">
        <v>43783</v>
      </c>
      <c r="C266" s="1" t="n">
        <v>45824</v>
      </c>
      <c r="D266" t="inlineStr">
        <is>
          <t>DALARNAS LÄN</t>
        </is>
      </c>
      <c r="E266" t="inlineStr">
        <is>
          <t>ÄLVDALEN</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61235-2019</t>
        </is>
      </c>
      <c r="B267" s="1" t="n">
        <v>43783</v>
      </c>
      <c r="C267" s="1" t="n">
        <v>45824</v>
      </c>
      <c r="D267" t="inlineStr">
        <is>
          <t>DALARNAS LÄN</t>
        </is>
      </c>
      <c r="E267" t="inlineStr">
        <is>
          <t>ÄLVDALEN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61312-2019</t>
        </is>
      </c>
      <c r="B268" s="1" t="n">
        <v>43783</v>
      </c>
      <c r="C268" s="1" t="n">
        <v>45824</v>
      </c>
      <c r="D268" t="inlineStr">
        <is>
          <t>DALARNAS LÄN</t>
        </is>
      </c>
      <c r="E268" t="inlineStr">
        <is>
          <t>ÄLVDALEN</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61303-2019</t>
        </is>
      </c>
      <c r="B269" s="1" t="n">
        <v>43783</v>
      </c>
      <c r="C269" s="1" t="n">
        <v>45824</v>
      </c>
      <c r="D269" t="inlineStr">
        <is>
          <t>DALARNAS LÄN</t>
        </is>
      </c>
      <c r="E269" t="inlineStr">
        <is>
          <t>ÄLVDALEN</t>
        </is>
      </c>
      <c r="F269" t="inlineStr">
        <is>
          <t>Allmännings- och besparingsskogar</t>
        </is>
      </c>
      <c r="G269" t="n">
        <v>0.2</v>
      </c>
      <c r="H269" t="n">
        <v>0</v>
      </c>
      <c r="I269" t="n">
        <v>0</v>
      </c>
      <c r="J269" t="n">
        <v>0</v>
      </c>
      <c r="K269" t="n">
        <v>0</v>
      </c>
      <c r="L269" t="n">
        <v>0</v>
      </c>
      <c r="M269" t="n">
        <v>0</v>
      </c>
      <c r="N269" t="n">
        <v>0</v>
      </c>
      <c r="O269" t="n">
        <v>0</v>
      </c>
      <c r="P269" t="n">
        <v>0</v>
      </c>
      <c r="Q269" t="n">
        <v>0</v>
      </c>
      <c r="R269" s="2" t="inlineStr"/>
    </row>
    <row r="270" ht="15" customHeight="1">
      <c r="A270" t="inlineStr">
        <is>
          <t>A 62630-2019</t>
        </is>
      </c>
      <c r="B270" s="1" t="n">
        <v>43789</v>
      </c>
      <c r="C270" s="1" t="n">
        <v>45824</v>
      </c>
      <c r="D270" t="inlineStr">
        <is>
          <t>DALARNAS LÄN</t>
        </is>
      </c>
      <c r="E270" t="inlineStr">
        <is>
          <t>ÄLVDALEN</t>
        </is>
      </c>
      <c r="G270" t="n">
        <v>7.2</v>
      </c>
      <c r="H270" t="n">
        <v>0</v>
      </c>
      <c r="I270" t="n">
        <v>0</v>
      </c>
      <c r="J270" t="n">
        <v>0</v>
      </c>
      <c r="K270" t="n">
        <v>0</v>
      </c>
      <c r="L270" t="n">
        <v>0</v>
      </c>
      <c r="M270" t="n">
        <v>0</v>
      </c>
      <c r="N270" t="n">
        <v>0</v>
      </c>
      <c r="O270" t="n">
        <v>0</v>
      </c>
      <c r="P270" t="n">
        <v>0</v>
      </c>
      <c r="Q270" t="n">
        <v>0</v>
      </c>
      <c r="R270" s="2" t="inlineStr"/>
    </row>
    <row r="271" ht="15" customHeight="1">
      <c r="A271" t="inlineStr">
        <is>
          <t>A 62691-2019</t>
        </is>
      </c>
      <c r="B271" s="1" t="n">
        <v>43789</v>
      </c>
      <c r="C271" s="1" t="n">
        <v>45824</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63161-2019</t>
        </is>
      </c>
      <c r="B272" s="1" t="n">
        <v>43791</v>
      </c>
      <c r="C272" s="1" t="n">
        <v>45824</v>
      </c>
      <c r="D272" t="inlineStr">
        <is>
          <t>DALARNAS LÄN</t>
        </is>
      </c>
      <c r="E272" t="inlineStr">
        <is>
          <t>ÄLVDALEN</t>
        </is>
      </c>
      <c r="G272" t="n">
        <v>2.6</v>
      </c>
      <c r="H272" t="n">
        <v>0</v>
      </c>
      <c r="I272" t="n">
        <v>0</v>
      </c>
      <c r="J272" t="n">
        <v>0</v>
      </c>
      <c r="K272" t="n">
        <v>0</v>
      </c>
      <c r="L272" t="n">
        <v>0</v>
      </c>
      <c r="M272" t="n">
        <v>0</v>
      </c>
      <c r="N272" t="n">
        <v>0</v>
      </c>
      <c r="O272" t="n">
        <v>0</v>
      </c>
      <c r="P272" t="n">
        <v>0</v>
      </c>
      <c r="Q272" t="n">
        <v>0</v>
      </c>
      <c r="R272" s="2" t="inlineStr"/>
    </row>
    <row r="273" ht="15" customHeight="1">
      <c r="A273" t="inlineStr">
        <is>
          <t>A 63242-2019</t>
        </is>
      </c>
      <c r="B273" s="1" t="n">
        <v>43792</v>
      </c>
      <c r="C273" s="1" t="n">
        <v>45824</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63470-2019</t>
        </is>
      </c>
      <c r="B274" s="1" t="n">
        <v>43794</v>
      </c>
      <c r="C274" s="1" t="n">
        <v>45824</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63536-2019</t>
        </is>
      </c>
      <c r="B275" s="1" t="n">
        <v>43794</v>
      </c>
      <c r="C275" s="1" t="n">
        <v>45824</v>
      </c>
      <c r="D275" t="inlineStr">
        <is>
          <t>DALARNAS LÄN</t>
        </is>
      </c>
      <c r="E275" t="inlineStr">
        <is>
          <t>ÄLVDALEN</t>
        </is>
      </c>
      <c r="G275" t="n">
        <v>10.5</v>
      </c>
      <c r="H275" t="n">
        <v>0</v>
      </c>
      <c r="I275" t="n">
        <v>0</v>
      </c>
      <c r="J275" t="n">
        <v>0</v>
      </c>
      <c r="K275" t="n">
        <v>0</v>
      </c>
      <c r="L275" t="n">
        <v>0</v>
      </c>
      <c r="M275" t="n">
        <v>0</v>
      </c>
      <c r="N275" t="n">
        <v>0</v>
      </c>
      <c r="O275" t="n">
        <v>0</v>
      </c>
      <c r="P275" t="n">
        <v>0</v>
      </c>
      <c r="Q275" t="n">
        <v>0</v>
      </c>
      <c r="R275" s="2" t="inlineStr"/>
    </row>
    <row r="276" ht="15" customHeight="1">
      <c r="A276" t="inlineStr">
        <is>
          <t>A 63787-2019</t>
        </is>
      </c>
      <c r="B276" s="1" t="n">
        <v>43795</v>
      </c>
      <c r="C276" s="1" t="n">
        <v>45824</v>
      </c>
      <c r="D276" t="inlineStr">
        <is>
          <t>DALARNAS LÄN</t>
        </is>
      </c>
      <c r="E276" t="inlineStr">
        <is>
          <t>ÄLVDALEN</t>
        </is>
      </c>
      <c r="F276" t="inlineStr">
        <is>
          <t>Sveaskog</t>
        </is>
      </c>
      <c r="G276" t="n">
        <v>14.1</v>
      </c>
      <c r="H276" t="n">
        <v>0</v>
      </c>
      <c r="I276" t="n">
        <v>0</v>
      </c>
      <c r="J276" t="n">
        <v>0</v>
      </c>
      <c r="K276" t="n">
        <v>0</v>
      </c>
      <c r="L276" t="n">
        <v>0</v>
      </c>
      <c r="M276" t="n">
        <v>0</v>
      </c>
      <c r="N276" t="n">
        <v>0</v>
      </c>
      <c r="O276" t="n">
        <v>0</v>
      </c>
      <c r="P276" t="n">
        <v>0</v>
      </c>
      <c r="Q276" t="n">
        <v>0</v>
      </c>
      <c r="R276" s="2" t="inlineStr"/>
    </row>
    <row r="277" ht="15" customHeight="1">
      <c r="A277" t="inlineStr">
        <is>
          <t>A 65980-2019</t>
        </is>
      </c>
      <c r="B277" s="1" t="n">
        <v>43805</v>
      </c>
      <c r="C277" s="1" t="n">
        <v>45824</v>
      </c>
      <c r="D277" t="inlineStr">
        <is>
          <t>DALARNAS LÄN</t>
        </is>
      </c>
      <c r="E277" t="inlineStr">
        <is>
          <t>ÄLVDALEN</t>
        </is>
      </c>
      <c r="G277" t="n">
        <v>0.4</v>
      </c>
      <c r="H277" t="n">
        <v>0</v>
      </c>
      <c r="I277" t="n">
        <v>0</v>
      </c>
      <c r="J277" t="n">
        <v>0</v>
      </c>
      <c r="K277" t="n">
        <v>0</v>
      </c>
      <c r="L277" t="n">
        <v>0</v>
      </c>
      <c r="M277" t="n">
        <v>0</v>
      </c>
      <c r="N277" t="n">
        <v>0</v>
      </c>
      <c r="O277" t="n">
        <v>0</v>
      </c>
      <c r="P277" t="n">
        <v>0</v>
      </c>
      <c r="Q277" t="n">
        <v>0</v>
      </c>
      <c r="R277" s="2" t="inlineStr"/>
    </row>
    <row r="278" ht="15" customHeight="1">
      <c r="A278" t="inlineStr">
        <is>
          <t>A 68854-2019</t>
        </is>
      </c>
      <c r="B278" s="1" t="n">
        <v>43820</v>
      </c>
      <c r="C278" s="1" t="n">
        <v>45824</v>
      </c>
      <c r="D278" t="inlineStr">
        <is>
          <t>DALARNAS LÄN</t>
        </is>
      </c>
      <c r="E278" t="inlineStr">
        <is>
          <t>ÄLVDALEN</t>
        </is>
      </c>
      <c r="G278" t="n">
        <v>1.6</v>
      </c>
      <c r="H278" t="n">
        <v>0</v>
      </c>
      <c r="I278" t="n">
        <v>0</v>
      </c>
      <c r="J278" t="n">
        <v>0</v>
      </c>
      <c r="K278" t="n">
        <v>0</v>
      </c>
      <c r="L278" t="n">
        <v>0</v>
      </c>
      <c r="M278" t="n">
        <v>0</v>
      </c>
      <c r="N278" t="n">
        <v>0</v>
      </c>
      <c r="O278" t="n">
        <v>0</v>
      </c>
      <c r="P278" t="n">
        <v>0</v>
      </c>
      <c r="Q278" t="n">
        <v>0</v>
      </c>
      <c r="R278" s="2" t="inlineStr"/>
    </row>
    <row r="279" ht="15" customHeight="1">
      <c r="A279" t="inlineStr">
        <is>
          <t>A 68936-2019</t>
        </is>
      </c>
      <c r="B279" s="1" t="n">
        <v>43822</v>
      </c>
      <c r="C279" s="1" t="n">
        <v>45824</v>
      </c>
      <c r="D279" t="inlineStr">
        <is>
          <t>DALARNAS LÄN</t>
        </is>
      </c>
      <c r="E279" t="inlineStr">
        <is>
          <t>ÄLVDALEN</t>
        </is>
      </c>
      <c r="G279" t="n">
        <v>3.5</v>
      </c>
      <c r="H279" t="n">
        <v>0</v>
      </c>
      <c r="I279" t="n">
        <v>0</v>
      </c>
      <c r="J279" t="n">
        <v>0</v>
      </c>
      <c r="K279" t="n">
        <v>0</v>
      </c>
      <c r="L279" t="n">
        <v>0</v>
      </c>
      <c r="M279" t="n">
        <v>0</v>
      </c>
      <c r="N279" t="n">
        <v>0</v>
      </c>
      <c r="O279" t="n">
        <v>0</v>
      </c>
      <c r="P279" t="n">
        <v>0</v>
      </c>
      <c r="Q279" t="n">
        <v>0</v>
      </c>
      <c r="R279" s="2" t="inlineStr"/>
    </row>
    <row r="280" ht="15" customHeight="1">
      <c r="A280" t="inlineStr">
        <is>
          <t>A 2050-2020</t>
        </is>
      </c>
      <c r="B280" s="1" t="n">
        <v>43845</v>
      </c>
      <c r="C280" s="1" t="n">
        <v>45824</v>
      </c>
      <c r="D280" t="inlineStr">
        <is>
          <t>DALARNAS LÄN</t>
        </is>
      </c>
      <c r="E280" t="inlineStr">
        <is>
          <t>ÄLVDALEN</t>
        </is>
      </c>
      <c r="G280" t="n">
        <v>9.5</v>
      </c>
      <c r="H280" t="n">
        <v>0</v>
      </c>
      <c r="I280" t="n">
        <v>0</v>
      </c>
      <c r="J280" t="n">
        <v>0</v>
      </c>
      <c r="K280" t="n">
        <v>0</v>
      </c>
      <c r="L280" t="n">
        <v>0</v>
      </c>
      <c r="M280" t="n">
        <v>0</v>
      </c>
      <c r="N280" t="n">
        <v>0</v>
      </c>
      <c r="O280" t="n">
        <v>0</v>
      </c>
      <c r="P280" t="n">
        <v>0</v>
      </c>
      <c r="Q280" t="n">
        <v>0</v>
      </c>
      <c r="R280" s="2" t="inlineStr"/>
    </row>
    <row r="281" ht="15" customHeight="1">
      <c r="A281" t="inlineStr">
        <is>
          <t>A 3301-2020</t>
        </is>
      </c>
      <c r="B281" s="1" t="n">
        <v>43852</v>
      </c>
      <c r="C281" s="1" t="n">
        <v>45824</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3917-2020</t>
        </is>
      </c>
      <c r="B282" s="1" t="n">
        <v>43854</v>
      </c>
      <c r="C282" s="1" t="n">
        <v>45824</v>
      </c>
      <c r="D282" t="inlineStr">
        <is>
          <t>DALARNAS LÄN</t>
        </is>
      </c>
      <c r="E282" t="inlineStr">
        <is>
          <t>ÄLVDALEN</t>
        </is>
      </c>
      <c r="G282" t="n">
        <v>3.6</v>
      </c>
      <c r="H282" t="n">
        <v>0</v>
      </c>
      <c r="I282" t="n">
        <v>0</v>
      </c>
      <c r="J282" t="n">
        <v>0</v>
      </c>
      <c r="K282" t="n">
        <v>0</v>
      </c>
      <c r="L282" t="n">
        <v>0</v>
      </c>
      <c r="M282" t="n">
        <v>0</v>
      </c>
      <c r="N282" t="n">
        <v>0</v>
      </c>
      <c r="O282" t="n">
        <v>0</v>
      </c>
      <c r="P282" t="n">
        <v>0</v>
      </c>
      <c r="Q282" t="n">
        <v>0</v>
      </c>
      <c r="R282" s="2" t="inlineStr"/>
    </row>
    <row r="283" ht="15" customHeight="1">
      <c r="A283" t="inlineStr">
        <is>
          <t>A 6317-2020</t>
        </is>
      </c>
      <c r="B283" s="1" t="n">
        <v>43866</v>
      </c>
      <c r="C283" s="1" t="n">
        <v>45824</v>
      </c>
      <c r="D283" t="inlineStr">
        <is>
          <t>DALARNAS LÄN</t>
        </is>
      </c>
      <c r="E283" t="inlineStr">
        <is>
          <t>ÄLVDALEN</t>
        </is>
      </c>
      <c r="G283" t="n">
        <v>2.8</v>
      </c>
      <c r="H283" t="n">
        <v>0</v>
      </c>
      <c r="I283" t="n">
        <v>0</v>
      </c>
      <c r="J283" t="n">
        <v>0</v>
      </c>
      <c r="K283" t="n">
        <v>0</v>
      </c>
      <c r="L283" t="n">
        <v>0</v>
      </c>
      <c r="M283" t="n">
        <v>0</v>
      </c>
      <c r="N283" t="n">
        <v>0</v>
      </c>
      <c r="O283" t="n">
        <v>0</v>
      </c>
      <c r="P283" t="n">
        <v>0</v>
      </c>
      <c r="Q283" t="n">
        <v>0</v>
      </c>
      <c r="R283" s="2" t="inlineStr"/>
    </row>
    <row r="284" ht="15" customHeight="1">
      <c r="A284" t="inlineStr">
        <is>
          <t>A 6319-2020</t>
        </is>
      </c>
      <c r="B284" s="1" t="n">
        <v>43866</v>
      </c>
      <c r="C284" s="1" t="n">
        <v>45824</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8751-2020</t>
        </is>
      </c>
      <c r="B285" s="1" t="n">
        <v>43878</v>
      </c>
      <c r="C285" s="1" t="n">
        <v>45824</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8864-2020</t>
        </is>
      </c>
      <c r="B286" s="1" t="n">
        <v>43878</v>
      </c>
      <c r="C286" s="1" t="n">
        <v>45824</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10047-2020</t>
        </is>
      </c>
      <c r="B287" s="1" t="n">
        <v>43882</v>
      </c>
      <c r="C287" s="1" t="n">
        <v>45824</v>
      </c>
      <c r="D287" t="inlineStr">
        <is>
          <t>DALARNAS LÄN</t>
        </is>
      </c>
      <c r="E287" t="inlineStr">
        <is>
          <t>ÄLVDALEN</t>
        </is>
      </c>
      <c r="G287" t="n">
        <v>5.7</v>
      </c>
      <c r="H287" t="n">
        <v>0</v>
      </c>
      <c r="I287" t="n">
        <v>0</v>
      </c>
      <c r="J287" t="n">
        <v>0</v>
      </c>
      <c r="K287" t="n">
        <v>0</v>
      </c>
      <c r="L287" t="n">
        <v>0</v>
      </c>
      <c r="M287" t="n">
        <v>0</v>
      </c>
      <c r="N287" t="n">
        <v>0</v>
      </c>
      <c r="O287" t="n">
        <v>0</v>
      </c>
      <c r="P287" t="n">
        <v>0</v>
      </c>
      <c r="Q287" t="n">
        <v>0</v>
      </c>
      <c r="R287" s="2" t="inlineStr"/>
    </row>
    <row r="288" ht="15" customHeight="1">
      <c r="A288" t="inlineStr">
        <is>
          <t>A 12540-2020</t>
        </is>
      </c>
      <c r="B288" s="1" t="n">
        <v>43897</v>
      </c>
      <c r="C288" s="1" t="n">
        <v>45824</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15596-2020</t>
        </is>
      </c>
      <c r="B289" s="1" t="n">
        <v>43914</v>
      </c>
      <c r="C289" s="1" t="n">
        <v>45824</v>
      </c>
      <c r="D289" t="inlineStr">
        <is>
          <t>DALARNAS LÄN</t>
        </is>
      </c>
      <c r="E289" t="inlineStr">
        <is>
          <t>ÄLVDALEN</t>
        </is>
      </c>
      <c r="F289" t="inlineStr">
        <is>
          <t>Allmännings- och besparingsskogar</t>
        </is>
      </c>
      <c r="G289" t="n">
        <v>19.5</v>
      </c>
      <c r="H289" t="n">
        <v>0</v>
      </c>
      <c r="I289" t="n">
        <v>0</v>
      </c>
      <c r="J289" t="n">
        <v>0</v>
      </c>
      <c r="K289" t="n">
        <v>0</v>
      </c>
      <c r="L289" t="n">
        <v>0</v>
      </c>
      <c r="M289" t="n">
        <v>0</v>
      </c>
      <c r="N289" t="n">
        <v>0</v>
      </c>
      <c r="O289" t="n">
        <v>0</v>
      </c>
      <c r="P289" t="n">
        <v>0</v>
      </c>
      <c r="Q289" t="n">
        <v>0</v>
      </c>
      <c r="R289" s="2" t="inlineStr"/>
    </row>
    <row r="290" ht="15" customHeight="1">
      <c r="A290" t="inlineStr">
        <is>
          <t>A 16308-2020</t>
        </is>
      </c>
      <c r="B290" s="1" t="n">
        <v>43917</v>
      </c>
      <c r="C290" s="1" t="n">
        <v>45824</v>
      </c>
      <c r="D290" t="inlineStr">
        <is>
          <t>DALARNAS LÄN</t>
        </is>
      </c>
      <c r="E290" t="inlineStr">
        <is>
          <t>ÄLVDALEN</t>
        </is>
      </c>
      <c r="F290" t="inlineStr">
        <is>
          <t>Allmännings- och besparingsskogar</t>
        </is>
      </c>
      <c r="G290" t="n">
        <v>29.7</v>
      </c>
      <c r="H290" t="n">
        <v>0</v>
      </c>
      <c r="I290" t="n">
        <v>0</v>
      </c>
      <c r="J290" t="n">
        <v>0</v>
      </c>
      <c r="K290" t="n">
        <v>0</v>
      </c>
      <c r="L290" t="n">
        <v>0</v>
      </c>
      <c r="M290" t="n">
        <v>0</v>
      </c>
      <c r="N290" t="n">
        <v>0</v>
      </c>
      <c r="O290" t="n">
        <v>0</v>
      </c>
      <c r="P290" t="n">
        <v>0</v>
      </c>
      <c r="Q290" t="n">
        <v>0</v>
      </c>
      <c r="R290" s="2" t="inlineStr"/>
    </row>
    <row r="291" ht="15" customHeight="1">
      <c r="A291" t="inlineStr">
        <is>
          <t>A 16911-2020</t>
        </is>
      </c>
      <c r="B291" s="1" t="n">
        <v>43921</v>
      </c>
      <c r="C291" s="1" t="n">
        <v>45824</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17096-2020</t>
        </is>
      </c>
      <c r="B292" s="1" t="n">
        <v>43922</v>
      </c>
      <c r="C292" s="1" t="n">
        <v>45824</v>
      </c>
      <c r="D292" t="inlineStr">
        <is>
          <t>DALARNAS LÄN</t>
        </is>
      </c>
      <c r="E292" t="inlineStr">
        <is>
          <t>ÄLVDALEN</t>
        </is>
      </c>
      <c r="F292" t="inlineStr">
        <is>
          <t>Allmännings- och besparingsskogar</t>
        </is>
      </c>
      <c r="G292" t="n">
        <v>66.7</v>
      </c>
      <c r="H292" t="n">
        <v>0</v>
      </c>
      <c r="I292" t="n">
        <v>0</v>
      </c>
      <c r="J292" t="n">
        <v>0</v>
      </c>
      <c r="K292" t="n">
        <v>0</v>
      </c>
      <c r="L292" t="n">
        <v>0</v>
      </c>
      <c r="M292" t="n">
        <v>0</v>
      </c>
      <c r="N292" t="n">
        <v>0</v>
      </c>
      <c r="O292" t="n">
        <v>0</v>
      </c>
      <c r="P292" t="n">
        <v>0</v>
      </c>
      <c r="Q292" t="n">
        <v>0</v>
      </c>
      <c r="R292" s="2" t="inlineStr"/>
    </row>
    <row r="293" ht="15" customHeight="1">
      <c r="A293" t="inlineStr">
        <is>
          <t>A 17109-2020</t>
        </is>
      </c>
      <c r="B293" s="1" t="n">
        <v>43922</v>
      </c>
      <c r="C293" s="1" t="n">
        <v>45824</v>
      </c>
      <c r="D293" t="inlineStr">
        <is>
          <t>DALARNAS LÄN</t>
        </is>
      </c>
      <c r="E293" t="inlineStr">
        <is>
          <t>ÄLVDALEN</t>
        </is>
      </c>
      <c r="F293" t="inlineStr">
        <is>
          <t>Allmännings- och besparingsskogar</t>
        </is>
      </c>
      <c r="G293" t="n">
        <v>22.3</v>
      </c>
      <c r="H293" t="n">
        <v>0</v>
      </c>
      <c r="I293" t="n">
        <v>0</v>
      </c>
      <c r="J293" t="n">
        <v>0</v>
      </c>
      <c r="K293" t="n">
        <v>0</v>
      </c>
      <c r="L293" t="n">
        <v>0</v>
      </c>
      <c r="M293" t="n">
        <v>0</v>
      </c>
      <c r="N293" t="n">
        <v>0</v>
      </c>
      <c r="O293" t="n">
        <v>0</v>
      </c>
      <c r="P293" t="n">
        <v>0</v>
      </c>
      <c r="Q293" t="n">
        <v>0</v>
      </c>
      <c r="R293" s="2" t="inlineStr"/>
    </row>
    <row r="294" ht="15" customHeight="1">
      <c r="A294" t="inlineStr">
        <is>
          <t>A 17099-2020</t>
        </is>
      </c>
      <c r="B294" s="1" t="n">
        <v>43922</v>
      </c>
      <c r="C294" s="1" t="n">
        <v>45824</v>
      </c>
      <c r="D294" t="inlineStr">
        <is>
          <t>DALARNAS LÄN</t>
        </is>
      </c>
      <c r="E294" t="inlineStr">
        <is>
          <t>ÄLVDALEN</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17103-2020</t>
        </is>
      </c>
      <c r="B295" s="1" t="n">
        <v>43922</v>
      </c>
      <c r="C295" s="1" t="n">
        <v>45824</v>
      </c>
      <c r="D295" t="inlineStr">
        <is>
          <t>DALARNAS LÄN</t>
        </is>
      </c>
      <c r="E295" t="inlineStr">
        <is>
          <t>ÄLVDALEN</t>
        </is>
      </c>
      <c r="F295" t="inlineStr">
        <is>
          <t>Allmännings- och besparingsskogar</t>
        </is>
      </c>
      <c r="G295" t="n">
        <v>54.1</v>
      </c>
      <c r="H295" t="n">
        <v>0</v>
      </c>
      <c r="I295" t="n">
        <v>0</v>
      </c>
      <c r="J295" t="n">
        <v>0</v>
      </c>
      <c r="K295" t="n">
        <v>0</v>
      </c>
      <c r="L295" t="n">
        <v>0</v>
      </c>
      <c r="M295" t="n">
        <v>0</v>
      </c>
      <c r="N295" t="n">
        <v>0</v>
      </c>
      <c r="O295" t="n">
        <v>0</v>
      </c>
      <c r="P295" t="n">
        <v>0</v>
      </c>
      <c r="Q295" t="n">
        <v>0</v>
      </c>
      <c r="R295" s="2" t="inlineStr"/>
    </row>
    <row r="296" ht="15" customHeight="1">
      <c r="A296" t="inlineStr">
        <is>
          <t>A 17430-2020</t>
        </is>
      </c>
      <c r="B296" s="1" t="n">
        <v>43923</v>
      </c>
      <c r="C296" s="1" t="n">
        <v>45824</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18378-2020</t>
        </is>
      </c>
      <c r="B297" s="1" t="n">
        <v>43928</v>
      </c>
      <c r="C297" s="1" t="n">
        <v>45824</v>
      </c>
      <c r="D297" t="inlineStr">
        <is>
          <t>DALARNAS LÄN</t>
        </is>
      </c>
      <c r="E297" t="inlineStr">
        <is>
          <t>ÄLVDALEN</t>
        </is>
      </c>
      <c r="F297" t="inlineStr">
        <is>
          <t>Allmännings- och besparingsskogar</t>
        </is>
      </c>
      <c r="G297" t="n">
        <v>48.4</v>
      </c>
      <c r="H297" t="n">
        <v>0</v>
      </c>
      <c r="I297" t="n">
        <v>0</v>
      </c>
      <c r="J297" t="n">
        <v>0</v>
      </c>
      <c r="K297" t="n">
        <v>0</v>
      </c>
      <c r="L297" t="n">
        <v>0</v>
      </c>
      <c r="M297" t="n">
        <v>0</v>
      </c>
      <c r="N297" t="n">
        <v>0</v>
      </c>
      <c r="O297" t="n">
        <v>0</v>
      </c>
      <c r="P297" t="n">
        <v>0</v>
      </c>
      <c r="Q297" t="n">
        <v>0</v>
      </c>
      <c r="R297" s="2" t="inlineStr"/>
    </row>
    <row r="298" ht="15" customHeight="1">
      <c r="A298" t="inlineStr">
        <is>
          <t>A 23179-2020</t>
        </is>
      </c>
      <c r="B298" s="1" t="n">
        <v>43937</v>
      </c>
      <c r="C298" s="1" t="n">
        <v>45824</v>
      </c>
      <c r="D298" t="inlineStr">
        <is>
          <t>DALARNAS LÄN</t>
        </is>
      </c>
      <c r="E298" t="inlineStr">
        <is>
          <t>ÄLVDALEN</t>
        </is>
      </c>
      <c r="F298" t="inlineStr">
        <is>
          <t>Sveaskog</t>
        </is>
      </c>
      <c r="G298" t="n">
        <v>75.09999999999999</v>
      </c>
      <c r="H298" t="n">
        <v>0</v>
      </c>
      <c r="I298" t="n">
        <v>0</v>
      </c>
      <c r="J298" t="n">
        <v>0</v>
      </c>
      <c r="K298" t="n">
        <v>0</v>
      </c>
      <c r="L298" t="n">
        <v>0</v>
      </c>
      <c r="M298" t="n">
        <v>0</v>
      </c>
      <c r="N298" t="n">
        <v>0</v>
      </c>
      <c r="O298" t="n">
        <v>0</v>
      </c>
      <c r="P298" t="n">
        <v>0</v>
      </c>
      <c r="Q298" t="n">
        <v>0</v>
      </c>
      <c r="R298" s="2" t="inlineStr"/>
    </row>
    <row r="299" ht="15" customHeight="1">
      <c r="A299" t="inlineStr">
        <is>
          <t>A 20189-2020</t>
        </is>
      </c>
      <c r="B299" s="1" t="n">
        <v>43944</v>
      </c>
      <c r="C299" s="1" t="n">
        <v>45824</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20290-2020</t>
        </is>
      </c>
      <c r="B300" s="1" t="n">
        <v>43944</v>
      </c>
      <c r="C300" s="1" t="n">
        <v>45824</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21120-2020</t>
        </is>
      </c>
      <c r="B301" s="1" t="n">
        <v>43951</v>
      </c>
      <c r="C301" s="1" t="n">
        <v>45824</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21128-2020</t>
        </is>
      </c>
      <c r="B302" s="1" t="n">
        <v>43951</v>
      </c>
      <c r="C302" s="1" t="n">
        <v>45824</v>
      </c>
      <c r="D302" t="inlineStr">
        <is>
          <t>DALARNAS LÄN</t>
        </is>
      </c>
      <c r="E302" t="inlineStr">
        <is>
          <t>ÄLVDALEN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21367-2020</t>
        </is>
      </c>
      <c r="B303" s="1" t="n">
        <v>43955</v>
      </c>
      <c r="C303" s="1" t="n">
        <v>45824</v>
      </c>
      <c r="D303" t="inlineStr">
        <is>
          <t>DALARNAS LÄN</t>
        </is>
      </c>
      <c r="E303" t="inlineStr">
        <is>
          <t>ÄLVDALEN</t>
        </is>
      </c>
      <c r="G303" t="n">
        <v>4</v>
      </c>
      <c r="H303" t="n">
        <v>0</v>
      </c>
      <c r="I303" t="n">
        <v>0</v>
      </c>
      <c r="J303" t="n">
        <v>0</v>
      </c>
      <c r="K303" t="n">
        <v>0</v>
      </c>
      <c r="L303" t="n">
        <v>0</v>
      </c>
      <c r="M303" t="n">
        <v>0</v>
      </c>
      <c r="N303" t="n">
        <v>0</v>
      </c>
      <c r="O303" t="n">
        <v>0</v>
      </c>
      <c r="P303" t="n">
        <v>0</v>
      </c>
      <c r="Q303" t="n">
        <v>0</v>
      </c>
      <c r="R303" s="2" t="inlineStr"/>
    </row>
    <row r="304" ht="15" customHeight="1">
      <c r="A304" t="inlineStr">
        <is>
          <t>A 21927-2020</t>
        </is>
      </c>
      <c r="B304" s="1" t="n">
        <v>43955</v>
      </c>
      <c r="C304" s="1" t="n">
        <v>45824</v>
      </c>
      <c r="D304" t="inlineStr">
        <is>
          <t>DALARNAS LÄN</t>
        </is>
      </c>
      <c r="E304" t="inlineStr">
        <is>
          <t>ÄLVDALEN</t>
        </is>
      </c>
      <c r="G304" t="n">
        <v>3.3</v>
      </c>
      <c r="H304" t="n">
        <v>0</v>
      </c>
      <c r="I304" t="n">
        <v>0</v>
      </c>
      <c r="J304" t="n">
        <v>0</v>
      </c>
      <c r="K304" t="n">
        <v>0</v>
      </c>
      <c r="L304" t="n">
        <v>0</v>
      </c>
      <c r="M304" t="n">
        <v>0</v>
      </c>
      <c r="N304" t="n">
        <v>0</v>
      </c>
      <c r="O304" t="n">
        <v>0</v>
      </c>
      <c r="P304" t="n">
        <v>0</v>
      </c>
      <c r="Q304" t="n">
        <v>0</v>
      </c>
      <c r="R304" s="2" t="inlineStr"/>
    </row>
    <row r="305" ht="15" customHeight="1">
      <c r="A305" t="inlineStr">
        <is>
          <t>A 23448-2020</t>
        </is>
      </c>
      <c r="B305" s="1" t="n">
        <v>43969</v>
      </c>
      <c r="C305" s="1" t="n">
        <v>45824</v>
      </c>
      <c r="D305" t="inlineStr">
        <is>
          <t>DALARNAS LÄN</t>
        </is>
      </c>
      <c r="E305" t="inlineStr">
        <is>
          <t>ÄLVDALEN</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25966-2020</t>
        </is>
      </c>
      <c r="B306" s="1" t="n">
        <v>43985</v>
      </c>
      <c r="C306" s="1" t="n">
        <v>45824</v>
      </c>
      <c r="D306" t="inlineStr">
        <is>
          <t>DALARNAS LÄN</t>
        </is>
      </c>
      <c r="E306" t="inlineStr">
        <is>
          <t>ÄLVDALEN</t>
        </is>
      </c>
      <c r="G306" t="n">
        <v>0.5</v>
      </c>
      <c r="H306" t="n">
        <v>0</v>
      </c>
      <c r="I306" t="n">
        <v>0</v>
      </c>
      <c r="J306" t="n">
        <v>0</v>
      </c>
      <c r="K306" t="n">
        <v>0</v>
      </c>
      <c r="L306" t="n">
        <v>0</v>
      </c>
      <c r="M306" t="n">
        <v>0</v>
      </c>
      <c r="N306" t="n">
        <v>0</v>
      </c>
      <c r="O306" t="n">
        <v>0</v>
      </c>
      <c r="P306" t="n">
        <v>0</v>
      </c>
      <c r="Q306" t="n">
        <v>0</v>
      </c>
      <c r="R306" s="2" t="inlineStr"/>
    </row>
    <row r="307" ht="15" customHeight="1">
      <c r="A307" t="inlineStr">
        <is>
          <t>A 26792-2020</t>
        </is>
      </c>
      <c r="B307" s="1" t="n">
        <v>43990</v>
      </c>
      <c r="C307" s="1" t="n">
        <v>45824</v>
      </c>
      <c r="D307" t="inlineStr">
        <is>
          <t>DALARNAS LÄN</t>
        </is>
      </c>
      <c r="E307" t="inlineStr">
        <is>
          <t>ÄLVDALEN</t>
        </is>
      </c>
      <c r="G307" t="n">
        <v>0.5</v>
      </c>
      <c r="H307" t="n">
        <v>0</v>
      </c>
      <c r="I307" t="n">
        <v>0</v>
      </c>
      <c r="J307" t="n">
        <v>0</v>
      </c>
      <c r="K307" t="n">
        <v>0</v>
      </c>
      <c r="L307" t="n">
        <v>0</v>
      </c>
      <c r="M307" t="n">
        <v>0</v>
      </c>
      <c r="N307" t="n">
        <v>0</v>
      </c>
      <c r="O307" t="n">
        <v>0</v>
      </c>
      <c r="P307" t="n">
        <v>0</v>
      </c>
      <c r="Q307" t="n">
        <v>0</v>
      </c>
      <c r="R307" s="2" t="inlineStr"/>
    </row>
    <row r="308" ht="15" customHeight="1">
      <c r="A308" t="inlineStr">
        <is>
          <t>A 26808-2020</t>
        </is>
      </c>
      <c r="B308" s="1" t="n">
        <v>43990</v>
      </c>
      <c r="C308" s="1" t="n">
        <v>45824</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26788-2020</t>
        </is>
      </c>
      <c r="B309" s="1" t="n">
        <v>43990</v>
      </c>
      <c r="C309" s="1" t="n">
        <v>45824</v>
      </c>
      <c r="D309" t="inlineStr">
        <is>
          <t>DALARNAS LÄN</t>
        </is>
      </c>
      <c r="E309" t="inlineStr">
        <is>
          <t>ÄLVDALEN</t>
        </is>
      </c>
      <c r="G309" t="n">
        <v>0.2</v>
      </c>
      <c r="H309" t="n">
        <v>0</v>
      </c>
      <c r="I309" t="n">
        <v>0</v>
      </c>
      <c r="J309" t="n">
        <v>0</v>
      </c>
      <c r="K309" t="n">
        <v>0</v>
      </c>
      <c r="L309" t="n">
        <v>0</v>
      </c>
      <c r="M309" t="n">
        <v>0</v>
      </c>
      <c r="N309" t="n">
        <v>0</v>
      </c>
      <c r="O309" t="n">
        <v>0</v>
      </c>
      <c r="P309" t="n">
        <v>0</v>
      </c>
      <c r="Q309" t="n">
        <v>0</v>
      </c>
      <c r="R309" s="2" t="inlineStr"/>
    </row>
    <row r="310" ht="15" customHeight="1">
      <c r="A310" t="inlineStr">
        <is>
          <t>A 26801-2020</t>
        </is>
      </c>
      <c r="B310" s="1" t="n">
        <v>43990</v>
      </c>
      <c r="C310" s="1" t="n">
        <v>45824</v>
      </c>
      <c r="D310" t="inlineStr">
        <is>
          <t>DALARNAS LÄN</t>
        </is>
      </c>
      <c r="E310" t="inlineStr">
        <is>
          <t>ÄLVDALEN</t>
        </is>
      </c>
      <c r="G310" t="n">
        <v>0.5</v>
      </c>
      <c r="H310" t="n">
        <v>0</v>
      </c>
      <c r="I310" t="n">
        <v>0</v>
      </c>
      <c r="J310" t="n">
        <v>0</v>
      </c>
      <c r="K310" t="n">
        <v>0</v>
      </c>
      <c r="L310" t="n">
        <v>0</v>
      </c>
      <c r="M310" t="n">
        <v>0</v>
      </c>
      <c r="N310" t="n">
        <v>0</v>
      </c>
      <c r="O310" t="n">
        <v>0</v>
      </c>
      <c r="P310" t="n">
        <v>0</v>
      </c>
      <c r="Q310" t="n">
        <v>0</v>
      </c>
      <c r="R310" s="2" t="inlineStr"/>
    </row>
    <row r="311" ht="15" customHeight="1">
      <c r="A311" t="inlineStr">
        <is>
          <t>A 27040-2020</t>
        </is>
      </c>
      <c r="B311" s="1" t="n">
        <v>43991</v>
      </c>
      <c r="C311" s="1" t="n">
        <v>45824</v>
      </c>
      <c r="D311" t="inlineStr">
        <is>
          <t>DALARNAS LÄN</t>
        </is>
      </c>
      <c r="E311" t="inlineStr">
        <is>
          <t>ÄLVDALEN</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27038-2020</t>
        </is>
      </c>
      <c r="B312" s="1" t="n">
        <v>43991</v>
      </c>
      <c r="C312" s="1" t="n">
        <v>45824</v>
      </c>
      <c r="D312" t="inlineStr">
        <is>
          <t>DALARNAS LÄN</t>
        </is>
      </c>
      <c r="E312" t="inlineStr">
        <is>
          <t>ÄLVDALEN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27041-2020</t>
        </is>
      </c>
      <c r="B313" s="1" t="n">
        <v>43991</v>
      </c>
      <c r="C313" s="1" t="n">
        <v>45824</v>
      </c>
      <c r="D313" t="inlineStr">
        <is>
          <t>DALARNAS LÄN</t>
        </is>
      </c>
      <c r="E313" t="inlineStr">
        <is>
          <t>ÄLVDALEN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29545-2020</t>
        </is>
      </c>
      <c r="B314" s="1" t="n">
        <v>44005</v>
      </c>
      <c r="C314" s="1" t="n">
        <v>45824</v>
      </c>
      <c r="D314" t="inlineStr">
        <is>
          <t>DALARNAS LÄN</t>
        </is>
      </c>
      <c r="E314" t="inlineStr">
        <is>
          <t>ÄLVDALEN</t>
        </is>
      </c>
      <c r="F314" t="inlineStr">
        <is>
          <t>Bergvik skog väst AB</t>
        </is>
      </c>
      <c r="G314" t="n">
        <v>7.2</v>
      </c>
      <c r="H314" t="n">
        <v>0</v>
      </c>
      <c r="I314" t="n">
        <v>0</v>
      </c>
      <c r="J314" t="n">
        <v>0</v>
      </c>
      <c r="K314" t="n">
        <v>0</v>
      </c>
      <c r="L314" t="n">
        <v>0</v>
      </c>
      <c r="M314" t="n">
        <v>0</v>
      </c>
      <c r="N314" t="n">
        <v>0</v>
      </c>
      <c r="O314" t="n">
        <v>0</v>
      </c>
      <c r="P314" t="n">
        <v>0</v>
      </c>
      <c r="Q314" t="n">
        <v>0</v>
      </c>
      <c r="R314" s="2" t="inlineStr"/>
    </row>
    <row r="315" ht="15" customHeight="1">
      <c r="A315" t="inlineStr">
        <is>
          <t>A 29703-2020</t>
        </is>
      </c>
      <c r="B315" s="1" t="n">
        <v>44005</v>
      </c>
      <c r="C315" s="1" t="n">
        <v>45824</v>
      </c>
      <c r="D315" t="inlineStr">
        <is>
          <t>DALARNAS LÄN</t>
        </is>
      </c>
      <c r="E315" t="inlineStr">
        <is>
          <t>ÄLVDALEN</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32286-2020</t>
        </is>
      </c>
      <c r="B316" s="1" t="n">
        <v>44015</v>
      </c>
      <c r="C316" s="1" t="n">
        <v>45824</v>
      </c>
      <c r="D316" t="inlineStr">
        <is>
          <t>DALARNAS LÄN</t>
        </is>
      </c>
      <c r="E316" t="inlineStr">
        <is>
          <t>ÄLVDALEN</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32282-2020</t>
        </is>
      </c>
      <c r="B317" s="1" t="n">
        <v>44015</v>
      </c>
      <c r="C317" s="1" t="n">
        <v>45824</v>
      </c>
      <c r="D317" t="inlineStr">
        <is>
          <t>DALARNAS LÄN</t>
        </is>
      </c>
      <c r="E317" t="inlineStr">
        <is>
          <t>ÄLVDALEN</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32285-2020</t>
        </is>
      </c>
      <c r="B318" s="1" t="n">
        <v>44015</v>
      </c>
      <c r="C318" s="1" t="n">
        <v>45824</v>
      </c>
      <c r="D318" t="inlineStr">
        <is>
          <t>DALARNAS LÄN</t>
        </is>
      </c>
      <c r="E318" t="inlineStr">
        <is>
          <t>ÄLVDALEN</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33816-2020</t>
        </is>
      </c>
      <c r="B319" s="1" t="n">
        <v>44027</v>
      </c>
      <c r="C319" s="1" t="n">
        <v>45824</v>
      </c>
      <c r="D319" t="inlineStr">
        <is>
          <t>DALARNAS LÄN</t>
        </is>
      </c>
      <c r="E319" t="inlineStr">
        <is>
          <t>ÄLVDALEN</t>
        </is>
      </c>
      <c r="G319" t="n">
        <v>1.3</v>
      </c>
      <c r="H319" t="n">
        <v>0</v>
      </c>
      <c r="I319" t="n">
        <v>0</v>
      </c>
      <c r="J319" t="n">
        <v>0</v>
      </c>
      <c r="K319" t="n">
        <v>0</v>
      </c>
      <c r="L319" t="n">
        <v>0</v>
      </c>
      <c r="M319" t="n">
        <v>0</v>
      </c>
      <c r="N319" t="n">
        <v>0</v>
      </c>
      <c r="O319" t="n">
        <v>0</v>
      </c>
      <c r="P319" t="n">
        <v>0</v>
      </c>
      <c r="Q319" t="n">
        <v>0</v>
      </c>
      <c r="R319" s="2" t="inlineStr"/>
    </row>
    <row r="320" ht="15" customHeight="1">
      <c r="A320" t="inlineStr">
        <is>
          <t>A 35833-2020</t>
        </is>
      </c>
      <c r="B320" s="1" t="n">
        <v>44047</v>
      </c>
      <c r="C320" s="1" t="n">
        <v>45824</v>
      </c>
      <c r="D320" t="inlineStr">
        <is>
          <t>DALARNAS LÄN</t>
        </is>
      </c>
      <c r="E320" t="inlineStr">
        <is>
          <t>ÄLVDALEN</t>
        </is>
      </c>
      <c r="G320" t="n">
        <v>5.8</v>
      </c>
      <c r="H320" t="n">
        <v>0</v>
      </c>
      <c r="I320" t="n">
        <v>0</v>
      </c>
      <c r="J320" t="n">
        <v>0</v>
      </c>
      <c r="K320" t="n">
        <v>0</v>
      </c>
      <c r="L320" t="n">
        <v>0</v>
      </c>
      <c r="M320" t="n">
        <v>0</v>
      </c>
      <c r="N320" t="n">
        <v>0</v>
      </c>
      <c r="O320" t="n">
        <v>0</v>
      </c>
      <c r="P320" t="n">
        <v>0</v>
      </c>
      <c r="Q320" t="n">
        <v>0</v>
      </c>
      <c r="R320" s="2" t="inlineStr"/>
    </row>
    <row r="321" ht="15" customHeight="1">
      <c r="A321" t="inlineStr">
        <is>
          <t>A 36741-2020</t>
        </is>
      </c>
      <c r="B321" s="1" t="n">
        <v>44053</v>
      </c>
      <c r="C321" s="1" t="n">
        <v>45824</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37580-2020</t>
        </is>
      </c>
      <c r="B322" s="1" t="n">
        <v>44056</v>
      </c>
      <c r="C322" s="1" t="n">
        <v>45824</v>
      </c>
      <c r="D322" t="inlineStr">
        <is>
          <t>DALARNAS LÄN</t>
        </is>
      </c>
      <c r="E322" t="inlineStr">
        <is>
          <t>ÄLVDALEN</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39203-2020</t>
        </is>
      </c>
      <c r="B323" s="1" t="n">
        <v>44063</v>
      </c>
      <c r="C323" s="1" t="n">
        <v>45824</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41831-2020</t>
        </is>
      </c>
      <c r="B324" s="1" t="n">
        <v>44074</v>
      </c>
      <c r="C324" s="1" t="n">
        <v>45824</v>
      </c>
      <c r="D324" t="inlineStr">
        <is>
          <t>DALARNAS LÄN</t>
        </is>
      </c>
      <c r="E324" t="inlineStr">
        <is>
          <t>ÄLVDALEN</t>
        </is>
      </c>
      <c r="G324" t="n">
        <v>2.1</v>
      </c>
      <c r="H324" t="n">
        <v>0</v>
      </c>
      <c r="I324" t="n">
        <v>0</v>
      </c>
      <c r="J324" t="n">
        <v>0</v>
      </c>
      <c r="K324" t="n">
        <v>0</v>
      </c>
      <c r="L324" t="n">
        <v>0</v>
      </c>
      <c r="M324" t="n">
        <v>0</v>
      </c>
      <c r="N324" t="n">
        <v>0</v>
      </c>
      <c r="O324" t="n">
        <v>0</v>
      </c>
      <c r="P324" t="n">
        <v>0</v>
      </c>
      <c r="Q324" t="n">
        <v>0</v>
      </c>
      <c r="R324" s="2" t="inlineStr"/>
    </row>
    <row r="325" ht="15" customHeight="1">
      <c r="A325" t="inlineStr">
        <is>
          <t>A 41814-2020</t>
        </is>
      </c>
      <c r="B325" s="1" t="n">
        <v>44074</v>
      </c>
      <c r="C325" s="1" t="n">
        <v>45824</v>
      </c>
      <c r="D325" t="inlineStr">
        <is>
          <t>DALARNAS LÄN</t>
        </is>
      </c>
      <c r="E325" t="inlineStr">
        <is>
          <t>ÄLVDALEN</t>
        </is>
      </c>
      <c r="G325" t="n">
        <v>0.3</v>
      </c>
      <c r="H325" t="n">
        <v>0</v>
      </c>
      <c r="I325" t="n">
        <v>0</v>
      </c>
      <c r="J325" t="n">
        <v>0</v>
      </c>
      <c r="K325" t="n">
        <v>0</v>
      </c>
      <c r="L325" t="n">
        <v>0</v>
      </c>
      <c r="M325" t="n">
        <v>0</v>
      </c>
      <c r="N325" t="n">
        <v>0</v>
      </c>
      <c r="O325" t="n">
        <v>0</v>
      </c>
      <c r="P325" t="n">
        <v>0</v>
      </c>
      <c r="Q325" t="n">
        <v>0</v>
      </c>
      <c r="R325" s="2" t="inlineStr"/>
    </row>
    <row r="326" ht="15" customHeight="1">
      <c r="A326" t="inlineStr">
        <is>
          <t>A 42861-2020</t>
        </is>
      </c>
      <c r="B326" s="1" t="n">
        <v>44078</v>
      </c>
      <c r="C326" s="1" t="n">
        <v>45824</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46881-2020</t>
        </is>
      </c>
      <c r="B327" s="1" t="n">
        <v>44096</v>
      </c>
      <c r="C327" s="1" t="n">
        <v>45824</v>
      </c>
      <c r="D327" t="inlineStr">
        <is>
          <t>DALARNAS LÄN</t>
        </is>
      </c>
      <c r="E327" t="inlineStr">
        <is>
          <t>ÄLVDALEN</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46893-2020</t>
        </is>
      </c>
      <c r="B328" s="1" t="n">
        <v>44096</v>
      </c>
      <c r="C328" s="1" t="n">
        <v>45824</v>
      </c>
      <c r="D328" t="inlineStr">
        <is>
          <t>DALARNAS LÄN</t>
        </is>
      </c>
      <c r="E328" t="inlineStr">
        <is>
          <t>ÄLVDALEN</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49737-2020</t>
        </is>
      </c>
      <c r="B329" s="1" t="n">
        <v>44106</v>
      </c>
      <c r="C329" s="1" t="n">
        <v>45824</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49587-2020</t>
        </is>
      </c>
      <c r="B330" s="1" t="n">
        <v>44106</v>
      </c>
      <c r="C330" s="1" t="n">
        <v>45824</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49734-2020</t>
        </is>
      </c>
      <c r="B331" s="1" t="n">
        <v>44106</v>
      </c>
      <c r="C331" s="1" t="n">
        <v>45824</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49956-2020</t>
        </is>
      </c>
      <c r="B332" s="1" t="n">
        <v>44109</v>
      </c>
      <c r="C332" s="1" t="n">
        <v>45824</v>
      </c>
      <c r="D332" t="inlineStr">
        <is>
          <t>DALARNAS LÄN</t>
        </is>
      </c>
      <c r="E332" t="inlineStr">
        <is>
          <t>ÄLVDALEN</t>
        </is>
      </c>
      <c r="F332" t="inlineStr">
        <is>
          <t>Övriga Aktiebolag</t>
        </is>
      </c>
      <c r="G332" t="n">
        <v>25.8</v>
      </c>
      <c r="H332" t="n">
        <v>0</v>
      </c>
      <c r="I332" t="n">
        <v>0</v>
      </c>
      <c r="J332" t="n">
        <v>0</v>
      </c>
      <c r="K332" t="n">
        <v>0</v>
      </c>
      <c r="L332" t="n">
        <v>0</v>
      </c>
      <c r="M332" t="n">
        <v>0</v>
      </c>
      <c r="N332" t="n">
        <v>0</v>
      </c>
      <c r="O332" t="n">
        <v>0</v>
      </c>
      <c r="P332" t="n">
        <v>0</v>
      </c>
      <c r="Q332" t="n">
        <v>0</v>
      </c>
      <c r="R332" s="2" t="inlineStr"/>
    </row>
    <row r="333" ht="15" customHeight="1">
      <c r="A333" t="inlineStr">
        <is>
          <t>A 49968-2020</t>
        </is>
      </c>
      <c r="B333" s="1" t="n">
        <v>44109</v>
      </c>
      <c r="C333" s="1" t="n">
        <v>45824</v>
      </c>
      <c r="D333" t="inlineStr">
        <is>
          <t>DALARNAS LÄN</t>
        </is>
      </c>
      <c r="E333" t="inlineStr">
        <is>
          <t>ÄLVDALEN</t>
        </is>
      </c>
      <c r="F333" t="inlineStr">
        <is>
          <t>Övriga Aktiebolag</t>
        </is>
      </c>
      <c r="G333" t="n">
        <v>11.8</v>
      </c>
      <c r="H333" t="n">
        <v>0</v>
      </c>
      <c r="I333" t="n">
        <v>0</v>
      </c>
      <c r="J333" t="n">
        <v>0</v>
      </c>
      <c r="K333" t="n">
        <v>0</v>
      </c>
      <c r="L333" t="n">
        <v>0</v>
      </c>
      <c r="M333" t="n">
        <v>0</v>
      </c>
      <c r="N333" t="n">
        <v>0</v>
      </c>
      <c r="O333" t="n">
        <v>0</v>
      </c>
      <c r="P333" t="n">
        <v>0</v>
      </c>
      <c r="Q333" t="n">
        <v>0</v>
      </c>
      <c r="R333" s="2" t="inlineStr"/>
    </row>
    <row r="334" ht="15" customHeight="1">
      <c r="A334" t="inlineStr">
        <is>
          <t>A 51519-2020</t>
        </is>
      </c>
      <c r="B334" s="1" t="n">
        <v>44113</v>
      </c>
      <c r="C334" s="1" t="n">
        <v>45824</v>
      </c>
      <c r="D334" t="inlineStr">
        <is>
          <t>DALARNAS LÄN</t>
        </is>
      </c>
      <c r="E334" t="inlineStr">
        <is>
          <t>ÄLVDALEN</t>
        </is>
      </c>
      <c r="G334" t="n">
        <v>0.8</v>
      </c>
      <c r="H334" t="n">
        <v>0</v>
      </c>
      <c r="I334" t="n">
        <v>0</v>
      </c>
      <c r="J334" t="n">
        <v>0</v>
      </c>
      <c r="K334" t="n">
        <v>0</v>
      </c>
      <c r="L334" t="n">
        <v>0</v>
      </c>
      <c r="M334" t="n">
        <v>0</v>
      </c>
      <c r="N334" t="n">
        <v>0</v>
      </c>
      <c r="O334" t="n">
        <v>0</v>
      </c>
      <c r="P334" t="n">
        <v>0</v>
      </c>
      <c r="Q334" t="n">
        <v>0</v>
      </c>
      <c r="R334" s="2" t="inlineStr"/>
    </row>
    <row r="335" ht="15" customHeight="1">
      <c r="A335" t="inlineStr">
        <is>
          <t>A 52401-2020</t>
        </is>
      </c>
      <c r="B335" s="1" t="n">
        <v>44113</v>
      </c>
      <c r="C335" s="1" t="n">
        <v>45824</v>
      </c>
      <c r="D335" t="inlineStr">
        <is>
          <t>DALARNAS LÄN</t>
        </is>
      </c>
      <c r="E335" t="inlineStr">
        <is>
          <t>ÄLVDALEN</t>
        </is>
      </c>
      <c r="G335" t="n">
        <v>4.4</v>
      </c>
      <c r="H335" t="n">
        <v>0</v>
      </c>
      <c r="I335" t="n">
        <v>0</v>
      </c>
      <c r="J335" t="n">
        <v>0</v>
      </c>
      <c r="K335" t="n">
        <v>0</v>
      </c>
      <c r="L335" t="n">
        <v>0</v>
      </c>
      <c r="M335" t="n">
        <v>0</v>
      </c>
      <c r="N335" t="n">
        <v>0</v>
      </c>
      <c r="O335" t="n">
        <v>0</v>
      </c>
      <c r="P335" t="n">
        <v>0</v>
      </c>
      <c r="Q335" t="n">
        <v>0</v>
      </c>
      <c r="R335" s="2" t="inlineStr"/>
    </row>
    <row r="336" ht="15" customHeight="1">
      <c r="A336" t="inlineStr">
        <is>
          <t>A 54138-2020</t>
        </is>
      </c>
      <c r="B336" s="1" t="n">
        <v>44125</v>
      </c>
      <c r="C336" s="1" t="n">
        <v>45824</v>
      </c>
      <c r="D336" t="inlineStr">
        <is>
          <t>DALARNAS LÄN</t>
        </is>
      </c>
      <c r="E336" t="inlineStr">
        <is>
          <t>ÄLVDALEN</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54338-2020</t>
        </is>
      </c>
      <c r="B337" s="1" t="n">
        <v>44126</v>
      </c>
      <c r="C337" s="1" t="n">
        <v>45824</v>
      </c>
      <c r="D337" t="inlineStr">
        <is>
          <t>DALARNAS LÄN</t>
        </is>
      </c>
      <c r="E337" t="inlineStr">
        <is>
          <t>ÄLVDALEN</t>
        </is>
      </c>
      <c r="G337" t="n">
        <v>3.4</v>
      </c>
      <c r="H337" t="n">
        <v>0</v>
      </c>
      <c r="I337" t="n">
        <v>0</v>
      </c>
      <c r="J337" t="n">
        <v>0</v>
      </c>
      <c r="K337" t="n">
        <v>0</v>
      </c>
      <c r="L337" t="n">
        <v>0</v>
      </c>
      <c r="M337" t="n">
        <v>0</v>
      </c>
      <c r="N337" t="n">
        <v>0</v>
      </c>
      <c r="O337" t="n">
        <v>0</v>
      </c>
      <c r="P337" t="n">
        <v>0</v>
      </c>
      <c r="Q337" t="n">
        <v>0</v>
      </c>
      <c r="R337" s="2" t="inlineStr"/>
    </row>
    <row r="338" ht="15" customHeight="1">
      <c r="A338" t="inlineStr">
        <is>
          <t>A 58004-2020</t>
        </is>
      </c>
      <c r="B338" s="1" t="n">
        <v>44140</v>
      </c>
      <c r="C338" s="1" t="n">
        <v>45824</v>
      </c>
      <c r="D338" t="inlineStr">
        <is>
          <t>DALARNAS LÄN</t>
        </is>
      </c>
      <c r="E338" t="inlineStr">
        <is>
          <t>ÄLVDALEN</t>
        </is>
      </c>
      <c r="G338" t="n">
        <v>2.9</v>
      </c>
      <c r="H338" t="n">
        <v>0</v>
      </c>
      <c r="I338" t="n">
        <v>0</v>
      </c>
      <c r="J338" t="n">
        <v>0</v>
      </c>
      <c r="K338" t="n">
        <v>0</v>
      </c>
      <c r="L338" t="n">
        <v>0</v>
      </c>
      <c r="M338" t="n">
        <v>0</v>
      </c>
      <c r="N338" t="n">
        <v>0</v>
      </c>
      <c r="O338" t="n">
        <v>0</v>
      </c>
      <c r="P338" t="n">
        <v>0</v>
      </c>
      <c r="Q338" t="n">
        <v>0</v>
      </c>
      <c r="R338" s="2" t="inlineStr"/>
    </row>
    <row r="339" ht="15" customHeight="1">
      <c r="A339" t="inlineStr">
        <is>
          <t>A 58571-2020</t>
        </is>
      </c>
      <c r="B339" s="1" t="n">
        <v>44145</v>
      </c>
      <c r="C339" s="1" t="n">
        <v>45824</v>
      </c>
      <c r="D339" t="inlineStr">
        <is>
          <t>DALARNAS LÄN</t>
        </is>
      </c>
      <c r="E339" t="inlineStr">
        <is>
          <t>ÄLVDALEN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58573-2020</t>
        </is>
      </c>
      <c r="B340" s="1" t="n">
        <v>44145</v>
      </c>
      <c r="C340" s="1" t="n">
        <v>45824</v>
      </c>
      <c r="D340" t="inlineStr">
        <is>
          <t>DALARNAS LÄN</t>
        </is>
      </c>
      <c r="E340" t="inlineStr">
        <is>
          <t>ÄLVDALEN</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58719-2020</t>
        </is>
      </c>
      <c r="B341" s="1" t="n">
        <v>44146</v>
      </c>
      <c r="C341" s="1" t="n">
        <v>45824</v>
      </c>
      <c r="D341" t="inlineStr">
        <is>
          <t>DALARNAS LÄN</t>
        </is>
      </c>
      <c r="E341" t="inlineStr">
        <is>
          <t>ÄLVDALEN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58718-2020</t>
        </is>
      </c>
      <c r="B342" s="1" t="n">
        <v>44146</v>
      </c>
      <c r="C342" s="1" t="n">
        <v>45824</v>
      </c>
      <c r="D342" t="inlineStr">
        <is>
          <t>DALARNAS LÄN</t>
        </is>
      </c>
      <c r="E342" t="inlineStr">
        <is>
          <t>ÄLVDALEN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61160-2020</t>
        </is>
      </c>
      <c r="B343" s="1" t="n">
        <v>44153</v>
      </c>
      <c r="C343" s="1" t="n">
        <v>45824</v>
      </c>
      <c r="D343" t="inlineStr">
        <is>
          <t>DALARNAS LÄN</t>
        </is>
      </c>
      <c r="E343" t="inlineStr">
        <is>
          <t>ÄLVDALEN</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63296-2020</t>
        </is>
      </c>
      <c r="B344" s="1" t="n">
        <v>44165</v>
      </c>
      <c r="C344" s="1" t="n">
        <v>45824</v>
      </c>
      <c r="D344" t="inlineStr">
        <is>
          <t>DALARNAS LÄN</t>
        </is>
      </c>
      <c r="E344" t="inlineStr">
        <is>
          <t>ÄLVDALEN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66589-2020</t>
        </is>
      </c>
      <c r="B345" s="1" t="n">
        <v>44179</v>
      </c>
      <c r="C345" s="1" t="n">
        <v>45824</v>
      </c>
      <c r="D345" t="inlineStr">
        <is>
          <t>DALARNAS LÄN</t>
        </is>
      </c>
      <c r="E345" t="inlineStr">
        <is>
          <t>ÄLVDALEN</t>
        </is>
      </c>
      <c r="G345" t="n">
        <v>3.3</v>
      </c>
      <c r="H345" t="n">
        <v>0</v>
      </c>
      <c r="I345" t="n">
        <v>0</v>
      </c>
      <c r="J345" t="n">
        <v>0</v>
      </c>
      <c r="K345" t="n">
        <v>0</v>
      </c>
      <c r="L345" t="n">
        <v>0</v>
      </c>
      <c r="M345" t="n">
        <v>0</v>
      </c>
      <c r="N345" t="n">
        <v>0</v>
      </c>
      <c r="O345" t="n">
        <v>0</v>
      </c>
      <c r="P345" t="n">
        <v>0</v>
      </c>
      <c r="Q345" t="n">
        <v>0</v>
      </c>
      <c r="R345" s="2" t="inlineStr"/>
    </row>
    <row r="346" ht="15" customHeight="1">
      <c r="A346" t="inlineStr">
        <is>
          <t>A 33-2021</t>
        </is>
      </c>
      <c r="B346" s="1" t="n">
        <v>44198</v>
      </c>
      <c r="C346" s="1" t="n">
        <v>45824</v>
      </c>
      <c r="D346" t="inlineStr">
        <is>
          <t>DALARNAS LÄN</t>
        </is>
      </c>
      <c r="E346" t="inlineStr">
        <is>
          <t>ÄLVDALEN</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203-2021</t>
        </is>
      </c>
      <c r="B347" s="1" t="n">
        <v>44200</v>
      </c>
      <c r="C347" s="1" t="n">
        <v>45824</v>
      </c>
      <c r="D347" t="inlineStr">
        <is>
          <t>DALARNAS LÄN</t>
        </is>
      </c>
      <c r="E347" t="inlineStr">
        <is>
          <t>ÄLVDALEN</t>
        </is>
      </c>
      <c r="F347" t="inlineStr">
        <is>
          <t>Övriga statliga verk och myndigheter</t>
        </is>
      </c>
      <c r="G347" t="n">
        <v>19.1</v>
      </c>
      <c r="H347" t="n">
        <v>0</v>
      </c>
      <c r="I347" t="n">
        <v>0</v>
      </c>
      <c r="J347" t="n">
        <v>0</v>
      </c>
      <c r="K347" t="n">
        <v>0</v>
      </c>
      <c r="L347" t="n">
        <v>0</v>
      </c>
      <c r="M347" t="n">
        <v>0</v>
      </c>
      <c r="N347" t="n">
        <v>0</v>
      </c>
      <c r="O347" t="n">
        <v>0</v>
      </c>
      <c r="P347" t="n">
        <v>0</v>
      </c>
      <c r="Q347" t="n">
        <v>0</v>
      </c>
      <c r="R347" s="2" t="inlineStr"/>
    </row>
    <row r="348" ht="15" customHeight="1">
      <c r="A348" t="inlineStr">
        <is>
          <t>A 257-2021</t>
        </is>
      </c>
      <c r="B348" s="1" t="n">
        <v>44200</v>
      </c>
      <c r="C348" s="1" t="n">
        <v>45824</v>
      </c>
      <c r="D348" t="inlineStr">
        <is>
          <t>DALARNAS LÄN</t>
        </is>
      </c>
      <c r="E348" t="inlineStr">
        <is>
          <t>ÄLVDALEN</t>
        </is>
      </c>
      <c r="F348" t="inlineStr">
        <is>
          <t>Övriga statliga verk och myndigheter</t>
        </is>
      </c>
      <c r="G348" t="n">
        <v>6.1</v>
      </c>
      <c r="H348" t="n">
        <v>0</v>
      </c>
      <c r="I348" t="n">
        <v>0</v>
      </c>
      <c r="J348" t="n">
        <v>0</v>
      </c>
      <c r="K348" t="n">
        <v>0</v>
      </c>
      <c r="L348" t="n">
        <v>0</v>
      </c>
      <c r="M348" t="n">
        <v>0</v>
      </c>
      <c r="N348" t="n">
        <v>0</v>
      </c>
      <c r="O348" t="n">
        <v>0</v>
      </c>
      <c r="P348" t="n">
        <v>0</v>
      </c>
      <c r="Q348" t="n">
        <v>0</v>
      </c>
      <c r="R348" s="2" t="inlineStr"/>
    </row>
    <row r="349" ht="15" customHeight="1">
      <c r="A349" t="inlineStr">
        <is>
          <t>A 333-2021</t>
        </is>
      </c>
      <c r="B349" s="1" t="n">
        <v>44201</v>
      </c>
      <c r="C349" s="1" t="n">
        <v>45824</v>
      </c>
      <c r="D349" t="inlineStr">
        <is>
          <t>DALARNAS LÄN</t>
        </is>
      </c>
      <c r="E349" t="inlineStr">
        <is>
          <t>ÄLVDALEN</t>
        </is>
      </c>
      <c r="F349" t="inlineStr">
        <is>
          <t>Övriga statliga verk och myndigheter</t>
        </is>
      </c>
      <c r="G349" t="n">
        <v>5.4</v>
      </c>
      <c r="H349" t="n">
        <v>0</v>
      </c>
      <c r="I349" t="n">
        <v>0</v>
      </c>
      <c r="J349" t="n">
        <v>0</v>
      </c>
      <c r="K349" t="n">
        <v>0</v>
      </c>
      <c r="L349" t="n">
        <v>0</v>
      </c>
      <c r="M349" t="n">
        <v>0</v>
      </c>
      <c r="N349" t="n">
        <v>0</v>
      </c>
      <c r="O349" t="n">
        <v>0</v>
      </c>
      <c r="P349" t="n">
        <v>0</v>
      </c>
      <c r="Q349" t="n">
        <v>0</v>
      </c>
      <c r="R349" s="2" t="inlineStr"/>
    </row>
    <row r="350" ht="15" customHeight="1">
      <c r="A350" t="inlineStr">
        <is>
          <t>A 435-2021</t>
        </is>
      </c>
      <c r="B350" s="1" t="n">
        <v>44201</v>
      </c>
      <c r="C350" s="1" t="n">
        <v>45824</v>
      </c>
      <c r="D350" t="inlineStr">
        <is>
          <t>DALARNAS LÄN</t>
        </is>
      </c>
      <c r="E350" t="inlineStr">
        <is>
          <t>ÄLVDALEN</t>
        </is>
      </c>
      <c r="F350" t="inlineStr">
        <is>
          <t>Övriga statliga verk och myndigheter</t>
        </is>
      </c>
      <c r="G350" t="n">
        <v>1.7</v>
      </c>
      <c r="H350" t="n">
        <v>0</v>
      </c>
      <c r="I350" t="n">
        <v>0</v>
      </c>
      <c r="J350" t="n">
        <v>0</v>
      </c>
      <c r="K350" t="n">
        <v>0</v>
      </c>
      <c r="L350" t="n">
        <v>0</v>
      </c>
      <c r="M350" t="n">
        <v>0</v>
      </c>
      <c r="N350" t="n">
        <v>0</v>
      </c>
      <c r="O350" t="n">
        <v>0</v>
      </c>
      <c r="P350" t="n">
        <v>0</v>
      </c>
      <c r="Q350" t="n">
        <v>0</v>
      </c>
      <c r="R350" s="2" t="inlineStr"/>
    </row>
    <row r="351" ht="15" customHeight="1">
      <c r="A351" t="inlineStr">
        <is>
          <t>A 1871-2021</t>
        </is>
      </c>
      <c r="B351" s="1" t="n">
        <v>44210</v>
      </c>
      <c r="C351" s="1" t="n">
        <v>45824</v>
      </c>
      <c r="D351" t="inlineStr">
        <is>
          <t>DALARNAS LÄN</t>
        </is>
      </c>
      <c r="E351" t="inlineStr">
        <is>
          <t>ÄLVDALEN</t>
        </is>
      </c>
      <c r="F351" t="inlineStr">
        <is>
          <t>Övriga statliga verk och myndigheter</t>
        </is>
      </c>
      <c r="G351" t="n">
        <v>4.8</v>
      </c>
      <c r="H351" t="n">
        <v>0</v>
      </c>
      <c r="I351" t="n">
        <v>0</v>
      </c>
      <c r="J351" t="n">
        <v>0</v>
      </c>
      <c r="K351" t="n">
        <v>0</v>
      </c>
      <c r="L351" t="n">
        <v>0</v>
      </c>
      <c r="M351" t="n">
        <v>0</v>
      </c>
      <c r="N351" t="n">
        <v>0</v>
      </c>
      <c r="O351" t="n">
        <v>0</v>
      </c>
      <c r="P351" t="n">
        <v>0</v>
      </c>
      <c r="Q351" t="n">
        <v>0</v>
      </c>
      <c r="R351" s="2" t="inlineStr"/>
    </row>
    <row r="352" ht="15" customHeight="1">
      <c r="A352" t="inlineStr">
        <is>
          <t>A 1872-2021</t>
        </is>
      </c>
      <c r="B352" s="1" t="n">
        <v>44210</v>
      </c>
      <c r="C352" s="1" t="n">
        <v>45824</v>
      </c>
      <c r="D352" t="inlineStr">
        <is>
          <t>DALARNAS LÄN</t>
        </is>
      </c>
      <c r="E352" t="inlineStr">
        <is>
          <t>ÄLVDALEN</t>
        </is>
      </c>
      <c r="F352" t="inlineStr">
        <is>
          <t>Övriga statliga verk och myndigheter</t>
        </is>
      </c>
      <c r="G352" t="n">
        <v>19.6</v>
      </c>
      <c r="H352" t="n">
        <v>0</v>
      </c>
      <c r="I352" t="n">
        <v>0</v>
      </c>
      <c r="J352" t="n">
        <v>0</v>
      </c>
      <c r="K352" t="n">
        <v>0</v>
      </c>
      <c r="L352" t="n">
        <v>0</v>
      </c>
      <c r="M352" t="n">
        <v>0</v>
      </c>
      <c r="N352" t="n">
        <v>0</v>
      </c>
      <c r="O352" t="n">
        <v>0</v>
      </c>
      <c r="P352" t="n">
        <v>0</v>
      </c>
      <c r="Q352" t="n">
        <v>0</v>
      </c>
      <c r="R352" s="2" t="inlineStr"/>
    </row>
    <row r="353" ht="15" customHeight="1">
      <c r="A353" t="inlineStr">
        <is>
          <t>A 2219-2021</t>
        </is>
      </c>
      <c r="B353" s="1" t="n">
        <v>44210</v>
      </c>
      <c r="C353" s="1" t="n">
        <v>45824</v>
      </c>
      <c r="D353" t="inlineStr">
        <is>
          <t>DALARNAS LÄN</t>
        </is>
      </c>
      <c r="E353" t="inlineStr">
        <is>
          <t>ÄLVDALEN</t>
        </is>
      </c>
      <c r="F353" t="inlineStr">
        <is>
          <t>Övriga statliga verk och myndigheter</t>
        </is>
      </c>
      <c r="G353" t="n">
        <v>1.3</v>
      </c>
      <c r="H353" t="n">
        <v>0</v>
      </c>
      <c r="I353" t="n">
        <v>0</v>
      </c>
      <c r="J353" t="n">
        <v>0</v>
      </c>
      <c r="K353" t="n">
        <v>0</v>
      </c>
      <c r="L353" t="n">
        <v>0</v>
      </c>
      <c r="M353" t="n">
        <v>0</v>
      </c>
      <c r="N353" t="n">
        <v>0</v>
      </c>
      <c r="O353" t="n">
        <v>0</v>
      </c>
      <c r="P353" t="n">
        <v>0</v>
      </c>
      <c r="Q353" t="n">
        <v>0</v>
      </c>
      <c r="R353" s="2" t="inlineStr"/>
    </row>
    <row r="354" ht="15" customHeight="1">
      <c r="A354" t="inlineStr">
        <is>
          <t>A 2690-2021</t>
        </is>
      </c>
      <c r="B354" s="1" t="n">
        <v>44214</v>
      </c>
      <c r="C354" s="1" t="n">
        <v>45824</v>
      </c>
      <c r="D354" t="inlineStr">
        <is>
          <t>DALARNAS LÄN</t>
        </is>
      </c>
      <c r="E354" t="inlineStr">
        <is>
          <t>ÄLVDALEN</t>
        </is>
      </c>
      <c r="F354" t="inlineStr">
        <is>
          <t>Allmännings- och besparingsskogar</t>
        </is>
      </c>
      <c r="G354" t="n">
        <v>70.3</v>
      </c>
      <c r="H354" t="n">
        <v>0</v>
      </c>
      <c r="I354" t="n">
        <v>0</v>
      </c>
      <c r="J354" t="n">
        <v>0</v>
      </c>
      <c r="K354" t="n">
        <v>0</v>
      </c>
      <c r="L354" t="n">
        <v>0</v>
      </c>
      <c r="M354" t="n">
        <v>0</v>
      </c>
      <c r="N354" t="n">
        <v>0</v>
      </c>
      <c r="O354" t="n">
        <v>0</v>
      </c>
      <c r="P354" t="n">
        <v>0</v>
      </c>
      <c r="Q354" t="n">
        <v>0</v>
      </c>
      <c r="R354" s="2" t="inlineStr"/>
    </row>
    <row r="355" ht="15" customHeight="1">
      <c r="A355" t="inlineStr">
        <is>
          <t>A 2746-2021</t>
        </is>
      </c>
      <c r="B355" s="1" t="n">
        <v>44215</v>
      </c>
      <c r="C355" s="1" t="n">
        <v>45824</v>
      </c>
      <c r="D355" t="inlineStr">
        <is>
          <t>DALARNAS LÄN</t>
        </is>
      </c>
      <c r="E355" t="inlineStr">
        <is>
          <t>ÄLVDALEN</t>
        </is>
      </c>
      <c r="F355" t="inlineStr">
        <is>
          <t>Kommuner</t>
        </is>
      </c>
      <c r="G355" t="n">
        <v>14.7</v>
      </c>
      <c r="H355" t="n">
        <v>0</v>
      </c>
      <c r="I355" t="n">
        <v>0</v>
      </c>
      <c r="J355" t="n">
        <v>0</v>
      </c>
      <c r="K355" t="n">
        <v>0</v>
      </c>
      <c r="L355" t="n">
        <v>0</v>
      </c>
      <c r="M355" t="n">
        <v>0</v>
      </c>
      <c r="N355" t="n">
        <v>0</v>
      </c>
      <c r="O355" t="n">
        <v>0</v>
      </c>
      <c r="P355" t="n">
        <v>0</v>
      </c>
      <c r="Q355" t="n">
        <v>0</v>
      </c>
      <c r="R355" s="2" t="inlineStr"/>
    </row>
    <row r="356" ht="15" customHeight="1">
      <c r="A356" t="inlineStr">
        <is>
          <t>A 4034-2021</t>
        </is>
      </c>
      <c r="B356" s="1" t="n">
        <v>44222</v>
      </c>
      <c r="C356" s="1" t="n">
        <v>45824</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4589-2021</t>
        </is>
      </c>
      <c r="B357" s="1" t="n">
        <v>44224</v>
      </c>
      <c r="C357" s="1" t="n">
        <v>45824</v>
      </c>
      <c r="D357" t="inlineStr">
        <is>
          <t>DALARNAS LÄN</t>
        </is>
      </c>
      <c r="E357" t="inlineStr">
        <is>
          <t>ÄLVDALEN</t>
        </is>
      </c>
      <c r="G357" t="n">
        <v>4.9</v>
      </c>
      <c r="H357" t="n">
        <v>0</v>
      </c>
      <c r="I357" t="n">
        <v>0</v>
      </c>
      <c r="J357" t="n">
        <v>0</v>
      </c>
      <c r="K357" t="n">
        <v>0</v>
      </c>
      <c r="L357" t="n">
        <v>0</v>
      </c>
      <c r="M357" t="n">
        <v>0</v>
      </c>
      <c r="N357" t="n">
        <v>0</v>
      </c>
      <c r="O357" t="n">
        <v>0</v>
      </c>
      <c r="P357" t="n">
        <v>0</v>
      </c>
      <c r="Q357" t="n">
        <v>0</v>
      </c>
      <c r="R357" s="2" t="inlineStr"/>
    </row>
    <row r="358" ht="15" customHeight="1">
      <c r="A358" t="inlineStr">
        <is>
          <t>A 5319-2021</t>
        </is>
      </c>
      <c r="B358" s="1" t="n">
        <v>44229</v>
      </c>
      <c r="C358" s="1" t="n">
        <v>45824</v>
      </c>
      <c r="D358" t="inlineStr">
        <is>
          <t>DALARNAS LÄN</t>
        </is>
      </c>
      <c r="E358" t="inlineStr">
        <is>
          <t>ÄLVDALEN</t>
        </is>
      </c>
      <c r="F358" t="inlineStr">
        <is>
          <t>Kommuner</t>
        </is>
      </c>
      <c r="G358" t="n">
        <v>15.3</v>
      </c>
      <c r="H358" t="n">
        <v>0</v>
      </c>
      <c r="I358" t="n">
        <v>0</v>
      </c>
      <c r="J358" t="n">
        <v>0</v>
      </c>
      <c r="K358" t="n">
        <v>0</v>
      </c>
      <c r="L358" t="n">
        <v>0</v>
      </c>
      <c r="M358" t="n">
        <v>0</v>
      </c>
      <c r="N358" t="n">
        <v>0</v>
      </c>
      <c r="O358" t="n">
        <v>0</v>
      </c>
      <c r="P358" t="n">
        <v>0</v>
      </c>
      <c r="Q358" t="n">
        <v>0</v>
      </c>
      <c r="R358" s="2" t="inlineStr"/>
    </row>
    <row r="359" ht="15" customHeight="1">
      <c r="A359" t="inlineStr">
        <is>
          <t>A 5567-2021</t>
        </is>
      </c>
      <c r="B359" s="1" t="n">
        <v>44230</v>
      </c>
      <c r="C359" s="1" t="n">
        <v>45824</v>
      </c>
      <c r="D359" t="inlineStr">
        <is>
          <t>DALARNAS LÄN</t>
        </is>
      </c>
      <c r="E359" t="inlineStr">
        <is>
          <t>ÄLVDALEN</t>
        </is>
      </c>
      <c r="F359" t="inlineStr">
        <is>
          <t>Övriga statliga verk och myndigheter</t>
        </is>
      </c>
      <c r="G359" t="n">
        <v>29.1</v>
      </c>
      <c r="H359" t="n">
        <v>0</v>
      </c>
      <c r="I359" t="n">
        <v>0</v>
      </c>
      <c r="J359" t="n">
        <v>0</v>
      </c>
      <c r="K359" t="n">
        <v>0</v>
      </c>
      <c r="L359" t="n">
        <v>0</v>
      </c>
      <c r="M359" t="n">
        <v>0</v>
      </c>
      <c r="N359" t="n">
        <v>0</v>
      </c>
      <c r="O359" t="n">
        <v>0</v>
      </c>
      <c r="P359" t="n">
        <v>0</v>
      </c>
      <c r="Q359" t="n">
        <v>0</v>
      </c>
      <c r="R359" s="2" t="inlineStr"/>
    </row>
    <row r="360" ht="15" customHeight="1">
      <c r="A360" t="inlineStr">
        <is>
          <t>A 7164-2021</t>
        </is>
      </c>
      <c r="B360" s="1" t="n">
        <v>44238</v>
      </c>
      <c r="C360" s="1" t="n">
        <v>45824</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7232-2021</t>
        </is>
      </c>
      <c r="B361" s="1" t="n">
        <v>44238</v>
      </c>
      <c r="C361" s="1" t="n">
        <v>45824</v>
      </c>
      <c r="D361" t="inlineStr">
        <is>
          <t>DALARNAS LÄN</t>
        </is>
      </c>
      <c r="E361" t="inlineStr">
        <is>
          <t>ÄLVDALEN</t>
        </is>
      </c>
      <c r="G361" t="n">
        <v>1.3</v>
      </c>
      <c r="H361" t="n">
        <v>0</v>
      </c>
      <c r="I361" t="n">
        <v>0</v>
      </c>
      <c r="J361" t="n">
        <v>0</v>
      </c>
      <c r="K361" t="n">
        <v>0</v>
      </c>
      <c r="L361" t="n">
        <v>0</v>
      </c>
      <c r="M361" t="n">
        <v>0</v>
      </c>
      <c r="N361" t="n">
        <v>0</v>
      </c>
      <c r="O361" t="n">
        <v>0</v>
      </c>
      <c r="P361" t="n">
        <v>0</v>
      </c>
      <c r="Q361" t="n">
        <v>0</v>
      </c>
      <c r="R361" s="2" t="inlineStr"/>
    </row>
    <row r="362" ht="15" customHeight="1">
      <c r="A362" t="inlineStr">
        <is>
          <t>A 11032-2021</t>
        </is>
      </c>
      <c r="B362" s="1" t="n">
        <v>44260</v>
      </c>
      <c r="C362" s="1" t="n">
        <v>45824</v>
      </c>
      <c r="D362" t="inlineStr">
        <is>
          <t>DALARNAS LÄN</t>
        </is>
      </c>
      <c r="E362" t="inlineStr">
        <is>
          <t>ÄLVDALEN</t>
        </is>
      </c>
      <c r="F362" t="inlineStr">
        <is>
          <t>Övriga statliga verk och myndigheter</t>
        </is>
      </c>
      <c r="G362" t="n">
        <v>35.9</v>
      </c>
      <c r="H362" t="n">
        <v>0</v>
      </c>
      <c r="I362" t="n">
        <v>0</v>
      </c>
      <c r="J362" t="n">
        <v>0</v>
      </c>
      <c r="K362" t="n">
        <v>0</v>
      </c>
      <c r="L362" t="n">
        <v>0</v>
      </c>
      <c r="M362" t="n">
        <v>0</v>
      </c>
      <c r="N362" t="n">
        <v>0</v>
      </c>
      <c r="O362" t="n">
        <v>0</v>
      </c>
      <c r="P362" t="n">
        <v>0</v>
      </c>
      <c r="Q362" t="n">
        <v>0</v>
      </c>
      <c r="R362" s="2" t="inlineStr"/>
    </row>
    <row r="363" ht="15" customHeight="1">
      <c r="A363" t="inlineStr">
        <is>
          <t>A 14290-2021</t>
        </is>
      </c>
      <c r="B363" s="1" t="n">
        <v>44278</v>
      </c>
      <c r="C363" s="1" t="n">
        <v>45824</v>
      </c>
      <c r="D363" t="inlineStr">
        <is>
          <t>DALARNAS LÄN</t>
        </is>
      </c>
      <c r="E363" t="inlineStr">
        <is>
          <t>ÄLVDALEN</t>
        </is>
      </c>
      <c r="G363" t="n">
        <v>1.9</v>
      </c>
      <c r="H363" t="n">
        <v>0</v>
      </c>
      <c r="I363" t="n">
        <v>0</v>
      </c>
      <c r="J363" t="n">
        <v>0</v>
      </c>
      <c r="K363" t="n">
        <v>0</v>
      </c>
      <c r="L363" t="n">
        <v>0</v>
      </c>
      <c r="M363" t="n">
        <v>0</v>
      </c>
      <c r="N363" t="n">
        <v>0</v>
      </c>
      <c r="O363" t="n">
        <v>0</v>
      </c>
      <c r="P363" t="n">
        <v>0</v>
      </c>
      <c r="Q363" t="n">
        <v>0</v>
      </c>
      <c r="R363" s="2" t="inlineStr"/>
    </row>
    <row r="364" ht="15" customHeight="1">
      <c r="A364" t="inlineStr">
        <is>
          <t>A 14548-2021</t>
        </is>
      </c>
      <c r="B364" s="1" t="n">
        <v>44279</v>
      </c>
      <c r="C364" s="1" t="n">
        <v>45824</v>
      </c>
      <c r="D364" t="inlineStr">
        <is>
          <t>DALARNAS LÄN</t>
        </is>
      </c>
      <c r="E364" t="inlineStr">
        <is>
          <t>ÄLVDALEN</t>
        </is>
      </c>
      <c r="G364" t="n">
        <v>6</v>
      </c>
      <c r="H364" t="n">
        <v>0</v>
      </c>
      <c r="I364" t="n">
        <v>0</v>
      </c>
      <c r="J364" t="n">
        <v>0</v>
      </c>
      <c r="K364" t="n">
        <v>0</v>
      </c>
      <c r="L364" t="n">
        <v>0</v>
      </c>
      <c r="M364" t="n">
        <v>0</v>
      </c>
      <c r="N364" t="n">
        <v>0</v>
      </c>
      <c r="O364" t="n">
        <v>0</v>
      </c>
      <c r="P364" t="n">
        <v>0</v>
      </c>
      <c r="Q364" t="n">
        <v>0</v>
      </c>
      <c r="R364" s="2" t="inlineStr"/>
    </row>
    <row r="365" ht="15" customHeight="1">
      <c r="A365" t="inlineStr">
        <is>
          <t>A 15045-2021</t>
        </is>
      </c>
      <c r="B365" s="1" t="n">
        <v>44281</v>
      </c>
      <c r="C365" s="1" t="n">
        <v>45824</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14995-2021</t>
        </is>
      </c>
      <c r="B366" s="1" t="n">
        <v>44281</v>
      </c>
      <c r="C366" s="1" t="n">
        <v>45824</v>
      </c>
      <c r="D366" t="inlineStr">
        <is>
          <t>DALARNAS LÄN</t>
        </is>
      </c>
      <c r="E366" t="inlineStr">
        <is>
          <t>ÄLVDALEN</t>
        </is>
      </c>
      <c r="G366" t="n">
        <v>17.8</v>
      </c>
      <c r="H366" t="n">
        <v>0</v>
      </c>
      <c r="I366" t="n">
        <v>0</v>
      </c>
      <c r="J366" t="n">
        <v>0</v>
      </c>
      <c r="K366" t="n">
        <v>0</v>
      </c>
      <c r="L366" t="n">
        <v>0</v>
      </c>
      <c r="M366" t="n">
        <v>0</v>
      </c>
      <c r="N366" t="n">
        <v>0</v>
      </c>
      <c r="O366" t="n">
        <v>0</v>
      </c>
      <c r="P366" t="n">
        <v>0</v>
      </c>
      <c r="Q366" t="n">
        <v>0</v>
      </c>
      <c r="R366" s="2" t="inlineStr"/>
    </row>
    <row r="367" ht="15" customHeight="1">
      <c r="A367" t="inlineStr">
        <is>
          <t>A 15251-2021</t>
        </is>
      </c>
      <c r="B367" s="1" t="n">
        <v>44284</v>
      </c>
      <c r="C367" s="1" t="n">
        <v>45824</v>
      </c>
      <c r="D367" t="inlineStr">
        <is>
          <t>DALARNAS LÄN</t>
        </is>
      </c>
      <c r="E367" t="inlineStr">
        <is>
          <t>ÄLVDALEN</t>
        </is>
      </c>
      <c r="G367" t="n">
        <v>6.1</v>
      </c>
      <c r="H367" t="n">
        <v>0</v>
      </c>
      <c r="I367" t="n">
        <v>0</v>
      </c>
      <c r="J367" t="n">
        <v>0</v>
      </c>
      <c r="K367" t="n">
        <v>0</v>
      </c>
      <c r="L367" t="n">
        <v>0</v>
      </c>
      <c r="M367" t="n">
        <v>0</v>
      </c>
      <c r="N367" t="n">
        <v>0</v>
      </c>
      <c r="O367" t="n">
        <v>0</v>
      </c>
      <c r="P367" t="n">
        <v>0</v>
      </c>
      <c r="Q367" t="n">
        <v>0</v>
      </c>
      <c r="R367" s="2" t="inlineStr"/>
    </row>
    <row r="368" ht="15" customHeight="1">
      <c r="A368" t="inlineStr">
        <is>
          <t>A 15952-2021</t>
        </is>
      </c>
      <c r="B368" s="1" t="n">
        <v>44286</v>
      </c>
      <c r="C368" s="1" t="n">
        <v>45824</v>
      </c>
      <c r="D368" t="inlineStr">
        <is>
          <t>DALARNAS LÄN</t>
        </is>
      </c>
      <c r="E368" t="inlineStr">
        <is>
          <t>ÄLVDALEN</t>
        </is>
      </c>
      <c r="F368" t="inlineStr">
        <is>
          <t>Övriga statliga verk och myndigheter</t>
        </is>
      </c>
      <c r="G368" t="n">
        <v>6.6</v>
      </c>
      <c r="H368" t="n">
        <v>0</v>
      </c>
      <c r="I368" t="n">
        <v>0</v>
      </c>
      <c r="J368" t="n">
        <v>0</v>
      </c>
      <c r="K368" t="n">
        <v>0</v>
      </c>
      <c r="L368" t="n">
        <v>0</v>
      </c>
      <c r="M368" t="n">
        <v>0</v>
      </c>
      <c r="N368" t="n">
        <v>0</v>
      </c>
      <c r="O368" t="n">
        <v>0</v>
      </c>
      <c r="P368" t="n">
        <v>0</v>
      </c>
      <c r="Q368" t="n">
        <v>0</v>
      </c>
      <c r="R368" s="2" t="inlineStr"/>
    </row>
    <row r="369" ht="15" customHeight="1">
      <c r="A369" t="inlineStr">
        <is>
          <t>A 16262-2021</t>
        </is>
      </c>
      <c r="B369" s="1" t="n">
        <v>44292</v>
      </c>
      <c r="C369" s="1" t="n">
        <v>45824</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18961-2021</t>
        </is>
      </c>
      <c r="B370" s="1" t="n">
        <v>44308</v>
      </c>
      <c r="C370" s="1" t="n">
        <v>45824</v>
      </c>
      <c r="D370" t="inlineStr">
        <is>
          <t>DALARNAS LÄN</t>
        </is>
      </c>
      <c r="E370" t="inlineStr">
        <is>
          <t>ÄLVDALEN</t>
        </is>
      </c>
      <c r="F370" t="inlineStr">
        <is>
          <t>Övriga statliga verk och myndigheter</t>
        </is>
      </c>
      <c r="G370" t="n">
        <v>17.6</v>
      </c>
      <c r="H370" t="n">
        <v>0</v>
      </c>
      <c r="I370" t="n">
        <v>0</v>
      </c>
      <c r="J370" t="n">
        <v>0</v>
      </c>
      <c r="K370" t="n">
        <v>0</v>
      </c>
      <c r="L370" t="n">
        <v>0</v>
      </c>
      <c r="M370" t="n">
        <v>0</v>
      </c>
      <c r="N370" t="n">
        <v>0</v>
      </c>
      <c r="O370" t="n">
        <v>0</v>
      </c>
      <c r="P370" t="n">
        <v>0</v>
      </c>
      <c r="Q370" t="n">
        <v>0</v>
      </c>
      <c r="R370" s="2" t="inlineStr"/>
    </row>
    <row r="371" ht="15" customHeight="1">
      <c r="A371" t="inlineStr">
        <is>
          <t>A 19766-2021</t>
        </is>
      </c>
      <c r="B371" s="1" t="n">
        <v>44309</v>
      </c>
      <c r="C371" s="1" t="n">
        <v>45824</v>
      </c>
      <c r="D371" t="inlineStr">
        <is>
          <t>DALARNAS LÄN</t>
        </is>
      </c>
      <c r="E371" t="inlineStr">
        <is>
          <t>ÄLVDALEN</t>
        </is>
      </c>
      <c r="G371" t="n">
        <v>8.9</v>
      </c>
      <c r="H371" t="n">
        <v>0</v>
      </c>
      <c r="I371" t="n">
        <v>0</v>
      </c>
      <c r="J371" t="n">
        <v>0</v>
      </c>
      <c r="K371" t="n">
        <v>0</v>
      </c>
      <c r="L371" t="n">
        <v>0</v>
      </c>
      <c r="M371" t="n">
        <v>0</v>
      </c>
      <c r="N371" t="n">
        <v>0</v>
      </c>
      <c r="O371" t="n">
        <v>0</v>
      </c>
      <c r="P371" t="n">
        <v>0</v>
      </c>
      <c r="Q371" t="n">
        <v>0</v>
      </c>
      <c r="R371" s="2" t="inlineStr"/>
    </row>
    <row r="372" ht="15" customHeight="1">
      <c r="A372" t="inlineStr">
        <is>
          <t>A 19763-2021</t>
        </is>
      </c>
      <c r="B372" s="1" t="n">
        <v>44309</v>
      </c>
      <c r="C372" s="1" t="n">
        <v>45824</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19313-2021</t>
        </is>
      </c>
      <c r="B373" s="1" t="n">
        <v>44309</v>
      </c>
      <c r="C373" s="1" t="n">
        <v>45824</v>
      </c>
      <c r="D373" t="inlineStr">
        <is>
          <t>DALARNAS LÄN</t>
        </is>
      </c>
      <c r="E373" t="inlineStr">
        <is>
          <t>ÄLVDALEN</t>
        </is>
      </c>
      <c r="G373" t="n">
        <v>0.2</v>
      </c>
      <c r="H373" t="n">
        <v>0</v>
      </c>
      <c r="I373" t="n">
        <v>0</v>
      </c>
      <c r="J373" t="n">
        <v>0</v>
      </c>
      <c r="K373" t="n">
        <v>0</v>
      </c>
      <c r="L373" t="n">
        <v>0</v>
      </c>
      <c r="M373" t="n">
        <v>0</v>
      </c>
      <c r="N373" t="n">
        <v>0</v>
      </c>
      <c r="O373" t="n">
        <v>0</v>
      </c>
      <c r="P373" t="n">
        <v>0</v>
      </c>
      <c r="Q373" t="n">
        <v>0</v>
      </c>
      <c r="R373" s="2" t="inlineStr"/>
    </row>
    <row r="374" ht="15" customHeight="1">
      <c r="A374" t="inlineStr">
        <is>
          <t>A 19312-2021</t>
        </is>
      </c>
      <c r="B374" s="1" t="n">
        <v>44309</v>
      </c>
      <c r="C374" s="1" t="n">
        <v>45824</v>
      </c>
      <c r="D374" t="inlineStr">
        <is>
          <t>DALARNAS LÄN</t>
        </is>
      </c>
      <c r="E374" t="inlineStr">
        <is>
          <t>ÄLVDALEN</t>
        </is>
      </c>
      <c r="G374" t="n">
        <v>0.4</v>
      </c>
      <c r="H374" t="n">
        <v>0</v>
      </c>
      <c r="I374" t="n">
        <v>0</v>
      </c>
      <c r="J374" t="n">
        <v>0</v>
      </c>
      <c r="K374" t="n">
        <v>0</v>
      </c>
      <c r="L374" t="n">
        <v>0</v>
      </c>
      <c r="M374" t="n">
        <v>0</v>
      </c>
      <c r="N374" t="n">
        <v>0</v>
      </c>
      <c r="O374" t="n">
        <v>0</v>
      </c>
      <c r="P374" t="n">
        <v>0</v>
      </c>
      <c r="Q374" t="n">
        <v>0</v>
      </c>
      <c r="R374" s="2" t="inlineStr"/>
    </row>
    <row r="375" ht="15" customHeight="1">
      <c r="A375" t="inlineStr">
        <is>
          <t>A 19761-2021</t>
        </is>
      </c>
      <c r="B375" s="1" t="n">
        <v>44309</v>
      </c>
      <c r="C375" s="1" t="n">
        <v>45824</v>
      </c>
      <c r="D375" t="inlineStr">
        <is>
          <t>DALARNAS LÄN</t>
        </is>
      </c>
      <c r="E375" t="inlineStr">
        <is>
          <t>ÄLVDALEN</t>
        </is>
      </c>
      <c r="G375" t="n">
        <v>4.3</v>
      </c>
      <c r="H375" t="n">
        <v>0</v>
      </c>
      <c r="I375" t="n">
        <v>0</v>
      </c>
      <c r="J375" t="n">
        <v>0</v>
      </c>
      <c r="K375" t="n">
        <v>0</v>
      </c>
      <c r="L375" t="n">
        <v>0</v>
      </c>
      <c r="M375" t="n">
        <v>0</v>
      </c>
      <c r="N375" t="n">
        <v>0</v>
      </c>
      <c r="O375" t="n">
        <v>0</v>
      </c>
      <c r="P375" t="n">
        <v>0</v>
      </c>
      <c r="Q375" t="n">
        <v>0</v>
      </c>
      <c r="R375" s="2" t="inlineStr"/>
    </row>
    <row r="376" ht="15" customHeight="1">
      <c r="A376" t="inlineStr">
        <is>
          <t>A 19759-2021</t>
        </is>
      </c>
      <c r="B376" s="1" t="n">
        <v>44309</v>
      </c>
      <c r="C376" s="1" t="n">
        <v>45824</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20050-2021</t>
        </is>
      </c>
      <c r="B377" s="1" t="n">
        <v>44314</v>
      </c>
      <c r="C377" s="1" t="n">
        <v>45824</v>
      </c>
      <c r="D377" t="inlineStr">
        <is>
          <t>DALARNAS LÄN</t>
        </is>
      </c>
      <c r="E377" t="inlineStr">
        <is>
          <t>ÄLVDALEN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20162-2021</t>
        </is>
      </c>
      <c r="B378" s="1" t="n">
        <v>44314</v>
      </c>
      <c r="C378" s="1" t="n">
        <v>45824</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21832-2021</t>
        </is>
      </c>
      <c r="B379" s="1" t="n">
        <v>44322</v>
      </c>
      <c r="C379" s="1" t="n">
        <v>45824</v>
      </c>
      <c r="D379" t="inlineStr">
        <is>
          <t>DALARNAS LÄN</t>
        </is>
      </c>
      <c r="E379" t="inlineStr">
        <is>
          <t>ÄLVDALEN</t>
        </is>
      </c>
      <c r="F379" t="inlineStr">
        <is>
          <t>Allmännings- och besparingsskogar</t>
        </is>
      </c>
      <c r="G379" t="n">
        <v>2.5</v>
      </c>
      <c r="H379" t="n">
        <v>0</v>
      </c>
      <c r="I379" t="n">
        <v>0</v>
      </c>
      <c r="J379" t="n">
        <v>0</v>
      </c>
      <c r="K379" t="n">
        <v>0</v>
      </c>
      <c r="L379" t="n">
        <v>0</v>
      </c>
      <c r="M379" t="n">
        <v>0</v>
      </c>
      <c r="N379" t="n">
        <v>0</v>
      </c>
      <c r="O379" t="n">
        <v>0</v>
      </c>
      <c r="P379" t="n">
        <v>0</v>
      </c>
      <c r="Q379" t="n">
        <v>0</v>
      </c>
      <c r="R379" s="2" t="inlineStr"/>
    </row>
    <row r="380" ht="15" customHeight="1">
      <c r="A380" t="inlineStr">
        <is>
          <t>A 22454-2021</t>
        </is>
      </c>
      <c r="B380" s="1" t="n">
        <v>44326</v>
      </c>
      <c r="C380" s="1" t="n">
        <v>45824</v>
      </c>
      <c r="D380" t="inlineStr">
        <is>
          <t>DALARNAS LÄN</t>
        </is>
      </c>
      <c r="E380" t="inlineStr">
        <is>
          <t>ÄLVDALEN</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22761-2021</t>
        </is>
      </c>
      <c r="B381" s="1" t="n">
        <v>44327</v>
      </c>
      <c r="C381" s="1" t="n">
        <v>45824</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22760-2021</t>
        </is>
      </c>
      <c r="B382" s="1" t="n">
        <v>44327</v>
      </c>
      <c r="C382" s="1" t="n">
        <v>45824</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22651-2021</t>
        </is>
      </c>
      <c r="B383" s="1" t="n">
        <v>44327</v>
      </c>
      <c r="C383" s="1" t="n">
        <v>45824</v>
      </c>
      <c r="D383" t="inlineStr">
        <is>
          <t>DALARNAS LÄN</t>
        </is>
      </c>
      <c r="E383" t="inlineStr">
        <is>
          <t>ÄLVDALEN</t>
        </is>
      </c>
      <c r="G383" t="n">
        <v>5.9</v>
      </c>
      <c r="H383" t="n">
        <v>0</v>
      </c>
      <c r="I383" t="n">
        <v>0</v>
      </c>
      <c r="J383" t="n">
        <v>0</v>
      </c>
      <c r="K383" t="n">
        <v>0</v>
      </c>
      <c r="L383" t="n">
        <v>0</v>
      </c>
      <c r="M383" t="n">
        <v>0</v>
      </c>
      <c r="N383" t="n">
        <v>0</v>
      </c>
      <c r="O383" t="n">
        <v>0</v>
      </c>
      <c r="P383" t="n">
        <v>0</v>
      </c>
      <c r="Q383" t="n">
        <v>0</v>
      </c>
      <c r="R383" s="2" t="inlineStr"/>
    </row>
    <row r="384" ht="15" customHeight="1">
      <c r="A384" t="inlineStr">
        <is>
          <t>A 24849-2021</t>
        </is>
      </c>
      <c r="B384" s="1" t="n">
        <v>44340</v>
      </c>
      <c r="C384" s="1" t="n">
        <v>45824</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26080-2021</t>
        </is>
      </c>
      <c r="B385" s="1" t="n">
        <v>44344</v>
      </c>
      <c r="C385" s="1" t="n">
        <v>45824</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26249-2021</t>
        </is>
      </c>
      <c r="B386" s="1" t="n">
        <v>44347</v>
      </c>
      <c r="C386" s="1" t="n">
        <v>45824</v>
      </c>
      <c r="D386" t="inlineStr">
        <is>
          <t>DALARNAS LÄN</t>
        </is>
      </c>
      <c r="E386" t="inlineStr">
        <is>
          <t>ÄLVDALEN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26734-2021</t>
        </is>
      </c>
      <c r="B387" s="1" t="n">
        <v>44349</v>
      </c>
      <c r="C387" s="1" t="n">
        <v>45824</v>
      </c>
      <c r="D387" t="inlineStr">
        <is>
          <t>DALARNAS LÄN</t>
        </is>
      </c>
      <c r="E387" t="inlineStr">
        <is>
          <t>ÄLVDALEN</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26726-2021</t>
        </is>
      </c>
      <c r="B388" s="1" t="n">
        <v>44349</v>
      </c>
      <c r="C388" s="1" t="n">
        <v>45824</v>
      </c>
      <c r="D388" t="inlineStr">
        <is>
          <t>DALARNAS LÄN</t>
        </is>
      </c>
      <c r="E388" t="inlineStr">
        <is>
          <t>ÄLVDALEN</t>
        </is>
      </c>
      <c r="F388" t="inlineStr">
        <is>
          <t>Bergvik skog väst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26874-2021</t>
        </is>
      </c>
      <c r="B389" s="1" t="n">
        <v>44349</v>
      </c>
      <c r="C389" s="1" t="n">
        <v>45824</v>
      </c>
      <c r="D389" t="inlineStr">
        <is>
          <t>DALARNAS LÄN</t>
        </is>
      </c>
      <c r="E389" t="inlineStr">
        <is>
          <t>ÄLVDALEN</t>
        </is>
      </c>
      <c r="F389" t="inlineStr">
        <is>
          <t>Bergvik skog öst AB</t>
        </is>
      </c>
      <c r="G389" t="n">
        <v>3.2</v>
      </c>
      <c r="H389" t="n">
        <v>0</v>
      </c>
      <c r="I389" t="n">
        <v>0</v>
      </c>
      <c r="J389" t="n">
        <v>0</v>
      </c>
      <c r="K389" t="n">
        <v>0</v>
      </c>
      <c r="L389" t="n">
        <v>0</v>
      </c>
      <c r="M389" t="n">
        <v>0</v>
      </c>
      <c r="N389" t="n">
        <v>0</v>
      </c>
      <c r="O389" t="n">
        <v>0</v>
      </c>
      <c r="P389" t="n">
        <v>0</v>
      </c>
      <c r="Q389" t="n">
        <v>0</v>
      </c>
      <c r="R389" s="2" t="inlineStr"/>
    </row>
    <row r="390" ht="15" customHeight="1">
      <c r="A390" t="inlineStr">
        <is>
          <t>A 27022-2021</t>
        </is>
      </c>
      <c r="B390" s="1" t="n">
        <v>44350</v>
      </c>
      <c r="C390" s="1" t="n">
        <v>45824</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28011-2021</t>
        </is>
      </c>
      <c r="B391" s="1" t="n">
        <v>44355</v>
      </c>
      <c r="C391" s="1" t="n">
        <v>45824</v>
      </c>
      <c r="D391" t="inlineStr">
        <is>
          <t>DALARNAS LÄN</t>
        </is>
      </c>
      <c r="E391" t="inlineStr">
        <is>
          <t>ÄLVDALEN</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28712-2021</t>
        </is>
      </c>
      <c r="B392" s="1" t="n">
        <v>44357</v>
      </c>
      <c r="C392" s="1" t="n">
        <v>45824</v>
      </c>
      <c r="D392" t="inlineStr">
        <is>
          <t>DALARNAS LÄN</t>
        </is>
      </c>
      <c r="E392" t="inlineStr">
        <is>
          <t>ÄLVDALEN</t>
        </is>
      </c>
      <c r="G392" t="n">
        <v>2</v>
      </c>
      <c r="H392" t="n">
        <v>0</v>
      </c>
      <c r="I392" t="n">
        <v>0</v>
      </c>
      <c r="J392" t="n">
        <v>0</v>
      </c>
      <c r="K392" t="n">
        <v>0</v>
      </c>
      <c r="L392" t="n">
        <v>0</v>
      </c>
      <c r="M392" t="n">
        <v>0</v>
      </c>
      <c r="N392" t="n">
        <v>0</v>
      </c>
      <c r="O392" t="n">
        <v>0</v>
      </c>
      <c r="P392" t="n">
        <v>0</v>
      </c>
      <c r="Q392" t="n">
        <v>0</v>
      </c>
      <c r="R392" s="2" t="inlineStr"/>
    </row>
    <row r="393" ht="15" customHeight="1">
      <c r="A393" t="inlineStr">
        <is>
          <t>A 30255-2021</t>
        </is>
      </c>
      <c r="B393" s="1" t="n">
        <v>44363</v>
      </c>
      <c r="C393" s="1" t="n">
        <v>45824</v>
      </c>
      <c r="D393" t="inlineStr">
        <is>
          <t>DALARNAS LÄN</t>
        </is>
      </c>
      <c r="E393" t="inlineStr">
        <is>
          <t>ÄLVDALEN</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30254-2021</t>
        </is>
      </c>
      <c r="B394" s="1" t="n">
        <v>44363</v>
      </c>
      <c r="C394" s="1" t="n">
        <v>45824</v>
      </c>
      <c r="D394" t="inlineStr">
        <is>
          <t>DALARNAS LÄN</t>
        </is>
      </c>
      <c r="E394" t="inlineStr">
        <is>
          <t>ÄLVDALEN</t>
        </is>
      </c>
      <c r="F394" t="inlineStr">
        <is>
          <t>Sveaskog</t>
        </is>
      </c>
      <c r="G394" t="n">
        <v>8.1</v>
      </c>
      <c r="H394" t="n">
        <v>0</v>
      </c>
      <c r="I394" t="n">
        <v>0</v>
      </c>
      <c r="J394" t="n">
        <v>0</v>
      </c>
      <c r="K394" t="n">
        <v>0</v>
      </c>
      <c r="L394" t="n">
        <v>0</v>
      </c>
      <c r="M394" t="n">
        <v>0</v>
      </c>
      <c r="N394" t="n">
        <v>0</v>
      </c>
      <c r="O394" t="n">
        <v>0</v>
      </c>
      <c r="P394" t="n">
        <v>0</v>
      </c>
      <c r="Q394" t="n">
        <v>0</v>
      </c>
      <c r="R394" s="2" t="inlineStr"/>
    </row>
    <row r="395" ht="15" customHeight="1">
      <c r="A395" t="inlineStr">
        <is>
          <t>A 30249-2021</t>
        </is>
      </c>
      <c r="B395" s="1" t="n">
        <v>44363</v>
      </c>
      <c r="C395" s="1" t="n">
        <v>45824</v>
      </c>
      <c r="D395" t="inlineStr">
        <is>
          <t>DALARNAS LÄN</t>
        </is>
      </c>
      <c r="E395" t="inlineStr">
        <is>
          <t>ÄLVDALEN</t>
        </is>
      </c>
      <c r="F395" t="inlineStr">
        <is>
          <t>Sveaskog</t>
        </is>
      </c>
      <c r="G395" t="n">
        <v>0.2</v>
      </c>
      <c r="H395" t="n">
        <v>0</v>
      </c>
      <c r="I395" t="n">
        <v>0</v>
      </c>
      <c r="J395" t="n">
        <v>0</v>
      </c>
      <c r="K395" t="n">
        <v>0</v>
      </c>
      <c r="L395" t="n">
        <v>0</v>
      </c>
      <c r="M395" t="n">
        <v>0</v>
      </c>
      <c r="N395" t="n">
        <v>0</v>
      </c>
      <c r="O395" t="n">
        <v>0</v>
      </c>
      <c r="P395" t="n">
        <v>0</v>
      </c>
      <c r="Q395" t="n">
        <v>0</v>
      </c>
      <c r="R395" s="2" t="inlineStr"/>
    </row>
    <row r="396" ht="15" customHeight="1">
      <c r="A396" t="inlineStr">
        <is>
          <t>A 30355-2021</t>
        </is>
      </c>
      <c r="B396" s="1" t="n">
        <v>44364</v>
      </c>
      <c r="C396" s="1" t="n">
        <v>45824</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30797-2021</t>
        </is>
      </c>
      <c r="B397" s="1" t="n">
        <v>44365</v>
      </c>
      <c r="C397" s="1" t="n">
        <v>45824</v>
      </c>
      <c r="D397" t="inlineStr">
        <is>
          <t>DALARNAS LÄN</t>
        </is>
      </c>
      <c r="E397" t="inlineStr">
        <is>
          <t>ÄLVDALEN</t>
        </is>
      </c>
      <c r="G397" t="n">
        <v>2.1</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v>
      </c>
      <c r="C398" s="1" t="n">
        <v>45824</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30972-2021</t>
        </is>
      </c>
      <c r="B399" s="1" t="n">
        <v>44365</v>
      </c>
      <c r="C399" s="1" t="n">
        <v>45824</v>
      </c>
      <c r="D399" t="inlineStr">
        <is>
          <t>DALARNAS LÄN</t>
        </is>
      </c>
      <c r="E399" t="inlineStr">
        <is>
          <t>ÄLVDALEN</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30969-2021</t>
        </is>
      </c>
      <c r="B400" s="1" t="n">
        <v>44365</v>
      </c>
      <c r="C400" s="1" t="n">
        <v>45824</v>
      </c>
      <c r="D400" t="inlineStr">
        <is>
          <t>DALARNAS LÄN</t>
        </is>
      </c>
      <c r="E400" t="inlineStr">
        <is>
          <t>ÄLVDALEN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31167-2021</t>
        </is>
      </c>
      <c r="B401" s="1" t="n">
        <v>44368</v>
      </c>
      <c r="C401" s="1" t="n">
        <v>45824</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31714-2021</t>
        </is>
      </c>
      <c r="B402" s="1" t="n">
        <v>44369</v>
      </c>
      <c r="C402" s="1" t="n">
        <v>45824</v>
      </c>
      <c r="D402" t="inlineStr">
        <is>
          <t>DALARNAS LÄN</t>
        </is>
      </c>
      <c r="E402" t="inlineStr">
        <is>
          <t>ÄLVDALEN</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32009-2021</t>
        </is>
      </c>
      <c r="B403" s="1" t="n">
        <v>44370</v>
      </c>
      <c r="C403" s="1" t="n">
        <v>45824</v>
      </c>
      <c r="D403" t="inlineStr">
        <is>
          <t>DALARNAS LÄN</t>
        </is>
      </c>
      <c r="E403" t="inlineStr">
        <is>
          <t>ÄLVDALEN</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32362-2021</t>
        </is>
      </c>
      <c r="B404" s="1" t="n">
        <v>44371</v>
      </c>
      <c r="C404" s="1" t="n">
        <v>45824</v>
      </c>
      <c r="D404" t="inlineStr">
        <is>
          <t>DALARNAS LÄN</t>
        </is>
      </c>
      <c r="E404" t="inlineStr">
        <is>
          <t>ÄLVDALEN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33690-2021</t>
        </is>
      </c>
      <c r="B405" s="1" t="n">
        <v>44378</v>
      </c>
      <c r="C405" s="1" t="n">
        <v>45824</v>
      </c>
      <c r="D405" t="inlineStr">
        <is>
          <t>DALARNAS LÄN</t>
        </is>
      </c>
      <c r="E405" t="inlineStr">
        <is>
          <t>ÄLVDALEN</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33689-2021</t>
        </is>
      </c>
      <c r="B406" s="1" t="n">
        <v>44378</v>
      </c>
      <c r="C406" s="1" t="n">
        <v>45824</v>
      </c>
      <c r="D406" t="inlineStr">
        <is>
          <t>DALARNAS LÄN</t>
        </is>
      </c>
      <c r="E406" t="inlineStr">
        <is>
          <t>ÄLVDALEN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36134-2021</t>
        </is>
      </c>
      <c r="B407" s="1" t="n">
        <v>44389</v>
      </c>
      <c r="C407" s="1" t="n">
        <v>45824</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36825-2021</t>
        </is>
      </c>
      <c r="B408" s="1" t="n">
        <v>44393</v>
      </c>
      <c r="C408" s="1" t="n">
        <v>45824</v>
      </c>
      <c r="D408" t="inlineStr">
        <is>
          <t>DALARNAS LÄN</t>
        </is>
      </c>
      <c r="E408" t="inlineStr">
        <is>
          <t>ÄLVDALEN</t>
        </is>
      </c>
      <c r="F408" t="inlineStr">
        <is>
          <t>Sveaskog</t>
        </is>
      </c>
      <c r="G408" t="n">
        <v>12.2</v>
      </c>
      <c r="H408" t="n">
        <v>0</v>
      </c>
      <c r="I408" t="n">
        <v>0</v>
      </c>
      <c r="J408" t="n">
        <v>0</v>
      </c>
      <c r="K408" t="n">
        <v>0</v>
      </c>
      <c r="L408" t="n">
        <v>0</v>
      </c>
      <c r="M408" t="n">
        <v>0</v>
      </c>
      <c r="N408" t="n">
        <v>0</v>
      </c>
      <c r="O408" t="n">
        <v>0</v>
      </c>
      <c r="P408" t="n">
        <v>0</v>
      </c>
      <c r="Q408" t="n">
        <v>0</v>
      </c>
      <c r="R408" s="2" t="inlineStr"/>
    </row>
    <row r="409" ht="15" customHeight="1">
      <c r="A409" t="inlineStr">
        <is>
          <t>A 36846-2021</t>
        </is>
      </c>
      <c r="B409" s="1" t="n">
        <v>44393</v>
      </c>
      <c r="C409" s="1" t="n">
        <v>45824</v>
      </c>
      <c r="D409" t="inlineStr">
        <is>
          <t>DALARNAS LÄN</t>
        </is>
      </c>
      <c r="E409" t="inlineStr">
        <is>
          <t>ÄLVDALEN</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36826-2021</t>
        </is>
      </c>
      <c r="B410" s="1" t="n">
        <v>44393</v>
      </c>
      <c r="C410" s="1" t="n">
        <v>45824</v>
      </c>
      <c r="D410" t="inlineStr">
        <is>
          <t>DALARNAS LÄN</t>
        </is>
      </c>
      <c r="E410" t="inlineStr">
        <is>
          <t>ÄLVDALEN</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36824-2021</t>
        </is>
      </c>
      <c r="B411" s="1" t="n">
        <v>44393</v>
      </c>
      <c r="C411" s="1" t="n">
        <v>45824</v>
      </c>
      <c r="D411" t="inlineStr">
        <is>
          <t>DALARNAS LÄN</t>
        </is>
      </c>
      <c r="E411" t="inlineStr">
        <is>
          <t>ÄLVDALEN</t>
        </is>
      </c>
      <c r="F411" t="inlineStr">
        <is>
          <t>Sveaskog</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37009-2021</t>
        </is>
      </c>
      <c r="B412" s="1" t="n">
        <v>44393</v>
      </c>
      <c r="C412" s="1" t="n">
        <v>45824</v>
      </c>
      <c r="D412" t="inlineStr">
        <is>
          <t>DALARNAS LÄN</t>
        </is>
      </c>
      <c r="E412" t="inlineStr">
        <is>
          <t>ÄLVDALEN</t>
        </is>
      </c>
      <c r="F412" t="inlineStr">
        <is>
          <t>Bergvik skog öst AB</t>
        </is>
      </c>
      <c r="G412" t="n">
        <v>3.3</v>
      </c>
      <c r="H412" t="n">
        <v>0</v>
      </c>
      <c r="I412" t="n">
        <v>0</v>
      </c>
      <c r="J412" t="n">
        <v>0</v>
      </c>
      <c r="K412" t="n">
        <v>0</v>
      </c>
      <c r="L412" t="n">
        <v>0</v>
      </c>
      <c r="M412" t="n">
        <v>0</v>
      </c>
      <c r="N412" t="n">
        <v>0</v>
      </c>
      <c r="O412" t="n">
        <v>0</v>
      </c>
      <c r="P412" t="n">
        <v>0</v>
      </c>
      <c r="Q412" t="n">
        <v>0</v>
      </c>
      <c r="R412" s="2" t="inlineStr"/>
    </row>
    <row r="413" ht="15" customHeight="1">
      <c r="A413" t="inlineStr">
        <is>
          <t>A 37490-2021</t>
        </is>
      </c>
      <c r="B413" s="1" t="n">
        <v>44399</v>
      </c>
      <c r="C413" s="1" t="n">
        <v>45824</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39064-2021</t>
        </is>
      </c>
      <c r="B414" s="1" t="n">
        <v>44411</v>
      </c>
      <c r="C414" s="1" t="n">
        <v>45824</v>
      </c>
      <c r="D414" t="inlineStr">
        <is>
          <t>DALARNAS LÄN</t>
        </is>
      </c>
      <c r="E414" t="inlineStr">
        <is>
          <t>ÄLVDALEN</t>
        </is>
      </c>
      <c r="F414" t="inlineStr">
        <is>
          <t>Övriga statliga verk och myndigheter</t>
        </is>
      </c>
      <c r="G414" t="n">
        <v>4.5</v>
      </c>
      <c r="H414" t="n">
        <v>0</v>
      </c>
      <c r="I414" t="n">
        <v>0</v>
      </c>
      <c r="J414" t="n">
        <v>0</v>
      </c>
      <c r="K414" t="n">
        <v>0</v>
      </c>
      <c r="L414" t="n">
        <v>0</v>
      </c>
      <c r="M414" t="n">
        <v>0</v>
      </c>
      <c r="N414" t="n">
        <v>0</v>
      </c>
      <c r="O414" t="n">
        <v>0</v>
      </c>
      <c r="P414" t="n">
        <v>0</v>
      </c>
      <c r="Q414" t="n">
        <v>0</v>
      </c>
      <c r="R414" s="2" t="inlineStr"/>
    </row>
    <row r="415" ht="15" customHeight="1">
      <c r="A415" t="inlineStr">
        <is>
          <t>A 38957-2021</t>
        </is>
      </c>
      <c r="B415" s="1" t="n">
        <v>44411</v>
      </c>
      <c r="C415" s="1" t="n">
        <v>45824</v>
      </c>
      <c r="D415" t="inlineStr">
        <is>
          <t>DALARNAS LÄN</t>
        </is>
      </c>
      <c r="E415" t="inlineStr">
        <is>
          <t>ÄLVDALEN</t>
        </is>
      </c>
      <c r="G415" t="n">
        <v>4.6</v>
      </c>
      <c r="H415" t="n">
        <v>0</v>
      </c>
      <c r="I415" t="n">
        <v>0</v>
      </c>
      <c r="J415" t="n">
        <v>0</v>
      </c>
      <c r="K415" t="n">
        <v>0</v>
      </c>
      <c r="L415" t="n">
        <v>0</v>
      </c>
      <c r="M415" t="n">
        <v>0</v>
      </c>
      <c r="N415" t="n">
        <v>0</v>
      </c>
      <c r="O415" t="n">
        <v>0</v>
      </c>
      <c r="P415" t="n">
        <v>0</v>
      </c>
      <c r="Q415" t="n">
        <v>0</v>
      </c>
      <c r="R415" s="2" t="inlineStr"/>
    </row>
    <row r="416" ht="15" customHeight="1">
      <c r="A416" t="inlineStr">
        <is>
          <t>A 39199-2021</t>
        </is>
      </c>
      <c r="B416" s="1" t="n">
        <v>44412</v>
      </c>
      <c r="C416" s="1" t="n">
        <v>45824</v>
      </c>
      <c r="D416" t="inlineStr">
        <is>
          <t>DALARNAS LÄN</t>
        </is>
      </c>
      <c r="E416" t="inlineStr">
        <is>
          <t>ÄLVDALEN</t>
        </is>
      </c>
      <c r="F416" t="inlineStr">
        <is>
          <t>Övriga statliga verk och myndigheter</t>
        </is>
      </c>
      <c r="G416" t="n">
        <v>5.2</v>
      </c>
      <c r="H416" t="n">
        <v>0</v>
      </c>
      <c r="I416" t="n">
        <v>0</v>
      </c>
      <c r="J416" t="n">
        <v>0</v>
      </c>
      <c r="K416" t="n">
        <v>0</v>
      </c>
      <c r="L416" t="n">
        <v>0</v>
      </c>
      <c r="M416" t="n">
        <v>0</v>
      </c>
      <c r="N416" t="n">
        <v>0</v>
      </c>
      <c r="O416" t="n">
        <v>0</v>
      </c>
      <c r="P416" t="n">
        <v>0</v>
      </c>
      <c r="Q416" t="n">
        <v>0</v>
      </c>
      <c r="R416" s="2" t="inlineStr"/>
    </row>
    <row r="417" ht="15" customHeight="1">
      <c r="A417" t="inlineStr">
        <is>
          <t>A 39267-2021</t>
        </is>
      </c>
      <c r="B417" s="1" t="n">
        <v>44413</v>
      </c>
      <c r="C417" s="1" t="n">
        <v>45824</v>
      </c>
      <c r="D417" t="inlineStr">
        <is>
          <t>DALARNAS LÄN</t>
        </is>
      </c>
      <c r="E417" t="inlineStr">
        <is>
          <t>ÄLVDALEN</t>
        </is>
      </c>
      <c r="G417" t="n">
        <v>2.4</v>
      </c>
      <c r="H417" t="n">
        <v>0</v>
      </c>
      <c r="I417" t="n">
        <v>0</v>
      </c>
      <c r="J417" t="n">
        <v>0</v>
      </c>
      <c r="K417" t="n">
        <v>0</v>
      </c>
      <c r="L417" t="n">
        <v>0</v>
      </c>
      <c r="M417" t="n">
        <v>0</v>
      </c>
      <c r="N417" t="n">
        <v>0</v>
      </c>
      <c r="O417" t="n">
        <v>0</v>
      </c>
      <c r="P417" t="n">
        <v>0</v>
      </c>
      <c r="Q417" t="n">
        <v>0</v>
      </c>
      <c r="R417" s="2" t="inlineStr"/>
    </row>
    <row r="418" ht="15" customHeight="1">
      <c r="A418" t="inlineStr">
        <is>
          <t>A 40234-2021</t>
        </is>
      </c>
      <c r="B418" s="1" t="n">
        <v>44419</v>
      </c>
      <c r="C418" s="1" t="n">
        <v>45824</v>
      </c>
      <c r="D418" t="inlineStr">
        <is>
          <t>DALARNAS LÄN</t>
        </is>
      </c>
      <c r="E418" t="inlineStr">
        <is>
          <t>ÄLVDALEN</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40235-2021</t>
        </is>
      </c>
      <c r="B419" s="1" t="n">
        <v>44419</v>
      </c>
      <c r="C419" s="1" t="n">
        <v>45824</v>
      </c>
      <c r="D419" t="inlineStr">
        <is>
          <t>DALARNAS LÄN</t>
        </is>
      </c>
      <c r="E419" t="inlineStr">
        <is>
          <t>ÄLVDALEN</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40919-2021</t>
        </is>
      </c>
      <c r="B420" s="1" t="n">
        <v>44421</v>
      </c>
      <c r="C420" s="1" t="n">
        <v>45824</v>
      </c>
      <c r="D420" t="inlineStr">
        <is>
          <t>DALARNAS LÄN</t>
        </is>
      </c>
      <c r="E420" t="inlineStr">
        <is>
          <t>ÄLVDALEN</t>
        </is>
      </c>
      <c r="F420" t="inlineStr">
        <is>
          <t>Kyrkan</t>
        </is>
      </c>
      <c r="G420" t="n">
        <v>3.4</v>
      </c>
      <c r="H420" t="n">
        <v>0</v>
      </c>
      <c r="I420" t="n">
        <v>0</v>
      </c>
      <c r="J420" t="n">
        <v>0</v>
      </c>
      <c r="K420" t="n">
        <v>0</v>
      </c>
      <c r="L420" t="n">
        <v>0</v>
      </c>
      <c r="M420" t="n">
        <v>0</v>
      </c>
      <c r="N420" t="n">
        <v>0</v>
      </c>
      <c r="O420" t="n">
        <v>0</v>
      </c>
      <c r="P420" t="n">
        <v>0</v>
      </c>
      <c r="Q420" t="n">
        <v>0</v>
      </c>
      <c r="R420" s="2" t="inlineStr"/>
    </row>
    <row r="421" ht="15" customHeight="1">
      <c r="A421" t="inlineStr">
        <is>
          <t>A 41020-2021</t>
        </is>
      </c>
      <c r="B421" s="1" t="n">
        <v>44421</v>
      </c>
      <c r="C421" s="1" t="n">
        <v>45824</v>
      </c>
      <c r="D421" t="inlineStr">
        <is>
          <t>DALARNAS LÄN</t>
        </is>
      </c>
      <c r="E421" t="inlineStr">
        <is>
          <t>ÄLVDALEN</t>
        </is>
      </c>
      <c r="G421" t="n">
        <v>5.5</v>
      </c>
      <c r="H421" t="n">
        <v>0</v>
      </c>
      <c r="I421" t="n">
        <v>0</v>
      </c>
      <c r="J421" t="n">
        <v>0</v>
      </c>
      <c r="K421" t="n">
        <v>0</v>
      </c>
      <c r="L421" t="n">
        <v>0</v>
      </c>
      <c r="M421" t="n">
        <v>0</v>
      </c>
      <c r="N421" t="n">
        <v>0</v>
      </c>
      <c r="O421" t="n">
        <v>0</v>
      </c>
      <c r="P421" t="n">
        <v>0</v>
      </c>
      <c r="Q421" t="n">
        <v>0</v>
      </c>
      <c r="R421" s="2" t="inlineStr"/>
    </row>
    <row r="422" ht="15" customHeight="1">
      <c r="A422" t="inlineStr">
        <is>
          <t>A 43972-2021</t>
        </is>
      </c>
      <c r="B422" s="1" t="n">
        <v>44434</v>
      </c>
      <c r="C422" s="1" t="n">
        <v>45824</v>
      </c>
      <c r="D422" t="inlineStr">
        <is>
          <t>DALARNAS LÄN</t>
        </is>
      </c>
      <c r="E422" t="inlineStr">
        <is>
          <t>ÄLVDALEN</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44386-2021</t>
        </is>
      </c>
      <c r="B423" s="1" t="n">
        <v>44435</v>
      </c>
      <c r="C423" s="1" t="n">
        <v>45824</v>
      </c>
      <c r="D423" t="inlineStr">
        <is>
          <t>DALARNAS LÄN</t>
        </is>
      </c>
      <c r="E423" t="inlineStr">
        <is>
          <t>ÄLVDALEN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44413-2021</t>
        </is>
      </c>
      <c r="B424" s="1" t="n">
        <v>44435</v>
      </c>
      <c r="C424" s="1" t="n">
        <v>45824</v>
      </c>
      <c r="D424" t="inlineStr">
        <is>
          <t>DALARNAS LÄN</t>
        </is>
      </c>
      <c r="E424" t="inlineStr">
        <is>
          <t>ÄLVDALEN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48558-2021</t>
        </is>
      </c>
      <c r="B425" s="1" t="n">
        <v>44452</v>
      </c>
      <c r="C425" s="1" t="n">
        <v>45824</v>
      </c>
      <c r="D425" t="inlineStr">
        <is>
          <t>DALARNAS LÄN</t>
        </is>
      </c>
      <c r="E425" t="inlineStr">
        <is>
          <t>ÄLVDALEN</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48608-2021</t>
        </is>
      </c>
      <c r="B426" s="1" t="n">
        <v>44452</v>
      </c>
      <c r="C426" s="1" t="n">
        <v>45824</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48772-2021</t>
        </is>
      </c>
      <c r="B427" s="1" t="n">
        <v>44452</v>
      </c>
      <c r="C427" s="1" t="n">
        <v>45824</v>
      </c>
      <c r="D427" t="inlineStr">
        <is>
          <t>DALARNAS LÄN</t>
        </is>
      </c>
      <c r="E427" t="inlineStr">
        <is>
          <t>ÄLVDALEN</t>
        </is>
      </c>
      <c r="F427" t="inlineStr">
        <is>
          <t>Allmännings- och besparingsskogar</t>
        </is>
      </c>
      <c r="G427" t="n">
        <v>18.6</v>
      </c>
      <c r="H427" t="n">
        <v>0</v>
      </c>
      <c r="I427" t="n">
        <v>0</v>
      </c>
      <c r="J427" t="n">
        <v>0</v>
      </c>
      <c r="K427" t="n">
        <v>0</v>
      </c>
      <c r="L427" t="n">
        <v>0</v>
      </c>
      <c r="M427" t="n">
        <v>0</v>
      </c>
      <c r="N427" t="n">
        <v>0</v>
      </c>
      <c r="O427" t="n">
        <v>0</v>
      </c>
      <c r="P427" t="n">
        <v>0</v>
      </c>
      <c r="Q427" t="n">
        <v>0</v>
      </c>
      <c r="R427" s="2" t="inlineStr"/>
    </row>
    <row r="428" ht="15" customHeight="1">
      <c r="A428" t="inlineStr">
        <is>
          <t>A 49495-2021</t>
        </is>
      </c>
      <c r="B428" s="1" t="n">
        <v>44455</v>
      </c>
      <c r="C428" s="1" t="n">
        <v>45824</v>
      </c>
      <c r="D428" t="inlineStr">
        <is>
          <t>DALARNAS LÄN</t>
        </is>
      </c>
      <c r="E428" t="inlineStr">
        <is>
          <t>ÄLVDALEN</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49862-2021</t>
        </is>
      </c>
      <c r="B429" s="1" t="n">
        <v>44455</v>
      </c>
      <c r="C429" s="1" t="n">
        <v>45824</v>
      </c>
      <c r="D429" t="inlineStr">
        <is>
          <t>DALARNAS LÄN</t>
        </is>
      </c>
      <c r="E429" t="inlineStr">
        <is>
          <t>ÄLVDALEN</t>
        </is>
      </c>
      <c r="F429" t="inlineStr">
        <is>
          <t>Allmännings- och besparingsskogar</t>
        </is>
      </c>
      <c r="G429" t="n">
        <v>51.2</v>
      </c>
      <c r="H429" t="n">
        <v>0</v>
      </c>
      <c r="I429" t="n">
        <v>0</v>
      </c>
      <c r="J429" t="n">
        <v>0</v>
      </c>
      <c r="K429" t="n">
        <v>0</v>
      </c>
      <c r="L429" t="n">
        <v>0</v>
      </c>
      <c r="M429" t="n">
        <v>0</v>
      </c>
      <c r="N429" t="n">
        <v>0</v>
      </c>
      <c r="O429" t="n">
        <v>0</v>
      </c>
      <c r="P429" t="n">
        <v>0</v>
      </c>
      <c r="Q429" t="n">
        <v>0</v>
      </c>
      <c r="R429" s="2" t="inlineStr"/>
    </row>
    <row r="430" ht="15" customHeight="1">
      <c r="A430" t="inlineStr">
        <is>
          <t>A 50265-2021</t>
        </is>
      </c>
      <c r="B430" s="1" t="n">
        <v>44459</v>
      </c>
      <c r="C430" s="1" t="n">
        <v>45824</v>
      </c>
      <c r="D430" t="inlineStr">
        <is>
          <t>DALARNAS LÄN</t>
        </is>
      </c>
      <c r="E430" t="inlineStr">
        <is>
          <t>ÄLVDALEN</t>
        </is>
      </c>
      <c r="F430" t="inlineStr">
        <is>
          <t>Sveaskog</t>
        </is>
      </c>
      <c r="G430" t="n">
        <v>9.5</v>
      </c>
      <c r="H430" t="n">
        <v>0</v>
      </c>
      <c r="I430" t="n">
        <v>0</v>
      </c>
      <c r="J430" t="n">
        <v>0</v>
      </c>
      <c r="K430" t="n">
        <v>0</v>
      </c>
      <c r="L430" t="n">
        <v>0</v>
      </c>
      <c r="M430" t="n">
        <v>0</v>
      </c>
      <c r="N430" t="n">
        <v>0</v>
      </c>
      <c r="O430" t="n">
        <v>0</v>
      </c>
      <c r="P430" t="n">
        <v>0</v>
      </c>
      <c r="Q430" t="n">
        <v>0</v>
      </c>
      <c r="R430" s="2" t="inlineStr"/>
    </row>
    <row r="431" ht="15" customHeight="1">
      <c r="A431" t="inlineStr">
        <is>
          <t>A 50341-2021</t>
        </is>
      </c>
      <c r="B431" s="1" t="n">
        <v>44459</v>
      </c>
      <c r="C431" s="1" t="n">
        <v>45824</v>
      </c>
      <c r="D431" t="inlineStr">
        <is>
          <t>DALARNAS LÄN</t>
        </is>
      </c>
      <c r="E431" t="inlineStr">
        <is>
          <t>ÄLVDALEN</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50349-2021</t>
        </is>
      </c>
      <c r="B432" s="1" t="n">
        <v>44459</v>
      </c>
      <c r="C432" s="1" t="n">
        <v>45824</v>
      </c>
      <c r="D432" t="inlineStr">
        <is>
          <t>DALARNAS LÄN</t>
        </is>
      </c>
      <c r="E432" t="inlineStr">
        <is>
          <t>ÄLVDALEN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50708-2021</t>
        </is>
      </c>
      <c r="B433" s="1" t="n">
        <v>44459</v>
      </c>
      <c r="C433" s="1" t="n">
        <v>45824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51161-2021</t>
        </is>
      </c>
      <c r="B434" s="1" t="n">
        <v>44461</v>
      </c>
      <c r="C434" s="1" t="n">
        <v>45824</v>
      </c>
      <c r="D434" t="inlineStr">
        <is>
          <t>DALARNAS LÄN</t>
        </is>
      </c>
      <c r="E434" t="inlineStr">
        <is>
          <t>ÄLVDALEN</t>
        </is>
      </c>
      <c r="G434" t="n">
        <v>2</v>
      </c>
      <c r="H434" t="n">
        <v>0</v>
      </c>
      <c r="I434" t="n">
        <v>0</v>
      </c>
      <c r="J434" t="n">
        <v>0</v>
      </c>
      <c r="K434" t="n">
        <v>0</v>
      </c>
      <c r="L434" t="n">
        <v>0</v>
      </c>
      <c r="M434" t="n">
        <v>0</v>
      </c>
      <c r="N434" t="n">
        <v>0</v>
      </c>
      <c r="O434" t="n">
        <v>0</v>
      </c>
      <c r="P434" t="n">
        <v>0</v>
      </c>
      <c r="Q434" t="n">
        <v>0</v>
      </c>
      <c r="R434" s="2" t="inlineStr"/>
    </row>
    <row r="435" ht="15" customHeight="1">
      <c r="A435" t="inlineStr">
        <is>
          <t>A 51844-2021</t>
        </is>
      </c>
      <c r="B435" s="1" t="n">
        <v>44462</v>
      </c>
      <c r="C435" s="1" t="n">
        <v>45824</v>
      </c>
      <c r="D435" t="inlineStr">
        <is>
          <t>DALARNAS LÄN</t>
        </is>
      </c>
      <c r="E435" t="inlineStr">
        <is>
          <t>ÄLVDALEN</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52124-2021</t>
        </is>
      </c>
      <c r="B436" s="1" t="n">
        <v>44463</v>
      </c>
      <c r="C436" s="1" t="n">
        <v>45824</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52877-2021</t>
        </is>
      </c>
      <c r="B437" s="1" t="n">
        <v>44467</v>
      </c>
      <c r="C437" s="1" t="n">
        <v>45824</v>
      </c>
      <c r="D437" t="inlineStr">
        <is>
          <t>DALARNAS LÄN</t>
        </is>
      </c>
      <c r="E437" t="inlineStr">
        <is>
          <t>ÄLVDALEN</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52866-2021</t>
        </is>
      </c>
      <c r="B438" s="1" t="n">
        <v>44467</v>
      </c>
      <c r="C438" s="1" t="n">
        <v>45824</v>
      </c>
      <c r="D438" t="inlineStr">
        <is>
          <t>DALARNAS LÄN</t>
        </is>
      </c>
      <c r="E438" t="inlineStr">
        <is>
          <t>ÄLVDALEN</t>
        </is>
      </c>
      <c r="F438" t="inlineStr">
        <is>
          <t>Sveaskog</t>
        </is>
      </c>
      <c r="G438" t="n">
        <v>7.1</v>
      </c>
      <c r="H438" t="n">
        <v>0</v>
      </c>
      <c r="I438" t="n">
        <v>0</v>
      </c>
      <c r="J438" t="n">
        <v>0</v>
      </c>
      <c r="K438" t="n">
        <v>0</v>
      </c>
      <c r="L438" t="n">
        <v>0</v>
      </c>
      <c r="M438" t="n">
        <v>0</v>
      </c>
      <c r="N438" t="n">
        <v>0</v>
      </c>
      <c r="O438" t="n">
        <v>0</v>
      </c>
      <c r="P438" t="n">
        <v>0</v>
      </c>
      <c r="Q438" t="n">
        <v>0</v>
      </c>
      <c r="R438" s="2" t="inlineStr"/>
    </row>
    <row r="439" ht="15" customHeight="1">
      <c r="A439" t="inlineStr">
        <is>
          <t>A 52873-2021</t>
        </is>
      </c>
      <c r="B439" s="1" t="n">
        <v>44467</v>
      </c>
      <c r="C439" s="1" t="n">
        <v>45824</v>
      </c>
      <c r="D439" t="inlineStr">
        <is>
          <t>DALARNAS LÄN</t>
        </is>
      </c>
      <c r="E439" t="inlineStr">
        <is>
          <t>ÄLVDALEN</t>
        </is>
      </c>
      <c r="F439" t="inlineStr">
        <is>
          <t>Sveaskog</t>
        </is>
      </c>
      <c r="G439" t="n">
        <v>14.2</v>
      </c>
      <c r="H439" t="n">
        <v>0</v>
      </c>
      <c r="I439" t="n">
        <v>0</v>
      </c>
      <c r="J439" t="n">
        <v>0</v>
      </c>
      <c r="K439" t="n">
        <v>0</v>
      </c>
      <c r="L439" t="n">
        <v>0</v>
      </c>
      <c r="M439" t="n">
        <v>0</v>
      </c>
      <c r="N439" t="n">
        <v>0</v>
      </c>
      <c r="O439" t="n">
        <v>0</v>
      </c>
      <c r="P439" t="n">
        <v>0</v>
      </c>
      <c r="Q439" t="n">
        <v>0</v>
      </c>
      <c r="R439" s="2" t="inlineStr"/>
    </row>
    <row r="440" ht="15" customHeight="1">
      <c r="A440" t="inlineStr">
        <is>
          <t>A 54292-2021</t>
        </is>
      </c>
      <c r="B440" s="1" t="n">
        <v>44471</v>
      </c>
      <c r="C440" s="1" t="n">
        <v>45824</v>
      </c>
      <c r="D440" t="inlineStr">
        <is>
          <t>DALARNAS LÄN</t>
        </is>
      </c>
      <c r="E440" t="inlineStr">
        <is>
          <t>ÄLVDALEN</t>
        </is>
      </c>
      <c r="G440" t="n">
        <v>3.1</v>
      </c>
      <c r="H440" t="n">
        <v>0</v>
      </c>
      <c r="I440" t="n">
        <v>0</v>
      </c>
      <c r="J440" t="n">
        <v>0</v>
      </c>
      <c r="K440" t="n">
        <v>0</v>
      </c>
      <c r="L440" t="n">
        <v>0</v>
      </c>
      <c r="M440" t="n">
        <v>0</v>
      </c>
      <c r="N440" t="n">
        <v>0</v>
      </c>
      <c r="O440" t="n">
        <v>0</v>
      </c>
      <c r="P440" t="n">
        <v>0</v>
      </c>
      <c r="Q440" t="n">
        <v>0</v>
      </c>
      <c r="R440" s="2" t="inlineStr"/>
    </row>
    <row r="441" ht="15" customHeight="1">
      <c r="A441" t="inlineStr">
        <is>
          <t>A 54387-2021</t>
        </is>
      </c>
      <c r="B441" s="1" t="n">
        <v>44473</v>
      </c>
      <c r="C441" s="1" t="n">
        <v>45824</v>
      </c>
      <c r="D441" t="inlineStr">
        <is>
          <t>DALARNAS LÄN</t>
        </is>
      </c>
      <c r="E441" t="inlineStr">
        <is>
          <t>ÄLVDALEN</t>
        </is>
      </c>
      <c r="F441" t="inlineStr">
        <is>
          <t>Bergvik skog öst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55778-2021</t>
        </is>
      </c>
      <c r="B442" s="1" t="n">
        <v>44476</v>
      </c>
      <c r="C442" s="1" t="n">
        <v>45824</v>
      </c>
      <c r="D442" t="inlineStr">
        <is>
          <t>DALARNAS LÄN</t>
        </is>
      </c>
      <c r="E442" t="inlineStr">
        <is>
          <t>ÄLVDALEN</t>
        </is>
      </c>
      <c r="G442" t="n">
        <v>3.2</v>
      </c>
      <c r="H442" t="n">
        <v>0</v>
      </c>
      <c r="I442" t="n">
        <v>0</v>
      </c>
      <c r="J442" t="n">
        <v>0</v>
      </c>
      <c r="K442" t="n">
        <v>0</v>
      </c>
      <c r="L442" t="n">
        <v>0</v>
      </c>
      <c r="M442" t="n">
        <v>0</v>
      </c>
      <c r="N442" t="n">
        <v>0</v>
      </c>
      <c r="O442" t="n">
        <v>0</v>
      </c>
      <c r="P442" t="n">
        <v>0</v>
      </c>
      <c r="Q442" t="n">
        <v>0</v>
      </c>
      <c r="R442" s="2" t="inlineStr"/>
    </row>
    <row r="443" ht="15" customHeight="1">
      <c r="A443" t="inlineStr">
        <is>
          <t>A 55990-2021</t>
        </is>
      </c>
      <c r="B443" s="1" t="n">
        <v>44477</v>
      </c>
      <c r="C443" s="1" t="n">
        <v>45824</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56041-2021</t>
        </is>
      </c>
      <c r="B444" s="1" t="n">
        <v>44477</v>
      </c>
      <c r="C444" s="1" t="n">
        <v>45824</v>
      </c>
      <c r="D444" t="inlineStr">
        <is>
          <t>DALARNAS LÄN</t>
        </is>
      </c>
      <c r="E444" t="inlineStr">
        <is>
          <t>ÄLVDALEN</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56047-2021</t>
        </is>
      </c>
      <c r="B445" s="1" t="n">
        <v>44477</v>
      </c>
      <c r="C445" s="1" t="n">
        <v>45824</v>
      </c>
      <c r="D445" t="inlineStr">
        <is>
          <t>DALARNAS LÄN</t>
        </is>
      </c>
      <c r="E445" t="inlineStr">
        <is>
          <t>ÄLVDALEN</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56045-2021</t>
        </is>
      </c>
      <c r="B446" s="1" t="n">
        <v>44477</v>
      </c>
      <c r="C446" s="1" t="n">
        <v>45824</v>
      </c>
      <c r="D446" t="inlineStr">
        <is>
          <t>DALARNAS LÄN</t>
        </is>
      </c>
      <c r="E446" t="inlineStr">
        <is>
          <t>ÄLVDALEN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56691-2021</t>
        </is>
      </c>
      <c r="B447" s="1" t="n">
        <v>44481</v>
      </c>
      <c r="C447" s="1" t="n">
        <v>45824</v>
      </c>
      <c r="D447" t="inlineStr">
        <is>
          <t>DALARNAS LÄN</t>
        </is>
      </c>
      <c r="E447" t="inlineStr">
        <is>
          <t>ÄLVDALEN</t>
        </is>
      </c>
      <c r="F447" t="inlineStr">
        <is>
          <t>Allmännings- och besparingsskogar</t>
        </is>
      </c>
      <c r="G447" t="n">
        <v>6.6</v>
      </c>
      <c r="H447" t="n">
        <v>0</v>
      </c>
      <c r="I447" t="n">
        <v>0</v>
      </c>
      <c r="J447" t="n">
        <v>0</v>
      </c>
      <c r="K447" t="n">
        <v>0</v>
      </c>
      <c r="L447" t="n">
        <v>0</v>
      </c>
      <c r="M447" t="n">
        <v>0</v>
      </c>
      <c r="N447" t="n">
        <v>0</v>
      </c>
      <c r="O447" t="n">
        <v>0</v>
      </c>
      <c r="P447" t="n">
        <v>0</v>
      </c>
      <c r="Q447" t="n">
        <v>0</v>
      </c>
      <c r="R447" s="2" t="inlineStr"/>
    </row>
    <row r="448" ht="15" customHeight="1">
      <c r="A448" t="inlineStr">
        <is>
          <t>A 57783-2021</t>
        </is>
      </c>
      <c r="B448" s="1" t="n">
        <v>44484</v>
      </c>
      <c r="C448" s="1" t="n">
        <v>45824</v>
      </c>
      <c r="D448" t="inlineStr">
        <is>
          <t>DALARNAS LÄN</t>
        </is>
      </c>
      <c r="E448" t="inlineStr">
        <is>
          <t>ÄLVDALEN</t>
        </is>
      </c>
      <c r="G448" t="n">
        <v>6.9</v>
      </c>
      <c r="H448" t="n">
        <v>0</v>
      </c>
      <c r="I448" t="n">
        <v>0</v>
      </c>
      <c r="J448" t="n">
        <v>0</v>
      </c>
      <c r="K448" t="n">
        <v>0</v>
      </c>
      <c r="L448" t="n">
        <v>0</v>
      </c>
      <c r="M448" t="n">
        <v>0</v>
      </c>
      <c r="N448" t="n">
        <v>0</v>
      </c>
      <c r="O448" t="n">
        <v>0</v>
      </c>
      <c r="P448" t="n">
        <v>0</v>
      </c>
      <c r="Q448" t="n">
        <v>0</v>
      </c>
      <c r="R448" s="2" t="inlineStr"/>
    </row>
    <row r="449" ht="15" customHeight="1">
      <c r="A449" t="inlineStr">
        <is>
          <t>A 57799-2021</t>
        </is>
      </c>
      <c r="B449" s="1" t="n">
        <v>44484</v>
      </c>
      <c r="C449" s="1" t="n">
        <v>45824</v>
      </c>
      <c r="D449" t="inlineStr">
        <is>
          <t>DALARNAS LÄN</t>
        </is>
      </c>
      <c r="E449" t="inlineStr">
        <is>
          <t>ÄLVDALEN</t>
        </is>
      </c>
      <c r="F449" t="inlineStr">
        <is>
          <t>Allmännings- och besparingsskogar</t>
        </is>
      </c>
      <c r="G449" t="n">
        <v>18.7</v>
      </c>
      <c r="H449" t="n">
        <v>0</v>
      </c>
      <c r="I449" t="n">
        <v>0</v>
      </c>
      <c r="J449" t="n">
        <v>0</v>
      </c>
      <c r="K449" t="n">
        <v>0</v>
      </c>
      <c r="L449" t="n">
        <v>0</v>
      </c>
      <c r="M449" t="n">
        <v>0</v>
      </c>
      <c r="N449" t="n">
        <v>0</v>
      </c>
      <c r="O449" t="n">
        <v>0</v>
      </c>
      <c r="P449" t="n">
        <v>0</v>
      </c>
      <c r="Q449" t="n">
        <v>0</v>
      </c>
      <c r="R449" s="2" t="inlineStr"/>
    </row>
    <row r="450" ht="15" customHeight="1">
      <c r="A450" t="inlineStr">
        <is>
          <t>A 58509-2021</t>
        </is>
      </c>
      <c r="B450" s="1" t="n">
        <v>44488</v>
      </c>
      <c r="C450" s="1" t="n">
        <v>45824</v>
      </c>
      <c r="D450" t="inlineStr">
        <is>
          <t>DALARNAS LÄN</t>
        </is>
      </c>
      <c r="E450" t="inlineStr">
        <is>
          <t>ÄLVDALEN</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59658-2021</t>
        </is>
      </c>
      <c r="B451" s="1" t="n">
        <v>44494</v>
      </c>
      <c r="C451" s="1" t="n">
        <v>45824</v>
      </c>
      <c r="D451" t="inlineStr">
        <is>
          <t>DALARNAS LÄN</t>
        </is>
      </c>
      <c r="E451" t="inlineStr">
        <is>
          <t>ÄLVDALEN</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60258-2021</t>
        </is>
      </c>
      <c r="B452" s="1" t="n">
        <v>44495</v>
      </c>
      <c r="C452" s="1" t="n">
        <v>45824</v>
      </c>
      <c r="D452" t="inlineStr">
        <is>
          <t>DALARNAS LÄN</t>
        </is>
      </c>
      <c r="E452" t="inlineStr">
        <is>
          <t>ÄLVDALEN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60265-2021</t>
        </is>
      </c>
      <c r="B453" s="1" t="n">
        <v>44495</v>
      </c>
      <c r="C453" s="1" t="n">
        <v>45824</v>
      </c>
      <c r="D453" t="inlineStr">
        <is>
          <t>DALARNAS LÄN</t>
        </is>
      </c>
      <c r="E453" t="inlineStr">
        <is>
          <t>ÄLVDALEN</t>
        </is>
      </c>
      <c r="F453" t="inlineStr">
        <is>
          <t>Allmännings- och besparingsskogar</t>
        </is>
      </c>
      <c r="G453" t="n">
        <v>10</v>
      </c>
      <c r="H453" t="n">
        <v>0</v>
      </c>
      <c r="I453" t="n">
        <v>0</v>
      </c>
      <c r="J453" t="n">
        <v>0</v>
      </c>
      <c r="K453" t="n">
        <v>0</v>
      </c>
      <c r="L453" t="n">
        <v>0</v>
      </c>
      <c r="M453" t="n">
        <v>0</v>
      </c>
      <c r="N453" t="n">
        <v>0</v>
      </c>
      <c r="O453" t="n">
        <v>0</v>
      </c>
      <c r="P453" t="n">
        <v>0</v>
      </c>
      <c r="Q453" t="n">
        <v>0</v>
      </c>
      <c r="R453" s="2" t="inlineStr"/>
    </row>
    <row r="454" ht="15" customHeight="1">
      <c r="A454" t="inlineStr">
        <is>
          <t>A 60642-2021</t>
        </is>
      </c>
      <c r="B454" s="1" t="n">
        <v>44496</v>
      </c>
      <c r="C454" s="1" t="n">
        <v>45824</v>
      </c>
      <c r="D454" t="inlineStr">
        <is>
          <t>DALARNAS LÄN</t>
        </is>
      </c>
      <c r="E454" t="inlineStr">
        <is>
          <t>ÄLVDALEN</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61315-2021</t>
        </is>
      </c>
      <c r="B455" s="1" t="n">
        <v>44498</v>
      </c>
      <c r="C455" s="1" t="n">
        <v>45824</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61563-2021</t>
        </is>
      </c>
      <c r="B456" s="1" t="n">
        <v>44501</v>
      </c>
      <c r="C456" s="1" t="n">
        <v>45824</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62024-2021</t>
        </is>
      </c>
      <c r="B457" s="1" t="n">
        <v>44502</v>
      </c>
      <c r="C457" s="1" t="n">
        <v>45824</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62643-2021</t>
        </is>
      </c>
      <c r="B458" s="1" t="n">
        <v>44503</v>
      </c>
      <c r="C458" s="1" t="n">
        <v>45824</v>
      </c>
      <c r="D458" t="inlineStr">
        <is>
          <t>DALARNAS LÄN</t>
        </is>
      </c>
      <c r="E458" t="inlineStr">
        <is>
          <t>ÄLVDALEN</t>
        </is>
      </c>
      <c r="F458" t="inlineStr">
        <is>
          <t>Sveaskog</t>
        </is>
      </c>
      <c r="G458" t="n">
        <v>48.7</v>
      </c>
      <c r="H458" t="n">
        <v>0</v>
      </c>
      <c r="I458" t="n">
        <v>0</v>
      </c>
      <c r="J458" t="n">
        <v>0</v>
      </c>
      <c r="K458" t="n">
        <v>0</v>
      </c>
      <c r="L458" t="n">
        <v>0</v>
      </c>
      <c r="M458" t="n">
        <v>0</v>
      </c>
      <c r="N458" t="n">
        <v>0</v>
      </c>
      <c r="O458" t="n">
        <v>0</v>
      </c>
      <c r="P458" t="n">
        <v>0</v>
      </c>
      <c r="Q458" t="n">
        <v>0</v>
      </c>
      <c r="R458" s="2" t="inlineStr"/>
    </row>
    <row r="459" ht="15" customHeight="1">
      <c r="A459" t="inlineStr">
        <is>
          <t>A 62680-2021</t>
        </is>
      </c>
      <c r="B459" s="1" t="n">
        <v>44504</v>
      </c>
      <c r="C459" s="1" t="n">
        <v>45824</v>
      </c>
      <c r="D459" t="inlineStr">
        <is>
          <t>DALARNAS LÄN</t>
        </is>
      </c>
      <c r="E459" t="inlineStr">
        <is>
          <t>ÄLVDALEN</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63079-2021</t>
        </is>
      </c>
      <c r="B460" s="1" t="n">
        <v>44505</v>
      </c>
      <c r="C460" s="1" t="n">
        <v>45824</v>
      </c>
      <c r="D460" t="inlineStr">
        <is>
          <t>DALARNAS LÄN</t>
        </is>
      </c>
      <c r="E460" t="inlineStr">
        <is>
          <t>ÄLVDALEN</t>
        </is>
      </c>
      <c r="F460" t="inlineStr">
        <is>
          <t>Bergvik skog väst AB</t>
        </is>
      </c>
      <c r="G460" t="n">
        <v>4</v>
      </c>
      <c r="H460" t="n">
        <v>0</v>
      </c>
      <c r="I460" t="n">
        <v>0</v>
      </c>
      <c r="J460" t="n">
        <v>0</v>
      </c>
      <c r="K460" t="n">
        <v>0</v>
      </c>
      <c r="L460" t="n">
        <v>0</v>
      </c>
      <c r="M460" t="n">
        <v>0</v>
      </c>
      <c r="N460" t="n">
        <v>0</v>
      </c>
      <c r="O460" t="n">
        <v>0</v>
      </c>
      <c r="P460" t="n">
        <v>0</v>
      </c>
      <c r="Q460" t="n">
        <v>0</v>
      </c>
      <c r="R460" s="2" t="inlineStr"/>
    </row>
    <row r="461" ht="15" customHeight="1">
      <c r="A461" t="inlineStr">
        <is>
          <t>A 63114-2021</t>
        </is>
      </c>
      <c r="B461" s="1" t="n">
        <v>44505</v>
      </c>
      <c r="C461" s="1" t="n">
        <v>45824</v>
      </c>
      <c r="D461" t="inlineStr">
        <is>
          <t>DALARNAS LÄN</t>
        </is>
      </c>
      <c r="E461" t="inlineStr">
        <is>
          <t>ÄLVDALEN</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63120-2021</t>
        </is>
      </c>
      <c r="B462" s="1" t="n">
        <v>44505</v>
      </c>
      <c r="C462" s="1" t="n">
        <v>45824</v>
      </c>
      <c r="D462" t="inlineStr">
        <is>
          <t>DALARNAS LÄN</t>
        </is>
      </c>
      <c r="E462" t="inlineStr">
        <is>
          <t>ÄLVDALEN</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63273-2021</t>
        </is>
      </c>
      <c r="B463" s="1" t="n">
        <v>44508</v>
      </c>
      <c r="C463" s="1" t="n">
        <v>45824</v>
      </c>
      <c r="D463" t="inlineStr">
        <is>
          <t>DALARNAS LÄN</t>
        </is>
      </c>
      <c r="E463" t="inlineStr">
        <is>
          <t>ÄLVDALEN</t>
        </is>
      </c>
      <c r="F463" t="inlineStr">
        <is>
          <t>Bergvik skog väst AB</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63242-2021</t>
        </is>
      </c>
      <c r="B464" s="1" t="n">
        <v>44508</v>
      </c>
      <c r="C464" s="1" t="n">
        <v>45824</v>
      </c>
      <c r="D464" t="inlineStr">
        <is>
          <t>DALARNAS LÄN</t>
        </is>
      </c>
      <c r="E464" t="inlineStr">
        <is>
          <t>ÄLVDALEN</t>
        </is>
      </c>
      <c r="G464" t="n">
        <v>1.8</v>
      </c>
      <c r="H464" t="n">
        <v>0</v>
      </c>
      <c r="I464" t="n">
        <v>0</v>
      </c>
      <c r="J464" t="n">
        <v>0</v>
      </c>
      <c r="K464" t="n">
        <v>0</v>
      </c>
      <c r="L464" t="n">
        <v>0</v>
      </c>
      <c r="M464" t="n">
        <v>0</v>
      </c>
      <c r="N464" t="n">
        <v>0</v>
      </c>
      <c r="O464" t="n">
        <v>0</v>
      </c>
      <c r="P464" t="n">
        <v>0</v>
      </c>
      <c r="Q464" t="n">
        <v>0</v>
      </c>
      <c r="R464" s="2" t="inlineStr"/>
    </row>
    <row r="465" ht="15" customHeight="1">
      <c r="A465" t="inlineStr">
        <is>
          <t>A 63250-2021</t>
        </is>
      </c>
      <c r="B465" s="1" t="n">
        <v>44508</v>
      </c>
      <c r="C465" s="1" t="n">
        <v>45824</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63325-2021</t>
        </is>
      </c>
      <c r="B466" s="1" t="n">
        <v>44508</v>
      </c>
      <c r="C466" s="1" t="n">
        <v>45824</v>
      </c>
      <c r="D466" t="inlineStr">
        <is>
          <t>DALARNAS LÄN</t>
        </is>
      </c>
      <c r="E466" t="inlineStr">
        <is>
          <t>ÄLVDALEN</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66634-2021</t>
        </is>
      </c>
      <c r="B467" s="1" t="n">
        <v>44519</v>
      </c>
      <c r="C467" s="1" t="n">
        <v>45824</v>
      </c>
      <c r="D467" t="inlineStr">
        <is>
          <t>DALARNAS LÄN</t>
        </is>
      </c>
      <c r="E467" t="inlineStr">
        <is>
          <t>ÄLVDALEN</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66887-2021</t>
        </is>
      </c>
      <c r="B468" s="1" t="n">
        <v>44522</v>
      </c>
      <c r="C468" s="1" t="n">
        <v>45824</v>
      </c>
      <c r="D468" t="inlineStr">
        <is>
          <t>DALARNAS LÄN</t>
        </is>
      </c>
      <c r="E468" t="inlineStr">
        <is>
          <t>ÄLVDALEN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68204-2021</t>
        </is>
      </c>
      <c r="B469" s="1" t="n">
        <v>44526</v>
      </c>
      <c r="C469" s="1" t="n">
        <v>45824</v>
      </c>
      <c r="D469" t="inlineStr">
        <is>
          <t>DALARNAS LÄN</t>
        </is>
      </c>
      <c r="E469" t="inlineStr">
        <is>
          <t>ÄLVDALEN</t>
        </is>
      </c>
      <c r="F469" t="inlineStr">
        <is>
          <t>Kyrkan</t>
        </is>
      </c>
      <c r="G469" t="n">
        <v>5</v>
      </c>
      <c r="H469" t="n">
        <v>0</v>
      </c>
      <c r="I469" t="n">
        <v>0</v>
      </c>
      <c r="J469" t="n">
        <v>0</v>
      </c>
      <c r="K469" t="n">
        <v>0</v>
      </c>
      <c r="L469" t="n">
        <v>0</v>
      </c>
      <c r="M469" t="n">
        <v>0</v>
      </c>
      <c r="N469" t="n">
        <v>0</v>
      </c>
      <c r="O469" t="n">
        <v>0</v>
      </c>
      <c r="P469" t="n">
        <v>0</v>
      </c>
      <c r="Q469" t="n">
        <v>0</v>
      </c>
      <c r="R469" s="2" t="inlineStr"/>
    </row>
    <row r="470" ht="15" customHeight="1">
      <c r="A470" t="inlineStr">
        <is>
          <t>A 68219-2021</t>
        </is>
      </c>
      <c r="B470" s="1" t="n">
        <v>44526</v>
      </c>
      <c r="C470" s="1" t="n">
        <v>45824</v>
      </c>
      <c r="D470" t="inlineStr">
        <is>
          <t>DALARNAS LÄN</t>
        </is>
      </c>
      <c r="E470" t="inlineStr">
        <is>
          <t>ÄLVDALEN</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68383-2021</t>
        </is>
      </c>
      <c r="B471" s="1" t="n">
        <v>44529</v>
      </c>
      <c r="C471" s="1" t="n">
        <v>45824</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45824</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70252-2021</t>
        </is>
      </c>
      <c r="B473" s="1" t="n">
        <v>44536</v>
      </c>
      <c r="C473" s="1" t="n">
        <v>45824</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70990-2021</t>
        </is>
      </c>
      <c r="B474" s="1" t="n">
        <v>44538</v>
      </c>
      <c r="C474" s="1" t="n">
        <v>45824</v>
      </c>
      <c r="D474" t="inlineStr">
        <is>
          <t>DALARNAS LÄN</t>
        </is>
      </c>
      <c r="E474" t="inlineStr">
        <is>
          <t>ÄLVDALEN</t>
        </is>
      </c>
      <c r="F474" t="inlineStr">
        <is>
          <t>Kyrkan</t>
        </is>
      </c>
      <c r="G474" t="n">
        <v>3.5</v>
      </c>
      <c r="H474" t="n">
        <v>0</v>
      </c>
      <c r="I474" t="n">
        <v>0</v>
      </c>
      <c r="J474" t="n">
        <v>0</v>
      </c>
      <c r="K474" t="n">
        <v>0</v>
      </c>
      <c r="L474" t="n">
        <v>0</v>
      </c>
      <c r="M474" t="n">
        <v>0</v>
      </c>
      <c r="N474" t="n">
        <v>0</v>
      </c>
      <c r="O474" t="n">
        <v>0</v>
      </c>
      <c r="P474" t="n">
        <v>0</v>
      </c>
      <c r="Q474" t="n">
        <v>0</v>
      </c>
      <c r="R474" s="2" t="inlineStr"/>
    </row>
    <row r="475" ht="15" customHeight="1">
      <c r="A475" t="inlineStr">
        <is>
          <t>A 71282-2021</t>
        </is>
      </c>
      <c r="B475" s="1" t="n">
        <v>44539</v>
      </c>
      <c r="C475" s="1" t="n">
        <v>45824</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72813-2021</t>
        </is>
      </c>
      <c r="B476" s="1" t="n">
        <v>44546</v>
      </c>
      <c r="C476" s="1" t="n">
        <v>45824</v>
      </c>
      <c r="D476" t="inlineStr">
        <is>
          <t>DALARNAS LÄN</t>
        </is>
      </c>
      <c r="E476" t="inlineStr">
        <is>
          <t>ÄLVDALEN</t>
        </is>
      </c>
      <c r="G476" t="n">
        <v>4.2</v>
      </c>
      <c r="H476" t="n">
        <v>0</v>
      </c>
      <c r="I476" t="n">
        <v>0</v>
      </c>
      <c r="J476" t="n">
        <v>0</v>
      </c>
      <c r="K476" t="n">
        <v>0</v>
      </c>
      <c r="L476" t="n">
        <v>0</v>
      </c>
      <c r="M476" t="n">
        <v>0</v>
      </c>
      <c r="N476" t="n">
        <v>0</v>
      </c>
      <c r="O476" t="n">
        <v>0</v>
      </c>
      <c r="P476" t="n">
        <v>0</v>
      </c>
      <c r="Q476" t="n">
        <v>0</v>
      </c>
      <c r="R476" s="2" t="inlineStr"/>
    </row>
    <row r="477" ht="15" customHeight="1">
      <c r="A477" t="inlineStr">
        <is>
          <t>A 72846-2021</t>
        </is>
      </c>
      <c r="B477" s="1" t="n">
        <v>44547</v>
      </c>
      <c r="C477" s="1" t="n">
        <v>45824</v>
      </c>
      <c r="D477" t="inlineStr">
        <is>
          <t>DALARNAS LÄN</t>
        </is>
      </c>
      <c r="E477" t="inlineStr">
        <is>
          <t>ÄLVDALEN</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73691-2021</t>
        </is>
      </c>
      <c r="B478" s="1" t="n">
        <v>44552</v>
      </c>
      <c r="C478" s="1" t="n">
        <v>45824</v>
      </c>
      <c r="D478" t="inlineStr">
        <is>
          <t>DALARNAS LÄN</t>
        </is>
      </c>
      <c r="E478" t="inlineStr">
        <is>
          <t>ÄLVDALEN</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73676-2021</t>
        </is>
      </c>
      <c r="B479" s="1" t="n">
        <v>44552</v>
      </c>
      <c r="C479" s="1" t="n">
        <v>45824</v>
      </c>
      <c r="D479" t="inlineStr">
        <is>
          <t>DALARNAS LÄN</t>
        </is>
      </c>
      <c r="E479" t="inlineStr">
        <is>
          <t>ÄLVDALEN</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74322-2021</t>
        </is>
      </c>
      <c r="B480" s="1" t="n">
        <v>44558</v>
      </c>
      <c r="C480" s="1" t="n">
        <v>45824</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74324-2021</t>
        </is>
      </c>
      <c r="B481" s="1" t="n">
        <v>44558</v>
      </c>
      <c r="C481" s="1" t="n">
        <v>45824</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713-2022</t>
        </is>
      </c>
      <c r="B482" s="1" t="n">
        <v>44568</v>
      </c>
      <c r="C482" s="1" t="n">
        <v>45824</v>
      </c>
      <c r="D482" t="inlineStr">
        <is>
          <t>DALARNAS LÄN</t>
        </is>
      </c>
      <c r="E482" t="inlineStr">
        <is>
          <t>ÄLVDALEN</t>
        </is>
      </c>
      <c r="G482" t="n">
        <v>1.6</v>
      </c>
      <c r="H482" t="n">
        <v>0</v>
      </c>
      <c r="I482" t="n">
        <v>0</v>
      </c>
      <c r="J482" t="n">
        <v>0</v>
      </c>
      <c r="K482" t="n">
        <v>0</v>
      </c>
      <c r="L482" t="n">
        <v>0</v>
      </c>
      <c r="M482" t="n">
        <v>0</v>
      </c>
      <c r="N482" t="n">
        <v>0</v>
      </c>
      <c r="O482" t="n">
        <v>0</v>
      </c>
      <c r="P482" t="n">
        <v>0</v>
      </c>
      <c r="Q482" t="n">
        <v>0</v>
      </c>
      <c r="R482" s="2" t="inlineStr"/>
    </row>
    <row r="483" ht="15" customHeight="1">
      <c r="A483" t="inlineStr">
        <is>
          <t>A 5422-2022</t>
        </is>
      </c>
      <c r="B483" s="1" t="n">
        <v>44595</v>
      </c>
      <c r="C483" s="1" t="n">
        <v>45824</v>
      </c>
      <c r="D483" t="inlineStr">
        <is>
          <t>DALARNAS LÄN</t>
        </is>
      </c>
      <c r="E483" t="inlineStr">
        <is>
          <t>ÄLVDALEN</t>
        </is>
      </c>
      <c r="F483" t="inlineStr">
        <is>
          <t>Allmännings- och besparingsskogar</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5549-2022</t>
        </is>
      </c>
      <c r="B484" s="1" t="n">
        <v>44595</v>
      </c>
      <c r="C484" s="1" t="n">
        <v>45824</v>
      </c>
      <c r="D484" t="inlineStr">
        <is>
          <t>DALARNAS LÄN</t>
        </is>
      </c>
      <c r="E484" t="inlineStr">
        <is>
          <t>ÄLVDALEN</t>
        </is>
      </c>
      <c r="F484" t="inlineStr">
        <is>
          <t>Allmännings- och besparingsskogar</t>
        </is>
      </c>
      <c r="G484" t="n">
        <v>3.2</v>
      </c>
      <c r="H484" t="n">
        <v>0</v>
      </c>
      <c r="I484" t="n">
        <v>0</v>
      </c>
      <c r="J484" t="n">
        <v>0</v>
      </c>
      <c r="K484" t="n">
        <v>0</v>
      </c>
      <c r="L484" t="n">
        <v>0</v>
      </c>
      <c r="M484" t="n">
        <v>0</v>
      </c>
      <c r="N484" t="n">
        <v>0</v>
      </c>
      <c r="O484" t="n">
        <v>0</v>
      </c>
      <c r="P484" t="n">
        <v>0</v>
      </c>
      <c r="Q484" t="n">
        <v>0</v>
      </c>
      <c r="R484" s="2" t="inlineStr"/>
    </row>
    <row r="485" ht="15" customHeight="1">
      <c r="A485" t="inlineStr">
        <is>
          <t>A 5981-2022</t>
        </is>
      </c>
      <c r="B485" s="1" t="n">
        <v>44599</v>
      </c>
      <c r="C485" s="1" t="n">
        <v>45824</v>
      </c>
      <c r="D485" t="inlineStr">
        <is>
          <t>DALARNAS LÄN</t>
        </is>
      </c>
      <c r="E485" t="inlineStr">
        <is>
          <t>ÄLVDALEN</t>
        </is>
      </c>
      <c r="F485" t="inlineStr">
        <is>
          <t>Allmännings- och besparingsskogar</t>
        </is>
      </c>
      <c r="G485" t="n">
        <v>9.1</v>
      </c>
      <c r="H485" t="n">
        <v>0</v>
      </c>
      <c r="I485" t="n">
        <v>0</v>
      </c>
      <c r="J485" t="n">
        <v>0</v>
      </c>
      <c r="K485" t="n">
        <v>0</v>
      </c>
      <c r="L485" t="n">
        <v>0</v>
      </c>
      <c r="M485" t="n">
        <v>0</v>
      </c>
      <c r="N485" t="n">
        <v>0</v>
      </c>
      <c r="O485" t="n">
        <v>0</v>
      </c>
      <c r="P485" t="n">
        <v>0</v>
      </c>
      <c r="Q485" t="n">
        <v>0</v>
      </c>
      <c r="R485" s="2" t="inlineStr"/>
    </row>
    <row r="486" ht="15" customHeight="1">
      <c r="A486" t="inlineStr">
        <is>
          <t>A 6270-2022</t>
        </is>
      </c>
      <c r="B486" s="1" t="n">
        <v>44600</v>
      </c>
      <c r="C486" s="1" t="n">
        <v>45824</v>
      </c>
      <c r="D486" t="inlineStr">
        <is>
          <t>DALARNAS LÄN</t>
        </is>
      </c>
      <c r="E486" t="inlineStr">
        <is>
          <t>ÄLVDALEN</t>
        </is>
      </c>
      <c r="F486" t="inlineStr">
        <is>
          <t>Allmännings- och besparingsskogar</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7530-2022</t>
        </is>
      </c>
      <c r="B487" s="1" t="n">
        <v>44607</v>
      </c>
      <c r="C487" s="1" t="n">
        <v>45824</v>
      </c>
      <c r="D487" t="inlineStr">
        <is>
          <t>DALARNAS LÄN</t>
        </is>
      </c>
      <c r="E487" t="inlineStr">
        <is>
          <t>ÄLVDALEN</t>
        </is>
      </c>
      <c r="G487" t="n">
        <v>1.1</v>
      </c>
      <c r="H487" t="n">
        <v>0</v>
      </c>
      <c r="I487" t="n">
        <v>0</v>
      </c>
      <c r="J487" t="n">
        <v>0</v>
      </c>
      <c r="K487" t="n">
        <v>0</v>
      </c>
      <c r="L487" t="n">
        <v>0</v>
      </c>
      <c r="M487" t="n">
        <v>0</v>
      </c>
      <c r="N487" t="n">
        <v>0</v>
      </c>
      <c r="O487" t="n">
        <v>0</v>
      </c>
      <c r="P487" t="n">
        <v>0</v>
      </c>
      <c r="Q487" t="n">
        <v>0</v>
      </c>
      <c r="R487" s="2" t="inlineStr"/>
    </row>
    <row r="488" ht="15" customHeight="1">
      <c r="A488" t="inlineStr">
        <is>
          <t>A 11180-2022</t>
        </is>
      </c>
      <c r="B488" s="1" t="n">
        <v>44629</v>
      </c>
      <c r="C488" s="1" t="n">
        <v>45824</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12066-2022</t>
        </is>
      </c>
      <c r="B489" s="1" t="n">
        <v>44636</v>
      </c>
      <c r="C489" s="1" t="n">
        <v>45824</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12995-2022</t>
        </is>
      </c>
      <c r="B490" s="1" t="n">
        <v>44643</v>
      </c>
      <c r="C490" s="1" t="n">
        <v>45824</v>
      </c>
      <c r="D490" t="inlineStr">
        <is>
          <t>DALARNAS LÄN</t>
        </is>
      </c>
      <c r="E490" t="inlineStr">
        <is>
          <t>ÄLVDALEN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13000-2022</t>
        </is>
      </c>
      <c r="B491" s="1" t="n">
        <v>44643</v>
      </c>
      <c r="C491" s="1" t="n">
        <v>45824</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14089-2022</t>
        </is>
      </c>
      <c r="B492" s="1" t="n">
        <v>44651</v>
      </c>
      <c r="C492" s="1" t="n">
        <v>45824</v>
      </c>
      <c r="D492" t="inlineStr">
        <is>
          <t>DALARNAS LÄN</t>
        </is>
      </c>
      <c r="E492" t="inlineStr">
        <is>
          <t>ÄLVDALEN</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14235-2022</t>
        </is>
      </c>
      <c r="B493" s="1" t="n">
        <v>44651</v>
      </c>
      <c r="C493" s="1" t="n">
        <v>45824</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14795-2022</t>
        </is>
      </c>
      <c r="B494" s="1" t="n">
        <v>44656</v>
      </c>
      <c r="C494" s="1" t="n">
        <v>45824</v>
      </c>
      <c r="D494" t="inlineStr">
        <is>
          <t>DALARNAS LÄN</t>
        </is>
      </c>
      <c r="E494" t="inlineStr">
        <is>
          <t>ÄLVDALEN</t>
        </is>
      </c>
      <c r="F494" t="inlineStr">
        <is>
          <t>Övriga statliga verk och myndigheter</t>
        </is>
      </c>
      <c r="G494" t="n">
        <v>15.9</v>
      </c>
      <c r="H494" t="n">
        <v>0</v>
      </c>
      <c r="I494" t="n">
        <v>0</v>
      </c>
      <c r="J494" t="n">
        <v>0</v>
      </c>
      <c r="K494" t="n">
        <v>0</v>
      </c>
      <c r="L494" t="n">
        <v>0</v>
      </c>
      <c r="M494" t="n">
        <v>0</v>
      </c>
      <c r="N494" t="n">
        <v>0</v>
      </c>
      <c r="O494" t="n">
        <v>0</v>
      </c>
      <c r="P494" t="n">
        <v>0</v>
      </c>
      <c r="Q494" t="n">
        <v>0</v>
      </c>
      <c r="R494" s="2" t="inlineStr"/>
    </row>
    <row r="495" ht="15" customHeight="1">
      <c r="A495" t="inlineStr">
        <is>
          <t>A 15603-2022</t>
        </is>
      </c>
      <c r="B495" s="1" t="n">
        <v>44662</v>
      </c>
      <c r="C495" s="1" t="n">
        <v>45824</v>
      </c>
      <c r="D495" t="inlineStr">
        <is>
          <t>DALARNAS LÄN</t>
        </is>
      </c>
      <c r="E495" t="inlineStr">
        <is>
          <t>ÄLVDALEN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v>
      </c>
      <c r="C496" s="1" t="n">
        <v>45824</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17627-2022</t>
        </is>
      </c>
      <c r="B497" s="1" t="n">
        <v>44680</v>
      </c>
      <c r="C497" s="1" t="n">
        <v>45824</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18436-2022</t>
        </is>
      </c>
      <c r="B498" s="1" t="n">
        <v>44686</v>
      </c>
      <c r="C498" s="1" t="n">
        <v>45824</v>
      </c>
      <c r="D498" t="inlineStr">
        <is>
          <t>DALARNAS LÄN</t>
        </is>
      </c>
      <c r="E498" t="inlineStr">
        <is>
          <t>ÄLVDALEN</t>
        </is>
      </c>
      <c r="G498" t="n">
        <v>6.4</v>
      </c>
      <c r="H498" t="n">
        <v>0</v>
      </c>
      <c r="I498" t="n">
        <v>0</v>
      </c>
      <c r="J498" t="n">
        <v>0</v>
      </c>
      <c r="K498" t="n">
        <v>0</v>
      </c>
      <c r="L498" t="n">
        <v>0</v>
      </c>
      <c r="M498" t="n">
        <v>0</v>
      </c>
      <c r="N498" t="n">
        <v>0</v>
      </c>
      <c r="O498" t="n">
        <v>0</v>
      </c>
      <c r="P498" t="n">
        <v>0</v>
      </c>
      <c r="Q498" t="n">
        <v>0</v>
      </c>
      <c r="R498" s="2" t="inlineStr"/>
    </row>
    <row r="499" ht="15" customHeight="1">
      <c r="A499" t="inlineStr">
        <is>
          <t>A 18911-2022</t>
        </is>
      </c>
      <c r="B499" s="1" t="n">
        <v>44690</v>
      </c>
      <c r="C499" s="1" t="n">
        <v>45824</v>
      </c>
      <c r="D499" t="inlineStr">
        <is>
          <t>DALARNAS LÄN</t>
        </is>
      </c>
      <c r="E499" t="inlineStr">
        <is>
          <t>ÄLVDALEN</t>
        </is>
      </c>
      <c r="G499" t="n">
        <v>4.8</v>
      </c>
      <c r="H499" t="n">
        <v>0</v>
      </c>
      <c r="I499" t="n">
        <v>0</v>
      </c>
      <c r="J499" t="n">
        <v>0</v>
      </c>
      <c r="K499" t="n">
        <v>0</v>
      </c>
      <c r="L499" t="n">
        <v>0</v>
      </c>
      <c r="M499" t="n">
        <v>0</v>
      </c>
      <c r="N499" t="n">
        <v>0</v>
      </c>
      <c r="O499" t="n">
        <v>0</v>
      </c>
      <c r="P499" t="n">
        <v>0</v>
      </c>
      <c r="Q499" t="n">
        <v>0</v>
      </c>
      <c r="R499" s="2" t="inlineStr"/>
    </row>
    <row r="500" ht="15" customHeight="1">
      <c r="A500" t="inlineStr">
        <is>
          <t>A 19192-2022</t>
        </is>
      </c>
      <c r="B500" s="1" t="n">
        <v>44691</v>
      </c>
      <c r="C500" s="1" t="n">
        <v>45824</v>
      </c>
      <c r="D500" t="inlineStr">
        <is>
          <t>DALARNAS LÄN</t>
        </is>
      </c>
      <c r="E500" t="inlineStr">
        <is>
          <t>ÄLVDALEN</t>
        </is>
      </c>
      <c r="F500" t="inlineStr">
        <is>
          <t>Allmännings- och besparingsskogar</t>
        </is>
      </c>
      <c r="G500" t="n">
        <v>47.7</v>
      </c>
      <c r="H500" t="n">
        <v>0</v>
      </c>
      <c r="I500" t="n">
        <v>0</v>
      </c>
      <c r="J500" t="n">
        <v>0</v>
      </c>
      <c r="K500" t="n">
        <v>0</v>
      </c>
      <c r="L500" t="n">
        <v>0</v>
      </c>
      <c r="M500" t="n">
        <v>0</v>
      </c>
      <c r="N500" t="n">
        <v>0</v>
      </c>
      <c r="O500" t="n">
        <v>0</v>
      </c>
      <c r="P500" t="n">
        <v>0</v>
      </c>
      <c r="Q500" t="n">
        <v>0</v>
      </c>
      <c r="R500" s="2" t="inlineStr"/>
    </row>
    <row r="501" ht="15" customHeight="1">
      <c r="A501" t="inlineStr">
        <is>
          <t>A 19933-2022</t>
        </is>
      </c>
      <c r="B501" s="1" t="n">
        <v>44697</v>
      </c>
      <c r="C501" s="1" t="n">
        <v>45824</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19939-2022</t>
        </is>
      </c>
      <c r="B502" s="1" t="n">
        <v>44697</v>
      </c>
      <c r="C502" s="1" t="n">
        <v>45824</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20561-2022</t>
        </is>
      </c>
      <c r="B503" s="1" t="n">
        <v>44700</v>
      </c>
      <c r="C503" s="1" t="n">
        <v>45824</v>
      </c>
      <c r="D503" t="inlineStr">
        <is>
          <t>DALARNAS LÄN</t>
        </is>
      </c>
      <c r="E503" t="inlineStr">
        <is>
          <t>ÄLVDALEN</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21280-2022</t>
        </is>
      </c>
      <c r="B504" s="1" t="n">
        <v>44705</v>
      </c>
      <c r="C504" s="1" t="n">
        <v>45824</v>
      </c>
      <c r="D504" t="inlineStr">
        <is>
          <t>DALARNAS LÄN</t>
        </is>
      </c>
      <c r="E504" t="inlineStr">
        <is>
          <t>ÄLVDALEN</t>
        </is>
      </c>
      <c r="G504" t="n">
        <v>4.5</v>
      </c>
      <c r="H504" t="n">
        <v>0</v>
      </c>
      <c r="I504" t="n">
        <v>0</v>
      </c>
      <c r="J504" t="n">
        <v>0</v>
      </c>
      <c r="K504" t="n">
        <v>0</v>
      </c>
      <c r="L504" t="n">
        <v>0</v>
      </c>
      <c r="M504" t="n">
        <v>0</v>
      </c>
      <c r="N504" t="n">
        <v>0</v>
      </c>
      <c r="O504" t="n">
        <v>0</v>
      </c>
      <c r="P504" t="n">
        <v>0</v>
      </c>
      <c r="Q504" t="n">
        <v>0</v>
      </c>
      <c r="R504" s="2" t="inlineStr"/>
    </row>
    <row r="505" ht="15" customHeight="1">
      <c r="A505" t="inlineStr">
        <is>
          <t>A 21279-2022</t>
        </is>
      </c>
      <c r="B505" s="1" t="n">
        <v>44705</v>
      </c>
      <c r="C505" s="1" t="n">
        <v>45824</v>
      </c>
      <c r="D505" t="inlineStr">
        <is>
          <t>DALARNAS LÄN</t>
        </is>
      </c>
      <c r="E505" t="inlineStr">
        <is>
          <t>ÄLVDALEN</t>
        </is>
      </c>
      <c r="G505" t="n">
        <v>4.6</v>
      </c>
      <c r="H505" t="n">
        <v>0</v>
      </c>
      <c r="I505" t="n">
        <v>0</v>
      </c>
      <c r="J505" t="n">
        <v>0</v>
      </c>
      <c r="K505" t="n">
        <v>0</v>
      </c>
      <c r="L505" t="n">
        <v>0</v>
      </c>
      <c r="M505" t="n">
        <v>0</v>
      </c>
      <c r="N505" t="n">
        <v>0</v>
      </c>
      <c r="O505" t="n">
        <v>0</v>
      </c>
      <c r="P505" t="n">
        <v>0</v>
      </c>
      <c r="Q505" t="n">
        <v>0</v>
      </c>
      <c r="R505" s="2" t="inlineStr"/>
    </row>
    <row r="506" ht="15" customHeight="1">
      <c r="A506" t="inlineStr">
        <is>
          <t>A 21630-2022</t>
        </is>
      </c>
      <c r="B506" s="1" t="n">
        <v>44706</v>
      </c>
      <c r="C506" s="1" t="n">
        <v>45824</v>
      </c>
      <c r="D506" t="inlineStr">
        <is>
          <t>DALARNAS LÄN</t>
        </is>
      </c>
      <c r="E506" t="inlineStr">
        <is>
          <t>ÄLVDALEN</t>
        </is>
      </c>
      <c r="F506" t="inlineStr">
        <is>
          <t>Övriga statliga verk och myndigheter</t>
        </is>
      </c>
      <c r="G506" t="n">
        <v>5.2</v>
      </c>
      <c r="H506" t="n">
        <v>0</v>
      </c>
      <c r="I506" t="n">
        <v>0</v>
      </c>
      <c r="J506" t="n">
        <v>0</v>
      </c>
      <c r="K506" t="n">
        <v>0</v>
      </c>
      <c r="L506" t="n">
        <v>0</v>
      </c>
      <c r="M506" t="n">
        <v>0</v>
      </c>
      <c r="N506" t="n">
        <v>0</v>
      </c>
      <c r="O506" t="n">
        <v>0</v>
      </c>
      <c r="P506" t="n">
        <v>0</v>
      </c>
      <c r="Q506" t="n">
        <v>0</v>
      </c>
      <c r="R506" s="2" t="inlineStr"/>
    </row>
    <row r="507" ht="15" customHeight="1">
      <c r="A507" t="inlineStr">
        <is>
          <t>A 22063-2022</t>
        </is>
      </c>
      <c r="B507" s="1" t="n">
        <v>44711</v>
      </c>
      <c r="C507" s="1" t="n">
        <v>45824</v>
      </c>
      <c r="D507" t="inlineStr">
        <is>
          <t>DALARNAS LÄN</t>
        </is>
      </c>
      <c r="E507" t="inlineStr">
        <is>
          <t>ÄLVDALEN</t>
        </is>
      </c>
      <c r="F507" t="inlineStr">
        <is>
          <t>Bergvik skog väst AB</t>
        </is>
      </c>
      <c r="G507" t="n">
        <v>2.7</v>
      </c>
      <c r="H507" t="n">
        <v>0</v>
      </c>
      <c r="I507" t="n">
        <v>0</v>
      </c>
      <c r="J507" t="n">
        <v>0</v>
      </c>
      <c r="K507" t="n">
        <v>0</v>
      </c>
      <c r="L507" t="n">
        <v>0</v>
      </c>
      <c r="M507" t="n">
        <v>0</v>
      </c>
      <c r="N507" t="n">
        <v>0</v>
      </c>
      <c r="O507" t="n">
        <v>0</v>
      </c>
      <c r="P507" t="n">
        <v>0</v>
      </c>
      <c r="Q507" t="n">
        <v>0</v>
      </c>
      <c r="R507" s="2" t="inlineStr"/>
    </row>
    <row r="508" ht="15" customHeight="1">
      <c r="A508" t="inlineStr">
        <is>
          <t>A 22062-2022</t>
        </is>
      </c>
      <c r="B508" s="1" t="n">
        <v>44711</v>
      </c>
      <c r="C508" s="1" t="n">
        <v>45824</v>
      </c>
      <c r="D508" t="inlineStr">
        <is>
          <t>DALARNAS LÄN</t>
        </is>
      </c>
      <c r="E508" t="inlineStr">
        <is>
          <t>ÄLVDALEN</t>
        </is>
      </c>
      <c r="F508" t="inlineStr">
        <is>
          <t>Bergvik skog väst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25162-2022</t>
        </is>
      </c>
      <c r="B509" s="1" t="n">
        <v>44729</v>
      </c>
      <c r="C509" s="1" t="n">
        <v>45824</v>
      </c>
      <c r="D509" t="inlineStr">
        <is>
          <t>DALARNAS LÄN</t>
        </is>
      </c>
      <c r="E509" t="inlineStr">
        <is>
          <t>ÄLVDALEN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25121-2022</t>
        </is>
      </c>
      <c r="B510" s="1" t="n">
        <v>44729</v>
      </c>
      <c r="C510" s="1" t="n">
        <v>45824</v>
      </c>
      <c r="D510" t="inlineStr">
        <is>
          <t>DALARNAS LÄN</t>
        </is>
      </c>
      <c r="E510" t="inlineStr">
        <is>
          <t>ÄLVDALEN</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25602-2022</t>
        </is>
      </c>
      <c r="B511" s="1" t="n">
        <v>44732</v>
      </c>
      <c r="C511" s="1" t="n">
        <v>45824</v>
      </c>
      <c r="D511" t="inlineStr">
        <is>
          <t>DALARNAS LÄN</t>
        </is>
      </c>
      <c r="E511" t="inlineStr">
        <is>
          <t>ÄLVDALEN</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26622-2022</t>
        </is>
      </c>
      <c r="B512" s="1" t="n">
        <v>44739</v>
      </c>
      <c r="C512" s="1" t="n">
        <v>45824</v>
      </c>
      <c r="D512" t="inlineStr">
        <is>
          <t>DALARNAS LÄN</t>
        </is>
      </c>
      <c r="E512" t="inlineStr">
        <is>
          <t>ÄLVDALEN</t>
        </is>
      </c>
      <c r="F512" t="inlineStr">
        <is>
          <t>Allmännings- och besparingsskogar</t>
        </is>
      </c>
      <c r="G512" t="n">
        <v>10</v>
      </c>
      <c r="H512" t="n">
        <v>0</v>
      </c>
      <c r="I512" t="n">
        <v>0</v>
      </c>
      <c r="J512" t="n">
        <v>0</v>
      </c>
      <c r="K512" t="n">
        <v>0</v>
      </c>
      <c r="L512" t="n">
        <v>0</v>
      </c>
      <c r="M512" t="n">
        <v>0</v>
      </c>
      <c r="N512" t="n">
        <v>0</v>
      </c>
      <c r="O512" t="n">
        <v>0</v>
      </c>
      <c r="P512" t="n">
        <v>0</v>
      </c>
      <c r="Q512" t="n">
        <v>0</v>
      </c>
      <c r="R512" s="2" t="inlineStr"/>
    </row>
    <row r="513" ht="15" customHeight="1">
      <c r="A513" t="inlineStr">
        <is>
          <t>A 27480-2022</t>
        </is>
      </c>
      <c r="B513" s="1" t="n">
        <v>44742</v>
      </c>
      <c r="C513" s="1" t="n">
        <v>45824</v>
      </c>
      <c r="D513" t="inlineStr">
        <is>
          <t>DALARNAS LÄN</t>
        </is>
      </c>
      <c r="E513" t="inlineStr">
        <is>
          <t>ÄLVDALEN</t>
        </is>
      </c>
      <c r="F513" t="inlineStr">
        <is>
          <t>Bergvik skog väst AB</t>
        </is>
      </c>
      <c r="G513" t="n">
        <v>4.1</v>
      </c>
      <c r="H513" t="n">
        <v>0</v>
      </c>
      <c r="I513" t="n">
        <v>0</v>
      </c>
      <c r="J513" t="n">
        <v>0</v>
      </c>
      <c r="K513" t="n">
        <v>0</v>
      </c>
      <c r="L513" t="n">
        <v>0</v>
      </c>
      <c r="M513" t="n">
        <v>0</v>
      </c>
      <c r="N513" t="n">
        <v>0</v>
      </c>
      <c r="O513" t="n">
        <v>0</v>
      </c>
      <c r="P513" t="n">
        <v>0</v>
      </c>
      <c r="Q513" t="n">
        <v>0</v>
      </c>
      <c r="R513" s="2" t="inlineStr"/>
    </row>
    <row r="514" ht="15" customHeight="1">
      <c r="A514" t="inlineStr">
        <is>
          <t>A 27488-2022</t>
        </is>
      </c>
      <c r="B514" s="1" t="n">
        <v>44742</v>
      </c>
      <c r="C514" s="1" t="n">
        <v>45824</v>
      </c>
      <c r="D514" t="inlineStr">
        <is>
          <t>DALARNAS LÄN</t>
        </is>
      </c>
      <c r="E514" t="inlineStr">
        <is>
          <t>ÄLVDALEN</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29561-2022</t>
        </is>
      </c>
      <c r="B515" s="1" t="n">
        <v>44754</v>
      </c>
      <c r="C515" s="1" t="n">
        <v>45824</v>
      </c>
      <c r="D515" t="inlineStr">
        <is>
          <t>DALARNAS LÄN</t>
        </is>
      </c>
      <c r="E515" t="inlineStr">
        <is>
          <t>ÄLVDALEN</t>
        </is>
      </c>
      <c r="G515" t="n">
        <v>6.6</v>
      </c>
      <c r="H515" t="n">
        <v>0</v>
      </c>
      <c r="I515" t="n">
        <v>0</v>
      </c>
      <c r="J515" t="n">
        <v>0</v>
      </c>
      <c r="K515" t="n">
        <v>0</v>
      </c>
      <c r="L515" t="n">
        <v>0</v>
      </c>
      <c r="M515" t="n">
        <v>0</v>
      </c>
      <c r="N515" t="n">
        <v>0</v>
      </c>
      <c r="O515" t="n">
        <v>0</v>
      </c>
      <c r="P515" t="n">
        <v>0</v>
      </c>
      <c r="Q515" t="n">
        <v>0</v>
      </c>
      <c r="R515" s="2" t="inlineStr"/>
    </row>
    <row r="516" ht="15" customHeight="1">
      <c r="A516" t="inlineStr">
        <is>
          <t>A 29558-2022</t>
        </is>
      </c>
      <c r="B516" s="1" t="n">
        <v>44754</v>
      </c>
      <c r="C516" s="1" t="n">
        <v>45824</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29565-2022</t>
        </is>
      </c>
      <c r="B517" s="1" t="n">
        <v>44754</v>
      </c>
      <c r="C517" s="1" t="n">
        <v>45824</v>
      </c>
      <c r="D517" t="inlineStr">
        <is>
          <t>DALARNAS LÄN</t>
        </is>
      </c>
      <c r="E517" t="inlineStr">
        <is>
          <t>ÄLVDALEN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29566-2022</t>
        </is>
      </c>
      <c r="B518" s="1" t="n">
        <v>44754</v>
      </c>
      <c r="C518" s="1" t="n">
        <v>45824</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29711-2022</t>
        </is>
      </c>
      <c r="B519" s="1" t="n">
        <v>44755</v>
      </c>
      <c r="C519" s="1" t="n">
        <v>45824</v>
      </c>
      <c r="D519" t="inlineStr">
        <is>
          <t>DALARNAS LÄN</t>
        </is>
      </c>
      <c r="E519" t="inlineStr">
        <is>
          <t>ÄLVDALEN</t>
        </is>
      </c>
      <c r="G519" t="n">
        <v>8</v>
      </c>
      <c r="H519" t="n">
        <v>0</v>
      </c>
      <c r="I519" t="n">
        <v>0</v>
      </c>
      <c r="J519" t="n">
        <v>0</v>
      </c>
      <c r="K519" t="n">
        <v>0</v>
      </c>
      <c r="L519" t="n">
        <v>0</v>
      </c>
      <c r="M519" t="n">
        <v>0</v>
      </c>
      <c r="N519" t="n">
        <v>0</v>
      </c>
      <c r="O519" t="n">
        <v>0</v>
      </c>
      <c r="P519" t="n">
        <v>0</v>
      </c>
      <c r="Q519" t="n">
        <v>0</v>
      </c>
      <c r="R519" s="2" t="inlineStr"/>
    </row>
    <row r="520" ht="15" customHeight="1">
      <c r="A520" t="inlineStr">
        <is>
          <t>A 29713-2022</t>
        </is>
      </c>
      <c r="B520" s="1" t="n">
        <v>44755</v>
      </c>
      <c r="C520" s="1" t="n">
        <v>45824</v>
      </c>
      <c r="D520" t="inlineStr">
        <is>
          <t>DALARNAS LÄN</t>
        </is>
      </c>
      <c r="E520" t="inlineStr">
        <is>
          <t>ÄLVDALEN</t>
        </is>
      </c>
      <c r="G520" t="n">
        <v>2.8</v>
      </c>
      <c r="H520" t="n">
        <v>0</v>
      </c>
      <c r="I520" t="n">
        <v>0</v>
      </c>
      <c r="J520" t="n">
        <v>0</v>
      </c>
      <c r="K520" t="n">
        <v>0</v>
      </c>
      <c r="L520" t="n">
        <v>0</v>
      </c>
      <c r="M520" t="n">
        <v>0</v>
      </c>
      <c r="N520" t="n">
        <v>0</v>
      </c>
      <c r="O520" t="n">
        <v>0</v>
      </c>
      <c r="P520" t="n">
        <v>0</v>
      </c>
      <c r="Q520" t="n">
        <v>0</v>
      </c>
      <c r="R520" s="2" t="inlineStr"/>
    </row>
    <row r="521" ht="15" customHeight="1">
      <c r="A521" t="inlineStr">
        <is>
          <t>A 29804-2022</t>
        </is>
      </c>
      <c r="B521" s="1" t="n">
        <v>44755</v>
      </c>
      <c r="C521" s="1" t="n">
        <v>45824</v>
      </c>
      <c r="D521" t="inlineStr">
        <is>
          <t>DALARNAS LÄN</t>
        </is>
      </c>
      <c r="E521" t="inlineStr">
        <is>
          <t>ÄLVDALEN</t>
        </is>
      </c>
      <c r="F521" t="inlineStr">
        <is>
          <t>Allmännings- och besparingsskogar</t>
        </is>
      </c>
      <c r="G521" t="n">
        <v>11.4</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45824</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29806-2022</t>
        </is>
      </c>
      <c r="B523" s="1" t="n">
        <v>44755</v>
      </c>
      <c r="C523" s="1" t="n">
        <v>45824</v>
      </c>
      <c r="D523" t="inlineStr">
        <is>
          <t>DALARNAS LÄN</t>
        </is>
      </c>
      <c r="E523" t="inlineStr">
        <is>
          <t>ÄLVDALEN</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29716-2022</t>
        </is>
      </c>
      <c r="B524" s="1" t="n">
        <v>44755</v>
      </c>
      <c r="C524" s="1" t="n">
        <v>45824</v>
      </c>
      <c r="D524" t="inlineStr">
        <is>
          <t>DALARNAS LÄN</t>
        </is>
      </c>
      <c r="E524" t="inlineStr">
        <is>
          <t>ÄLVDALEN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29849-2022</t>
        </is>
      </c>
      <c r="B525" s="1" t="n">
        <v>44756</v>
      </c>
      <c r="C525" s="1" t="n">
        <v>45824</v>
      </c>
      <c r="D525" t="inlineStr">
        <is>
          <t>DALARNAS LÄN</t>
        </is>
      </c>
      <c r="E525" t="inlineStr">
        <is>
          <t>ÄLVDALEN</t>
        </is>
      </c>
      <c r="F525" t="inlineStr">
        <is>
          <t>Allmännings- och besparingsskogar</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29974-2022</t>
        </is>
      </c>
      <c r="B526" s="1" t="n">
        <v>44756</v>
      </c>
      <c r="C526" s="1" t="n">
        <v>45824</v>
      </c>
      <c r="D526" t="inlineStr">
        <is>
          <t>DALARNAS LÄN</t>
        </is>
      </c>
      <c r="E526" t="inlineStr">
        <is>
          <t>ÄLVDALEN</t>
        </is>
      </c>
      <c r="F526" t="inlineStr">
        <is>
          <t>Allmännings- och besparingsskogar</t>
        </is>
      </c>
      <c r="G526" t="n">
        <v>30</v>
      </c>
      <c r="H526" t="n">
        <v>0</v>
      </c>
      <c r="I526" t="n">
        <v>0</v>
      </c>
      <c r="J526" t="n">
        <v>0</v>
      </c>
      <c r="K526" t="n">
        <v>0</v>
      </c>
      <c r="L526" t="n">
        <v>0</v>
      </c>
      <c r="M526" t="n">
        <v>0</v>
      </c>
      <c r="N526" t="n">
        <v>0</v>
      </c>
      <c r="O526" t="n">
        <v>0</v>
      </c>
      <c r="P526" t="n">
        <v>0</v>
      </c>
      <c r="Q526" t="n">
        <v>0</v>
      </c>
      <c r="R526" s="2" t="inlineStr"/>
    </row>
    <row r="527" ht="15" customHeight="1">
      <c r="A527" t="inlineStr">
        <is>
          <t>A 30831-2022</t>
        </is>
      </c>
      <c r="B527" s="1" t="n">
        <v>44767</v>
      </c>
      <c r="C527" s="1" t="n">
        <v>45824</v>
      </c>
      <c r="D527" t="inlineStr">
        <is>
          <t>DALARNAS LÄN</t>
        </is>
      </c>
      <c r="E527" t="inlineStr">
        <is>
          <t>ÄLVDALEN</t>
        </is>
      </c>
      <c r="F527" t="inlineStr">
        <is>
          <t>Allmännings- och besparingsskogar</t>
        </is>
      </c>
      <c r="G527" t="n">
        <v>22.7</v>
      </c>
      <c r="H527" t="n">
        <v>0</v>
      </c>
      <c r="I527" t="n">
        <v>0</v>
      </c>
      <c r="J527" t="n">
        <v>0</v>
      </c>
      <c r="K527" t="n">
        <v>0</v>
      </c>
      <c r="L527" t="n">
        <v>0</v>
      </c>
      <c r="M527" t="n">
        <v>0</v>
      </c>
      <c r="N527" t="n">
        <v>0</v>
      </c>
      <c r="O527" t="n">
        <v>0</v>
      </c>
      <c r="P527" t="n">
        <v>0</v>
      </c>
      <c r="Q527" t="n">
        <v>0</v>
      </c>
      <c r="R527" s="2" t="inlineStr"/>
    </row>
    <row r="528" ht="15" customHeight="1">
      <c r="A528" t="inlineStr">
        <is>
          <t>A 31266-2022</t>
        </is>
      </c>
      <c r="B528" s="1" t="n">
        <v>44771</v>
      </c>
      <c r="C528" s="1" t="n">
        <v>45824</v>
      </c>
      <c r="D528" t="inlineStr">
        <is>
          <t>DALARNAS LÄN</t>
        </is>
      </c>
      <c r="E528" t="inlineStr">
        <is>
          <t>ÄLVDALEN</t>
        </is>
      </c>
      <c r="F528" t="inlineStr">
        <is>
          <t>Allmännings- och besparingsskogar</t>
        </is>
      </c>
      <c r="G528" t="n">
        <v>20.8</v>
      </c>
      <c r="H528" t="n">
        <v>0</v>
      </c>
      <c r="I528" t="n">
        <v>0</v>
      </c>
      <c r="J528" t="n">
        <v>0</v>
      </c>
      <c r="K528" t="n">
        <v>0</v>
      </c>
      <c r="L528" t="n">
        <v>0</v>
      </c>
      <c r="M528" t="n">
        <v>0</v>
      </c>
      <c r="N528" t="n">
        <v>0</v>
      </c>
      <c r="O528" t="n">
        <v>0</v>
      </c>
      <c r="P528" t="n">
        <v>0</v>
      </c>
      <c r="Q528" t="n">
        <v>0</v>
      </c>
      <c r="R528" s="2" t="inlineStr"/>
    </row>
    <row r="529" ht="15" customHeight="1">
      <c r="A529" t="inlineStr">
        <is>
          <t>A 32385-2022</t>
        </is>
      </c>
      <c r="B529" s="1" t="n">
        <v>44782</v>
      </c>
      <c r="C529" s="1" t="n">
        <v>45824</v>
      </c>
      <c r="D529" t="inlineStr">
        <is>
          <t>DALARNAS LÄN</t>
        </is>
      </c>
      <c r="E529" t="inlineStr">
        <is>
          <t>ÄLVDALEN</t>
        </is>
      </c>
      <c r="F529" t="inlineStr">
        <is>
          <t>Övriga statliga verk och myndigheter</t>
        </is>
      </c>
      <c r="G529" t="n">
        <v>9</v>
      </c>
      <c r="H529" t="n">
        <v>0</v>
      </c>
      <c r="I529" t="n">
        <v>0</v>
      </c>
      <c r="J529" t="n">
        <v>0</v>
      </c>
      <c r="K529" t="n">
        <v>0</v>
      </c>
      <c r="L529" t="n">
        <v>0</v>
      </c>
      <c r="M529" t="n">
        <v>0</v>
      </c>
      <c r="N529" t="n">
        <v>0</v>
      </c>
      <c r="O529" t="n">
        <v>0</v>
      </c>
      <c r="P529" t="n">
        <v>0</v>
      </c>
      <c r="Q529" t="n">
        <v>0</v>
      </c>
      <c r="R529" s="2" t="inlineStr"/>
    </row>
    <row r="530" ht="15" customHeight="1">
      <c r="A530" t="inlineStr">
        <is>
          <t>A 32467-2022</t>
        </is>
      </c>
      <c r="B530" s="1" t="n">
        <v>44782</v>
      </c>
      <c r="C530" s="1" t="n">
        <v>45824</v>
      </c>
      <c r="D530" t="inlineStr">
        <is>
          <t>DALARNAS LÄN</t>
        </is>
      </c>
      <c r="E530" t="inlineStr">
        <is>
          <t>ÄLVDALEN</t>
        </is>
      </c>
      <c r="F530" t="inlineStr">
        <is>
          <t>Bergvik skog väst AB</t>
        </is>
      </c>
      <c r="G530" t="n">
        <v>4.5</v>
      </c>
      <c r="H530" t="n">
        <v>0</v>
      </c>
      <c r="I530" t="n">
        <v>0</v>
      </c>
      <c r="J530" t="n">
        <v>0</v>
      </c>
      <c r="K530" t="n">
        <v>0</v>
      </c>
      <c r="L530" t="n">
        <v>0</v>
      </c>
      <c r="M530" t="n">
        <v>0</v>
      </c>
      <c r="N530" t="n">
        <v>0</v>
      </c>
      <c r="O530" t="n">
        <v>0</v>
      </c>
      <c r="P530" t="n">
        <v>0</v>
      </c>
      <c r="Q530" t="n">
        <v>0</v>
      </c>
      <c r="R530" s="2" t="inlineStr"/>
    </row>
    <row r="531" ht="15" customHeight="1">
      <c r="A531" t="inlineStr">
        <is>
          <t>A 32468-2022</t>
        </is>
      </c>
      <c r="B531" s="1" t="n">
        <v>44782</v>
      </c>
      <c r="C531" s="1" t="n">
        <v>45824</v>
      </c>
      <c r="D531" t="inlineStr">
        <is>
          <t>DALARNAS LÄN</t>
        </is>
      </c>
      <c r="E531" t="inlineStr">
        <is>
          <t>ÄLVDALEN</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32848-2022</t>
        </is>
      </c>
      <c r="B532" s="1" t="n">
        <v>44784</v>
      </c>
      <c r="C532" s="1" t="n">
        <v>45824</v>
      </c>
      <c r="D532" t="inlineStr">
        <is>
          <t>DALARNAS LÄN</t>
        </is>
      </c>
      <c r="E532" t="inlineStr">
        <is>
          <t>ÄLVDALEN</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32894-2022</t>
        </is>
      </c>
      <c r="B533" s="1" t="n">
        <v>44784</v>
      </c>
      <c r="C533" s="1" t="n">
        <v>45824</v>
      </c>
      <c r="D533" t="inlineStr">
        <is>
          <t>DALARNAS LÄN</t>
        </is>
      </c>
      <c r="E533" t="inlineStr">
        <is>
          <t>ÄLVDALEN</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33425-2022</t>
        </is>
      </c>
      <c r="B534" s="1" t="n">
        <v>44788</v>
      </c>
      <c r="C534" s="1" t="n">
        <v>45824</v>
      </c>
      <c r="D534" t="inlineStr">
        <is>
          <t>DALARNAS LÄN</t>
        </is>
      </c>
      <c r="E534" t="inlineStr">
        <is>
          <t>ÄLVDALEN</t>
        </is>
      </c>
      <c r="F534" t="inlineStr">
        <is>
          <t>Bergvik skog öst AB</t>
        </is>
      </c>
      <c r="G534" t="n">
        <v>21.2</v>
      </c>
      <c r="H534" t="n">
        <v>0</v>
      </c>
      <c r="I534" t="n">
        <v>0</v>
      </c>
      <c r="J534" t="n">
        <v>0</v>
      </c>
      <c r="K534" t="n">
        <v>0</v>
      </c>
      <c r="L534" t="n">
        <v>0</v>
      </c>
      <c r="M534" t="n">
        <v>0</v>
      </c>
      <c r="N534" t="n">
        <v>0</v>
      </c>
      <c r="O534" t="n">
        <v>0</v>
      </c>
      <c r="P534" t="n">
        <v>0</v>
      </c>
      <c r="Q534" t="n">
        <v>0</v>
      </c>
      <c r="R534" s="2" t="inlineStr"/>
    </row>
    <row r="535" ht="15" customHeight="1">
      <c r="A535" t="inlineStr">
        <is>
          <t>A 36161-2022</t>
        </is>
      </c>
      <c r="B535" s="1" t="n">
        <v>44803</v>
      </c>
      <c r="C535" s="1" t="n">
        <v>45824</v>
      </c>
      <c r="D535" t="inlineStr">
        <is>
          <t>DALARNAS LÄN</t>
        </is>
      </c>
      <c r="E535" t="inlineStr">
        <is>
          <t>ÄLVDALEN</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36513-2022</t>
        </is>
      </c>
      <c r="B536" s="1" t="n">
        <v>44804</v>
      </c>
      <c r="C536" s="1" t="n">
        <v>45824</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37399-2022</t>
        </is>
      </c>
      <c r="B537" s="1" t="n">
        <v>44809</v>
      </c>
      <c r="C537" s="1" t="n">
        <v>45824</v>
      </c>
      <c r="D537" t="inlineStr">
        <is>
          <t>DALARNAS LÄN</t>
        </is>
      </c>
      <c r="E537" t="inlineStr">
        <is>
          <t>ÄLVDALEN</t>
        </is>
      </c>
      <c r="F537" t="inlineStr">
        <is>
          <t>Allmännings- och besparingsskogar</t>
        </is>
      </c>
      <c r="G537" t="n">
        <v>0.9</v>
      </c>
      <c r="H537" t="n">
        <v>0</v>
      </c>
      <c r="I537" t="n">
        <v>0</v>
      </c>
      <c r="J537" t="n">
        <v>0</v>
      </c>
      <c r="K537" t="n">
        <v>0</v>
      </c>
      <c r="L537" t="n">
        <v>0</v>
      </c>
      <c r="M537" t="n">
        <v>0</v>
      </c>
      <c r="N537" t="n">
        <v>0</v>
      </c>
      <c r="O537" t="n">
        <v>0</v>
      </c>
      <c r="P537" t="n">
        <v>0</v>
      </c>
      <c r="Q537" t="n">
        <v>0</v>
      </c>
      <c r="R537" s="2" t="inlineStr"/>
    </row>
    <row r="538" ht="15" customHeight="1">
      <c r="A538" t="inlineStr">
        <is>
          <t>A 37740-2022</t>
        </is>
      </c>
      <c r="B538" s="1" t="n">
        <v>44810</v>
      </c>
      <c r="C538" s="1" t="n">
        <v>45824</v>
      </c>
      <c r="D538" t="inlineStr">
        <is>
          <t>DALARNAS LÄN</t>
        </is>
      </c>
      <c r="E538" t="inlineStr">
        <is>
          <t>ÄLVDALEN</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37957-2022</t>
        </is>
      </c>
      <c r="B539" s="1" t="n">
        <v>44811</v>
      </c>
      <c r="C539" s="1" t="n">
        <v>45824</v>
      </c>
      <c r="D539" t="inlineStr">
        <is>
          <t>DALARNAS LÄN</t>
        </is>
      </c>
      <c r="E539" t="inlineStr">
        <is>
          <t>ÄLVDALEN</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37959-2022</t>
        </is>
      </c>
      <c r="B540" s="1" t="n">
        <v>44811</v>
      </c>
      <c r="C540" s="1" t="n">
        <v>45824</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38957-2022</t>
        </is>
      </c>
      <c r="B541" s="1" t="n">
        <v>44816</v>
      </c>
      <c r="C541" s="1" t="n">
        <v>45824</v>
      </c>
      <c r="D541" t="inlineStr">
        <is>
          <t>DALARNAS LÄN</t>
        </is>
      </c>
      <c r="E541" t="inlineStr">
        <is>
          <t>ÄLVDALEN</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39308-2022</t>
        </is>
      </c>
      <c r="B542" s="1" t="n">
        <v>44817</v>
      </c>
      <c r="C542" s="1" t="n">
        <v>45824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39311-2022</t>
        </is>
      </c>
      <c r="B543" s="1" t="n">
        <v>44817</v>
      </c>
      <c r="C543" s="1" t="n">
        <v>45824</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40003-2022</t>
        </is>
      </c>
      <c r="B544" s="1" t="n">
        <v>44820</v>
      </c>
      <c r="C544" s="1" t="n">
        <v>45824</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40726-2022</t>
        </is>
      </c>
      <c r="B545" s="1" t="n">
        <v>44824</v>
      </c>
      <c r="C545" s="1" t="n">
        <v>45824</v>
      </c>
      <c r="D545" t="inlineStr">
        <is>
          <t>DALARNAS LÄN</t>
        </is>
      </c>
      <c r="E545" t="inlineStr">
        <is>
          <t>ÄLVDALEN</t>
        </is>
      </c>
      <c r="F545" t="inlineStr">
        <is>
          <t>Övriga statliga verk och myndigheter</t>
        </is>
      </c>
      <c r="G545" t="n">
        <v>12.5</v>
      </c>
      <c r="H545" t="n">
        <v>0</v>
      </c>
      <c r="I545" t="n">
        <v>0</v>
      </c>
      <c r="J545" t="n">
        <v>0</v>
      </c>
      <c r="K545" t="n">
        <v>0</v>
      </c>
      <c r="L545" t="n">
        <v>0</v>
      </c>
      <c r="M545" t="n">
        <v>0</v>
      </c>
      <c r="N545" t="n">
        <v>0</v>
      </c>
      <c r="O545" t="n">
        <v>0</v>
      </c>
      <c r="P545" t="n">
        <v>0</v>
      </c>
      <c r="Q545" t="n">
        <v>0</v>
      </c>
      <c r="R545" s="2" t="inlineStr"/>
    </row>
    <row r="546" ht="15" customHeight="1">
      <c r="A546" t="inlineStr">
        <is>
          <t>A 40723-2022</t>
        </is>
      </c>
      <c r="B546" s="1" t="n">
        <v>44824</v>
      </c>
      <c r="C546" s="1" t="n">
        <v>45824</v>
      </c>
      <c r="D546" t="inlineStr">
        <is>
          <t>DALARNAS LÄN</t>
        </is>
      </c>
      <c r="E546" t="inlineStr">
        <is>
          <t>ÄLVDALEN</t>
        </is>
      </c>
      <c r="F546" t="inlineStr">
        <is>
          <t>Övriga statliga verk och myndigheter</t>
        </is>
      </c>
      <c r="G546" t="n">
        <v>14.7</v>
      </c>
      <c r="H546" t="n">
        <v>0</v>
      </c>
      <c r="I546" t="n">
        <v>0</v>
      </c>
      <c r="J546" t="n">
        <v>0</v>
      </c>
      <c r="K546" t="n">
        <v>0</v>
      </c>
      <c r="L546" t="n">
        <v>0</v>
      </c>
      <c r="M546" t="n">
        <v>0</v>
      </c>
      <c r="N546" t="n">
        <v>0</v>
      </c>
      <c r="O546" t="n">
        <v>0</v>
      </c>
      <c r="P546" t="n">
        <v>0</v>
      </c>
      <c r="Q546" t="n">
        <v>0</v>
      </c>
      <c r="R546" s="2" t="inlineStr"/>
    </row>
    <row r="547" ht="15" customHeight="1">
      <c r="A547" t="inlineStr">
        <is>
          <t>A 41856-2022</t>
        </is>
      </c>
      <c r="B547" s="1" t="n">
        <v>44829</v>
      </c>
      <c r="C547" s="1" t="n">
        <v>45824</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41855-2022</t>
        </is>
      </c>
      <c r="B548" s="1" t="n">
        <v>44829</v>
      </c>
      <c r="C548" s="1" t="n">
        <v>45824</v>
      </c>
      <c r="D548" t="inlineStr">
        <is>
          <t>DALARNAS LÄN</t>
        </is>
      </c>
      <c r="E548" t="inlineStr">
        <is>
          <t>ÄLVDALEN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43191-2022</t>
        </is>
      </c>
      <c r="B549" s="1" t="n">
        <v>44834</v>
      </c>
      <c r="C549" s="1" t="n">
        <v>45824</v>
      </c>
      <c r="D549" t="inlineStr">
        <is>
          <t>DALARNAS LÄN</t>
        </is>
      </c>
      <c r="E549" t="inlineStr">
        <is>
          <t>ÄLVDALEN</t>
        </is>
      </c>
      <c r="G549" t="n">
        <v>1.3</v>
      </c>
      <c r="H549" t="n">
        <v>0</v>
      </c>
      <c r="I549" t="n">
        <v>0</v>
      </c>
      <c r="J549" t="n">
        <v>0</v>
      </c>
      <c r="K549" t="n">
        <v>0</v>
      </c>
      <c r="L549" t="n">
        <v>0</v>
      </c>
      <c r="M549" t="n">
        <v>0</v>
      </c>
      <c r="N549" t="n">
        <v>0</v>
      </c>
      <c r="O549" t="n">
        <v>0</v>
      </c>
      <c r="P549" t="n">
        <v>0</v>
      </c>
      <c r="Q549" t="n">
        <v>0</v>
      </c>
      <c r="R549" s="2" t="inlineStr"/>
    </row>
    <row r="550" ht="15" customHeight="1">
      <c r="A550" t="inlineStr">
        <is>
          <t>A 43649-2022</t>
        </is>
      </c>
      <c r="B550" s="1" t="n">
        <v>44837</v>
      </c>
      <c r="C550" s="1" t="n">
        <v>45824</v>
      </c>
      <c r="D550" t="inlineStr">
        <is>
          <t>DALARNAS LÄN</t>
        </is>
      </c>
      <c r="E550" t="inlineStr">
        <is>
          <t>ÄLVDALEN</t>
        </is>
      </c>
      <c r="F550" t="inlineStr">
        <is>
          <t>Bergvik skog väst AB</t>
        </is>
      </c>
      <c r="G550" t="n">
        <v>2.5</v>
      </c>
      <c r="H550" t="n">
        <v>0</v>
      </c>
      <c r="I550" t="n">
        <v>0</v>
      </c>
      <c r="J550" t="n">
        <v>0</v>
      </c>
      <c r="K550" t="n">
        <v>0</v>
      </c>
      <c r="L550" t="n">
        <v>0</v>
      </c>
      <c r="M550" t="n">
        <v>0</v>
      </c>
      <c r="N550" t="n">
        <v>0</v>
      </c>
      <c r="O550" t="n">
        <v>0</v>
      </c>
      <c r="P550" t="n">
        <v>0</v>
      </c>
      <c r="Q550" t="n">
        <v>0</v>
      </c>
      <c r="R550" s="2" t="inlineStr"/>
    </row>
    <row r="551" ht="15" customHeight="1">
      <c r="A551" t="inlineStr">
        <is>
          <t>A 43628-2022</t>
        </is>
      </c>
      <c r="B551" s="1" t="n">
        <v>44837</v>
      </c>
      <c r="C551" s="1" t="n">
        <v>45824</v>
      </c>
      <c r="D551" t="inlineStr">
        <is>
          <t>DALARNAS LÄN</t>
        </is>
      </c>
      <c r="E551" t="inlineStr">
        <is>
          <t>ÄLVDALEN</t>
        </is>
      </c>
      <c r="G551" t="n">
        <v>5.8</v>
      </c>
      <c r="H551" t="n">
        <v>0</v>
      </c>
      <c r="I551" t="n">
        <v>0</v>
      </c>
      <c r="J551" t="n">
        <v>0</v>
      </c>
      <c r="K551" t="n">
        <v>0</v>
      </c>
      <c r="L551" t="n">
        <v>0</v>
      </c>
      <c r="M551" t="n">
        <v>0</v>
      </c>
      <c r="N551" t="n">
        <v>0</v>
      </c>
      <c r="O551" t="n">
        <v>0</v>
      </c>
      <c r="P551" t="n">
        <v>0</v>
      </c>
      <c r="Q551" t="n">
        <v>0</v>
      </c>
      <c r="R551" s="2" t="inlineStr"/>
    </row>
    <row r="552" ht="15" customHeight="1">
      <c r="A552" t="inlineStr">
        <is>
          <t>A 43647-2022</t>
        </is>
      </c>
      <c r="B552" s="1" t="n">
        <v>44837</v>
      </c>
      <c r="C552" s="1" t="n">
        <v>45824</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43616-2022</t>
        </is>
      </c>
      <c r="B553" s="1" t="n">
        <v>44837</v>
      </c>
      <c r="C553" s="1" t="n">
        <v>45824</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44119-2022</t>
        </is>
      </c>
      <c r="B554" s="1" t="n">
        <v>44839</v>
      </c>
      <c r="C554" s="1" t="n">
        <v>45824</v>
      </c>
      <c r="D554" t="inlineStr">
        <is>
          <t>DALARNAS LÄN</t>
        </is>
      </c>
      <c r="E554" t="inlineStr">
        <is>
          <t>ÄLVDALEN</t>
        </is>
      </c>
      <c r="G554" t="n">
        <v>3.2</v>
      </c>
      <c r="H554" t="n">
        <v>0</v>
      </c>
      <c r="I554" t="n">
        <v>0</v>
      </c>
      <c r="J554" t="n">
        <v>0</v>
      </c>
      <c r="K554" t="n">
        <v>0</v>
      </c>
      <c r="L554" t="n">
        <v>0</v>
      </c>
      <c r="M554" t="n">
        <v>0</v>
      </c>
      <c r="N554" t="n">
        <v>0</v>
      </c>
      <c r="O554" t="n">
        <v>0</v>
      </c>
      <c r="P554" t="n">
        <v>0</v>
      </c>
      <c r="Q554" t="n">
        <v>0</v>
      </c>
      <c r="R554" s="2" t="inlineStr"/>
    </row>
    <row r="555" ht="15" customHeight="1">
      <c r="A555" t="inlineStr">
        <is>
          <t>A 45044-2022</t>
        </is>
      </c>
      <c r="B555" s="1" t="n">
        <v>44841</v>
      </c>
      <c r="C555" s="1" t="n">
        <v>45824</v>
      </c>
      <c r="D555" t="inlineStr">
        <is>
          <t>DALARNAS LÄN</t>
        </is>
      </c>
      <c r="E555" t="inlineStr">
        <is>
          <t>ÄLVDALEN</t>
        </is>
      </c>
      <c r="F555" t="inlineStr">
        <is>
          <t>Bergvik skog väst AB</t>
        </is>
      </c>
      <c r="G555" t="n">
        <v>8.9</v>
      </c>
      <c r="H555" t="n">
        <v>0</v>
      </c>
      <c r="I555" t="n">
        <v>0</v>
      </c>
      <c r="J555" t="n">
        <v>0</v>
      </c>
      <c r="K555" t="n">
        <v>0</v>
      </c>
      <c r="L555" t="n">
        <v>0</v>
      </c>
      <c r="M555" t="n">
        <v>0</v>
      </c>
      <c r="N555" t="n">
        <v>0</v>
      </c>
      <c r="O555" t="n">
        <v>0</v>
      </c>
      <c r="P555" t="n">
        <v>0</v>
      </c>
      <c r="Q555" t="n">
        <v>0</v>
      </c>
      <c r="R555" s="2" t="inlineStr"/>
    </row>
    <row r="556" ht="15" customHeight="1">
      <c r="A556" t="inlineStr">
        <is>
          <t>A 45050-2022</t>
        </is>
      </c>
      <c r="B556" s="1" t="n">
        <v>44841</v>
      </c>
      <c r="C556" s="1" t="n">
        <v>45824</v>
      </c>
      <c r="D556" t="inlineStr">
        <is>
          <t>DALARNAS LÄN</t>
        </is>
      </c>
      <c r="E556" t="inlineStr">
        <is>
          <t>ÄLVDALEN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45049-2022</t>
        </is>
      </c>
      <c r="B557" s="1" t="n">
        <v>44841</v>
      </c>
      <c r="C557" s="1" t="n">
        <v>45824</v>
      </c>
      <c r="D557" t="inlineStr">
        <is>
          <t>DALARNAS LÄN</t>
        </is>
      </c>
      <c r="E557" t="inlineStr">
        <is>
          <t>ÄLVDALEN</t>
        </is>
      </c>
      <c r="F557" t="inlineStr">
        <is>
          <t>Bergvik skog väst AB</t>
        </is>
      </c>
      <c r="G557" t="n">
        <v>19.8</v>
      </c>
      <c r="H557" t="n">
        <v>0</v>
      </c>
      <c r="I557" t="n">
        <v>0</v>
      </c>
      <c r="J557" t="n">
        <v>0</v>
      </c>
      <c r="K557" t="n">
        <v>0</v>
      </c>
      <c r="L557" t="n">
        <v>0</v>
      </c>
      <c r="M557" t="n">
        <v>0</v>
      </c>
      <c r="N557" t="n">
        <v>0</v>
      </c>
      <c r="O557" t="n">
        <v>0</v>
      </c>
      <c r="P557" t="n">
        <v>0</v>
      </c>
      <c r="Q557" t="n">
        <v>0</v>
      </c>
      <c r="R557" s="2" t="inlineStr"/>
    </row>
    <row r="558" ht="15" customHeight="1">
      <c r="A558" t="inlineStr">
        <is>
          <t>A 45167-2022</t>
        </is>
      </c>
      <c r="B558" s="1" t="n">
        <v>44844</v>
      </c>
      <c r="C558" s="1" t="n">
        <v>45824</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45228-2022</t>
        </is>
      </c>
      <c r="B559" s="1" t="n">
        <v>44844</v>
      </c>
      <c r="C559" s="1" t="n">
        <v>45824</v>
      </c>
      <c r="D559" t="inlineStr">
        <is>
          <t>DALARNAS LÄN</t>
        </is>
      </c>
      <c r="E559" t="inlineStr">
        <is>
          <t>ÄLVDALEN</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45227-2022</t>
        </is>
      </c>
      <c r="B560" s="1" t="n">
        <v>44844</v>
      </c>
      <c r="C560" s="1" t="n">
        <v>45824</v>
      </c>
      <c r="D560" t="inlineStr">
        <is>
          <t>DALARNAS LÄN</t>
        </is>
      </c>
      <c r="E560" t="inlineStr">
        <is>
          <t>ÄLVDALEN</t>
        </is>
      </c>
      <c r="F560" t="inlineStr">
        <is>
          <t>Bergvik skog väst AB</t>
        </is>
      </c>
      <c r="G560" t="n">
        <v>22.3</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v>
      </c>
      <c r="C561" s="1" t="n">
        <v>45824</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45157-2022</t>
        </is>
      </c>
      <c r="B562" s="1" t="n">
        <v>44844</v>
      </c>
      <c r="C562" s="1" t="n">
        <v>45824</v>
      </c>
      <c r="D562" t="inlineStr">
        <is>
          <t>DALARNAS LÄN</t>
        </is>
      </c>
      <c r="E562" t="inlineStr">
        <is>
          <t>ÄLVDALEN</t>
        </is>
      </c>
      <c r="G562" t="n">
        <v>7.9</v>
      </c>
      <c r="H562" t="n">
        <v>0</v>
      </c>
      <c r="I562" t="n">
        <v>0</v>
      </c>
      <c r="J562" t="n">
        <v>0</v>
      </c>
      <c r="K562" t="n">
        <v>0</v>
      </c>
      <c r="L562" t="n">
        <v>0</v>
      </c>
      <c r="M562" t="n">
        <v>0</v>
      </c>
      <c r="N562" t="n">
        <v>0</v>
      </c>
      <c r="O562" t="n">
        <v>0</v>
      </c>
      <c r="P562" t="n">
        <v>0</v>
      </c>
      <c r="Q562" t="n">
        <v>0</v>
      </c>
      <c r="R562" s="2" t="inlineStr"/>
    </row>
    <row r="563" ht="15" customHeight="1">
      <c r="A563" t="inlineStr">
        <is>
          <t>A 45165-2022</t>
        </is>
      </c>
      <c r="B563" s="1" t="n">
        <v>44844</v>
      </c>
      <c r="C563" s="1" t="n">
        <v>45824</v>
      </c>
      <c r="D563" t="inlineStr">
        <is>
          <t>DALARNAS LÄN</t>
        </is>
      </c>
      <c r="E563" t="inlineStr">
        <is>
          <t>ÄLVDALEN</t>
        </is>
      </c>
      <c r="G563" t="n">
        <v>5.2</v>
      </c>
      <c r="H563" t="n">
        <v>0</v>
      </c>
      <c r="I563" t="n">
        <v>0</v>
      </c>
      <c r="J563" t="n">
        <v>0</v>
      </c>
      <c r="K563" t="n">
        <v>0</v>
      </c>
      <c r="L563" t="n">
        <v>0</v>
      </c>
      <c r="M563" t="n">
        <v>0</v>
      </c>
      <c r="N563" t="n">
        <v>0</v>
      </c>
      <c r="O563" t="n">
        <v>0</v>
      </c>
      <c r="P563" t="n">
        <v>0</v>
      </c>
      <c r="Q563" t="n">
        <v>0</v>
      </c>
      <c r="R563" s="2" t="inlineStr"/>
    </row>
    <row r="564" ht="15" customHeight="1">
      <c r="A564" t="inlineStr">
        <is>
          <t>A 45233-2022</t>
        </is>
      </c>
      <c r="B564" s="1" t="n">
        <v>44844</v>
      </c>
      <c r="C564" s="1" t="n">
        <v>45824</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45783-2022</t>
        </is>
      </c>
      <c r="B565" s="1" t="n">
        <v>44846</v>
      </c>
      <c r="C565" s="1" t="n">
        <v>45824</v>
      </c>
      <c r="D565" t="inlineStr">
        <is>
          <t>DALARNAS LÄN</t>
        </is>
      </c>
      <c r="E565" t="inlineStr">
        <is>
          <t>ÄLVDALEN</t>
        </is>
      </c>
      <c r="G565" t="n">
        <v>9.1</v>
      </c>
      <c r="H565" t="n">
        <v>0</v>
      </c>
      <c r="I565" t="n">
        <v>0</v>
      </c>
      <c r="J565" t="n">
        <v>0</v>
      </c>
      <c r="K565" t="n">
        <v>0</v>
      </c>
      <c r="L565" t="n">
        <v>0</v>
      </c>
      <c r="M565" t="n">
        <v>0</v>
      </c>
      <c r="N565" t="n">
        <v>0</v>
      </c>
      <c r="O565" t="n">
        <v>0</v>
      </c>
      <c r="P565" t="n">
        <v>0</v>
      </c>
      <c r="Q565" t="n">
        <v>0</v>
      </c>
      <c r="R565" s="2" t="inlineStr"/>
    </row>
    <row r="566" ht="15" customHeight="1">
      <c r="A566" t="inlineStr">
        <is>
          <t>A 45785-2022</t>
        </is>
      </c>
      <c r="B566" s="1" t="n">
        <v>44846</v>
      </c>
      <c r="C566" s="1" t="n">
        <v>45824</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47878-2022</t>
        </is>
      </c>
      <c r="B567" s="1" t="n">
        <v>44855</v>
      </c>
      <c r="C567" s="1" t="n">
        <v>45824</v>
      </c>
      <c r="D567" t="inlineStr">
        <is>
          <t>DALARNAS LÄN</t>
        </is>
      </c>
      <c r="E567" t="inlineStr">
        <is>
          <t>ÄLVDALEN</t>
        </is>
      </c>
      <c r="G567" t="n">
        <v>10.2</v>
      </c>
      <c r="H567" t="n">
        <v>0</v>
      </c>
      <c r="I567" t="n">
        <v>0</v>
      </c>
      <c r="J567" t="n">
        <v>0</v>
      </c>
      <c r="K567" t="n">
        <v>0</v>
      </c>
      <c r="L567" t="n">
        <v>0</v>
      </c>
      <c r="M567" t="n">
        <v>0</v>
      </c>
      <c r="N567" t="n">
        <v>0</v>
      </c>
      <c r="O567" t="n">
        <v>0</v>
      </c>
      <c r="P567" t="n">
        <v>0</v>
      </c>
      <c r="Q567" t="n">
        <v>0</v>
      </c>
      <c r="R567" s="2" t="inlineStr"/>
    </row>
    <row r="568" ht="15" customHeight="1">
      <c r="A568" t="inlineStr">
        <is>
          <t>A 48849-2022</t>
        </is>
      </c>
      <c r="B568" s="1" t="n">
        <v>44859</v>
      </c>
      <c r="C568" s="1" t="n">
        <v>45824</v>
      </c>
      <c r="D568" t="inlineStr">
        <is>
          <t>DALARNAS LÄN</t>
        </is>
      </c>
      <c r="E568" t="inlineStr">
        <is>
          <t>ÄLVDALEN</t>
        </is>
      </c>
      <c r="F568" t="inlineStr">
        <is>
          <t>Allmännings- och besparingsskogar</t>
        </is>
      </c>
      <c r="G568" t="n">
        <v>2.4</v>
      </c>
      <c r="H568" t="n">
        <v>0</v>
      </c>
      <c r="I568" t="n">
        <v>0</v>
      </c>
      <c r="J568" t="n">
        <v>0</v>
      </c>
      <c r="K568" t="n">
        <v>0</v>
      </c>
      <c r="L568" t="n">
        <v>0</v>
      </c>
      <c r="M568" t="n">
        <v>0</v>
      </c>
      <c r="N568" t="n">
        <v>0</v>
      </c>
      <c r="O568" t="n">
        <v>0</v>
      </c>
      <c r="P568" t="n">
        <v>0</v>
      </c>
      <c r="Q568" t="n">
        <v>0</v>
      </c>
      <c r="R568" s="2" t="inlineStr"/>
    </row>
    <row r="569" ht="15" customHeight="1">
      <c r="A569" t="inlineStr">
        <is>
          <t>A 50037-2022</t>
        </is>
      </c>
      <c r="B569" s="1" t="n">
        <v>44865</v>
      </c>
      <c r="C569" s="1" t="n">
        <v>45824</v>
      </c>
      <c r="D569" t="inlineStr">
        <is>
          <t>DALARNAS LÄN</t>
        </is>
      </c>
      <c r="E569" t="inlineStr">
        <is>
          <t>ÄLVDALEN</t>
        </is>
      </c>
      <c r="F569" t="inlineStr">
        <is>
          <t>Allmännings- och besparingsskogar</t>
        </is>
      </c>
      <c r="G569" t="n">
        <v>5.8</v>
      </c>
      <c r="H569" t="n">
        <v>0</v>
      </c>
      <c r="I569" t="n">
        <v>0</v>
      </c>
      <c r="J569" t="n">
        <v>0</v>
      </c>
      <c r="K569" t="n">
        <v>0</v>
      </c>
      <c r="L569" t="n">
        <v>0</v>
      </c>
      <c r="M569" t="n">
        <v>0</v>
      </c>
      <c r="N569" t="n">
        <v>0</v>
      </c>
      <c r="O569" t="n">
        <v>0</v>
      </c>
      <c r="P569" t="n">
        <v>0</v>
      </c>
      <c r="Q569" t="n">
        <v>0</v>
      </c>
      <c r="R569" s="2" t="inlineStr"/>
    </row>
    <row r="570" ht="15" customHeight="1">
      <c r="A570" t="inlineStr">
        <is>
          <t>A 50209-2022</t>
        </is>
      </c>
      <c r="B570" s="1" t="n">
        <v>44865</v>
      </c>
      <c r="C570" s="1" t="n">
        <v>45824</v>
      </c>
      <c r="D570" t="inlineStr">
        <is>
          <t>DALARNAS LÄN</t>
        </is>
      </c>
      <c r="E570" t="inlineStr">
        <is>
          <t>ÄLVDALEN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50464-2022</t>
        </is>
      </c>
      <c r="B571" s="1" t="n">
        <v>44866</v>
      </c>
      <c r="C571" s="1" t="n">
        <v>45824</v>
      </c>
      <c r="D571" t="inlineStr">
        <is>
          <t>DALARNAS LÄN</t>
        </is>
      </c>
      <c r="E571" t="inlineStr">
        <is>
          <t>ÄLVDALEN</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50885-2022</t>
        </is>
      </c>
      <c r="B572" s="1" t="n">
        <v>44867</v>
      </c>
      <c r="C572" s="1" t="n">
        <v>45824</v>
      </c>
      <c r="D572" t="inlineStr">
        <is>
          <t>DALARNAS LÄN</t>
        </is>
      </c>
      <c r="E572" t="inlineStr">
        <is>
          <t>ÄLVDALEN</t>
        </is>
      </c>
      <c r="F572" t="inlineStr">
        <is>
          <t>Bergvik skog väst AB</t>
        </is>
      </c>
      <c r="G572" t="n">
        <v>5</v>
      </c>
      <c r="H572" t="n">
        <v>0</v>
      </c>
      <c r="I572" t="n">
        <v>0</v>
      </c>
      <c r="J572" t="n">
        <v>0</v>
      </c>
      <c r="K572" t="n">
        <v>0</v>
      </c>
      <c r="L572" t="n">
        <v>0</v>
      </c>
      <c r="M572" t="n">
        <v>0</v>
      </c>
      <c r="N572" t="n">
        <v>0</v>
      </c>
      <c r="O572" t="n">
        <v>0</v>
      </c>
      <c r="P572" t="n">
        <v>0</v>
      </c>
      <c r="Q572" t="n">
        <v>0</v>
      </c>
      <c r="R572" s="2" t="inlineStr"/>
    </row>
    <row r="573" ht="15" customHeight="1">
      <c r="A573" t="inlineStr">
        <is>
          <t>A 50774-2022</t>
        </is>
      </c>
      <c r="B573" s="1" t="n">
        <v>44867</v>
      </c>
      <c r="C573" s="1" t="n">
        <v>45824</v>
      </c>
      <c r="D573" t="inlineStr">
        <is>
          <t>DALARNAS LÄN</t>
        </is>
      </c>
      <c r="E573" t="inlineStr">
        <is>
          <t>ÄLVDALEN</t>
        </is>
      </c>
      <c r="G573" t="n">
        <v>1.6</v>
      </c>
      <c r="H573" t="n">
        <v>0</v>
      </c>
      <c r="I573" t="n">
        <v>0</v>
      </c>
      <c r="J573" t="n">
        <v>0</v>
      </c>
      <c r="K573" t="n">
        <v>0</v>
      </c>
      <c r="L573" t="n">
        <v>0</v>
      </c>
      <c r="M573" t="n">
        <v>0</v>
      </c>
      <c r="N573" t="n">
        <v>0</v>
      </c>
      <c r="O573" t="n">
        <v>0</v>
      </c>
      <c r="P573" t="n">
        <v>0</v>
      </c>
      <c r="Q573" t="n">
        <v>0</v>
      </c>
      <c r="R573" s="2" t="inlineStr"/>
    </row>
    <row r="574" ht="15" customHeight="1">
      <c r="A574" t="inlineStr">
        <is>
          <t>A 51259-2022</t>
        </is>
      </c>
      <c r="B574" s="1" t="n">
        <v>44868</v>
      </c>
      <c r="C574" s="1" t="n">
        <v>45824</v>
      </c>
      <c r="D574" t="inlineStr">
        <is>
          <t>DALARNAS LÄN</t>
        </is>
      </c>
      <c r="E574" t="inlineStr">
        <is>
          <t>ÄLVDALEN</t>
        </is>
      </c>
      <c r="F574" t="inlineStr">
        <is>
          <t>Övriga statliga verk och myndigheter</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51193-2022</t>
        </is>
      </c>
      <c r="B575" s="1" t="n">
        <v>44868</v>
      </c>
      <c r="C575" s="1" t="n">
        <v>45824</v>
      </c>
      <c r="D575" t="inlineStr">
        <is>
          <t>DALARNAS LÄN</t>
        </is>
      </c>
      <c r="E575" t="inlineStr">
        <is>
          <t>ÄLVDALEN</t>
        </is>
      </c>
      <c r="F575" t="inlineStr">
        <is>
          <t>Övriga Aktiebolag</t>
        </is>
      </c>
      <c r="G575" t="n">
        <v>17.7</v>
      </c>
      <c r="H575" t="n">
        <v>0</v>
      </c>
      <c r="I575" t="n">
        <v>0</v>
      </c>
      <c r="J575" t="n">
        <v>0</v>
      </c>
      <c r="K575" t="n">
        <v>0</v>
      </c>
      <c r="L575" t="n">
        <v>0</v>
      </c>
      <c r="M575" t="n">
        <v>0</v>
      </c>
      <c r="N575" t="n">
        <v>0</v>
      </c>
      <c r="O575" t="n">
        <v>0</v>
      </c>
      <c r="P575" t="n">
        <v>0</v>
      </c>
      <c r="Q575" t="n">
        <v>0</v>
      </c>
      <c r="R575" s="2" t="inlineStr"/>
    </row>
    <row r="576" ht="15" customHeight="1">
      <c r="A576" t="inlineStr">
        <is>
          <t>A 51484-2022</t>
        </is>
      </c>
      <c r="B576" s="1" t="n">
        <v>44869</v>
      </c>
      <c r="C576" s="1" t="n">
        <v>45824</v>
      </c>
      <c r="D576" t="inlineStr">
        <is>
          <t>DALARNAS LÄN</t>
        </is>
      </c>
      <c r="E576" t="inlineStr">
        <is>
          <t>ÄLVDALEN</t>
        </is>
      </c>
      <c r="F576" t="inlineStr">
        <is>
          <t>Sveaskog</t>
        </is>
      </c>
      <c r="G576" t="n">
        <v>7</v>
      </c>
      <c r="H576" t="n">
        <v>0</v>
      </c>
      <c r="I576" t="n">
        <v>0</v>
      </c>
      <c r="J576" t="n">
        <v>0</v>
      </c>
      <c r="K576" t="n">
        <v>0</v>
      </c>
      <c r="L576" t="n">
        <v>0</v>
      </c>
      <c r="M576" t="n">
        <v>0</v>
      </c>
      <c r="N576" t="n">
        <v>0</v>
      </c>
      <c r="O576" t="n">
        <v>0</v>
      </c>
      <c r="P576" t="n">
        <v>0</v>
      </c>
      <c r="Q576" t="n">
        <v>0</v>
      </c>
      <c r="R576" s="2" t="inlineStr"/>
    </row>
    <row r="577" ht="15" customHeight="1">
      <c r="A577" t="inlineStr">
        <is>
          <t>A 51504-2022</t>
        </is>
      </c>
      <c r="B577" s="1" t="n">
        <v>44869</v>
      </c>
      <c r="C577" s="1" t="n">
        <v>45824</v>
      </c>
      <c r="D577" t="inlineStr">
        <is>
          <t>DALARNAS LÄN</t>
        </is>
      </c>
      <c r="E577" t="inlineStr">
        <is>
          <t>ÄLVDALEN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51483-2022</t>
        </is>
      </c>
      <c r="B578" s="1" t="n">
        <v>44869</v>
      </c>
      <c r="C578" s="1" t="n">
        <v>45824</v>
      </c>
      <c r="D578" t="inlineStr">
        <is>
          <t>DALARNAS LÄN</t>
        </is>
      </c>
      <c r="E578" t="inlineStr">
        <is>
          <t>ÄLVDALEN</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52107-2022</t>
        </is>
      </c>
      <c r="B579" s="1" t="n">
        <v>44873</v>
      </c>
      <c r="C579" s="1" t="n">
        <v>45824</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52064-2022</t>
        </is>
      </c>
      <c r="B580" s="1" t="n">
        <v>44873</v>
      </c>
      <c r="C580" s="1" t="n">
        <v>45824</v>
      </c>
      <c r="D580" t="inlineStr">
        <is>
          <t>DALARNAS LÄN</t>
        </is>
      </c>
      <c r="E580" t="inlineStr">
        <is>
          <t>ÄLVDALEN</t>
        </is>
      </c>
      <c r="G580" t="n">
        <v>0.3</v>
      </c>
      <c r="H580" t="n">
        <v>0</v>
      </c>
      <c r="I580" t="n">
        <v>0</v>
      </c>
      <c r="J580" t="n">
        <v>0</v>
      </c>
      <c r="K580" t="n">
        <v>0</v>
      </c>
      <c r="L580" t="n">
        <v>0</v>
      </c>
      <c r="M580" t="n">
        <v>0</v>
      </c>
      <c r="N580" t="n">
        <v>0</v>
      </c>
      <c r="O580" t="n">
        <v>0</v>
      </c>
      <c r="P580" t="n">
        <v>0</v>
      </c>
      <c r="Q580" t="n">
        <v>0</v>
      </c>
      <c r="R580" s="2" t="inlineStr"/>
    </row>
    <row r="581" ht="15" customHeight="1">
      <c r="A581" t="inlineStr">
        <is>
          <t>A 52060-2022</t>
        </is>
      </c>
      <c r="B581" s="1" t="n">
        <v>44873</v>
      </c>
      <c r="C581" s="1" t="n">
        <v>45824</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52249-2022</t>
        </is>
      </c>
      <c r="B582" s="1" t="n">
        <v>44873</v>
      </c>
      <c r="C582" s="1" t="n">
        <v>45824</v>
      </c>
      <c r="D582" t="inlineStr">
        <is>
          <t>DALARNAS LÄN</t>
        </is>
      </c>
      <c r="E582" t="inlineStr">
        <is>
          <t>ÄLVDALEN</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52503-2022</t>
        </is>
      </c>
      <c r="B583" s="1" t="n">
        <v>44874</v>
      </c>
      <c r="C583" s="1" t="n">
        <v>45824</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52477-2022</t>
        </is>
      </c>
      <c r="B584" s="1" t="n">
        <v>44874</v>
      </c>
      <c r="C584" s="1" t="n">
        <v>45824</v>
      </c>
      <c r="D584" t="inlineStr">
        <is>
          <t>DALARNAS LÄN</t>
        </is>
      </c>
      <c r="E584" t="inlineStr">
        <is>
          <t>ÄLVDALEN</t>
        </is>
      </c>
      <c r="G584" t="n">
        <v>1.4</v>
      </c>
      <c r="H584" t="n">
        <v>0</v>
      </c>
      <c r="I584" t="n">
        <v>0</v>
      </c>
      <c r="J584" t="n">
        <v>0</v>
      </c>
      <c r="K584" t="n">
        <v>0</v>
      </c>
      <c r="L584" t="n">
        <v>0</v>
      </c>
      <c r="M584" t="n">
        <v>0</v>
      </c>
      <c r="N584" t="n">
        <v>0</v>
      </c>
      <c r="O584" t="n">
        <v>0</v>
      </c>
      <c r="P584" t="n">
        <v>0</v>
      </c>
      <c r="Q584" t="n">
        <v>0</v>
      </c>
      <c r="R584" s="2" t="inlineStr"/>
    </row>
    <row r="585" ht="15" customHeight="1">
      <c r="A585" t="inlineStr">
        <is>
          <t>A 52469-2022</t>
        </is>
      </c>
      <c r="B585" s="1" t="n">
        <v>44874</v>
      </c>
      <c r="C585" s="1" t="n">
        <v>45824</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52965-2022</t>
        </is>
      </c>
      <c r="B586" s="1" t="n">
        <v>44875</v>
      </c>
      <c r="C586" s="1" t="n">
        <v>45824</v>
      </c>
      <c r="D586" t="inlineStr">
        <is>
          <t>DALARNAS LÄN</t>
        </is>
      </c>
      <c r="E586" t="inlineStr">
        <is>
          <t>ÄLVDALEN</t>
        </is>
      </c>
      <c r="F586" t="inlineStr">
        <is>
          <t>Övriga statliga verk och myndigheter</t>
        </is>
      </c>
      <c r="G586" t="n">
        <v>8.4</v>
      </c>
      <c r="H586" t="n">
        <v>0</v>
      </c>
      <c r="I586" t="n">
        <v>0</v>
      </c>
      <c r="J586" t="n">
        <v>0</v>
      </c>
      <c r="K586" t="n">
        <v>0</v>
      </c>
      <c r="L586" t="n">
        <v>0</v>
      </c>
      <c r="M586" t="n">
        <v>0</v>
      </c>
      <c r="N586" t="n">
        <v>0</v>
      </c>
      <c r="O586" t="n">
        <v>0</v>
      </c>
      <c r="P586" t="n">
        <v>0</v>
      </c>
      <c r="Q586" t="n">
        <v>0</v>
      </c>
      <c r="R586" s="2" t="inlineStr"/>
    </row>
    <row r="587" ht="15" customHeight="1">
      <c r="A587" t="inlineStr">
        <is>
          <t>A 53345-2022</t>
        </is>
      </c>
      <c r="B587" s="1" t="n">
        <v>44879</v>
      </c>
      <c r="C587" s="1" t="n">
        <v>45824</v>
      </c>
      <c r="D587" t="inlineStr">
        <is>
          <t>DALARNAS LÄN</t>
        </is>
      </c>
      <c r="E587" t="inlineStr">
        <is>
          <t>ÄLVDALEN</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54407-2022</t>
        </is>
      </c>
      <c r="B588" s="1" t="n">
        <v>44882</v>
      </c>
      <c r="C588" s="1" t="n">
        <v>45824</v>
      </c>
      <c r="D588" t="inlineStr">
        <is>
          <t>DALARNAS LÄN</t>
        </is>
      </c>
      <c r="E588" t="inlineStr">
        <is>
          <t>ÄLVDALEN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55015-2022</t>
        </is>
      </c>
      <c r="B589" s="1" t="n">
        <v>44886</v>
      </c>
      <c r="C589" s="1" t="n">
        <v>45824</v>
      </c>
      <c r="D589" t="inlineStr">
        <is>
          <t>DALARNAS LÄN</t>
        </is>
      </c>
      <c r="E589" t="inlineStr">
        <is>
          <t>ÄLVDALEN</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56207-2022</t>
        </is>
      </c>
      <c r="B590" s="1" t="n">
        <v>44890</v>
      </c>
      <c r="C590" s="1" t="n">
        <v>45824</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56206-2022</t>
        </is>
      </c>
      <c r="B591" s="1" t="n">
        <v>44890</v>
      </c>
      <c r="C591" s="1" t="n">
        <v>45824</v>
      </c>
      <c r="D591" t="inlineStr">
        <is>
          <t>DALARNAS LÄN</t>
        </is>
      </c>
      <c r="E591" t="inlineStr">
        <is>
          <t>ÄLVDALEN</t>
        </is>
      </c>
      <c r="G591" t="n">
        <v>4.1</v>
      </c>
      <c r="H591" t="n">
        <v>0</v>
      </c>
      <c r="I591" t="n">
        <v>0</v>
      </c>
      <c r="J591" t="n">
        <v>0</v>
      </c>
      <c r="K591" t="n">
        <v>0</v>
      </c>
      <c r="L591" t="n">
        <v>0</v>
      </c>
      <c r="M591" t="n">
        <v>0</v>
      </c>
      <c r="N591" t="n">
        <v>0</v>
      </c>
      <c r="O591" t="n">
        <v>0</v>
      </c>
      <c r="P591" t="n">
        <v>0</v>
      </c>
      <c r="Q591" t="n">
        <v>0</v>
      </c>
      <c r="R591" s="2" t="inlineStr"/>
    </row>
    <row r="592" ht="15" customHeight="1">
      <c r="A592" t="inlineStr">
        <is>
          <t>A 56882-2022</t>
        </is>
      </c>
      <c r="B592" s="1" t="n">
        <v>44894</v>
      </c>
      <c r="C592" s="1" t="n">
        <v>45824</v>
      </c>
      <c r="D592" t="inlineStr">
        <is>
          <t>DALARNAS LÄN</t>
        </is>
      </c>
      <c r="E592" t="inlineStr">
        <is>
          <t>ÄLVDALEN</t>
        </is>
      </c>
      <c r="G592" t="n">
        <v>7.4</v>
      </c>
      <c r="H592" t="n">
        <v>0</v>
      </c>
      <c r="I592" t="n">
        <v>0</v>
      </c>
      <c r="J592" t="n">
        <v>0</v>
      </c>
      <c r="K592" t="n">
        <v>0</v>
      </c>
      <c r="L592" t="n">
        <v>0</v>
      </c>
      <c r="M592" t="n">
        <v>0</v>
      </c>
      <c r="N592" t="n">
        <v>0</v>
      </c>
      <c r="O592" t="n">
        <v>0</v>
      </c>
      <c r="P592" t="n">
        <v>0</v>
      </c>
      <c r="Q592" t="n">
        <v>0</v>
      </c>
      <c r="R592" s="2" t="inlineStr"/>
    </row>
    <row r="593" ht="15" customHeight="1">
      <c r="A593" t="inlineStr">
        <is>
          <t>A 57148-2022</t>
        </is>
      </c>
      <c r="B593" s="1" t="n">
        <v>44895</v>
      </c>
      <c r="C593" s="1" t="n">
        <v>45824</v>
      </c>
      <c r="D593" t="inlineStr">
        <is>
          <t>DALARNAS LÄN</t>
        </is>
      </c>
      <c r="E593" t="inlineStr">
        <is>
          <t>ÄLVDALEN</t>
        </is>
      </c>
      <c r="F593" t="inlineStr">
        <is>
          <t>Allmännings- och besparingsskogar</t>
        </is>
      </c>
      <c r="G593" t="n">
        <v>13.3</v>
      </c>
      <c r="H593" t="n">
        <v>0</v>
      </c>
      <c r="I593" t="n">
        <v>0</v>
      </c>
      <c r="J593" t="n">
        <v>0</v>
      </c>
      <c r="K593" t="n">
        <v>0</v>
      </c>
      <c r="L593" t="n">
        <v>0</v>
      </c>
      <c r="M593" t="n">
        <v>0</v>
      </c>
      <c r="N593" t="n">
        <v>0</v>
      </c>
      <c r="O593" t="n">
        <v>0</v>
      </c>
      <c r="P593" t="n">
        <v>0</v>
      </c>
      <c r="Q593" t="n">
        <v>0</v>
      </c>
      <c r="R593" s="2" t="inlineStr"/>
    </row>
    <row r="594" ht="15" customHeight="1">
      <c r="A594" t="inlineStr">
        <is>
          <t>A 58848-2022</t>
        </is>
      </c>
      <c r="B594" s="1" t="n">
        <v>44896</v>
      </c>
      <c r="C594" s="1" t="n">
        <v>45824</v>
      </c>
      <c r="D594" t="inlineStr">
        <is>
          <t>DALARNAS LÄN</t>
        </is>
      </c>
      <c r="E594" t="inlineStr">
        <is>
          <t>ÄLVDALEN</t>
        </is>
      </c>
      <c r="F594" t="inlineStr">
        <is>
          <t>Övriga statliga verk och myndigheter</t>
        </is>
      </c>
      <c r="G594" t="n">
        <v>18.1</v>
      </c>
      <c r="H594" t="n">
        <v>0</v>
      </c>
      <c r="I594" t="n">
        <v>0</v>
      </c>
      <c r="J594" t="n">
        <v>0</v>
      </c>
      <c r="K594" t="n">
        <v>0</v>
      </c>
      <c r="L594" t="n">
        <v>0</v>
      </c>
      <c r="M594" t="n">
        <v>0</v>
      </c>
      <c r="N594" t="n">
        <v>0</v>
      </c>
      <c r="O594" t="n">
        <v>0</v>
      </c>
      <c r="P594" t="n">
        <v>0</v>
      </c>
      <c r="Q594" t="n">
        <v>0</v>
      </c>
      <c r="R594" s="2" t="inlineStr"/>
    </row>
    <row r="595" ht="15" customHeight="1">
      <c r="A595" t="inlineStr">
        <is>
          <t>A 58355-2022</t>
        </is>
      </c>
      <c r="B595" s="1" t="n">
        <v>44901</v>
      </c>
      <c r="C595" s="1" t="n">
        <v>45824</v>
      </c>
      <c r="D595" t="inlineStr">
        <is>
          <t>DALARNAS LÄN</t>
        </is>
      </c>
      <c r="E595" t="inlineStr">
        <is>
          <t>ÄLVDALEN</t>
        </is>
      </c>
      <c r="F595" t="inlineStr">
        <is>
          <t>Allmännings- och besparingsskogar</t>
        </is>
      </c>
      <c r="G595" t="n">
        <v>23.8</v>
      </c>
      <c r="H595" t="n">
        <v>0</v>
      </c>
      <c r="I595" t="n">
        <v>0</v>
      </c>
      <c r="J595" t="n">
        <v>0</v>
      </c>
      <c r="K595" t="n">
        <v>0</v>
      </c>
      <c r="L595" t="n">
        <v>0</v>
      </c>
      <c r="M595" t="n">
        <v>0</v>
      </c>
      <c r="N595" t="n">
        <v>0</v>
      </c>
      <c r="O595" t="n">
        <v>0</v>
      </c>
      <c r="P595" t="n">
        <v>0</v>
      </c>
      <c r="Q595" t="n">
        <v>0</v>
      </c>
      <c r="R595" s="2" t="inlineStr"/>
    </row>
    <row r="596" ht="15" customHeight="1">
      <c r="A596" t="inlineStr">
        <is>
          <t>A 58569-2022</t>
        </is>
      </c>
      <c r="B596" s="1" t="n">
        <v>44902</v>
      </c>
      <c r="C596" s="1" t="n">
        <v>45824</v>
      </c>
      <c r="D596" t="inlineStr">
        <is>
          <t>DALARNAS LÄN</t>
        </is>
      </c>
      <c r="E596" t="inlineStr">
        <is>
          <t>ÄLVDALEN</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58904-2022</t>
        </is>
      </c>
      <c r="B597" s="1" t="n">
        <v>44903</v>
      </c>
      <c r="C597" s="1" t="n">
        <v>45824</v>
      </c>
      <c r="D597" t="inlineStr">
        <is>
          <t>DALARNAS LÄN</t>
        </is>
      </c>
      <c r="E597" t="inlineStr">
        <is>
          <t>ÄLVDALEN</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59108-2022</t>
        </is>
      </c>
      <c r="B598" s="1" t="n">
        <v>44904</v>
      </c>
      <c r="C598" s="1" t="n">
        <v>45824</v>
      </c>
      <c r="D598" t="inlineStr">
        <is>
          <t>DALARNAS LÄN</t>
        </is>
      </c>
      <c r="E598" t="inlineStr">
        <is>
          <t>ÄLVDALEN</t>
        </is>
      </c>
      <c r="G598" t="n">
        <v>1.3</v>
      </c>
      <c r="H598" t="n">
        <v>0</v>
      </c>
      <c r="I598" t="n">
        <v>0</v>
      </c>
      <c r="J598" t="n">
        <v>0</v>
      </c>
      <c r="K598" t="n">
        <v>0</v>
      </c>
      <c r="L598" t="n">
        <v>0</v>
      </c>
      <c r="M598" t="n">
        <v>0</v>
      </c>
      <c r="N598" t="n">
        <v>0</v>
      </c>
      <c r="O598" t="n">
        <v>0</v>
      </c>
      <c r="P598" t="n">
        <v>0</v>
      </c>
      <c r="Q598" t="n">
        <v>0</v>
      </c>
      <c r="R598" s="2" t="inlineStr"/>
    </row>
    <row r="599" ht="15" customHeight="1">
      <c r="A599" t="inlineStr">
        <is>
          <t>A 59207-2022</t>
        </is>
      </c>
      <c r="B599" s="1" t="n">
        <v>44904</v>
      </c>
      <c r="C599" s="1" t="n">
        <v>45824</v>
      </c>
      <c r="D599" t="inlineStr">
        <is>
          <t>DALARNAS LÄN</t>
        </is>
      </c>
      <c r="E599" t="inlineStr">
        <is>
          <t>ÄLVDALEN</t>
        </is>
      </c>
      <c r="G599" t="n">
        <v>4.7</v>
      </c>
      <c r="H599" t="n">
        <v>0</v>
      </c>
      <c r="I599" t="n">
        <v>0</v>
      </c>
      <c r="J599" t="n">
        <v>0</v>
      </c>
      <c r="K599" t="n">
        <v>0</v>
      </c>
      <c r="L599" t="n">
        <v>0</v>
      </c>
      <c r="M599" t="n">
        <v>0</v>
      </c>
      <c r="N599" t="n">
        <v>0</v>
      </c>
      <c r="O599" t="n">
        <v>0</v>
      </c>
      <c r="P599" t="n">
        <v>0</v>
      </c>
      <c r="Q599" t="n">
        <v>0</v>
      </c>
      <c r="R599" s="2" t="inlineStr"/>
    </row>
    <row r="600" ht="15" customHeight="1">
      <c r="A600" t="inlineStr">
        <is>
          <t>A 59209-2022</t>
        </is>
      </c>
      <c r="B600" s="1" t="n">
        <v>44904</v>
      </c>
      <c r="C600" s="1" t="n">
        <v>45824</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59464-2022</t>
        </is>
      </c>
      <c r="B601" s="1" t="n">
        <v>44907</v>
      </c>
      <c r="C601" s="1" t="n">
        <v>45824</v>
      </c>
      <c r="D601" t="inlineStr">
        <is>
          <t>DALARNAS LÄN</t>
        </is>
      </c>
      <c r="E601" t="inlineStr">
        <is>
          <t>ÄLVDALEN</t>
        </is>
      </c>
      <c r="F601" t="inlineStr">
        <is>
          <t>Allmännings- och besparingsskogar</t>
        </is>
      </c>
      <c r="G601" t="n">
        <v>29.7</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45824</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61466-2022</t>
        </is>
      </c>
      <c r="B603" s="1" t="n">
        <v>44910</v>
      </c>
      <c r="C603" s="1" t="n">
        <v>45824</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60447-2022</t>
        </is>
      </c>
      <c r="B604" s="1" t="n">
        <v>44911</v>
      </c>
      <c r="C604" s="1" t="n">
        <v>45824</v>
      </c>
      <c r="D604" t="inlineStr">
        <is>
          <t>DALARNAS LÄN</t>
        </is>
      </c>
      <c r="E604" t="inlineStr">
        <is>
          <t>ÄLVDALEN</t>
        </is>
      </c>
      <c r="F604" t="inlineStr">
        <is>
          <t>Allmännings- och besparingsskogar</t>
        </is>
      </c>
      <c r="G604" t="n">
        <v>11.4</v>
      </c>
      <c r="H604" t="n">
        <v>0</v>
      </c>
      <c r="I604" t="n">
        <v>0</v>
      </c>
      <c r="J604" t="n">
        <v>0</v>
      </c>
      <c r="K604" t="n">
        <v>0</v>
      </c>
      <c r="L604" t="n">
        <v>0</v>
      </c>
      <c r="M604" t="n">
        <v>0</v>
      </c>
      <c r="N604" t="n">
        <v>0</v>
      </c>
      <c r="O604" t="n">
        <v>0</v>
      </c>
      <c r="P604" t="n">
        <v>0</v>
      </c>
      <c r="Q604" t="n">
        <v>0</v>
      </c>
      <c r="R604" s="2" t="inlineStr"/>
    </row>
    <row r="605" ht="15" customHeight="1">
      <c r="A605" t="inlineStr">
        <is>
          <t>A 60793-2022</t>
        </is>
      </c>
      <c r="B605" s="1" t="n">
        <v>44911</v>
      </c>
      <c r="C605" s="1" t="n">
        <v>45824</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61264-2022</t>
        </is>
      </c>
      <c r="B606" s="1" t="n">
        <v>44915</v>
      </c>
      <c r="C606" s="1" t="n">
        <v>45824</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62315-2022</t>
        </is>
      </c>
      <c r="B607" s="1" t="n">
        <v>44916</v>
      </c>
      <c r="C607" s="1" t="n">
        <v>45824</v>
      </c>
      <c r="D607" t="inlineStr">
        <is>
          <t>DALARNAS LÄN</t>
        </is>
      </c>
      <c r="E607" t="inlineStr">
        <is>
          <t>ÄLVDALEN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62314-2022</t>
        </is>
      </c>
      <c r="B608" s="1" t="n">
        <v>44916</v>
      </c>
      <c r="C608" s="1" t="n">
        <v>45824</v>
      </c>
      <c r="D608" t="inlineStr">
        <is>
          <t>DALARNAS LÄN</t>
        </is>
      </c>
      <c r="E608" t="inlineStr">
        <is>
          <t>ÄLVDALEN</t>
        </is>
      </c>
      <c r="G608" t="n">
        <v>2.7</v>
      </c>
      <c r="H608" t="n">
        <v>0</v>
      </c>
      <c r="I608" t="n">
        <v>0</v>
      </c>
      <c r="J608" t="n">
        <v>0</v>
      </c>
      <c r="K608" t="n">
        <v>0</v>
      </c>
      <c r="L608" t="n">
        <v>0</v>
      </c>
      <c r="M608" t="n">
        <v>0</v>
      </c>
      <c r="N608" t="n">
        <v>0</v>
      </c>
      <c r="O608" t="n">
        <v>0</v>
      </c>
      <c r="P608" t="n">
        <v>0</v>
      </c>
      <c r="Q608" t="n">
        <v>0</v>
      </c>
      <c r="R608" s="2" t="inlineStr"/>
    </row>
    <row r="609" ht="15" customHeight="1">
      <c r="A609" t="inlineStr">
        <is>
          <t>A 61888-2022</t>
        </is>
      </c>
      <c r="B609" s="1" t="n">
        <v>44917</v>
      </c>
      <c r="C609" s="1" t="n">
        <v>45824</v>
      </c>
      <c r="D609" t="inlineStr">
        <is>
          <t>DALARNAS LÄN</t>
        </is>
      </c>
      <c r="E609" t="inlineStr">
        <is>
          <t>ÄLVDALEN</t>
        </is>
      </c>
      <c r="F609" t="inlineStr">
        <is>
          <t>Allmännings- och besparingsskogar</t>
        </is>
      </c>
      <c r="G609" t="n">
        <v>17.7</v>
      </c>
      <c r="H609" t="n">
        <v>0</v>
      </c>
      <c r="I609" t="n">
        <v>0</v>
      </c>
      <c r="J609" t="n">
        <v>0</v>
      </c>
      <c r="K609" t="n">
        <v>0</v>
      </c>
      <c r="L609" t="n">
        <v>0</v>
      </c>
      <c r="M609" t="n">
        <v>0</v>
      </c>
      <c r="N609" t="n">
        <v>0</v>
      </c>
      <c r="O609" t="n">
        <v>0</v>
      </c>
      <c r="P609" t="n">
        <v>0</v>
      </c>
      <c r="Q609" t="n">
        <v>0</v>
      </c>
      <c r="R609" s="2" t="inlineStr"/>
    </row>
    <row r="610" ht="15" customHeight="1">
      <c r="A610" t="inlineStr">
        <is>
          <t>A 62355-2022</t>
        </is>
      </c>
      <c r="B610" s="1" t="n">
        <v>44923</v>
      </c>
      <c r="C610" s="1" t="n">
        <v>45824</v>
      </c>
      <c r="D610" t="inlineStr">
        <is>
          <t>DALARNAS LÄN</t>
        </is>
      </c>
      <c r="E610" t="inlineStr">
        <is>
          <t>ÄLVDALEN</t>
        </is>
      </c>
      <c r="G610" t="n">
        <v>4.3</v>
      </c>
      <c r="H610" t="n">
        <v>0</v>
      </c>
      <c r="I610" t="n">
        <v>0</v>
      </c>
      <c r="J610" t="n">
        <v>0</v>
      </c>
      <c r="K610" t="n">
        <v>0</v>
      </c>
      <c r="L610" t="n">
        <v>0</v>
      </c>
      <c r="M610" t="n">
        <v>0</v>
      </c>
      <c r="N610" t="n">
        <v>0</v>
      </c>
      <c r="O610" t="n">
        <v>0</v>
      </c>
      <c r="P610" t="n">
        <v>0</v>
      </c>
      <c r="Q610" t="n">
        <v>0</v>
      </c>
      <c r="R610" s="2" t="inlineStr"/>
    </row>
    <row r="611" ht="15" customHeight="1">
      <c r="A611" t="inlineStr">
        <is>
          <t>A 431-2023</t>
        </is>
      </c>
      <c r="B611" s="1" t="n">
        <v>44923</v>
      </c>
      <c r="C611" s="1" t="n">
        <v>45824</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62512-2022</t>
        </is>
      </c>
      <c r="B612" s="1" t="n">
        <v>44924</v>
      </c>
      <c r="C612" s="1" t="n">
        <v>45824</v>
      </c>
      <c r="D612" t="inlineStr">
        <is>
          <t>DALARNAS LÄN</t>
        </is>
      </c>
      <c r="E612" t="inlineStr">
        <is>
          <t>ÄLVDALEN</t>
        </is>
      </c>
      <c r="F612" t="inlineStr">
        <is>
          <t>Övriga statliga verk och myndigheter</t>
        </is>
      </c>
      <c r="G612" t="n">
        <v>15.1</v>
      </c>
      <c r="H612" t="n">
        <v>0</v>
      </c>
      <c r="I612" t="n">
        <v>0</v>
      </c>
      <c r="J612" t="n">
        <v>0</v>
      </c>
      <c r="K612" t="n">
        <v>0</v>
      </c>
      <c r="L612" t="n">
        <v>0</v>
      </c>
      <c r="M612" t="n">
        <v>0</v>
      </c>
      <c r="N612" t="n">
        <v>0</v>
      </c>
      <c r="O612" t="n">
        <v>0</v>
      </c>
      <c r="P612" t="n">
        <v>0</v>
      </c>
      <c r="Q612" t="n">
        <v>0</v>
      </c>
      <c r="R612" s="2" t="inlineStr"/>
    </row>
    <row r="613" ht="15" customHeight="1">
      <c r="A613" t="inlineStr">
        <is>
          <t>A 416-2023</t>
        </is>
      </c>
      <c r="B613" s="1" t="n">
        <v>44929</v>
      </c>
      <c r="C613" s="1" t="n">
        <v>45824</v>
      </c>
      <c r="D613" t="inlineStr">
        <is>
          <t>DALARNAS LÄN</t>
        </is>
      </c>
      <c r="E613" t="inlineStr">
        <is>
          <t>ÄLVDALEN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642-2023</t>
        </is>
      </c>
      <c r="B614" s="1" t="n">
        <v>44930</v>
      </c>
      <c r="C614" s="1" t="n">
        <v>45824</v>
      </c>
      <c r="D614" t="inlineStr">
        <is>
          <t>DALARNAS LÄN</t>
        </is>
      </c>
      <c r="E614" t="inlineStr">
        <is>
          <t>ÄLVDALEN</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558-2023</t>
        </is>
      </c>
      <c r="B615" s="1" t="n">
        <v>44930</v>
      </c>
      <c r="C615" s="1" t="n">
        <v>45824</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621-2023</t>
        </is>
      </c>
      <c r="B616" s="1" t="n">
        <v>44930</v>
      </c>
      <c r="C616" s="1" t="n">
        <v>45824</v>
      </c>
      <c r="D616" t="inlineStr">
        <is>
          <t>DALARNAS LÄN</t>
        </is>
      </c>
      <c r="E616" t="inlineStr">
        <is>
          <t>ÄLVDALEN</t>
        </is>
      </c>
      <c r="F616" t="inlineStr">
        <is>
          <t>Allmännings- och besparingsskogar</t>
        </is>
      </c>
      <c r="G616" t="n">
        <v>0.9</v>
      </c>
      <c r="H616" t="n">
        <v>0</v>
      </c>
      <c r="I616" t="n">
        <v>0</v>
      </c>
      <c r="J616" t="n">
        <v>0</v>
      </c>
      <c r="K616" t="n">
        <v>0</v>
      </c>
      <c r="L616" t="n">
        <v>0</v>
      </c>
      <c r="M616" t="n">
        <v>0</v>
      </c>
      <c r="N616" t="n">
        <v>0</v>
      </c>
      <c r="O616" t="n">
        <v>0</v>
      </c>
      <c r="P616" t="n">
        <v>0</v>
      </c>
      <c r="Q616" t="n">
        <v>0</v>
      </c>
      <c r="R616" s="2" t="inlineStr"/>
    </row>
    <row r="617" ht="15" customHeight="1">
      <c r="A617" t="inlineStr">
        <is>
          <t>A 786-2023</t>
        </is>
      </c>
      <c r="B617" s="1" t="n">
        <v>44931</v>
      </c>
      <c r="C617" s="1" t="n">
        <v>45824</v>
      </c>
      <c r="D617" t="inlineStr">
        <is>
          <t>DALARNAS LÄN</t>
        </is>
      </c>
      <c r="E617" t="inlineStr">
        <is>
          <t>ÄLVDALEN</t>
        </is>
      </c>
      <c r="F617" t="inlineStr">
        <is>
          <t>Allmännings- och besparingsskogar</t>
        </is>
      </c>
      <c r="G617" t="n">
        <v>5.3</v>
      </c>
      <c r="H617" t="n">
        <v>0</v>
      </c>
      <c r="I617" t="n">
        <v>0</v>
      </c>
      <c r="J617" t="n">
        <v>0</v>
      </c>
      <c r="K617" t="n">
        <v>0</v>
      </c>
      <c r="L617" t="n">
        <v>0</v>
      </c>
      <c r="M617" t="n">
        <v>0</v>
      </c>
      <c r="N617" t="n">
        <v>0</v>
      </c>
      <c r="O617" t="n">
        <v>0</v>
      </c>
      <c r="P617" t="n">
        <v>0</v>
      </c>
      <c r="Q617" t="n">
        <v>0</v>
      </c>
      <c r="R617" s="2" t="inlineStr"/>
    </row>
    <row r="618" ht="15" customHeight="1">
      <c r="A618" t="inlineStr">
        <is>
          <t>A 785-2023</t>
        </is>
      </c>
      <c r="B618" s="1" t="n">
        <v>44931</v>
      </c>
      <c r="C618" s="1" t="n">
        <v>45824</v>
      </c>
      <c r="D618" t="inlineStr">
        <is>
          <t>DALARNAS LÄN</t>
        </is>
      </c>
      <c r="E618" t="inlineStr">
        <is>
          <t>ÄLVDALEN</t>
        </is>
      </c>
      <c r="G618" t="n">
        <v>9.1</v>
      </c>
      <c r="H618" t="n">
        <v>0</v>
      </c>
      <c r="I618" t="n">
        <v>0</v>
      </c>
      <c r="J618" t="n">
        <v>0</v>
      </c>
      <c r="K618" t="n">
        <v>0</v>
      </c>
      <c r="L618" t="n">
        <v>0</v>
      </c>
      <c r="M618" t="n">
        <v>0</v>
      </c>
      <c r="N618" t="n">
        <v>0</v>
      </c>
      <c r="O618" t="n">
        <v>0</v>
      </c>
      <c r="P618" t="n">
        <v>0</v>
      </c>
      <c r="Q618" t="n">
        <v>0</v>
      </c>
      <c r="R618" s="2" t="inlineStr"/>
    </row>
    <row r="619" ht="15" customHeight="1">
      <c r="A619" t="inlineStr">
        <is>
          <t>A 2306-2023</t>
        </is>
      </c>
      <c r="B619" s="1" t="n">
        <v>44942</v>
      </c>
      <c r="C619" s="1" t="n">
        <v>45824</v>
      </c>
      <c r="D619" t="inlineStr">
        <is>
          <t>DALARNAS LÄN</t>
        </is>
      </c>
      <c r="E619" t="inlineStr">
        <is>
          <t>ÄLVDALEN</t>
        </is>
      </c>
      <c r="G619" t="n">
        <v>9.4</v>
      </c>
      <c r="H619" t="n">
        <v>0</v>
      </c>
      <c r="I619" t="n">
        <v>0</v>
      </c>
      <c r="J619" t="n">
        <v>0</v>
      </c>
      <c r="K619" t="n">
        <v>0</v>
      </c>
      <c r="L619" t="n">
        <v>0</v>
      </c>
      <c r="M619" t="n">
        <v>0</v>
      </c>
      <c r="N619" t="n">
        <v>0</v>
      </c>
      <c r="O619" t="n">
        <v>0</v>
      </c>
      <c r="P619" t="n">
        <v>0</v>
      </c>
      <c r="Q619" t="n">
        <v>0</v>
      </c>
      <c r="R619" s="2" t="inlineStr"/>
    </row>
    <row r="620" ht="15" customHeight="1">
      <c r="A620" t="inlineStr">
        <is>
          <t>A 2311-2023</t>
        </is>
      </c>
      <c r="B620" s="1" t="n">
        <v>44942</v>
      </c>
      <c r="C620" s="1" t="n">
        <v>45824</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3937-2023</t>
        </is>
      </c>
      <c r="B621" s="1" t="n">
        <v>44952</v>
      </c>
      <c r="C621" s="1" t="n">
        <v>45824</v>
      </c>
      <c r="D621" t="inlineStr">
        <is>
          <t>DALARNAS LÄN</t>
        </is>
      </c>
      <c r="E621" t="inlineStr">
        <is>
          <t>ÄLVDALEN</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4190-2023</t>
        </is>
      </c>
      <c r="B622" s="1" t="n">
        <v>44953</v>
      </c>
      <c r="C622" s="1" t="n">
        <v>45824</v>
      </c>
      <c r="D622" t="inlineStr">
        <is>
          <t>DALARNAS LÄN</t>
        </is>
      </c>
      <c r="E622" t="inlineStr">
        <is>
          <t>ÄLVDALEN</t>
        </is>
      </c>
      <c r="G622" t="n">
        <v>2.9</v>
      </c>
      <c r="H622" t="n">
        <v>0</v>
      </c>
      <c r="I622" t="n">
        <v>0</v>
      </c>
      <c r="J622" t="n">
        <v>0</v>
      </c>
      <c r="K622" t="n">
        <v>0</v>
      </c>
      <c r="L622" t="n">
        <v>0</v>
      </c>
      <c r="M622" t="n">
        <v>0</v>
      </c>
      <c r="N622" t="n">
        <v>0</v>
      </c>
      <c r="O622" t="n">
        <v>0</v>
      </c>
      <c r="P622" t="n">
        <v>0</v>
      </c>
      <c r="Q622" t="n">
        <v>0</v>
      </c>
      <c r="R622" s="2" t="inlineStr"/>
    </row>
    <row r="623" ht="15" customHeight="1">
      <c r="A623" t="inlineStr">
        <is>
          <t>A 4674-2023</t>
        </is>
      </c>
      <c r="B623" s="1" t="n">
        <v>44957</v>
      </c>
      <c r="C623" s="1" t="n">
        <v>45824</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5826-2023</t>
        </is>
      </c>
      <c r="B624" s="1" t="n">
        <v>44963</v>
      </c>
      <c r="C624" s="1" t="n">
        <v>45824</v>
      </c>
      <c r="D624" t="inlineStr">
        <is>
          <t>DALARNAS LÄN</t>
        </is>
      </c>
      <c r="E624" t="inlineStr">
        <is>
          <t>ÄLVDALEN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6072-2023</t>
        </is>
      </c>
      <c r="B625" s="1" t="n">
        <v>44964</v>
      </c>
      <c r="C625" s="1" t="n">
        <v>45824</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7836-2023</t>
        </is>
      </c>
      <c r="B626" s="1" t="n">
        <v>44973</v>
      </c>
      <c r="C626" s="1" t="n">
        <v>45824</v>
      </c>
      <c r="D626" t="inlineStr">
        <is>
          <t>DALARNAS LÄN</t>
        </is>
      </c>
      <c r="E626" t="inlineStr">
        <is>
          <t>ÄLVDALEN</t>
        </is>
      </c>
      <c r="G626" t="n">
        <v>6.1</v>
      </c>
      <c r="H626" t="n">
        <v>0</v>
      </c>
      <c r="I626" t="n">
        <v>0</v>
      </c>
      <c r="J626" t="n">
        <v>0</v>
      </c>
      <c r="K626" t="n">
        <v>0</v>
      </c>
      <c r="L626" t="n">
        <v>0</v>
      </c>
      <c r="M626" t="n">
        <v>0</v>
      </c>
      <c r="N626" t="n">
        <v>0</v>
      </c>
      <c r="O626" t="n">
        <v>0</v>
      </c>
      <c r="P626" t="n">
        <v>0</v>
      </c>
      <c r="Q626" t="n">
        <v>0</v>
      </c>
      <c r="R626" s="2" t="inlineStr"/>
    </row>
    <row r="627" ht="15" customHeight="1">
      <c r="A627" t="inlineStr">
        <is>
          <t>A 9801-2023</t>
        </is>
      </c>
      <c r="B627" s="1" t="n">
        <v>44978</v>
      </c>
      <c r="C627" s="1" t="n">
        <v>45824</v>
      </c>
      <c r="D627" t="inlineStr">
        <is>
          <t>DALARNAS LÄN</t>
        </is>
      </c>
      <c r="E627" t="inlineStr">
        <is>
          <t>ÄLVDALEN</t>
        </is>
      </c>
      <c r="G627" t="n">
        <v>7</v>
      </c>
      <c r="H627" t="n">
        <v>0</v>
      </c>
      <c r="I627" t="n">
        <v>0</v>
      </c>
      <c r="J627" t="n">
        <v>0</v>
      </c>
      <c r="K627" t="n">
        <v>0</v>
      </c>
      <c r="L627" t="n">
        <v>0</v>
      </c>
      <c r="M627" t="n">
        <v>0</v>
      </c>
      <c r="N627" t="n">
        <v>0</v>
      </c>
      <c r="O627" t="n">
        <v>0</v>
      </c>
      <c r="P627" t="n">
        <v>0</v>
      </c>
      <c r="Q627" t="n">
        <v>0</v>
      </c>
      <c r="R627" s="2" t="inlineStr"/>
    </row>
    <row r="628" ht="15" customHeight="1">
      <c r="A628" t="inlineStr">
        <is>
          <t>A 9719-2023</t>
        </is>
      </c>
      <c r="B628" s="1" t="n">
        <v>44978</v>
      </c>
      <c r="C628" s="1" t="n">
        <v>45824</v>
      </c>
      <c r="D628" t="inlineStr">
        <is>
          <t>DALARNAS LÄN</t>
        </is>
      </c>
      <c r="E628" t="inlineStr">
        <is>
          <t>ÄLVDALEN</t>
        </is>
      </c>
      <c r="G628" t="n">
        <v>20.2</v>
      </c>
      <c r="H628" t="n">
        <v>0</v>
      </c>
      <c r="I628" t="n">
        <v>0</v>
      </c>
      <c r="J628" t="n">
        <v>0</v>
      </c>
      <c r="K628" t="n">
        <v>0</v>
      </c>
      <c r="L628" t="n">
        <v>0</v>
      </c>
      <c r="M628" t="n">
        <v>0</v>
      </c>
      <c r="N628" t="n">
        <v>0</v>
      </c>
      <c r="O628" t="n">
        <v>0</v>
      </c>
      <c r="P628" t="n">
        <v>0</v>
      </c>
      <c r="Q628" t="n">
        <v>0</v>
      </c>
      <c r="R628" s="2" t="inlineStr"/>
    </row>
    <row r="629" ht="15" customHeight="1">
      <c r="A629" t="inlineStr">
        <is>
          <t>A 13124-2023</t>
        </is>
      </c>
      <c r="B629" s="1" t="n">
        <v>45002</v>
      </c>
      <c r="C629" s="1" t="n">
        <v>45824</v>
      </c>
      <c r="D629" t="inlineStr">
        <is>
          <t>DALARNAS LÄN</t>
        </is>
      </c>
      <c r="E629" t="inlineStr">
        <is>
          <t>ÄLVDALEN</t>
        </is>
      </c>
      <c r="G629" t="n">
        <v>4.5</v>
      </c>
      <c r="H629" t="n">
        <v>0</v>
      </c>
      <c r="I629" t="n">
        <v>0</v>
      </c>
      <c r="J629" t="n">
        <v>0</v>
      </c>
      <c r="K629" t="n">
        <v>0</v>
      </c>
      <c r="L629" t="n">
        <v>0</v>
      </c>
      <c r="M629" t="n">
        <v>0</v>
      </c>
      <c r="N629" t="n">
        <v>0</v>
      </c>
      <c r="O629" t="n">
        <v>0</v>
      </c>
      <c r="P629" t="n">
        <v>0</v>
      </c>
      <c r="Q629" t="n">
        <v>0</v>
      </c>
      <c r="R629" s="2" t="inlineStr"/>
    </row>
    <row r="630" ht="15" customHeight="1">
      <c r="A630" t="inlineStr">
        <is>
          <t>A 14938-2023</t>
        </is>
      </c>
      <c r="B630" s="1" t="n">
        <v>45015</v>
      </c>
      <c r="C630" s="1" t="n">
        <v>45824</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17051-2023</t>
        </is>
      </c>
      <c r="B631" s="1" t="n">
        <v>45034</v>
      </c>
      <c r="C631" s="1" t="n">
        <v>45824</v>
      </c>
      <c r="D631" t="inlineStr">
        <is>
          <t>DALARNAS LÄN</t>
        </is>
      </c>
      <c r="E631" t="inlineStr">
        <is>
          <t>ÄLVDALEN</t>
        </is>
      </c>
      <c r="G631" t="n">
        <v>4.2</v>
      </c>
      <c r="H631" t="n">
        <v>0</v>
      </c>
      <c r="I631" t="n">
        <v>0</v>
      </c>
      <c r="J631" t="n">
        <v>0</v>
      </c>
      <c r="K631" t="n">
        <v>0</v>
      </c>
      <c r="L631" t="n">
        <v>0</v>
      </c>
      <c r="M631" t="n">
        <v>0</v>
      </c>
      <c r="N631" t="n">
        <v>0</v>
      </c>
      <c r="O631" t="n">
        <v>0</v>
      </c>
      <c r="P631" t="n">
        <v>0</v>
      </c>
      <c r="Q631" t="n">
        <v>0</v>
      </c>
      <c r="R631" s="2" t="inlineStr"/>
    </row>
    <row r="632" ht="15" customHeight="1">
      <c r="A632" t="inlineStr">
        <is>
          <t>A 19182-2023</t>
        </is>
      </c>
      <c r="B632" s="1" t="n">
        <v>45048</v>
      </c>
      <c r="C632" s="1" t="n">
        <v>45824</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19546-2023</t>
        </is>
      </c>
      <c r="B633" s="1" t="n">
        <v>45050</v>
      </c>
      <c r="C633" s="1" t="n">
        <v>45824</v>
      </c>
      <c r="D633" t="inlineStr">
        <is>
          <t>DALARNAS LÄN</t>
        </is>
      </c>
      <c r="E633" t="inlineStr">
        <is>
          <t>ÄLVDALEN</t>
        </is>
      </c>
      <c r="G633" t="n">
        <v>5.9</v>
      </c>
      <c r="H633" t="n">
        <v>0</v>
      </c>
      <c r="I633" t="n">
        <v>0</v>
      </c>
      <c r="J633" t="n">
        <v>0</v>
      </c>
      <c r="K633" t="n">
        <v>0</v>
      </c>
      <c r="L633" t="n">
        <v>0</v>
      </c>
      <c r="M633" t="n">
        <v>0</v>
      </c>
      <c r="N633" t="n">
        <v>0</v>
      </c>
      <c r="O633" t="n">
        <v>0</v>
      </c>
      <c r="P633" t="n">
        <v>0</v>
      </c>
      <c r="Q633" t="n">
        <v>0</v>
      </c>
      <c r="R633" s="2" t="inlineStr"/>
    </row>
    <row r="634" ht="15" customHeight="1">
      <c r="A634" t="inlineStr">
        <is>
          <t>A 19992-2023</t>
        </is>
      </c>
      <c r="B634" s="1" t="n">
        <v>45054</v>
      </c>
      <c r="C634" s="1" t="n">
        <v>45824</v>
      </c>
      <c r="D634" t="inlineStr">
        <is>
          <t>DALARNAS LÄN</t>
        </is>
      </c>
      <c r="E634" t="inlineStr">
        <is>
          <t>ÄLVDALEN</t>
        </is>
      </c>
      <c r="G634" t="n">
        <v>3.9</v>
      </c>
      <c r="H634" t="n">
        <v>0</v>
      </c>
      <c r="I634" t="n">
        <v>0</v>
      </c>
      <c r="J634" t="n">
        <v>0</v>
      </c>
      <c r="K634" t="n">
        <v>0</v>
      </c>
      <c r="L634" t="n">
        <v>0</v>
      </c>
      <c r="M634" t="n">
        <v>0</v>
      </c>
      <c r="N634" t="n">
        <v>0</v>
      </c>
      <c r="O634" t="n">
        <v>0</v>
      </c>
      <c r="P634" t="n">
        <v>0</v>
      </c>
      <c r="Q634" t="n">
        <v>0</v>
      </c>
      <c r="R634" s="2" t="inlineStr"/>
    </row>
    <row r="635" ht="15" customHeight="1">
      <c r="A635" t="inlineStr">
        <is>
          <t>A 20551-2023</t>
        </is>
      </c>
      <c r="B635" s="1" t="n">
        <v>45057</v>
      </c>
      <c r="C635" s="1" t="n">
        <v>45824</v>
      </c>
      <c r="D635" t="inlineStr">
        <is>
          <t>DALARNAS LÄN</t>
        </is>
      </c>
      <c r="E635" t="inlineStr">
        <is>
          <t>ÄLVDALEN</t>
        </is>
      </c>
      <c r="G635" t="n">
        <v>29.8</v>
      </c>
      <c r="H635" t="n">
        <v>0</v>
      </c>
      <c r="I635" t="n">
        <v>0</v>
      </c>
      <c r="J635" t="n">
        <v>0</v>
      </c>
      <c r="K635" t="n">
        <v>0</v>
      </c>
      <c r="L635" t="n">
        <v>0</v>
      </c>
      <c r="M635" t="n">
        <v>0</v>
      </c>
      <c r="N635" t="n">
        <v>0</v>
      </c>
      <c r="O635" t="n">
        <v>0</v>
      </c>
      <c r="P635" t="n">
        <v>0</v>
      </c>
      <c r="Q635" t="n">
        <v>0</v>
      </c>
      <c r="R635" s="2" t="inlineStr"/>
    </row>
    <row r="636" ht="15" customHeight="1">
      <c r="A636" t="inlineStr">
        <is>
          <t>A 21936-2023</t>
        </is>
      </c>
      <c r="B636" s="1" t="n">
        <v>45068</v>
      </c>
      <c r="C636" s="1" t="n">
        <v>45824</v>
      </c>
      <c r="D636" t="inlineStr">
        <is>
          <t>DALARNAS LÄN</t>
        </is>
      </c>
      <c r="E636" t="inlineStr">
        <is>
          <t>ÄLVDALEN</t>
        </is>
      </c>
      <c r="F636" t="inlineStr">
        <is>
          <t>Bergvik skog väst AB</t>
        </is>
      </c>
      <c r="G636" t="n">
        <v>7.5</v>
      </c>
      <c r="H636" t="n">
        <v>0</v>
      </c>
      <c r="I636" t="n">
        <v>0</v>
      </c>
      <c r="J636" t="n">
        <v>0</v>
      </c>
      <c r="K636" t="n">
        <v>0</v>
      </c>
      <c r="L636" t="n">
        <v>0</v>
      </c>
      <c r="M636" t="n">
        <v>0</v>
      </c>
      <c r="N636" t="n">
        <v>0</v>
      </c>
      <c r="O636" t="n">
        <v>0</v>
      </c>
      <c r="P636" t="n">
        <v>0</v>
      </c>
      <c r="Q636" t="n">
        <v>0</v>
      </c>
      <c r="R636" s="2" t="inlineStr"/>
    </row>
    <row r="637" ht="15" customHeight="1">
      <c r="A637" t="inlineStr">
        <is>
          <t>A 22792-2023</t>
        </is>
      </c>
      <c r="B637" s="1" t="n">
        <v>45072</v>
      </c>
      <c r="C637" s="1" t="n">
        <v>45824</v>
      </c>
      <c r="D637" t="inlineStr">
        <is>
          <t>DALARNAS LÄN</t>
        </is>
      </c>
      <c r="E637" t="inlineStr">
        <is>
          <t>ÄLVDALEN</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22847-2023</t>
        </is>
      </c>
      <c r="B638" s="1" t="n">
        <v>45072</v>
      </c>
      <c r="C638" s="1" t="n">
        <v>45824</v>
      </c>
      <c r="D638" t="inlineStr">
        <is>
          <t>DALARNAS LÄN</t>
        </is>
      </c>
      <c r="E638" t="inlineStr">
        <is>
          <t>ÄLVDALEN</t>
        </is>
      </c>
      <c r="F638" t="inlineStr">
        <is>
          <t>Bergvik skog väst AB</t>
        </is>
      </c>
      <c r="G638" t="n">
        <v>8.1</v>
      </c>
      <c r="H638" t="n">
        <v>0</v>
      </c>
      <c r="I638" t="n">
        <v>0</v>
      </c>
      <c r="J638" t="n">
        <v>0</v>
      </c>
      <c r="K638" t="n">
        <v>0</v>
      </c>
      <c r="L638" t="n">
        <v>0</v>
      </c>
      <c r="M638" t="n">
        <v>0</v>
      </c>
      <c r="N638" t="n">
        <v>0</v>
      </c>
      <c r="O638" t="n">
        <v>0</v>
      </c>
      <c r="P638" t="n">
        <v>0</v>
      </c>
      <c r="Q638" t="n">
        <v>0</v>
      </c>
      <c r="R638" s="2" t="inlineStr"/>
    </row>
    <row r="639" ht="15" customHeight="1">
      <c r="A639" t="inlineStr">
        <is>
          <t>A 23129-2023</t>
        </is>
      </c>
      <c r="B639" s="1" t="n">
        <v>45075</v>
      </c>
      <c r="C639" s="1" t="n">
        <v>45824</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23369-2023</t>
        </is>
      </c>
      <c r="B640" s="1" t="n">
        <v>45076</v>
      </c>
      <c r="C640" s="1" t="n">
        <v>45824</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23570-2023</t>
        </is>
      </c>
      <c r="B641" s="1" t="n">
        <v>45077</v>
      </c>
      <c r="C641" s="1" t="n">
        <v>45824</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23565-2023</t>
        </is>
      </c>
      <c r="B642" s="1" t="n">
        <v>45077</v>
      </c>
      <c r="C642" s="1" t="n">
        <v>45824</v>
      </c>
      <c r="D642" t="inlineStr">
        <is>
          <t>DALARNAS LÄN</t>
        </is>
      </c>
      <c r="E642" t="inlineStr">
        <is>
          <t>ÄLVDALEN</t>
        </is>
      </c>
      <c r="G642" t="n">
        <v>3.6</v>
      </c>
      <c r="H642" t="n">
        <v>0</v>
      </c>
      <c r="I642" t="n">
        <v>0</v>
      </c>
      <c r="J642" t="n">
        <v>0</v>
      </c>
      <c r="K642" t="n">
        <v>0</v>
      </c>
      <c r="L642" t="n">
        <v>0</v>
      </c>
      <c r="M642" t="n">
        <v>0</v>
      </c>
      <c r="N642" t="n">
        <v>0</v>
      </c>
      <c r="O642" t="n">
        <v>0</v>
      </c>
      <c r="P642" t="n">
        <v>0</v>
      </c>
      <c r="Q642" t="n">
        <v>0</v>
      </c>
      <c r="R642" s="2" t="inlineStr"/>
    </row>
    <row r="643" ht="15" customHeight="1">
      <c r="A643" t="inlineStr">
        <is>
          <t>A 23970-2023</t>
        </is>
      </c>
      <c r="B643" s="1" t="n">
        <v>45078</v>
      </c>
      <c r="C643" s="1" t="n">
        <v>45824</v>
      </c>
      <c r="D643" t="inlineStr">
        <is>
          <t>DALARNAS LÄN</t>
        </is>
      </c>
      <c r="E643" t="inlineStr">
        <is>
          <t>ÄLVDALEN</t>
        </is>
      </c>
      <c r="F643" t="inlineStr">
        <is>
          <t>Allmännings- och besparingsskogar</t>
        </is>
      </c>
      <c r="G643" t="n">
        <v>3.6</v>
      </c>
      <c r="H643" t="n">
        <v>0</v>
      </c>
      <c r="I643" t="n">
        <v>0</v>
      </c>
      <c r="J643" t="n">
        <v>0</v>
      </c>
      <c r="K643" t="n">
        <v>0</v>
      </c>
      <c r="L643" t="n">
        <v>0</v>
      </c>
      <c r="M643" t="n">
        <v>0</v>
      </c>
      <c r="N643" t="n">
        <v>0</v>
      </c>
      <c r="O643" t="n">
        <v>0</v>
      </c>
      <c r="P643" t="n">
        <v>0</v>
      </c>
      <c r="Q643" t="n">
        <v>0</v>
      </c>
      <c r="R643" s="2" t="inlineStr"/>
    </row>
    <row r="644" ht="15" customHeight="1">
      <c r="A644" t="inlineStr">
        <is>
          <t>A 24369-2023</t>
        </is>
      </c>
      <c r="B644" s="1" t="n">
        <v>45082</v>
      </c>
      <c r="C644" s="1" t="n">
        <v>45824</v>
      </c>
      <c r="D644" t="inlineStr">
        <is>
          <t>DALARNAS LÄN</t>
        </is>
      </c>
      <c r="E644" t="inlineStr">
        <is>
          <t>ÄLVDALEN</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24615-2023</t>
        </is>
      </c>
      <c r="B645" s="1" t="n">
        <v>45084</v>
      </c>
      <c r="C645" s="1" t="n">
        <v>45824</v>
      </c>
      <c r="D645" t="inlineStr">
        <is>
          <t>DALARNAS LÄN</t>
        </is>
      </c>
      <c r="E645" t="inlineStr">
        <is>
          <t>ÄLVDALEN</t>
        </is>
      </c>
      <c r="G645" t="n">
        <v>9.6</v>
      </c>
      <c r="H645" t="n">
        <v>0</v>
      </c>
      <c r="I645" t="n">
        <v>0</v>
      </c>
      <c r="J645" t="n">
        <v>0</v>
      </c>
      <c r="K645" t="n">
        <v>0</v>
      </c>
      <c r="L645" t="n">
        <v>0</v>
      </c>
      <c r="M645" t="n">
        <v>0</v>
      </c>
      <c r="N645" t="n">
        <v>0</v>
      </c>
      <c r="O645" t="n">
        <v>0</v>
      </c>
      <c r="P645" t="n">
        <v>0</v>
      </c>
      <c r="Q645" t="n">
        <v>0</v>
      </c>
      <c r="R645" s="2" t="inlineStr"/>
    </row>
    <row r="646" ht="15" customHeight="1">
      <c r="A646" t="inlineStr">
        <is>
          <t>A 24762-2023</t>
        </is>
      </c>
      <c r="B646" s="1" t="n">
        <v>45084</v>
      </c>
      <c r="C646" s="1" t="n">
        <v>45824</v>
      </c>
      <c r="D646" t="inlineStr">
        <is>
          <t>DALARNAS LÄN</t>
        </is>
      </c>
      <c r="E646" t="inlineStr">
        <is>
          <t>ÄLVDALEN</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24718-2023</t>
        </is>
      </c>
      <c r="B647" s="1" t="n">
        <v>45084</v>
      </c>
      <c r="C647" s="1" t="n">
        <v>45824</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24859-2023</t>
        </is>
      </c>
      <c r="B648" s="1" t="n">
        <v>45085</v>
      </c>
      <c r="C648" s="1" t="n">
        <v>45824</v>
      </c>
      <c r="D648" t="inlineStr">
        <is>
          <t>DALARNAS LÄN</t>
        </is>
      </c>
      <c r="E648" t="inlineStr">
        <is>
          <t>ÄLVDALEN</t>
        </is>
      </c>
      <c r="G648" t="n">
        <v>0.9</v>
      </c>
      <c r="H648" t="n">
        <v>0</v>
      </c>
      <c r="I648" t="n">
        <v>0</v>
      </c>
      <c r="J648" t="n">
        <v>0</v>
      </c>
      <c r="K648" t="n">
        <v>0</v>
      </c>
      <c r="L648" t="n">
        <v>0</v>
      </c>
      <c r="M648" t="n">
        <v>0</v>
      </c>
      <c r="N648" t="n">
        <v>0</v>
      </c>
      <c r="O648" t="n">
        <v>0</v>
      </c>
      <c r="P648" t="n">
        <v>0</v>
      </c>
      <c r="Q648" t="n">
        <v>0</v>
      </c>
      <c r="R648" s="2" t="inlineStr"/>
    </row>
    <row r="649" ht="15" customHeight="1">
      <c r="A649" t="inlineStr">
        <is>
          <t>A 24934-2023</t>
        </is>
      </c>
      <c r="B649" s="1" t="n">
        <v>45085</v>
      </c>
      <c r="C649" s="1" t="n">
        <v>45824</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25083-2023</t>
        </is>
      </c>
      <c r="B650" s="1" t="n">
        <v>45086</v>
      </c>
      <c r="C650" s="1" t="n">
        <v>45824</v>
      </c>
      <c r="D650" t="inlineStr">
        <is>
          <t>DALARNAS LÄN</t>
        </is>
      </c>
      <c r="E650" t="inlineStr">
        <is>
          <t>ÄLVDALEN</t>
        </is>
      </c>
      <c r="F650" t="inlineStr">
        <is>
          <t>Sveaskog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25085-2023</t>
        </is>
      </c>
      <c r="B651" s="1" t="n">
        <v>45086</v>
      </c>
      <c r="C651" s="1" t="n">
        <v>45824</v>
      </c>
      <c r="D651" t="inlineStr">
        <is>
          <t>DALARNAS LÄN</t>
        </is>
      </c>
      <c r="E651" t="inlineStr">
        <is>
          <t>ÄLVDALEN</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26726-2023</t>
        </is>
      </c>
      <c r="B652" s="1" t="n">
        <v>45093</v>
      </c>
      <c r="C652" s="1" t="n">
        <v>45824</v>
      </c>
      <c r="D652" t="inlineStr">
        <is>
          <t>DALARNAS LÄN</t>
        </is>
      </c>
      <c r="E652" t="inlineStr">
        <is>
          <t>ÄLVDALEN</t>
        </is>
      </c>
      <c r="F652" t="inlineStr">
        <is>
          <t>Allmännings- och besparingsskogar</t>
        </is>
      </c>
      <c r="G652" t="n">
        <v>31.3</v>
      </c>
      <c r="H652" t="n">
        <v>0</v>
      </c>
      <c r="I652" t="n">
        <v>0</v>
      </c>
      <c r="J652" t="n">
        <v>0</v>
      </c>
      <c r="K652" t="n">
        <v>0</v>
      </c>
      <c r="L652" t="n">
        <v>0</v>
      </c>
      <c r="M652" t="n">
        <v>0</v>
      </c>
      <c r="N652" t="n">
        <v>0</v>
      </c>
      <c r="O652" t="n">
        <v>0</v>
      </c>
      <c r="P652" t="n">
        <v>0</v>
      </c>
      <c r="Q652" t="n">
        <v>0</v>
      </c>
      <c r="R652" s="2" t="inlineStr"/>
    </row>
    <row r="653" ht="15" customHeight="1">
      <c r="A653" t="inlineStr">
        <is>
          <t>A 26953-2023</t>
        </is>
      </c>
      <c r="B653" s="1" t="n">
        <v>45093</v>
      </c>
      <c r="C653" s="1" t="n">
        <v>45824</v>
      </c>
      <c r="D653" t="inlineStr">
        <is>
          <t>DALARNAS LÄN</t>
        </is>
      </c>
      <c r="E653" t="inlineStr">
        <is>
          <t>ÄLVDALEN</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27221-2023</t>
        </is>
      </c>
      <c r="B654" s="1" t="n">
        <v>45096</v>
      </c>
      <c r="C654" s="1" t="n">
        <v>45824</v>
      </c>
      <c r="D654" t="inlineStr">
        <is>
          <t>DALARNAS LÄN</t>
        </is>
      </c>
      <c r="E654" t="inlineStr">
        <is>
          <t>ÄLVDALEN</t>
        </is>
      </c>
      <c r="G654" t="n">
        <v>1.4</v>
      </c>
      <c r="H654" t="n">
        <v>0</v>
      </c>
      <c r="I654" t="n">
        <v>0</v>
      </c>
      <c r="J654" t="n">
        <v>0</v>
      </c>
      <c r="K654" t="n">
        <v>0</v>
      </c>
      <c r="L654" t="n">
        <v>0</v>
      </c>
      <c r="M654" t="n">
        <v>0</v>
      </c>
      <c r="N654" t="n">
        <v>0</v>
      </c>
      <c r="O654" t="n">
        <v>0</v>
      </c>
      <c r="P654" t="n">
        <v>0</v>
      </c>
      <c r="Q654" t="n">
        <v>0</v>
      </c>
      <c r="R654" s="2" t="inlineStr"/>
    </row>
    <row r="655" ht="15" customHeight="1">
      <c r="A655" t="inlineStr">
        <is>
          <t>A 27615-2023</t>
        </is>
      </c>
      <c r="B655" s="1" t="n">
        <v>45097</v>
      </c>
      <c r="C655" s="1" t="n">
        <v>45824</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28216-2023</t>
        </is>
      </c>
      <c r="B656" s="1" t="n">
        <v>45099</v>
      </c>
      <c r="C656" s="1" t="n">
        <v>45824</v>
      </c>
      <c r="D656" t="inlineStr">
        <is>
          <t>DALARNAS LÄN</t>
        </is>
      </c>
      <c r="E656" t="inlineStr">
        <is>
          <t>ÄLVDALEN</t>
        </is>
      </c>
      <c r="G656" t="n">
        <v>2.5</v>
      </c>
      <c r="H656" t="n">
        <v>0</v>
      </c>
      <c r="I656" t="n">
        <v>0</v>
      </c>
      <c r="J656" t="n">
        <v>0</v>
      </c>
      <c r="K656" t="n">
        <v>0</v>
      </c>
      <c r="L656" t="n">
        <v>0</v>
      </c>
      <c r="M656" t="n">
        <v>0</v>
      </c>
      <c r="N656" t="n">
        <v>0</v>
      </c>
      <c r="O656" t="n">
        <v>0</v>
      </c>
      <c r="P656" t="n">
        <v>0</v>
      </c>
      <c r="Q656" t="n">
        <v>0</v>
      </c>
      <c r="R656" s="2" t="inlineStr"/>
    </row>
    <row r="657" ht="15" customHeight="1">
      <c r="A657" t="inlineStr">
        <is>
          <t>A 28664-2023</t>
        </is>
      </c>
      <c r="B657" s="1" t="n">
        <v>45103</v>
      </c>
      <c r="C657" s="1" t="n">
        <v>45824</v>
      </c>
      <c r="D657" t="inlineStr">
        <is>
          <t>DALARNAS LÄN</t>
        </is>
      </c>
      <c r="E657" t="inlineStr">
        <is>
          <t>ÄLVDALEN</t>
        </is>
      </c>
      <c r="F657" t="inlineStr">
        <is>
          <t>Allmännings- och besparingsskogar</t>
        </is>
      </c>
      <c r="G657" t="n">
        <v>4.2</v>
      </c>
      <c r="H657" t="n">
        <v>0</v>
      </c>
      <c r="I657" t="n">
        <v>0</v>
      </c>
      <c r="J657" t="n">
        <v>0</v>
      </c>
      <c r="K657" t="n">
        <v>0</v>
      </c>
      <c r="L657" t="n">
        <v>0</v>
      </c>
      <c r="M657" t="n">
        <v>0</v>
      </c>
      <c r="N657" t="n">
        <v>0</v>
      </c>
      <c r="O657" t="n">
        <v>0</v>
      </c>
      <c r="P657" t="n">
        <v>0</v>
      </c>
      <c r="Q657" t="n">
        <v>0</v>
      </c>
      <c r="R657" s="2" t="inlineStr"/>
    </row>
    <row r="658" ht="15" customHeight="1">
      <c r="A658" t="inlineStr">
        <is>
          <t>A 28778-2023</t>
        </is>
      </c>
      <c r="B658" s="1" t="n">
        <v>45104</v>
      </c>
      <c r="C658" s="1" t="n">
        <v>45824</v>
      </c>
      <c r="D658" t="inlineStr">
        <is>
          <t>DALARNAS LÄN</t>
        </is>
      </c>
      <c r="E658" t="inlineStr">
        <is>
          <t>ÄLVDALEN</t>
        </is>
      </c>
      <c r="F658" t="inlineStr">
        <is>
          <t>Allmännings- och besparingsskogar</t>
        </is>
      </c>
      <c r="G658" t="n">
        <v>4.7</v>
      </c>
      <c r="H658" t="n">
        <v>0</v>
      </c>
      <c r="I658" t="n">
        <v>0</v>
      </c>
      <c r="J658" t="n">
        <v>0</v>
      </c>
      <c r="K658" t="n">
        <v>0</v>
      </c>
      <c r="L658" t="n">
        <v>0</v>
      </c>
      <c r="M658" t="n">
        <v>0</v>
      </c>
      <c r="N658" t="n">
        <v>0</v>
      </c>
      <c r="O658" t="n">
        <v>0</v>
      </c>
      <c r="P658" t="n">
        <v>0</v>
      </c>
      <c r="Q658" t="n">
        <v>0</v>
      </c>
      <c r="R658" s="2" t="inlineStr"/>
    </row>
    <row r="659" ht="15" customHeight="1">
      <c r="A659" t="inlineStr">
        <is>
          <t>A 28884-2023</t>
        </is>
      </c>
      <c r="B659" s="1" t="n">
        <v>45104</v>
      </c>
      <c r="C659" s="1" t="n">
        <v>45824</v>
      </c>
      <c r="D659" t="inlineStr">
        <is>
          <t>DALARNAS LÄN</t>
        </is>
      </c>
      <c r="E659" t="inlineStr">
        <is>
          <t>ÄLVDALEN</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29164-2023</t>
        </is>
      </c>
      <c r="B660" s="1" t="n">
        <v>45105</v>
      </c>
      <c r="C660" s="1" t="n">
        <v>45824</v>
      </c>
      <c r="D660" t="inlineStr">
        <is>
          <t>DALARNAS LÄN</t>
        </is>
      </c>
      <c r="E660" t="inlineStr">
        <is>
          <t>ÄLVDALEN</t>
        </is>
      </c>
      <c r="F660" t="inlineStr">
        <is>
          <t>Allmännings- och besparingsskogar</t>
        </is>
      </c>
      <c r="G660" t="n">
        <v>1</v>
      </c>
      <c r="H660" t="n">
        <v>0</v>
      </c>
      <c r="I660" t="n">
        <v>0</v>
      </c>
      <c r="J660" t="n">
        <v>0</v>
      </c>
      <c r="K660" t="n">
        <v>0</v>
      </c>
      <c r="L660" t="n">
        <v>0</v>
      </c>
      <c r="M660" t="n">
        <v>0</v>
      </c>
      <c r="N660" t="n">
        <v>0</v>
      </c>
      <c r="O660" t="n">
        <v>0</v>
      </c>
      <c r="P660" t="n">
        <v>0</v>
      </c>
      <c r="Q660" t="n">
        <v>0</v>
      </c>
      <c r="R660" s="2" t="inlineStr"/>
    </row>
    <row r="661" ht="15" customHeight="1">
      <c r="A661" t="inlineStr">
        <is>
          <t>A 29119-2023</t>
        </is>
      </c>
      <c r="B661" s="1" t="n">
        <v>45105</v>
      </c>
      <c r="C661" s="1" t="n">
        <v>45824</v>
      </c>
      <c r="D661" t="inlineStr">
        <is>
          <t>DALARNAS LÄN</t>
        </is>
      </c>
      <c r="E661" t="inlineStr">
        <is>
          <t>ÄLVDALEN</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29251-2023</t>
        </is>
      </c>
      <c r="B662" s="1" t="n">
        <v>45105</v>
      </c>
      <c r="C662" s="1" t="n">
        <v>45824</v>
      </c>
      <c r="D662" t="inlineStr">
        <is>
          <t>DALARNAS LÄN</t>
        </is>
      </c>
      <c r="E662" t="inlineStr">
        <is>
          <t>ÄLVDALEN</t>
        </is>
      </c>
      <c r="F662" t="inlineStr">
        <is>
          <t>Allmännings- och besparingsskogar</t>
        </is>
      </c>
      <c r="G662" t="n">
        <v>18.6</v>
      </c>
      <c r="H662" t="n">
        <v>0</v>
      </c>
      <c r="I662" t="n">
        <v>0</v>
      </c>
      <c r="J662" t="n">
        <v>0</v>
      </c>
      <c r="K662" t="n">
        <v>0</v>
      </c>
      <c r="L662" t="n">
        <v>0</v>
      </c>
      <c r="M662" t="n">
        <v>0</v>
      </c>
      <c r="N662" t="n">
        <v>0</v>
      </c>
      <c r="O662" t="n">
        <v>0</v>
      </c>
      <c r="P662" t="n">
        <v>0</v>
      </c>
      <c r="Q662" t="n">
        <v>0</v>
      </c>
      <c r="R662" s="2" t="inlineStr"/>
    </row>
    <row r="663" ht="15" customHeight="1">
      <c r="A663" t="inlineStr">
        <is>
          <t>A 31857-2023</t>
        </is>
      </c>
      <c r="B663" s="1" t="n">
        <v>45106</v>
      </c>
      <c r="C663" s="1" t="n">
        <v>45824</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29770-2023</t>
        </is>
      </c>
      <c r="B664" s="1" t="n">
        <v>45107</v>
      </c>
      <c r="C664" s="1" t="n">
        <v>45824</v>
      </c>
      <c r="D664" t="inlineStr">
        <is>
          <t>DALARNAS LÄN</t>
        </is>
      </c>
      <c r="E664" t="inlineStr">
        <is>
          <t>ÄLVDALEN</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32031-2023</t>
        </is>
      </c>
      <c r="B665" s="1" t="n">
        <v>45107</v>
      </c>
      <c r="C665" s="1" t="n">
        <v>45824</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32104-2023</t>
        </is>
      </c>
      <c r="B666" s="1" t="n">
        <v>45107</v>
      </c>
      <c r="C666" s="1" t="n">
        <v>45824</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30217-2023</t>
        </is>
      </c>
      <c r="B667" s="1" t="n">
        <v>45110</v>
      </c>
      <c r="C667" s="1" t="n">
        <v>45824</v>
      </c>
      <c r="D667" t="inlineStr">
        <is>
          <t>DALARNAS LÄN</t>
        </is>
      </c>
      <c r="E667" t="inlineStr">
        <is>
          <t>ÄLVDALEN</t>
        </is>
      </c>
      <c r="F667" t="inlineStr">
        <is>
          <t>Allmännings- och besparingsskogar</t>
        </is>
      </c>
      <c r="G667" t="n">
        <v>1.5</v>
      </c>
      <c r="H667" t="n">
        <v>0</v>
      </c>
      <c r="I667" t="n">
        <v>0</v>
      </c>
      <c r="J667" t="n">
        <v>0</v>
      </c>
      <c r="K667" t="n">
        <v>0</v>
      </c>
      <c r="L667" t="n">
        <v>0</v>
      </c>
      <c r="M667" t="n">
        <v>0</v>
      </c>
      <c r="N667" t="n">
        <v>0</v>
      </c>
      <c r="O667" t="n">
        <v>0</v>
      </c>
      <c r="P667" t="n">
        <v>0</v>
      </c>
      <c r="Q667" t="n">
        <v>0</v>
      </c>
      <c r="R667" s="2" t="inlineStr"/>
    </row>
    <row r="668" ht="15" customHeight="1">
      <c r="A668" t="inlineStr">
        <is>
          <t>A 30232-2023</t>
        </is>
      </c>
      <c r="B668" s="1" t="n">
        <v>45110</v>
      </c>
      <c r="C668" s="1" t="n">
        <v>45824</v>
      </c>
      <c r="D668" t="inlineStr">
        <is>
          <t>DALARNAS LÄN</t>
        </is>
      </c>
      <c r="E668" t="inlineStr">
        <is>
          <t>ÄLVDALEN</t>
        </is>
      </c>
      <c r="F668" t="inlineStr">
        <is>
          <t>Allmännings- och besparingsskogar</t>
        </is>
      </c>
      <c r="G668" t="n">
        <v>0.6</v>
      </c>
      <c r="H668" t="n">
        <v>0</v>
      </c>
      <c r="I668" t="n">
        <v>0</v>
      </c>
      <c r="J668" t="n">
        <v>0</v>
      </c>
      <c r="K668" t="n">
        <v>0</v>
      </c>
      <c r="L668" t="n">
        <v>0</v>
      </c>
      <c r="M668" t="n">
        <v>0</v>
      </c>
      <c r="N668" t="n">
        <v>0</v>
      </c>
      <c r="O668" t="n">
        <v>0</v>
      </c>
      <c r="P668" t="n">
        <v>0</v>
      </c>
      <c r="Q668" t="n">
        <v>0</v>
      </c>
      <c r="R668" s="2" t="inlineStr"/>
    </row>
    <row r="669" ht="15" customHeight="1">
      <c r="A669" t="inlineStr">
        <is>
          <t>A 30155-2023</t>
        </is>
      </c>
      <c r="B669" s="1" t="n">
        <v>45110</v>
      </c>
      <c r="C669" s="1" t="n">
        <v>45824</v>
      </c>
      <c r="D669" t="inlineStr">
        <is>
          <t>DALARNAS LÄN</t>
        </is>
      </c>
      <c r="E669" t="inlineStr">
        <is>
          <t>ÄLVDALEN</t>
        </is>
      </c>
      <c r="F669" t="inlineStr">
        <is>
          <t>Allmännings- och besparingsskogar</t>
        </is>
      </c>
      <c r="G669" t="n">
        <v>24.1</v>
      </c>
      <c r="H669" t="n">
        <v>0</v>
      </c>
      <c r="I669" t="n">
        <v>0</v>
      </c>
      <c r="J669" t="n">
        <v>0</v>
      </c>
      <c r="K669" t="n">
        <v>0</v>
      </c>
      <c r="L669" t="n">
        <v>0</v>
      </c>
      <c r="M669" t="n">
        <v>0</v>
      </c>
      <c r="N669" t="n">
        <v>0</v>
      </c>
      <c r="O669" t="n">
        <v>0</v>
      </c>
      <c r="P669" t="n">
        <v>0</v>
      </c>
      <c r="Q669" t="n">
        <v>0</v>
      </c>
      <c r="R669" s="2" t="inlineStr"/>
    </row>
    <row r="670" ht="15" customHeight="1">
      <c r="A670" t="inlineStr">
        <is>
          <t>A 30225-2023</t>
        </is>
      </c>
      <c r="B670" s="1" t="n">
        <v>45110</v>
      </c>
      <c r="C670" s="1" t="n">
        <v>45824</v>
      </c>
      <c r="D670" t="inlineStr">
        <is>
          <t>DALARNAS LÄN</t>
        </is>
      </c>
      <c r="E670" t="inlineStr">
        <is>
          <t>ÄLVDALEN</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30226-2023</t>
        </is>
      </c>
      <c r="B671" s="1" t="n">
        <v>45110</v>
      </c>
      <c r="C671" s="1" t="n">
        <v>45824</v>
      </c>
      <c r="D671" t="inlineStr">
        <is>
          <t>DALARNAS LÄN</t>
        </is>
      </c>
      <c r="E671" t="inlineStr">
        <is>
          <t>ÄLVDALEN</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30519-2023</t>
        </is>
      </c>
      <c r="B672" s="1" t="n">
        <v>45111</v>
      </c>
      <c r="C672" s="1" t="n">
        <v>45824</v>
      </c>
      <c r="D672" t="inlineStr">
        <is>
          <t>DALARNAS LÄN</t>
        </is>
      </c>
      <c r="E672" t="inlineStr">
        <is>
          <t>ÄLVDALEN</t>
        </is>
      </c>
      <c r="F672" t="inlineStr">
        <is>
          <t>Allmännings- och besparingsskogar</t>
        </is>
      </c>
      <c r="G672" t="n">
        <v>39.6</v>
      </c>
      <c r="H672" t="n">
        <v>0</v>
      </c>
      <c r="I672" t="n">
        <v>0</v>
      </c>
      <c r="J672" t="n">
        <v>0</v>
      </c>
      <c r="K672" t="n">
        <v>0</v>
      </c>
      <c r="L672" t="n">
        <v>0</v>
      </c>
      <c r="M672" t="n">
        <v>0</v>
      </c>
      <c r="N672" t="n">
        <v>0</v>
      </c>
      <c r="O672" t="n">
        <v>0</v>
      </c>
      <c r="P672" t="n">
        <v>0</v>
      </c>
      <c r="Q672" t="n">
        <v>0</v>
      </c>
      <c r="R672" s="2" t="inlineStr"/>
    </row>
    <row r="673" ht="15" customHeight="1">
      <c r="A673" t="inlineStr">
        <is>
          <t>A 30742-2023</t>
        </is>
      </c>
      <c r="B673" s="1" t="n">
        <v>45112</v>
      </c>
      <c r="C673" s="1" t="n">
        <v>45824</v>
      </c>
      <c r="D673" t="inlineStr">
        <is>
          <t>DALARNAS LÄN</t>
        </is>
      </c>
      <c r="E673" t="inlineStr">
        <is>
          <t>ÄLVDALEN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32886-2023</t>
        </is>
      </c>
      <c r="B674" s="1" t="n">
        <v>45112</v>
      </c>
      <c r="C674" s="1" t="n">
        <v>45824</v>
      </c>
      <c r="D674" t="inlineStr">
        <is>
          <t>DALARNAS LÄN</t>
        </is>
      </c>
      <c r="E674" t="inlineStr">
        <is>
          <t>ÄLVDALEN</t>
        </is>
      </c>
      <c r="G674" t="n">
        <v>4.9</v>
      </c>
      <c r="H674" t="n">
        <v>0</v>
      </c>
      <c r="I674" t="n">
        <v>0</v>
      </c>
      <c r="J674" t="n">
        <v>0</v>
      </c>
      <c r="K674" t="n">
        <v>0</v>
      </c>
      <c r="L674" t="n">
        <v>0</v>
      </c>
      <c r="M674" t="n">
        <v>0</v>
      </c>
      <c r="N674" t="n">
        <v>0</v>
      </c>
      <c r="O674" t="n">
        <v>0</v>
      </c>
      <c r="P674" t="n">
        <v>0</v>
      </c>
      <c r="Q674" t="n">
        <v>0</v>
      </c>
      <c r="R674" s="2" t="inlineStr"/>
    </row>
    <row r="675" ht="15" customHeight="1">
      <c r="A675" t="inlineStr">
        <is>
          <t>A 30985-2023</t>
        </is>
      </c>
      <c r="B675" s="1" t="n">
        <v>45113</v>
      </c>
      <c r="C675" s="1" t="n">
        <v>45824</v>
      </c>
      <c r="D675" t="inlineStr">
        <is>
          <t>DALARNAS LÄN</t>
        </is>
      </c>
      <c r="E675" t="inlineStr">
        <is>
          <t>ÄLVDALEN</t>
        </is>
      </c>
      <c r="F675" t="inlineStr">
        <is>
          <t>Allmännings- och besparingsskogar</t>
        </is>
      </c>
      <c r="G675" t="n">
        <v>2.9</v>
      </c>
      <c r="H675" t="n">
        <v>0</v>
      </c>
      <c r="I675" t="n">
        <v>0</v>
      </c>
      <c r="J675" t="n">
        <v>0</v>
      </c>
      <c r="K675" t="n">
        <v>0</v>
      </c>
      <c r="L675" t="n">
        <v>0</v>
      </c>
      <c r="M675" t="n">
        <v>0</v>
      </c>
      <c r="N675" t="n">
        <v>0</v>
      </c>
      <c r="O675" t="n">
        <v>0</v>
      </c>
      <c r="P675" t="n">
        <v>0</v>
      </c>
      <c r="Q675" t="n">
        <v>0</v>
      </c>
      <c r="R675" s="2" t="inlineStr"/>
    </row>
    <row r="676" ht="15" customHeight="1">
      <c r="A676" t="inlineStr">
        <is>
          <t>A 30902-2023</t>
        </is>
      </c>
      <c r="B676" s="1" t="n">
        <v>45113</v>
      </c>
      <c r="C676" s="1" t="n">
        <v>45824</v>
      </c>
      <c r="D676" t="inlineStr">
        <is>
          <t>DALARNAS LÄN</t>
        </is>
      </c>
      <c r="E676" t="inlineStr">
        <is>
          <t>ÄLVDALEN</t>
        </is>
      </c>
      <c r="F676" t="inlineStr">
        <is>
          <t>Allmännings- och besparingsskogar</t>
        </is>
      </c>
      <c r="G676" t="n">
        <v>1.9</v>
      </c>
      <c r="H676" t="n">
        <v>0</v>
      </c>
      <c r="I676" t="n">
        <v>0</v>
      </c>
      <c r="J676" t="n">
        <v>0</v>
      </c>
      <c r="K676" t="n">
        <v>0</v>
      </c>
      <c r="L676" t="n">
        <v>0</v>
      </c>
      <c r="M676" t="n">
        <v>0</v>
      </c>
      <c r="N676" t="n">
        <v>0</v>
      </c>
      <c r="O676" t="n">
        <v>0</v>
      </c>
      <c r="P676" t="n">
        <v>0</v>
      </c>
      <c r="Q676" t="n">
        <v>0</v>
      </c>
      <c r="R676" s="2" t="inlineStr"/>
    </row>
    <row r="677" ht="15" customHeight="1">
      <c r="A677" t="inlineStr">
        <is>
          <t>A 30987-2023</t>
        </is>
      </c>
      <c r="B677" s="1" t="n">
        <v>45113</v>
      </c>
      <c r="C677" s="1" t="n">
        <v>45824</v>
      </c>
      <c r="D677" t="inlineStr">
        <is>
          <t>DALARNAS LÄN</t>
        </is>
      </c>
      <c r="E677" t="inlineStr">
        <is>
          <t>ÄLVDALEN</t>
        </is>
      </c>
      <c r="F677" t="inlineStr">
        <is>
          <t>Allmännings- och besparingsskogar</t>
        </is>
      </c>
      <c r="G677" t="n">
        <v>3.8</v>
      </c>
      <c r="H677" t="n">
        <v>0</v>
      </c>
      <c r="I677" t="n">
        <v>0</v>
      </c>
      <c r="J677" t="n">
        <v>0</v>
      </c>
      <c r="K677" t="n">
        <v>0</v>
      </c>
      <c r="L677" t="n">
        <v>0</v>
      </c>
      <c r="M677" t="n">
        <v>0</v>
      </c>
      <c r="N677" t="n">
        <v>0</v>
      </c>
      <c r="O677" t="n">
        <v>0</v>
      </c>
      <c r="P677" t="n">
        <v>0</v>
      </c>
      <c r="Q677" t="n">
        <v>0</v>
      </c>
      <c r="R677" s="2" t="inlineStr"/>
    </row>
    <row r="678" ht="15" customHeight="1">
      <c r="A678" t="inlineStr">
        <is>
          <t>A 31076-2023</t>
        </is>
      </c>
      <c r="B678" s="1" t="n">
        <v>45113</v>
      </c>
      <c r="C678" s="1" t="n">
        <v>45824</v>
      </c>
      <c r="D678" t="inlineStr">
        <is>
          <t>DALARNAS LÄN</t>
        </is>
      </c>
      <c r="E678" t="inlineStr">
        <is>
          <t>ÄLVDALEN</t>
        </is>
      </c>
      <c r="F678" t="inlineStr">
        <is>
          <t>Bergvik skog väst AB</t>
        </is>
      </c>
      <c r="G678" t="n">
        <v>7.4</v>
      </c>
      <c r="H678" t="n">
        <v>0</v>
      </c>
      <c r="I678" t="n">
        <v>0</v>
      </c>
      <c r="J678" t="n">
        <v>0</v>
      </c>
      <c r="K678" t="n">
        <v>0</v>
      </c>
      <c r="L678" t="n">
        <v>0</v>
      </c>
      <c r="M678" t="n">
        <v>0</v>
      </c>
      <c r="N678" t="n">
        <v>0</v>
      </c>
      <c r="O678" t="n">
        <v>0</v>
      </c>
      <c r="P678" t="n">
        <v>0</v>
      </c>
      <c r="Q678" t="n">
        <v>0</v>
      </c>
      <c r="R678" s="2" t="inlineStr"/>
    </row>
    <row r="679" ht="15" customHeight="1">
      <c r="A679" t="inlineStr">
        <is>
          <t>A 31301-2023</t>
        </is>
      </c>
      <c r="B679" s="1" t="n">
        <v>45114</v>
      </c>
      <c r="C679" s="1" t="n">
        <v>45824</v>
      </c>
      <c r="D679" t="inlineStr">
        <is>
          <t>DALARNAS LÄN</t>
        </is>
      </c>
      <c r="E679" t="inlineStr">
        <is>
          <t>ÄLVDALEN</t>
        </is>
      </c>
      <c r="F679" t="inlineStr">
        <is>
          <t>Allmännings- och besparingsskogar</t>
        </is>
      </c>
      <c r="G679" t="n">
        <v>23.4</v>
      </c>
      <c r="H679" t="n">
        <v>0</v>
      </c>
      <c r="I679" t="n">
        <v>0</v>
      </c>
      <c r="J679" t="n">
        <v>0</v>
      </c>
      <c r="K679" t="n">
        <v>0</v>
      </c>
      <c r="L679" t="n">
        <v>0</v>
      </c>
      <c r="M679" t="n">
        <v>0</v>
      </c>
      <c r="N679" t="n">
        <v>0</v>
      </c>
      <c r="O679" t="n">
        <v>0</v>
      </c>
      <c r="P679" t="n">
        <v>0</v>
      </c>
      <c r="Q679" t="n">
        <v>0</v>
      </c>
      <c r="R679" s="2" t="inlineStr"/>
    </row>
    <row r="680" ht="15" customHeight="1">
      <c r="A680" t="inlineStr">
        <is>
          <t>A 31328-2023</t>
        </is>
      </c>
      <c r="B680" s="1" t="n">
        <v>45114</v>
      </c>
      <c r="C680" s="1" t="n">
        <v>45824</v>
      </c>
      <c r="D680" t="inlineStr">
        <is>
          <t>DALARNAS LÄN</t>
        </is>
      </c>
      <c r="E680" t="inlineStr">
        <is>
          <t>ÄLVDALEN</t>
        </is>
      </c>
      <c r="F680" t="inlineStr">
        <is>
          <t>Övriga statliga verk och myndigheter</t>
        </is>
      </c>
      <c r="G680" t="n">
        <v>0.9</v>
      </c>
      <c r="H680" t="n">
        <v>0</v>
      </c>
      <c r="I680" t="n">
        <v>0</v>
      </c>
      <c r="J680" t="n">
        <v>0</v>
      </c>
      <c r="K680" t="n">
        <v>0</v>
      </c>
      <c r="L680" t="n">
        <v>0</v>
      </c>
      <c r="M680" t="n">
        <v>0</v>
      </c>
      <c r="N680" t="n">
        <v>0</v>
      </c>
      <c r="O680" t="n">
        <v>0</v>
      </c>
      <c r="P680" t="n">
        <v>0</v>
      </c>
      <c r="Q680" t="n">
        <v>0</v>
      </c>
      <c r="R680" s="2" t="inlineStr"/>
    </row>
    <row r="681" ht="15" customHeight="1">
      <c r="A681" t="inlineStr">
        <is>
          <t>A 33099-2023</t>
        </is>
      </c>
      <c r="B681" s="1" t="n">
        <v>45114</v>
      </c>
      <c r="C681" s="1" t="n">
        <v>45824</v>
      </c>
      <c r="D681" t="inlineStr">
        <is>
          <t>DALARNAS LÄN</t>
        </is>
      </c>
      <c r="E681" t="inlineStr">
        <is>
          <t>ÄLVDALEN</t>
        </is>
      </c>
      <c r="G681" t="n">
        <v>3.5</v>
      </c>
      <c r="H681" t="n">
        <v>0</v>
      </c>
      <c r="I681" t="n">
        <v>0</v>
      </c>
      <c r="J681" t="n">
        <v>0</v>
      </c>
      <c r="K681" t="n">
        <v>0</v>
      </c>
      <c r="L681" t="n">
        <v>0</v>
      </c>
      <c r="M681" t="n">
        <v>0</v>
      </c>
      <c r="N681" t="n">
        <v>0</v>
      </c>
      <c r="O681" t="n">
        <v>0</v>
      </c>
      <c r="P681" t="n">
        <v>0</v>
      </c>
      <c r="Q681" t="n">
        <v>0</v>
      </c>
      <c r="R681" s="2" t="inlineStr"/>
    </row>
    <row r="682" ht="15" customHeight="1">
      <c r="A682" t="inlineStr">
        <is>
          <t>A 33107-2023</t>
        </is>
      </c>
      <c r="B682" s="1" t="n">
        <v>45114</v>
      </c>
      <c r="C682" s="1" t="n">
        <v>45824</v>
      </c>
      <c r="D682" t="inlineStr">
        <is>
          <t>DALARNAS LÄN</t>
        </is>
      </c>
      <c r="E682" t="inlineStr">
        <is>
          <t>ÄLVDALEN</t>
        </is>
      </c>
      <c r="G682" t="n">
        <v>0.9</v>
      </c>
      <c r="H682" t="n">
        <v>0</v>
      </c>
      <c r="I682" t="n">
        <v>0</v>
      </c>
      <c r="J682" t="n">
        <v>0</v>
      </c>
      <c r="K682" t="n">
        <v>0</v>
      </c>
      <c r="L682" t="n">
        <v>0</v>
      </c>
      <c r="M682" t="n">
        <v>0</v>
      </c>
      <c r="N682" t="n">
        <v>0</v>
      </c>
      <c r="O682" t="n">
        <v>0</v>
      </c>
      <c r="P682" t="n">
        <v>0</v>
      </c>
      <c r="Q682" t="n">
        <v>0</v>
      </c>
      <c r="R682" s="2" t="inlineStr"/>
    </row>
    <row r="683" ht="15" customHeight="1">
      <c r="A683" t="inlineStr">
        <is>
          <t>A 33102-2023</t>
        </is>
      </c>
      <c r="B683" s="1" t="n">
        <v>45114</v>
      </c>
      <c r="C683" s="1" t="n">
        <v>45824</v>
      </c>
      <c r="D683" t="inlineStr">
        <is>
          <t>DALARNAS LÄN</t>
        </is>
      </c>
      <c r="E683" t="inlineStr">
        <is>
          <t>ÄLVDALEN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33109-2023</t>
        </is>
      </c>
      <c r="B684" s="1" t="n">
        <v>45114</v>
      </c>
      <c r="C684" s="1" t="n">
        <v>45824</v>
      </c>
      <c r="D684" t="inlineStr">
        <is>
          <t>DALARNAS LÄN</t>
        </is>
      </c>
      <c r="E684" t="inlineStr">
        <is>
          <t>ÄLVDALEN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31332-2023</t>
        </is>
      </c>
      <c r="B685" s="1" t="n">
        <v>45114</v>
      </c>
      <c r="C685" s="1" t="n">
        <v>45824</v>
      </c>
      <c r="D685" t="inlineStr">
        <is>
          <t>DALARNAS LÄN</t>
        </is>
      </c>
      <c r="E685" t="inlineStr">
        <is>
          <t>ÄLVDALEN</t>
        </is>
      </c>
      <c r="F685" t="inlineStr">
        <is>
          <t>Övriga statliga verk och myndigheter</t>
        </is>
      </c>
      <c r="G685" t="n">
        <v>0.5</v>
      </c>
      <c r="H685" t="n">
        <v>0</v>
      </c>
      <c r="I685" t="n">
        <v>0</v>
      </c>
      <c r="J685" t="n">
        <v>0</v>
      </c>
      <c r="K685" t="n">
        <v>0</v>
      </c>
      <c r="L685" t="n">
        <v>0</v>
      </c>
      <c r="M685" t="n">
        <v>0</v>
      </c>
      <c r="N685" t="n">
        <v>0</v>
      </c>
      <c r="O685" t="n">
        <v>0</v>
      </c>
      <c r="P685" t="n">
        <v>0</v>
      </c>
      <c r="Q685" t="n">
        <v>0</v>
      </c>
      <c r="R685" s="2" t="inlineStr"/>
    </row>
    <row r="686" ht="15" customHeight="1">
      <c r="A686" t="inlineStr">
        <is>
          <t>A 33100-2023</t>
        </is>
      </c>
      <c r="B686" s="1" t="n">
        <v>45114</v>
      </c>
      <c r="C686" s="1" t="n">
        <v>45824</v>
      </c>
      <c r="D686" t="inlineStr">
        <is>
          <t>DALARNAS LÄN</t>
        </is>
      </c>
      <c r="E686" t="inlineStr">
        <is>
          <t>ÄLVDALEN</t>
        </is>
      </c>
      <c r="G686" t="n">
        <v>0.5</v>
      </c>
      <c r="H686" t="n">
        <v>0</v>
      </c>
      <c r="I686" t="n">
        <v>0</v>
      </c>
      <c r="J686" t="n">
        <v>0</v>
      </c>
      <c r="K686" t="n">
        <v>0</v>
      </c>
      <c r="L686" t="n">
        <v>0</v>
      </c>
      <c r="M686" t="n">
        <v>0</v>
      </c>
      <c r="N686" t="n">
        <v>0</v>
      </c>
      <c r="O686" t="n">
        <v>0</v>
      </c>
      <c r="P686" t="n">
        <v>0</v>
      </c>
      <c r="Q686" t="n">
        <v>0</v>
      </c>
      <c r="R686" s="2" t="inlineStr"/>
    </row>
    <row r="687" ht="15" customHeight="1">
      <c r="A687" t="inlineStr">
        <is>
          <t>A 33108-2023</t>
        </is>
      </c>
      <c r="B687" s="1" t="n">
        <v>45114</v>
      </c>
      <c r="C687" s="1" t="n">
        <v>45824</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33104-2023</t>
        </is>
      </c>
      <c r="B688" s="1" t="n">
        <v>45114</v>
      </c>
      <c r="C688" s="1" t="n">
        <v>45824</v>
      </c>
      <c r="D688" t="inlineStr">
        <is>
          <t>DALARNAS LÄN</t>
        </is>
      </c>
      <c r="E688" t="inlineStr">
        <is>
          <t>ÄLVDALEN</t>
        </is>
      </c>
      <c r="G688" t="n">
        <v>9.9</v>
      </c>
      <c r="H688" t="n">
        <v>0</v>
      </c>
      <c r="I688" t="n">
        <v>0</v>
      </c>
      <c r="J688" t="n">
        <v>0</v>
      </c>
      <c r="K688" t="n">
        <v>0</v>
      </c>
      <c r="L688" t="n">
        <v>0</v>
      </c>
      <c r="M688" t="n">
        <v>0</v>
      </c>
      <c r="N688" t="n">
        <v>0</v>
      </c>
      <c r="O688" t="n">
        <v>0</v>
      </c>
      <c r="P688" t="n">
        <v>0</v>
      </c>
      <c r="Q688" t="n">
        <v>0</v>
      </c>
      <c r="R688" s="2" t="inlineStr"/>
    </row>
    <row r="689" ht="15" customHeight="1">
      <c r="A689" t="inlineStr">
        <is>
          <t>A 33110-2023</t>
        </is>
      </c>
      <c r="B689" s="1" t="n">
        <v>45114</v>
      </c>
      <c r="C689" s="1" t="n">
        <v>45824</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33545-2023</t>
        </is>
      </c>
      <c r="B690" s="1" t="n">
        <v>45118</v>
      </c>
      <c r="C690" s="1" t="n">
        <v>45824</v>
      </c>
      <c r="D690" t="inlineStr">
        <is>
          <t>DALARNAS LÄN</t>
        </is>
      </c>
      <c r="E690" t="inlineStr">
        <is>
          <t>ÄLVDALEN</t>
        </is>
      </c>
      <c r="G690" t="n">
        <v>16.2</v>
      </c>
      <c r="H690" t="n">
        <v>0</v>
      </c>
      <c r="I690" t="n">
        <v>0</v>
      </c>
      <c r="J690" t="n">
        <v>0</v>
      </c>
      <c r="K690" t="n">
        <v>0</v>
      </c>
      <c r="L690" t="n">
        <v>0</v>
      </c>
      <c r="M690" t="n">
        <v>0</v>
      </c>
      <c r="N690" t="n">
        <v>0</v>
      </c>
      <c r="O690" t="n">
        <v>0</v>
      </c>
      <c r="P690" t="n">
        <v>0</v>
      </c>
      <c r="Q690" t="n">
        <v>0</v>
      </c>
      <c r="R690" s="2" t="inlineStr"/>
    </row>
    <row r="691" ht="15" customHeight="1">
      <c r="A691" t="inlineStr">
        <is>
          <t>A 32352-2023</t>
        </is>
      </c>
      <c r="B691" s="1" t="n">
        <v>45120</v>
      </c>
      <c r="C691" s="1" t="n">
        <v>45824</v>
      </c>
      <c r="D691" t="inlineStr">
        <is>
          <t>DALARNAS LÄN</t>
        </is>
      </c>
      <c r="E691" t="inlineStr">
        <is>
          <t>ÄLVDALEN</t>
        </is>
      </c>
      <c r="G691" t="n">
        <v>2</v>
      </c>
      <c r="H691" t="n">
        <v>0</v>
      </c>
      <c r="I691" t="n">
        <v>0</v>
      </c>
      <c r="J691" t="n">
        <v>0</v>
      </c>
      <c r="K691" t="n">
        <v>0</v>
      </c>
      <c r="L691" t="n">
        <v>0</v>
      </c>
      <c r="M691" t="n">
        <v>0</v>
      </c>
      <c r="N691" t="n">
        <v>0</v>
      </c>
      <c r="O691" t="n">
        <v>0</v>
      </c>
      <c r="P691" t="n">
        <v>0</v>
      </c>
      <c r="Q691" t="n">
        <v>0</v>
      </c>
      <c r="R691" s="2" t="inlineStr"/>
    </row>
    <row r="692" ht="15" customHeight="1">
      <c r="A692" t="inlineStr">
        <is>
          <t>A 32594-2023</t>
        </is>
      </c>
      <c r="B692" s="1" t="n">
        <v>45121</v>
      </c>
      <c r="C692" s="1" t="n">
        <v>45824</v>
      </c>
      <c r="D692" t="inlineStr">
        <is>
          <t>DALARNAS LÄN</t>
        </is>
      </c>
      <c r="E692" t="inlineStr">
        <is>
          <t>ÄLVDALEN</t>
        </is>
      </c>
      <c r="G692" t="n">
        <v>4</v>
      </c>
      <c r="H692" t="n">
        <v>0</v>
      </c>
      <c r="I692" t="n">
        <v>0</v>
      </c>
      <c r="J692" t="n">
        <v>0</v>
      </c>
      <c r="K692" t="n">
        <v>0</v>
      </c>
      <c r="L692" t="n">
        <v>0</v>
      </c>
      <c r="M692" t="n">
        <v>0</v>
      </c>
      <c r="N692" t="n">
        <v>0</v>
      </c>
      <c r="O692" t="n">
        <v>0</v>
      </c>
      <c r="P692" t="n">
        <v>0</v>
      </c>
      <c r="Q692" t="n">
        <v>0</v>
      </c>
      <c r="R692" s="2" t="inlineStr"/>
    </row>
    <row r="693" ht="15" customHeight="1">
      <c r="A693" t="inlineStr">
        <is>
          <t>A 32622-2023</t>
        </is>
      </c>
      <c r="B693" s="1" t="n">
        <v>45121</v>
      </c>
      <c r="C693" s="1" t="n">
        <v>45824</v>
      </c>
      <c r="D693" t="inlineStr">
        <is>
          <t>DALARNAS LÄN</t>
        </is>
      </c>
      <c r="E693" t="inlineStr">
        <is>
          <t>ÄLVDALEN</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32832-2023</t>
        </is>
      </c>
      <c r="B694" s="1" t="n">
        <v>45124</v>
      </c>
      <c r="C694" s="1" t="n">
        <v>45824</v>
      </c>
      <c r="D694" t="inlineStr">
        <is>
          <t>DALARNAS LÄN</t>
        </is>
      </c>
      <c r="E694" t="inlineStr">
        <is>
          <t>ÄLVDALEN</t>
        </is>
      </c>
      <c r="G694" t="n">
        <v>15.8</v>
      </c>
      <c r="H694" t="n">
        <v>0</v>
      </c>
      <c r="I694" t="n">
        <v>0</v>
      </c>
      <c r="J694" t="n">
        <v>0</v>
      </c>
      <c r="K694" t="n">
        <v>0</v>
      </c>
      <c r="L694" t="n">
        <v>0</v>
      </c>
      <c r="M694" t="n">
        <v>0</v>
      </c>
      <c r="N694" t="n">
        <v>0</v>
      </c>
      <c r="O694" t="n">
        <v>0</v>
      </c>
      <c r="P694" t="n">
        <v>0</v>
      </c>
      <c r="Q694" t="n">
        <v>0</v>
      </c>
      <c r="R694" s="2" t="inlineStr"/>
    </row>
    <row r="695" ht="15" customHeight="1">
      <c r="A695" t="inlineStr">
        <is>
          <t>A 32841-2023</t>
        </is>
      </c>
      <c r="B695" s="1" t="n">
        <v>45124</v>
      </c>
      <c r="C695" s="1" t="n">
        <v>45824</v>
      </c>
      <c r="D695" t="inlineStr">
        <is>
          <t>DALARNAS LÄN</t>
        </is>
      </c>
      <c r="E695" t="inlineStr">
        <is>
          <t>ÄLVDALEN</t>
        </is>
      </c>
      <c r="G695" t="n">
        <v>1.5</v>
      </c>
      <c r="H695" t="n">
        <v>0</v>
      </c>
      <c r="I695" t="n">
        <v>0</v>
      </c>
      <c r="J695" t="n">
        <v>0</v>
      </c>
      <c r="K695" t="n">
        <v>0</v>
      </c>
      <c r="L695" t="n">
        <v>0</v>
      </c>
      <c r="M695" t="n">
        <v>0</v>
      </c>
      <c r="N695" t="n">
        <v>0</v>
      </c>
      <c r="O695" t="n">
        <v>0</v>
      </c>
      <c r="P695" t="n">
        <v>0</v>
      </c>
      <c r="Q695" t="n">
        <v>0</v>
      </c>
      <c r="R695" s="2" t="inlineStr"/>
    </row>
    <row r="696" ht="15" customHeight="1">
      <c r="A696" t="inlineStr">
        <is>
          <t>A 32838-2023</t>
        </is>
      </c>
      <c r="B696" s="1" t="n">
        <v>45124</v>
      </c>
      <c r="C696" s="1" t="n">
        <v>45824</v>
      </c>
      <c r="D696" t="inlineStr">
        <is>
          <t>DALARNAS LÄN</t>
        </is>
      </c>
      <c r="E696" t="inlineStr">
        <is>
          <t>ÄLVDALEN</t>
        </is>
      </c>
      <c r="G696" t="n">
        <v>3.7</v>
      </c>
      <c r="H696" t="n">
        <v>0</v>
      </c>
      <c r="I696" t="n">
        <v>0</v>
      </c>
      <c r="J696" t="n">
        <v>0</v>
      </c>
      <c r="K696" t="n">
        <v>0</v>
      </c>
      <c r="L696" t="n">
        <v>0</v>
      </c>
      <c r="M696" t="n">
        <v>0</v>
      </c>
      <c r="N696" t="n">
        <v>0</v>
      </c>
      <c r="O696" t="n">
        <v>0</v>
      </c>
      <c r="P696" t="n">
        <v>0</v>
      </c>
      <c r="Q696" t="n">
        <v>0</v>
      </c>
      <c r="R696" s="2" t="inlineStr"/>
    </row>
    <row r="697" ht="15" customHeight="1">
      <c r="A697" t="inlineStr">
        <is>
          <t>A 33951-2023</t>
        </is>
      </c>
      <c r="B697" s="1" t="n">
        <v>45124</v>
      </c>
      <c r="C697" s="1" t="n">
        <v>45824</v>
      </c>
      <c r="D697" t="inlineStr">
        <is>
          <t>DALARNAS LÄN</t>
        </is>
      </c>
      <c r="E697" t="inlineStr">
        <is>
          <t>ÄLVDALEN</t>
        </is>
      </c>
      <c r="G697" t="n">
        <v>2.5</v>
      </c>
      <c r="H697" t="n">
        <v>0</v>
      </c>
      <c r="I697" t="n">
        <v>0</v>
      </c>
      <c r="J697" t="n">
        <v>0</v>
      </c>
      <c r="K697" t="n">
        <v>0</v>
      </c>
      <c r="L697" t="n">
        <v>0</v>
      </c>
      <c r="M697" t="n">
        <v>0</v>
      </c>
      <c r="N697" t="n">
        <v>0</v>
      </c>
      <c r="O697" t="n">
        <v>0</v>
      </c>
      <c r="P697" t="n">
        <v>0</v>
      </c>
      <c r="Q697" t="n">
        <v>0</v>
      </c>
      <c r="R697" s="2" t="inlineStr"/>
    </row>
    <row r="698" ht="15" customHeight="1">
      <c r="A698" t="inlineStr">
        <is>
          <t>A 33073-2023</t>
        </is>
      </c>
      <c r="B698" s="1" t="n">
        <v>45126</v>
      </c>
      <c r="C698" s="1" t="n">
        <v>45824</v>
      </c>
      <c r="D698" t="inlineStr">
        <is>
          <t>DALARNAS LÄN</t>
        </is>
      </c>
      <c r="E698" t="inlineStr">
        <is>
          <t>ÄLVDALEN</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33068-2023</t>
        </is>
      </c>
      <c r="B699" s="1" t="n">
        <v>45126</v>
      </c>
      <c r="C699" s="1" t="n">
        <v>45824</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33465-2023</t>
        </is>
      </c>
      <c r="B700" s="1" t="n">
        <v>45131</v>
      </c>
      <c r="C700" s="1" t="n">
        <v>45824</v>
      </c>
      <c r="D700" t="inlineStr">
        <is>
          <t>DALARNAS LÄN</t>
        </is>
      </c>
      <c r="E700" t="inlineStr">
        <is>
          <t>ÄLVDALEN</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33918-2023</t>
        </is>
      </c>
      <c r="B701" s="1" t="n">
        <v>45134</v>
      </c>
      <c r="C701" s="1" t="n">
        <v>45824</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34420-2023</t>
        </is>
      </c>
      <c r="B702" s="1" t="n">
        <v>45139</v>
      </c>
      <c r="C702" s="1" t="n">
        <v>45824</v>
      </c>
      <c r="D702" t="inlineStr">
        <is>
          <t>DALARNAS LÄN</t>
        </is>
      </c>
      <c r="E702" t="inlineStr">
        <is>
          <t>ÄLVDALEN</t>
        </is>
      </c>
      <c r="G702" t="n">
        <v>1.9</v>
      </c>
      <c r="H702" t="n">
        <v>0</v>
      </c>
      <c r="I702" t="n">
        <v>0</v>
      </c>
      <c r="J702" t="n">
        <v>0</v>
      </c>
      <c r="K702" t="n">
        <v>0</v>
      </c>
      <c r="L702" t="n">
        <v>0</v>
      </c>
      <c r="M702" t="n">
        <v>0</v>
      </c>
      <c r="N702" t="n">
        <v>0</v>
      </c>
      <c r="O702" t="n">
        <v>0</v>
      </c>
      <c r="P702" t="n">
        <v>0</v>
      </c>
      <c r="Q702" t="n">
        <v>0</v>
      </c>
      <c r="R702" s="2" t="inlineStr"/>
    </row>
    <row r="703" ht="15" customHeight="1">
      <c r="A703" t="inlineStr">
        <is>
          <t>A 34544-2023</t>
        </is>
      </c>
      <c r="B703" s="1" t="n">
        <v>45140</v>
      </c>
      <c r="C703" s="1" t="n">
        <v>45824</v>
      </c>
      <c r="D703" t="inlineStr">
        <is>
          <t>DALARNAS LÄN</t>
        </is>
      </c>
      <c r="E703" t="inlineStr">
        <is>
          <t>ÄLVDALEN</t>
        </is>
      </c>
      <c r="F703" t="inlineStr">
        <is>
          <t>Övriga statliga verk och myndigheter</t>
        </is>
      </c>
      <c r="G703" t="n">
        <v>19.7</v>
      </c>
      <c r="H703" t="n">
        <v>0</v>
      </c>
      <c r="I703" t="n">
        <v>0</v>
      </c>
      <c r="J703" t="n">
        <v>0</v>
      </c>
      <c r="K703" t="n">
        <v>0</v>
      </c>
      <c r="L703" t="n">
        <v>0</v>
      </c>
      <c r="M703" t="n">
        <v>0</v>
      </c>
      <c r="N703" t="n">
        <v>0</v>
      </c>
      <c r="O703" t="n">
        <v>0</v>
      </c>
      <c r="P703" t="n">
        <v>0</v>
      </c>
      <c r="Q703" t="n">
        <v>0</v>
      </c>
      <c r="R703" s="2" t="inlineStr"/>
    </row>
    <row r="704" ht="15" customHeight="1">
      <c r="A704" t="inlineStr">
        <is>
          <t>A 34835-2023</t>
        </is>
      </c>
      <c r="B704" s="1" t="n">
        <v>45141</v>
      </c>
      <c r="C704" s="1" t="n">
        <v>45824</v>
      </c>
      <c r="D704" t="inlineStr">
        <is>
          <t>DALARNAS LÄN</t>
        </is>
      </c>
      <c r="E704" t="inlineStr">
        <is>
          <t>ÄLVDALEN</t>
        </is>
      </c>
      <c r="G704" t="n">
        <v>3.4</v>
      </c>
      <c r="H704" t="n">
        <v>0</v>
      </c>
      <c r="I704" t="n">
        <v>0</v>
      </c>
      <c r="J704" t="n">
        <v>0</v>
      </c>
      <c r="K704" t="n">
        <v>0</v>
      </c>
      <c r="L704" t="n">
        <v>0</v>
      </c>
      <c r="M704" t="n">
        <v>0</v>
      </c>
      <c r="N704" t="n">
        <v>0</v>
      </c>
      <c r="O704" t="n">
        <v>0</v>
      </c>
      <c r="P704" t="n">
        <v>0</v>
      </c>
      <c r="Q704" t="n">
        <v>0</v>
      </c>
      <c r="R704" s="2" t="inlineStr"/>
    </row>
    <row r="705" ht="15" customHeight="1">
      <c r="A705" t="inlineStr">
        <is>
          <t>A 34837-2023</t>
        </is>
      </c>
      <c r="B705" s="1" t="n">
        <v>45141</v>
      </c>
      <c r="C705" s="1" t="n">
        <v>45824</v>
      </c>
      <c r="D705" t="inlineStr">
        <is>
          <t>DALARNAS LÄN</t>
        </is>
      </c>
      <c r="E705" t="inlineStr">
        <is>
          <t>ÄLVDALEN</t>
        </is>
      </c>
      <c r="G705" t="n">
        <v>0.7</v>
      </c>
      <c r="H705" t="n">
        <v>0</v>
      </c>
      <c r="I705" t="n">
        <v>0</v>
      </c>
      <c r="J705" t="n">
        <v>0</v>
      </c>
      <c r="K705" t="n">
        <v>0</v>
      </c>
      <c r="L705" t="n">
        <v>0</v>
      </c>
      <c r="M705" t="n">
        <v>0</v>
      </c>
      <c r="N705" t="n">
        <v>0</v>
      </c>
      <c r="O705" t="n">
        <v>0</v>
      </c>
      <c r="P705" t="n">
        <v>0</v>
      </c>
      <c r="Q705" t="n">
        <v>0</v>
      </c>
      <c r="R705" s="2" t="inlineStr"/>
    </row>
    <row r="706" ht="15" customHeight="1">
      <c r="A706" t="inlineStr">
        <is>
          <t>A 34836-2023</t>
        </is>
      </c>
      <c r="B706" s="1" t="n">
        <v>45141</v>
      </c>
      <c r="C706" s="1" t="n">
        <v>45824</v>
      </c>
      <c r="D706" t="inlineStr">
        <is>
          <t>DALARNAS LÄN</t>
        </is>
      </c>
      <c r="E706" t="inlineStr">
        <is>
          <t>ÄLVDALEN</t>
        </is>
      </c>
      <c r="G706" t="n">
        <v>8.1</v>
      </c>
      <c r="H706" t="n">
        <v>0</v>
      </c>
      <c r="I706" t="n">
        <v>0</v>
      </c>
      <c r="J706" t="n">
        <v>0</v>
      </c>
      <c r="K706" t="n">
        <v>0</v>
      </c>
      <c r="L706" t="n">
        <v>0</v>
      </c>
      <c r="M706" t="n">
        <v>0</v>
      </c>
      <c r="N706" t="n">
        <v>0</v>
      </c>
      <c r="O706" t="n">
        <v>0</v>
      </c>
      <c r="P706" t="n">
        <v>0</v>
      </c>
      <c r="Q706" t="n">
        <v>0</v>
      </c>
      <c r="R706" s="2" t="inlineStr"/>
    </row>
    <row r="707" ht="15" customHeight="1">
      <c r="A707" t="inlineStr">
        <is>
          <t>A 35161-2023</t>
        </is>
      </c>
      <c r="B707" s="1" t="n">
        <v>45145</v>
      </c>
      <c r="C707" s="1" t="n">
        <v>45824</v>
      </c>
      <c r="D707" t="inlineStr">
        <is>
          <t>DALARNAS LÄN</t>
        </is>
      </c>
      <c r="E707" t="inlineStr">
        <is>
          <t>ÄLVDALEN</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36640-2023</t>
        </is>
      </c>
      <c r="B708" s="1" t="n">
        <v>45153</v>
      </c>
      <c r="C708" s="1" t="n">
        <v>45824</v>
      </c>
      <c r="D708" t="inlineStr">
        <is>
          <t>DALARNAS LÄN</t>
        </is>
      </c>
      <c r="E708" t="inlineStr">
        <is>
          <t>ÄLVDALEN</t>
        </is>
      </c>
      <c r="G708" t="n">
        <v>2.3</v>
      </c>
      <c r="H708" t="n">
        <v>0</v>
      </c>
      <c r="I708" t="n">
        <v>0</v>
      </c>
      <c r="J708" t="n">
        <v>0</v>
      </c>
      <c r="K708" t="n">
        <v>0</v>
      </c>
      <c r="L708" t="n">
        <v>0</v>
      </c>
      <c r="M708" t="n">
        <v>0</v>
      </c>
      <c r="N708" t="n">
        <v>0</v>
      </c>
      <c r="O708" t="n">
        <v>0</v>
      </c>
      <c r="P708" t="n">
        <v>0</v>
      </c>
      <c r="Q708" t="n">
        <v>0</v>
      </c>
      <c r="R708" s="2" t="inlineStr"/>
    </row>
    <row r="709" ht="15" customHeight="1">
      <c r="A709" t="inlineStr">
        <is>
          <t>A 36593-2023</t>
        </is>
      </c>
      <c r="B709" s="1" t="n">
        <v>45153</v>
      </c>
      <c r="C709" s="1" t="n">
        <v>45824</v>
      </c>
      <c r="D709" t="inlineStr">
        <is>
          <t>DALARNAS LÄN</t>
        </is>
      </c>
      <c r="E709" t="inlineStr">
        <is>
          <t>ÄLVDALEN</t>
        </is>
      </c>
      <c r="G709" t="n">
        <v>0.9</v>
      </c>
      <c r="H709" t="n">
        <v>0</v>
      </c>
      <c r="I709" t="n">
        <v>0</v>
      </c>
      <c r="J709" t="n">
        <v>0</v>
      </c>
      <c r="K709" t="n">
        <v>0</v>
      </c>
      <c r="L709" t="n">
        <v>0</v>
      </c>
      <c r="M709" t="n">
        <v>0</v>
      </c>
      <c r="N709" t="n">
        <v>0</v>
      </c>
      <c r="O709" t="n">
        <v>0</v>
      </c>
      <c r="P709" t="n">
        <v>0</v>
      </c>
      <c r="Q709" t="n">
        <v>0</v>
      </c>
      <c r="R709" s="2" t="inlineStr"/>
    </row>
    <row r="710" ht="15" customHeight="1">
      <c r="A710" t="inlineStr">
        <is>
          <t>A 37759-2023</t>
        </is>
      </c>
      <c r="B710" s="1" t="n">
        <v>45159</v>
      </c>
      <c r="C710" s="1" t="n">
        <v>45824</v>
      </c>
      <c r="D710" t="inlineStr">
        <is>
          <t>DALARNAS LÄN</t>
        </is>
      </c>
      <c r="E710" t="inlineStr">
        <is>
          <t>ÄLVDALEN</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37760-2023</t>
        </is>
      </c>
      <c r="B711" s="1" t="n">
        <v>45159</v>
      </c>
      <c r="C711" s="1" t="n">
        <v>45824</v>
      </c>
      <c r="D711" t="inlineStr">
        <is>
          <t>DALARNAS LÄN</t>
        </is>
      </c>
      <c r="E711" t="inlineStr">
        <is>
          <t>ÄLVDALEN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37665-2023</t>
        </is>
      </c>
      <c r="B712" s="1" t="n">
        <v>45159</v>
      </c>
      <c r="C712" s="1" t="n">
        <v>45824</v>
      </c>
      <c r="D712" t="inlineStr">
        <is>
          <t>DALARNAS LÄN</t>
        </is>
      </c>
      <c r="E712" t="inlineStr">
        <is>
          <t>ÄLVDALEN</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37730-2023</t>
        </is>
      </c>
      <c r="B713" s="1" t="n">
        <v>45159</v>
      </c>
      <c r="C713" s="1" t="n">
        <v>45824</v>
      </c>
      <c r="D713" t="inlineStr">
        <is>
          <t>DALARNAS LÄN</t>
        </is>
      </c>
      <c r="E713" t="inlineStr">
        <is>
          <t>ÄLVDALEN</t>
        </is>
      </c>
      <c r="G713" t="n">
        <v>5.4</v>
      </c>
      <c r="H713" t="n">
        <v>0</v>
      </c>
      <c r="I713" t="n">
        <v>0</v>
      </c>
      <c r="J713" t="n">
        <v>0</v>
      </c>
      <c r="K713" t="n">
        <v>0</v>
      </c>
      <c r="L713" t="n">
        <v>0</v>
      </c>
      <c r="M713" t="n">
        <v>0</v>
      </c>
      <c r="N713" t="n">
        <v>0</v>
      </c>
      <c r="O713" t="n">
        <v>0</v>
      </c>
      <c r="P713" t="n">
        <v>0</v>
      </c>
      <c r="Q713" t="n">
        <v>0</v>
      </c>
      <c r="R713" s="2" t="inlineStr"/>
    </row>
    <row r="714" ht="15" customHeight="1">
      <c r="A714" t="inlineStr">
        <is>
          <t>A 40962-2023</t>
        </is>
      </c>
      <c r="B714" s="1" t="n">
        <v>45173</v>
      </c>
      <c r="C714" s="1" t="n">
        <v>45824</v>
      </c>
      <c r="D714" t="inlineStr">
        <is>
          <t>DALARNAS LÄN</t>
        </is>
      </c>
      <c r="E714" t="inlineStr">
        <is>
          <t>ÄLVDALEN</t>
        </is>
      </c>
      <c r="G714" t="n">
        <v>12</v>
      </c>
      <c r="H714" t="n">
        <v>0</v>
      </c>
      <c r="I714" t="n">
        <v>0</v>
      </c>
      <c r="J714" t="n">
        <v>0</v>
      </c>
      <c r="K714" t="n">
        <v>0</v>
      </c>
      <c r="L714" t="n">
        <v>0</v>
      </c>
      <c r="M714" t="n">
        <v>0</v>
      </c>
      <c r="N714" t="n">
        <v>0</v>
      </c>
      <c r="O714" t="n">
        <v>0</v>
      </c>
      <c r="P714" t="n">
        <v>0</v>
      </c>
      <c r="Q714" t="n">
        <v>0</v>
      </c>
      <c r="R714" s="2" t="inlineStr"/>
    </row>
    <row r="715" ht="15" customHeight="1">
      <c r="A715" t="inlineStr">
        <is>
          <t>A 41004-2023</t>
        </is>
      </c>
      <c r="B715" s="1" t="n">
        <v>45173</v>
      </c>
      <c r="C715" s="1" t="n">
        <v>45824</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41103-2023</t>
        </is>
      </c>
      <c r="B716" s="1" t="n">
        <v>45173</v>
      </c>
      <c r="C716" s="1" t="n">
        <v>45824</v>
      </c>
      <c r="D716" t="inlineStr">
        <is>
          <t>DALARNAS LÄN</t>
        </is>
      </c>
      <c r="E716" t="inlineStr">
        <is>
          <t>ÄLVDALEN</t>
        </is>
      </c>
      <c r="F716" t="inlineStr">
        <is>
          <t>Bergvik skog väst AB</t>
        </is>
      </c>
      <c r="G716" t="n">
        <v>4.9</v>
      </c>
      <c r="H716" t="n">
        <v>0</v>
      </c>
      <c r="I716" t="n">
        <v>0</v>
      </c>
      <c r="J716" t="n">
        <v>0</v>
      </c>
      <c r="K716" t="n">
        <v>0</v>
      </c>
      <c r="L716" t="n">
        <v>0</v>
      </c>
      <c r="M716" t="n">
        <v>0</v>
      </c>
      <c r="N716" t="n">
        <v>0</v>
      </c>
      <c r="O716" t="n">
        <v>0</v>
      </c>
      <c r="P716" t="n">
        <v>0</v>
      </c>
      <c r="Q716" t="n">
        <v>0</v>
      </c>
      <c r="R716" s="2" t="inlineStr"/>
    </row>
    <row r="717" ht="15" customHeight="1">
      <c r="A717" t="inlineStr">
        <is>
          <t>A 42332-2023</t>
        </is>
      </c>
      <c r="B717" s="1" t="n">
        <v>45175</v>
      </c>
      <c r="C717" s="1" t="n">
        <v>45824</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42426-2023</t>
        </is>
      </c>
      <c r="B718" s="1" t="n">
        <v>45175</v>
      </c>
      <c r="C718" s="1" t="n">
        <v>45824</v>
      </c>
      <c r="D718" t="inlineStr">
        <is>
          <t>DALARNAS LÄN</t>
        </is>
      </c>
      <c r="E718" t="inlineStr">
        <is>
          <t>ÄLVDALEN</t>
        </is>
      </c>
      <c r="G718" t="n">
        <v>3.6</v>
      </c>
      <c r="H718" t="n">
        <v>0</v>
      </c>
      <c r="I718" t="n">
        <v>0</v>
      </c>
      <c r="J718" t="n">
        <v>0</v>
      </c>
      <c r="K718" t="n">
        <v>0</v>
      </c>
      <c r="L718" t="n">
        <v>0</v>
      </c>
      <c r="M718" t="n">
        <v>0</v>
      </c>
      <c r="N718" t="n">
        <v>0</v>
      </c>
      <c r="O718" t="n">
        <v>0</v>
      </c>
      <c r="P718" t="n">
        <v>0</v>
      </c>
      <c r="Q718" t="n">
        <v>0</v>
      </c>
      <c r="R718" s="2" t="inlineStr"/>
    </row>
    <row r="719" ht="15" customHeight="1">
      <c r="A719" t="inlineStr">
        <is>
          <t>A 41989-2023</t>
        </is>
      </c>
      <c r="B719" s="1" t="n">
        <v>45177</v>
      </c>
      <c r="C719" s="1" t="n">
        <v>45824</v>
      </c>
      <c r="D719" t="inlineStr">
        <is>
          <t>DALARNAS LÄN</t>
        </is>
      </c>
      <c r="E719" t="inlineStr">
        <is>
          <t>ÄLVDALEN</t>
        </is>
      </c>
      <c r="G719" t="n">
        <v>20.1</v>
      </c>
      <c r="H719" t="n">
        <v>0</v>
      </c>
      <c r="I719" t="n">
        <v>0</v>
      </c>
      <c r="J719" t="n">
        <v>0</v>
      </c>
      <c r="K719" t="n">
        <v>0</v>
      </c>
      <c r="L719" t="n">
        <v>0</v>
      </c>
      <c r="M719" t="n">
        <v>0</v>
      </c>
      <c r="N719" t="n">
        <v>0</v>
      </c>
      <c r="O719" t="n">
        <v>0</v>
      </c>
      <c r="P719" t="n">
        <v>0</v>
      </c>
      <c r="Q719" t="n">
        <v>0</v>
      </c>
      <c r="R719" s="2" t="inlineStr"/>
    </row>
    <row r="720" ht="15" customHeight="1">
      <c r="A720" t="inlineStr">
        <is>
          <t>A 42649-2023</t>
        </is>
      </c>
      <c r="B720" s="1" t="n">
        <v>45181</v>
      </c>
      <c r="C720" s="1" t="n">
        <v>45824</v>
      </c>
      <c r="D720" t="inlineStr">
        <is>
          <t>DALARNAS LÄN</t>
        </is>
      </c>
      <c r="E720" t="inlineStr">
        <is>
          <t>ÄLVDALEN</t>
        </is>
      </c>
      <c r="G720" t="n">
        <v>5.3</v>
      </c>
      <c r="H720" t="n">
        <v>0</v>
      </c>
      <c r="I720" t="n">
        <v>0</v>
      </c>
      <c r="J720" t="n">
        <v>0</v>
      </c>
      <c r="K720" t="n">
        <v>0</v>
      </c>
      <c r="L720" t="n">
        <v>0</v>
      </c>
      <c r="M720" t="n">
        <v>0</v>
      </c>
      <c r="N720" t="n">
        <v>0</v>
      </c>
      <c r="O720" t="n">
        <v>0</v>
      </c>
      <c r="P720" t="n">
        <v>0</v>
      </c>
      <c r="Q720" t="n">
        <v>0</v>
      </c>
      <c r="R720" s="2" t="inlineStr"/>
    </row>
    <row r="721" ht="15" customHeight="1">
      <c r="A721" t="inlineStr">
        <is>
          <t>A 45155-2023</t>
        </is>
      </c>
      <c r="B721" s="1" t="n">
        <v>45187</v>
      </c>
      <c r="C721" s="1" t="n">
        <v>45824</v>
      </c>
      <c r="D721" t="inlineStr">
        <is>
          <t>DALARNAS LÄN</t>
        </is>
      </c>
      <c r="E721" t="inlineStr">
        <is>
          <t>ÄLVDALEN</t>
        </is>
      </c>
      <c r="G721" t="n">
        <v>40.1</v>
      </c>
      <c r="H721" t="n">
        <v>0</v>
      </c>
      <c r="I721" t="n">
        <v>0</v>
      </c>
      <c r="J721" t="n">
        <v>0</v>
      </c>
      <c r="K721" t="n">
        <v>0</v>
      </c>
      <c r="L721" t="n">
        <v>0</v>
      </c>
      <c r="M721" t="n">
        <v>0</v>
      </c>
      <c r="N721" t="n">
        <v>0</v>
      </c>
      <c r="O721" t="n">
        <v>0</v>
      </c>
      <c r="P721" t="n">
        <v>0</v>
      </c>
      <c r="Q721" t="n">
        <v>0</v>
      </c>
      <c r="R721" s="2" t="inlineStr"/>
    </row>
    <row r="722" ht="15" customHeight="1">
      <c r="A722" t="inlineStr">
        <is>
          <t>A 46559-2023</t>
        </is>
      </c>
      <c r="B722" s="1" t="n">
        <v>45187</v>
      </c>
      <c r="C722" s="1" t="n">
        <v>45824</v>
      </c>
      <c r="D722" t="inlineStr">
        <is>
          <t>DALARNAS LÄN</t>
        </is>
      </c>
      <c r="E722" t="inlineStr">
        <is>
          <t>ÄLVDALEN</t>
        </is>
      </c>
      <c r="G722" t="n">
        <v>9.6</v>
      </c>
      <c r="H722" t="n">
        <v>0</v>
      </c>
      <c r="I722" t="n">
        <v>0</v>
      </c>
      <c r="J722" t="n">
        <v>0</v>
      </c>
      <c r="K722" t="n">
        <v>0</v>
      </c>
      <c r="L722" t="n">
        <v>0</v>
      </c>
      <c r="M722" t="n">
        <v>0</v>
      </c>
      <c r="N722" t="n">
        <v>0</v>
      </c>
      <c r="O722" t="n">
        <v>0</v>
      </c>
      <c r="P722" t="n">
        <v>0</v>
      </c>
      <c r="Q722" t="n">
        <v>0</v>
      </c>
      <c r="R722" s="2" t="inlineStr"/>
    </row>
    <row r="723" ht="15" customHeight="1">
      <c r="A723" t="inlineStr">
        <is>
          <t>A 44077-2023</t>
        </is>
      </c>
      <c r="B723" s="1" t="n">
        <v>45188</v>
      </c>
      <c r="C723" s="1" t="n">
        <v>45824</v>
      </c>
      <c r="D723" t="inlineStr">
        <is>
          <t>DALARNAS LÄN</t>
        </is>
      </c>
      <c r="E723" t="inlineStr">
        <is>
          <t>ÄLVDALEN</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44253-2023</t>
        </is>
      </c>
      <c r="B724" s="1" t="n">
        <v>45188</v>
      </c>
      <c r="C724" s="1" t="n">
        <v>45824</v>
      </c>
      <c r="D724" t="inlineStr">
        <is>
          <t>DALARNAS LÄN</t>
        </is>
      </c>
      <c r="E724" t="inlineStr">
        <is>
          <t>ÄLVDALEN</t>
        </is>
      </c>
      <c r="F724" t="inlineStr">
        <is>
          <t>Allmännings- och besparingsskogar</t>
        </is>
      </c>
      <c r="G724" t="n">
        <v>1.7</v>
      </c>
      <c r="H724" t="n">
        <v>0</v>
      </c>
      <c r="I724" t="n">
        <v>0</v>
      </c>
      <c r="J724" t="n">
        <v>0</v>
      </c>
      <c r="K724" t="n">
        <v>0</v>
      </c>
      <c r="L724" t="n">
        <v>0</v>
      </c>
      <c r="M724" t="n">
        <v>0</v>
      </c>
      <c r="N724" t="n">
        <v>0</v>
      </c>
      <c r="O724" t="n">
        <v>0</v>
      </c>
      <c r="P724" t="n">
        <v>0</v>
      </c>
      <c r="Q724" t="n">
        <v>0</v>
      </c>
      <c r="R724" s="2" t="inlineStr"/>
    </row>
    <row r="725" ht="15" customHeight="1">
      <c r="A725" t="inlineStr">
        <is>
          <t>A 44605-2023</t>
        </is>
      </c>
      <c r="B725" s="1" t="n">
        <v>45189</v>
      </c>
      <c r="C725" s="1" t="n">
        <v>45824</v>
      </c>
      <c r="D725" t="inlineStr">
        <is>
          <t>DALARNAS LÄN</t>
        </is>
      </c>
      <c r="E725" t="inlineStr">
        <is>
          <t>ÄLVDALEN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45122-2023</t>
        </is>
      </c>
      <c r="B726" s="1" t="n">
        <v>45191</v>
      </c>
      <c r="C726" s="1" t="n">
        <v>45824</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45540-2023</t>
        </is>
      </c>
      <c r="B727" s="1" t="n">
        <v>45194</v>
      </c>
      <c r="C727" s="1" t="n">
        <v>45824</v>
      </c>
      <c r="D727" t="inlineStr">
        <is>
          <t>DALARNAS LÄN</t>
        </is>
      </c>
      <c r="E727" t="inlineStr">
        <is>
          <t>ÄLVDALEN</t>
        </is>
      </c>
      <c r="G727" t="n">
        <v>14.5</v>
      </c>
      <c r="H727" t="n">
        <v>0</v>
      </c>
      <c r="I727" t="n">
        <v>0</v>
      </c>
      <c r="J727" t="n">
        <v>0</v>
      </c>
      <c r="K727" t="n">
        <v>0</v>
      </c>
      <c r="L727" t="n">
        <v>0</v>
      </c>
      <c r="M727" t="n">
        <v>0</v>
      </c>
      <c r="N727" t="n">
        <v>0</v>
      </c>
      <c r="O727" t="n">
        <v>0</v>
      </c>
      <c r="P727" t="n">
        <v>0</v>
      </c>
      <c r="Q727" t="n">
        <v>0</v>
      </c>
      <c r="R727" s="2" t="inlineStr"/>
    </row>
    <row r="728" ht="15" customHeight="1">
      <c r="A728" t="inlineStr">
        <is>
          <t>A 45544-2023</t>
        </is>
      </c>
      <c r="B728" s="1" t="n">
        <v>45194</v>
      </c>
      <c r="C728" s="1" t="n">
        <v>45824</v>
      </c>
      <c r="D728" t="inlineStr">
        <is>
          <t>DALARNAS LÄN</t>
        </is>
      </c>
      <c r="E728" t="inlineStr">
        <is>
          <t>ÄLVDALEN</t>
        </is>
      </c>
      <c r="F728" t="inlineStr">
        <is>
          <t>Allmännings- och besparingsskogar</t>
        </is>
      </c>
      <c r="G728" t="n">
        <v>9.6</v>
      </c>
      <c r="H728" t="n">
        <v>0</v>
      </c>
      <c r="I728" t="n">
        <v>0</v>
      </c>
      <c r="J728" t="n">
        <v>0</v>
      </c>
      <c r="K728" t="n">
        <v>0</v>
      </c>
      <c r="L728" t="n">
        <v>0</v>
      </c>
      <c r="M728" t="n">
        <v>0</v>
      </c>
      <c r="N728" t="n">
        <v>0</v>
      </c>
      <c r="O728" t="n">
        <v>0</v>
      </c>
      <c r="P728" t="n">
        <v>0</v>
      </c>
      <c r="Q728" t="n">
        <v>0</v>
      </c>
      <c r="R728" s="2" t="inlineStr"/>
    </row>
    <row r="729" ht="15" customHeight="1">
      <c r="A729" t="inlineStr">
        <is>
          <t>A 45898-2023</t>
        </is>
      </c>
      <c r="B729" s="1" t="n">
        <v>45195</v>
      </c>
      <c r="C729" s="1" t="n">
        <v>45824</v>
      </c>
      <c r="D729" t="inlineStr">
        <is>
          <t>DALARNAS LÄN</t>
        </is>
      </c>
      <c r="E729" t="inlineStr">
        <is>
          <t>ÄLVDALEN</t>
        </is>
      </c>
      <c r="G729" t="n">
        <v>3.6</v>
      </c>
      <c r="H729" t="n">
        <v>0</v>
      </c>
      <c r="I729" t="n">
        <v>0</v>
      </c>
      <c r="J729" t="n">
        <v>0</v>
      </c>
      <c r="K729" t="n">
        <v>0</v>
      </c>
      <c r="L729" t="n">
        <v>0</v>
      </c>
      <c r="M729" t="n">
        <v>0</v>
      </c>
      <c r="N729" t="n">
        <v>0</v>
      </c>
      <c r="O729" t="n">
        <v>0</v>
      </c>
      <c r="P729" t="n">
        <v>0</v>
      </c>
      <c r="Q729" t="n">
        <v>0</v>
      </c>
      <c r="R729" s="2" t="inlineStr"/>
    </row>
    <row r="730" ht="15" customHeight="1">
      <c r="A730" t="inlineStr">
        <is>
          <t>A 45859-2023</t>
        </is>
      </c>
      <c r="B730" s="1" t="n">
        <v>45195</v>
      </c>
      <c r="C730" s="1" t="n">
        <v>45824</v>
      </c>
      <c r="D730" t="inlineStr">
        <is>
          <t>DALARNAS LÄN</t>
        </is>
      </c>
      <c r="E730" t="inlineStr">
        <is>
          <t>ÄLVDALEN</t>
        </is>
      </c>
      <c r="G730" t="n">
        <v>1.3</v>
      </c>
      <c r="H730" t="n">
        <v>0</v>
      </c>
      <c r="I730" t="n">
        <v>0</v>
      </c>
      <c r="J730" t="n">
        <v>0</v>
      </c>
      <c r="K730" t="n">
        <v>0</v>
      </c>
      <c r="L730" t="n">
        <v>0</v>
      </c>
      <c r="M730" t="n">
        <v>0</v>
      </c>
      <c r="N730" t="n">
        <v>0</v>
      </c>
      <c r="O730" t="n">
        <v>0</v>
      </c>
      <c r="P730" t="n">
        <v>0</v>
      </c>
      <c r="Q730" t="n">
        <v>0</v>
      </c>
      <c r="R730" s="2" t="inlineStr"/>
    </row>
    <row r="731" ht="15" customHeight="1">
      <c r="A731" t="inlineStr">
        <is>
          <t>A 45894-2023</t>
        </is>
      </c>
      <c r="B731" s="1" t="n">
        <v>45195</v>
      </c>
      <c r="C731" s="1" t="n">
        <v>45824</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46011-2023</t>
        </is>
      </c>
      <c r="B732" s="1" t="n">
        <v>45196</v>
      </c>
      <c r="C732" s="1" t="n">
        <v>45824</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46322-2023</t>
        </is>
      </c>
      <c r="B733" s="1" t="n">
        <v>45197</v>
      </c>
      <c r="C733" s="1" t="n">
        <v>45824</v>
      </c>
      <c r="D733" t="inlineStr">
        <is>
          <t>DALARNAS LÄN</t>
        </is>
      </c>
      <c r="E733" t="inlineStr">
        <is>
          <t>ÄLVDALEN</t>
        </is>
      </c>
      <c r="G733" t="n">
        <v>1.4</v>
      </c>
      <c r="H733" t="n">
        <v>0</v>
      </c>
      <c r="I733" t="n">
        <v>0</v>
      </c>
      <c r="J733" t="n">
        <v>0</v>
      </c>
      <c r="K733" t="n">
        <v>0</v>
      </c>
      <c r="L733" t="n">
        <v>0</v>
      </c>
      <c r="M733" t="n">
        <v>0</v>
      </c>
      <c r="N733" t="n">
        <v>0</v>
      </c>
      <c r="O733" t="n">
        <v>0</v>
      </c>
      <c r="P733" t="n">
        <v>0</v>
      </c>
      <c r="Q733" t="n">
        <v>0</v>
      </c>
      <c r="R733" s="2" t="inlineStr"/>
    </row>
    <row r="734" ht="15" customHeight="1">
      <c r="A734" t="inlineStr">
        <is>
          <t>A 46329-2023</t>
        </is>
      </c>
      <c r="B734" s="1" t="n">
        <v>45197</v>
      </c>
      <c r="C734" s="1" t="n">
        <v>45824</v>
      </c>
      <c r="D734" t="inlineStr">
        <is>
          <t>DALARNAS LÄN</t>
        </is>
      </c>
      <c r="E734" t="inlineStr">
        <is>
          <t>ÄLVDALEN</t>
        </is>
      </c>
      <c r="G734" t="n">
        <v>2.8</v>
      </c>
      <c r="H734" t="n">
        <v>0</v>
      </c>
      <c r="I734" t="n">
        <v>0</v>
      </c>
      <c r="J734" t="n">
        <v>0</v>
      </c>
      <c r="K734" t="n">
        <v>0</v>
      </c>
      <c r="L734" t="n">
        <v>0</v>
      </c>
      <c r="M734" t="n">
        <v>0</v>
      </c>
      <c r="N734" t="n">
        <v>0</v>
      </c>
      <c r="O734" t="n">
        <v>0</v>
      </c>
      <c r="P734" t="n">
        <v>0</v>
      </c>
      <c r="Q734" t="n">
        <v>0</v>
      </c>
      <c r="R734" s="2" t="inlineStr"/>
    </row>
    <row r="735" ht="15" customHeight="1">
      <c r="A735" t="inlineStr">
        <is>
          <t>A 47064-2023</t>
        </is>
      </c>
      <c r="B735" s="1" t="n">
        <v>45201</v>
      </c>
      <c r="C735" s="1" t="n">
        <v>45824</v>
      </c>
      <c r="D735" t="inlineStr">
        <is>
          <t>DALARNAS LÄN</t>
        </is>
      </c>
      <c r="E735" t="inlineStr">
        <is>
          <t>ÄLVDALEN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47078-2023</t>
        </is>
      </c>
      <c r="B736" s="1" t="n">
        <v>45201</v>
      </c>
      <c r="C736" s="1" t="n">
        <v>45824</v>
      </c>
      <c r="D736" t="inlineStr">
        <is>
          <t>DALARNAS LÄN</t>
        </is>
      </c>
      <c r="E736" t="inlineStr">
        <is>
          <t>ÄLVDALEN</t>
        </is>
      </c>
      <c r="F736" t="inlineStr">
        <is>
          <t>Bergvik skog väst AB</t>
        </is>
      </c>
      <c r="G736" t="n">
        <v>6.6</v>
      </c>
      <c r="H736" t="n">
        <v>0</v>
      </c>
      <c r="I736" t="n">
        <v>0</v>
      </c>
      <c r="J736" t="n">
        <v>0</v>
      </c>
      <c r="K736" t="n">
        <v>0</v>
      </c>
      <c r="L736" t="n">
        <v>0</v>
      </c>
      <c r="M736" t="n">
        <v>0</v>
      </c>
      <c r="N736" t="n">
        <v>0</v>
      </c>
      <c r="O736" t="n">
        <v>0</v>
      </c>
      <c r="P736" t="n">
        <v>0</v>
      </c>
      <c r="Q736" t="n">
        <v>0</v>
      </c>
      <c r="R736" s="2" t="inlineStr"/>
    </row>
    <row r="737" ht="15" customHeight="1">
      <c r="A737" t="inlineStr">
        <is>
          <t>A 47081-2023</t>
        </is>
      </c>
      <c r="B737" s="1" t="n">
        <v>45201</v>
      </c>
      <c r="C737" s="1" t="n">
        <v>45824</v>
      </c>
      <c r="D737" t="inlineStr">
        <is>
          <t>DALARNAS LÄN</t>
        </is>
      </c>
      <c r="E737" t="inlineStr">
        <is>
          <t>ÄLVDALEN</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47085-2023</t>
        </is>
      </c>
      <c r="B738" s="1" t="n">
        <v>45201</v>
      </c>
      <c r="C738" s="1" t="n">
        <v>45824</v>
      </c>
      <c r="D738" t="inlineStr">
        <is>
          <t>DALARNAS LÄN</t>
        </is>
      </c>
      <c r="E738" t="inlineStr">
        <is>
          <t>ÄLVDALEN</t>
        </is>
      </c>
      <c r="G738" t="n">
        <v>7.2</v>
      </c>
      <c r="H738" t="n">
        <v>0</v>
      </c>
      <c r="I738" t="n">
        <v>0</v>
      </c>
      <c r="J738" t="n">
        <v>0</v>
      </c>
      <c r="K738" t="n">
        <v>0</v>
      </c>
      <c r="L738" t="n">
        <v>0</v>
      </c>
      <c r="M738" t="n">
        <v>0</v>
      </c>
      <c r="N738" t="n">
        <v>0</v>
      </c>
      <c r="O738" t="n">
        <v>0</v>
      </c>
      <c r="P738" t="n">
        <v>0</v>
      </c>
      <c r="Q738" t="n">
        <v>0</v>
      </c>
      <c r="R738" s="2" t="inlineStr"/>
    </row>
    <row r="739" ht="15" customHeight="1">
      <c r="A739" t="inlineStr">
        <is>
          <t>A 47054-2023</t>
        </is>
      </c>
      <c r="B739" s="1" t="n">
        <v>45201</v>
      </c>
      <c r="C739" s="1" t="n">
        <v>45824</v>
      </c>
      <c r="D739" t="inlineStr">
        <is>
          <t>DALARNAS LÄN</t>
        </is>
      </c>
      <c r="E739" t="inlineStr">
        <is>
          <t>ÄLVDALEN</t>
        </is>
      </c>
      <c r="G739" t="n">
        <v>1.8</v>
      </c>
      <c r="H739" t="n">
        <v>0</v>
      </c>
      <c r="I739" t="n">
        <v>0</v>
      </c>
      <c r="J739" t="n">
        <v>0</v>
      </c>
      <c r="K739" t="n">
        <v>0</v>
      </c>
      <c r="L739" t="n">
        <v>0</v>
      </c>
      <c r="M739" t="n">
        <v>0</v>
      </c>
      <c r="N739" t="n">
        <v>0</v>
      </c>
      <c r="O739" t="n">
        <v>0</v>
      </c>
      <c r="P739" t="n">
        <v>0</v>
      </c>
      <c r="Q739" t="n">
        <v>0</v>
      </c>
      <c r="R739" s="2" t="inlineStr"/>
    </row>
    <row r="740" ht="15" customHeight="1">
      <c r="A740" t="inlineStr">
        <is>
          <t>A 47071-2023</t>
        </is>
      </c>
      <c r="B740" s="1" t="n">
        <v>45201</v>
      </c>
      <c r="C740" s="1" t="n">
        <v>45824</v>
      </c>
      <c r="D740" t="inlineStr">
        <is>
          <t>DALARNAS LÄN</t>
        </is>
      </c>
      <c r="E740" t="inlineStr">
        <is>
          <t>ÄLVDALEN</t>
        </is>
      </c>
      <c r="F740" t="inlineStr">
        <is>
          <t>Bergvik skog väst AB</t>
        </is>
      </c>
      <c r="G740" t="n">
        <v>2.6</v>
      </c>
      <c r="H740" t="n">
        <v>0</v>
      </c>
      <c r="I740" t="n">
        <v>0</v>
      </c>
      <c r="J740" t="n">
        <v>0</v>
      </c>
      <c r="K740" t="n">
        <v>0</v>
      </c>
      <c r="L740" t="n">
        <v>0</v>
      </c>
      <c r="M740" t="n">
        <v>0</v>
      </c>
      <c r="N740" t="n">
        <v>0</v>
      </c>
      <c r="O740" t="n">
        <v>0</v>
      </c>
      <c r="P740" t="n">
        <v>0</v>
      </c>
      <c r="Q740" t="n">
        <v>0</v>
      </c>
      <c r="R740" s="2" t="inlineStr"/>
    </row>
    <row r="741" ht="15" customHeight="1">
      <c r="A741" t="inlineStr">
        <is>
          <t>A 47873-2023</t>
        </is>
      </c>
      <c r="B741" s="1" t="n">
        <v>45204</v>
      </c>
      <c r="C741" s="1" t="n">
        <v>45824</v>
      </c>
      <c r="D741" t="inlineStr">
        <is>
          <t>DALARNAS LÄN</t>
        </is>
      </c>
      <c r="E741" t="inlineStr">
        <is>
          <t>ÄLVDALEN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47877-2023</t>
        </is>
      </c>
      <c r="B742" s="1" t="n">
        <v>45204</v>
      </c>
      <c r="C742" s="1" t="n">
        <v>45824</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47869-2023</t>
        </is>
      </c>
      <c r="B743" s="1" t="n">
        <v>45204</v>
      </c>
      <c r="C743" s="1" t="n">
        <v>45824</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48652-2023</t>
        </is>
      </c>
      <c r="B744" s="1" t="n">
        <v>45208</v>
      </c>
      <c r="C744" s="1" t="n">
        <v>45824</v>
      </c>
      <c r="D744" t="inlineStr">
        <is>
          <t>DALARNAS LÄN</t>
        </is>
      </c>
      <c r="E744" t="inlineStr">
        <is>
          <t>ÄLVDALEN</t>
        </is>
      </c>
      <c r="G744" t="n">
        <v>15</v>
      </c>
      <c r="H744" t="n">
        <v>0</v>
      </c>
      <c r="I744" t="n">
        <v>0</v>
      </c>
      <c r="J744" t="n">
        <v>0</v>
      </c>
      <c r="K744" t="n">
        <v>0</v>
      </c>
      <c r="L744" t="n">
        <v>0</v>
      </c>
      <c r="M744" t="n">
        <v>0</v>
      </c>
      <c r="N744" t="n">
        <v>0</v>
      </c>
      <c r="O744" t="n">
        <v>0</v>
      </c>
      <c r="P744" t="n">
        <v>0</v>
      </c>
      <c r="Q744" t="n">
        <v>0</v>
      </c>
      <c r="R744" s="2" t="inlineStr"/>
    </row>
    <row r="745" ht="15" customHeight="1">
      <c r="A745" t="inlineStr">
        <is>
          <t>A 48951-2023</t>
        </is>
      </c>
      <c r="B745" s="1" t="n">
        <v>45209</v>
      </c>
      <c r="C745" s="1" t="n">
        <v>45824</v>
      </c>
      <c r="D745" t="inlineStr">
        <is>
          <t>DALARNAS LÄN</t>
        </is>
      </c>
      <c r="E745" t="inlineStr">
        <is>
          <t>ÄLVDALEN</t>
        </is>
      </c>
      <c r="G745" t="n">
        <v>1.6</v>
      </c>
      <c r="H745" t="n">
        <v>0</v>
      </c>
      <c r="I745" t="n">
        <v>0</v>
      </c>
      <c r="J745" t="n">
        <v>0</v>
      </c>
      <c r="K745" t="n">
        <v>0</v>
      </c>
      <c r="L745" t="n">
        <v>0</v>
      </c>
      <c r="M745" t="n">
        <v>0</v>
      </c>
      <c r="N745" t="n">
        <v>0</v>
      </c>
      <c r="O745" t="n">
        <v>0</v>
      </c>
      <c r="P745" t="n">
        <v>0</v>
      </c>
      <c r="Q745" t="n">
        <v>0</v>
      </c>
      <c r="R745" s="2" t="inlineStr"/>
    </row>
    <row r="746" ht="15" customHeight="1">
      <c r="A746" t="inlineStr">
        <is>
          <t>A 48954-2023</t>
        </is>
      </c>
      <c r="B746" s="1" t="n">
        <v>45209</v>
      </c>
      <c r="C746" s="1" t="n">
        <v>45824</v>
      </c>
      <c r="D746" t="inlineStr">
        <is>
          <t>DALARNAS LÄN</t>
        </is>
      </c>
      <c r="E746" t="inlineStr">
        <is>
          <t>ÄLVDALEN</t>
        </is>
      </c>
      <c r="G746" t="n">
        <v>7</v>
      </c>
      <c r="H746" t="n">
        <v>0</v>
      </c>
      <c r="I746" t="n">
        <v>0</v>
      </c>
      <c r="J746" t="n">
        <v>0</v>
      </c>
      <c r="K746" t="n">
        <v>0</v>
      </c>
      <c r="L746" t="n">
        <v>0</v>
      </c>
      <c r="M746" t="n">
        <v>0</v>
      </c>
      <c r="N746" t="n">
        <v>0</v>
      </c>
      <c r="O746" t="n">
        <v>0</v>
      </c>
      <c r="P746" t="n">
        <v>0</v>
      </c>
      <c r="Q746" t="n">
        <v>0</v>
      </c>
      <c r="R746" s="2" t="inlineStr"/>
    </row>
    <row r="747" ht="15" customHeight="1">
      <c r="A747" t="inlineStr">
        <is>
          <t>A 49081-2023</t>
        </is>
      </c>
      <c r="B747" s="1" t="n">
        <v>45210</v>
      </c>
      <c r="C747" s="1" t="n">
        <v>45824</v>
      </c>
      <c r="D747" t="inlineStr">
        <is>
          <t>DALARNAS LÄN</t>
        </is>
      </c>
      <c r="E747" t="inlineStr">
        <is>
          <t>ÄLVDALEN</t>
        </is>
      </c>
      <c r="G747" t="n">
        <v>16.3</v>
      </c>
      <c r="H747" t="n">
        <v>0</v>
      </c>
      <c r="I747" t="n">
        <v>0</v>
      </c>
      <c r="J747" t="n">
        <v>0</v>
      </c>
      <c r="K747" t="n">
        <v>0</v>
      </c>
      <c r="L747" t="n">
        <v>0</v>
      </c>
      <c r="M747" t="n">
        <v>0</v>
      </c>
      <c r="N747" t="n">
        <v>0</v>
      </c>
      <c r="O747" t="n">
        <v>0</v>
      </c>
      <c r="P747" t="n">
        <v>0</v>
      </c>
      <c r="Q747" t="n">
        <v>0</v>
      </c>
      <c r="R747" s="2" t="inlineStr"/>
    </row>
    <row r="748" ht="15" customHeight="1">
      <c r="A748" t="inlineStr">
        <is>
          <t>A 49063-2023</t>
        </is>
      </c>
      <c r="B748" s="1" t="n">
        <v>45210</v>
      </c>
      <c r="C748" s="1" t="n">
        <v>45824</v>
      </c>
      <c r="D748" t="inlineStr">
        <is>
          <t>DALARNAS LÄN</t>
        </is>
      </c>
      <c r="E748" t="inlineStr">
        <is>
          <t>ÄLVDALEN</t>
        </is>
      </c>
      <c r="G748" t="n">
        <v>4.1</v>
      </c>
      <c r="H748" t="n">
        <v>0</v>
      </c>
      <c r="I748" t="n">
        <v>0</v>
      </c>
      <c r="J748" t="n">
        <v>0</v>
      </c>
      <c r="K748" t="n">
        <v>0</v>
      </c>
      <c r="L748" t="n">
        <v>0</v>
      </c>
      <c r="M748" t="n">
        <v>0</v>
      </c>
      <c r="N748" t="n">
        <v>0</v>
      </c>
      <c r="O748" t="n">
        <v>0</v>
      </c>
      <c r="P748" t="n">
        <v>0</v>
      </c>
      <c r="Q748" t="n">
        <v>0</v>
      </c>
      <c r="R748" s="2" t="inlineStr"/>
    </row>
    <row r="749" ht="15" customHeight="1">
      <c r="A749" t="inlineStr">
        <is>
          <t>A 49137-2023</t>
        </is>
      </c>
      <c r="B749" s="1" t="n">
        <v>45210</v>
      </c>
      <c r="C749" s="1" t="n">
        <v>45824</v>
      </c>
      <c r="D749" t="inlineStr">
        <is>
          <t>DALARNAS LÄN</t>
        </is>
      </c>
      <c r="E749" t="inlineStr">
        <is>
          <t>ÄLVDALEN</t>
        </is>
      </c>
      <c r="F749" t="inlineStr">
        <is>
          <t>Allmännings- och besparingsskogar</t>
        </is>
      </c>
      <c r="G749" t="n">
        <v>1.9</v>
      </c>
      <c r="H749" t="n">
        <v>0</v>
      </c>
      <c r="I749" t="n">
        <v>0</v>
      </c>
      <c r="J749" t="n">
        <v>0</v>
      </c>
      <c r="K749" t="n">
        <v>0</v>
      </c>
      <c r="L749" t="n">
        <v>0</v>
      </c>
      <c r="M749" t="n">
        <v>0</v>
      </c>
      <c r="N749" t="n">
        <v>0</v>
      </c>
      <c r="O749" t="n">
        <v>0</v>
      </c>
      <c r="P749" t="n">
        <v>0</v>
      </c>
      <c r="Q749" t="n">
        <v>0</v>
      </c>
      <c r="R749" s="2" t="inlineStr"/>
    </row>
    <row r="750" ht="15" customHeight="1">
      <c r="A750" t="inlineStr">
        <is>
          <t>A 49236-2023</t>
        </is>
      </c>
      <c r="B750" s="1" t="n">
        <v>45210</v>
      </c>
      <c r="C750" s="1" t="n">
        <v>45824</v>
      </c>
      <c r="D750" t="inlineStr">
        <is>
          <t>DALARNAS LÄN</t>
        </is>
      </c>
      <c r="E750" t="inlineStr">
        <is>
          <t>ÄLVDALEN</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49203-2023</t>
        </is>
      </c>
      <c r="B751" s="1" t="n">
        <v>45210</v>
      </c>
      <c r="C751" s="1" t="n">
        <v>45824</v>
      </c>
      <c r="D751" t="inlineStr">
        <is>
          <t>DALARNAS LÄN</t>
        </is>
      </c>
      <c r="E751" t="inlineStr">
        <is>
          <t>ÄLVDALEN</t>
        </is>
      </c>
      <c r="F751" t="inlineStr">
        <is>
          <t>Bergvik skog väst AB</t>
        </is>
      </c>
      <c r="G751" t="n">
        <v>18.2</v>
      </c>
      <c r="H751" t="n">
        <v>0</v>
      </c>
      <c r="I751" t="n">
        <v>0</v>
      </c>
      <c r="J751" t="n">
        <v>0</v>
      </c>
      <c r="K751" t="n">
        <v>0</v>
      </c>
      <c r="L751" t="n">
        <v>0</v>
      </c>
      <c r="M751" t="n">
        <v>0</v>
      </c>
      <c r="N751" t="n">
        <v>0</v>
      </c>
      <c r="O751" t="n">
        <v>0</v>
      </c>
      <c r="P751" t="n">
        <v>0</v>
      </c>
      <c r="Q751" t="n">
        <v>0</v>
      </c>
      <c r="R751" s="2" t="inlineStr"/>
    </row>
    <row r="752" ht="15" customHeight="1">
      <c r="A752" t="inlineStr">
        <is>
          <t>A 49272-2023</t>
        </is>
      </c>
      <c r="B752" s="1" t="n">
        <v>45210</v>
      </c>
      <c r="C752" s="1" t="n">
        <v>45824</v>
      </c>
      <c r="D752" t="inlineStr">
        <is>
          <t>DALARNAS LÄN</t>
        </is>
      </c>
      <c r="E752" t="inlineStr">
        <is>
          <t>ÄLVDALEN</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49404-2023</t>
        </is>
      </c>
      <c r="B753" s="1" t="n">
        <v>45211</v>
      </c>
      <c r="C753" s="1" t="n">
        <v>45824</v>
      </c>
      <c r="D753" t="inlineStr">
        <is>
          <t>DALARNAS LÄN</t>
        </is>
      </c>
      <c r="E753" t="inlineStr">
        <is>
          <t>ÄLVDALEN</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49723-2023</t>
        </is>
      </c>
      <c r="B754" s="1" t="n">
        <v>45212</v>
      </c>
      <c r="C754" s="1" t="n">
        <v>45824</v>
      </c>
      <c r="D754" t="inlineStr">
        <is>
          <t>DALARNAS LÄN</t>
        </is>
      </c>
      <c r="E754" t="inlineStr">
        <is>
          <t>ÄLVDALEN</t>
        </is>
      </c>
      <c r="F754" t="inlineStr">
        <is>
          <t>Bergvik skog väst AB</t>
        </is>
      </c>
      <c r="G754" t="n">
        <v>5</v>
      </c>
      <c r="H754" t="n">
        <v>0</v>
      </c>
      <c r="I754" t="n">
        <v>0</v>
      </c>
      <c r="J754" t="n">
        <v>0</v>
      </c>
      <c r="K754" t="n">
        <v>0</v>
      </c>
      <c r="L754" t="n">
        <v>0</v>
      </c>
      <c r="M754" t="n">
        <v>0</v>
      </c>
      <c r="N754" t="n">
        <v>0</v>
      </c>
      <c r="O754" t="n">
        <v>0</v>
      </c>
      <c r="P754" t="n">
        <v>0</v>
      </c>
      <c r="Q754" t="n">
        <v>0</v>
      </c>
      <c r="R754" s="2" t="inlineStr"/>
    </row>
    <row r="755" ht="15" customHeight="1">
      <c r="A755" t="inlineStr">
        <is>
          <t>A 49974-2023</t>
        </is>
      </c>
      <c r="B755" s="1" t="n">
        <v>45215</v>
      </c>
      <c r="C755" s="1" t="n">
        <v>45824</v>
      </c>
      <c r="D755" t="inlineStr">
        <is>
          <t>DALARNAS LÄN</t>
        </is>
      </c>
      <c r="E755" t="inlineStr">
        <is>
          <t>ÄLVDALEN</t>
        </is>
      </c>
      <c r="G755" t="n">
        <v>0.6</v>
      </c>
      <c r="H755" t="n">
        <v>0</v>
      </c>
      <c r="I755" t="n">
        <v>0</v>
      </c>
      <c r="J755" t="n">
        <v>0</v>
      </c>
      <c r="K755" t="n">
        <v>0</v>
      </c>
      <c r="L755" t="n">
        <v>0</v>
      </c>
      <c r="M755" t="n">
        <v>0</v>
      </c>
      <c r="N755" t="n">
        <v>0</v>
      </c>
      <c r="O755" t="n">
        <v>0</v>
      </c>
      <c r="P755" t="n">
        <v>0</v>
      </c>
      <c r="Q755" t="n">
        <v>0</v>
      </c>
      <c r="R755" s="2" t="inlineStr"/>
    </row>
    <row r="756" ht="15" customHeight="1">
      <c r="A756" t="inlineStr">
        <is>
          <t>A 50440-2023</t>
        </is>
      </c>
      <c r="B756" s="1" t="n">
        <v>45216</v>
      </c>
      <c r="C756" s="1" t="n">
        <v>45824</v>
      </c>
      <c r="D756" t="inlineStr">
        <is>
          <t>DALARNAS LÄN</t>
        </is>
      </c>
      <c r="E756" t="inlineStr">
        <is>
          <t>ÄLVDALEN</t>
        </is>
      </c>
      <c r="F756" t="inlineStr">
        <is>
          <t>Allmännings- och besparingsskogar</t>
        </is>
      </c>
      <c r="G756" t="n">
        <v>3.4</v>
      </c>
      <c r="H756" t="n">
        <v>0</v>
      </c>
      <c r="I756" t="n">
        <v>0</v>
      </c>
      <c r="J756" t="n">
        <v>0</v>
      </c>
      <c r="K756" t="n">
        <v>0</v>
      </c>
      <c r="L756" t="n">
        <v>0</v>
      </c>
      <c r="M756" t="n">
        <v>0</v>
      </c>
      <c r="N756" t="n">
        <v>0</v>
      </c>
      <c r="O756" t="n">
        <v>0</v>
      </c>
      <c r="P756" t="n">
        <v>0</v>
      </c>
      <c r="Q756" t="n">
        <v>0</v>
      </c>
      <c r="R756" s="2" t="inlineStr"/>
    </row>
    <row r="757" ht="15" customHeight="1">
      <c r="A757" t="inlineStr">
        <is>
          <t>A 51967-2023</t>
        </is>
      </c>
      <c r="B757" s="1" t="n">
        <v>45223</v>
      </c>
      <c r="C757" s="1" t="n">
        <v>45824</v>
      </c>
      <c r="D757" t="inlineStr">
        <is>
          <t>DALARNAS LÄN</t>
        </is>
      </c>
      <c r="E757" t="inlineStr">
        <is>
          <t>ÄLVDALEN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51897-2023</t>
        </is>
      </c>
      <c r="B758" s="1" t="n">
        <v>45223</v>
      </c>
      <c r="C758" s="1" t="n">
        <v>45824</v>
      </c>
      <c r="D758" t="inlineStr">
        <is>
          <t>DALARNAS LÄN</t>
        </is>
      </c>
      <c r="E758" t="inlineStr">
        <is>
          <t>ÄLVDALEN</t>
        </is>
      </c>
      <c r="F758" t="inlineStr">
        <is>
          <t>Allmännings- och besparingsskogar</t>
        </is>
      </c>
      <c r="G758" t="n">
        <v>32.6</v>
      </c>
      <c r="H758" t="n">
        <v>0</v>
      </c>
      <c r="I758" t="n">
        <v>0</v>
      </c>
      <c r="J758" t="n">
        <v>0</v>
      </c>
      <c r="K758" t="n">
        <v>0</v>
      </c>
      <c r="L758" t="n">
        <v>0</v>
      </c>
      <c r="M758" t="n">
        <v>0</v>
      </c>
      <c r="N758" t="n">
        <v>0</v>
      </c>
      <c r="O758" t="n">
        <v>0</v>
      </c>
      <c r="P758" t="n">
        <v>0</v>
      </c>
      <c r="Q758" t="n">
        <v>0</v>
      </c>
      <c r="R758" s="2" t="inlineStr"/>
    </row>
    <row r="759" ht="15" customHeight="1">
      <c r="A759" t="inlineStr">
        <is>
          <t>A 52210-2023</t>
        </is>
      </c>
      <c r="B759" s="1" t="n">
        <v>45224</v>
      </c>
      <c r="C759" s="1" t="n">
        <v>45824</v>
      </c>
      <c r="D759" t="inlineStr">
        <is>
          <t>DALARNAS LÄN</t>
        </is>
      </c>
      <c r="E759" t="inlineStr">
        <is>
          <t>ÄLVDALEN</t>
        </is>
      </c>
      <c r="F759" t="inlineStr">
        <is>
          <t>Allmännings- och besparingsskogar</t>
        </is>
      </c>
      <c r="G759" t="n">
        <v>16.2</v>
      </c>
      <c r="H759" t="n">
        <v>0</v>
      </c>
      <c r="I759" t="n">
        <v>0</v>
      </c>
      <c r="J759" t="n">
        <v>0</v>
      </c>
      <c r="K759" t="n">
        <v>0</v>
      </c>
      <c r="L759" t="n">
        <v>0</v>
      </c>
      <c r="M759" t="n">
        <v>0</v>
      </c>
      <c r="N759" t="n">
        <v>0</v>
      </c>
      <c r="O759" t="n">
        <v>0</v>
      </c>
      <c r="P759" t="n">
        <v>0</v>
      </c>
      <c r="Q759" t="n">
        <v>0</v>
      </c>
      <c r="R759" s="2" t="inlineStr"/>
    </row>
    <row r="760" ht="15" customHeight="1">
      <c r="A760" t="inlineStr">
        <is>
          <t>A 52388-2023</t>
        </is>
      </c>
      <c r="B760" s="1" t="n">
        <v>45224</v>
      </c>
      <c r="C760" s="1" t="n">
        <v>45824</v>
      </c>
      <c r="D760" t="inlineStr">
        <is>
          <t>DALARNAS LÄN</t>
        </is>
      </c>
      <c r="E760" t="inlineStr">
        <is>
          <t>ÄLVDALEN</t>
        </is>
      </c>
      <c r="G760" t="n">
        <v>4.2</v>
      </c>
      <c r="H760" t="n">
        <v>0</v>
      </c>
      <c r="I760" t="n">
        <v>0</v>
      </c>
      <c r="J760" t="n">
        <v>0</v>
      </c>
      <c r="K760" t="n">
        <v>0</v>
      </c>
      <c r="L760" t="n">
        <v>0</v>
      </c>
      <c r="M760" t="n">
        <v>0</v>
      </c>
      <c r="N760" t="n">
        <v>0</v>
      </c>
      <c r="O760" t="n">
        <v>0</v>
      </c>
      <c r="P760" t="n">
        <v>0</v>
      </c>
      <c r="Q760" t="n">
        <v>0</v>
      </c>
      <c r="R760" s="2" t="inlineStr"/>
    </row>
    <row r="761" ht="15" customHeight="1">
      <c r="A761" t="inlineStr">
        <is>
          <t>A 52483-2023</t>
        </is>
      </c>
      <c r="B761" s="1" t="n">
        <v>45225</v>
      </c>
      <c r="C761" s="1" t="n">
        <v>45824</v>
      </c>
      <c r="D761" t="inlineStr">
        <is>
          <t>DALARNAS LÄN</t>
        </is>
      </c>
      <c r="E761" t="inlineStr">
        <is>
          <t>ÄLVDALEN</t>
        </is>
      </c>
      <c r="F761" t="inlineStr">
        <is>
          <t>Allmännings- och besparingsskogar</t>
        </is>
      </c>
      <c r="G761" t="n">
        <v>30.9</v>
      </c>
      <c r="H761" t="n">
        <v>0</v>
      </c>
      <c r="I761" t="n">
        <v>0</v>
      </c>
      <c r="J761" t="n">
        <v>0</v>
      </c>
      <c r="K761" t="n">
        <v>0</v>
      </c>
      <c r="L761" t="n">
        <v>0</v>
      </c>
      <c r="M761" t="n">
        <v>0</v>
      </c>
      <c r="N761" t="n">
        <v>0</v>
      </c>
      <c r="O761" t="n">
        <v>0</v>
      </c>
      <c r="P761" t="n">
        <v>0</v>
      </c>
      <c r="Q761" t="n">
        <v>0</v>
      </c>
      <c r="R761" s="2" t="inlineStr"/>
      <c r="U761">
        <f>HYPERLINK("https://klasma.github.io/Logging_2039/knärot/A 52483-2023 karta knärot.png", "A 52483-2023")</f>
        <v/>
      </c>
      <c r="V761">
        <f>HYPERLINK("https://klasma.github.io/Logging_2039/klagomål/A 52483-2023 FSC-klagomål.docx", "A 52483-2023")</f>
        <v/>
      </c>
      <c r="W761">
        <f>HYPERLINK("https://klasma.github.io/Logging_2039/klagomålsmail/A 52483-2023 FSC-klagomål mail.docx", "A 52483-2023")</f>
        <v/>
      </c>
      <c r="X761">
        <f>HYPERLINK("https://klasma.github.io/Logging_2039/tillsyn/A 52483-2023 tillsynsbegäran.docx", "A 52483-2023")</f>
        <v/>
      </c>
      <c r="Y761">
        <f>HYPERLINK("https://klasma.github.io/Logging_2039/tillsynsmail/A 52483-2023 tillsynsbegäran mail.docx", "A 52483-2023")</f>
        <v/>
      </c>
    </row>
    <row r="762" ht="15" customHeight="1">
      <c r="A762" t="inlineStr">
        <is>
          <t>A 53408-2023</t>
        </is>
      </c>
      <c r="B762" s="1" t="n">
        <v>45229</v>
      </c>
      <c r="C762" s="1" t="n">
        <v>45824</v>
      </c>
      <c r="D762" t="inlineStr">
        <is>
          <t>DALARNAS LÄN</t>
        </is>
      </c>
      <c r="E762" t="inlineStr">
        <is>
          <t>ÄLVDALEN</t>
        </is>
      </c>
      <c r="G762" t="n">
        <v>2</v>
      </c>
      <c r="H762" t="n">
        <v>0</v>
      </c>
      <c r="I762" t="n">
        <v>0</v>
      </c>
      <c r="J762" t="n">
        <v>0</v>
      </c>
      <c r="K762" t="n">
        <v>0</v>
      </c>
      <c r="L762" t="n">
        <v>0</v>
      </c>
      <c r="M762" t="n">
        <v>0</v>
      </c>
      <c r="N762" t="n">
        <v>0</v>
      </c>
      <c r="O762" t="n">
        <v>0</v>
      </c>
      <c r="P762" t="n">
        <v>0</v>
      </c>
      <c r="Q762" t="n">
        <v>0</v>
      </c>
      <c r="R762" s="2" t="inlineStr"/>
    </row>
    <row r="763" ht="15" customHeight="1">
      <c r="A763" t="inlineStr">
        <is>
          <t>A 53200-2023</t>
        </is>
      </c>
      <c r="B763" s="1" t="n">
        <v>45229</v>
      </c>
      <c r="C763" s="1" t="n">
        <v>45824</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54491-2023</t>
        </is>
      </c>
      <c r="B764" s="1" t="n">
        <v>45233</v>
      </c>
      <c r="C764" s="1" t="n">
        <v>45824</v>
      </c>
      <c r="D764" t="inlineStr">
        <is>
          <t>DALARNAS LÄN</t>
        </is>
      </c>
      <c r="E764" t="inlineStr">
        <is>
          <t>ÄLVDALEN</t>
        </is>
      </c>
      <c r="F764" t="inlineStr">
        <is>
          <t>Allmännings- och besparingsskogar</t>
        </is>
      </c>
      <c r="G764" t="n">
        <v>4.4</v>
      </c>
      <c r="H764" t="n">
        <v>0</v>
      </c>
      <c r="I764" t="n">
        <v>0</v>
      </c>
      <c r="J764" t="n">
        <v>0</v>
      </c>
      <c r="K764" t="n">
        <v>0</v>
      </c>
      <c r="L764" t="n">
        <v>0</v>
      </c>
      <c r="M764" t="n">
        <v>0</v>
      </c>
      <c r="N764" t="n">
        <v>0</v>
      </c>
      <c r="O764" t="n">
        <v>0</v>
      </c>
      <c r="P764" t="n">
        <v>0</v>
      </c>
      <c r="Q764" t="n">
        <v>0</v>
      </c>
      <c r="R764" s="2" t="inlineStr"/>
    </row>
    <row r="765" ht="15" customHeight="1">
      <c r="A765" t="inlineStr">
        <is>
          <t>A 54433-2023</t>
        </is>
      </c>
      <c r="B765" s="1" t="n">
        <v>45233</v>
      </c>
      <c r="C765" s="1" t="n">
        <v>45824</v>
      </c>
      <c r="D765" t="inlineStr">
        <is>
          <t>DALARNAS LÄN</t>
        </is>
      </c>
      <c r="E765" t="inlineStr">
        <is>
          <t>ÄLVDALEN</t>
        </is>
      </c>
      <c r="F765" t="inlineStr">
        <is>
          <t>Allmännings- och besparingsskogar</t>
        </is>
      </c>
      <c r="G765" t="n">
        <v>26.4</v>
      </c>
      <c r="H765" t="n">
        <v>0</v>
      </c>
      <c r="I765" t="n">
        <v>0</v>
      </c>
      <c r="J765" t="n">
        <v>0</v>
      </c>
      <c r="K765" t="n">
        <v>0</v>
      </c>
      <c r="L765" t="n">
        <v>0</v>
      </c>
      <c r="M765" t="n">
        <v>0</v>
      </c>
      <c r="N765" t="n">
        <v>0</v>
      </c>
      <c r="O765" t="n">
        <v>0</v>
      </c>
      <c r="P765" t="n">
        <v>0</v>
      </c>
      <c r="Q765" t="n">
        <v>0</v>
      </c>
      <c r="R765" s="2" t="inlineStr"/>
    </row>
    <row r="766" ht="15" customHeight="1">
      <c r="A766" t="inlineStr">
        <is>
          <t>A 54493-2023</t>
        </is>
      </c>
      <c r="B766" s="1" t="n">
        <v>45233</v>
      </c>
      <c r="C766" s="1" t="n">
        <v>45824</v>
      </c>
      <c r="D766" t="inlineStr">
        <is>
          <t>DALARNAS LÄN</t>
        </is>
      </c>
      <c r="E766" t="inlineStr">
        <is>
          <t>ÄLVDALEN</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54443-2023</t>
        </is>
      </c>
      <c r="B767" s="1" t="n">
        <v>45233</v>
      </c>
      <c r="C767" s="1" t="n">
        <v>45824</v>
      </c>
      <c r="D767" t="inlineStr">
        <is>
          <t>DALARNAS LÄN</t>
        </is>
      </c>
      <c r="E767" t="inlineStr">
        <is>
          <t>ÄLVDALEN</t>
        </is>
      </c>
      <c r="F767" t="inlineStr">
        <is>
          <t>Allmännings- och besparingsskogar</t>
        </is>
      </c>
      <c r="G767" t="n">
        <v>11.6</v>
      </c>
      <c r="H767" t="n">
        <v>0</v>
      </c>
      <c r="I767" t="n">
        <v>0</v>
      </c>
      <c r="J767" t="n">
        <v>0</v>
      </c>
      <c r="K767" t="n">
        <v>0</v>
      </c>
      <c r="L767" t="n">
        <v>0</v>
      </c>
      <c r="M767" t="n">
        <v>0</v>
      </c>
      <c r="N767" t="n">
        <v>0</v>
      </c>
      <c r="O767" t="n">
        <v>0</v>
      </c>
      <c r="P767" t="n">
        <v>0</v>
      </c>
      <c r="Q767" t="n">
        <v>0</v>
      </c>
      <c r="R767" s="2" t="inlineStr"/>
    </row>
    <row r="768" ht="15" customHeight="1">
      <c r="A768" t="inlineStr">
        <is>
          <t>A 54445-2023</t>
        </is>
      </c>
      <c r="B768" s="1" t="n">
        <v>45233</v>
      </c>
      <c r="C768" s="1" t="n">
        <v>45824</v>
      </c>
      <c r="D768" t="inlineStr">
        <is>
          <t>DALARNAS LÄN</t>
        </is>
      </c>
      <c r="E768" t="inlineStr">
        <is>
          <t>ÄLVDALEN</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56229-2023</t>
        </is>
      </c>
      <c r="B769" s="1" t="n">
        <v>45240</v>
      </c>
      <c r="C769" s="1" t="n">
        <v>45824</v>
      </c>
      <c r="D769" t="inlineStr">
        <is>
          <t>DALARNAS LÄN</t>
        </is>
      </c>
      <c r="E769" t="inlineStr">
        <is>
          <t>ÄLVDALEN</t>
        </is>
      </c>
      <c r="F769" t="inlineStr">
        <is>
          <t>Övriga Aktiebolag</t>
        </is>
      </c>
      <c r="G769" t="n">
        <v>6.5</v>
      </c>
      <c r="H769" t="n">
        <v>0</v>
      </c>
      <c r="I769" t="n">
        <v>0</v>
      </c>
      <c r="J769" t="n">
        <v>0</v>
      </c>
      <c r="K769" t="n">
        <v>0</v>
      </c>
      <c r="L769" t="n">
        <v>0</v>
      </c>
      <c r="M769" t="n">
        <v>0</v>
      </c>
      <c r="N769" t="n">
        <v>0</v>
      </c>
      <c r="O769" t="n">
        <v>0</v>
      </c>
      <c r="P769" t="n">
        <v>0</v>
      </c>
      <c r="Q769" t="n">
        <v>0</v>
      </c>
      <c r="R769" s="2" t="inlineStr"/>
    </row>
    <row r="770" ht="15" customHeight="1">
      <c r="A770" t="inlineStr">
        <is>
          <t>A 56230-2023</t>
        </is>
      </c>
      <c r="B770" s="1" t="n">
        <v>45240</v>
      </c>
      <c r="C770" s="1" t="n">
        <v>45824</v>
      </c>
      <c r="D770" t="inlineStr">
        <is>
          <t>DALARNAS LÄN</t>
        </is>
      </c>
      <c r="E770" t="inlineStr">
        <is>
          <t>ÄLVDALEN</t>
        </is>
      </c>
      <c r="G770" t="n">
        <v>15.4</v>
      </c>
      <c r="H770" t="n">
        <v>0</v>
      </c>
      <c r="I770" t="n">
        <v>0</v>
      </c>
      <c r="J770" t="n">
        <v>0</v>
      </c>
      <c r="K770" t="n">
        <v>0</v>
      </c>
      <c r="L770" t="n">
        <v>0</v>
      </c>
      <c r="M770" t="n">
        <v>0</v>
      </c>
      <c r="N770" t="n">
        <v>0</v>
      </c>
      <c r="O770" t="n">
        <v>0</v>
      </c>
      <c r="P770" t="n">
        <v>0</v>
      </c>
      <c r="Q770" t="n">
        <v>0</v>
      </c>
      <c r="R770" s="2" t="inlineStr"/>
    </row>
    <row r="771" ht="15" customHeight="1">
      <c r="A771" t="inlineStr">
        <is>
          <t>A 56226-2023</t>
        </is>
      </c>
      <c r="B771" s="1" t="n">
        <v>45240</v>
      </c>
      <c r="C771" s="1" t="n">
        <v>45824</v>
      </c>
      <c r="D771" t="inlineStr">
        <is>
          <t>DALARNAS LÄN</t>
        </is>
      </c>
      <c r="E771" t="inlineStr">
        <is>
          <t>ÄLVDALEN</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56222-2023</t>
        </is>
      </c>
      <c r="B772" s="1" t="n">
        <v>45240</v>
      </c>
      <c r="C772" s="1" t="n">
        <v>45824</v>
      </c>
      <c r="D772" t="inlineStr">
        <is>
          <t>DALARNAS LÄN</t>
        </is>
      </c>
      <c r="E772" t="inlineStr">
        <is>
          <t>ÄLVDALEN</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56224-2023</t>
        </is>
      </c>
      <c r="B773" s="1" t="n">
        <v>45240</v>
      </c>
      <c r="C773" s="1" t="n">
        <v>45824</v>
      </c>
      <c r="D773" t="inlineStr">
        <is>
          <t>DALARNAS LÄN</t>
        </is>
      </c>
      <c r="E773" t="inlineStr">
        <is>
          <t>ÄLVDALEN</t>
        </is>
      </c>
      <c r="F773" t="inlineStr">
        <is>
          <t>Övriga Aktiebolag</t>
        </is>
      </c>
      <c r="G773" t="n">
        <v>10.9</v>
      </c>
      <c r="H773" t="n">
        <v>0</v>
      </c>
      <c r="I773" t="n">
        <v>0</v>
      </c>
      <c r="J773" t="n">
        <v>0</v>
      </c>
      <c r="K773" t="n">
        <v>0</v>
      </c>
      <c r="L773" t="n">
        <v>0</v>
      </c>
      <c r="M773" t="n">
        <v>0</v>
      </c>
      <c r="N773" t="n">
        <v>0</v>
      </c>
      <c r="O773" t="n">
        <v>0</v>
      </c>
      <c r="P773" t="n">
        <v>0</v>
      </c>
      <c r="Q773" t="n">
        <v>0</v>
      </c>
      <c r="R773" s="2" t="inlineStr"/>
    </row>
    <row r="774" ht="15" customHeight="1">
      <c r="A774" t="inlineStr">
        <is>
          <t>A 56619-2023</t>
        </is>
      </c>
      <c r="B774" s="1" t="n">
        <v>45243</v>
      </c>
      <c r="C774" s="1" t="n">
        <v>45824</v>
      </c>
      <c r="D774" t="inlineStr">
        <is>
          <t>DALARNAS LÄN</t>
        </is>
      </c>
      <c r="E774" t="inlineStr">
        <is>
          <t>ÄLVDALEN</t>
        </is>
      </c>
      <c r="G774" t="n">
        <v>5.6</v>
      </c>
      <c r="H774" t="n">
        <v>0</v>
      </c>
      <c r="I774" t="n">
        <v>0</v>
      </c>
      <c r="J774" t="n">
        <v>0</v>
      </c>
      <c r="K774" t="n">
        <v>0</v>
      </c>
      <c r="L774" t="n">
        <v>0</v>
      </c>
      <c r="M774" t="n">
        <v>0</v>
      </c>
      <c r="N774" t="n">
        <v>0</v>
      </c>
      <c r="O774" t="n">
        <v>0</v>
      </c>
      <c r="P774" t="n">
        <v>0</v>
      </c>
      <c r="Q774" t="n">
        <v>0</v>
      </c>
      <c r="R774" s="2" t="inlineStr"/>
    </row>
    <row r="775" ht="15" customHeight="1">
      <c r="A775" t="inlineStr">
        <is>
          <t>A 57435-2023</t>
        </is>
      </c>
      <c r="B775" s="1" t="n">
        <v>45246</v>
      </c>
      <c r="C775" s="1" t="n">
        <v>45824</v>
      </c>
      <c r="D775" t="inlineStr">
        <is>
          <t>DALARNAS LÄN</t>
        </is>
      </c>
      <c r="E775" t="inlineStr">
        <is>
          <t>ÄLVDALEN</t>
        </is>
      </c>
      <c r="G775" t="n">
        <v>2.3</v>
      </c>
      <c r="H775" t="n">
        <v>0</v>
      </c>
      <c r="I775" t="n">
        <v>0</v>
      </c>
      <c r="J775" t="n">
        <v>0</v>
      </c>
      <c r="K775" t="n">
        <v>0</v>
      </c>
      <c r="L775" t="n">
        <v>0</v>
      </c>
      <c r="M775" t="n">
        <v>0</v>
      </c>
      <c r="N775" t="n">
        <v>0</v>
      </c>
      <c r="O775" t="n">
        <v>0</v>
      </c>
      <c r="P775" t="n">
        <v>0</v>
      </c>
      <c r="Q775" t="n">
        <v>0</v>
      </c>
      <c r="R775" s="2" t="inlineStr"/>
    </row>
    <row r="776" ht="15" customHeight="1">
      <c r="A776" t="inlineStr">
        <is>
          <t>A 57467-2023</t>
        </is>
      </c>
      <c r="B776" s="1" t="n">
        <v>45246</v>
      </c>
      <c r="C776" s="1" t="n">
        <v>45824</v>
      </c>
      <c r="D776" t="inlineStr">
        <is>
          <t>DALARNAS LÄN</t>
        </is>
      </c>
      <c r="E776" t="inlineStr">
        <is>
          <t>ÄLVDALEN</t>
        </is>
      </c>
      <c r="G776" t="n">
        <v>0.2</v>
      </c>
      <c r="H776" t="n">
        <v>0</v>
      </c>
      <c r="I776" t="n">
        <v>0</v>
      </c>
      <c r="J776" t="n">
        <v>0</v>
      </c>
      <c r="K776" t="n">
        <v>0</v>
      </c>
      <c r="L776" t="n">
        <v>0</v>
      </c>
      <c r="M776" t="n">
        <v>0</v>
      </c>
      <c r="N776" t="n">
        <v>0</v>
      </c>
      <c r="O776" t="n">
        <v>0</v>
      </c>
      <c r="P776" t="n">
        <v>0</v>
      </c>
      <c r="Q776" t="n">
        <v>0</v>
      </c>
      <c r="R776" s="2" t="inlineStr"/>
    </row>
    <row r="777" ht="15" customHeight="1">
      <c r="A777" t="inlineStr">
        <is>
          <t>A 57470-2023</t>
        </is>
      </c>
      <c r="B777" s="1" t="n">
        <v>45246</v>
      </c>
      <c r="C777" s="1" t="n">
        <v>45824</v>
      </c>
      <c r="D777" t="inlineStr">
        <is>
          <t>DALARNAS LÄN</t>
        </is>
      </c>
      <c r="E777" t="inlineStr">
        <is>
          <t>ÄLVDALEN</t>
        </is>
      </c>
      <c r="G777" t="n">
        <v>0.4</v>
      </c>
      <c r="H777" t="n">
        <v>0</v>
      </c>
      <c r="I777" t="n">
        <v>0</v>
      </c>
      <c r="J777" t="n">
        <v>0</v>
      </c>
      <c r="K777" t="n">
        <v>0</v>
      </c>
      <c r="L777" t="n">
        <v>0</v>
      </c>
      <c r="M777" t="n">
        <v>0</v>
      </c>
      <c r="N777" t="n">
        <v>0</v>
      </c>
      <c r="O777" t="n">
        <v>0</v>
      </c>
      <c r="P777" t="n">
        <v>0</v>
      </c>
      <c r="Q777" t="n">
        <v>0</v>
      </c>
      <c r="R777" s="2" t="inlineStr"/>
    </row>
    <row r="778" ht="15" customHeight="1">
      <c r="A778" t="inlineStr">
        <is>
          <t>A 57817-2023</t>
        </is>
      </c>
      <c r="B778" s="1" t="n">
        <v>45247</v>
      </c>
      <c r="C778" s="1" t="n">
        <v>45824</v>
      </c>
      <c r="D778" t="inlineStr">
        <is>
          <t>DALARNAS LÄN</t>
        </is>
      </c>
      <c r="E778" t="inlineStr">
        <is>
          <t>ÄLVDALEN</t>
        </is>
      </c>
      <c r="G778" t="n">
        <v>6.4</v>
      </c>
      <c r="H778" t="n">
        <v>0</v>
      </c>
      <c r="I778" t="n">
        <v>0</v>
      </c>
      <c r="J778" t="n">
        <v>0</v>
      </c>
      <c r="K778" t="n">
        <v>0</v>
      </c>
      <c r="L778" t="n">
        <v>0</v>
      </c>
      <c r="M778" t="n">
        <v>0</v>
      </c>
      <c r="N778" t="n">
        <v>0</v>
      </c>
      <c r="O778" t="n">
        <v>0</v>
      </c>
      <c r="P778" t="n">
        <v>0</v>
      </c>
      <c r="Q778" t="n">
        <v>0</v>
      </c>
      <c r="R778" s="2" t="inlineStr"/>
    </row>
    <row r="779" ht="15" customHeight="1">
      <c r="A779" t="inlineStr">
        <is>
          <t>A 57933-2023</t>
        </is>
      </c>
      <c r="B779" s="1" t="n">
        <v>45247</v>
      </c>
      <c r="C779" s="1" t="n">
        <v>45824</v>
      </c>
      <c r="D779" t="inlineStr">
        <is>
          <t>DALARNAS LÄN</t>
        </is>
      </c>
      <c r="E779" t="inlineStr">
        <is>
          <t>ÄLVDALEN</t>
        </is>
      </c>
      <c r="F779" t="inlineStr">
        <is>
          <t>Allmännings- och besparingsskogar</t>
        </is>
      </c>
      <c r="G779" t="n">
        <v>7.6</v>
      </c>
      <c r="H779" t="n">
        <v>0</v>
      </c>
      <c r="I779" t="n">
        <v>0</v>
      </c>
      <c r="J779" t="n">
        <v>0</v>
      </c>
      <c r="K779" t="n">
        <v>0</v>
      </c>
      <c r="L779" t="n">
        <v>0</v>
      </c>
      <c r="M779" t="n">
        <v>0</v>
      </c>
      <c r="N779" t="n">
        <v>0</v>
      </c>
      <c r="O779" t="n">
        <v>0</v>
      </c>
      <c r="P779" t="n">
        <v>0</v>
      </c>
      <c r="Q779" t="n">
        <v>0</v>
      </c>
      <c r="R779" s="2" t="inlineStr"/>
    </row>
    <row r="780" ht="15" customHeight="1">
      <c r="A780" t="inlineStr">
        <is>
          <t>A 57821-2023</t>
        </is>
      </c>
      <c r="B780" s="1" t="n">
        <v>45247</v>
      </c>
      <c r="C780" s="1" t="n">
        <v>45824</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57941-2023</t>
        </is>
      </c>
      <c r="B781" s="1" t="n">
        <v>45247</v>
      </c>
      <c r="C781" s="1" t="n">
        <v>45824</v>
      </c>
      <c r="D781" t="inlineStr">
        <is>
          <t>DALARNAS LÄN</t>
        </is>
      </c>
      <c r="E781" t="inlineStr">
        <is>
          <t>ÄLVDALEN</t>
        </is>
      </c>
      <c r="F781" t="inlineStr">
        <is>
          <t>Allmännings- och besparingsskogar</t>
        </is>
      </c>
      <c r="G781" t="n">
        <v>14.6</v>
      </c>
      <c r="H781" t="n">
        <v>0</v>
      </c>
      <c r="I781" t="n">
        <v>0</v>
      </c>
      <c r="J781" t="n">
        <v>0</v>
      </c>
      <c r="K781" t="n">
        <v>0</v>
      </c>
      <c r="L781" t="n">
        <v>0</v>
      </c>
      <c r="M781" t="n">
        <v>0</v>
      </c>
      <c r="N781" t="n">
        <v>0</v>
      </c>
      <c r="O781" t="n">
        <v>0</v>
      </c>
      <c r="P781" t="n">
        <v>0</v>
      </c>
      <c r="Q781" t="n">
        <v>0</v>
      </c>
      <c r="R781" s="2" t="inlineStr"/>
    </row>
    <row r="782" ht="15" customHeight="1">
      <c r="A782" t="inlineStr">
        <is>
          <t>A 58223-2023</t>
        </is>
      </c>
      <c r="B782" s="1" t="n">
        <v>45250</v>
      </c>
      <c r="C782" s="1" t="n">
        <v>45824</v>
      </c>
      <c r="D782" t="inlineStr">
        <is>
          <t>DALARNAS LÄN</t>
        </is>
      </c>
      <c r="E782" t="inlineStr">
        <is>
          <t>ÄLVDALEN</t>
        </is>
      </c>
      <c r="F782" t="inlineStr">
        <is>
          <t>Allmännings- och besparingsskogar</t>
        </is>
      </c>
      <c r="G782" t="n">
        <v>6.9</v>
      </c>
      <c r="H782" t="n">
        <v>0</v>
      </c>
      <c r="I782" t="n">
        <v>0</v>
      </c>
      <c r="J782" t="n">
        <v>0</v>
      </c>
      <c r="K782" t="n">
        <v>0</v>
      </c>
      <c r="L782" t="n">
        <v>0</v>
      </c>
      <c r="M782" t="n">
        <v>0</v>
      </c>
      <c r="N782" t="n">
        <v>0</v>
      </c>
      <c r="O782" t="n">
        <v>0</v>
      </c>
      <c r="P782" t="n">
        <v>0</v>
      </c>
      <c r="Q782" t="n">
        <v>0</v>
      </c>
      <c r="R782" s="2" t="inlineStr"/>
    </row>
    <row r="783" ht="15" customHeight="1">
      <c r="A783" t="inlineStr">
        <is>
          <t>A 58303-2023</t>
        </is>
      </c>
      <c r="B783" s="1" t="n">
        <v>45250</v>
      </c>
      <c r="C783" s="1" t="n">
        <v>45824</v>
      </c>
      <c r="D783" t="inlineStr">
        <is>
          <t>DALARNAS LÄN</t>
        </is>
      </c>
      <c r="E783" t="inlineStr">
        <is>
          <t>ÄLVDALEN</t>
        </is>
      </c>
      <c r="G783" t="n">
        <v>6.9</v>
      </c>
      <c r="H783" t="n">
        <v>0</v>
      </c>
      <c r="I783" t="n">
        <v>0</v>
      </c>
      <c r="J783" t="n">
        <v>0</v>
      </c>
      <c r="K783" t="n">
        <v>0</v>
      </c>
      <c r="L783" t="n">
        <v>0</v>
      </c>
      <c r="M783" t="n">
        <v>0</v>
      </c>
      <c r="N783" t="n">
        <v>0</v>
      </c>
      <c r="O783" t="n">
        <v>0</v>
      </c>
      <c r="P783" t="n">
        <v>0</v>
      </c>
      <c r="Q783" t="n">
        <v>0</v>
      </c>
      <c r="R783" s="2" t="inlineStr"/>
    </row>
    <row r="784" ht="15" customHeight="1">
      <c r="A784" t="inlineStr">
        <is>
          <t>A 58376-2023</t>
        </is>
      </c>
      <c r="B784" s="1" t="n">
        <v>45250</v>
      </c>
      <c r="C784" s="1" t="n">
        <v>45824</v>
      </c>
      <c r="D784" t="inlineStr">
        <is>
          <t>DALARNAS LÄN</t>
        </is>
      </c>
      <c r="E784" t="inlineStr">
        <is>
          <t>ÄLVDALEN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58374-2023</t>
        </is>
      </c>
      <c r="B785" s="1" t="n">
        <v>45250</v>
      </c>
      <c r="C785" s="1" t="n">
        <v>45824</v>
      </c>
      <c r="D785" t="inlineStr">
        <is>
          <t>DALARNAS LÄN</t>
        </is>
      </c>
      <c r="E785" t="inlineStr">
        <is>
          <t>ÄLVDALEN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58498-2023</t>
        </is>
      </c>
      <c r="B786" s="1" t="n">
        <v>45251</v>
      </c>
      <c r="C786" s="1" t="n">
        <v>45824</v>
      </c>
      <c r="D786" t="inlineStr">
        <is>
          <t>DALARNAS LÄN</t>
        </is>
      </c>
      <c r="E786" t="inlineStr">
        <is>
          <t>ÄLVDALEN</t>
        </is>
      </c>
      <c r="F786" t="inlineStr">
        <is>
          <t>Allmännings- och besparingsskogar</t>
        </is>
      </c>
      <c r="G786" t="n">
        <v>13.4</v>
      </c>
      <c r="H786" t="n">
        <v>0</v>
      </c>
      <c r="I786" t="n">
        <v>0</v>
      </c>
      <c r="J786" t="n">
        <v>0</v>
      </c>
      <c r="K786" t="n">
        <v>0</v>
      </c>
      <c r="L786" t="n">
        <v>0</v>
      </c>
      <c r="M786" t="n">
        <v>0</v>
      </c>
      <c r="N786" t="n">
        <v>0</v>
      </c>
      <c r="O786" t="n">
        <v>0</v>
      </c>
      <c r="P786" t="n">
        <v>0</v>
      </c>
      <c r="Q786" t="n">
        <v>0</v>
      </c>
      <c r="R786" s="2" t="inlineStr"/>
    </row>
    <row r="787" ht="15" customHeight="1">
      <c r="A787" t="inlineStr">
        <is>
          <t>A 58621-2023</t>
        </is>
      </c>
      <c r="B787" s="1" t="n">
        <v>45251</v>
      </c>
      <c r="C787" s="1" t="n">
        <v>45824</v>
      </c>
      <c r="D787" t="inlineStr">
        <is>
          <t>DALARNAS LÄN</t>
        </is>
      </c>
      <c r="E787" t="inlineStr">
        <is>
          <t>ÄLVDALEN</t>
        </is>
      </c>
      <c r="G787" t="n">
        <v>2.9</v>
      </c>
      <c r="H787" t="n">
        <v>0</v>
      </c>
      <c r="I787" t="n">
        <v>0</v>
      </c>
      <c r="J787" t="n">
        <v>0</v>
      </c>
      <c r="K787" t="n">
        <v>0</v>
      </c>
      <c r="L787" t="n">
        <v>0</v>
      </c>
      <c r="M787" t="n">
        <v>0</v>
      </c>
      <c r="N787" t="n">
        <v>0</v>
      </c>
      <c r="O787" t="n">
        <v>0</v>
      </c>
      <c r="P787" t="n">
        <v>0</v>
      </c>
      <c r="Q787" t="n">
        <v>0</v>
      </c>
      <c r="R787" s="2" t="inlineStr"/>
    </row>
    <row r="788" ht="15" customHeight="1">
      <c r="A788" t="inlineStr">
        <is>
          <t>A 59129-2023</t>
        </is>
      </c>
      <c r="B788" s="1" t="n">
        <v>45253</v>
      </c>
      <c r="C788" s="1" t="n">
        <v>45824</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59142-2023</t>
        </is>
      </c>
      <c r="B789" s="1" t="n">
        <v>45253</v>
      </c>
      <c r="C789" s="1" t="n">
        <v>45824</v>
      </c>
      <c r="D789" t="inlineStr">
        <is>
          <t>DALARNAS LÄN</t>
        </is>
      </c>
      <c r="E789" t="inlineStr">
        <is>
          <t>ÄLVDALEN</t>
        </is>
      </c>
      <c r="G789" t="n">
        <v>0.8</v>
      </c>
      <c r="H789" t="n">
        <v>0</v>
      </c>
      <c r="I789" t="n">
        <v>0</v>
      </c>
      <c r="J789" t="n">
        <v>0</v>
      </c>
      <c r="K789" t="n">
        <v>0</v>
      </c>
      <c r="L789" t="n">
        <v>0</v>
      </c>
      <c r="M789" t="n">
        <v>0</v>
      </c>
      <c r="N789" t="n">
        <v>0</v>
      </c>
      <c r="O789" t="n">
        <v>0</v>
      </c>
      <c r="P789" t="n">
        <v>0</v>
      </c>
      <c r="Q789" t="n">
        <v>0</v>
      </c>
      <c r="R789" s="2" t="inlineStr"/>
    </row>
    <row r="790" ht="15" customHeight="1">
      <c r="A790" t="inlineStr">
        <is>
          <t>A 59138-2023</t>
        </is>
      </c>
      <c r="B790" s="1" t="n">
        <v>45253</v>
      </c>
      <c r="C790" s="1" t="n">
        <v>45824</v>
      </c>
      <c r="D790" t="inlineStr">
        <is>
          <t>DALARNAS LÄN</t>
        </is>
      </c>
      <c r="E790" t="inlineStr">
        <is>
          <t>ÄLVDALEN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59177-2023</t>
        </is>
      </c>
      <c r="B791" s="1" t="n">
        <v>45253</v>
      </c>
      <c r="C791" s="1" t="n">
        <v>45824</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59510-2023</t>
        </is>
      </c>
      <c r="B792" s="1" t="n">
        <v>45254</v>
      </c>
      <c r="C792" s="1" t="n">
        <v>45824</v>
      </c>
      <c r="D792" t="inlineStr">
        <is>
          <t>DALARNAS LÄN</t>
        </is>
      </c>
      <c r="E792" t="inlineStr">
        <is>
          <t>ÄLVDALEN</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59547-2023</t>
        </is>
      </c>
      <c r="B793" s="1" t="n">
        <v>45254</v>
      </c>
      <c r="C793" s="1" t="n">
        <v>45824</v>
      </c>
      <c r="D793" t="inlineStr">
        <is>
          <t>DALARNAS LÄN</t>
        </is>
      </c>
      <c r="E793" t="inlineStr">
        <is>
          <t>ÄLVDALEN</t>
        </is>
      </c>
      <c r="G793" t="n">
        <v>2.5</v>
      </c>
      <c r="H793" t="n">
        <v>0</v>
      </c>
      <c r="I793" t="n">
        <v>0</v>
      </c>
      <c r="J793" t="n">
        <v>0</v>
      </c>
      <c r="K793" t="n">
        <v>0</v>
      </c>
      <c r="L793" t="n">
        <v>0</v>
      </c>
      <c r="M793" t="n">
        <v>0</v>
      </c>
      <c r="N793" t="n">
        <v>0</v>
      </c>
      <c r="O793" t="n">
        <v>0</v>
      </c>
      <c r="P793" t="n">
        <v>0</v>
      </c>
      <c r="Q793" t="n">
        <v>0</v>
      </c>
      <c r="R793" s="2" t="inlineStr"/>
    </row>
    <row r="794" ht="15" customHeight="1">
      <c r="A794" t="inlineStr">
        <is>
          <t>A 59786-2023</t>
        </is>
      </c>
      <c r="B794" s="1" t="n">
        <v>45254</v>
      </c>
      <c r="C794" s="1" t="n">
        <v>45824</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59778-2023</t>
        </is>
      </c>
      <c r="B795" s="1" t="n">
        <v>45254</v>
      </c>
      <c r="C795" s="1" t="n">
        <v>45824</v>
      </c>
      <c r="D795" t="inlineStr">
        <is>
          <t>DALARNAS LÄN</t>
        </is>
      </c>
      <c r="E795" t="inlineStr">
        <is>
          <t>ÄLVDALEN</t>
        </is>
      </c>
      <c r="G795" t="n">
        <v>7.1</v>
      </c>
      <c r="H795" t="n">
        <v>0</v>
      </c>
      <c r="I795" t="n">
        <v>0</v>
      </c>
      <c r="J795" t="n">
        <v>0</v>
      </c>
      <c r="K795" t="n">
        <v>0</v>
      </c>
      <c r="L795" t="n">
        <v>0</v>
      </c>
      <c r="M795" t="n">
        <v>0</v>
      </c>
      <c r="N795" t="n">
        <v>0</v>
      </c>
      <c r="O795" t="n">
        <v>0</v>
      </c>
      <c r="P795" t="n">
        <v>0</v>
      </c>
      <c r="Q795" t="n">
        <v>0</v>
      </c>
      <c r="R795" s="2" t="inlineStr"/>
    </row>
    <row r="796" ht="15" customHeight="1">
      <c r="A796" t="inlineStr">
        <is>
          <t>A 59774-2023</t>
        </is>
      </c>
      <c r="B796" s="1" t="n">
        <v>45254</v>
      </c>
      <c r="C796" s="1" t="n">
        <v>45824</v>
      </c>
      <c r="D796" t="inlineStr">
        <is>
          <t>DALARNAS LÄN</t>
        </is>
      </c>
      <c r="E796" t="inlineStr">
        <is>
          <t>ÄLVDALEN</t>
        </is>
      </c>
      <c r="G796" t="n">
        <v>6.6</v>
      </c>
      <c r="H796" t="n">
        <v>0</v>
      </c>
      <c r="I796" t="n">
        <v>0</v>
      </c>
      <c r="J796" t="n">
        <v>0</v>
      </c>
      <c r="K796" t="n">
        <v>0</v>
      </c>
      <c r="L796" t="n">
        <v>0</v>
      </c>
      <c r="M796" t="n">
        <v>0</v>
      </c>
      <c r="N796" t="n">
        <v>0</v>
      </c>
      <c r="O796" t="n">
        <v>0</v>
      </c>
      <c r="P796" t="n">
        <v>0</v>
      </c>
      <c r="Q796" t="n">
        <v>0</v>
      </c>
      <c r="R796" s="2" t="inlineStr"/>
    </row>
    <row r="797" ht="15" customHeight="1">
      <c r="A797" t="inlineStr">
        <is>
          <t>A 59947-2023</t>
        </is>
      </c>
      <c r="B797" s="1" t="n">
        <v>45257</v>
      </c>
      <c r="C797" s="1" t="n">
        <v>45824</v>
      </c>
      <c r="D797" t="inlineStr">
        <is>
          <t>DALARNAS LÄN</t>
        </is>
      </c>
      <c r="E797" t="inlineStr">
        <is>
          <t>ÄLVDALEN</t>
        </is>
      </c>
      <c r="G797" t="n">
        <v>3.1</v>
      </c>
      <c r="H797" t="n">
        <v>0</v>
      </c>
      <c r="I797" t="n">
        <v>0</v>
      </c>
      <c r="J797" t="n">
        <v>0</v>
      </c>
      <c r="K797" t="n">
        <v>0</v>
      </c>
      <c r="L797" t="n">
        <v>0</v>
      </c>
      <c r="M797" t="n">
        <v>0</v>
      </c>
      <c r="N797" t="n">
        <v>0</v>
      </c>
      <c r="O797" t="n">
        <v>0</v>
      </c>
      <c r="P797" t="n">
        <v>0</v>
      </c>
      <c r="Q797" t="n">
        <v>0</v>
      </c>
      <c r="R797" s="2" t="inlineStr"/>
    </row>
    <row r="798" ht="15" customHeight="1">
      <c r="A798" t="inlineStr">
        <is>
          <t>A 60354-2023</t>
        </is>
      </c>
      <c r="B798" s="1" t="n">
        <v>45259</v>
      </c>
      <c r="C798" s="1" t="n">
        <v>45824</v>
      </c>
      <c r="D798" t="inlineStr">
        <is>
          <t>DALARNAS LÄN</t>
        </is>
      </c>
      <c r="E798" t="inlineStr">
        <is>
          <t>ÄLVDALEN</t>
        </is>
      </c>
      <c r="F798" t="inlineStr">
        <is>
          <t>Allmännings- och besparingsskogar</t>
        </is>
      </c>
      <c r="G798" t="n">
        <v>30.3</v>
      </c>
      <c r="H798" t="n">
        <v>0</v>
      </c>
      <c r="I798" t="n">
        <v>0</v>
      </c>
      <c r="J798" t="n">
        <v>0</v>
      </c>
      <c r="K798" t="n">
        <v>0</v>
      </c>
      <c r="L798" t="n">
        <v>0</v>
      </c>
      <c r="M798" t="n">
        <v>0</v>
      </c>
      <c r="N798" t="n">
        <v>0</v>
      </c>
      <c r="O798" t="n">
        <v>0</v>
      </c>
      <c r="P798" t="n">
        <v>0</v>
      </c>
      <c r="Q798" t="n">
        <v>0</v>
      </c>
      <c r="R798" s="2" t="inlineStr"/>
    </row>
    <row r="799" ht="15" customHeight="1">
      <c r="A799" t="inlineStr">
        <is>
          <t>A 60655-2023</t>
        </is>
      </c>
      <c r="B799" s="1" t="n">
        <v>45260</v>
      </c>
      <c r="C799" s="1" t="n">
        <v>45824</v>
      </c>
      <c r="D799" t="inlineStr">
        <is>
          <t>DALARNAS LÄN</t>
        </is>
      </c>
      <c r="E799" t="inlineStr">
        <is>
          <t>ÄLVDALEN</t>
        </is>
      </c>
      <c r="G799" t="n">
        <v>3</v>
      </c>
      <c r="H799" t="n">
        <v>0</v>
      </c>
      <c r="I799" t="n">
        <v>0</v>
      </c>
      <c r="J799" t="n">
        <v>0</v>
      </c>
      <c r="K799" t="n">
        <v>0</v>
      </c>
      <c r="L799" t="n">
        <v>0</v>
      </c>
      <c r="M799" t="n">
        <v>0</v>
      </c>
      <c r="N799" t="n">
        <v>0</v>
      </c>
      <c r="O799" t="n">
        <v>0</v>
      </c>
      <c r="P799" t="n">
        <v>0</v>
      </c>
      <c r="Q799" t="n">
        <v>0</v>
      </c>
      <c r="R799" s="2" t="inlineStr"/>
    </row>
    <row r="800" ht="15" customHeight="1">
      <c r="A800" t="inlineStr">
        <is>
          <t>A 60716-2023</t>
        </is>
      </c>
      <c r="B800" s="1" t="n">
        <v>45260</v>
      </c>
      <c r="C800" s="1" t="n">
        <v>45824</v>
      </c>
      <c r="D800" t="inlineStr">
        <is>
          <t>DALARNAS LÄN</t>
        </is>
      </c>
      <c r="E800" t="inlineStr">
        <is>
          <t>ÄLVDALEN</t>
        </is>
      </c>
      <c r="G800" t="n">
        <v>1.2</v>
      </c>
      <c r="H800" t="n">
        <v>0</v>
      </c>
      <c r="I800" t="n">
        <v>0</v>
      </c>
      <c r="J800" t="n">
        <v>0</v>
      </c>
      <c r="K800" t="n">
        <v>0</v>
      </c>
      <c r="L800" t="n">
        <v>0</v>
      </c>
      <c r="M800" t="n">
        <v>0</v>
      </c>
      <c r="N800" t="n">
        <v>0</v>
      </c>
      <c r="O800" t="n">
        <v>0</v>
      </c>
      <c r="P800" t="n">
        <v>0</v>
      </c>
      <c r="Q800" t="n">
        <v>0</v>
      </c>
      <c r="R800" s="2" t="inlineStr"/>
    </row>
    <row r="801" ht="15" customHeight="1">
      <c r="A801" t="inlineStr">
        <is>
          <t>A 60676-2023</t>
        </is>
      </c>
      <c r="B801" s="1" t="n">
        <v>45260</v>
      </c>
      <c r="C801" s="1" t="n">
        <v>45824</v>
      </c>
      <c r="D801" t="inlineStr">
        <is>
          <t>DALARNAS LÄN</t>
        </is>
      </c>
      <c r="E801" t="inlineStr">
        <is>
          <t>ÄLVDALEN</t>
        </is>
      </c>
      <c r="G801" t="n">
        <v>6.2</v>
      </c>
      <c r="H801" t="n">
        <v>0</v>
      </c>
      <c r="I801" t="n">
        <v>0</v>
      </c>
      <c r="J801" t="n">
        <v>0</v>
      </c>
      <c r="K801" t="n">
        <v>0</v>
      </c>
      <c r="L801" t="n">
        <v>0</v>
      </c>
      <c r="M801" t="n">
        <v>0</v>
      </c>
      <c r="N801" t="n">
        <v>0</v>
      </c>
      <c r="O801" t="n">
        <v>0</v>
      </c>
      <c r="P801" t="n">
        <v>0</v>
      </c>
      <c r="Q801" t="n">
        <v>0</v>
      </c>
      <c r="R801" s="2" t="inlineStr"/>
    </row>
    <row r="802" ht="15" customHeight="1">
      <c r="A802" t="inlineStr">
        <is>
          <t>A 61714-2023</t>
        </is>
      </c>
      <c r="B802" s="1" t="n">
        <v>45265</v>
      </c>
      <c r="C802" s="1" t="n">
        <v>45824</v>
      </c>
      <c r="D802" t="inlineStr">
        <is>
          <t>DALARNAS LÄN</t>
        </is>
      </c>
      <c r="E802" t="inlineStr">
        <is>
          <t>ÄLVDALEN</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62525-2023</t>
        </is>
      </c>
      <c r="B803" s="1" t="n">
        <v>45268</v>
      </c>
      <c r="C803" s="1" t="n">
        <v>45824</v>
      </c>
      <c r="D803" t="inlineStr">
        <is>
          <t>DALARNAS LÄN</t>
        </is>
      </c>
      <c r="E803" t="inlineStr">
        <is>
          <t>ÄLVDALEN</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62935-2023</t>
        </is>
      </c>
      <c r="B804" s="1" t="n">
        <v>45272</v>
      </c>
      <c r="C804" s="1" t="n">
        <v>45824</v>
      </c>
      <c r="D804" t="inlineStr">
        <is>
          <t>DALARNAS LÄN</t>
        </is>
      </c>
      <c r="E804" t="inlineStr">
        <is>
          <t>ÄLVDALEN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63494-2023</t>
        </is>
      </c>
      <c r="B805" s="1" t="n">
        <v>45274</v>
      </c>
      <c r="C805" s="1" t="n">
        <v>45824</v>
      </c>
      <c r="D805" t="inlineStr">
        <is>
          <t>DALARNAS LÄN</t>
        </is>
      </c>
      <c r="E805" t="inlineStr">
        <is>
          <t>ÄLVDALEN</t>
        </is>
      </c>
      <c r="F805" t="inlineStr">
        <is>
          <t>Allmännings- och besparingsskogar</t>
        </is>
      </c>
      <c r="G805" t="n">
        <v>14.9</v>
      </c>
      <c r="H805" t="n">
        <v>0</v>
      </c>
      <c r="I805" t="n">
        <v>0</v>
      </c>
      <c r="J805" t="n">
        <v>0</v>
      </c>
      <c r="K805" t="n">
        <v>0</v>
      </c>
      <c r="L805" t="n">
        <v>0</v>
      </c>
      <c r="M805" t="n">
        <v>0</v>
      </c>
      <c r="N805" t="n">
        <v>0</v>
      </c>
      <c r="O805" t="n">
        <v>0</v>
      </c>
      <c r="P805" t="n">
        <v>0</v>
      </c>
      <c r="Q805" t="n">
        <v>0</v>
      </c>
      <c r="R805" s="2" t="inlineStr"/>
    </row>
    <row r="806" ht="15" customHeight="1">
      <c r="A806" t="inlineStr">
        <is>
          <t>A 63329-2023</t>
        </is>
      </c>
      <c r="B806" s="1" t="n">
        <v>45274</v>
      </c>
      <c r="C806" s="1" t="n">
        <v>45824</v>
      </c>
      <c r="D806" t="inlineStr">
        <is>
          <t>DALARNAS LÄN</t>
        </is>
      </c>
      <c r="E806" t="inlineStr">
        <is>
          <t>ÄLVDALEN</t>
        </is>
      </c>
      <c r="G806" t="n">
        <v>0.6</v>
      </c>
      <c r="H806" t="n">
        <v>0</v>
      </c>
      <c r="I806" t="n">
        <v>0</v>
      </c>
      <c r="J806" t="n">
        <v>0</v>
      </c>
      <c r="K806" t="n">
        <v>0</v>
      </c>
      <c r="L806" t="n">
        <v>0</v>
      </c>
      <c r="M806" t="n">
        <v>0</v>
      </c>
      <c r="N806" t="n">
        <v>0</v>
      </c>
      <c r="O806" t="n">
        <v>0</v>
      </c>
      <c r="P806" t="n">
        <v>0</v>
      </c>
      <c r="Q806" t="n">
        <v>0</v>
      </c>
      <c r="R806" s="2" t="inlineStr"/>
    </row>
    <row r="807" ht="15" customHeight="1">
      <c r="A807" t="inlineStr">
        <is>
          <t>A 64699-2023</t>
        </is>
      </c>
      <c r="B807" s="1" t="n">
        <v>45281</v>
      </c>
      <c r="C807" s="1" t="n">
        <v>45824</v>
      </c>
      <c r="D807" t="inlineStr">
        <is>
          <t>DALARNAS LÄN</t>
        </is>
      </c>
      <c r="E807" t="inlineStr">
        <is>
          <t>ÄLVDALEN</t>
        </is>
      </c>
      <c r="F807" t="inlineStr">
        <is>
          <t>Allmännings- och besparingsskogar</t>
        </is>
      </c>
      <c r="G807" t="n">
        <v>6.6</v>
      </c>
      <c r="H807" t="n">
        <v>0</v>
      </c>
      <c r="I807" t="n">
        <v>0</v>
      </c>
      <c r="J807" t="n">
        <v>0</v>
      </c>
      <c r="K807" t="n">
        <v>0</v>
      </c>
      <c r="L807" t="n">
        <v>0</v>
      </c>
      <c r="M807" t="n">
        <v>0</v>
      </c>
      <c r="N807" t="n">
        <v>0</v>
      </c>
      <c r="O807" t="n">
        <v>0</v>
      </c>
      <c r="P807" t="n">
        <v>0</v>
      </c>
      <c r="Q807" t="n">
        <v>0</v>
      </c>
      <c r="R807" s="2" t="inlineStr"/>
    </row>
    <row r="808" ht="15" customHeight="1">
      <c r="A808" t="inlineStr">
        <is>
          <t>A 505-2024</t>
        </is>
      </c>
      <c r="B808" s="1" t="n">
        <v>45299</v>
      </c>
      <c r="C808" s="1" t="n">
        <v>45824</v>
      </c>
      <c r="D808" t="inlineStr">
        <is>
          <t>DALARNAS LÄN</t>
        </is>
      </c>
      <c r="E808" t="inlineStr">
        <is>
          <t>ÄLVDALEN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510-2024</t>
        </is>
      </c>
      <c r="B809" s="1" t="n">
        <v>45299</v>
      </c>
      <c r="C809" s="1" t="n">
        <v>45824</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1310-2024</t>
        </is>
      </c>
      <c r="B810" s="1" t="n">
        <v>45303</v>
      </c>
      <c r="C810" s="1" t="n">
        <v>45824</v>
      </c>
      <c r="D810" t="inlineStr">
        <is>
          <t>DALARNAS LÄN</t>
        </is>
      </c>
      <c r="E810" t="inlineStr">
        <is>
          <t>ÄLVDALEN</t>
        </is>
      </c>
      <c r="G810" t="n">
        <v>4.3</v>
      </c>
      <c r="H810" t="n">
        <v>0</v>
      </c>
      <c r="I810" t="n">
        <v>0</v>
      </c>
      <c r="J810" t="n">
        <v>0</v>
      </c>
      <c r="K810" t="n">
        <v>0</v>
      </c>
      <c r="L810" t="n">
        <v>0</v>
      </c>
      <c r="M810" t="n">
        <v>0</v>
      </c>
      <c r="N810" t="n">
        <v>0</v>
      </c>
      <c r="O810" t="n">
        <v>0</v>
      </c>
      <c r="P810" t="n">
        <v>0</v>
      </c>
      <c r="Q810" t="n">
        <v>0</v>
      </c>
      <c r="R810" s="2" t="inlineStr"/>
    </row>
    <row r="811" ht="15" customHeight="1">
      <c r="A811" t="inlineStr">
        <is>
          <t>A 1804-2024</t>
        </is>
      </c>
      <c r="B811" s="1" t="n">
        <v>45307</v>
      </c>
      <c r="C811" s="1" t="n">
        <v>45824</v>
      </c>
      <c r="D811" t="inlineStr">
        <is>
          <t>DALARNAS LÄN</t>
        </is>
      </c>
      <c r="E811" t="inlineStr">
        <is>
          <t>ÄLVDALEN</t>
        </is>
      </c>
      <c r="G811" t="n">
        <v>1.9</v>
      </c>
      <c r="H811" t="n">
        <v>0</v>
      </c>
      <c r="I811" t="n">
        <v>0</v>
      </c>
      <c r="J811" t="n">
        <v>0</v>
      </c>
      <c r="K811" t="n">
        <v>0</v>
      </c>
      <c r="L811" t="n">
        <v>0</v>
      </c>
      <c r="M811" t="n">
        <v>0</v>
      </c>
      <c r="N811" t="n">
        <v>0</v>
      </c>
      <c r="O811" t="n">
        <v>0</v>
      </c>
      <c r="P811" t="n">
        <v>0</v>
      </c>
      <c r="Q811" t="n">
        <v>0</v>
      </c>
      <c r="R811" s="2" t="inlineStr"/>
    </row>
    <row r="812" ht="15" customHeight="1">
      <c r="A812" t="inlineStr">
        <is>
          <t>A 1790-2024</t>
        </is>
      </c>
      <c r="B812" s="1" t="n">
        <v>45307</v>
      </c>
      <c r="C812" s="1" t="n">
        <v>45824</v>
      </c>
      <c r="D812" t="inlineStr">
        <is>
          <t>DALARNAS LÄN</t>
        </is>
      </c>
      <c r="E812" t="inlineStr">
        <is>
          <t>ÄLVDALEN</t>
        </is>
      </c>
      <c r="G812" t="n">
        <v>1.9</v>
      </c>
      <c r="H812" t="n">
        <v>0</v>
      </c>
      <c r="I812" t="n">
        <v>0</v>
      </c>
      <c r="J812" t="n">
        <v>0</v>
      </c>
      <c r="K812" t="n">
        <v>0</v>
      </c>
      <c r="L812" t="n">
        <v>0</v>
      </c>
      <c r="M812" t="n">
        <v>0</v>
      </c>
      <c r="N812" t="n">
        <v>0</v>
      </c>
      <c r="O812" t="n">
        <v>0</v>
      </c>
      <c r="P812" t="n">
        <v>0</v>
      </c>
      <c r="Q812" t="n">
        <v>0</v>
      </c>
      <c r="R812" s="2" t="inlineStr"/>
    </row>
    <row r="813" ht="15" customHeight="1">
      <c r="A813" t="inlineStr">
        <is>
          <t>A 1794-2024</t>
        </is>
      </c>
      <c r="B813" s="1" t="n">
        <v>45307</v>
      </c>
      <c r="C813" s="1" t="n">
        <v>45824</v>
      </c>
      <c r="D813" t="inlineStr">
        <is>
          <t>DALARNAS LÄN</t>
        </is>
      </c>
      <c r="E813" t="inlineStr">
        <is>
          <t>ÄLVDALEN</t>
        </is>
      </c>
      <c r="G813" t="n">
        <v>1</v>
      </c>
      <c r="H813" t="n">
        <v>0</v>
      </c>
      <c r="I813" t="n">
        <v>0</v>
      </c>
      <c r="J813" t="n">
        <v>0</v>
      </c>
      <c r="K813" t="n">
        <v>0</v>
      </c>
      <c r="L813" t="n">
        <v>0</v>
      </c>
      <c r="M813" t="n">
        <v>0</v>
      </c>
      <c r="N813" t="n">
        <v>0</v>
      </c>
      <c r="O813" t="n">
        <v>0</v>
      </c>
      <c r="P813" t="n">
        <v>0</v>
      </c>
      <c r="Q813" t="n">
        <v>0</v>
      </c>
      <c r="R813" s="2" t="inlineStr"/>
    </row>
    <row r="814" ht="15" customHeight="1">
      <c r="A814" t="inlineStr">
        <is>
          <t>A 2375-2024</t>
        </is>
      </c>
      <c r="B814" s="1" t="n">
        <v>45310</v>
      </c>
      <c r="C814" s="1" t="n">
        <v>45824</v>
      </c>
      <c r="D814" t="inlineStr">
        <is>
          <t>DALARNAS LÄN</t>
        </is>
      </c>
      <c r="E814" t="inlineStr">
        <is>
          <t>ÄLVDALEN</t>
        </is>
      </c>
      <c r="G814" t="n">
        <v>5.4</v>
      </c>
      <c r="H814" t="n">
        <v>0</v>
      </c>
      <c r="I814" t="n">
        <v>0</v>
      </c>
      <c r="J814" t="n">
        <v>0</v>
      </c>
      <c r="K814" t="n">
        <v>0</v>
      </c>
      <c r="L814" t="n">
        <v>0</v>
      </c>
      <c r="M814" t="n">
        <v>0</v>
      </c>
      <c r="N814" t="n">
        <v>0</v>
      </c>
      <c r="O814" t="n">
        <v>0</v>
      </c>
      <c r="P814" t="n">
        <v>0</v>
      </c>
      <c r="Q814" t="n">
        <v>0</v>
      </c>
      <c r="R814" s="2" t="inlineStr"/>
    </row>
    <row r="815" ht="15" customHeight="1">
      <c r="A815" t="inlineStr">
        <is>
          <t>A 2384-2024</t>
        </is>
      </c>
      <c r="B815" s="1" t="n">
        <v>45310</v>
      </c>
      <c r="C815" s="1" t="n">
        <v>45824</v>
      </c>
      <c r="D815" t="inlineStr">
        <is>
          <t>DALARNAS LÄN</t>
        </is>
      </c>
      <c r="E815" t="inlineStr">
        <is>
          <t>ÄLVDALEN</t>
        </is>
      </c>
      <c r="G815" t="n">
        <v>2.7</v>
      </c>
      <c r="H815" t="n">
        <v>0</v>
      </c>
      <c r="I815" t="n">
        <v>0</v>
      </c>
      <c r="J815" t="n">
        <v>0</v>
      </c>
      <c r="K815" t="n">
        <v>0</v>
      </c>
      <c r="L815" t="n">
        <v>0</v>
      </c>
      <c r="M815" t="n">
        <v>0</v>
      </c>
      <c r="N815" t="n">
        <v>0</v>
      </c>
      <c r="O815" t="n">
        <v>0</v>
      </c>
      <c r="P815" t="n">
        <v>0</v>
      </c>
      <c r="Q815" t="n">
        <v>0</v>
      </c>
      <c r="R815" s="2" t="inlineStr"/>
    </row>
    <row r="816" ht="15" customHeight="1">
      <c r="A816" t="inlineStr">
        <is>
          <t>A 2377-2024</t>
        </is>
      </c>
      <c r="B816" s="1" t="n">
        <v>45310</v>
      </c>
      <c r="C816" s="1" t="n">
        <v>45824</v>
      </c>
      <c r="D816" t="inlineStr">
        <is>
          <t>DALARNAS LÄN</t>
        </is>
      </c>
      <c r="E816" t="inlineStr">
        <is>
          <t>ÄLVDALEN</t>
        </is>
      </c>
      <c r="G816" t="n">
        <v>1.5</v>
      </c>
      <c r="H816" t="n">
        <v>0</v>
      </c>
      <c r="I816" t="n">
        <v>0</v>
      </c>
      <c r="J816" t="n">
        <v>0</v>
      </c>
      <c r="K816" t="n">
        <v>0</v>
      </c>
      <c r="L816" t="n">
        <v>0</v>
      </c>
      <c r="M816" t="n">
        <v>0</v>
      </c>
      <c r="N816" t="n">
        <v>0</v>
      </c>
      <c r="O816" t="n">
        <v>0</v>
      </c>
      <c r="P816" t="n">
        <v>0</v>
      </c>
      <c r="Q816" t="n">
        <v>0</v>
      </c>
      <c r="R816" s="2" t="inlineStr"/>
    </row>
    <row r="817" ht="15" customHeight="1">
      <c r="A817" t="inlineStr">
        <is>
          <t>A 2381-2024</t>
        </is>
      </c>
      <c r="B817" s="1" t="n">
        <v>45310</v>
      </c>
      <c r="C817" s="1" t="n">
        <v>45824</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2410-2024</t>
        </is>
      </c>
      <c r="B818" s="1" t="n">
        <v>45310</v>
      </c>
      <c r="C818" s="1" t="n">
        <v>45824</v>
      </c>
      <c r="D818" t="inlineStr">
        <is>
          <t>DALARNAS LÄN</t>
        </is>
      </c>
      <c r="E818" t="inlineStr">
        <is>
          <t>ÄLVDALEN</t>
        </is>
      </c>
      <c r="G818" t="n">
        <v>0.7</v>
      </c>
      <c r="H818" t="n">
        <v>0</v>
      </c>
      <c r="I818" t="n">
        <v>0</v>
      </c>
      <c r="J818" t="n">
        <v>0</v>
      </c>
      <c r="K818" t="n">
        <v>0</v>
      </c>
      <c r="L818" t="n">
        <v>0</v>
      </c>
      <c r="M818" t="n">
        <v>0</v>
      </c>
      <c r="N818" t="n">
        <v>0</v>
      </c>
      <c r="O818" t="n">
        <v>0</v>
      </c>
      <c r="P818" t="n">
        <v>0</v>
      </c>
      <c r="Q818" t="n">
        <v>0</v>
      </c>
      <c r="R818" s="2" t="inlineStr"/>
    </row>
    <row r="819" ht="15" customHeight="1">
      <c r="A819" t="inlineStr">
        <is>
          <t>A 3009-2024</t>
        </is>
      </c>
      <c r="B819" s="1" t="n">
        <v>45315</v>
      </c>
      <c r="C819" s="1" t="n">
        <v>45824</v>
      </c>
      <c r="D819" t="inlineStr">
        <is>
          <t>DALARNAS LÄN</t>
        </is>
      </c>
      <c r="E819" t="inlineStr">
        <is>
          <t>ÄLVDALEN</t>
        </is>
      </c>
      <c r="G819" t="n">
        <v>7</v>
      </c>
      <c r="H819" t="n">
        <v>0</v>
      </c>
      <c r="I819" t="n">
        <v>0</v>
      </c>
      <c r="J819" t="n">
        <v>0</v>
      </c>
      <c r="K819" t="n">
        <v>0</v>
      </c>
      <c r="L819" t="n">
        <v>0</v>
      </c>
      <c r="M819" t="n">
        <v>0</v>
      </c>
      <c r="N819" t="n">
        <v>0</v>
      </c>
      <c r="O819" t="n">
        <v>0</v>
      </c>
      <c r="P819" t="n">
        <v>0</v>
      </c>
      <c r="Q819" t="n">
        <v>0</v>
      </c>
      <c r="R819" s="2" t="inlineStr"/>
    </row>
    <row r="820" ht="15" customHeight="1">
      <c r="A820" t="inlineStr">
        <is>
          <t>A 3050-2024</t>
        </is>
      </c>
      <c r="B820" s="1" t="n">
        <v>45316</v>
      </c>
      <c r="C820" s="1" t="n">
        <v>45824</v>
      </c>
      <c r="D820" t="inlineStr">
        <is>
          <t>DALARNAS LÄN</t>
        </is>
      </c>
      <c r="E820" t="inlineStr">
        <is>
          <t>ÄLVDALEN</t>
        </is>
      </c>
      <c r="G820" t="n">
        <v>10</v>
      </c>
      <c r="H820" t="n">
        <v>0</v>
      </c>
      <c r="I820" t="n">
        <v>0</v>
      </c>
      <c r="J820" t="n">
        <v>0</v>
      </c>
      <c r="K820" t="n">
        <v>0</v>
      </c>
      <c r="L820" t="n">
        <v>0</v>
      </c>
      <c r="M820" t="n">
        <v>0</v>
      </c>
      <c r="N820" t="n">
        <v>0</v>
      </c>
      <c r="O820" t="n">
        <v>0</v>
      </c>
      <c r="P820" t="n">
        <v>0</v>
      </c>
      <c r="Q820" t="n">
        <v>0</v>
      </c>
      <c r="R820" s="2" t="inlineStr"/>
    </row>
    <row r="821" ht="15" customHeight="1">
      <c r="A821" t="inlineStr">
        <is>
          <t>A 3808-2024</t>
        </is>
      </c>
      <c r="B821" s="1" t="n">
        <v>45321</v>
      </c>
      <c r="C821" s="1" t="n">
        <v>45824</v>
      </c>
      <c r="D821" t="inlineStr">
        <is>
          <t>DALARNAS LÄN</t>
        </is>
      </c>
      <c r="E821" t="inlineStr">
        <is>
          <t>ÄLVDALEN</t>
        </is>
      </c>
      <c r="G821" t="n">
        <v>0.6</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45824</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45824</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3893-2024</t>
        </is>
      </c>
      <c r="B824" s="1" t="n">
        <v>45322</v>
      </c>
      <c r="C824" s="1" t="n">
        <v>45824</v>
      </c>
      <c r="D824" t="inlineStr">
        <is>
          <t>DALARNAS LÄN</t>
        </is>
      </c>
      <c r="E824" t="inlineStr">
        <is>
          <t>ÄLVDALEN</t>
        </is>
      </c>
      <c r="G824" t="n">
        <v>0.5</v>
      </c>
      <c r="H824" t="n">
        <v>0</v>
      </c>
      <c r="I824" t="n">
        <v>0</v>
      </c>
      <c r="J824" t="n">
        <v>0</v>
      </c>
      <c r="K824" t="n">
        <v>0</v>
      </c>
      <c r="L824" t="n">
        <v>0</v>
      </c>
      <c r="M824" t="n">
        <v>0</v>
      </c>
      <c r="N824" t="n">
        <v>0</v>
      </c>
      <c r="O824" t="n">
        <v>0</v>
      </c>
      <c r="P824" t="n">
        <v>0</v>
      </c>
      <c r="Q824" t="n">
        <v>0</v>
      </c>
      <c r="R824" s="2" t="inlineStr"/>
    </row>
    <row r="825" ht="15" customHeight="1">
      <c r="A825" t="inlineStr">
        <is>
          <t>A 3905-2024</t>
        </is>
      </c>
      <c r="B825" s="1" t="n">
        <v>45322</v>
      </c>
      <c r="C825" s="1" t="n">
        <v>45824</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3900-2024</t>
        </is>
      </c>
      <c r="B826" s="1" t="n">
        <v>45322</v>
      </c>
      <c r="C826" s="1" t="n">
        <v>45824</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3904-2024</t>
        </is>
      </c>
      <c r="B827" s="1" t="n">
        <v>45322</v>
      </c>
      <c r="C827" s="1" t="n">
        <v>45824</v>
      </c>
      <c r="D827" t="inlineStr">
        <is>
          <t>DALARNAS LÄN</t>
        </is>
      </c>
      <c r="E827" t="inlineStr">
        <is>
          <t>ÄLVDALEN</t>
        </is>
      </c>
      <c r="G827" t="n">
        <v>1.5</v>
      </c>
      <c r="H827" t="n">
        <v>0</v>
      </c>
      <c r="I827" t="n">
        <v>0</v>
      </c>
      <c r="J827" t="n">
        <v>0</v>
      </c>
      <c r="K827" t="n">
        <v>0</v>
      </c>
      <c r="L827" t="n">
        <v>0</v>
      </c>
      <c r="M827" t="n">
        <v>0</v>
      </c>
      <c r="N827" t="n">
        <v>0</v>
      </c>
      <c r="O827" t="n">
        <v>0</v>
      </c>
      <c r="P827" t="n">
        <v>0</v>
      </c>
      <c r="Q827" t="n">
        <v>0</v>
      </c>
      <c r="R827" s="2" t="inlineStr"/>
    </row>
    <row r="828" ht="15" customHeight="1">
      <c r="A828" t="inlineStr">
        <is>
          <t>A 3916-2024</t>
        </is>
      </c>
      <c r="B828" s="1" t="n">
        <v>45322</v>
      </c>
      <c r="C828" s="1" t="n">
        <v>45824</v>
      </c>
      <c r="D828" t="inlineStr">
        <is>
          <t>DALARNAS LÄN</t>
        </is>
      </c>
      <c r="E828" t="inlineStr">
        <is>
          <t>ÄLVDALEN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4050-2024</t>
        </is>
      </c>
      <c r="B829" s="1" t="n">
        <v>45323</v>
      </c>
      <c r="C829" s="1" t="n">
        <v>45824</v>
      </c>
      <c r="D829" t="inlineStr">
        <is>
          <t>DALARNAS LÄN</t>
        </is>
      </c>
      <c r="E829" t="inlineStr">
        <is>
          <t>ÄLVDALEN</t>
        </is>
      </c>
      <c r="F829" t="inlineStr">
        <is>
          <t>Övriga statliga verk och myndigheter</t>
        </is>
      </c>
      <c r="G829" t="n">
        <v>1.2</v>
      </c>
      <c r="H829" t="n">
        <v>0</v>
      </c>
      <c r="I829" t="n">
        <v>0</v>
      </c>
      <c r="J829" t="n">
        <v>0</v>
      </c>
      <c r="K829" t="n">
        <v>0</v>
      </c>
      <c r="L829" t="n">
        <v>0</v>
      </c>
      <c r="M829" t="n">
        <v>0</v>
      </c>
      <c r="N829" t="n">
        <v>0</v>
      </c>
      <c r="O829" t="n">
        <v>0</v>
      </c>
      <c r="P829" t="n">
        <v>0</v>
      </c>
      <c r="Q829" t="n">
        <v>0</v>
      </c>
      <c r="R829" s="2" t="inlineStr"/>
    </row>
    <row r="830" ht="15" customHeight="1">
      <c r="A830" t="inlineStr">
        <is>
          <t>A 4380-2024</t>
        </is>
      </c>
      <c r="B830" s="1" t="n">
        <v>45327</v>
      </c>
      <c r="C830" s="1" t="n">
        <v>45824</v>
      </c>
      <c r="D830" t="inlineStr">
        <is>
          <t>DALARNAS LÄN</t>
        </is>
      </c>
      <c r="E830" t="inlineStr">
        <is>
          <t>ÄLVDALEN</t>
        </is>
      </c>
      <c r="G830" t="n">
        <v>6.3</v>
      </c>
      <c r="H830" t="n">
        <v>0</v>
      </c>
      <c r="I830" t="n">
        <v>0</v>
      </c>
      <c r="J830" t="n">
        <v>0</v>
      </c>
      <c r="K830" t="n">
        <v>0</v>
      </c>
      <c r="L830" t="n">
        <v>0</v>
      </c>
      <c r="M830" t="n">
        <v>0</v>
      </c>
      <c r="N830" t="n">
        <v>0</v>
      </c>
      <c r="O830" t="n">
        <v>0</v>
      </c>
      <c r="P830" t="n">
        <v>0</v>
      </c>
      <c r="Q830" t="n">
        <v>0</v>
      </c>
      <c r="R830" s="2" t="inlineStr"/>
    </row>
    <row r="831" ht="15" customHeight="1">
      <c r="A831" t="inlineStr">
        <is>
          <t>A 4525-2024</t>
        </is>
      </c>
      <c r="B831" s="1" t="n">
        <v>45327</v>
      </c>
      <c r="C831" s="1" t="n">
        <v>45824</v>
      </c>
      <c r="D831" t="inlineStr">
        <is>
          <t>DALARNAS LÄN</t>
        </is>
      </c>
      <c r="E831" t="inlineStr">
        <is>
          <t>ÄLVDALEN</t>
        </is>
      </c>
      <c r="G831" t="n">
        <v>12.5</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45824</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4709-2024</t>
        </is>
      </c>
      <c r="B833" s="1" t="n">
        <v>45328</v>
      </c>
      <c r="C833" s="1" t="n">
        <v>45824</v>
      </c>
      <c r="D833" t="inlineStr">
        <is>
          <t>DALARNAS LÄN</t>
        </is>
      </c>
      <c r="E833" t="inlineStr">
        <is>
          <t>ÄLVDALEN</t>
        </is>
      </c>
      <c r="G833" t="n">
        <v>9.1</v>
      </c>
      <c r="H833" t="n">
        <v>0</v>
      </c>
      <c r="I833" t="n">
        <v>0</v>
      </c>
      <c r="J833" t="n">
        <v>0</v>
      </c>
      <c r="K833" t="n">
        <v>0</v>
      </c>
      <c r="L833" t="n">
        <v>0</v>
      </c>
      <c r="M833" t="n">
        <v>0</v>
      </c>
      <c r="N833" t="n">
        <v>0</v>
      </c>
      <c r="O833" t="n">
        <v>0</v>
      </c>
      <c r="P833" t="n">
        <v>0</v>
      </c>
      <c r="Q833" t="n">
        <v>0</v>
      </c>
      <c r="R833" s="2" t="inlineStr"/>
    </row>
    <row r="834" ht="15" customHeight="1">
      <c r="A834" t="inlineStr">
        <is>
          <t>A 4671-2024</t>
        </is>
      </c>
      <c r="B834" s="1" t="n">
        <v>45328</v>
      </c>
      <c r="C834" s="1" t="n">
        <v>45824</v>
      </c>
      <c r="D834" t="inlineStr">
        <is>
          <t>DALARNAS LÄN</t>
        </is>
      </c>
      <c r="E834" t="inlineStr">
        <is>
          <t>ÄLVDALEN</t>
        </is>
      </c>
      <c r="G834" t="n">
        <v>4.8</v>
      </c>
      <c r="H834" t="n">
        <v>0</v>
      </c>
      <c r="I834" t="n">
        <v>0</v>
      </c>
      <c r="J834" t="n">
        <v>0</v>
      </c>
      <c r="K834" t="n">
        <v>0</v>
      </c>
      <c r="L834" t="n">
        <v>0</v>
      </c>
      <c r="M834" t="n">
        <v>0</v>
      </c>
      <c r="N834" t="n">
        <v>0</v>
      </c>
      <c r="O834" t="n">
        <v>0</v>
      </c>
      <c r="P834" t="n">
        <v>0</v>
      </c>
      <c r="Q834" t="n">
        <v>0</v>
      </c>
      <c r="R834" s="2" t="inlineStr"/>
    </row>
    <row r="835" ht="15" customHeight="1">
      <c r="A835" t="inlineStr">
        <is>
          <t>A 4712-2024</t>
        </is>
      </c>
      <c r="B835" s="1" t="n">
        <v>45328</v>
      </c>
      <c r="C835" s="1" t="n">
        <v>45824</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5170-2024</t>
        </is>
      </c>
      <c r="B836" s="1" t="n">
        <v>45330</v>
      </c>
      <c r="C836" s="1" t="n">
        <v>45824</v>
      </c>
      <c r="D836" t="inlineStr">
        <is>
          <t>DALARNAS LÄN</t>
        </is>
      </c>
      <c r="E836" t="inlineStr">
        <is>
          <t>ÄLVDALEN</t>
        </is>
      </c>
      <c r="G836" t="n">
        <v>15.8</v>
      </c>
      <c r="H836" t="n">
        <v>0</v>
      </c>
      <c r="I836" t="n">
        <v>0</v>
      </c>
      <c r="J836" t="n">
        <v>0</v>
      </c>
      <c r="K836" t="n">
        <v>0</v>
      </c>
      <c r="L836" t="n">
        <v>0</v>
      </c>
      <c r="M836" t="n">
        <v>0</v>
      </c>
      <c r="N836" t="n">
        <v>0</v>
      </c>
      <c r="O836" t="n">
        <v>0</v>
      </c>
      <c r="P836" t="n">
        <v>0</v>
      </c>
      <c r="Q836" t="n">
        <v>0</v>
      </c>
      <c r="R836" s="2" t="inlineStr"/>
    </row>
    <row r="837" ht="15" customHeight="1">
      <c r="A837" t="inlineStr">
        <is>
          <t>A 5883-2024</t>
        </is>
      </c>
      <c r="B837" s="1" t="n">
        <v>45335</v>
      </c>
      <c r="C837" s="1" t="n">
        <v>45824</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5885-2024</t>
        </is>
      </c>
      <c r="B838" s="1" t="n">
        <v>45335</v>
      </c>
      <c r="C838" s="1" t="n">
        <v>45824</v>
      </c>
      <c r="D838" t="inlineStr">
        <is>
          <t>DALARNAS LÄN</t>
        </is>
      </c>
      <c r="E838" t="inlineStr">
        <is>
          <t>ÄLVDALEN</t>
        </is>
      </c>
      <c r="G838" t="n">
        <v>0.8</v>
      </c>
      <c r="H838" t="n">
        <v>0</v>
      </c>
      <c r="I838" t="n">
        <v>0</v>
      </c>
      <c r="J838" t="n">
        <v>0</v>
      </c>
      <c r="K838" t="n">
        <v>0</v>
      </c>
      <c r="L838" t="n">
        <v>0</v>
      </c>
      <c r="M838" t="n">
        <v>0</v>
      </c>
      <c r="N838" t="n">
        <v>0</v>
      </c>
      <c r="O838" t="n">
        <v>0</v>
      </c>
      <c r="P838" t="n">
        <v>0</v>
      </c>
      <c r="Q838" t="n">
        <v>0</v>
      </c>
      <c r="R838" s="2" t="inlineStr"/>
    </row>
    <row r="839" ht="15" customHeight="1">
      <c r="A839" t="inlineStr">
        <is>
          <t>A 6001-2024</t>
        </is>
      </c>
      <c r="B839" s="1" t="n">
        <v>45336</v>
      </c>
      <c r="C839" s="1" t="n">
        <v>45824</v>
      </c>
      <c r="D839" t="inlineStr">
        <is>
          <t>DALARNAS LÄN</t>
        </is>
      </c>
      <c r="E839" t="inlineStr">
        <is>
          <t>ÄLVDALEN</t>
        </is>
      </c>
      <c r="G839" t="n">
        <v>1.4</v>
      </c>
      <c r="H839" t="n">
        <v>0</v>
      </c>
      <c r="I839" t="n">
        <v>0</v>
      </c>
      <c r="J839" t="n">
        <v>0</v>
      </c>
      <c r="K839" t="n">
        <v>0</v>
      </c>
      <c r="L839" t="n">
        <v>0</v>
      </c>
      <c r="M839" t="n">
        <v>0</v>
      </c>
      <c r="N839" t="n">
        <v>0</v>
      </c>
      <c r="O839" t="n">
        <v>0</v>
      </c>
      <c r="P839" t="n">
        <v>0</v>
      </c>
      <c r="Q839" t="n">
        <v>0</v>
      </c>
      <c r="R839" s="2" t="inlineStr"/>
    </row>
    <row r="840" ht="15" customHeight="1">
      <c r="A840" t="inlineStr">
        <is>
          <t>A 6230-2024</t>
        </is>
      </c>
      <c r="B840" s="1" t="n">
        <v>45337</v>
      </c>
      <c r="C840" s="1" t="n">
        <v>45824</v>
      </c>
      <c r="D840" t="inlineStr">
        <is>
          <t>DALARNAS LÄN</t>
        </is>
      </c>
      <c r="E840" t="inlineStr">
        <is>
          <t>ÄLVDALEN</t>
        </is>
      </c>
      <c r="G840" t="n">
        <v>6.2</v>
      </c>
      <c r="H840" t="n">
        <v>0</v>
      </c>
      <c r="I840" t="n">
        <v>0</v>
      </c>
      <c r="J840" t="n">
        <v>0</v>
      </c>
      <c r="K840" t="n">
        <v>0</v>
      </c>
      <c r="L840" t="n">
        <v>0</v>
      </c>
      <c r="M840" t="n">
        <v>0</v>
      </c>
      <c r="N840" t="n">
        <v>0</v>
      </c>
      <c r="O840" t="n">
        <v>0</v>
      </c>
      <c r="P840" t="n">
        <v>0</v>
      </c>
      <c r="Q840" t="n">
        <v>0</v>
      </c>
      <c r="R840" s="2" t="inlineStr"/>
    </row>
    <row r="841" ht="15" customHeight="1">
      <c r="A841" t="inlineStr">
        <is>
          <t>A 6652-2024</t>
        </is>
      </c>
      <c r="B841" s="1" t="n">
        <v>45341</v>
      </c>
      <c r="C841" s="1" t="n">
        <v>45824</v>
      </c>
      <c r="D841" t="inlineStr">
        <is>
          <t>DALARNAS LÄN</t>
        </is>
      </c>
      <c r="E841" t="inlineStr">
        <is>
          <t>ÄLVDALEN</t>
        </is>
      </c>
      <c r="G841" t="n">
        <v>3.6</v>
      </c>
      <c r="H841" t="n">
        <v>0</v>
      </c>
      <c r="I841" t="n">
        <v>0</v>
      </c>
      <c r="J841" t="n">
        <v>0</v>
      </c>
      <c r="K841" t="n">
        <v>0</v>
      </c>
      <c r="L841" t="n">
        <v>0</v>
      </c>
      <c r="M841" t="n">
        <v>0</v>
      </c>
      <c r="N841" t="n">
        <v>0</v>
      </c>
      <c r="O841" t="n">
        <v>0</v>
      </c>
      <c r="P841" t="n">
        <v>0</v>
      </c>
      <c r="Q841" t="n">
        <v>0</v>
      </c>
      <c r="R841" s="2" t="inlineStr"/>
    </row>
    <row r="842" ht="15" customHeight="1">
      <c r="A842" t="inlineStr">
        <is>
          <t>A 7045-2024</t>
        </is>
      </c>
      <c r="B842" s="1" t="n">
        <v>45343</v>
      </c>
      <c r="C842" s="1" t="n">
        <v>45824</v>
      </c>
      <c r="D842" t="inlineStr">
        <is>
          <t>DALARNAS LÄN</t>
        </is>
      </c>
      <c r="E842" t="inlineStr">
        <is>
          <t>ÄLVDALEN</t>
        </is>
      </c>
      <c r="G842" t="n">
        <v>13</v>
      </c>
      <c r="H842" t="n">
        <v>0</v>
      </c>
      <c r="I842" t="n">
        <v>0</v>
      </c>
      <c r="J842" t="n">
        <v>0</v>
      </c>
      <c r="K842" t="n">
        <v>0</v>
      </c>
      <c r="L842" t="n">
        <v>0</v>
      </c>
      <c r="M842" t="n">
        <v>0</v>
      </c>
      <c r="N842" t="n">
        <v>0</v>
      </c>
      <c r="O842" t="n">
        <v>0</v>
      </c>
      <c r="P842" t="n">
        <v>0</v>
      </c>
      <c r="Q842" t="n">
        <v>0</v>
      </c>
      <c r="R842" s="2" t="inlineStr"/>
    </row>
    <row r="843" ht="15" customHeight="1">
      <c r="A843" t="inlineStr">
        <is>
          <t>A 7581-2024</t>
        </is>
      </c>
      <c r="B843" s="1" t="n">
        <v>45348</v>
      </c>
      <c r="C843" s="1" t="n">
        <v>45824</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7541-2024</t>
        </is>
      </c>
      <c r="B844" s="1" t="n">
        <v>45348</v>
      </c>
      <c r="C844" s="1" t="n">
        <v>45824</v>
      </c>
      <c r="D844" t="inlineStr">
        <is>
          <t>DALARNAS LÄN</t>
        </is>
      </c>
      <c r="E844" t="inlineStr">
        <is>
          <t>ÄLVDALEN</t>
        </is>
      </c>
      <c r="G844" t="n">
        <v>2.1</v>
      </c>
      <c r="H844" t="n">
        <v>0</v>
      </c>
      <c r="I844" t="n">
        <v>0</v>
      </c>
      <c r="J844" t="n">
        <v>0</v>
      </c>
      <c r="K844" t="n">
        <v>0</v>
      </c>
      <c r="L844" t="n">
        <v>0</v>
      </c>
      <c r="M844" t="n">
        <v>0</v>
      </c>
      <c r="N844" t="n">
        <v>0</v>
      </c>
      <c r="O844" t="n">
        <v>0</v>
      </c>
      <c r="P844" t="n">
        <v>0</v>
      </c>
      <c r="Q844" t="n">
        <v>0</v>
      </c>
      <c r="R844" s="2" t="inlineStr"/>
    </row>
    <row r="845" ht="15" customHeight="1">
      <c r="A845" t="inlineStr">
        <is>
          <t>A 7576-2024</t>
        </is>
      </c>
      <c r="B845" s="1" t="n">
        <v>45348</v>
      </c>
      <c r="C845" s="1" t="n">
        <v>45824</v>
      </c>
      <c r="D845" t="inlineStr">
        <is>
          <t>DALARNAS LÄN</t>
        </is>
      </c>
      <c r="E845" t="inlineStr">
        <is>
          <t>ÄLVDALEN</t>
        </is>
      </c>
      <c r="G845" t="n">
        <v>11.1</v>
      </c>
      <c r="H845" t="n">
        <v>0</v>
      </c>
      <c r="I845" t="n">
        <v>0</v>
      </c>
      <c r="J845" t="n">
        <v>0</v>
      </c>
      <c r="K845" t="n">
        <v>0</v>
      </c>
      <c r="L845" t="n">
        <v>0</v>
      </c>
      <c r="M845" t="n">
        <v>0</v>
      </c>
      <c r="N845" t="n">
        <v>0</v>
      </c>
      <c r="O845" t="n">
        <v>0</v>
      </c>
      <c r="P845" t="n">
        <v>0</v>
      </c>
      <c r="Q845" t="n">
        <v>0</v>
      </c>
      <c r="R845" s="2" t="inlineStr"/>
    </row>
    <row r="846" ht="15" customHeight="1">
      <c r="A846" t="inlineStr">
        <is>
          <t>A 7998-2024</t>
        </is>
      </c>
      <c r="B846" s="1" t="n">
        <v>45350</v>
      </c>
      <c r="C846" s="1" t="n">
        <v>45824</v>
      </c>
      <c r="D846" t="inlineStr">
        <is>
          <t>DALARNAS LÄN</t>
        </is>
      </c>
      <c r="E846" t="inlineStr">
        <is>
          <t>ÄLVDALEN</t>
        </is>
      </c>
      <c r="F846" t="inlineStr">
        <is>
          <t>Kommuner</t>
        </is>
      </c>
      <c r="G846" t="n">
        <v>7.9</v>
      </c>
      <c r="H846" t="n">
        <v>0</v>
      </c>
      <c r="I846" t="n">
        <v>0</v>
      </c>
      <c r="J846" t="n">
        <v>0</v>
      </c>
      <c r="K846" t="n">
        <v>0</v>
      </c>
      <c r="L846" t="n">
        <v>0</v>
      </c>
      <c r="M846" t="n">
        <v>0</v>
      </c>
      <c r="N846" t="n">
        <v>0</v>
      </c>
      <c r="O846" t="n">
        <v>0</v>
      </c>
      <c r="P846" t="n">
        <v>0</v>
      </c>
      <c r="Q846" t="n">
        <v>0</v>
      </c>
      <c r="R846" s="2" t="inlineStr"/>
    </row>
    <row r="847" ht="15" customHeight="1">
      <c r="A847" t="inlineStr">
        <is>
          <t>A 8784-2024</t>
        </is>
      </c>
      <c r="B847" s="1" t="n">
        <v>45356</v>
      </c>
      <c r="C847" s="1" t="n">
        <v>45824</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45824</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9100-2024</t>
        </is>
      </c>
      <c r="B849" s="1" t="n">
        <v>45357</v>
      </c>
      <c r="C849" s="1" t="n">
        <v>45824</v>
      </c>
      <c r="D849" t="inlineStr">
        <is>
          <t>DALARNAS LÄN</t>
        </is>
      </c>
      <c r="E849" t="inlineStr">
        <is>
          <t>ÄLVDALEN</t>
        </is>
      </c>
      <c r="F849" t="inlineStr">
        <is>
          <t>Övriga Aktiebolag</t>
        </is>
      </c>
      <c r="G849" t="n">
        <v>6.3</v>
      </c>
      <c r="H849" t="n">
        <v>0</v>
      </c>
      <c r="I849" t="n">
        <v>0</v>
      </c>
      <c r="J849" t="n">
        <v>0</v>
      </c>
      <c r="K849" t="n">
        <v>0</v>
      </c>
      <c r="L849" t="n">
        <v>0</v>
      </c>
      <c r="M849" t="n">
        <v>0</v>
      </c>
      <c r="N849" t="n">
        <v>0</v>
      </c>
      <c r="O849" t="n">
        <v>0</v>
      </c>
      <c r="P849" t="n">
        <v>0</v>
      </c>
      <c r="Q849" t="n">
        <v>0</v>
      </c>
      <c r="R849" s="2" t="inlineStr"/>
    </row>
    <row r="850" ht="15" customHeight="1">
      <c r="A850" t="inlineStr">
        <is>
          <t>A 9091-2024</t>
        </is>
      </c>
      <c r="B850" s="1" t="n">
        <v>45357</v>
      </c>
      <c r="C850" s="1" t="n">
        <v>45824</v>
      </c>
      <c r="D850" t="inlineStr">
        <is>
          <t>DALARNAS LÄN</t>
        </is>
      </c>
      <c r="E850" t="inlineStr">
        <is>
          <t>ÄLVDALEN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9108-2024</t>
        </is>
      </c>
      <c r="B851" s="1" t="n">
        <v>45358</v>
      </c>
      <c r="C851" s="1" t="n">
        <v>45824</v>
      </c>
      <c r="D851" t="inlineStr">
        <is>
          <t>DALARNAS LÄN</t>
        </is>
      </c>
      <c r="E851" t="inlineStr">
        <is>
          <t>ÄLVDALEN</t>
        </is>
      </c>
      <c r="F851" t="inlineStr">
        <is>
          <t>Övriga Aktiebolag</t>
        </is>
      </c>
      <c r="G851" t="n">
        <v>24.4</v>
      </c>
      <c r="H851" t="n">
        <v>0</v>
      </c>
      <c r="I851" t="n">
        <v>0</v>
      </c>
      <c r="J851" t="n">
        <v>0</v>
      </c>
      <c r="K851" t="n">
        <v>0</v>
      </c>
      <c r="L851" t="n">
        <v>0</v>
      </c>
      <c r="M851" t="n">
        <v>0</v>
      </c>
      <c r="N851" t="n">
        <v>0</v>
      </c>
      <c r="O851" t="n">
        <v>0</v>
      </c>
      <c r="P851" t="n">
        <v>0</v>
      </c>
      <c r="Q851" t="n">
        <v>0</v>
      </c>
      <c r="R851" s="2" t="inlineStr"/>
    </row>
    <row r="852" ht="15" customHeight="1">
      <c r="A852" t="inlineStr">
        <is>
          <t>A 9085-2024</t>
        </is>
      </c>
      <c r="B852" s="1" t="n">
        <v>45357</v>
      </c>
      <c r="C852" s="1" t="n">
        <v>45824</v>
      </c>
      <c r="D852" t="inlineStr">
        <is>
          <t>DALARNAS LÄN</t>
        </is>
      </c>
      <c r="E852" t="inlineStr">
        <is>
          <t>ÄLVDALEN</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11891-2024</t>
        </is>
      </c>
      <c r="B853" s="1" t="n">
        <v>45376</v>
      </c>
      <c r="C853" s="1" t="n">
        <v>45824</v>
      </c>
      <c r="D853" t="inlineStr">
        <is>
          <t>DALARNAS LÄN</t>
        </is>
      </c>
      <c r="E853" t="inlineStr">
        <is>
          <t>ÄLVDALEN</t>
        </is>
      </c>
      <c r="G853" t="n">
        <v>24.7</v>
      </c>
      <c r="H853" t="n">
        <v>0</v>
      </c>
      <c r="I853" t="n">
        <v>0</v>
      </c>
      <c r="J853" t="n">
        <v>0</v>
      </c>
      <c r="K853" t="n">
        <v>0</v>
      </c>
      <c r="L853" t="n">
        <v>0</v>
      </c>
      <c r="M853" t="n">
        <v>0</v>
      </c>
      <c r="N853" t="n">
        <v>0</v>
      </c>
      <c r="O853" t="n">
        <v>0</v>
      </c>
      <c r="P853" t="n">
        <v>0</v>
      </c>
      <c r="Q853" t="n">
        <v>0</v>
      </c>
      <c r="R853" s="2" t="inlineStr"/>
    </row>
    <row r="854" ht="15" customHeight="1">
      <c r="A854" t="inlineStr">
        <is>
          <t>A 12420-2024</t>
        </is>
      </c>
      <c r="B854" s="1" t="n">
        <v>45379</v>
      </c>
      <c r="C854" s="1" t="n">
        <v>45824</v>
      </c>
      <c r="D854" t="inlineStr">
        <is>
          <t>DALARNAS LÄN</t>
        </is>
      </c>
      <c r="E854" t="inlineStr">
        <is>
          <t>ÄLVDALEN</t>
        </is>
      </c>
      <c r="G854" t="n">
        <v>7.4</v>
      </c>
      <c r="H854" t="n">
        <v>0</v>
      </c>
      <c r="I854" t="n">
        <v>0</v>
      </c>
      <c r="J854" t="n">
        <v>0</v>
      </c>
      <c r="K854" t="n">
        <v>0</v>
      </c>
      <c r="L854" t="n">
        <v>0</v>
      </c>
      <c r="M854" t="n">
        <v>0</v>
      </c>
      <c r="N854" t="n">
        <v>0</v>
      </c>
      <c r="O854" t="n">
        <v>0</v>
      </c>
      <c r="P854" t="n">
        <v>0</v>
      </c>
      <c r="Q854" t="n">
        <v>0</v>
      </c>
      <c r="R854" s="2" t="inlineStr"/>
    </row>
    <row r="855" ht="15" customHeight="1">
      <c r="A855" t="inlineStr">
        <is>
          <t>A 13047-2024</t>
        </is>
      </c>
      <c r="B855" s="1" t="n">
        <v>45385</v>
      </c>
      <c r="C855" s="1" t="n">
        <v>45824</v>
      </c>
      <c r="D855" t="inlineStr">
        <is>
          <t>DALARNAS LÄN</t>
        </is>
      </c>
      <c r="E855" t="inlineStr">
        <is>
          <t>ÄLVDALEN</t>
        </is>
      </c>
      <c r="G855" t="n">
        <v>4.3</v>
      </c>
      <c r="H855" t="n">
        <v>0</v>
      </c>
      <c r="I855" t="n">
        <v>0</v>
      </c>
      <c r="J855" t="n">
        <v>0</v>
      </c>
      <c r="K855" t="n">
        <v>0</v>
      </c>
      <c r="L855" t="n">
        <v>0</v>
      </c>
      <c r="M855" t="n">
        <v>0</v>
      </c>
      <c r="N855" t="n">
        <v>0</v>
      </c>
      <c r="O855" t="n">
        <v>0</v>
      </c>
      <c r="P855" t="n">
        <v>0</v>
      </c>
      <c r="Q855" t="n">
        <v>0</v>
      </c>
      <c r="R855" s="2" t="inlineStr"/>
    </row>
    <row r="856" ht="15" customHeight="1">
      <c r="A856" t="inlineStr">
        <is>
          <t>A 13854-2024</t>
        </is>
      </c>
      <c r="B856" s="1" t="n">
        <v>45390</v>
      </c>
      <c r="C856" s="1" t="n">
        <v>45824</v>
      </c>
      <c r="D856" t="inlineStr">
        <is>
          <t>DALARNAS LÄN</t>
        </is>
      </c>
      <c r="E856" t="inlineStr">
        <is>
          <t>ÄLVDALEN</t>
        </is>
      </c>
      <c r="G856" t="n">
        <v>13.5</v>
      </c>
      <c r="H856" t="n">
        <v>0</v>
      </c>
      <c r="I856" t="n">
        <v>0</v>
      </c>
      <c r="J856" t="n">
        <v>0</v>
      </c>
      <c r="K856" t="n">
        <v>0</v>
      </c>
      <c r="L856" t="n">
        <v>0</v>
      </c>
      <c r="M856" t="n">
        <v>0</v>
      </c>
      <c r="N856" t="n">
        <v>0</v>
      </c>
      <c r="O856" t="n">
        <v>0</v>
      </c>
      <c r="P856" t="n">
        <v>0</v>
      </c>
      <c r="Q856" t="n">
        <v>0</v>
      </c>
      <c r="R856" s="2" t="inlineStr"/>
    </row>
    <row r="857" ht="15" customHeight="1">
      <c r="A857" t="inlineStr">
        <is>
          <t>A 14895-2024</t>
        </is>
      </c>
      <c r="B857" s="1" t="n">
        <v>45398</v>
      </c>
      <c r="C857" s="1" t="n">
        <v>45824</v>
      </c>
      <c r="D857" t="inlineStr">
        <is>
          <t>DALARNAS LÄN</t>
        </is>
      </c>
      <c r="E857" t="inlineStr">
        <is>
          <t>ÄLVDALEN</t>
        </is>
      </c>
      <c r="G857" t="n">
        <v>4.9</v>
      </c>
      <c r="H857" t="n">
        <v>0</v>
      </c>
      <c r="I857" t="n">
        <v>0</v>
      </c>
      <c r="J857" t="n">
        <v>0</v>
      </c>
      <c r="K857" t="n">
        <v>0</v>
      </c>
      <c r="L857" t="n">
        <v>0</v>
      </c>
      <c r="M857" t="n">
        <v>0</v>
      </c>
      <c r="N857" t="n">
        <v>0</v>
      </c>
      <c r="O857" t="n">
        <v>0</v>
      </c>
      <c r="P857" t="n">
        <v>0</v>
      </c>
      <c r="Q857" t="n">
        <v>0</v>
      </c>
      <c r="R857" s="2" t="inlineStr"/>
    </row>
    <row r="858" ht="15" customHeight="1">
      <c r="A858" t="inlineStr">
        <is>
          <t>A 15037-2024</t>
        </is>
      </c>
      <c r="B858" s="1" t="n">
        <v>45399</v>
      </c>
      <c r="C858" s="1" t="n">
        <v>45824</v>
      </c>
      <c r="D858" t="inlineStr">
        <is>
          <t>DALARNAS LÄN</t>
        </is>
      </c>
      <c r="E858" t="inlineStr">
        <is>
          <t>ÄLVDALEN</t>
        </is>
      </c>
      <c r="G858" t="n">
        <v>17</v>
      </c>
      <c r="H858" t="n">
        <v>0</v>
      </c>
      <c r="I858" t="n">
        <v>0</v>
      </c>
      <c r="J858" t="n">
        <v>0</v>
      </c>
      <c r="K858" t="n">
        <v>0</v>
      </c>
      <c r="L858" t="n">
        <v>0</v>
      </c>
      <c r="M858" t="n">
        <v>0</v>
      </c>
      <c r="N858" t="n">
        <v>0</v>
      </c>
      <c r="O858" t="n">
        <v>0</v>
      </c>
      <c r="P858" t="n">
        <v>0</v>
      </c>
      <c r="Q858" t="n">
        <v>0</v>
      </c>
      <c r="R858" s="2" t="inlineStr"/>
    </row>
    <row r="859" ht="15" customHeight="1">
      <c r="A859" t="inlineStr">
        <is>
          <t>A 15647-2024</t>
        </is>
      </c>
      <c r="B859" s="1" t="n">
        <v>45404</v>
      </c>
      <c r="C859" s="1" t="n">
        <v>45824</v>
      </c>
      <c r="D859" t="inlineStr">
        <is>
          <t>DALARNAS LÄN</t>
        </is>
      </c>
      <c r="E859" t="inlineStr">
        <is>
          <t>ÄLVDALEN</t>
        </is>
      </c>
      <c r="F859" t="inlineStr">
        <is>
          <t>Bergvik skog väst AB</t>
        </is>
      </c>
      <c r="G859" t="n">
        <v>16.3</v>
      </c>
      <c r="H859" t="n">
        <v>0</v>
      </c>
      <c r="I859" t="n">
        <v>0</v>
      </c>
      <c r="J859" t="n">
        <v>0</v>
      </c>
      <c r="K859" t="n">
        <v>0</v>
      </c>
      <c r="L859" t="n">
        <v>0</v>
      </c>
      <c r="M859" t="n">
        <v>0</v>
      </c>
      <c r="N859" t="n">
        <v>0</v>
      </c>
      <c r="O859" t="n">
        <v>0</v>
      </c>
      <c r="P859" t="n">
        <v>0</v>
      </c>
      <c r="Q859" t="n">
        <v>0</v>
      </c>
      <c r="R859" s="2" t="inlineStr"/>
    </row>
    <row r="860" ht="15" customHeight="1">
      <c r="A860" t="inlineStr">
        <is>
          <t>A 15760-2024</t>
        </is>
      </c>
      <c r="B860" s="1" t="n">
        <v>45404</v>
      </c>
      <c r="C860" s="1" t="n">
        <v>45824</v>
      </c>
      <c r="D860" t="inlineStr">
        <is>
          <t>DALARNAS LÄN</t>
        </is>
      </c>
      <c r="E860" t="inlineStr">
        <is>
          <t>ÄLVDALEN</t>
        </is>
      </c>
      <c r="G860" t="n">
        <v>1.9</v>
      </c>
      <c r="H860" t="n">
        <v>0</v>
      </c>
      <c r="I860" t="n">
        <v>0</v>
      </c>
      <c r="J860" t="n">
        <v>0</v>
      </c>
      <c r="K860" t="n">
        <v>0</v>
      </c>
      <c r="L860" t="n">
        <v>0</v>
      </c>
      <c r="M860" t="n">
        <v>0</v>
      </c>
      <c r="N860" t="n">
        <v>0</v>
      </c>
      <c r="O860" t="n">
        <v>0</v>
      </c>
      <c r="P860" t="n">
        <v>0</v>
      </c>
      <c r="Q860" t="n">
        <v>0</v>
      </c>
      <c r="R860" s="2" t="inlineStr"/>
    </row>
    <row r="861" ht="15" customHeight="1">
      <c r="A861" t="inlineStr">
        <is>
          <t>A 15652-2024</t>
        </is>
      </c>
      <c r="B861" s="1" t="n">
        <v>45404</v>
      </c>
      <c r="C861" s="1" t="n">
        <v>45824</v>
      </c>
      <c r="D861" t="inlineStr">
        <is>
          <t>DALARNAS LÄN</t>
        </is>
      </c>
      <c r="E861" t="inlineStr">
        <is>
          <t>ÄLVDALEN</t>
        </is>
      </c>
      <c r="F861" t="inlineStr">
        <is>
          <t>Bergvik skog väst AB</t>
        </is>
      </c>
      <c r="G861" t="n">
        <v>4.5</v>
      </c>
      <c r="H861" t="n">
        <v>0</v>
      </c>
      <c r="I861" t="n">
        <v>0</v>
      </c>
      <c r="J861" t="n">
        <v>0</v>
      </c>
      <c r="K861" t="n">
        <v>0</v>
      </c>
      <c r="L861" t="n">
        <v>0</v>
      </c>
      <c r="M861" t="n">
        <v>0</v>
      </c>
      <c r="N861" t="n">
        <v>0</v>
      </c>
      <c r="O861" t="n">
        <v>0</v>
      </c>
      <c r="P861" t="n">
        <v>0</v>
      </c>
      <c r="Q861" t="n">
        <v>0</v>
      </c>
      <c r="R861" s="2" t="inlineStr"/>
    </row>
    <row r="862" ht="15" customHeight="1">
      <c r="A862" t="inlineStr">
        <is>
          <t>A 15759-2024</t>
        </is>
      </c>
      <c r="B862" s="1" t="n">
        <v>45404</v>
      </c>
      <c r="C862" s="1" t="n">
        <v>45824</v>
      </c>
      <c r="D862" t="inlineStr">
        <is>
          <t>DALARNAS LÄN</t>
        </is>
      </c>
      <c r="E862" t="inlineStr">
        <is>
          <t>ÄLVDALEN</t>
        </is>
      </c>
      <c r="G862" t="n">
        <v>1.4</v>
      </c>
      <c r="H862" t="n">
        <v>0</v>
      </c>
      <c r="I862" t="n">
        <v>0</v>
      </c>
      <c r="J862" t="n">
        <v>0</v>
      </c>
      <c r="K862" t="n">
        <v>0</v>
      </c>
      <c r="L862" t="n">
        <v>0</v>
      </c>
      <c r="M862" t="n">
        <v>0</v>
      </c>
      <c r="N862" t="n">
        <v>0</v>
      </c>
      <c r="O862" t="n">
        <v>0</v>
      </c>
      <c r="P862" t="n">
        <v>0</v>
      </c>
      <c r="Q862" t="n">
        <v>0</v>
      </c>
      <c r="R862" s="2" t="inlineStr"/>
    </row>
    <row r="863" ht="15" customHeight="1">
      <c r="A863" t="inlineStr">
        <is>
          <t>A 17049-2024</t>
        </is>
      </c>
      <c r="B863" s="1" t="n">
        <v>45412</v>
      </c>
      <c r="C863" s="1" t="n">
        <v>45824</v>
      </c>
      <c r="D863" t="inlineStr">
        <is>
          <t>DALARNAS LÄN</t>
        </is>
      </c>
      <c r="E863" t="inlineStr">
        <is>
          <t>ÄLVDALEN</t>
        </is>
      </c>
      <c r="G863" t="n">
        <v>9.5</v>
      </c>
      <c r="H863" t="n">
        <v>0</v>
      </c>
      <c r="I863" t="n">
        <v>0</v>
      </c>
      <c r="J863" t="n">
        <v>0</v>
      </c>
      <c r="K863" t="n">
        <v>0</v>
      </c>
      <c r="L863" t="n">
        <v>0</v>
      </c>
      <c r="M863" t="n">
        <v>0</v>
      </c>
      <c r="N863" t="n">
        <v>0</v>
      </c>
      <c r="O863" t="n">
        <v>0</v>
      </c>
      <c r="P863" t="n">
        <v>0</v>
      </c>
      <c r="Q863" t="n">
        <v>0</v>
      </c>
      <c r="R863" s="2" t="inlineStr"/>
    </row>
    <row r="864" ht="15" customHeight="1">
      <c r="A864" t="inlineStr">
        <is>
          <t>A 17558-2024</t>
        </is>
      </c>
      <c r="B864" s="1" t="n">
        <v>45415</v>
      </c>
      <c r="C864" s="1" t="n">
        <v>45824</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17827-2024</t>
        </is>
      </c>
      <c r="B865" s="1" t="n">
        <v>45418</v>
      </c>
      <c r="C865" s="1" t="n">
        <v>45824</v>
      </c>
      <c r="D865" t="inlineStr">
        <is>
          <t>DALARNAS LÄN</t>
        </is>
      </c>
      <c r="E865" t="inlineStr">
        <is>
          <t>ÄLVDALEN</t>
        </is>
      </c>
      <c r="F865" t="inlineStr">
        <is>
          <t>Övriga statliga verk och myndigheter</t>
        </is>
      </c>
      <c r="G865" t="n">
        <v>12.3</v>
      </c>
      <c r="H865" t="n">
        <v>0</v>
      </c>
      <c r="I865" t="n">
        <v>0</v>
      </c>
      <c r="J865" t="n">
        <v>0</v>
      </c>
      <c r="K865" t="n">
        <v>0</v>
      </c>
      <c r="L865" t="n">
        <v>0</v>
      </c>
      <c r="M865" t="n">
        <v>0</v>
      </c>
      <c r="N865" t="n">
        <v>0</v>
      </c>
      <c r="O865" t="n">
        <v>0</v>
      </c>
      <c r="P865" t="n">
        <v>0</v>
      </c>
      <c r="Q865" t="n">
        <v>0</v>
      </c>
      <c r="R865" s="2" t="inlineStr"/>
    </row>
    <row r="866" ht="15" customHeight="1">
      <c r="A866" t="inlineStr">
        <is>
          <t>A 18075-2024</t>
        </is>
      </c>
      <c r="B866" s="1" t="n">
        <v>45420</v>
      </c>
      <c r="C866" s="1" t="n">
        <v>45824</v>
      </c>
      <c r="D866" t="inlineStr">
        <is>
          <t>DALARNAS LÄN</t>
        </is>
      </c>
      <c r="E866" t="inlineStr">
        <is>
          <t>ÄLVDALEN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19007-2024</t>
        </is>
      </c>
      <c r="B867" s="1" t="n">
        <v>45427</v>
      </c>
      <c r="C867" s="1" t="n">
        <v>45824</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19100-2024</t>
        </is>
      </c>
      <c r="B868" s="1" t="n">
        <v>45428</v>
      </c>
      <c r="C868" s="1" t="n">
        <v>45824</v>
      </c>
      <c r="D868" t="inlineStr">
        <is>
          <t>DALARNAS LÄN</t>
        </is>
      </c>
      <c r="E868" t="inlineStr">
        <is>
          <t>ÄLVDALEN</t>
        </is>
      </c>
      <c r="F868" t="inlineStr">
        <is>
          <t>Allmännings- och besparingsskogar</t>
        </is>
      </c>
      <c r="G868" t="n">
        <v>32.5</v>
      </c>
      <c r="H868" t="n">
        <v>0</v>
      </c>
      <c r="I868" t="n">
        <v>0</v>
      </c>
      <c r="J868" t="n">
        <v>0</v>
      </c>
      <c r="K868" t="n">
        <v>0</v>
      </c>
      <c r="L868" t="n">
        <v>0</v>
      </c>
      <c r="M868" t="n">
        <v>0</v>
      </c>
      <c r="N868" t="n">
        <v>0</v>
      </c>
      <c r="O868" t="n">
        <v>0</v>
      </c>
      <c r="P868" t="n">
        <v>0</v>
      </c>
      <c r="Q868" t="n">
        <v>0</v>
      </c>
      <c r="R868" s="2" t="inlineStr"/>
    </row>
    <row r="869" ht="15" customHeight="1">
      <c r="A869" t="inlineStr">
        <is>
          <t>A 19423-2024</t>
        </is>
      </c>
      <c r="B869" s="1" t="n">
        <v>45429</v>
      </c>
      <c r="C869" s="1" t="n">
        <v>45824</v>
      </c>
      <c r="D869" t="inlineStr">
        <is>
          <t>DALARNAS LÄN</t>
        </is>
      </c>
      <c r="E869" t="inlineStr">
        <is>
          <t>ÄLVDALEN</t>
        </is>
      </c>
      <c r="F869" t="inlineStr">
        <is>
          <t>Bergvik skog väst AB</t>
        </is>
      </c>
      <c r="G869" t="n">
        <v>9.5</v>
      </c>
      <c r="H869" t="n">
        <v>0</v>
      </c>
      <c r="I869" t="n">
        <v>0</v>
      </c>
      <c r="J869" t="n">
        <v>0</v>
      </c>
      <c r="K869" t="n">
        <v>0</v>
      </c>
      <c r="L869" t="n">
        <v>0</v>
      </c>
      <c r="M869" t="n">
        <v>0</v>
      </c>
      <c r="N869" t="n">
        <v>0</v>
      </c>
      <c r="O869" t="n">
        <v>0</v>
      </c>
      <c r="P869" t="n">
        <v>0</v>
      </c>
      <c r="Q869" t="n">
        <v>0</v>
      </c>
      <c r="R869" s="2" t="inlineStr"/>
    </row>
    <row r="870" ht="15" customHeight="1">
      <c r="A870" t="inlineStr">
        <is>
          <t>A 19708-2024</t>
        </is>
      </c>
      <c r="B870" s="1" t="n">
        <v>45432</v>
      </c>
      <c r="C870" s="1" t="n">
        <v>45824</v>
      </c>
      <c r="D870" t="inlineStr">
        <is>
          <t>DALARNAS LÄN</t>
        </is>
      </c>
      <c r="E870" t="inlineStr">
        <is>
          <t>ÄLVDALEN</t>
        </is>
      </c>
      <c r="G870" t="n">
        <v>12.4</v>
      </c>
      <c r="H870" t="n">
        <v>0</v>
      </c>
      <c r="I870" t="n">
        <v>0</v>
      </c>
      <c r="J870" t="n">
        <v>0</v>
      </c>
      <c r="K870" t="n">
        <v>0</v>
      </c>
      <c r="L870" t="n">
        <v>0</v>
      </c>
      <c r="M870" t="n">
        <v>0</v>
      </c>
      <c r="N870" t="n">
        <v>0</v>
      </c>
      <c r="O870" t="n">
        <v>0</v>
      </c>
      <c r="P870" t="n">
        <v>0</v>
      </c>
      <c r="Q870" t="n">
        <v>0</v>
      </c>
      <c r="R870" s="2" t="inlineStr"/>
    </row>
    <row r="871" ht="15" customHeight="1">
      <c r="A871" t="inlineStr">
        <is>
          <t>A 20569-2024</t>
        </is>
      </c>
      <c r="B871" s="1" t="n">
        <v>45436</v>
      </c>
      <c r="C871" s="1" t="n">
        <v>45824</v>
      </c>
      <c r="D871" t="inlineStr">
        <is>
          <t>DALARNAS LÄN</t>
        </is>
      </c>
      <c r="E871" t="inlineStr">
        <is>
          <t>ÄLVDALEN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21199-2024</t>
        </is>
      </c>
      <c r="B872" s="1" t="n">
        <v>45440</v>
      </c>
      <c r="C872" s="1" t="n">
        <v>45824</v>
      </c>
      <c r="D872" t="inlineStr">
        <is>
          <t>DALARNAS LÄN</t>
        </is>
      </c>
      <c r="E872" t="inlineStr">
        <is>
          <t>ÄLVDALEN</t>
        </is>
      </c>
      <c r="G872" t="n">
        <v>3</v>
      </c>
      <c r="H872" t="n">
        <v>0</v>
      </c>
      <c r="I872" t="n">
        <v>0</v>
      </c>
      <c r="J872" t="n">
        <v>0</v>
      </c>
      <c r="K872" t="n">
        <v>0</v>
      </c>
      <c r="L872" t="n">
        <v>0</v>
      </c>
      <c r="M872" t="n">
        <v>0</v>
      </c>
      <c r="N872" t="n">
        <v>0</v>
      </c>
      <c r="O872" t="n">
        <v>0</v>
      </c>
      <c r="P872" t="n">
        <v>0</v>
      </c>
      <c r="Q872" t="n">
        <v>0</v>
      </c>
      <c r="R872" s="2" t="inlineStr"/>
    </row>
    <row r="873" ht="15" customHeight="1">
      <c r="A873" t="inlineStr">
        <is>
          <t>A 21116-2024</t>
        </is>
      </c>
      <c r="B873" s="1" t="n">
        <v>45440</v>
      </c>
      <c r="C873" s="1" t="n">
        <v>45824</v>
      </c>
      <c r="D873" t="inlineStr">
        <is>
          <t>DALARNAS LÄN</t>
        </is>
      </c>
      <c r="E873" t="inlineStr">
        <is>
          <t>ÄLVDALEN</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21466-2024</t>
        </is>
      </c>
      <c r="B874" s="1" t="n">
        <v>45441</v>
      </c>
      <c r="C874" s="1" t="n">
        <v>45824</v>
      </c>
      <c r="D874" t="inlineStr">
        <is>
          <t>DALARNAS LÄN</t>
        </is>
      </c>
      <c r="E874" t="inlineStr">
        <is>
          <t>ÄLVDALEN</t>
        </is>
      </c>
      <c r="G874" t="n">
        <v>1.9</v>
      </c>
      <c r="H874" t="n">
        <v>0</v>
      </c>
      <c r="I874" t="n">
        <v>0</v>
      </c>
      <c r="J874" t="n">
        <v>0</v>
      </c>
      <c r="K874" t="n">
        <v>0</v>
      </c>
      <c r="L874" t="n">
        <v>0</v>
      </c>
      <c r="M874" t="n">
        <v>0</v>
      </c>
      <c r="N874" t="n">
        <v>0</v>
      </c>
      <c r="O874" t="n">
        <v>0</v>
      </c>
      <c r="P874" t="n">
        <v>0</v>
      </c>
      <c r="Q874" t="n">
        <v>0</v>
      </c>
      <c r="R874" s="2" t="inlineStr"/>
    </row>
    <row r="875" ht="15" customHeight="1">
      <c r="A875" t="inlineStr">
        <is>
          <t>A 21469-2024</t>
        </is>
      </c>
      <c r="B875" s="1" t="n">
        <v>45441</v>
      </c>
      <c r="C875" s="1" t="n">
        <v>45824</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21659-2024</t>
        </is>
      </c>
      <c r="B876" s="1" t="n">
        <v>45442</v>
      </c>
      <c r="C876" s="1" t="n">
        <v>45824</v>
      </c>
      <c r="D876" t="inlineStr">
        <is>
          <t>DALARNAS LÄN</t>
        </is>
      </c>
      <c r="E876" t="inlineStr">
        <is>
          <t>ÄLVDALEN</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23328-2024</t>
        </is>
      </c>
      <c r="B877" s="1" t="n">
        <v>45453</v>
      </c>
      <c r="C877" s="1" t="n">
        <v>45824</v>
      </c>
      <c r="D877" t="inlineStr">
        <is>
          <t>DALARNAS LÄN</t>
        </is>
      </c>
      <c r="E877" t="inlineStr">
        <is>
          <t>ÄLVDALEN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23370-2024</t>
        </is>
      </c>
      <c r="B878" s="1" t="n">
        <v>45453</v>
      </c>
      <c r="C878" s="1" t="n">
        <v>45824</v>
      </c>
      <c r="D878" t="inlineStr">
        <is>
          <t>DALARNAS LÄN</t>
        </is>
      </c>
      <c r="E878" t="inlineStr">
        <is>
          <t>ÄLVDALEN</t>
        </is>
      </c>
      <c r="G878" t="n">
        <v>2.4</v>
      </c>
      <c r="H878" t="n">
        <v>0</v>
      </c>
      <c r="I878" t="n">
        <v>0</v>
      </c>
      <c r="J878" t="n">
        <v>0</v>
      </c>
      <c r="K878" t="n">
        <v>0</v>
      </c>
      <c r="L878" t="n">
        <v>0</v>
      </c>
      <c r="M878" t="n">
        <v>0</v>
      </c>
      <c r="N878" t="n">
        <v>0</v>
      </c>
      <c r="O878" t="n">
        <v>0</v>
      </c>
      <c r="P878" t="n">
        <v>0</v>
      </c>
      <c r="Q878" t="n">
        <v>0</v>
      </c>
      <c r="R878" s="2" t="inlineStr"/>
    </row>
    <row r="879" ht="15" customHeight="1">
      <c r="A879" t="inlineStr">
        <is>
          <t>A 23656-2024</t>
        </is>
      </c>
      <c r="B879" s="1" t="n">
        <v>45454</v>
      </c>
      <c r="C879" s="1" t="n">
        <v>45824</v>
      </c>
      <c r="D879" t="inlineStr">
        <is>
          <t>DALARNAS LÄN</t>
        </is>
      </c>
      <c r="E879" t="inlineStr">
        <is>
          <t>ÄLVDALEN</t>
        </is>
      </c>
      <c r="F879" t="inlineStr">
        <is>
          <t>Allmännings- och besparingsskogar</t>
        </is>
      </c>
      <c r="G879" t="n">
        <v>35.2</v>
      </c>
      <c r="H879" t="n">
        <v>0</v>
      </c>
      <c r="I879" t="n">
        <v>0</v>
      </c>
      <c r="J879" t="n">
        <v>0</v>
      </c>
      <c r="K879" t="n">
        <v>0</v>
      </c>
      <c r="L879" t="n">
        <v>0</v>
      </c>
      <c r="M879" t="n">
        <v>0</v>
      </c>
      <c r="N879" t="n">
        <v>0</v>
      </c>
      <c r="O879" t="n">
        <v>0</v>
      </c>
      <c r="P879" t="n">
        <v>0</v>
      </c>
      <c r="Q879" t="n">
        <v>0</v>
      </c>
      <c r="R879" s="2" t="inlineStr"/>
    </row>
    <row r="880" ht="15" customHeight="1">
      <c r="A880" t="inlineStr">
        <is>
          <t>A 23756-2024</t>
        </is>
      </c>
      <c r="B880" s="1" t="n">
        <v>45455</v>
      </c>
      <c r="C880" s="1" t="n">
        <v>45824</v>
      </c>
      <c r="D880" t="inlineStr">
        <is>
          <t>DALARNAS LÄN</t>
        </is>
      </c>
      <c r="E880" t="inlineStr">
        <is>
          <t>ÄLVDALEN</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24002-2024</t>
        </is>
      </c>
      <c r="B881" s="1" t="n">
        <v>45456</v>
      </c>
      <c r="C881" s="1" t="n">
        <v>45824</v>
      </c>
      <c r="D881" t="inlineStr">
        <is>
          <t>DALARNAS LÄN</t>
        </is>
      </c>
      <c r="E881" t="inlineStr">
        <is>
          <t>ÄLVDALEN</t>
        </is>
      </c>
      <c r="G881" t="n">
        <v>1</v>
      </c>
      <c r="H881" t="n">
        <v>0</v>
      </c>
      <c r="I881" t="n">
        <v>0</v>
      </c>
      <c r="J881" t="n">
        <v>0</v>
      </c>
      <c r="K881" t="n">
        <v>0</v>
      </c>
      <c r="L881" t="n">
        <v>0</v>
      </c>
      <c r="M881" t="n">
        <v>0</v>
      </c>
      <c r="N881" t="n">
        <v>0</v>
      </c>
      <c r="O881" t="n">
        <v>0</v>
      </c>
      <c r="P881" t="n">
        <v>0</v>
      </c>
      <c r="Q881" t="n">
        <v>0</v>
      </c>
      <c r="R881" s="2" t="inlineStr"/>
    </row>
    <row r="882" ht="15" customHeight="1">
      <c r="A882" t="inlineStr">
        <is>
          <t>A 23999-2024</t>
        </is>
      </c>
      <c r="B882" s="1" t="n">
        <v>45456</v>
      </c>
      <c r="C882" s="1" t="n">
        <v>45824</v>
      </c>
      <c r="D882" t="inlineStr">
        <is>
          <t>DALARNAS LÄN</t>
        </is>
      </c>
      <c r="E882" t="inlineStr">
        <is>
          <t>ÄLVDALEN</t>
        </is>
      </c>
      <c r="G882" t="n">
        <v>1</v>
      </c>
      <c r="H882" t="n">
        <v>0</v>
      </c>
      <c r="I882" t="n">
        <v>0</v>
      </c>
      <c r="J882" t="n">
        <v>0</v>
      </c>
      <c r="K882" t="n">
        <v>0</v>
      </c>
      <c r="L882" t="n">
        <v>0</v>
      </c>
      <c r="M882" t="n">
        <v>0</v>
      </c>
      <c r="N882" t="n">
        <v>0</v>
      </c>
      <c r="O882" t="n">
        <v>0</v>
      </c>
      <c r="P882" t="n">
        <v>0</v>
      </c>
      <c r="Q882" t="n">
        <v>0</v>
      </c>
      <c r="R882" s="2" t="inlineStr"/>
    </row>
    <row r="883" ht="15" customHeight="1">
      <c r="A883" t="inlineStr">
        <is>
          <t>A 24009-2024</t>
        </is>
      </c>
      <c r="B883" s="1" t="n">
        <v>45456</v>
      </c>
      <c r="C883" s="1" t="n">
        <v>45824</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24597-2024</t>
        </is>
      </c>
      <c r="B884" s="1" t="n">
        <v>45460</v>
      </c>
      <c r="C884" s="1" t="n">
        <v>45824</v>
      </c>
      <c r="D884" t="inlineStr">
        <is>
          <t>DALARNAS LÄN</t>
        </is>
      </c>
      <c r="E884" t="inlineStr">
        <is>
          <t>ÄLVDALEN</t>
        </is>
      </c>
      <c r="F884" t="inlineStr">
        <is>
          <t>Allmännings- och besparingsskogar</t>
        </is>
      </c>
      <c r="G884" t="n">
        <v>21.8</v>
      </c>
      <c r="H884" t="n">
        <v>0</v>
      </c>
      <c r="I884" t="n">
        <v>0</v>
      </c>
      <c r="J884" t="n">
        <v>0</v>
      </c>
      <c r="K884" t="n">
        <v>0</v>
      </c>
      <c r="L884" t="n">
        <v>0</v>
      </c>
      <c r="M884" t="n">
        <v>0</v>
      </c>
      <c r="N884" t="n">
        <v>0</v>
      </c>
      <c r="O884" t="n">
        <v>0</v>
      </c>
      <c r="P884" t="n">
        <v>0</v>
      </c>
      <c r="Q884" t="n">
        <v>0</v>
      </c>
      <c r="R884" s="2" t="inlineStr"/>
    </row>
    <row r="885" ht="15" customHeight="1">
      <c r="A885" t="inlineStr">
        <is>
          <t>A 25257-2024</t>
        </is>
      </c>
      <c r="B885" s="1" t="n">
        <v>45462</v>
      </c>
      <c r="C885" s="1" t="n">
        <v>45824</v>
      </c>
      <c r="D885" t="inlineStr">
        <is>
          <t>DALARNAS LÄN</t>
        </is>
      </c>
      <c r="E885" t="inlineStr">
        <is>
          <t>ÄLVDALEN</t>
        </is>
      </c>
      <c r="G885" t="n">
        <v>3.5</v>
      </c>
      <c r="H885" t="n">
        <v>0</v>
      </c>
      <c r="I885" t="n">
        <v>0</v>
      </c>
      <c r="J885" t="n">
        <v>0</v>
      </c>
      <c r="K885" t="n">
        <v>0</v>
      </c>
      <c r="L885" t="n">
        <v>0</v>
      </c>
      <c r="M885" t="n">
        <v>0</v>
      </c>
      <c r="N885" t="n">
        <v>0</v>
      </c>
      <c r="O885" t="n">
        <v>0</v>
      </c>
      <c r="P885" t="n">
        <v>0</v>
      </c>
      <c r="Q885" t="n">
        <v>0</v>
      </c>
      <c r="R885" s="2" t="inlineStr"/>
    </row>
    <row r="886" ht="15" customHeight="1">
      <c r="A886" t="inlineStr">
        <is>
          <t>A 25272-2024</t>
        </is>
      </c>
      <c r="B886" s="1" t="n">
        <v>45462</v>
      </c>
      <c r="C886" s="1" t="n">
        <v>45824</v>
      </c>
      <c r="D886" t="inlineStr">
        <is>
          <t>DALARNAS LÄN</t>
        </is>
      </c>
      <c r="E886" t="inlineStr">
        <is>
          <t>ÄLVDALEN</t>
        </is>
      </c>
      <c r="G886" t="n">
        <v>23.5</v>
      </c>
      <c r="H886" t="n">
        <v>0</v>
      </c>
      <c r="I886" t="n">
        <v>0</v>
      </c>
      <c r="J886" t="n">
        <v>0</v>
      </c>
      <c r="K886" t="n">
        <v>0</v>
      </c>
      <c r="L886" t="n">
        <v>0</v>
      </c>
      <c r="M886" t="n">
        <v>0</v>
      </c>
      <c r="N886" t="n">
        <v>0</v>
      </c>
      <c r="O886" t="n">
        <v>0</v>
      </c>
      <c r="P886" t="n">
        <v>0</v>
      </c>
      <c r="Q886" t="n">
        <v>0</v>
      </c>
      <c r="R886" s="2" t="inlineStr"/>
    </row>
    <row r="887" ht="15" customHeight="1">
      <c r="A887" t="inlineStr">
        <is>
          <t>A 25505-2024</t>
        </is>
      </c>
      <c r="B887" s="1" t="n">
        <v>45463</v>
      </c>
      <c r="C887" s="1" t="n">
        <v>45824</v>
      </c>
      <c r="D887" t="inlineStr">
        <is>
          <t>DALARNAS LÄN</t>
        </is>
      </c>
      <c r="E887" t="inlineStr">
        <is>
          <t>ÄLVDALEN</t>
        </is>
      </c>
      <c r="G887" t="n">
        <v>15.2</v>
      </c>
      <c r="H887" t="n">
        <v>0</v>
      </c>
      <c r="I887" t="n">
        <v>0</v>
      </c>
      <c r="J887" t="n">
        <v>0</v>
      </c>
      <c r="K887" t="n">
        <v>0</v>
      </c>
      <c r="L887" t="n">
        <v>0</v>
      </c>
      <c r="M887" t="n">
        <v>0</v>
      </c>
      <c r="N887" t="n">
        <v>0</v>
      </c>
      <c r="O887" t="n">
        <v>0</v>
      </c>
      <c r="P887" t="n">
        <v>0</v>
      </c>
      <c r="Q887" t="n">
        <v>0</v>
      </c>
      <c r="R887" s="2" t="inlineStr"/>
    </row>
    <row r="888" ht="15" customHeight="1">
      <c r="A888" t="inlineStr">
        <is>
          <t>A 25512-2024</t>
        </is>
      </c>
      <c r="B888" s="1" t="n">
        <v>45463</v>
      </c>
      <c r="C888" s="1" t="n">
        <v>45824</v>
      </c>
      <c r="D888" t="inlineStr">
        <is>
          <t>DALARNAS LÄN</t>
        </is>
      </c>
      <c r="E888" t="inlineStr">
        <is>
          <t>ÄLVDALEN</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25516-2024</t>
        </is>
      </c>
      <c r="B889" s="1" t="n">
        <v>45463</v>
      </c>
      <c r="C889" s="1" t="n">
        <v>45824</v>
      </c>
      <c r="D889" t="inlineStr">
        <is>
          <t>DALARNAS LÄN</t>
        </is>
      </c>
      <c r="E889" t="inlineStr">
        <is>
          <t>ÄLVDALEN</t>
        </is>
      </c>
      <c r="F889" t="inlineStr">
        <is>
          <t>Övriga Aktiebolag</t>
        </is>
      </c>
      <c r="G889" t="n">
        <v>9.1</v>
      </c>
      <c r="H889" t="n">
        <v>0</v>
      </c>
      <c r="I889" t="n">
        <v>0</v>
      </c>
      <c r="J889" t="n">
        <v>0</v>
      </c>
      <c r="K889" t="n">
        <v>0</v>
      </c>
      <c r="L889" t="n">
        <v>0</v>
      </c>
      <c r="M889" t="n">
        <v>0</v>
      </c>
      <c r="N889" t="n">
        <v>0</v>
      </c>
      <c r="O889" t="n">
        <v>0</v>
      </c>
      <c r="P889" t="n">
        <v>0</v>
      </c>
      <c r="Q889" t="n">
        <v>0</v>
      </c>
      <c r="R889" s="2" t="inlineStr"/>
    </row>
    <row r="890" ht="15" customHeight="1">
      <c r="A890" t="inlineStr">
        <is>
          <t>A 25511-2024</t>
        </is>
      </c>
      <c r="B890" s="1" t="n">
        <v>45463</v>
      </c>
      <c r="C890" s="1" t="n">
        <v>45824</v>
      </c>
      <c r="D890" t="inlineStr">
        <is>
          <t>DALARNAS LÄN</t>
        </is>
      </c>
      <c r="E890" t="inlineStr">
        <is>
          <t>ÄLVDALEN</t>
        </is>
      </c>
      <c r="F890" t="inlineStr">
        <is>
          <t>Övriga Aktiebolag</t>
        </is>
      </c>
      <c r="G890" t="n">
        <v>3.2</v>
      </c>
      <c r="H890" t="n">
        <v>0</v>
      </c>
      <c r="I890" t="n">
        <v>0</v>
      </c>
      <c r="J890" t="n">
        <v>0</v>
      </c>
      <c r="K890" t="n">
        <v>0</v>
      </c>
      <c r="L890" t="n">
        <v>0</v>
      </c>
      <c r="M890" t="n">
        <v>0</v>
      </c>
      <c r="N890" t="n">
        <v>0</v>
      </c>
      <c r="O890" t="n">
        <v>0</v>
      </c>
      <c r="P890" t="n">
        <v>0</v>
      </c>
      <c r="Q890" t="n">
        <v>0</v>
      </c>
      <c r="R890" s="2" t="inlineStr"/>
    </row>
    <row r="891" ht="15" customHeight="1">
      <c r="A891" t="inlineStr">
        <is>
          <t>A 25507-2024</t>
        </is>
      </c>
      <c r="B891" s="1" t="n">
        <v>45463</v>
      </c>
      <c r="C891" s="1" t="n">
        <v>45824</v>
      </c>
      <c r="D891" t="inlineStr">
        <is>
          <t>DALARNAS LÄN</t>
        </is>
      </c>
      <c r="E891" t="inlineStr">
        <is>
          <t>ÄLVDALEN</t>
        </is>
      </c>
      <c r="F891" t="inlineStr">
        <is>
          <t>Övriga Aktiebolag</t>
        </is>
      </c>
      <c r="G891" t="n">
        <v>6.5</v>
      </c>
      <c r="H891" t="n">
        <v>0</v>
      </c>
      <c r="I891" t="n">
        <v>0</v>
      </c>
      <c r="J891" t="n">
        <v>0</v>
      </c>
      <c r="K891" t="n">
        <v>0</v>
      </c>
      <c r="L891" t="n">
        <v>0</v>
      </c>
      <c r="M891" t="n">
        <v>0</v>
      </c>
      <c r="N891" t="n">
        <v>0</v>
      </c>
      <c r="O891" t="n">
        <v>0</v>
      </c>
      <c r="P891" t="n">
        <v>0</v>
      </c>
      <c r="Q891" t="n">
        <v>0</v>
      </c>
      <c r="R891" s="2" t="inlineStr"/>
    </row>
    <row r="892" ht="15" customHeight="1">
      <c r="A892" t="inlineStr">
        <is>
          <t>A 25931-2024</t>
        </is>
      </c>
      <c r="B892" s="1" t="n">
        <v>45467</v>
      </c>
      <c r="C892" s="1" t="n">
        <v>45824</v>
      </c>
      <c r="D892" t="inlineStr">
        <is>
          <t>DALARNAS LÄN</t>
        </is>
      </c>
      <c r="E892" t="inlineStr">
        <is>
          <t>ÄLVDALEN</t>
        </is>
      </c>
      <c r="G892" t="n">
        <v>15.4</v>
      </c>
      <c r="H892" t="n">
        <v>0</v>
      </c>
      <c r="I892" t="n">
        <v>0</v>
      </c>
      <c r="J892" t="n">
        <v>0</v>
      </c>
      <c r="K892" t="n">
        <v>0</v>
      </c>
      <c r="L892" t="n">
        <v>0</v>
      </c>
      <c r="M892" t="n">
        <v>0</v>
      </c>
      <c r="N892" t="n">
        <v>0</v>
      </c>
      <c r="O892" t="n">
        <v>0</v>
      </c>
      <c r="P892" t="n">
        <v>0</v>
      </c>
      <c r="Q892" t="n">
        <v>0</v>
      </c>
      <c r="R892" s="2" t="inlineStr"/>
    </row>
    <row r="893" ht="15" customHeight="1">
      <c r="A893" t="inlineStr">
        <is>
          <t>A 28239-2024</t>
        </is>
      </c>
      <c r="B893" s="1" t="n">
        <v>45468</v>
      </c>
      <c r="C893" s="1" t="n">
        <v>45824</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26094-2024</t>
        </is>
      </c>
      <c r="B894" s="1" t="n">
        <v>45468</v>
      </c>
      <c r="C894" s="1" t="n">
        <v>45824</v>
      </c>
      <c r="D894" t="inlineStr">
        <is>
          <t>DALARNAS LÄN</t>
        </is>
      </c>
      <c r="E894" t="inlineStr">
        <is>
          <t>ÄLVDALEN</t>
        </is>
      </c>
      <c r="F894" t="inlineStr">
        <is>
          <t>Allmännings- och besparingsskogar</t>
        </is>
      </c>
      <c r="G894" t="n">
        <v>33.5</v>
      </c>
      <c r="H894" t="n">
        <v>0</v>
      </c>
      <c r="I894" t="n">
        <v>0</v>
      </c>
      <c r="J894" t="n">
        <v>0</v>
      </c>
      <c r="K894" t="n">
        <v>0</v>
      </c>
      <c r="L894" t="n">
        <v>0</v>
      </c>
      <c r="M894" t="n">
        <v>0</v>
      </c>
      <c r="N894" t="n">
        <v>0</v>
      </c>
      <c r="O894" t="n">
        <v>0</v>
      </c>
      <c r="P894" t="n">
        <v>0</v>
      </c>
      <c r="Q894" t="n">
        <v>0</v>
      </c>
      <c r="R894" s="2" t="inlineStr"/>
    </row>
    <row r="895" ht="15" customHeight="1">
      <c r="A895" t="inlineStr">
        <is>
          <t>A 26862-2024</t>
        </is>
      </c>
      <c r="B895" s="1" t="n">
        <v>45470</v>
      </c>
      <c r="C895" s="1" t="n">
        <v>45824</v>
      </c>
      <c r="D895" t="inlineStr">
        <is>
          <t>DALARNAS LÄN</t>
        </is>
      </c>
      <c r="E895" t="inlineStr">
        <is>
          <t>ÄLVDALEN</t>
        </is>
      </c>
      <c r="F895" t="inlineStr">
        <is>
          <t>Allmännings- och besparingsskogar</t>
        </is>
      </c>
      <c r="G895" t="n">
        <v>4.3</v>
      </c>
      <c r="H895" t="n">
        <v>0</v>
      </c>
      <c r="I895" t="n">
        <v>0</v>
      </c>
      <c r="J895" t="n">
        <v>0</v>
      </c>
      <c r="K895" t="n">
        <v>0</v>
      </c>
      <c r="L895" t="n">
        <v>0</v>
      </c>
      <c r="M895" t="n">
        <v>0</v>
      </c>
      <c r="N895" t="n">
        <v>0</v>
      </c>
      <c r="O895" t="n">
        <v>0</v>
      </c>
      <c r="P895" t="n">
        <v>0</v>
      </c>
      <c r="Q895" t="n">
        <v>0</v>
      </c>
      <c r="R895" s="2" t="inlineStr"/>
    </row>
    <row r="896" ht="15" customHeight="1">
      <c r="A896" t="inlineStr">
        <is>
          <t>A 27036-2024</t>
        </is>
      </c>
      <c r="B896" s="1" t="n">
        <v>45471</v>
      </c>
      <c r="C896" s="1" t="n">
        <v>45824</v>
      </c>
      <c r="D896" t="inlineStr">
        <is>
          <t>DALARNAS LÄN</t>
        </is>
      </c>
      <c r="E896" t="inlineStr">
        <is>
          <t>ÄLVDALEN</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27858-2024</t>
        </is>
      </c>
      <c r="B897" s="1" t="n">
        <v>45475</v>
      </c>
      <c r="C897" s="1" t="n">
        <v>45824</v>
      </c>
      <c r="D897" t="inlineStr">
        <is>
          <t>DALARNAS LÄN</t>
        </is>
      </c>
      <c r="E897" t="inlineStr">
        <is>
          <t>ÄLVDALEN</t>
        </is>
      </c>
      <c r="F897" t="inlineStr">
        <is>
          <t>Allmännings- och besparingsskogar</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28473-2024</t>
        </is>
      </c>
      <c r="B898" s="1" t="n">
        <v>45477</v>
      </c>
      <c r="C898" s="1" t="n">
        <v>45824</v>
      </c>
      <c r="D898" t="inlineStr">
        <is>
          <t>DALARNAS LÄN</t>
        </is>
      </c>
      <c r="E898" t="inlineStr">
        <is>
          <t>ÄLVDALEN</t>
        </is>
      </c>
      <c r="G898" t="n">
        <v>5</v>
      </c>
      <c r="H898" t="n">
        <v>0</v>
      </c>
      <c r="I898" t="n">
        <v>0</v>
      </c>
      <c r="J898" t="n">
        <v>0</v>
      </c>
      <c r="K898" t="n">
        <v>0</v>
      </c>
      <c r="L898" t="n">
        <v>0</v>
      </c>
      <c r="M898" t="n">
        <v>0</v>
      </c>
      <c r="N898" t="n">
        <v>0</v>
      </c>
      <c r="O898" t="n">
        <v>0</v>
      </c>
      <c r="P898" t="n">
        <v>0</v>
      </c>
      <c r="Q898" t="n">
        <v>0</v>
      </c>
      <c r="R898" s="2" t="inlineStr"/>
    </row>
    <row r="899" ht="15" customHeight="1">
      <c r="A899" t="inlineStr">
        <is>
          <t>A 28479-2024</t>
        </is>
      </c>
      <c r="B899" s="1" t="n">
        <v>45477</v>
      </c>
      <c r="C899" s="1" t="n">
        <v>45824</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28467-2024</t>
        </is>
      </c>
      <c r="B900" s="1" t="n">
        <v>45477</v>
      </c>
      <c r="C900" s="1" t="n">
        <v>45824</v>
      </c>
      <c r="D900" t="inlineStr">
        <is>
          <t>DALARNAS LÄN</t>
        </is>
      </c>
      <c r="E900" t="inlineStr">
        <is>
          <t>ÄLVDALEN</t>
        </is>
      </c>
      <c r="G900" t="n">
        <v>4</v>
      </c>
      <c r="H900" t="n">
        <v>0</v>
      </c>
      <c r="I900" t="n">
        <v>0</v>
      </c>
      <c r="J900" t="n">
        <v>0</v>
      </c>
      <c r="K900" t="n">
        <v>0</v>
      </c>
      <c r="L900" t="n">
        <v>0</v>
      </c>
      <c r="M900" t="n">
        <v>0</v>
      </c>
      <c r="N900" t="n">
        <v>0</v>
      </c>
      <c r="O900" t="n">
        <v>0</v>
      </c>
      <c r="P900" t="n">
        <v>0</v>
      </c>
      <c r="Q900" t="n">
        <v>0</v>
      </c>
      <c r="R900" s="2" t="inlineStr"/>
    </row>
    <row r="901" ht="15" customHeight="1">
      <c r="A901" t="inlineStr">
        <is>
          <t>A 28643-2024</t>
        </is>
      </c>
      <c r="B901" s="1" t="n">
        <v>45478</v>
      </c>
      <c r="C901" s="1" t="n">
        <v>45824</v>
      </c>
      <c r="D901" t="inlineStr">
        <is>
          <t>DALARNAS LÄN</t>
        </is>
      </c>
      <c r="E901" t="inlineStr">
        <is>
          <t>ÄLVDALEN</t>
        </is>
      </c>
      <c r="G901" t="n">
        <v>3.4</v>
      </c>
      <c r="H901" t="n">
        <v>0</v>
      </c>
      <c r="I901" t="n">
        <v>0</v>
      </c>
      <c r="J901" t="n">
        <v>0</v>
      </c>
      <c r="K901" t="n">
        <v>0</v>
      </c>
      <c r="L901" t="n">
        <v>0</v>
      </c>
      <c r="M901" t="n">
        <v>0</v>
      </c>
      <c r="N901" t="n">
        <v>0</v>
      </c>
      <c r="O901" t="n">
        <v>0</v>
      </c>
      <c r="P901" t="n">
        <v>0</v>
      </c>
      <c r="Q901" t="n">
        <v>0</v>
      </c>
      <c r="R901" s="2" t="inlineStr"/>
    </row>
    <row r="902" ht="15" customHeight="1">
      <c r="A902" t="inlineStr">
        <is>
          <t>A 29129-2024</t>
        </is>
      </c>
      <c r="B902" s="1" t="n">
        <v>45482</v>
      </c>
      <c r="C902" s="1" t="n">
        <v>45824</v>
      </c>
      <c r="D902" t="inlineStr">
        <is>
          <t>DALARNAS LÄN</t>
        </is>
      </c>
      <c r="E902" t="inlineStr">
        <is>
          <t>ÄLVDALEN</t>
        </is>
      </c>
      <c r="F902" t="inlineStr">
        <is>
          <t>Allmännings- och besparingsskogar</t>
        </is>
      </c>
      <c r="G902" t="n">
        <v>19.8</v>
      </c>
      <c r="H902" t="n">
        <v>0</v>
      </c>
      <c r="I902" t="n">
        <v>0</v>
      </c>
      <c r="J902" t="n">
        <v>0</v>
      </c>
      <c r="K902" t="n">
        <v>0</v>
      </c>
      <c r="L902" t="n">
        <v>0</v>
      </c>
      <c r="M902" t="n">
        <v>0</v>
      </c>
      <c r="N902" t="n">
        <v>0</v>
      </c>
      <c r="O902" t="n">
        <v>0</v>
      </c>
      <c r="P902" t="n">
        <v>0</v>
      </c>
      <c r="Q902" t="n">
        <v>0</v>
      </c>
      <c r="R902" s="2" t="inlineStr"/>
    </row>
    <row r="903" ht="15" customHeight="1">
      <c r="A903" t="inlineStr">
        <is>
          <t>A 29645-2024</t>
        </is>
      </c>
      <c r="B903" s="1" t="n">
        <v>45484</v>
      </c>
      <c r="C903" s="1" t="n">
        <v>45824</v>
      </c>
      <c r="D903" t="inlineStr">
        <is>
          <t>DALARNAS LÄN</t>
        </is>
      </c>
      <c r="E903" t="inlineStr">
        <is>
          <t>ÄLVDALEN</t>
        </is>
      </c>
      <c r="G903" t="n">
        <v>3</v>
      </c>
      <c r="H903" t="n">
        <v>0</v>
      </c>
      <c r="I903" t="n">
        <v>0</v>
      </c>
      <c r="J903" t="n">
        <v>0</v>
      </c>
      <c r="K903" t="n">
        <v>0</v>
      </c>
      <c r="L903" t="n">
        <v>0</v>
      </c>
      <c r="M903" t="n">
        <v>0</v>
      </c>
      <c r="N903" t="n">
        <v>0</v>
      </c>
      <c r="O903" t="n">
        <v>0</v>
      </c>
      <c r="P903" t="n">
        <v>0</v>
      </c>
      <c r="Q903" t="n">
        <v>0</v>
      </c>
      <c r="R903" s="2" t="inlineStr"/>
    </row>
    <row r="904" ht="15" customHeight="1">
      <c r="A904" t="inlineStr">
        <is>
          <t>A 29646-2024</t>
        </is>
      </c>
      <c r="B904" s="1" t="n">
        <v>45484</v>
      </c>
      <c r="C904" s="1" t="n">
        <v>45824</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29614-2024</t>
        </is>
      </c>
      <c r="B905" s="1" t="n">
        <v>45484</v>
      </c>
      <c r="C905" s="1" t="n">
        <v>45824</v>
      </c>
      <c r="D905" t="inlineStr">
        <is>
          <t>DALARNAS LÄN</t>
        </is>
      </c>
      <c r="E905" t="inlineStr">
        <is>
          <t>ÄLVDALEN</t>
        </is>
      </c>
      <c r="G905" t="n">
        <v>2.4</v>
      </c>
      <c r="H905" t="n">
        <v>0</v>
      </c>
      <c r="I905" t="n">
        <v>0</v>
      </c>
      <c r="J905" t="n">
        <v>0</v>
      </c>
      <c r="K905" t="n">
        <v>0</v>
      </c>
      <c r="L905" t="n">
        <v>0</v>
      </c>
      <c r="M905" t="n">
        <v>0</v>
      </c>
      <c r="N905" t="n">
        <v>0</v>
      </c>
      <c r="O905" t="n">
        <v>0</v>
      </c>
      <c r="P905" t="n">
        <v>0</v>
      </c>
      <c r="Q905" t="n">
        <v>0</v>
      </c>
      <c r="R905" s="2" t="inlineStr"/>
    </row>
    <row r="906" ht="15" customHeight="1">
      <c r="A906" t="inlineStr">
        <is>
          <t>A 29610-2024</t>
        </is>
      </c>
      <c r="B906" s="1" t="n">
        <v>45484</v>
      </c>
      <c r="C906" s="1" t="n">
        <v>45824</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29819-2024</t>
        </is>
      </c>
      <c r="B907" s="1" t="n">
        <v>45485</v>
      </c>
      <c r="C907" s="1" t="n">
        <v>45824</v>
      </c>
      <c r="D907" t="inlineStr">
        <is>
          <t>DALARNAS LÄN</t>
        </is>
      </c>
      <c r="E907" t="inlineStr">
        <is>
          <t>ÄLVDALEN</t>
        </is>
      </c>
      <c r="G907" t="n">
        <v>1.4</v>
      </c>
      <c r="H907" t="n">
        <v>0</v>
      </c>
      <c r="I907" t="n">
        <v>0</v>
      </c>
      <c r="J907" t="n">
        <v>0</v>
      </c>
      <c r="K907" t="n">
        <v>0</v>
      </c>
      <c r="L907" t="n">
        <v>0</v>
      </c>
      <c r="M907" t="n">
        <v>0</v>
      </c>
      <c r="N907" t="n">
        <v>0</v>
      </c>
      <c r="O907" t="n">
        <v>0</v>
      </c>
      <c r="P907" t="n">
        <v>0</v>
      </c>
      <c r="Q907" t="n">
        <v>0</v>
      </c>
      <c r="R907" s="2" t="inlineStr"/>
    </row>
    <row r="908" ht="15" customHeight="1">
      <c r="A908" t="inlineStr">
        <is>
          <t>A 30139-2024</t>
        </is>
      </c>
      <c r="B908" s="1" t="n">
        <v>45488</v>
      </c>
      <c r="C908" s="1" t="n">
        <v>45824</v>
      </c>
      <c r="D908" t="inlineStr">
        <is>
          <t>DALARNAS LÄN</t>
        </is>
      </c>
      <c r="E908" t="inlineStr">
        <is>
          <t>ÄLVDALEN</t>
        </is>
      </c>
      <c r="G908" t="n">
        <v>7.9</v>
      </c>
      <c r="H908" t="n">
        <v>0</v>
      </c>
      <c r="I908" t="n">
        <v>0</v>
      </c>
      <c r="J908" t="n">
        <v>0</v>
      </c>
      <c r="K908" t="n">
        <v>0</v>
      </c>
      <c r="L908" t="n">
        <v>0</v>
      </c>
      <c r="M908" t="n">
        <v>0</v>
      </c>
      <c r="N908" t="n">
        <v>0</v>
      </c>
      <c r="O908" t="n">
        <v>0</v>
      </c>
      <c r="P908" t="n">
        <v>0</v>
      </c>
      <c r="Q908" t="n">
        <v>0</v>
      </c>
      <c r="R908" s="2" t="inlineStr"/>
    </row>
    <row r="909" ht="15" customHeight="1">
      <c r="A909" t="inlineStr">
        <is>
          <t>A 30147-2024</t>
        </is>
      </c>
      <c r="B909" s="1" t="n">
        <v>45488</v>
      </c>
      <c r="C909" s="1" t="n">
        <v>45824</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30146-2024</t>
        </is>
      </c>
      <c r="B910" s="1" t="n">
        <v>45488</v>
      </c>
      <c r="C910" s="1" t="n">
        <v>45824</v>
      </c>
      <c r="D910" t="inlineStr">
        <is>
          <t>DALARNAS LÄN</t>
        </is>
      </c>
      <c r="E910" t="inlineStr">
        <is>
          <t>ÄLVDALEN</t>
        </is>
      </c>
      <c r="G910" t="n">
        <v>1.1</v>
      </c>
      <c r="H910" t="n">
        <v>0</v>
      </c>
      <c r="I910" t="n">
        <v>0</v>
      </c>
      <c r="J910" t="n">
        <v>0</v>
      </c>
      <c r="K910" t="n">
        <v>0</v>
      </c>
      <c r="L910" t="n">
        <v>0</v>
      </c>
      <c r="M910" t="n">
        <v>0</v>
      </c>
      <c r="N910" t="n">
        <v>0</v>
      </c>
      <c r="O910" t="n">
        <v>0</v>
      </c>
      <c r="P910" t="n">
        <v>0</v>
      </c>
      <c r="Q910" t="n">
        <v>0</v>
      </c>
      <c r="R910" s="2" t="inlineStr"/>
    </row>
    <row r="911" ht="15" customHeight="1">
      <c r="A911" t="inlineStr">
        <is>
          <t>A 30141-2024</t>
        </is>
      </c>
      <c r="B911" s="1" t="n">
        <v>45488</v>
      </c>
      <c r="C911" s="1" t="n">
        <v>45824</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30143-2024</t>
        </is>
      </c>
      <c r="B912" s="1" t="n">
        <v>45488</v>
      </c>
      <c r="C912" s="1" t="n">
        <v>45824</v>
      </c>
      <c r="D912" t="inlineStr">
        <is>
          <t>DALARNAS LÄN</t>
        </is>
      </c>
      <c r="E912" t="inlineStr">
        <is>
          <t>ÄLVDALEN</t>
        </is>
      </c>
      <c r="G912" t="n">
        <v>1</v>
      </c>
      <c r="H912" t="n">
        <v>0</v>
      </c>
      <c r="I912" t="n">
        <v>0</v>
      </c>
      <c r="J912" t="n">
        <v>0</v>
      </c>
      <c r="K912" t="n">
        <v>0</v>
      </c>
      <c r="L912" t="n">
        <v>0</v>
      </c>
      <c r="M912" t="n">
        <v>0</v>
      </c>
      <c r="N912" t="n">
        <v>0</v>
      </c>
      <c r="O912" t="n">
        <v>0</v>
      </c>
      <c r="P912" t="n">
        <v>0</v>
      </c>
      <c r="Q912" t="n">
        <v>0</v>
      </c>
      <c r="R912" s="2" t="inlineStr"/>
    </row>
    <row r="913" ht="15" customHeight="1">
      <c r="A913" t="inlineStr">
        <is>
          <t>A 30411-2024</t>
        </is>
      </c>
      <c r="B913" s="1" t="n">
        <v>45491</v>
      </c>
      <c r="C913" s="1" t="n">
        <v>45824</v>
      </c>
      <c r="D913" t="inlineStr">
        <is>
          <t>DALARNAS LÄN</t>
        </is>
      </c>
      <c r="E913" t="inlineStr">
        <is>
          <t>ÄLVDALEN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30412-2024</t>
        </is>
      </c>
      <c r="B914" s="1" t="n">
        <v>45491</v>
      </c>
      <c r="C914" s="1" t="n">
        <v>45824</v>
      </c>
      <c r="D914" t="inlineStr">
        <is>
          <t>DALARNAS LÄN</t>
        </is>
      </c>
      <c r="E914" t="inlineStr">
        <is>
          <t>ÄLVDALEN</t>
        </is>
      </c>
      <c r="G914" t="n">
        <v>1.3</v>
      </c>
      <c r="H914" t="n">
        <v>0</v>
      </c>
      <c r="I914" t="n">
        <v>0</v>
      </c>
      <c r="J914" t="n">
        <v>0</v>
      </c>
      <c r="K914" t="n">
        <v>0</v>
      </c>
      <c r="L914" t="n">
        <v>0</v>
      </c>
      <c r="M914" t="n">
        <v>0</v>
      </c>
      <c r="N914" t="n">
        <v>0</v>
      </c>
      <c r="O914" t="n">
        <v>0</v>
      </c>
      <c r="P914" t="n">
        <v>0</v>
      </c>
      <c r="Q914" t="n">
        <v>0</v>
      </c>
      <c r="R914" s="2" t="inlineStr"/>
    </row>
    <row r="915" ht="15" customHeight="1">
      <c r="A915" t="inlineStr">
        <is>
          <t>A 30414-2024</t>
        </is>
      </c>
      <c r="B915" s="1" t="n">
        <v>45491</v>
      </c>
      <c r="C915" s="1" t="n">
        <v>45824</v>
      </c>
      <c r="D915" t="inlineStr">
        <is>
          <t>DALARNAS LÄN</t>
        </is>
      </c>
      <c r="E915" t="inlineStr">
        <is>
          <t>ÄLVDALEN</t>
        </is>
      </c>
      <c r="G915" t="n">
        <v>0.7</v>
      </c>
      <c r="H915" t="n">
        <v>0</v>
      </c>
      <c r="I915" t="n">
        <v>0</v>
      </c>
      <c r="J915" t="n">
        <v>0</v>
      </c>
      <c r="K915" t="n">
        <v>0</v>
      </c>
      <c r="L915" t="n">
        <v>0</v>
      </c>
      <c r="M915" t="n">
        <v>0</v>
      </c>
      <c r="N915" t="n">
        <v>0</v>
      </c>
      <c r="O915" t="n">
        <v>0</v>
      </c>
      <c r="P915" t="n">
        <v>0</v>
      </c>
      <c r="Q915" t="n">
        <v>0</v>
      </c>
      <c r="R915" s="2" t="inlineStr"/>
    </row>
    <row r="916" ht="15" customHeight="1">
      <c r="A916" t="inlineStr">
        <is>
          <t>A 30727-2024</t>
        </is>
      </c>
      <c r="B916" s="1" t="n">
        <v>45496</v>
      </c>
      <c r="C916" s="1" t="n">
        <v>45824</v>
      </c>
      <c r="D916" t="inlineStr">
        <is>
          <t>DALARNAS LÄN</t>
        </is>
      </c>
      <c r="E916" t="inlineStr">
        <is>
          <t>ÄLVDALEN</t>
        </is>
      </c>
      <c r="F916" t="inlineStr">
        <is>
          <t>Allmännings- och besparingsskogar</t>
        </is>
      </c>
      <c r="G916" t="n">
        <v>35.7</v>
      </c>
      <c r="H916" t="n">
        <v>0</v>
      </c>
      <c r="I916" t="n">
        <v>0</v>
      </c>
      <c r="J916" t="n">
        <v>0</v>
      </c>
      <c r="K916" t="n">
        <v>0</v>
      </c>
      <c r="L916" t="n">
        <v>0</v>
      </c>
      <c r="M916" t="n">
        <v>0</v>
      </c>
      <c r="N916" t="n">
        <v>0</v>
      </c>
      <c r="O916" t="n">
        <v>0</v>
      </c>
      <c r="P916" t="n">
        <v>0</v>
      </c>
      <c r="Q916" t="n">
        <v>0</v>
      </c>
      <c r="R916" s="2" t="inlineStr"/>
    </row>
    <row r="917" ht="15" customHeight="1">
      <c r="A917" t="inlineStr">
        <is>
          <t>A 30816-2024</t>
        </is>
      </c>
      <c r="B917" s="1" t="n">
        <v>45497</v>
      </c>
      <c r="C917" s="1" t="n">
        <v>45824</v>
      </c>
      <c r="D917" t="inlineStr">
        <is>
          <t>DALARNAS LÄN</t>
        </is>
      </c>
      <c r="E917" t="inlineStr">
        <is>
          <t>ÄLVDALEN</t>
        </is>
      </c>
      <c r="G917" t="n">
        <v>4.1</v>
      </c>
      <c r="H917" t="n">
        <v>0</v>
      </c>
      <c r="I917" t="n">
        <v>0</v>
      </c>
      <c r="J917" t="n">
        <v>0</v>
      </c>
      <c r="K917" t="n">
        <v>0</v>
      </c>
      <c r="L917" t="n">
        <v>0</v>
      </c>
      <c r="M917" t="n">
        <v>0</v>
      </c>
      <c r="N917" t="n">
        <v>0</v>
      </c>
      <c r="O917" t="n">
        <v>0</v>
      </c>
      <c r="P917" t="n">
        <v>0</v>
      </c>
      <c r="Q917" t="n">
        <v>0</v>
      </c>
      <c r="R917" s="2" t="inlineStr"/>
    </row>
    <row r="918" ht="15" customHeight="1">
      <c r="A918" t="inlineStr">
        <is>
          <t>A 30927-2024</t>
        </is>
      </c>
      <c r="B918" s="1" t="n">
        <v>45498</v>
      </c>
      <c r="C918" s="1" t="n">
        <v>45824</v>
      </c>
      <c r="D918" t="inlineStr">
        <is>
          <t>DALARNAS LÄN</t>
        </is>
      </c>
      <c r="E918" t="inlineStr">
        <is>
          <t>ÄLVDALEN</t>
        </is>
      </c>
      <c r="G918" t="n">
        <v>1.7</v>
      </c>
      <c r="H918" t="n">
        <v>0</v>
      </c>
      <c r="I918" t="n">
        <v>0</v>
      </c>
      <c r="J918" t="n">
        <v>0</v>
      </c>
      <c r="K918" t="n">
        <v>0</v>
      </c>
      <c r="L918" t="n">
        <v>0</v>
      </c>
      <c r="M918" t="n">
        <v>0</v>
      </c>
      <c r="N918" t="n">
        <v>0</v>
      </c>
      <c r="O918" t="n">
        <v>0</v>
      </c>
      <c r="P918" t="n">
        <v>0</v>
      </c>
      <c r="Q918" t="n">
        <v>0</v>
      </c>
      <c r="R918" s="2" t="inlineStr"/>
    </row>
    <row r="919" ht="15" customHeight="1">
      <c r="A919" t="inlineStr">
        <is>
          <t>A 30926-2024</t>
        </is>
      </c>
      <c r="B919" s="1" t="n">
        <v>45498</v>
      </c>
      <c r="C919" s="1" t="n">
        <v>45824</v>
      </c>
      <c r="D919" t="inlineStr">
        <is>
          <t>DALARNAS LÄN</t>
        </is>
      </c>
      <c r="E919" t="inlineStr">
        <is>
          <t>ÄLVDALEN</t>
        </is>
      </c>
      <c r="G919" t="n">
        <v>6.5</v>
      </c>
      <c r="H919" t="n">
        <v>0</v>
      </c>
      <c r="I919" t="n">
        <v>0</v>
      </c>
      <c r="J919" t="n">
        <v>0</v>
      </c>
      <c r="K919" t="n">
        <v>0</v>
      </c>
      <c r="L919" t="n">
        <v>0</v>
      </c>
      <c r="M919" t="n">
        <v>0</v>
      </c>
      <c r="N919" t="n">
        <v>0</v>
      </c>
      <c r="O919" t="n">
        <v>0</v>
      </c>
      <c r="P919" t="n">
        <v>0</v>
      </c>
      <c r="Q919" t="n">
        <v>0</v>
      </c>
      <c r="R919" s="2" t="inlineStr"/>
    </row>
    <row r="920" ht="15" customHeight="1">
      <c r="A920" t="inlineStr">
        <is>
          <t>A 31047-2024</t>
        </is>
      </c>
      <c r="B920" s="1" t="n">
        <v>45502</v>
      </c>
      <c r="C920" s="1" t="n">
        <v>45824</v>
      </c>
      <c r="D920" t="inlineStr">
        <is>
          <t>DALARNAS LÄN</t>
        </is>
      </c>
      <c r="E920" t="inlineStr">
        <is>
          <t>ÄLVDALEN</t>
        </is>
      </c>
      <c r="F920" t="inlineStr">
        <is>
          <t>Sveaskog</t>
        </is>
      </c>
      <c r="G920" t="n">
        <v>8</v>
      </c>
      <c r="H920" t="n">
        <v>0</v>
      </c>
      <c r="I920" t="n">
        <v>0</v>
      </c>
      <c r="J920" t="n">
        <v>0</v>
      </c>
      <c r="K920" t="n">
        <v>0</v>
      </c>
      <c r="L920" t="n">
        <v>0</v>
      </c>
      <c r="M920" t="n">
        <v>0</v>
      </c>
      <c r="N920" t="n">
        <v>0</v>
      </c>
      <c r="O920" t="n">
        <v>0</v>
      </c>
      <c r="P920" t="n">
        <v>0</v>
      </c>
      <c r="Q920" t="n">
        <v>0</v>
      </c>
      <c r="R920" s="2" t="inlineStr"/>
    </row>
    <row r="921" ht="15" customHeight="1">
      <c r="A921" t="inlineStr">
        <is>
          <t>A 31260-2024</t>
        </is>
      </c>
      <c r="B921" s="1" t="n">
        <v>45503</v>
      </c>
      <c r="C921" s="1" t="n">
        <v>45824</v>
      </c>
      <c r="D921" t="inlineStr">
        <is>
          <t>DALARNAS LÄN</t>
        </is>
      </c>
      <c r="E921" t="inlineStr">
        <is>
          <t>ÄLVDALEN</t>
        </is>
      </c>
      <c r="G921" t="n">
        <v>4.7</v>
      </c>
      <c r="H921" t="n">
        <v>0</v>
      </c>
      <c r="I921" t="n">
        <v>0</v>
      </c>
      <c r="J921" t="n">
        <v>0</v>
      </c>
      <c r="K921" t="n">
        <v>0</v>
      </c>
      <c r="L921" t="n">
        <v>0</v>
      </c>
      <c r="M921" t="n">
        <v>0</v>
      </c>
      <c r="N921" t="n">
        <v>0</v>
      </c>
      <c r="O921" t="n">
        <v>0</v>
      </c>
      <c r="P921" t="n">
        <v>0</v>
      </c>
      <c r="Q921" t="n">
        <v>0</v>
      </c>
      <c r="R921" s="2" t="inlineStr"/>
    </row>
    <row r="922" ht="15" customHeight="1">
      <c r="A922" t="inlineStr">
        <is>
          <t>A 31690-2024</t>
        </is>
      </c>
      <c r="B922" s="1" t="n">
        <v>45507</v>
      </c>
      <c r="C922" s="1" t="n">
        <v>45824</v>
      </c>
      <c r="D922" t="inlineStr">
        <is>
          <t>DALARNAS LÄN</t>
        </is>
      </c>
      <c r="E922" t="inlineStr">
        <is>
          <t>ÄLVDALEN</t>
        </is>
      </c>
      <c r="G922" t="n">
        <v>2.3</v>
      </c>
      <c r="H922" t="n">
        <v>0</v>
      </c>
      <c r="I922" t="n">
        <v>0</v>
      </c>
      <c r="J922" t="n">
        <v>0</v>
      </c>
      <c r="K922" t="n">
        <v>0</v>
      </c>
      <c r="L922" t="n">
        <v>0</v>
      </c>
      <c r="M922" t="n">
        <v>0</v>
      </c>
      <c r="N922" t="n">
        <v>0</v>
      </c>
      <c r="O922" t="n">
        <v>0</v>
      </c>
      <c r="P922" t="n">
        <v>0</v>
      </c>
      <c r="Q922" t="n">
        <v>0</v>
      </c>
      <c r="R922" s="2" t="inlineStr"/>
    </row>
    <row r="923" ht="15" customHeight="1">
      <c r="A923" t="inlineStr">
        <is>
          <t>A 31763-2024</t>
        </is>
      </c>
      <c r="B923" s="1" t="n">
        <v>45509</v>
      </c>
      <c r="C923" s="1" t="n">
        <v>45824</v>
      </c>
      <c r="D923" t="inlineStr">
        <is>
          <t>DALARNAS LÄN</t>
        </is>
      </c>
      <c r="E923" t="inlineStr">
        <is>
          <t>ÄLVDALEN</t>
        </is>
      </c>
      <c r="F923" t="inlineStr">
        <is>
          <t>Allmännings- och besparingsskogar</t>
        </is>
      </c>
      <c r="G923" t="n">
        <v>25</v>
      </c>
      <c r="H923" t="n">
        <v>0</v>
      </c>
      <c r="I923" t="n">
        <v>0</v>
      </c>
      <c r="J923" t="n">
        <v>0</v>
      </c>
      <c r="K923" t="n">
        <v>0</v>
      </c>
      <c r="L923" t="n">
        <v>0</v>
      </c>
      <c r="M923" t="n">
        <v>0</v>
      </c>
      <c r="N923" t="n">
        <v>0</v>
      </c>
      <c r="O923" t="n">
        <v>0</v>
      </c>
      <c r="P923" t="n">
        <v>0</v>
      </c>
      <c r="Q923" t="n">
        <v>0</v>
      </c>
      <c r="R923" s="2" t="inlineStr"/>
    </row>
    <row r="924" ht="15" customHeight="1">
      <c r="A924" t="inlineStr">
        <is>
          <t>A 31748-2024</t>
        </is>
      </c>
      <c r="B924" s="1" t="n">
        <v>45509</v>
      </c>
      <c r="C924" s="1" t="n">
        <v>45824</v>
      </c>
      <c r="D924" t="inlineStr">
        <is>
          <t>DALARNAS LÄN</t>
        </is>
      </c>
      <c r="E924" t="inlineStr">
        <is>
          <t>ÄLVDALEN</t>
        </is>
      </c>
      <c r="F924" t="inlineStr">
        <is>
          <t>Allmännings- och besparingsskogar</t>
        </is>
      </c>
      <c r="G924" t="n">
        <v>18.6</v>
      </c>
      <c r="H924" t="n">
        <v>0</v>
      </c>
      <c r="I924" t="n">
        <v>0</v>
      </c>
      <c r="J924" t="n">
        <v>0</v>
      </c>
      <c r="K924" t="n">
        <v>0</v>
      </c>
      <c r="L924" t="n">
        <v>0</v>
      </c>
      <c r="M924" t="n">
        <v>0</v>
      </c>
      <c r="N924" t="n">
        <v>0</v>
      </c>
      <c r="O924" t="n">
        <v>0</v>
      </c>
      <c r="P924" t="n">
        <v>0</v>
      </c>
      <c r="Q924" t="n">
        <v>0</v>
      </c>
      <c r="R924" s="2" t="inlineStr"/>
    </row>
    <row r="925" ht="15" customHeight="1">
      <c r="A925" t="inlineStr">
        <is>
          <t>A 32187-2024</t>
        </is>
      </c>
      <c r="B925" s="1" t="n">
        <v>45511</v>
      </c>
      <c r="C925" s="1" t="n">
        <v>45824</v>
      </c>
      <c r="D925" t="inlineStr">
        <is>
          <t>DALARNAS LÄN</t>
        </is>
      </c>
      <c r="E925" t="inlineStr">
        <is>
          <t>ÄLVDALEN</t>
        </is>
      </c>
      <c r="F925" t="inlineStr">
        <is>
          <t>Allmännings- och besparingsskogar</t>
        </is>
      </c>
      <c r="G925" t="n">
        <v>20</v>
      </c>
      <c r="H925" t="n">
        <v>0</v>
      </c>
      <c r="I925" t="n">
        <v>0</v>
      </c>
      <c r="J925" t="n">
        <v>0</v>
      </c>
      <c r="K925" t="n">
        <v>0</v>
      </c>
      <c r="L925" t="n">
        <v>0</v>
      </c>
      <c r="M925" t="n">
        <v>0</v>
      </c>
      <c r="N925" t="n">
        <v>0</v>
      </c>
      <c r="O925" t="n">
        <v>0</v>
      </c>
      <c r="P925" t="n">
        <v>0</v>
      </c>
      <c r="Q925" t="n">
        <v>0</v>
      </c>
      <c r="R925" s="2" t="inlineStr"/>
    </row>
    <row r="926" ht="15" customHeight="1">
      <c r="A926" t="inlineStr">
        <is>
          <t>A 32361-2024</t>
        </is>
      </c>
      <c r="B926" s="1" t="n">
        <v>45512</v>
      </c>
      <c r="C926" s="1" t="n">
        <v>45824</v>
      </c>
      <c r="D926" t="inlineStr">
        <is>
          <t>DALARNAS LÄN</t>
        </is>
      </c>
      <c r="E926" t="inlineStr">
        <is>
          <t>ÄLVDALEN</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32363-2024</t>
        </is>
      </c>
      <c r="B927" s="1" t="n">
        <v>45512</v>
      </c>
      <c r="C927" s="1" t="n">
        <v>45824</v>
      </c>
      <c r="D927" t="inlineStr">
        <is>
          <t>DALARNAS LÄN</t>
        </is>
      </c>
      <c r="E927" t="inlineStr">
        <is>
          <t>ÄLVDALEN</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32359-2024</t>
        </is>
      </c>
      <c r="B928" s="1" t="n">
        <v>45512</v>
      </c>
      <c r="C928" s="1" t="n">
        <v>45824</v>
      </c>
      <c r="D928" t="inlineStr">
        <is>
          <t>DALARNAS LÄN</t>
        </is>
      </c>
      <c r="E928" t="inlineStr">
        <is>
          <t>ÄLVDALEN</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32740-2024</t>
        </is>
      </c>
      <c r="B929" s="1" t="n">
        <v>45516</v>
      </c>
      <c r="C929" s="1" t="n">
        <v>45824</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33905-2024</t>
        </is>
      </c>
      <c r="B930" s="1" t="n">
        <v>45523</v>
      </c>
      <c r="C930" s="1" t="n">
        <v>45824</v>
      </c>
      <c r="D930" t="inlineStr">
        <is>
          <t>DALARNAS LÄN</t>
        </is>
      </c>
      <c r="E930" t="inlineStr">
        <is>
          <t>ÄLVDALEN</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34026-2024</t>
        </is>
      </c>
      <c r="B931" s="1" t="n">
        <v>45523</v>
      </c>
      <c r="C931" s="1" t="n">
        <v>45824</v>
      </c>
      <c r="D931" t="inlineStr">
        <is>
          <t>DALARNAS LÄN</t>
        </is>
      </c>
      <c r="E931" t="inlineStr">
        <is>
          <t>ÄLVDALEN</t>
        </is>
      </c>
      <c r="F931" t="inlineStr">
        <is>
          <t>Övriga Aktiebolag</t>
        </is>
      </c>
      <c r="G931" t="n">
        <v>18.3</v>
      </c>
      <c r="H931" t="n">
        <v>0</v>
      </c>
      <c r="I931" t="n">
        <v>0</v>
      </c>
      <c r="J931" t="n">
        <v>0</v>
      </c>
      <c r="K931" t="n">
        <v>0</v>
      </c>
      <c r="L931" t="n">
        <v>0</v>
      </c>
      <c r="M931" t="n">
        <v>0</v>
      </c>
      <c r="N931" t="n">
        <v>0</v>
      </c>
      <c r="O931" t="n">
        <v>0</v>
      </c>
      <c r="P931" t="n">
        <v>0</v>
      </c>
      <c r="Q931" t="n">
        <v>0</v>
      </c>
      <c r="R931" s="2" t="inlineStr"/>
    </row>
    <row r="932" ht="15" customHeight="1">
      <c r="A932" t="inlineStr">
        <is>
          <t>A 34151-2024</t>
        </is>
      </c>
      <c r="B932" s="1" t="n">
        <v>45524</v>
      </c>
      <c r="C932" s="1" t="n">
        <v>45824</v>
      </c>
      <c r="D932" t="inlineStr">
        <is>
          <t>DALARNAS LÄN</t>
        </is>
      </c>
      <c r="E932" t="inlineStr">
        <is>
          <t>ÄLVDALEN</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34211-2024</t>
        </is>
      </c>
      <c r="B933" s="1" t="n">
        <v>45524</v>
      </c>
      <c r="C933" s="1" t="n">
        <v>45824</v>
      </c>
      <c r="D933" t="inlineStr">
        <is>
          <t>DALARNAS LÄN</t>
        </is>
      </c>
      <c r="E933" t="inlineStr">
        <is>
          <t>ÄLVDALEN</t>
        </is>
      </c>
      <c r="F933" t="inlineStr">
        <is>
          <t>Sveaskog</t>
        </is>
      </c>
      <c r="G933" t="n">
        <v>30.4</v>
      </c>
      <c r="H933" t="n">
        <v>0</v>
      </c>
      <c r="I933" t="n">
        <v>0</v>
      </c>
      <c r="J933" t="n">
        <v>0</v>
      </c>
      <c r="K933" t="n">
        <v>0</v>
      </c>
      <c r="L933" t="n">
        <v>0</v>
      </c>
      <c r="M933" t="n">
        <v>0</v>
      </c>
      <c r="N933" t="n">
        <v>0</v>
      </c>
      <c r="O933" t="n">
        <v>0</v>
      </c>
      <c r="P933" t="n">
        <v>0</v>
      </c>
      <c r="Q933" t="n">
        <v>0</v>
      </c>
      <c r="R933" s="2" t="inlineStr"/>
    </row>
    <row r="934" ht="15" customHeight="1">
      <c r="A934" t="inlineStr">
        <is>
          <t>A 34562-2024</t>
        </is>
      </c>
      <c r="B934" s="1" t="n">
        <v>45526</v>
      </c>
      <c r="C934" s="1" t="n">
        <v>45824</v>
      </c>
      <c r="D934" t="inlineStr">
        <is>
          <t>DALARNAS LÄN</t>
        </is>
      </c>
      <c r="E934" t="inlineStr">
        <is>
          <t>ÄLVDALEN</t>
        </is>
      </c>
      <c r="F934" t="inlineStr">
        <is>
          <t>Allmännings- och besparingsskogar</t>
        </is>
      </c>
      <c r="G934" t="n">
        <v>29.5</v>
      </c>
      <c r="H934" t="n">
        <v>0</v>
      </c>
      <c r="I934" t="n">
        <v>0</v>
      </c>
      <c r="J934" t="n">
        <v>0</v>
      </c>
      <c r="K934" t="n">
        <v>0</v>
      </c>
      <c r="L934" t="n">
        <v>0</v>
      </c>
      <c r="M934" t="n">
        <v>0</v>
      </c>
      <c r="N934" t="n">
        <v>0</v>
      </c>
      <c r="O934" t="n">
        <v>0</v>
      </c>
      <c r="P934" t="n">
        <v>0</v>
      </c>
      <c r="Q934" t="n">
        <v>0</v>
      </c>
      <c r="R934" s="2" t="inlineStr"/>
    </row>
    <row r="935" ht="15" customHeight="1">
      <c r="A935" t="inlineStr">
        <is>
          <t>A 35109-2024</t>
        </is>
      </c>
      <c r="B935" s="1" t="n">
        <v>45529</v>
      </c>
      <c r="C935" s="1" t="n">
        <v>45824</v>
      </c>
      <c r="D935" t="inlineStr">
        <is>
          <t>DALARNAS LÄN</t>
        </is>
      </c>
      <c r="E935" t="inlineStr">
        <is>
          <t>ÄLVDALEN</t>
        </is>
      </c>
      <c r="G935" t="n">
        <v>1.8</v>
      </c>
      <c r="H935" t="n">
        <v>0</v>
      </c>
      <c r="I935" t="n">
        <v>0</v>
      </c>
      <c r="J935" t="n">
        <v>0</v>
      </c>
      <c r="K935" t="n">
        <v>0</v>
      </c>
      <c r="L935" t="n">
        <v>0</v>
      </c>
      <c r="M935" t="n">
        <v>0</v>
      </c>
      <c r="N935" t="n">
        <v>0</v>
      </c>
      <c r="O935" t="n">
        <v>0</v>
      </c>
      <c r="P935" t="n">
        <v>0</v>
      </c>
      <c r="Q935" t="n">
        <v>0</v>
      </c>
      <c r="R935" s="2" t="inlineStr"/>
    </row>
    <row r="936" ht="15" customHeight="1">
      <c r="A936" t="inlineStr">
        <is>
          <t>A 35659-2024</t>
        </is>
      </c>
      <c r="B936" s="1" t="n">
        <v>45532</v>
      </c>
      <c r="C936" s="1" t="n">
        <v>45824</v>
      </c>
      <c r="D936" t="inlineStr">
        <is>
          <t>DALARNAS LÄN</t>
        </is>
      </c>
      <c r="E936" t="inlineStr">
        <is>
          <t>ÄLVDALEN</t>
        </is>
      </c>
      <c r="F936" t="inlineStr">
        <is>
          <t>Allmännings- och besparingsskogar</t>
        </is>
      </c>
      <c r="G936" t="n">
        <v>26.9</v>
      </c>
      <c r="H936" t="n">
        <v>0</v>
      </c>
      <c r="I936" t="n">
        <v>0</v>
      </c>
      <c r="J936" t="n">
        <v>0</v>
      </c>
      <c r="K936" t="n">
        <v>0</v>
      </c>
      <c r="L936" t="n">
        <v>0</v>
      </c>
      <c r="M936" t="n">
        <v>0</v>
      </c>
      <c r="N936" t="n">
        <v>0</v>
      </c>
      <c r="O936" t="n">
        <v>0</v>
      </c>
      <c r="P936" t="n">
        <v>0</v>
      </c>
      <c r="Q936" t="n">
        <v>0</v>
      </c>
      <c r="R936" s="2" t="inlineStr"/>
    </row>
    <row r="937" ht="15" customHeight="1">
      <c r="A937" t="inlineStr">
        <is>
          <t>A 36179-2024</t>
        </is>
      </c>
      <c r="B937" s="1" t="n">
        <v>45534</v>
      </c>
      <c r="C937" s="1" t="n">
        <v>45824</v>
      </c>
      <c r="D937" t="inlineStr">
        <is>
          <t>DALARNAS LÄN</t>
        </is>
      </c>
      <c r="E937" t="inlineStr">
        <is>
          <t>ÄLVDALEN</t>
        </is>
      </c>
      <c r="F937" t="inlineStr">
        <is>
          <t>Allmännings- och besparingsskogar</t>
        </is>
      </c>
      <c r="G937" t="n">
        <v>1</v>
      </c>
      <c r="H937" t="n">
        <v>0</v>
      </c>
      <c r="I937" t="n">
        <v>0</v>
      </c>
      <c r="J937" t="n">
        <v>0</v>
      </c>
      <c r="K937" t="n">
        <v>0</v>
      </c>
      <c r="L937" t="n">
        <v>0</v>
      </c>
      <c r="M937" t="n">
        <v>0</v>
      </c>
      <c r="N937" t="n">
        <v>0</v>
      </c>
      <c r="O937" t="n">
        <v>0</v>
      </c>
      <c r="P937" t="n">
        <v>0</v>
      </c>
      <c r="Q937" t="n">
        <v>0</v>
      </c>
      <c r="R937" s="2" t="inlineStr"/>
    </row>
    <row r="938" ht="15" customHeight="1">
      <c r="A938" t="inlineStr">
        <is>
          <t>A 36284-2024</t>
        </is>
      </c>
      <c r="B938" s="1" t="n">
        <v>45534</v>
      </c>
      <c r="C938" s="1" t="n">
        <v>45824</v>
      </c>
      <c r="D938" t="inlineStr">
        <is>
          <t>DALARNAS LÄN</t>
        </is>
      </c>
      <c r="E938" t="inlineStr">
        <is>
          <t>ÄLVDALEN</t>
        </is>
      </c>
      <c r="G938" t="n">
        <v>3.4</v>
      </c>
      <c r="H938" t="n">
        <v>0</v>
      </c>
      <c r="I938" t="n">
        <v>0</v>
      </c>
      <c r="J938" t="n">
        <v>0</v>
      </c>
      <c r="K938" t="n">
        <v>0</v>
      </c>
      <c r="L938" t="n">
        <v>0</v>
      </c>
      <c r="M938" t="n">
        <v>0</v>
      </c>
      <c r="N938" t="n">
        <v>0</v>
      </c>
      <c r="O938" t="n">
        <v>0</v>
      </c>
      <c r="P938" t="n">
        <v>0</v>
      </c>
      <c r="Q938" t="n">
        <v>0</v>
      </c>
      <c r="R938" s="2" t="inlineStr"/>
    </row>
    <row r="939" ht="15" customHeight="1">
      <c r="A939" t="inlineStr">
        <is>
          <t>A 36285-2024</t>
        </is>
      </c>
      <c r="B939" s="1" t="n">
        <v>45534</v>
      </c>
      <c r="C939" s="1" t="n">
        <v>45824</v>
      </c>
      <c r="D939" t="inlineStr">
        <is>
          <t>DALARNAS LÄN</t>
        </is>
      </c>
      <c r="E939" t="inlineStr">
        <is>
          <t>ÄLVDALEN</t>
        </is>
      </c>
      <c r="G939" t="n">
        <v>4.9</v>
      </c>
      <c r="H939" t="n">
        <v>0</v>
      </c>
      <c r="I939" t="n">
        <v>0</v>
      </c>
      <c r="J939" t="n">
        <v>0</v>
      </c>
      <c r="K939" t="n">
        <v>0</v>
      </c>
      <c r="L939" t="n">
        <v>0</v>
      </c>
      <c r="M939" t="n">
        <v>0</v>
      </c>
      <c r="N939" t="n">
        <v>0</v>
      </c>
      <c r="O939" t="n">
        <v>0</v>
      </c>
      <c r="P939" t="n">
        <v>0</v>
      </c>
      <c r="Q939" t="n">
        <v>0</v>
      </c>
      <c r="R939" s="2" t="inlineStr"/>
    </row>
    <row r="940" ht="15" customHeight="1">
      <c r="A940" t="inlineStr">
        <is>
          <t>A 36385-2024</t>
        </is>
      </c>
      <c r="B940" s="1" t="n">
        <v>45534</v>
      </c>
      <c r="C940" s="1" t="n">
        <v>45824</v>
      </c>
      <c r="D940" t="inlineStr">
        <is>
          <t>DALARNAS LÄN</t>
        </is>
      </c>
      <c r="E940" t="inlineStr">
        <is>
          <t>ÄLVDALEN</t>
        </is>
      </c>
      <c r="G940" t="n">
        <v>3.2</v>
      </c>
      <c r="H940" t="n">
        <v>0</v>
      </c>
      <c r="I940" t="n">
        <v>0</v>
      </c>
      <c r="J940" t="n">
        <v>0</v>
      </c>
      <c r="K940" t="n">
        <v>0</v>
      </c>
      <c r="L940" t="n">
        <v>0</v>
      </c>
      <c r="M940" t="n">
        <v>0</v>
      </c>
      <c r="N940" t="n">
        <v>0</v>
      </c>
      <c r="O940" t="n">
        <v>0</v>
      </c>
      <c r="P940" t="n">
        <v>0</v>
      </c>
      <c r="Q940" t="n">
        <v>0</v>
      </c>
      <c r="R940" s="2" t="inlineStr"/>
    </row>
    <row r="941" ht="15" customHeight="1">
      <c r="A941" t="inlineStr">
        <is>
          <t>A 36376-2024</t>
        </is>
      </c>
      <c r="B941" s="1" t="n">
        <v>45534</v>
      </c>
      <c r="C941" s="1" t="n">
        <v>45824</v>
      </c>
      <c r="D941" t="inlineStr">
        <is>
          <t>DALARNAS LÄN</t>
        </is>
      </c>
      <c r="E941" t="inlineStr">
        <is>
          <t>ÄLVDALEN</t>
        </is>
      </c>
      <c r="F941" t="inlineStr">
        <is>
          <t>Allmännings- och besparingsskogar</t>
        </is>
      </c>
      <c r="G941" t="n">
        <v>3.3</v>
      </c>
      <c r="H941" t="n">
        <v>0</v>
      </c>
      <c r="I941" t="n">
        <v>0</v>
      </c>
      <c r="J941" t="n">
        <v>0</v>
      </c>
      <c r="K941" t="n">
        <v>0</v>
      </c>
      <c r="L941" t="n">
        <v>0</v>
      </c>
      <c r="M941" t="n">
        <v>0</v>
      </c>
      <c r="N941" t="n">
        <v>0</v>
      </c>
      <c r="O941" t="n">
        <v>0</v>
      </c>
      <c r="P941" t="n">
        <v>0</v>
      </c>
      <c r="Q941" t="n">
        <v>0</v>
      </c>
      <c r="R941" s="2" t="inlineStr"/>
    </row>
    <row r="942" ht="15" customHeight="1">
      <c r="A942" t="inlineStr">
        <is>
          <t>A 36380-2024</t>
        </is>
      </c>
      <c r="B942" s="1" t="n">
        <v>45534</v>
      </c>
      <c r="C942" s="1" t="n">
        <v>45824</v>
      </c>
      <c r="D942" t="inlineStr">
        <is>
          <t>DALARNAS LÄN</t>
        </is>
      </c>
      <c r="E942" t="inlineStr">
        <is>
          <t>ÄLVDALEN</t>
        </is>
      </c>
      <c r="F942" t="inlineStr">
        <is>
          <t>Allmännings- och besparingsskogar</t>
        </is>
      </c>
      <c r="G942" t="n">
        <v>23.8</v>
      </c>
      <c r="H942" t="n">
        <v>0</v>
      </c>
      <c r="I942" t="n">
        <v>0</v>
      </c>
      <c r="J942" t="n">
        <v>0</v>
      </c>
      <c r="K942" t="n">
        <v>0</v>
      </c>
      <c r="L942" t="n">
        <v>0</v>
      </c>
      <c r="M942" t="n">
        <v>0</v>
      </c>
      <c r="N942" t="n">
        <v>0</v>
      </c>
      <c r="O942" t="n">
        <v>0</v>
      </c>
      <c r="P942" t="n">
        <v>0</v>
      </c>
      <c r="Q942" t="n">
        <v>0</v>
      </c>
      <c r="R942" s="2" t="inlineStr"/>
    </row>
    <row r="943" ht="15" customHeight="1">
      <c r="A943" t="inlineStr">
        <is>
          <t>A 36462-2024</t>
        </is>
      </c>
      <c r="B943" s="1" t="n">
        <v>45537</v>
      </c>
      <c r="C943" s="1" t="n">
        <v>45824</v>
      </c>
      <c r="D943" t="inlineStr">
        <is>
          <t>DALARNAS LÄN</t>
        </is>
      </c>
      <c r="E943" t="inlineStr">
        <is>
          <t>ÄLVDALEN</t>
        </is>
      </c>
      <c r="G943" t="n">
        <v>5</v>
      </c>
      <c r="H943" t="n">
        <v>0</v>
      </c>
      <c r="I943" t="n">
        <v>0</v>
      </c>
      <c r="J943" t="n">
        <v>0</v>
      </c>
      <c r="K943" t="n">
        <v>0</v>
      </c>
      <c r="L943" t="n">
        <v>0</v>
      </c>
      <c r="M943" t="n">
        <v>0</v>
      </c>
      <c r="N943" t="n">
        <v>0</v>
      </c>
      <c r="O943" t="n">
        <v>0</v>
      </c>
      <c r="P943" t="n">
        <v>0</v>
      </c>
      <c r="Q943" t="n">
        <v>0</v>
      </c>
      <c r="R943" s="2" t="inlineStr"/>
    </row>
    <row r="944" ht="15" customHeight="1">
      <c r="A944" t="inlineStr">
        <is>
          <t>A 36580-2024</t>
        </is>
      </c>
      <c r="B944" s="1" t="n">
        <v>45537</v>
      </c>
      <c r="C944" s="1" t="n">
        <v>45824</v>
      </c>
      <c r="D944" t="inlineStr">
        <is>
          <t>DALARNAS LÄN</t>
        </is>
      </c>
      <c r="E944" t="inlineStr">
        <is>
          <t>ÄLVDALEN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36609-2024</t>
        </is>
      </c>
      <c r="B945" s="1" t="n">
        <v>45537</v>
      </c>
      <c r="C945" s="1" t="n">
        <v>45824</v>
      </c>
      <c r="D945" t="inlineStr">
        <is>
          <t>DALARNAS LÄN</t>
        </is>
      </c>
      <c r="E945" t="inlineStr">
        <is>
          <t>ÄLVDALEN</t>
        </is>
      </c>
      <c r="G945" t="n">
        <v>0.7</v>
      </c>
      <c r="H945" t="n">
        <v>0</v>
      </c>
      <c r="I945" t="n">
        <v>0</v>
      </c>
      <c r="J945" t="n">
        <v>0</v>
      </c>
      <c r="K945" t="n">
        <v>0</v>
      </c>
      <c r="L945" t="n">
        <v>0</v>
      </c>
      <c r="M945" t="n">
        <v>0</v>
      </c>
      <c r="N945" t="n">
        <v>0</v>
      </c>
      <c r="O945" t="n">
        <v>0</v>
      </c>
      <c r="P945" t="n">
        <v>0</v>
      </c>
      <c r="Q945" t="n">
        <v>0</v>
      </c>
      <c r="R945" s="2" t="inlineStr"/>
    </row>
    <row r="946" ht="15" customHeight="1">
      <c r="A946" t="inlineStr">
        <is>
          <t>A 36828-2024</t>
        </is>
      </c>
      <c r="B946" s="1" t="n">
        <v>45538</v>
      </c>
      <c r="C946" s="1" t="n">
        <v>45824</v>
      </c>
      <c r="D946" t="inlineStr">
        <is>
          <t>DALARNAS LÄN</t>
        </is>
      </c>
      <c r="E946" t="inlineStr">
        <is>
          <t>ÄLVDALEN</t>
        </is>
      </c>
      <c r="F946" t="inlineStr">
        <is>
          <t>Allmännings- och besparingsskogar</t>
        </is>
      </c>
      <c r="G946" t="n">
        <v>23</v>
      </c>
      <c r="H946" t="n">
        <v>0</v>
      </c>
      <c r="I946" t="n">
        <v>0</v>
      </c>
      <c r="J946" t="n">
        <v>0</v>
      </c>
      <c r="K946" t="n">
        <v>0</v>
      </c>
      <c r="L946" t="n">
        <v>0</v>
      </c>
      <c r="M946" t="n">
        <v>0</v>
      </c>
      <c r="N946" t="n">
        <v>0</v>
      </c>
      <c r="O946" t="n">
        <v>0</v>
      </c>
      <c r="P946" t="n">
        <v>0</v>
      </c>
      <c r="Q946" t="n">
        <v>0</v>
      </c>
      <c r="R946" s="2" t="inlineStr"/>
    </row>
    <row r="947" ht="15" customHeight="1">
      <c r="A947" t="inlineStr">
        <is>
          <t>A 37066-2024</t>
        </is>
      </c>
      <c r="B947" s="1" t="n">
        <v>45539</v>
      </c>
      <c r="C947" s="1" t="n">
        <v>45824</v>
      </c>
      <c r="D947" t="inlineStr">
        <is>
          <t>DALARNAS LÄN</t>
        </is>
      </c>
      <c r="E947" t="inlineStr">
        <is>
          <t>ÄLVDALEN</t>
        </is>
      </c>
      <c r="G947" t="n">
        <v>1</v>
      </c>
      <c r="H947" t="n">
        <v>0</v>
      </c>
      <c r="I947" t="n">
        <v>0</v>
      </c>
      <c r="J947" t="n">
        <v>0</v>
      </c>
      <c r="K947" t="n">
        <v>0</v>
      </c>
      <c r="L947" t="n">
        <v>0</v>
      </c>
      <c r="M947" t="n">
        <v>0</v>
      </c>
      <c r="N947" t="n">
        <v>0</v>
      </c>
      <c r="O947" t="n">
        <v>0</v>
      </c>
      <c r="P947" t="n">
        <v>0</v>
      </c>
      <c r="Q947" t="n">
        <v>0</v>
      </c>
      <c r="R947" s="2" t="inlineStr"/>
    </row>
    <row r="948" ht="15" customHeight="1">
      <c r="A948" t="inlineStr">
        <is>
          <t>A 37061-2024</t>
        </is>
      </c>
      <c r="B948" s="1" t="n">
        <v>45539</v>
      </c>
      <c r="C948" s="1" t="n">
        <v>45824</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37448-2024</t>
        </is>
      </c>
      <c r="B949" s="1" t="n">
        <v>45540</v>
      </c>
      <c r="C949" s="1" t="n">
        <v>45824</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37869-2024</t>
        </is>
      </c>
      <c r="B950" s="1" t="n">
        <v>45544</v>
      </c>
      <c r="C950" s="1" t="n">
        <v>45824</v>
      </c>
      <c r="D950" t="inlineStr">
        <is>
          <t>DALARNAS LÄN</t>
        </is>
      </c>
      <c r="E950" t="inlineStr">
        <is>
          <t>ÄLVDALEN</t>
        </is>
      </c>
      <c r="F950" t="inlineStr">
        <is>
          <t>Övriga Aktiebolag</t>
        </is>
      </c>
      <c r="G950" t="n">
        <v>15.6</v>
      </c>
      <c r="H950" t="n">
        <v>0</v>
      </c>
      <c r="I950" t="n">
        <v>0</v>
      </c>
      <c r="J950" t="n">
        <v>0</v>
      </c>
      <c r="K950" t="n">
        <v>0</v>
      </c>
      <c r="L950" t="n">
        <v>0</v>
      </c>
      <c r="M950" t="n">
        <v>0</v>
      </c>
      <c r="N950" t="n">
        <v>0</v>
      </c>
      <c r="O950" t="n">
        <v>0</v>
      </c>
      <c r="P950" t="n">
        <v>0</v>
      </c>
      <c r="Q950" t="n">
        <v>0</v>
      </c>
      <c r="R950" s="2" t="inlineStr"/>
    </row>
    <row r="951" ht="15" customHeight="1">
      <c r="A951" t="inlineStr">
        <is>
          <t>A 38277-2024</t>
        </is>
      </c>
      <c r="B951" s="1" t="n">
        <v>45545</v>
      </c>
      <c r="C951" s="1" t="n">
        <v>45824</v>
      </c>
      <c r="D951" t="inlineStr">
        <is>
          <t>DALARNAS LÄN</t>
        </is>
      </c>
      <c r="E951" t="inlineStr">
        <is>
          <t>ÄLVDALEN</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39006-2024</t>
        </is>
      </c>
      <c r="B952" s="1" t="n">
        <v>45548</v>
      </c>
      <c r="C952" s="1" t="n">
        <v>45824</v>
      </c>
      <c r="D952" t="inlineStr">
        <is>
          <t>DALARNAS LÄN</t>
        </is>
      </c>
      <c r="E952" t="inlineStr">
        <is>
          <t>ÄLVDALEN</t>
        </is>
      </c>
      <c r="G952" t="n">
        <v>2.3</v>
      </c>
      <c r="H952" t="n">
        <v>0</v>
      </c>
      <c r="I952" t="n">
        <v>0</v>
      </c>
      <c r="J952" t="n">
        <v>0</v>
      </c>
      <c r="K952" t="n">
        <v>0</v>
      </c>
      <c r="L952" t="n">
        <v>0</v>
      </c>
      <c r="M952" t="n">
        <v>0</v>
      </c>
      <c r="N952" t="n">
        <v>0</v>
      </c>
      <c r="O952" t="n">
        <v>0</v>
      </c>
      <c r="P952" t="n">
        <v>0</v>
      </c>
      <c r="Q952" t="n">
        <v>0</v>
      </c>
      <c r="R952" s="2" t="inlineStr"/>
    </row>
    <row r="953" ht="15" customHeight="1">
      <c r="A953" t="inlineStr">
        <is>
          <t>A 39010-2024</t>
        </is>
      </c>
      <c r="B953" s="1" t="n">
        <v>45548</v>
      </c>
      <c r="C953" s="1" t="n">
        <v>45824</v>
      </c>
      <c r="D953" t="inlineStr">
        <is>
          <t>DALARNAS LÄN</t>
        </is>
      </c>
      <c r="E953" t="inlineStr">
        <is>
          <t>ÄLVDALEN</t>
        </is>
      </c>
      <c r="G953" t="n">
        <v>1.7</v>
      </c>
      <c r="H953" t="n">
        <v>0</v>
      </c>
      <c r="I953" t="n">
        <v>0</v>
      </c>
      <c r="J953" t="n">
        <v>0</v>
      </c>
      <c r="K953" t="n">
        <v>0</v>
      </c>
      <c r="L953" t="n">
        <v>0</v>
      </c>
      <c r="M953" t="n">
        <v>0</v>
      </c>
      <c r="N953" t="n">
        <v>0</v>
      </c>
      <c r="O953" t="n">
        <v>0</v>
      </c>
      <c r="P953" t="n">
        <v>0</v>
      </c>
      <c r="Q953" t="n">
        <v>0</v>
      </c>
      <c r="R953" s="2" t="inlineStr"/>
    </row>
    <row r="954" ht="15" customHeight="1">
      <c r="A954" t="inlineStr">
        <is>
          <t>A 39227-2024</t>
        </is>
      </c>
      <c r="B954" s="1" t="n">
        <v>45550</v>
      </c>
      <c r="C954" s="1" t="n">
        <v>45824</v>
      </c>
      <c r="D954" t="inlineStr">
        <is>
          <t>DALARNAS LÄN</t>
        </is>
      </c>
      <c r="E954" t="inlineStr">
        <is>
          <t>ÄLVDALEN</t>
        </is>
      </c>
      <c r="G954" t="n">
        <v>0.2</v>
      </c>
      <c r="H954" t="n">
        <v>0</v>
      </c>
      <c r="I954" t="n">
        <v>0</v>
      </c>
      <c r="J954" t="n">
        <v>0</v>
      </c>
      <c r="K954" t="n">
        <v>0</v>
      </c>
      <c r="L954" t="n">
        <v>0</v>
      </c>
      <c r="M954" t="n">
        <v>0</v>
      </c>
      <c r="N954" t="n">
        <v>0</v>
      </c>
      <c r="O954" t="n">
        <v>0</v>
      </c>
      <c r="P954" t="n">
        <v>0</v>
      </c>
      <c r="Q954" t="n">
        <v>0</v>
      </c>
      <c r="R954" s="2" t="inlineStr"/>
    </row>
    <row r="955" ht="15" customHeight="1">
      <c r="A955" t="inlineStr">
        <is>
          <t>A 39283-2024</t>
        </is>
      </c>
      <c r="B955" s="1" t="n">
        <v>45551</v>
      </c>
      <c r="C955" s="1" t="n">
        <v>45824</v>
      </c>
      <c r="D955" t="inlineStr">
        <is>
          <t>DALARNAS LÄN</t>
        </is>
      </c>
      <c r="E955" t="inlineStr">
        <is>
          <t>ÄLVDALEN</t>
        </is>
      </c>
      <c r="G955" t="n">
        <v>0.6</v>
      </c>
      <c r="H955" t="n">
        <v>0</v>
      </c>
      <c r="I955" t="n">
        <v>0</v>
      </c>
      <c r="J955" t="n">
        <v>0</v>
      </c>
      <c r="K955" t="n">
        <v>0</v>
      </c>
      <c r="L955" t="n">
        <v>0</v>
      </c>
      <c r="M955" t="n">
        <v>0</v>
      </c>
      <c r="N955" t="n">
        <v>0</v>
      </c>
      <c r="O955" t="n">
        <v>0</v>
      </c>
      <c r="P955" t="n">
        <v>0</v>
      </c>
      <c r="Q955" t="n">
        <v>0</v>
      </c>
      <c r="R955" s="2" t="inlineStr"/>
    </row>
    <row r="956" ht="15" customHeight="1">
      <c r="A956" t="inlineStr">
        <is>
          <t>A 40120-2024</t>
        </is>
      </c>
      <c r="B956" s="1" t="n">
        <v>45554</v>
      </c>
      <c r="C956" s="1" t="n">
        <v>45824</v>
      </c>
      <c r="D956" t="inlineStr">
        <is>
          <t>DALARNAS LÄN</t>
        </is>
      </c>
      <c r="E956" t="inlineStr">
        <is>
          <t>ÄLVDALEN</t>
        </is>
      </c>
      <c r="G956" t="n">
        <v>5.1</v>
      </c>
      <c r="H956" t="n">
        <v>0</v>
      </c>
      <c r="I956" t="n">
        <v>0</v>
      </c>
      <c r="J956" t="n">
        <v>0</v>
      </c>
      <c r="K956" t="n">
        <v>0</v>
      </c>
      <c r="L956" t="n">
        <v>0</v>
      </c>
      <c r="M956" t="n">
        <v>0</v>
      </c>
      <c r="N956" t="n">
        <v>0</v>
      </c>
      <c r="O956" t="n">
        <v>0</v>
      </c>
      <c r="P956" t="n">
        <v>0</v>
      </c>
      <c r="Q956" t="n">
        <v>0</v>
      </c>
      <c r="R956" s="2" t="inlineStr"/>
    </row>
    <row r="957" ht="15" customHeight="1">
      <c r="A957" t="inlineStr">
        <is>
          <t>A 41003-2024</t>
        </is>
      </c>
      <c r="B957" s="1" t="n">
        <v>45558</v>
      </c>
      <c r="C957" s="1" t="n">
        <v>45824</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41137-2024</t>
        </is>
      </c>
      <c r="B958" s="1" t="n">
        <v>45559</v>
      </c>
      <c r="C958" s="1" t="n">
        <v>45824</v>
      </c>
      <c r="D958" t="inlineStr">
        <is>
          <t>DALARNAS LÄN</t>
        </is>
      </c>
      <c r="E958" t="inlineStr">
        <is>
          <t>ÄLVDALEN</t>
        </is>
      </c>
      <c r="G958" t="n">
        <v>4.8</v>
      </c>
      <c r="H958" t="n">
        <v>0</v>
      </c>
      <c r="I958" t="n">
        <v>0</v>
      </c>
      <c r="J958" t="n">
        <v>0</v>
      </c>
      <c r="K958" t="n">
        <v>0</v>
      </c>
      <c r="L958" t="n">
        <v>0</v>
      </c>
      <c r="M958" t="n">
        <v>0</v>
      </c>
      <c r="N958" t="n">
        <v>0</v>
      </c>
      <c r="O958" t="n">
        <v>0</v>
      </c>
      <c r="P958" t="n">
        <v>0</v>
      </c>
      <c r="Q958" t="n">
        <v>0</v>
      </c>
      <c r="R958" s="2" t="inlineStr"/>
    </row>
    <row r="959" ht="15" customHeight="1">
      <c r="A959" t="inlineStr">
        <is>
          <t>A 41158-2024</t>
        </is>
      </c>
      <c r="B959" s="1" t="n">
        <v>45559</v>
      </c>
      <c r="C959" s="1" t="n">
        <v>45824</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41446-2024</t>
        </is>
      </c>
      <c r="B960" s="1" t="n">
        <v>45560</v>
      </c>
      <c r="C960" s="1" t="n">
        <v>45824</v>
      </c>
      <c r="D960" t="inlineStr">
        <is>
          <t>DALARNAS LÄN</t>
        </is>
      </c>
      <c r="E960" t="inlineStr">
        <is>
          <t>ÄLVDALEN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42679-2024</t>
        </is>
      </c>
      <c r="B961" s="1" t="n">
        <v>45566</v>
      </c>
      <c r="C961" s="1" t="n">
        <v>45824</v>
      </c>
      <c r="D961" t="inlineStr">
        <is>
          <t>DALARNAS LÄN</t>
        </is>
      </c>
      <c r="E961" t="inlineStr">
        <is>
          <t>ÄLVDALEN</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43351-2024</t>
        </is>
      </c>
      <c r="B962" s="1" t="n">
        <v>45568</v>
      </c>
      <c r="C962" s="1" t="n">
        <v>45824</v>
      </c>
      <c r="D962" t="inlineStr">
        <is>
          <t>DALARNAS LÄN</t>
        </is>
      </c>
      <c r="E962" t="inlineStr">
        <is>
          <t>ÄLVDALEN</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43752-2024</t>
        </is>
      </c>
      <c r="B963" s="1" t="n">
        <v>45569</v>
      </c>
      <c r="C963" s="1" t="n">
        <v>45824</v>
      </c>
      <c r="D963" t="inlineStr">
        <is>
          <t>DALARNAS LÄN</t>
        </is>
      </c>
      <c r="E963" t="inlineStr">
        <is>
          <t>ÄLVDALEN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43900-2024</t>
        </is>
      </c>
      <c r="B964" s="1" t="n">
        <v>45572</v>
      </c>
      <c r="C964" s="1" t="n">
        <v>45824</v>
      </c>
      <c r="D964" t="inlineStr">
        <is>
          <t>DALARNAS LÄN</t>
        </is>
      </c>
      <c r="E964" t="inlineStr">
        <is>
          <t>ÄLVDALEN</t>
        </is>
      </c>
      <c r="F964" t="inlineStr">
        <is>
          <t>Bergvik skog väst AB</t>
        </is>
      </c>
      <c r="G964" t="n">
        <v>7.3</v>
      </c>
      <c r="H964" t="n">
        <v>0</v>
      </c>
      <c r="I964" t="n">
        <v>0</v>
      </c>
      <c r="J964" t="n">
        <v>0</v>
      </c>
      <c r="K964" t="n">
        <v>0</v>
      </c>
      <c r="L964" t="n">
        <v>0</v>
      </c>
      <c r="M964" t="n">
        <v>0</v>
      </c>
      <c r="N964" t="n">
        <v>0</v>
      </c>
      <c r="O964" t="n">
        <v>0</v>
      </c>
      <c r="P964" t="n">
        <v>0</v>
      </c>
      <c r="Q964" t="n">
        <v>0</v>
      </c>
      <c r="R964" s="2" t="inlineStr"/>
    </row>
    <row r="965" ht="15" customHeight="1">
      <c r="A965" t="inlineStr">
        <is>
          <t>A 43990-2024</t>
        </is>
      </c>
      <c r="B965" s="1" t="n">
        <v>45572</v>
      </c>
      <c r="C965" s="1" t="n">
        <v>45824</v>
      </c>
      <c r="D965" t="inlineStr">
        <is>
          <t>DALARNAS LÄN</t>
        </is>
      </c>
      <c r="E965" t="inlineStr">
        <is>
          <t>ÄLVDALEN</t>
        </is>
      </c>
      <c r="F965" t="inlineStr">
        <is>
          <t>Kommuner</t>
        </is>
      </c>
      <c r="G965" t="n">
        <v>0</v>
      </c>
      <c r="H965" t="n">
        <v>0</v>
      </c>
      <c r="I965" t="n">
        <v>0</v>
      </c>
      <c r="J965" t="n">
        <v>0</v>
      </c>
      <c r="K965" t="n">
        <v>0</v>
      </c>
      <c r="L965" t="n">
        <v>0</v>
      </c>
      <c r="M965" t="n">
        <v>0</v>
      </c>
      <c r="N965" t="n">
        <v>0</v>
      </c>
      <c r="O965" t="n">
        <v>0</v>
      </c>
      <c r="P965" t="n">
        <v>0</v>
      </c>
      <c r="Q965" t="n">
        <v>0</v>
      </c>
      <c r="R965" s="2" t="inlineStr"/>
    </row>
    <row r="966" ht="15" customHeight="1">
      <c r="A966" t="inlineStr">
        <is>
          <t>A 45203-2024</t>
        </is>
      </c>
      <c r="B966" s="1" t="n">
        <v>45575</v>
      </c>
      <c r="C966" s="1" t="n">
        <v>45824</v>
      </c>
      <c r="D966" t="inlineStr">
        <is>
          <t>DALARNAS LÄN</t>
        </is>
      </c>
      <c r="E966" t="inlineStr">
        <is>
          <t>ÄLVDALEN</t>
        </is>
      </c>
      <c r="G966" t="n">
        <v>7.3</v>
      </c>
      <c r="H966" t="n">
        <v>0</v>
      </c>
      <c r="I966" t="n">
        <v>0</v>
      </c>
      <c r="J966" t="n">
        <v>0</v>
      </c>
      <c r="K966" t="n">
        <v>0</v>
      </c>
      <c r="L966" t="n">
        <v>0</v>
      </c>
      <c r="M966" t="n">
        <v>0</v>
      </c>
      <c r="N966" t="n">
        <v>0</v>
      </c>
      <c r="O966" t="n">
        <v>0</v>
      </c>
      <c r="P966" t="n">
        <v>0</v>
      </c>
      <c r="Q966" t="n">
        <v>0</v>
      </c>
      <c r="R966" s="2" t="inlineStr"/>
    </row>
    <row r="967" ht="15" customHeight="1">
      <c r="A967" t="inlineStr">
        <is>
          <t>A 45716-2024</t>
        </is>
      </c>
      <c r="B967" s="1" t="n">
        <v>45579</v>
      </c>
      <c r="C967" s="1" t="n">
        <v>45824</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46926-2024</t>
        </is>
      </c>
      <c r="B968" s="1" t="n">
        <v>45584</v>
      </c>
      <c r="C968" s="1" t="n">
        <v>45824</v>
      </c>
      <c r="D968" t="inlineStr">
        <is>
          <t>DALARNAS LÄN</t>
        </is>
      </c>
      <c r="E968" t="inlineStr">
        <is>
          <t>ÄLVDALEN</t>
        </is>
      </c>
      <c r="G968" t="n">
        <v>4.4</v>
      </c>
      <c r="H968" t="n">
        <v>0</v>
      </c>
      <c r="I968" t="n">
        <v>0</v>
      </c>
      <c r="J968" t="n">
        <v>0</v>
      </c>
      <c r="K968" t="n">
        <v>0</v>
      </c>
      <c r="L968" t="n">
        <v>0</v>
      </c>
      <c r="M968" t="n">
        <v>0</v>
      </c>
      <c r="N968" t="n">
        <v>0</v>
      </c>
      <c r="O968" t="n">
        <v>0</v>
      </c>
      <c r="P968" t="n">
        <v>0</v>
      </c>
      <c r="Q968" t="n">
        <v>0</v>
      </c>
      <c r="R968" s="2" t="inlineStr"/>
    </row>
    <row r="969" ht="15" customHeight="1">
      <c r="A969" t="inlineStr">
        <is>
          <t>A 46927-2024</t>
        </is>
      </c>
      <c r="B969" s="1" t="n">
        <v>45584</v>
      </c>
      <c r="C969" s="1" t="n">
        <v>45824</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47080-2024</t>
        </is>
      </c>
      <c r="B970" s="1" t="n">
        <v>45586</v>
      </c>
      <c r="C970" s="1" t="n">
        <v>45824</v>
      </c>
      <c r="D970" t="inlineStr">
        <is>
          <t>DALARNAS LÄN</t>
        </is>
      </c>
      <c r="E970" t="inlineStr">
        <is>
          <t>ÄLVDALEN</t>
        </is>
      </c>
      <c r="G970" t="n">
        <v>0.9</v>
      </c>
      <c r="H970" t="n">
        <v>0</v>
      </c>
      <c r="I970" t="n">
        <v>0</v>
      </c>
      <c r="J970" t="n">
        <v>0</v>
      </c>
      <c r="K970" t="n">
        <v>0</v>
      </c>
      <c r="L970" t="n">
        <v>0</v>
      </c>
      <c r="M970" t="n">
        <v>0</v>
      </c>
      <c r="N970" t="n">
        <v>0</v>
      </c>
      <c r="O970" t="n">
        <v>0</v>
      </c>
      <c r="P970" t="n">
        <v>0</v>
      </c>
      <c r="Q970" t="n">
        <v>0</v>
      </c>
      <c r="R970" s="2" t="inlineStr"/>
    </row>
    <row r="971" ht="15" customHeight="1">
      <c r="A971" t="inlineStr">
        <is>
          <t>A 47087-2024</t>
        </is>
      </c>
      <c r="B971" s="1" t="n">
        <v>45586</v>
      </c>
      <c r="C971" s="1" t="n">
        <v>45824</v>
      </c>
      <c r="D971" t="inlineStr">
        <is>
          <t>DALARNAS LÄN</t>
        </is>
      </c>
      <c r="E971" t="inlineStr">
        <is>
          <t>ÄLVDALEN</t>
        </is>
      </c>
      <c r="G971" t="n">
        <v>2.6</v>
      </c>
      <c r="H971" t="n">
        <v>0</v>
      </c>
      <c r="I971" t="n">
        <v>0</v>
      </c>
      <c r="J971" t="n">
        <v>0</v>
      </c>
      <c r="K971" t="n">
        <v>0</v>
      </c>
      <c r="L971" t="n">
        <v>0</v>
      </c>
      <c r="M971" t="n">
        <v>0</v>
      </c>
      <c r="N971" t="n">
        <v>0</v>
      </c>
      <c r="O971" t="n">
        <v>0</v>
      </c>
      <c r="P971" t="n">
        <v>0</v>
      </c>
      <c r="Q971" t="n">
        <v>0</v>
      </c>
      <c r="R971" s="2" t="inlineStr"/>
    </row>
    <row r="972" ht="15" customHeight="1">
      <c r="A972" t="inlineStr">
        <is>
          <t>A 47525-2024</t>
        </is>
      </c>
      <c r="B972" s="1" t="n">
        <v>45587</v>
      </c>
      <c r="C972" s="1" t="n">
        <v>45824</v>
      </c>
      <c r="D972" t="inlineStr">
        <is>
          <t>DALARNAS LÄN</t>
        </is>
      </c>
      <c r="E972" t="inlineStr">
        <is>
          <t>ÄLVDALEN</t>
        </is>
      </c>
      <c r="F972" t="inlineStr">
        <is>
          <t>Bergvik skog väst AB</t>
        </is>
      </c>
      <c r="G972" t="n">
        <v>4.6</v>
      </c>
      <c r="H972" t="n">
        <v>0</v>
      </c>
      <c r="I972" t="n">
        <v>0</v>
      </c>
      <c r="J972" t="n">
        <v>0</v>
      </c>
      <c r="K972" t="n">
        <v>0</v>
      </c>
      <c r="L972" t="n">
        <v>0</v>
      </c>
      <c r="M972" t="n">
        <v>0</v>
      </c>
      <c r="N972" t="n">
        <v>0</v>
      </c>
      <c r="O972" t="n">
        <v>0</v>
      </c>
      <c r="P972" t="n">
        <v>0</v>
      </c>
      <c r="Q972" t="n">
        <v>0</v>
      </c>
      <c r="R972" s="2" t="inlineStr"/>
    </row>
    <row r="973" ht="15" customHeight="1">
      <c r="A973" t="inlineStr">
        <is>
          <t>A 47743-2024</t>
        </is>
      </c>
      <c r="B973" s="1" t="n">
        <v>45588</v>
      </c>
      <c r="C973" s="1" t="n">
        <v>45824</v>
      </c>
      <c r="D973" t="inlineStr">
        <is>
          <t>DALARNAS LÄN</t>
        </is>
      </c>
      <c r="E973" t="inlineStr">
        <is>
          <t>ÄLVDALEN</t>
        </is>
      </c>
      <c r="G973" t="n">
        <v>4.4</v>
      </c>
      <c r="H973" t="n">
        <v>0</v>
      </c>
      <c r="I973" t="n">
        <v>0</v>
      </c>
      <c r="J973" t="n">
        <v>0</v>
      </c>
      <c r="K973" t="n">
        <v>0</v>
      </c>
      <c r="L973" t="n">
        <v>0</v>
      </c>
      <c r="M973" t="n">
        <v>0</v>
      </c>
      <c r="N973" t="n">
        <v>0</v>
      </c>
      <c r="O973" t="n">
        <v>0</v>
      </c>
      <c r="P973" t="n">
        <v>0</v>
      </c>
      <c r="Q973" t="n">
        <v>0</v>
      </c>
      <c r="R973" s="2" t="inlineStr"/>
    </row>
    <row r="974" ht="15" customHeight="1">
      <c r="A974" t="inlineStr">
        <is>
          <t>A 47666-2024</t>
        </is>
      </c>
      <c r="B974" s="1" t="n">
        <v>45588</v>
      </c>
      <c r="C974" s="1" t="n">
        <v>45824</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47646-2024</t>
        </is>
      </c>
      <c r="B975" s="1" t="n">
        <v>45588</v>
      </c>
      <c r="C975" s="1" t="n">
        <v>45824</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47636-2024</t>
        </is>
      </c>
      <c r="B976" s="1" t="n">
        <v>45588</v>
      </c>
      <c r="C976" s="1" t="n">
        <v>45824</v>
      </c>
      <c r="D976" t="inlineStr">
        <is>
          <t>DALARNAS LÄN</t>
        </is>
      </c>
      <c r="E976" t="inlineStr">
        <is>
          <t>ÄLVDALEN</t>
        </is>
      </c>
      <c r="G976" t="n">
        <v>5.1</v>
      </c>
      <c r="H976" t="n">
        <v>0</v>
      </c>
      <c r="I976" t="n">
        <v>0</v>
      </c>
      <c r="J976" t="n">
        <v>0</v>
      </c>
      <c r="K976" t="n">
        <v>0</v>
      </c>
      <c r="L976" t="n">
        <v>0</v>
      </c>
      <c r="M976" t="n">
        <v>0</v>
      </c>
      <c r="N976" t="n">
        <v>0</v>
      </c>
      <c r="O976" t="n">
        <v>0</v>
      </c>
      <c r="P976" t="n">
        <v>0</v>
      </c>
      <c r="Q976" t="n">
        <v>0</v>
      </c>
      <c r="R976" s="2" t="inlineStr"/>
    </row>
    <row r="977" ht="15" customHeight="1">
      <c r="A977" t="inlineStr">
        <is>
          <t>A 47645-2024</t>
        </is>
      </c>
      <c r="B977" s="1" t="n">
        <v>45588</v>
      </c>
      <c r="C977" s="1" t="n">
        <v>45824</v>
      </c>
      <c r="D977" t="inlineStr">
        <is>
          <t>DALARNAS LÄN</t>
        </is>
      </c>
      <c r="E977" t="inlineStr">
        <is>
          <t>ÄLVDALEN</t>
        </is>
      </c>
      <c r="G977" t="n">
        <v>4.6</v>
      </c>
      <c r="H977" t="n">
        <v>0</v>
      </c>
      <c r="I977" t="n">
        <v>0</v>
      </c>
      <c r="J977" t="n">
        <v>0</v>
      </c>
      <c r="K977" t="n">
        <v>0</v>
      </c>
      <c r="L977" t="n">
        <v>0</v>
      </c>
      <c r="M977" t="n">
        <v>0</v>
      </c>
      <c r="N977" t="n">
        <v>0</v>
      </c>
      <c r="O977" t="n">
        <v>0</v>
      </c>
      <c r="P977" t="n">
        <v>0</v>
      </c>
      <c r="Q977" t="n">
        <v>0</v>
      </c>
      <c r="R977" s="2" t="inlineStr"/>
    </row>
    <row r="978" ht="15" customHeight="1">
      <c r="A978" t="inlineStr">
        <is>
          <t>A 47751-2024</t>
        </is>
      </c>
      <c r="B978" s="1" t="n">
        <v>45588</v>
      </c>
      <c r="C978" s="1" t="n">
        <v>45824</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47776-2024</t>
        </is>
      </c>
      <c r="B979" s="1" t="n">
        <v>45588</v>
      </c>
      <c r="C979" s="1" t="n">
        <v>45824</v>
      </c>
      <c r="D979" t="inlineStr">
        <is>
          <t>DALARNAS LÄN</t>
        </is>
      </c>
      <c r="E979" t="inlineStr">
        <is>
          <t>ÄLVDALEN</t>
        </is>
      </c>
      <c r="F979" t="inlineStr">
        <is>
          <t>Allmännings- och besparingsskogar</t>
        </is>
      </c>
      <c r="G979" t="n">
        <v>33</v>
      </c>
      <c r="H979" t="n">
        <v>0</v>
      </c>
      <c r="I979" t="n">
        <v>0</v>
      </c>
      <c r="J979" t="n">
        <v>0</v>
      </c>
      <c r="K979" t="n">
        <v>0</v>
      </c>
      <c r="L979" t="n">
        <v>0</v>
      </c>
      <c r="M979" t="n">
        <v>0</v>
      </c>
      <c r="N979" t="n">
        <v>0</v>
      </c>
      <c r="O979" t="n">
        <v>0</v>
      </c>
      <c r="P979" t="n">
        <v>0</v>
      </c>
      <c r="Q979" t="n">
        <v>0</v>
      </c>
      <c r="R979" s="2" t="inlineStr"/>
    </row>
    <row r="980" ht="15" customHeight="1">
      <c r="A980" t="inlineStr">
        <is>
          <t>A 47936-2024</t>
        </is>
      </c>
      <c r="B980" s="1" t="n">
        <v>45589</v>
      </c>
      <c r="C980" s="1" t="n">
        <v>45824</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48600-2024</t>
        </is>
      </c>
      <c r="B981" s="1" t="n">
        <v>45593</v>
      </c>
      <c r="C981" s="1" t="n">
        <v>45824</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48613-2024</t>
        </is>
      </c>
      <c r="B982" s="1" t="n">
        <v>45593</v>
      </c>
      <c r="C982" s="1" t="n">
        <v>45824</v>
      </c>
      <c r="D982" t="inlineStr">
        <is>
          <t>DALARNAS LÄN</t>
        </is>
      </c>
      <c r="E982" t="inlineStr">
        <is>
          <t>ÄLVDALEN</t>
        </is>
      </c>
      <c r="G982" t="n">
        <v>2.9</v>
      </c>
      <c r="H982" t="n">
        <v>0</v>
      </c>
      <c r="I982" t="n">
        <v>0</v>
      </c>
      <c r="J982" t="n">
        <v>0</v>
      </c>
      <c r="K982" t="n">
        <v>0</v>
      </c>
      <c r="L982" t="n">
        <v>0</v>
      </c>
      <c r="M982" t="n">
        <v>0</v>
      </c>
      <c r="N982" t="n">
        <v>0</v>
      </c>
      <c r="O982" t="n">
        <v>0</v>
      </c>
      <c r="P982" t="n">
        <v>0</v>
      </c>
      <c r="Q982" t="n">
        <v>0</v>
      </c>
      <c r="R982" s="2" t="inlineStr"/>
    </row>
    <row r="983" ht="15" customHeight="1">
      <c r="A983" t="inlineStr">
        <is>
          <t>A 48653-2024</t>
        </is>
      </c>
      <c r="B983" s="1" t="n">
        <v>45593</v>
      </c>
      <c r="C983" s="1" t="n">
        <v>45824</v>
      </c>
      <c r="D983" t="inlineStr">
        <is>
          <t>DALARNAS LÄN</t>
        </is>
      </c>
      <c r="E983" t="inlineStr">
        <is>
          <t>ÄLVDALEN</t>
        </is>
      </c>
      <c r="G983" t="n">
        <v>3.2</v>
      </c>
      <c r="H983" t="n">
        <v>0</v>
      </c>
      <c r="I983" t="n">
        <v>0</v>
      </c>
      <c r="J983" t="n">
        <v>0</v>
      </c>
      <c r="K983" t="n">
        <v>0</v>
      </c>
      <c r="L983" t="n">
        <v>0</v>
      </c>
      <c r="M983" t="n">
        <v>0</v>
      </c>
      <c r="N983" t="n">
        <v>0</v>
      </c>
      <c r="O983" t="n">
        <v>0</v>
      </c>
      <c r="P983" t="n">
        <v>0</v>
      </c>
      <c r="Q983" t="n">
        <v>0</v>
      </c>
      <c r="R983" s="2" t="inlineStr"/>
    </row>
    <row r="984" ht="15" customHeight="1">
      <c r="A984" t="inlineStr">
        <is>
          <t>A 48552-2024</t>
        </is>
      </c>
      <c r="B984" s="1" t="n">
        <v>45593</v>
      </c>
      <c r="C984" s="1" t="n">
        <v>45824</v>
      </c>
      <c r="D984" t="inlineStr">
        <is>
          <t>DALARNAS LÄN</t>
        </is>
      </c>
      <c r="E984" t="inlineStr">
        <is>
          <t>ÄLVDALEN</t>
        </is>
      </c>
      <c r="G984" t="n">
        <v>4.1</v>
      </c>
      <c r="H984" t="n">
        <v>0</v>
      </c>
      <c r="I984" t="n">
        <v>0</v>
      </c>
      <c r="J984" t="n">
        <v>0</v>
      </c>
      <c r="K984" t="n">
        <v>0</v>
      </c>
      <c r="L984" t="n">
        <v>0</v>
      </c>
      <c r="M984" t="n">
        <v>0</v>
      </c>
      <c r="N984" t="n">
        <v>0</v>
      </c>
      <c r="O984" t="n">
        <v>0</v>
      </c>
      <c r="P984" t="n">
        <v>0</v>
      </c>
      <c r="Q984" t="n">
        <v>0</v>
      </c>
      <c r="R984" s="2" t="inlineStr"/>
    </row>
    <row r="985" ht="15" customHeight="1">
      <c r="A985" t="inlineStr">
        <is>
          <t>A 48678-2024</t>
        </is>
      </c>
      <c r="B985" s="1" t="n">
        <v>45593</v>
      </c>
      <c r="C985" s="1" t="n">
        <v>45824</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49906-2024</t>
        </is>
      </c>
      <c r="B986" s="1" t="n">
        <v>45597</v>
      </c>
      <c r="C986" s="1" t="n">
        <v>45824</v>
      </c>
      <c r="D986" t="inlineStr">
        <is>
          <t>DALARNAS LÄN</t>
        </is>
      </c>
      <c r="E986" t="inlineStr">
        <is>
          <t>ÄLVDALEN</t>
        </is>
      </c>
      <c r="G986" t="n">
        <v>4.2</v>
      </c>
      <c r="H986" t="n">
        <v>0</v>
      </c>
      <c r="I986" t="n">
        <v>0</v>
      </c>
      <c r="J986" t="n">
        <v>0</v>
      </c>
      <c r="K986" t="n">
        <v>0</v>
      </c>
      <c r="L986" t="n">
        <v>0</v>
      </c>
      <c r="M986" t="n">
        <v>0</v>
      </c>
      <c r="N986" t="n">
        <v>0</v>
      </c>
      <c r="O986" t="n">
        <v>0</v>
      </c>
      <c r="P986" t="n">
        <v>0</v>
      </c>
      <c r="Q986" t="n">
        <v>0</v>
      </c>
      <c r="R986" s="2" t="inlineStr"/>
    </row>
    <row r="987" ht="15" customHeight="1">
      <c r="A987" t="inlineStr">
        <is>
          <t>A 50057-2024</t>
        </is>
      </c>
      <c r="B987" s="1" t="n">
        <v>45600</v>
      </c>
      <c r="C987" s="1" t="n">
        <v>45824</v>
      </c>
      <c r="D987" t="inlineStr">
        <is>
          <t>DALARNAS LÄN</t>
        </is>
      </c>
      <c r="E987" t="inlineStr">
        <is>
          <t>ÄLVDALEN</t>
        </is>
      </c>
      <c r="G987" t="n">
        <v>3.9</v>
      </c>
      <c r="H987" t="n">
        <v>0</v>
      </c>
      <c r="I987" t="n">
        <v>0</v>
      </c>
      <c r="J987" t="n">
        <v>0</v>
      </c>
      <c r="K987" t="n">
        <v>0</v>
      </c>
      <c r="L987" t="n">
        <v>0</v>
      </c>
      <c r="M987" t="n">
        <v>0</v>
      </c>
      <c r="N987" t="n">
        <v>0</v>
      </c>
      <c r="O987" t="n">
        <v>0</v>
      </c>
      <c r="P987" t="n">
        <v>0</v>
      </c>
      <c r="Q987" t="n">
        <v>0</v>
      </c>
      <c r="R987" s="2" t="inlineStr"/>
    </row>
    <row r="988" ht="15" customHeight="1">
      <c r="A988" t="inlineStr">
        <is>
          <t>A 50056-2024</t>
        </is>
      </c>
      <c r="B988" s="1" t="n">
        <v>45600</v>
      </c>
      <c r="C988" s="1" t="n">
        <v>45824</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52166-2024</t>
        </is>
      </c>
      <c r="B989" s="1" t="n">
        <v>45608</v>
      </c>
      <c r="C989" s="1" t="n">
        <v>45824</v>
      </c>
      <c r="D989" t="inlineStr">
        <is>
          <t>DALARNAS LÄN</t>
        </is>
      </c>
      <c r="E989" t="inlineStr">
        <is>
          <t>ÄLVDALEN</t>
        </is>
      </c>
      <c r="G989" t="n">
        <v>1.1</v>
      </c>
      <c r="H989" t="n">
        <v>0</v>
      </c>
      <c r="I989" t="n">
        <v>0</v>
      </c>
      <c r="J989" t="n">
        <v>0</v>
      </c>
      <c r="K989" t="n">
        <v>0</v>
      </c>
      <c r="L989" t="n">
        <v>0</v>
      </c>
      <c r="M989" t="n">
        <v>0</v>
      </c>
      <c r="N989" t="n">
        <v>0</v>
      </c>
      <c r="O989" t="n">
        <v>0</v>
      </c>
      <c r="P989" t="n">
        <v>0</v>
      </c>
      <c r="Q989" t="n">
        <v>0</v>
      </c>
      <c r="R989" s="2" t="inlineStr"/>
    </row>
    <row r="990" ht="15" customHeight="1">
      <c r="A990" t="inlineStr">
        <is>
          <t>A 52167-2024</t>
        </is>
      </c>
      <c r="B990" s="1" t="n">
        <v>45608</v>
      </c>
      <c r="C990" s="1" t="n">
        <v>45824</v>
      </c>
      <c r="D990" t="inlineStr">
        <is>
          <t>DALARNAS LÄN</t>
        </is>
      </c>
      <c r="E990" t="inlineStr">
        <is>
          <t>ÄLVDALEN</t>
        </is>
      </c>
      <c r="G990" t="n">
        <v>0.6</v>
      </c>
      <c r="H990" t="n">
        <v>0</v>
      </c>
      <c r="I990" t="n">
        <v>0</v>
      </c>
      <c r="J990" t="n">
        <v>0</v>
      </c>
      <c r="K990" t="n">
        <v>0</v>
      </c>
      <c r="L990" t="n">
        <v>0</v>
      </c>
      <c r="M990" t="n">
        <v>0</v>
      </c>
      <c r="N990" t="n">
        <v>0</v>
      </c>
      <c r="O990" t="n">
        <v>0</v>
      </c>
      <c r="P990" t="n">
        <v>0</v>
      </c>
      <c r="Q990" t="n">
        <v>0</v>
      </c>
      <c r="R990" s="2" t="inlineStr"/>
    </row>
    <row r="991" ht="15" customHeight="1">
      <c r="A991" t="inlineStr">
        <is>
          <t>A 52163-2024</t>
        </is>
      </c>
      <c r="B991" s="1" t="n">
        <v>45608</v>
      </c>
      <c r="C991" s="1" t="n">
        <v>45824</v>
      </c>
      <c r="D991" t="inlineStr">
        <is>
          <t>DALARNAS LÄN</t>
        </is>
      </c>
      <c r="E991" t="inlineStr">
        <is>
          <t>ÄLVDALEN</t>
        </is>
      </c>
      <c r="G991" t="n">
        <v>0.6</v>
      </c>
      <c r="H991" t="n">
        <v>0</v>
      </c>
      <c r="I991" t="n">
        <v>0</v>
      </c>
      <c r="J991" t="n">
        <v>0</v>
      </c>
      <c r="K991" t="n">
        <v>0</v>
      </c>
      <c r="L991" t="n">
        <v>0</v>
      </c>
      <c r="M991" t="n">
        <v>0</v>
      </c>
      <c r="N991" t="n">
        <v>0</v>
      </c>
      <c r="O991" t="n">
        <v>0</v>
      </c>
      <c r="P991" t="n">
        <v>0</v>
      </c>
      <c r="Q991" t="n">
        <v>0</v>
      </c>
      <c r="R991" s="2" t="inlineStr"/>
    </row>
    <row r="992" ht="15" customHeight="1">
      <c r="A992" t="inlineStr">
        <is>
          <t>A 52077-2024</t>
        </is>
      </c>
      <c r="B992" s="1" t="n">
        <v>45608</v>
      </c>
      <c r="C992" s="1" t="n">
        <v>45824</v>
      </c>
      <c r="D992" t="inlineStr">
        <is>
          <t>DALARNAS LÄN</t>
        </is>
      </c>
      <c r="E992" t="inlineStr">
        <is>
          <t>ÄLVDALEN</t>
        </is>
      </c>
      <c r="F992" t="inlineStr">
        <is>
          <t>Sveaskog</t>
        </is>
      </c>
      <c r="G992" t="n">
        <v>19.5</v>
      </c>
      <c r="H992" t="n">
        <v>0</v>
      </c>
      <c r="I992" t="n">
        <v>0</v>
      </c>
      <c r="J992" t="n">
        <v>0</v>
      </c>
      <c r="K992" t="n">
        <v>0</v>
      </c>
      <c r="L992" t="n">
        <v>0</v>
      </c>
      <c r="M992" t="n">
        <v>0</v>
      </c>
      <c r="N992" t="n">
        <v>0</v>
      </c>
      <c r="O992" t="n">
        <v>0</v>
      </c>
      <c r="P992" t="n">
        <v>0</v>
      </c>
      <c r="Q992" t="n">
        <v>0</v>
      </c>
      <c r="R992" s="2" t="inlineStr"/>
    </row>
    <row r="993" ht="15" customHeight="1">
      <c r="A993" t="inlineStr">
        <is>
          <t>A 53168-2024</t>
        </is>
      </c>
      <c r="B993" s="1" t="n">
        <v>45611</v>
      </c>
      <c r="C993" s="1" t="n">
        <v>45824</v>
      </c>
      <c r="D993" t="inlineStr">
        <is>
          <t>DALARNAS LÄN</t>
        </is>
      </c>
      <c r="E993" t="inlineStr">
        <is>
          <t>ÄLVDALEN</t>
        </is>
      </c>
      <c r="G993" t="n">
        <v>3.4</v>
      </c>
      <c r="H993" t="n">
        <v>0</v>
      </c>
      <c r="I993" t="n">
        <v>0</v>
      </c>
      <c r="J993" t="n">
        <v>0</v>
      </c>
      <c r="K993" t="n">
        <v>0</v>
      </c>
      <c r="L993" t="n">
        <v>0</v>
      </c>
      <c r="M993" t="n">
        <v>0</v>
      </c>
      <c r="N993" t="n">
        <v>0</v>
      </c>
      <c r="O993" t="n">
        <v>0</v>
      </c>
      <c r="P993" t="n">
        <v>0</v>
      </c>
      <c r="Q993" t="n">
        <v>0</v>
      </c>
      <c r="R993" s="2" t="inlineStr"/>
    </row>
    <row r="994" ht="15" customHeight="1">
      <c r="A994" t="inlineStr">
        <is>
          <t>A 53355-2024</t>
        </is>
      </c>
      <c r="B994" s="1" t="n">
        <v>45614</v>
      </c>
      <c r="C994" s="1" t="n">
        <v>45824</v>
      </c>
      <c r="D994" t="inlineStr">
        <is>
          <t>DALARNAS LÄN</t>
        </is>
      </c>
      <c r="E994" t="inlineStr">
        <is>
          <t>ÄLVDALEN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53778-2024</t>
        </is>
      </c>
      <c r="B995" s="1" t="n">
        <v>45615</v>
      </c>
      <c r="C995" s="1" t="n">
        <v>45824</v>
      </c>
      <c r="D995" t="inlineStr">
        <is>
          <t>DALARNAS LÄN</t>
        </is>
      </c>
      <c r="E995" t="inlineStr">
        <is>
          <t>ÄLVDALEN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54076-2024</t>
        </is>
      </c>
      <c r="B996" s="1" t="n">
        <v>45616</v>
      </c>
      <c r="C996" s="1" t="n">
        <v>45824</v>
      </c>
      <c r="D996" t="inlineStr">
        <is>
          <t>DALARNAS LÄN</t>
        </is>
      </c>
      <c r="E996" t="inlineStr">
        <is>
          <t>ÄLVDALEN</t>
        </is>
      </c>
      <c r="G996" t="n">
        <v>1.7</v>
      </c>
      <c r="H996" t="n">
        <v>0</v>
      </c>
      <c r="I996" t="n">
        <v>0</v>
      </c>
      <c r="J996" t="n">
        <v>0</v>
      </c>
      <c r="K996" t="n">
        <v>0</v>
      </c>
      <c r="L996" t="n">
        <v>0</v>
      </c>
      <c r="M996" t="n">
        <v>0</v>
      </c>
      <c r="N996" t="n">
        <v>0</v>
      </c>
      <c r="O996" t="n">
        <v>0</v>
      </c>
      <c r="P996" t="n">
        <v>0</v>
      </c>
      <c r="Q996" t="n">
        <v>0</v>
      </c>
      <c r="R996" s="2" t="inlineStr"/>
    </row>
    <row r="997" ht="15" customHeight="1">
      <c r="A997" t="inlineStr">
        <is>
          <t>A 54839-2024</t>
        </is>
      </c>
      <c r="B997" s="1" t="n">
        <v>45618</v>
      </c>
      <c r="C997" s="1" t="n">
        <v>45824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55879-2024</t>
        </is>
      </c>
      <c r="B998" s="1" t="n">
        <v>45623</v>
      </c>
      <c r="C998" s="1" t="n">
        <v>45824</v>
      </c>
      <c r="D998" t="inlineStr">
        <is>
          <t>DALARNAS LÄN</t>
        </is>
      </c>
      <c r="E998" t="inlineStr">
        <is>
          <t>ÄLVDALEN</t>
        </is>
      </c>
      <c r="G998" t="n">
        <v>15.3</v>
      </c>
      <c r="H998" t="n">
        <v>0</v>
      </c>
      <c r="I998" t="n">
        <v>0</v>
      </c>
      <c r="J998" t="n">
        <v>0</v>
      </c>
      <c r="K998" t="n">
        <v>0</v>
      </c>
      <c r="L998" t="n">
        <v>0</v>
      </c>
      <c r="M998" t="n">
        <v>0</v>
      </c>
      <c r="N998" t="n">
        <v>0</v>
      </c>
      <c r="O998" t="n">
        <v>0</v>
      </c>
      <c r="P998" t="n">
        <v>0</v>
      </c>
      <c r="Q998" t="n">
        <v>0</v>
      </c>
      <c r="R998" s="2" t="inlineStr"/>
    </row>
    <row r="999" ht="15" customHeight="1">
      <c r="A999" t="inlineStr">
        <is>
          <t>A 56405-2024</t>
        </is>
      </c>
      <c r="B999" s="1" t="n">
        <v>45625</v>
      </c>
      <c r="C999" s="1" t="n">
        <v>45824</v>
      </c>
      <c r="D999" t="inlineStr">
        <is>
          <t>DALARNAS LÄN</t>
        </is>
      </c>
      <c r="E999" t="inlineStr">
        <is>
          <t>ÄLVDALEN</t>
        </is>
      </c>
      <c r="F999" t="inlineStr">
        <is>
          <t>Allmännings- och besparingsskogar</t>
        </is>
      </c>
      <c r="G999" t="n">
        <v>29.8</v>
      </c>
      <c r="H999" t="n">
        <v>0</v>
      </c>
      <c r="I999" t="n">
        <v>0</v>
      </c>
      <c r="J999" t="n">
        <v>0</v>
      </c>
      <c r="K999" t="n">
        <v>0</v>
      </c>
      <c r="L999" t="n">
        <v>0</v>
      </c>
      <c r="M999" t="n">
        <v>0</v>
      </c>
      <c r="N999" t="n">
        <v>0</v>
      </c>
      <c r="O999" t="n">
        <v>0</v>
      </c>
      <c r="P999" t="n">
        <v>0</v>
      </c>
      <c r="Q999" t="n">
        <v>0</v>
      </c>
      <c r="R999" s="2" t="inlineStr"/>
    </row>
    <row r="1000" ht="15" customHeight="1">
      <c r="A1000" t="inlineStr">
        <is>
          <t>A 56487-2024</t>
        </is>
      </c>
      <c r="B1000" s="1" t="n">
        <v>45625</v>
      </c>
      <c r="C1000" s="1" t="n">
        <v>45824</v>
      </c>
      <c r="D1000" t="inlineStr">
        <is>
          <t>DALARNAS LÄN</t>
        </is>
      </c>
      <c r="E1000" t="inlineStr">
        <is>
          <t>ÄLVDALEN</t>
        </is>
      </c>
      <c r="F1000" t="inlineStr">
        <is>
          <t>Allmännings- och besparingsskogar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56930-2024</t>
        </is>
      </c>
      <c r="B1001" s="1" t="n">
        <v>45628</v>
      </c>
      <c r="C1001" s="1" t="n">
        <v>45824</v>
      </c>
      <c r="D1001" t="inlineStr">
        <is>
          <t>DALARNAS LÄN</t>
        </is>
      </c>
      <c r="E1001" t="inlineStr">
        <is>
          <t>ÄLVDALEN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57171-2024</t>
        </is>
      </c>
      <c r="B1002" s="1" t="n">
        <v>45629</v>
      </c>
      <c r="C1002" s="1" t="n">
        <v>45824</v>
      </c>
      <c r="D1002" t="inlineStr">
        <is>
          <t>DALARNAS LÄN</t>
        </is>
      </c>
      <c r="E1002" t="inlineStr">
        <is>
          <t>ÄLVDALEN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57539-2024</t>
        </is>
      </c>
      <c r="B1003" s="1" t="n">
        <v>45630</v>
      </c>
      <c r="C1003" s="1" t="n">
        <v>45824</v>
      </c>
      <c r="D1003" t="inlineStr">
        <is>
          <t>DALARNAS LÄN</t>
        </is>
      </c>
      <c r="E1003" t="inlineStr">
        <is>
          <t>ÄLVDALEN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57560-2024</t>
        </is>
      </c>
      <c r="B1004" s="1" t="n">
        <v>45630</v>
      </c>
      <c r="C1004" s="1" t="n">
        <v>45824</v>
      </c>
      <c r="D1004" t="inlineStr">
        <is>
          <t>DALARNAS LÄN</t>
        </is>
      </c>
      <c r="E1004" t="inlineStr">
        <is>
          <t>ÄLVDALEN</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57533-2024</t>
        </is>
      </c>
      <c r="B1005" s="1" t="n">
        <v>45630</v>
      </c>
      <c r="C1005" s="1" t="n">
        <v>45824</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57665-2024</t>
        </is>
      </c>
      <c r="B1006" s="1" t="n">
        <v>45630</v>
      </c>
      <c r="C1006" s="1" t="n">
        <v>45824</v>
      </c>
      <c r="D1006" t="inlineStr">
        <is>
          <t>DALARNAS LÄN</t>
        </is>
      </c>
      <c r="E1006" t="inlineStr">
        <is>
          <t>ÄLVDALEN</t>
        </is>
      </c>
      <c r="F1006" t="inlineStr">
        <is>
          <t>Allmännings- och besparingsskogar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59483-2024</t>
        </is>
      </c>
      <c r="B1007" s="1" t="n">
        <v>45638</v>
      </c>
      <c r="C1007" s="1" t="n">
        <v>45824</v>
      </c>
      <c r="D1007" t="inlineStr">
        <is>
          <t>DALARNAS LÄN</t>
        </is>
      </c>
      <c r="E1007" t="inlineStr">
        <is>
          <t>ÄLVDALEN</t>
        </is>
      </c>
      <c r="F1007" t="inlineStr">
        <is>
          <t>Allmännings- och besparingsskogar</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59450-2024</t>
        </is>
      </c>
      <c r="B1008" s="1" t="n">
        <v>45638</v>
      </c>
      <c r="C1008" s="1" t="n">
        <v>45824</v>
      </c>
      <c r="D1008" t="inlineStr">
        <is>
          <t>DALARNAS LÄN</t>
        </is>
      </c>
      <c r="E1008" t="inlineStr">
        <is>
          <t>ÄLVDALEN</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59447-2024</t>
        </is>
      </c>
      <c r="B1009" s="1" t="n">
        <v>45638</v>
      </c>
      <c r="C1009" s="1" t="n">
        <v>45824</v>
      </c>
      <c r="D1009" t="inlineStr">
        <is>
          <t>DALARNAS LÄN</t>
        </is>
      </c>
      <c r="E1009" t="inlineStr">
        <is>
          <t>ÄLVDALEN</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59545-2024</t>
        </is>
      </c>
      <c r="B1010" s="1" t="n">
        <v>45638</v>
      </c>
      <c r="C1010" s="1" t="n">
        <v>45824</v>
      </c>
      <c r="D1010" t="inlineStr">
        <is>
          <t>DALARNAS LÄN</t>
        </is>
      </c>
      <c r="E1010" t="inlineStr">
        <is>
          <t>ÄLVDALEN</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59444-2024</t>
        </is>
      </c>
      <c r="B1011" s="1" t="n">
        <v>45638</v>
      </c>
      <c r="C1011" s="1" t="n">
        <v>45824</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59478-2024</t>
        </is>
      </c>
      <c r="B1012" s="1" t="n">
        <v>45638</v>
      </c>
      <c r="C1012" s="1" t="n">
        <v>45824</v>
      </c>
      <c r="D1012" t="inlineStr">
        <is>
          <t>DALARNAS LÄN</t>
        </is>
      </c>
      <c r="E1012" t="inlineStr">
        <is>
          <t>ÄLVDALEN</t>
        </is>
      </c>
      <c r="F1012" t="inlineStr">
        <is>
          <t>Allmännings- och besparingsskogar</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59676-2024</t>
        </is>
      </c>
      <c r="B1013" s="1" t="n">
        <v>45639</v>
      </c>
      <c r="C1013" s="1" t="n">
        <v>45824</v>
      </c>
      <c r="D1013" t="inlineStr">
        <is>
          <t>DALARNAS LÄN</t>
        </is>
      </c>
      <c r="E1013" t="inlineStr">
        <is>
          <t>ÄLVDALEN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59668-2024</t>
        </is>
      </c>
      <c r="B1014" s="1" t="n">
        <v>45639</v>
      </c>
      <c r="C1014" s="1" t="n">
        <v>45824</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59671-2024</t>
        </is>
      </c>
      <c r="B1015" s="1" t="n">
        <v>45639</v>
      </c>
      <c r="C1015" s="1" t="n">
        <v>45824</v>
      </c>
      <c r="D1015" t="inlineStr">
        <is>
          <t>DALARNAS LÄN</t>
        </is>
      </c>
      <c r="E1015" t="inlineStr">
        <is>
          <t>ÄLVDALEN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59692-2024</t>
        </is>
      </c>
      <c r="B1016" s="1" t="n">
        <v>45639</v>
      </c>
      <c r="C1016" s="1" t="n">
        <v>45824</v>
      </c>
      <c r="D1016" t="inlineStr">
        <is>
          <t>DALARNAS LÄN</t>
        </is>
      </c>
      <c r="E1016" t="inlineStr">
        <is>
          <t>ÄLVDALEN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60248-2024</t>
        </is>
      </c>
      <c r="B1017" s="1" t="n">
        <v>45642</v>
      </c>
      <c r="C1017" s="1" t="n">
        <v>45824</v>
      </c>
      <c r="D1017" t="inlineStr">
        <is>
          <t>DALARNAS LÄN</t>
        </is>
      </c>
      <c r="E1017" t="inlineStr">
        <is>
          <t>ÄLVDALEN</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60870-2024</t>
        </is>
      </c>
      <c r="B1018" s="1" t="n">
        <v>45644</v>
      </c>
      <c r="C1018" s="1" t="n">
        <v>45824</v>
      </c>
      <c r="D1018" t="inlineStr">
        <is>
          <t>DALARNAS LÄN</t>
        </is>
      </c>
      <c r="E1018" t="inlineStr">
        <is>
          <t>ÄLVDALEN</t>
        </is>
      </c>
      <c r="F1018" t="inlineStr">
        <is>
          <t>Allmännings- och besparingsskogar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61072-2024</t>
        </is>
      </c>
      <c r="B1019" s="1" t="n">
        <v>45645</v>
      </c>
      <c r="C1019" s="1" t="n">
        <v>45824</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61070-2024</t>
        </is>
      </c>
      <c r="B1020" s="1" t="n">
        <v>45645</v>
      </c>
      <c r="C1020" s="1" t="n">
        <v>45824</v>
      </c>
      <c r="D1020" t="inlineStr">
        <is>
          <t>DALARNAS LÄN</t>
        </is>
      </c>
      <c r="E1020" t="inlineStr">
        <is>
          <t>ÄLVDALEN</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61575-2024</t>
        </is>
      </c>
      <c r="B1021" s="1" t="n">
        <v>45646</v>
      </c>
      <c r="C1021" s="1" t="n">
        <v>45824</v>
      </c>
      <c r="D1021" t="inlineStr">
        <is>
          <t>DALARNAS LÄN</t>
        </is>
      </c>
      <c r="E1021" t="inlineStr">
        <is>
          <t>ÄLVDALEN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61695-2024</t>
        </is>
      </c>
      <c r="B1022" s="1" t="n">
        <v>45647</v>
      </c>
      <c r="C1022" s="1" t="n">
        <v>45824</v>
      </c>
      <c r="D1022" t="inlineStr">
        <is>
          <t>DALARNAS LÄN</t>
        </is>
      </c>
      <c r="E1022" t="inlineStr">
        <is>
          <t>ÄLVDALEN</t>
        </is>
      </c>
      <c r="F1022" t="inlineStr">
        <is>
          <t>Allmännings- och besparingsskogar</t>
        </is>
      </c>
      <c r="G1022" t="n">
        <v>32.3</v>
      </c>
      <c r="H1022" t="n">
        <v>0</v>
      </c>
      <c r="I1022" t="n">
        <v>0</v>
      </c>
      <c r="J1022" t="n">
        <v>0</v>
      </c>
      <c r="K1022" t="n">
        <v>0</v>
      </c>
      <c r="L1022" t="n">
        <v>0</v>
      </c>
      <c r="M1022" t="n">
        <v>0</v>
      </c>
      <c r="N1022" t="n">
        <v>0</v>
      </c>
      <c r="O1022" t="n">
        <v>0</v>
      </c>
      <c r="P1022" t="n">
        <v>0</v>
      </c>
      <c r="Q1022" t="n">
        <v>0</v>
      </c>
      <c r="R1022" s="2" t="inlineStr"/>
    </row>
    <row r="1023" ht="15" customHeight="1">
      <c r="A1023" t="inlineStr">
        <is>
          <t>A 629-2025</t>
        </is>
      </c>
      <c r="B1023" s="1" t="n">
        <v>45660</v>
      </c>
      <c r="C1023" s="1" t="n">
        <v>45824</v>
      </c>
      <c r="D1023" t="inlineStr">
        <is>
          <t>DALARNAS LÄN</t>
        </is>
      </c>
      <c r="E1023" t="inlineStr">
        <is>
          <t>ÄLVDALEN</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443-2025</t>
        </is>
      </c>
      <c r="B1024" s="1" t="n">
        <v>45664</v>
      </c>
      <c r="C1024" s="1" t="n">
        <v>45824</v>
      </c>
      <c r="D1024" t="inlineStr">
        <is>
          <t>DALARNAS LÄN</t>
        </is>
      </c>
      <c r="E1024" t="inlineStr">
        <is>
          <t>ÄLVDALEN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760-2025</t>
        </is>
      </c>
      <c r="B1025" s="1" t="n">
        <v>45665</v>
      </c>
      <c r="C1025" s="1" t="n">
        <v>45824</v>
      </c>
      <c r="D1025" t="inlineStr">
        <is>
          <t>DALARNAS LÄN</t>
        </is>
      </c>
      <c r="E1025" t="inlineStr">
        <is>
          <t>ÄLVDALEN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777-2025</t>
        </is>
      </c>
      <c r="B1026" s="1" t="n">
        <v>45665</v>
      </c>
      <c r="C1026" s="1" t="n">
        <v>45824</v>
      </c>
      <c r="D1026" t="inlineStr">
        <is>
          <t>DALARNAS LÄN</t>
        </is>
      </c>
      <c r="E1026" t="inlineStr">
        <is>
          <t>ÄLVDALEN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771-2025</t>
        </is>
      </c>
      <c r="B1027" s="1" t="n">
        <v>45665</v>
      </c>
      <c r="C1027" s="1" t="n">
        <v>45824</v>
      </c>
      <c r="D1027" t="inlineStr">
        <is>
          <t>DALARNAS LÄN</t>
        </is>
      </c>
      <c r="E1027" t="inlineStr">
        <is>
          <t>ÄLVDALEN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747-2025</t>
        </is>
      </c>
      <c r="B1028" s="1" t="n">
        <v>45665</v>
      </c>
      <c r="C1028" s="1" t="n">
        <v>45824</v>
      </c>
      <c r="D1028" t="inlineStr">
        <is>
          <t>DALARNAS LÄN</t>
        </is>
      </c>
      <c r="E1028" t="inlineStr">
        <is>
          <t>ÄLVDALEN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1088-2025</t>
        </is>
      </c>
      <c r="B1029" s="1" t="n">
        <v>45666</v>
      </c>
      <c r="C1029" s="1" t="n">
        <v>45824</v>
      </c>
      <c r="D1029" t="inlineStr">
        <is>
          <t>DALARNAS LÄN</t>
        </is>
      </c>
      <c r="E1029" t="inlineStr">
        <is>
          <t>ÄLVDALEN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1081-2025</t>
        </is>
      </c>
      <c r="B1030" s="1" t="n">
        <v>45666</v>
      </c>
      <c r="C1030" s="1" t="n">
        <v>45824</v>
      </c>
      <c r="D1030" t="inlineStr">
        <is>
          <t>DALARNAS LÄN</t>
        </is>
      </c>
      <c r="E1030" t="inlineStr">
        <is>
          <t>ÄLVDALEN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1333-2025</t>
        </is>
      </c>
      <c r="B1031" s="1" t="n">
        <v>45667</v>
      </c>
      <c r="C1031" s="1" t="n">
        <v>45824</v>
      </c>
      <c r="D1031" t="inlineStr">
        <is>
          <t>DALARNAS LÄN</t>
        </is>
      </c>
      <c r="E1031" t="inlineStr">
        <is>
          <t>ÄLVDALEN</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1725-2025</t>
        </is>
      </c>
      <c r="B1032" s="1" t="n">
        <v>45671</v>
      </c>
      <c r="C1032" s="1" t="n">
        <v>45824</v>
      </c>
      <c r="D1032" t="inlineStr">
        <is>
          <t>DALARNAS LÄN</t>
        </is>
      </c>
      <c r="E1032" t="inlineStr">
        <is>
          <t>ÄLVDALEN</t>
        </is>
      </c>
      <c r="F1032" t="inlineStr">
        <is>
          <t>Allmännings- och besparingsskogar</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2546-2025</t>
        </is>
      </c>
      <c r="B1033" s="1" t="n">
        <v>45674</v>
      </c>
      <c r="C1033" s="1" t="n">
        <v>45824</v>
      </c>
      <c r="D1033" t="inlineStr">
        <is>
          <t>DALARNAS LÄN</t>
        </is>
      </c>
      <c r="E1033" t="inlineStr">
        <is>
          <t>ÄLVDALEN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3128-2025</t>
        </is>
      </c>
      <c r="B1034" s="1" t="n">
        <v>45678</v>
      </c>
      <c r="C1034" s="1" t="n">
        <v>45824</v>
      </c>
      <c r="D1034" t="inlineStr">
        <is>
          <t>DALARNAS LÄN</t>
        </is>
      </c>
      <c r="E1034" t="inlineStr">
        <is>
          <t>ÄLVDALEN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3196-2025</t>
        </is>
      </c>
      <c r="B1035" s="1" t="n">
        <v>45679</v>
      </c>
      <c r="C1035" s="1" t="n">
        <v>45824</v>
      </c>
      <c r="D1035" t="inlineStr">
        <is>
          <t>DALARNAS LÄN</t>
        </is>
      </c>
      <c r="E1035" t="inlineStr">
        <is>
          <t>ÄLVDALEN</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5063-2025</t>
        </is>
      </c>
      <c r="B1036" s="1" t="n">
        <v>45691</v>
      </c>
      <c r="C1036" s="1" t="n">
        <v>45824</v>
      </c>
      <c r="D1036" t="inlineStr">
        <is>
          <t>DALARNAS LÄN</t>
        </is>
      </c>
      <c r="E1036" t="inlineStr">
        <is>
          <t>ÄLVDALEN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5583-2025</t>
        </is>
      </c>
      <c r="B1037" s="1" t="n">
        <v>45693</v>
      </c>
      <c r="C1037" s="1" t="n">
        <v>45824</v>
      </c>
      <c r="D1037" t="inlineStr">
        <is>
          <t>DALARNAS LÄN</t>
        </is>
      </c>
      <c r="E1037" t="inlineStr">
        <is>
          <t>ÄLVDALEN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6675-2025</t>
        </is>
      </c>
      <c r="B1038" s="1" t="n">
        <v>45700</v>
      </c>
      <c r="C1038" s="1" t="n">
        <v>45824</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6791-2025</t>
        </is>
      </c>
      <c r="B1039" s="1" t="n">
        <v>45700</v>
      </c>
      <c r="C1039" s="1" t="n">
        <v>45824</v>
      </c>
      <c r="D1039" t="inlineStr">
        <is>
          <t>DALARNAS LÄN</t>
        </is>
      </c>
      <c r="E1039" t="inlineStr">
        <is>
          <t>ÄLVDALEN</t>
        </is>
      </c>
      <c r="G1039" t="n">
        <v>30.2</v>
      </c>
      <c r="H1039" t="n">
        <v>0</v>
      </c>
      <c r="I1039" t="n">
        <v>0</v>
      </c>
      <c r="J1039" t="n">
        <v>0</v>
      </c>
      <c r="K1039" t="n">
        <v>0</v>
      </c>
      <c r="L1039" t="n">
        <v>0</v>
      </c>
      <c r="M1039" t="n">
        <v>0</v>
      </c>
      <c r="N1039" t="n">
        <v>0</v>
      </c>
      <c r="O1039" t="n">
        <v>0</v>
      </c>
      <c r="P1039" t="n">
        <v>0</v>
      </c>
      <c r="Q1039" t="n">
        <v>0</v>
      </c>
      <c r="R1039" s="2" t="inlineStr"/>
    </row>
    <row r="1040" ht="15" customHeight="1">
      <c r="A1040" t="inlineStr">
        <is>
          <t>A 7078-2025</t>
        </is>
      </c>
      <c r="B1040" s="1" t="n">
        <v>45701</v>
      </c>
      <c r="C1040" s="1" t="n">
        <v>45824</v>
      </c>
      <c r="D1040" t="inlineStr">
        <is>
          <t>DALARNAS LÄN</t>
        </is>
      </c>
      <c r="E1040" t="inlineStr">
        <is>
          <t>ÄLVDALEN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7232-2025</t>
        </is>
      </c>
      <c r="B1041" s="1" t="n">
        <v>45702</v>
      </c>
      <c r="C1041" s="1" t="n">
        <v>45824</v>
      </c>
      <c r="D1041" t="inlineStr">
        <is>
          <t>DALARNAS LÄN</t>
        </is>
      </c>
      <c r="E1041" t="inlineStr">
        <is>
          <t>ÄLVDALEN</t>
        </is>
      </c>
      <c r="F1041" t="inlineStr">
        <is>
          <t>Allmännings- och besparingsskogar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7217-2025</t>
        </is>
      </c>
      <c r="B1042" s="1" t="n">
        <v>45702</v>
      </c>
      <c r="C1042" s="1" t="n">
        <v>45824</v>
      </c>
      <c r="D1042" t="inlineStr">
        <is>
          <t>DALARNAS LÄN</t>
        </is>
      </c>
      <c r="E1042" t="inlineStr">
        <is>
          <t>ÄLVDALEN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7219-2025</t>
        </is>
      </c>
      <c r="B1043" s="1" t="n">
        <v>45702</v>
      </c>
      <c r="C1043" s="1" t="n">
        <v>45824</v>
      </c>
      <c r="D1043" t="inlineStr">
        <is>
          <t>DALARNAS LÄN</t>
        </is>
      </c>
      <c r="E1043" t="inlineStr">
        <is>
          <t>ÄLVDALEN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7511-2025</t>
        </is>
      </c>
      <c r="B1044" s="1" t="n">
        <v>45705</v>
      </c>
      <c r="C1044" s="1" t="n">
        <v>45824</v>
      </c>
      <c r="D1044" t="inlineStr">
        <is>
          <t>DALARNAS LÄN</t>
        </is>
      </c>
      <c r="E1044" t="inlineStr">
        <is>
          <t>ÄLVDALEN</t>
        </is>
      </c>
      <c r="F1044" t="inlineStr">
        <is>
          <t>Allmännings- och besparingsskogar</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8069-2025</t>
        </is>
      </c>
      <c r="B1045" s="1" t="n">
        <v>45707</v>
      </c>
      <c r="C1045" s="1" t="n">
        <v>45824</v>
      </c>
      <c r="D1045" t="inlineStr">
        <is>
          <t>DALARNAS LÄN</t>
        </is>
      </c>
      <c r="E1045" t="inlineStr">
        <is>
          <t>ÄLVDALEN</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7937-2025</t>
        </is>
      </c>
      <c r="B1046" s="1" t="n">
        <v>45707</v>
      </c>
      <c r="C1046" s="1" t="n">
        <v>45824</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7917-2025</t>
        </is>
      </c>
      <c r="B1047" s="1" t="n">
        <v>45707</v>
      </c>
      <c r="C1047" s="1" t="n">
        <v>45824</v>
      </c>
      <c r="D1047" t="inlineStr">
        <is>
          <t>DALARNAS LÄN</t>
        </is>
      </c>
      <c r="E1047" t="inlineStr">
        <is>
          <t>ÄLVDALEN</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7913-2025</t>
        </is>
      </c>
      <c r="B1048" s="1" t="n">
        <v>45707</v>
      </c>
      <c r="C1048" s="1" t="n">
        <v>45824</v>
      </c>
      <c r="D1048" t="inlineStr">
        <is>
          <t>DALARNAS LÄN</t>
        </is>
      </c>
      <c r="E1048" t="inlineStr">
        <is>
          <t>ÄLVDALEN</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8192-2025</t>
        </is>
      </c>
      <c r="B1049" s="1" t="n">
        <v>45708</v>
      </c>
      <c r="C1049" s="1" t="n">
        <v>45824</v>
      </c>
      <c r="D1049" t="inlineStr">
        <is>
          <t>DALARNAS LÄN</t>
        </is>
      </c>
      <c r="E1049" t="inlineStr">
        <is>
          <t>ÄLVDALEN</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8146-2025</t>
        </is>
      </c>
      <c r="B1050" s="1" t="n">
        <v>45708</v>
      </c>
      <c r="C1050" s="1" t="n">
        <v>45824</v>
      </c>
      <c r="D1050" t="inlineStr">
        <is>
          <t>DALARNAS LÄN</t>
        </is>
      </c>
      <c r="E1050" t="inlineStr">
        <is>
          <t>ÄLVDALEN</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8538-2025</t>
        </is>
      </c>
      <c r="B1051" s="1" t="n">
        <v>45709</v>
      </c>
      <c r="C1051" s="1" t="n">
        <v>45824</v>
      </c>
      <c r="D1051" t="inlineStr">
        <is>
          <t>DALARNAS LÄN</t>
        </is>
      </c>
      <c r="E1051" t="inlineStr">
        <is>
          <t>ÄLVDALEN</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8496-2025</t>
        </is>
      </c>
      <c r="B1052" s="1" t="n">
        <v>45709</v>
      </c>
      <c r="C1052" s="1" t="n">
        <v>45824</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8492-2025</t>
        </is>
      </c>
      <c r="B1053" s="1" t="n">
        <v>45709</v>
      </c>
      <c r="C1053" s="1" t="n">
        <v>45824</v>
      </c>
      <c r="D1053" t="inlineStr">
        <is>
          <t>DALARNAS LÄN</t>
        </is>
      </c>
      <c r="E1053" t="inlineStr">
        <is>
          <t>ÄLVDALEN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9045-2025</t>
        </is>
      </c>
      <c r="B1054" s="1" t="n">
        <v>45713</v>
      </c>
      <c r="C1054" s="1" t="n">
        <v>45824</v>
      </c>
      <c r="D1054" t="inlineStr">
        <is>
          <t>DALARNAS LÄN</t>
        </is>
      </c>
      <c r="E1054" t="inlineStr">
        <is>
          <t>ÄLVDALEN</t>
        </is>
      </c>
      <c r="F1054" t="inlineStr">
        <is>
          <t>Allmännings- och besparingsskogar</t>
        </is>
      </c>
      <c r="G1054" t="n">
        <v>39.1</v>
      </c>
      <c r="H1054" t="n">
        <v>0</v>
      </c>
      <c r="I1054" t="n">
        <v>0</v>
      </c>
      <c r="J1054" t="n">
        <v>0</v>
      </c>
      <c r="K1054" t="n">
        <v>0</v>
      </c>
      <c r="L1054" t="n">
        <v>0</v>
      </c>
      <c r="M1054" t="n">
        <v>0</v>
      </c>
      <c r="N1054" t="n">
        <v>0</v>
      </c>
      <c r="O1054" t="n">
        <v>0</v>
      </c>
      <c r="P1054" t="n">
        <v>0</v>
      </c>
      <c r="Q1054" t="n">
        <v>0</v>
      </c>
      <c r="R1054" s="2" t="inlineStr"/>
    </row>
    <row r="1055" ht="15" customHeight="1">
      <c r="A1055" t="inlineStr">
        <is>
          <t>A 8952-2025</t>
        </is>
      </c>
      <c r="B1055" s="1" t="n">
        <v>45713</v>
      </c>
      <c r="C1055" s="1" t="n">
        <v>45824</v>
      </c>
      <c r="D1055" t="inlineStr">
        <is>
          <t>DALARNAS LÄN</t>
        </is>
      </c>
      <c r="E1055" t="inlineStr">
        <is>
          <t>ÄLVDALEN</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8986-2025</t>
        </is>
      </c>
      <c r="B1056" s="1" t="n">
        <v>45713</v>
      </c>
      <c r="C1056" s="1" t="n">
        <v>45824</v>
      </c>
      <c r="D1056" t="inlineStr">
        <is>
          <t>DALARNAS LÄN</t>
        </is>
      </c>
      <c r="E1056" t="inlineStr">
        <is>
          <t>ÄLVDALEN</t>
        </is>
      </c>
      <c r="F1056" t="inlineStr">
        <is>
          <t>Allmännings- och besparingsskogar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10817-2025</t>
        </is>
      </c>
      <c r="B1057" s="1" t="n">
        <v>45722</v>
      </c>
      <c r="C1057" s="1" t="n">
        <v>45824</v>
      </c>
      <c r="D1057" t="inlineStr">
        <is>
          <t>DALARNAS LÄN</t>
        </is>
      </c>
      <c r="E1057" t="inlineStr">
        <is>
          <t>ÄLVDALEN</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10831-2025</t>
        </is>
      </c>
      <c r="B1058" s="1" t="n">
        <v>45722</v>
      </c>
      <c r="C1058" s="1" t="n">
        <v>45824</v>
      </c>
      <c r="D1058" t="inlineStr">
        <is>
          <t>DALARNAS LÄN</t>
        </is>
      </c>
      <c r="E1058" t="inlineStr">
        <is>
          <t>ÄLVDALEN</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10758-2025</t>
        </is>
      </c>
      <c r="B1059" s="1" t="n">
        <v>45722</v>
      </c>
      <c r="C1059" s="1" t="n">
        <v>45824</v>
      </c>
      <c r="D1059" t="inlineStr">
        <is>
          <t>DALARNAS LÄN</t>
        </is>
      </c>
      <c r="E1059" t="inlineStr">
        <is>
          <t>ÄLVDALEN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12318-2025</t>
        </is>
      </c>
      <c r="B1060" s="1" t="n">
        <v>45729</v>
      </c>
      <c r="C1060" s="1" t="n">
        <v>45824</v>
      </c>
      <c r="D1060" t="inlineStr">
        <is>
          <t>DALARNAS LÄN</t>
        </is>
      </c>
      <c r="E1060" t="inlineStr">
        <is>
          <t>ÄLVDALEN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14489-2025</t>
        </is>
      </c>
      <c r="B1061" s="1" t="n">
        <v>45741</v>
      </c>
      <c r="C1061" s="1" t="n">
        <v>45824</v>
      </c>
      <c r="D1061" t="inlineStr">
        <is>
          <t>DALARNAS LÄN</t>
        </is>
      </c>
      <c r="E1061" t="inlineStr">
        <is>
          <t>ÄLVDALEN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15363-2025</t>
        </is>
      </c>
      <c r="B1062" s="1" t="n">
        <v>45747</v>
      </c>
      <c r="C1062" s="1" t="n">
        <v>45824</v>
      </c>
      <c r="D1062" t="inlineStr">
        <is>
          <t>DALARNAS LÄN</t>
        </is>
      </c>
      <c r="E1062" t="inlineStr">
        <is>
          <t>ÄLVDALEN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15738-2025</t>
        </is>
      </c>
      <c r="B1063" s="1" t="n">
        <v>45748</v>
      </c>
      <c r="C1063" s="1" t="n">
        <v>45824</v>
      </c>
      <c r="D1063" t="inlineStr">
        <is>
          <t>DALARNAS LÄN</t>
        </is>
      </c>
      <c r="E1063" t="inlineStr">
        <is>
          <t>ÄLVDALEN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16746-2025</t>
        </is>
      </c>
      <c r="B1064" s="1" t="n">
        <v>45754</v>
      </c>
      <c r="C1064" s="1" t="n">
        <v>45824</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19578-2025</t>
        </is>
      </c>
      <c r="B1065" s="1" t="n">
        <v>45770</v>
      </c>
      <c r="C1065" s="1" t="n">
        <v>45824</v>
      </c>
      <c r="D1065" t="inlineStr">
        <is>
          <t>DALARNAS LÄN</t>
        </is>
      </c>
      <c r="E1065" t="inlineStr">
        <is>
          <t>ÄLVDALEN</t>
        </is>
      </c>
      <c r="F1065" t="inlineStr">
        <is>
          <t>Sveaskog</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19583-2025</t>
        </is>
      </c>
      <c r="B1066" s="1" t="n">
        <v>45770</v>
      </c>
      <c r="C1066" s="1" t="n">
        <v>45824</v>
      </c>
      <c r="D1066" t="inlineStr">
        <is>
          <t>DALARNAS LÄN</t>
        </is>
      </c>
      <c r="E1066" t="inlineStr">
        <is>
          <t>ÄLVDALEN</t>
        </is>
      </c>
      <c r="F1066" t="inlineStr">
        <is>
          <t>Sveaskog</t>
        </is>
      </c>
      <c r="G1066" t="n">
        <v>24.1</v>
      </c>
      <c r="H1066" t="n">
        <v>0</v>
      </c>
      <c r="I1066" t="n">
        <v>0</v>
      </c>
      <c r="J1066" t="n">
        <v>0</v>
      </c>
      <c r="K1066" t="n">
        <v>0</v>
      </c>
      <c r="L1066" t="n">
        <v>0</v>
      </c>
      <c r="M1066" t="n">
        <v>0</v>
      </c>
      <c r="N1066" t="n">
        <v>0</v>
      </c>
      <c r="O1066" t="n">
        <v>0</v>
      </c>
      <c r="P1066" t="n">
        <v>0</v>
      </c>
      <c r="Q1066" t="n">
        <v>0</v>
      </c>
      <c r="R1066" s="2" t="inlineStr"/>
    </row>
    <row r="1067" ht="15" customHeight="1">
      <c r="A1067" t="inlineStr">
        <is>
          <t>A 19587-2025</t>
        </is>
      </c>
      <c r="B1067" s="1" t="n">
        <v>45770</v>
      </c>
      <c r="C1067" s="1" t="n">
        <v>45824</v>
      </c>
      <c r="D1067" t="inlineStr">
        <is>
          <t>DALARNAS LÄN</t>
        </is>
      </c>
      <c r="E1067" t="inlineStr">
        <is>
          <t>ÄLVDALEN</t>
        </is>
      </c>
      <c r="F1067" t="inlineStr">
        <is>
          <t>Allmännings- och besparingsskogar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19553-2025</t>
        </is>
      </c>
      <c r="B1068" s="1" t="n">
        <v>45770</v>
      </c>
      <c r="C1068" s="1" t="n">
        <v>45824</v>
      </c>
      <c r="D1068" t="inlineStr">
        <is>
          <t>DALARNAS LÄN</t>
        </is>
      </c>
      <c r="E1068" t="inlineStr">
        <is>
          <t>ÄLVDALEN</t>
        </is>
      </c>
      <c r="F1068" t="inlineStr">
        <is>
          <t>Sveaskog</t>
        </is>
      </c>
      <c r="G1068" t="n">
        <v>25.2</v>
      </c>
      <c r="H1068" t="n">
        <v>0</v>
      </c>
      <c r="I1068" t="n">
        <v>0</v>
      </c>
      <c r="J1068" t="n">
        <v>0</v>
      </c>
      <c r="K1068" t="n">
        <v>0</v>
      </c>
      <c r="L1068" t="n">
        <v>0</v>
      </c>
      <c r="M1068" t="n">
        <v>0</v>
      </c>
      <c r="N1068" t="n">
        <v>0</v>
      </c>
      <c r="O1068" t="n">
        <v>0</v>
      </c>
      <c r="P1068" t="n">
        <v>0</v>
      </c>
      <c r="Q1068" t="n">
        <v>0</v>
      </c>
      <c r="R1068" s="2" t="inlineStr"/>
    </row>
    <row r="1069" ht="15" customHeight="1">
      <c r="A1069" t="inlineStr">
        <is>
          <t>A 19527-2025</t>
        </is>
      </c>
      <c r="B1069" s="1" t="n">
        <v>45770</v>
      </c>
      <c r="C1069" s="1" t="n">
        <v>45824</v>
      </c>
      <c r="D1069" t="inlineStr">
        <is>
          <t>DALARNAS LÄN</t>
        </is>
      </c>
      <c r="E1069" t="inlineStr">
        <is>
          <t>ÄLVDALEN</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19567-2025</t>
        </is>
      </c>
      <c r="B1070" s="1" t="n">
        <v>45770</v>
      </c>
      <c r="C1070" s="1" t="n">
        <v>45824</v>
      </c>
      <c r="D1070" t="inlineStr">
        <is>
          <t>DALARNAS LÄN</t>
        </is>
      </c>
      <c r="E1070" t="inlineStr">
        <is>
          <t>ÄLVDALEN</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19589-2025</t>
        </is>
      </c>
      <c r="B1071" s="1" t="n">
        <v>45770</v>
      </c>
      <c r="C1071" s="1" t="n">
        <v>45824</v>
      </c>
      <c r="D1071" t="inlineStr">
        <is>
          <t>DALARNAS LÄN</t>
        </is>
      </c>
      <c r="E1071" t="inlineStr">
        <is>
          <t>ÄLVDALEN</t>
        </is>
      </c>
      <c r="F1071" t="inlineStr">
        <is>
          <t>Sveaskog</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19588-2025</t>
        </is>
      </c>
      <c r="B1072" s="1" t="n">
        <v>45770</v>
      </c>
      <c r="C1072" s="1" t="n">
        <v>45824</v>
      </c>
      <c r="D1072" t="inlineStr">
        <is>
          <t>DALARNAS LÄN</t>
        </is>
      </c>
      <c r="E1072" t="inlineStr">
        <is>
          <t>ÄLVDALEN</t>
        </is>
      </c>
      <c r="F1072" t="inlineStr">
        <is>
          <t>Sveaskog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20146-2025</t>
        </is>
      </c>
      <c r="B1073" s="1" t="n">
        <v>45772</v>
      </c>
      <c r="C1073" s="1" t="n">
        <v>45824</v>
      </c>
      <c r="D1073" t="inlineStr">
        <is>
          <t>DALARNAS LÄN</t>
        </is>
      </c>
      <c r="E1073" t="inlineStr">
        <is>
          <t>ÄLVDALEN</t>
        </is>
      </c>
      <c r="F1073" t="inlineStr">
        <is>
          <t>Allmännings- och besparingsskogar</t>
        </is>
      </c>
      <c r="G1073" t="n">
        <v>24.3</v>
      </c>
      <c r="H1073" t="n">
        <v>0</v>
      </c>
      <c r="I1073" t="n">
        <v>0</v>
      </c>
      <c r="J1073" t="n">
        <v>0</v>
      </c>
      <c r="K1073" t="n">
        <v>0</v>
      </c>
      <c r="L1073" t="n">
        <v>0</v>
      </c>
      <c r="M1073" t="n">
        <v>0</v>
      </c>
      <c r="N1073" t="n">
        <v>0</v>
      </c>
      <c r="O1073" t="n">
        <v>0</v>
      </c>
      <c r="P1073" t="n">
        <v>0</v>
      </c>
      <c r="Q1073" t="n">
        <v>0</v>
      </c>
      <c r="R1073" s="2" t="inlineStr"/>
    </row>
    <row r="1074" ht="15" customHeight="1">
      <c r="A1074" t="inlineStr">
        <is>
          <t>A 20584-2025</t>
        </is>
      </c>
      <c r="B1074" s="1" t="n">
        <v>45775</v>
      </c>
      <c r="C1074" s="1" t="n">
        <v>45824</v>
      </c>
      <c r="D1074" t="inlineStr">
        <is>
          <t>DALARNAS LÄN</t>
        </is>
      </c>
      <c r="E1074" t="inlineStr">
        <is>
          <t>ÄLVDALEN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20595-2025</t>
        </is>
      </c>
      <c r="B1075" s="1" t="n">
        <v>45775</v>
      </c>
      <c r="C1075" s="1" t="n">
        <v>45824</v>
      </c>
      <c r="D1075" t="inlineStr">
        <is>
          <t>DALARNAS LÄN</t>
        </is>
      </c>
      <c r="E1075" t="inlineStr">
        <is>
          <t>ÄLVDALEN</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20924-2025</t>
        </is>
      </c>
      <c r="B1076" s="1" t="n">
        <v>45777</v>
      </c>
      <c r="C1076" s="1" t="n">
        <v>45824</v>
      </c>
      <c r="D1076" t="inlineStr">
        <is>
          <t>DALARNAS LÄN</t>
        </is>
      </c>
      <c r="E1076" t="inlineStr">
        <is>
          <t>ÄLVDALEN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21395-2025</t>
        </is>
      </c>
      <c r="B1077" s="1" t="n">
        <v>45782</v>
      </c>
      <c r="C1077" s="1" t="n">
        <v>45824</v>
      </c>
      <c r="D1077" t="inlineStr">
        <is>
          <t>DALARNAS LÄN</t>
        </is>
      </c>
      <c r="E1077" t="inlineStr">
        <is>
          <t>ÄLVDALEN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21613-2025</t>
        </is>
      </c>
      <c r="B1078" s="1" t="n">
        <v>45783</v>
      </c>
      <c r="C1078" s="1" t="n">
        <v>45824</v>
      </c>
      <c r="D1078" t="inlineStr">
        <is>
          <t>DALARNAS LÄN</t>
        </is>
      </c>
      <c r="E1078" t="inlineStr">
        <is>
          <t>ÄLVDALEN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21629-2025</t>
        </is>
      </c>
      <c r="B1079" s="1" t="n">
        <v>45783</v>
      </c>
      <c r="C1079" s="1" t="n">
        <v>45824</v>
      </c>
      <c r="D1079" t="inlineStr">
        <is>
          <t>DALARNAS LÄN</t>
        </is>
      </c>
      <c r="E1079" t="inlineStr">
        <is>
          <t>ÄLVDALEN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22189-2025</t>
        </is>
      </c>
      <c r="B1080" s="1" t="n">
        <v>45785</v>
      </c>
      <c r="C1080" s="1" t="n">
        <v>45824</v>
      </c>
      <c r="D1080" t="inlineStr">
        <is>
          <t>DALARNAS LÄN</t>
        </is>
      </c>
      <c r="E1080" t="inlineStr">
        <is>
          <t>ÄLVDALEN</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22291-2025</t>
        </is>
      </c>
      <c r="B1081" s="1" t="n">
        <v>45786</v>
      </c>
      <c r="C1081" s="1" t="n">
        <v>45824</v>
      </c>
      <c r="D1081" t="inlineStr">
        <is>
          <t>DALARNAS LÄN</t>
        </is>
      </c>
      <c r="E1081" t="inlineStr">
        <is>
          <t>ÄLVDALEN</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22286-2025</t>
        </is>
      </c>
      <c r="B1082" s="1" t="n">
        <v>45786</v>
      </c>
      <c r="C1082" s="1" t="n">
        <v>45824</v>
      </c>
      <c r="D1082" t="inlineStr">
        <is>
          <t>DALARNAS LÄN</t>
        </is>
      </c>
      <c r="E1082" t="inlineStr">
        <is>
          <t>ÄLVDALEN</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22279-2025</t>
        </is>
      </c>
      <c r="B1083" s="1" t="n">
        <v>45786</v>
      </c>
      <c r="C1083" s="1" t="n">
        <v>45824</v>
      </c>
      <c r="D1083" t="inlineStr">
        <is>
          <t>DALARNAS LÄN</t>
        </is>
      </c>
      <c r="E1083" t="inlineStr">
        <is>
          <t>ÄLVDALEN</t>
        </is>
      </c>
      <c r="F1083" t="inlineStr">
        <is>
          <t>Allmännings- och besparingsskogar</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22303-2025</t>
        </is>
      </c>
      <c r="B1084" s="1" t="n">
        <v>45786</v>
      </c>
      <c r="C1084" s="1" t="n">
        <v>45824</v>
      </c>
      <c r="D1084" t="inlineStr">
        <is>
          <t>DALARNAS LÄN</t>
        </is>
      </c>
      <c r="E1084" t="inlineStr">
        <is>
          <t>ÄLVDALEN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22577-2025</t>
        </is>
      </c>
      <c r="B1085" s="1" t="n">
        <v>45789</v>
      </c>
      <c r="C1085" s="1" t="n">
        <v>45824</v>
      </c>
      <c r="D1085" t="inlineStr">
        <is>
          <t>DALARNAS LÄN</t>
        </is>
      </c>
      <c r="E1085" t="inlineStr">
        <is>
          <t>ÄLVDALEN</t>
        </is>
      </c>
      <c r="F1085" t="inlineStr">
        <is>
          <t>Allmännings- och besparingsskogar</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22631-2025</t>
        </is>
      </c>
      <c r="B1086" s="1" t="n">
        <v>45789</v>
      </c>
      <c r="C1086" s="1" t="n">
        <v>45824</v>
      </c>
      <c r="D1086" t="inlineStr">
        <is>
          <t>DALARNAS LÄN</t>
        </is>
      </c>
      <c r="E1086" t="inlineStr">
        <is>
          <t>ÄLVDALEN</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22559-2025</t>
        </is>
      </c>
      <c r="B1087" s="1" t="n">
        <v>45789</v>
      </c>
      <c r="C1087" s="1" t="n">
        <v>45824</v>
      </c>
      <c r="D1087" t="inlineStr">
        <is>
          <t>DALARNAS LÄN</t>
        </is>
      </c>
      <c r="E1087" t="inlineStr">
        <is>
          <t>ÄLVDALEN</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22909-2025</t>
        </is>
      </c>
      <c r="B1088" s="1" t="n">
        <v>45790</v>
      </c>
      <c r="C1088" s="1" t="n">
        <v>45824</v>
      </c>
      <c r="D1088" t="inlineStr">
        <is>
          <t>DALARNAS LÄN</t>
        </is>
      </c>
      <c r="E1088" t="inlineStr">
        <is>
          <t>ÄLVDALEN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23219-2025</t>
        </is>
      </c>
      <c r="B1089" s="1" t="n">
        <v>45791</v>
      </c>
      <c r="C1089" s="1" t="n">
        <v>45824</v>
      </c>
      <c r="D1089" t="inlineStr">
        <is>
          <t>DALARNAS LÄN</t>
        </is>
      </c>
      <c r="E1089" t="inlineStr">
        <is>
          <t>ÄLVDALEN</t>
        </is>
      </c>
      <c r="F1089" t="inlineStr">
        <is>
          <t>Bergvik skog öst AB</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23555-2025</t>
        </is>
      </c>
      <c r="B1090" s="1" t="n">
        <v>45792</v>
      </c>
      <c r="C1090" s="1" t="n">
        <v>45824</v>
      </c>
      <c r="D1090" t="inlineStr">
        <is>
          <t>DALARNAS LÄN</t>
        </is>
      </c>
      <c r="E1090" t="inlineStr">
        <is>
          <t>ÄLVDALEN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24637-2025</t>
        </is>
      </c>
      <c r="B1091" s="1" t="n">
        <v>45798</v>
      </c>
      <c r="C1091" s="1" t="n">
        <v>45824</v>
      </c>
      <c r="D1091" t="inlineStr">
        <is>
          <t>DALARNAS LÄN</t>
        </is>
      </c>
      <c r="E1091" t="inlineStr">
        <is>
          <t>ÄLVDALEN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24950-2025</t>
        </is>
      </c>
      <c r="B1092" s="1" t="n">
        <v>45799</v>
      </c>
      <c r="C1092" s="1" t="n">
        <v>45824</v>
      </c>
      <c r="D1092" t="inlineStr">
        <is>
          <t>DALARNAS LÄN</t>
        </is>
      </c>
      <c r="E1092" t="inlineStr">
        <is>
          <t>ÄLVDALEN</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25086-2025</t>
        </is>
      </c>
      <c r="B1093" s="1" t="n">
        <v>45800</v>
      </c>
      <c r="C1093" s="1" t="n">
        <v>45824</v>
      </c>
      <c r="D1093" t="inlineStr">
        <is>
          <t>DALARNAS LÄN</t>
        </is>
      </c>
      <c r="E1093" t="inlineStr">
        <is>
          <t>ÄLVDALEN</t>
        </is>
      </c>
      <c r="F1093" t="inlineStr">
        <is>
          <t>Sveaskog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25649-2025</t>
        </is>
      </c>
      <c r="B1094" s="1" t="n">
        <v>45803</v>
      </c>
      <c r="C1094" s="1" t="n">
        <v>45824</v>
      </c>
      <c r="D1094" t="inlineStr">
        <is>
          <t>DALARNAS LÄN</t>
        </is>
      </c>
      <c r="E1094" t="inlineStr">
        <is>
          <t>ÄLVDALEN</t>
        </is>
      </c>
      <c r="F1094" t="inlineStr">
        <is>
          <t>Allmännings- och besparingsskogar</t>
        </is>
      </c>
      <c r="G1094" t="n">
        <v>31.3</v>
      </c>
      <c r="H1094" t="n">
        <v>0</v>
      </c>
      <c r="I1094" t="n">
        <v>0</v>
      </c>
      <c r="J1094" t="n">
        <v>0</v>
      </c>
      <c r="K1094" t="n">
        <v>0</v>
      </c>
      <c r="L1094" t="n">
        <v>0</v>
      </c>
      <c r="M1094" t="n">
        <v>0</v>
      </c>
      <c r="N1094" t="n">
        <v>0</v>
      </c>
      <c r="O1094" t="n">
        <v>0</v>
      </c>
      <c r="P1094" t="n">
        <v>0</v>
      </c>
      <c r="Q1094" t="n">
        <v>0</v>
      </c>
      <c r="R1094" s="2" t="inlineStr"/>
    </row>
    <row r="1095" ht="15" customHeight="1">
      <c r="A1095" t="inlineStr">
        <is>
          <t>A 25754-2025</t>
        </is>
      </c>
      <c r="B1095" s="1" t="n">
        <v>45804</v>
      </c>
      <c r="C1095" s="1" t="n">
        <v>45824</v>
      </c>
      <c r="D1095" t="inlineStr">
        <is>
          <t>DALARNAS LÄN</t>
        </is>
      </c>
      <c r="E1095" t="inlineStr">
        <is>
          <t>ÄLVDALEN</t>
        </is>
      </c>
      <c r="F1095" t="inlineStr">
        <is>
          <t>Kommuner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25879-2025</t>
        </is>
      </c>
      <c r="B1096" s="1" t="n">
        <v>45804</v>
      </c>
      <c r="C1096" s="1" t="n">
        <v>45824</v>
      </c>
      <c r="D1096" t="inlineStr">
        <is>
          <t>DALARNAS LÄN</t>
        </is>
      </c>
      <c r="E1096" t="inlineStr">
        <is>
          <t>ÄLVDALEN</t>
        </is>
      </c>
      <c r="F1096" t="inlineStr">
        <is>
          <t>Allmännings- och besparingsskogar</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25758-2025</t>
        </is>
      </c>
      <c r="B1097" s="1" t="n">
        <v>45804</v>
      </c>
      <c r="C1097" s="1" t="n">
        <v>45824</v>
      </c>
      <c r="D1097" t="inlineStr">
        <is>
          <t>DALARNAS LÄN</t>
        </is>
      </c>
      <c r="E1097" t="inlineStr">
        <is>
          <t>ÄLVDALEN</t>
        </is>
      </c>
      <c r="F1097" t="inlineStr">
        <is>
          <t>Kommuner</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25823-2025</t>
        </is>
      </c>
      <c r="B1098" s="1" t="n">
        <v>45804</v>
      </c>
      <c r="C1098" s="1" t="n">
        <v>45824</v>
      </c>
      <c r="D1098" t="inlineStr">
        <is>
          <t>DALARNAS LÄN</t>
        </is>
      </c>
      <c r="E1098" t="inlineStr">
        <is>
          <t>ÄLVDALEN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26140-2025</t>
        </is>
      </c>
      <c r="B1099" s="1" t="n">
        <v>45805</v>
      </c>
      <c r="C1099" s="1" t="n">
        <v>45824</v>
      </c>
      <c r="D1099" t="inlineStr">
        <is>
          <t>DALARNAS LÄN</t>
        </is>
      </c>
      <c r="E1099" t="inlineStr">
        <is>
          <t>ÄLVDALEN</t>
        </is>
      </c>
      <c r="F1099" t="inlineStr">
        <is>
          <t>Allmännings- och besparingsskogar</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26285-2025</t>
        </is>
      </c>
      <c r="B1100" s="1" t="n">
        <v>45805</v>
      </c>
      <c r="C1100" s="1" t="n">
        <v>45824</v>
      </c>
      <c r="D1100" t="inlineStr">
        <is>
          <t>DALARNAS LÄN</t>
        </is>
      </c>
      <c r="E1100" t="inlineStr">
        <is>
          <t>ÄLVDALEN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26704-2025</t>
        </is>
      </c>
      <c r="B1101" s="1" t="n">
        <v>45810</v>
      </c>
      <c r="C1101" s="1" t="n">
        <v>45824</v>
      </c>
      <c r="D1101" t="inlineStr">
        <is>
          <t>DALARNAS LÄN</t>
        </is>
      </c>
      <c r="E1101" t="inlineStr">
        <is>
          <t>ÄLVDALEN</t>
        </is>
      </c>
      <c r="F1101" t="inlineStr">
        <is>
          <t>Bergvik skog väst AB</t>
        </is>
      </c>
      <c r="G1101" t="n">
        <v>32.3</v>
      </c>
      <c r="H1101" t="n">
        <v>0</v>
      </c>
      <c r="I1101" t="n">
        <v>0</v>
      </c>
      <c r="J1101" t="n">
        <v>0</v>
      </c>
      <c r="K1101" t="n">
        <v>0</v>
      </c>
      <c r="L1101" t="n">
        <v>0</v>
      </c>
      <c r="M1101" t="n">
        <v>0</v>
      </c>
      <c r="N1101" t="n">
        <v>0</v>
      </c>
      <c r="O1101" t="n">
        <v>0</v>
      </c>
      <c r="P1101" t="n">
        <v>0</v>
      </c>
      <c r="Q1101" t="n">
        <v>0</v>
      </c>
      <c r="R1101" s="2" t="inlineStr"/>
    </row>
    <row r="1102" ht="15" customHeight="1">
      <c r="A1102" t="inlineStr">
        <is>
          <t>A 27090-2025</t>
        </is>
      </c>
      <c r="B1102" s="1" t="n">
        <v>45811</v>
      </c>
      <c r="C1102" s="1" t="n">
        <v>45824</v>
      </c>
      <c r="D1102" t="inlineStr">
        <is>
          <t>DALARNAS LÄN</t>
        </is>
      </c>
      <c r="E1102" t="inlineStr">
        <is>
          <t>ÄLVDALEN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27187-2025</t>
        </is>
      </c>
      <c r="B1103" s="1" t="n">
        <v>45812</v>
      </c>
      <c r="C1103" s="1" t="n">
        <v>45824</v>
      </c>
      <c r="D1103" t="inlineStr">
        <is>
          <t>DALARNAS LÄN</t>
        </is>
      </c>
      <c r="E1103" t="inlineStr">
        <is>
          <t>ÄLVDALEN</t>
        </is>
      </c>
      <c r="F1103" t="inlineStr">
        <is>
          <t>Allmännings- och besparingsskogar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27261-2025</t>
        </is>
      </c>
      <c r="B1104" s="1" t="n">
        <v>45812</v>
      </c>
      <c r="C1104" s="1" t="n">
        <v>45824</v>
      </c>
      <c r="D1104" t="inlineStr">
        <is>
          <t>DALARNAS LÄN</t>
        </is>
      </c>
      <c r="E1104" t="inlineStr">
        <is>
          <t>ÄLVDALEN</t>
        </is>
      </c>
      <c r="F1104" t="inlineStr">
        <is>
          <t>Bergvik skog väst AB</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27230-2025</t>
        </is>
      </c>
      <c r="B1105" s="1" t="n">
        <v>45812</v>
      </c>
      <c r="C1105" s="1" t="n">
        <v>45824</v>
      </c>
      <c r="D1105" t="inlineStr">
        <is>
          <t>DALARNAS LÄN</t>
        </is>
      </c>
      <c r="E1105" t="inlineStr">
        <is>
          <t>ÄLVDALEN</t>
        </is>
      </c>
      <c r="F1105" t="inlineStr">
        <is>
          <t>Allmännings- och besparingsskogar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27739-2025</t>
        </is>
      </c>
      <c r="B1106" s="1" t="n">
        <v>45815</v>
      </c>
      <c r="C1106" s="1" t="n">
        <v>45824</v>
      </c>
      <c r="D1106" t="inlineStr">
        <is>
          <t>DALARNAS LÄN</t>
        </is>
      </c>
      <c r="E1106" t="inlineStr">
        <is>
          <t>ÄLVDALEN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27918-2025</t>
        </is>
      </c>
      <c r="B1107" s="1" t="n">
        <v>45817</v>
      </c>
      <c r="C1107" s="1" t="n">
        <v>45824</v>
      </c>
      <c r="D1107" t="inlineStr">
        <is>
          <t>DALARNAS LÄN</t>
        </is>
      </c>
      <c r="E1107" t="inlineStr">
        <is>
          <t>ÄLVDALEN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27923-2025</t>
        </is>
      </c>
      <c r="B1108" s="1" t="n">
        <v>45817</v>
      </c>
      <c r="C1108" s="1" t="n">
        <v>45824</v>
      </c>
      <c r="D1108" t="inlineStr">
        <is>
          <t>DALARNAS LÄN</t>
        </is>
      </c>
      <c r="E1108" t="inlineStr">
        <is>
          <t>ÄLVDALEN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28842-2025</t>
        </is>
      </c>
      <c r="B1109" s="1" t="n">
        <v>45820</v>
      </c>
      <c r="C1109" s="1" t="n">
        <v>45824</v>
      </c>
      <c r="D1109" t="inlineStr">
        <is>
          <t>DALARNAS LÄN</t>
        </is>
      </c>
      <c r="E1109" t="inlineStr">
        <is>
          <t>ÄLVDALEN</t>
        </is>
      </c>
      <c r="F1109" t="inlineStr">
        <is>
          <t>Allmännings- och besparingsskogar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28838-2025</t>
        </is>
      </c>
      <c r="B1110" s="1" t="n">
        <v>45820</v>
      </c>
      <c r="C1110" s="1" t="n">
        <v>45824</v>
      </c>
      <c r="D1110" t="inlineStr">
        <is>
          <t>DALARNAS LÄN</t>
        </is>
      </c>
      <c r="E1110" t="inlineStr">
        <is>
          <t>ÄLVDALEN</t>
        </is>
      </c>
      <c r="F1110" t="inlineStr">
        <is>
          <t>Allmännings- och besparingsskogar</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28844-2025</t>
        </is>
      </c>
      <c r="B1111" s="1" t="n">
        <v>45820</v>
      </c>
      <c r="C1111" s="1" t="n">
        <v>45824</v>
      </c>
      <c r="D1111" t="inlineStr">
        <is>
          <t>DALARNAS LÄN</t>
        </is>
      </c>
      <c r="E1111" t="inlineStr">
        <is>
          <t>ÄLVDALEN</t>
        </is>
      </c>
      <c r="F1111" t="inlineStr">
        <is>
          <t>Allmännings- och besparingsskogar</t>
        </is>
      </c>
      <c r="G1111" t="n">
        <v>1.3</v>
      </c>
      <c r="H1111" t="n">
        <v>0</v>
      </c>
      <c r="I1111" t="n">
        <v>0</v>
      </c>
      <c r="J1111" t="n">
        <v>0</v>
      </c>
      <c r="K1111" t="n">
        <v>0</v>
      </c>
      <c r="L1111" t="n">
        <v>0</v>
      </c>
      <c r="M1111" t="n">
        <v>0</v>
      </c>
      <c r="N1111" t="n">
        <v>0</v>
      </c>
      <c r="O1111" t="n">
        <v>0</v>
      </c>
      <c r="P1111" t="n">
        <v>0</v>
      </c>
      <c r="Q1111" t="n">
        <v>0</v>
      </c>
      <c r="R1111" s="2" t="inlineStr"/>
    </row>
    <row r="1112">
      <c r="A1112" t="inlineStr">
        <is>
          <t>A 29154-2025</t>
        </is>
      </c>
      <c r="B1112" s="1" t="n">
        <v>45821</v>
      </c>
      <c r="C1112" s="1" t="n">
        <v>45824</v>
      </c>
      <c r="D1112" t="inlineStr">
        <is>
          <t>DALARNAS LÄN</t>
        </is>
      </c>
      <c r="E1112" t="inlineStr">
        <is>
          <t>ÄLVDALEN</t>
        </is>
      </c>
      <c r="F1112" t="inlineStr">
        <is>
          <t>Allmännings- och besparingsskogar</t>
        </is>
      </c>
      <c r="G1112" t="n">
        <v>32.2</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2025-06-16T18:53:33Z</dcterms:created>
  <dcterms:modified xmlns:dcterms="http://purl.org/dc/terms/" xmlns:xsi="http://www.w3.org/2001/XMLSchema-instance" xsi:type="dcterms:W3CDTF">2025-06-16T18:53:34Z</dcterms:modified>
</cp:coreProperties>
</file>