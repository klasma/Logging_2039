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v>
      </c>
      <c r="C3" s="1" t="n">
        <v>46030</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46030</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46030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46030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46030</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46030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46030</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46030</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46030</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46030</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46030</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46030</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46030</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46030</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20146-2025</t>
        </is>
      </c>
      <c r="B19" s="1" t="n">
        <v>45772.53324074074</v>
      </c>
      <c r="C19" s="1" t="n">
        <v>46030</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56939-2025</t>
        </is>
      </c>
      <c r="B20" s="1" t="n">
        <v>45978.6218287037</v>
      </c>
      <c r="C20" s="1" t="n">
        <v>46030</v>
      </c>
      <c r="D20" t="inlineStr">
        <is>
          <t>DALARNAS LÄN</t>
        </is>
      </c>
      <c r="E20" t="inlineStr">
        <is>
          <t>ÄLVDALEN</t>
        </is>
      </c>
      <c r="F20" t="inlineStr">
        <is>
          <t>Allmännings- och besparingsskogar</t>
        </is>
      </c>
      <c r="G20" t="n">
        <v>27.1</v>
      </c>
      <c r="H20" t="n">
        <v>7</v>
      </c>
      <c r="I20" t="n">
        <v>3</v>
      </c>
      <c r="J20" t="n">
        <v>8</v>
      </c>
      <c r="K20" t="n">
        <v>1</v>
      </c>
      <c r="L20" t="n">
        <v>0</v>
      </c>
      <c r="M20" t="n">
        <v>0</v>
      </c>
      <c r="N20" t="n">
        <v>0</v>
      </c>
      <c r="O20" t="n">
        <v>9</v>
      </c>
      <c r="P20" t="n">
        <v>1</v>
      </c>
      <c r="Q20" t="n">
        <v>15</v>
      </c>
      <c r="R20" s="2" t="inlineStr">
        <is>
          <t>Knärot
Garnlav
Kolflarnlav
Mörk kolflarnlav
Spillkråka
Tretåig hackspett
Ullticka
Vedflamlav
Vedskivlav
Björksplintborre
Mindre märgborre
Plattlummer
Gråspett
Tjäder
Revlummer</t>
        </is>
      </c>
      <c r="S20">
        <f>HYPERLINK("https://klasma.github.io/Logging_2039/artfynd/A 56939-2025 artfynd.xlsx", "A 56939-2025")</f>
        <v/>
      </c>
      <c r="T20">
        <f>HYPERLINK("https://klasma.github.io/Logging_2039/kartor/A 56939-2025 karta.png", "A 56939-2025")</f>
        <v/>
      </c>
      <c r="U20">
        <f>HYPERLINK("https://klasma.github.io/Logging_2039/knärot/A 56939-2025 karta knärot.png", "A 56939-2025")</f>
        <v/>
      </c>
      <c r="V20">
        <f>HYPERLINK("https://klasma.github.io/Logging_2039/klagomål/A 56939-2025 FSC-klagomål.docx", "A 56939-2025")</f>
        <v/>
      </c>
      <c r="W20">
        <f>HYPERLINK("https://klasma.github.io/Logging_2039/klagomålsmail/A 56939-2025 FSC-klagomål mail.docx", "A 56939-2025")</f>
        <v/>
      </c>
      <c r="X20">
        <f>HYPERLINK("https://klasma.github.io/Logging_2039/tillsyn/A 56939-2025 tillsynsbegäran.docx", "A 56939-2025")</f>
        <v/>
      </c>
      <c r="Y20">
        <f>HYPERLINK("https://klasma.github.io/Logging_2039/tillsynsmail/A 56939-2025 tillsynsbegäran mail.docx", "A 56939-2025")</f>
        <v/>
      </c>
      <c r="Z20">
        <f>HYPERLINK("https://klasma.github.io/Logging_2039/fåglar/A 56939-2025 prioriterade fågelarter.docx", "A 56939-2025")</f>
        <v/>
      </c>
    </row>
    <row r="21" ht="15" customHeight="1">
      <c r="A21" t="inlineStr">
        <is>
          <t>A 19109-2023</t>
        </is>
      </c>
      <c r="B21" s="1" t="n">
        <v>45044</v>
      </c>
      <c r="C21" s="1" t="n">
        <v>46030</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33285-2025</t>
        </is>
      </c>
      <c r="B22" s="1" t="n">
        <v>45840</v>
      </c>
      <c r="C22" s="1" t="n">
        <v>46030</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28823-2023</t>
        </is>
      </c>
      <c r="B23" s="1" t="n">
        <v>45104.38712962963</v>
      </c>
      <c r="C23" s="1" t="n">
        <v>46030</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46030</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46030</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59104-2025</t>
        </is>
      </c>
      <c r="B26" s="1" t="n">
        <v>45988.46520833333</v>
      </c>
      <c r="C26" s="1" t="n">
        <v>46030</v>
      </c>
      <c r="D26" t="inlineStr">
        <is>
          <t>DALARNAS LÄN</t>
        </is>
      </c>
      <c r="E26" t="inlineStr">
        <is>
          <t>ÄLVDALEN</t>
        </is>
      </c>
      <c r="G26" t="n">
        <v>11.6</v>
      </c>
      <c r="H26" t="n">
        <v>4</v>
      </c>
      <c r="I26" t="n">
        <v>3</v>
      </c>
      <c r="J26" t="n">
        <v>8</v>
      </c>
      <c r="K26" t="n">
        <v>0</v>
      </c>
      <c r="L26" t="n">
        <v>0</v>
      </c>
      <c r="M26" t="n">
        <v>0</v>
      </c>
      <c r="N26" t="n">
        <v>0</v>
      </c>
      <c r="O26" t="n">
        <v>8</v>
      </c>
      <c r="P26" t="n">
        <v>0</v>
      </c>
      <c r="Q26" t="n">
        <v>13</v>
      </c>
      <c r="R26" s="2" t="inlineStr">
        <is>
          <t>Blågrå svartspik
Garnlav
Kolflarnlav
Mörk kolflarnlav
Spillkråka
Talltita
Vedflamlav
Vedskivlav
Dropptaggsvamp
Mindre märgborre
Vedticka
Orre
Tjäder</t>
        </is>
      </c>
      <c r="S26">
        <f>HYPERLINK("https://klasma.github.io/Logging_2039/artfynd/A 59104-2025 artfynd.xlsx", "A 59104-2025")</f>
        <v/>
      </c>
      <c r="T26">
        <f>HYPERLINK("https://klasma.github.io/Logging_2039/kartor/A 59104-2025 karta.png", "A 59104-2025")</f>
        <v/>
      </c>
      <c r="V26">
        <f>HYPERLINK("https://klasma.github.io/Logging_2039/klagomål/A 59104-2025 FSC-klagomål.docx", "A 59104-2025")</f>
        <v/>
      </c>
      <c r="W26">
        <f>HYPERLINK("https://klasma.github.io/Logging_2039/klagomålsmail/A 59104-2025 FSC-klagomål mail.docx", "A 59104-2025")</f>
        <v/>
      </c>
      <c r="X26">
        <f>HYPERLINK("https://klasma.github.io/Logging_2039/tillsyn/A 59104-2025 tillsynsbegäran.docx", "A 59104-2025")</f>
        <v/>
      </c>
      <c r="Y26">
        <f>HYPERLINK("https://klasma.github.io/Logging_2039/tillsynsmail/A 59104-2025 tillsynsbegäran mail.docx", "A 59104-2025")</f>
        <v/>
      </c>
      <c r="Z26">
        <f>HYPERLINK("https://klasma.github.io/Logging_2039/fåglar/A 59104-2025 prioriterade fågelarter.docx", "A 59104-2025")</f>
        <v/>
      </c>
    </row>
    <row r="27" ht="15" customHeight="1">
      <c r="A27" t="inlineStr">
        <is>
          <t>A 69728-2021</t>
        </is>
      </c>
      <c r="B27" s="1" t="n">
        <v>44532</v>
      </c>
      <c r="C27" s="1" t="n">
        <v>46030</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50492-2025</t>
        </is>
      </c>
      <c r="B28" s="1" t="n">
        <v>45945.40607638889</v>
      </c>
      <c r="C28" s="1" t="n">
        <v>46030</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46030</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46030</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55982-2025</t>
        </is>
      </c>
      <c r="B31" s="1" t="n">
        <v>45973.54251157407</v>
      </c>
      <c r="C31" s="1" t="n">
        <v>46030</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57095-2025</t>
        </is>
      </c>
      <c r="B32" s="1" t="n">
        <v>45979.43158564815</v>
      </c>
      <c r="C32" s="1" t="n">
        <v>46030</v>
      </c>
      <c r="D32" t="inlineStr">
        <is>
          <t>DALARNAS LÄN</t>
        </is>
      </c>
      <c r="E32" t="inlineStr">
        <is>
          <t>ÄLVDALEN</t>
        </is>
      </c>
      <c r="F32" t="inlineStr">
        <is>
          <t>Allmännings- och besparingsskogar</t>
        </is>
      </c>
      <c r="G32" t="n">
        <v>6.8</v>
      </c>
      <c r="H32" t="n">
        <v>7</v>
      </c>
      <c r="I32" t="n">
        <v>1</v>
      </c>
      <c r="J32" t="n">
        <v>7</v>
      </c>
      <c r="K32" t="n">
        <v>0</v>
      </c>
      <c r="L32" t="n">
        <v>0</v>
      </c>
      <c r="M32" t="n">
        <v>0</v>
      </c>
      <c r="N32" t="n">
        <v>0</v>
      </c>
      <c r="O32" t="n">
        <v>7</v>
      </c>
      <c r="P32" t="n">
        <v>0</v>
      </c>
      <c r="Q32" t="n">
        <v>12</v>
      </c>
      <c r="R32" s="2" t="inlineStr">
        <is>
          <t>Garnlav
Kolflarnlav
Mörk kolflarnlav
Spillkråka
Talltita
Tretåig hackspett
Vedskivlav
Vedticka
Orre
Sparvuggla
Tjäder
Nattviol</t>
        </is>
      </c>
      <c r="S32">
        <f>HYPERLINK("https://klasma.github.io/Logging_2039/artfynd/A 57095-2025 artfynd.xlsx", "A 57095-2025")</f>
        <v/>
      </c>
      <c r="T32">
        <f>HYPERLINK("https://klasma.github.io/Logging_2039/kartor/A 57095-2025 karta.png", "A 57095-2025")</f>
        <v/>
      </c>
      <c r="V32">
        <f>HYPERLINK("https://klasma.github.io/Logging_2039/klagomål/A 57095-2025 FSC-klagomål.docx", "A 57095-2025")</f>
        <v/>
      </c>
      <c r="W32">
        <f>HYPERLINK("https://klasma.github.io/Logging_2039/klagomålsmail/A 57095-2025 FSC-klagomål mail.docx", "A 57095-2025")</f>
        <v/>
      </c>
      <c r="X32">
        <f>HYPERLINK("https://klasma.github.io/Logging_2039/tillsyn/A 57095-2025 tillsynsbegäran.docx", "A 57095-2025")</f>
        <v/>
      </c>
      <c r="Y32">
        <f>HYPERLINK("https://klasma.github.io/Logging_2039/tillsynsmail/A 57095-2025 tillsynsbegäran mail.docx", "A 57095-2025")</f>
        <v/>
      </c>
      <c r="Z32">
        <f>HYPERLINK("https://klasma.github.io/Logging_2039/fåglar/A 57095-2025 prioriterade fågelarter.docx", "A 57095-2025")</f>
        <v/>
      </c>
    </row>
    <row r="33" ht="15" customHeight="1">
      <c r="A33" t="inlineStr">
        <is>
          <t>A 46306-2025</t>
        </is>
      </c>
      <c r="B33" s="1" t="n">
        <v>45925.42225694445</v>
      </c>
      <c r="C33" s="1" t="n">
        <v>46030</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5813-2025</t>
        </is>
      </c>
      <c r="B34" s="1" t="n">
        <v>45694</v>
      </c>
      <c r="C34" s="1" t="n">
        <v>46030</v>
      </c>
      <c r="D34" t="inlineStr">
        <is>
          <t>DALARNAS LÄN</t>
        </is>
      </c>
      <c r="E34" t="inlineStr">
        <is>
          <t>ÄLVDALEN</t>
        </is>
      </c>
      <c r="F34" t="inlineStr">
        <is>
          <t>Övriga statliga verk och myndigheter</t>
        </is>
      </c>
      <c r="G34" t="n">
        <v>3.1</v>
      </c>
      <c r="H34" t="n">
        <v>4</v>
      </c>
      <c r="I34" t="n">
        <v>3</v>
      </c>
      <c r="J34" t="n">
        <v>6</v>
      </c>
      <c r="K34" t="n">
        <v>2</v>
      </c>
      <c r="L34" t="n">
        <v>0</v>
      </c>
      <c r="M34" t="n">
        <v>0</v>
      </c>
      <c r="N34" t="n">
        <v>0</v>
      </c>
      <c r="O34" t="n">
        <v>8</v>
      </c>
      <c r="P34" t="n">
        <v>2</v>
      </c>
      <c r="Q34" t="n">
        <v>12</v>
      </c>
      <c r="R34" s="2" t="inlineStr">
        <is>
          <t>Knärot
Ulltickeporing
Garnlav
Gränsticka
Spillkråka
Tretåig hackspett
Ullticka
Vedtrappmossa
Bronshjon
Källpraktmossa
Vedticka
Revlummer</t>
        </is>
      </c>
      <c r="S34">
        <f>HYPERLINK("https://klasma.github.io/Logging_2039/artfynd/A 5813-2025 artfynd.xlsx", "A 5813-2025")</f>
        <v/>
      </c>
      <c r="T34">
        <f>HYPERLINK("https://klasma.github.io/Logging_2039/kartor/A 5813-2025 karta.png", "A 5813-2025")</f>
        <v/>
      </c>
      <c r="U34">
        <f>HYPERLINK("https://klasma.github.io/Logging_2039/knärot/A 5813-2025 karta knärot.png", "A 5813-2025")</f>
        <v/>
      </c>
      <c r="V34">
        <f>HYPERLINK("https://klasma.github.io/Logging_2039/klagomål/A 5813-2025 FSC-klagomål.docx", "A 5813-2025")</f>
        <v/>
      </c>
      <c r="W34">
        <f>HYPERLINK("https://klasma.github.io/Logging_2039/klagomålsmail/A 5813-2025 FSC-klagomål mail.docx", "A 5813-2025")</f>
        <v/>
      </c>
      <c r="X34">
        <f>HYPERLINK("https://klasma.github.io/Logging_2039/tillsyn/A 5813-2025 tillsynsbegäran.docx", "A 5813-2025")</f>
        <v/>
      </c>
      <c r="Y34">
        <f>HYPERLINK("https://klasma.github.io/Logging_2039/tillsynsmail/A 5813-2025 tillsynsbegäran mail.docx", "A 5813-2025")</f>
        <v/>
      </c>
      <c r="Z34">
        <f>HYPERLINK("https://klasma.github.io/Logging_2039/fåglar/A 5813-2025 prioriterade fågelarter.docx", "A 5813-2025")</f>
        <v/>
      </c>
    </row>
    <row r="35" ht="15" customHeight="1">
      <c r="A35" t="inlineStr">
        <is>
          <t>A 41638-2025</t>
        </is>
      </c>
      <c r="B35" s="1" t="n">
        <v>45901</v>
      </c>
      <c r="C35" s="1" t="n">
        <v>46030</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49247-2025</t>
        </is>
      </c>
      <c r="B36" s="1" t="n">
        <v>45938.48887731481</v>
      </c>
      <c r="C36" s="1" t="n">
        <v>46030</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46030</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43867-2025</t>
        </is>
      </c>
      <c r="B38" s="1" t="n">
        <v>45912.65945601852</v>
      </c>
      <c r="C38" s="1" t="n">
        <v>46030</v>
      </c>
      <c r="D38" t="inlineStr">
        <is>
          <t>DALARNAS LÄN</t>
        </is>
      </c>
      <c r="E38" t="inlineStr">
        <is>
          <t>ÄLVDALEN</t>
        </is>
      </c>
      <c r="F38" t="inlineStr">
        <is>
          <t>Allmännings- och besparingsskogar</t>
        </is>
      </c>
      <c r="G38" t="n">
        <v>25.5</v>
      </c>
      <c r="H38" t="n">
        <v>5</v>
      </c>
      <c r="I38" t="n">
        <v>1</v>
      </c>
      <c r="J38" t="n">
        <v>8</v>
      </c>
      <c r="K38" t="n">
        <v>0</v>
      </c>
      <c r="L38" t="n">
        <v>0</v>
      </c>
      <c r="M38" t="n">
        <v>0</v>
      </c>
      <c r="N38" t="n">
        <v>0</v>
      </c>
      <c r="O38" t="n">
        <v>8</v>
      </c>
      <c r="P38" t="n">
        <v>0</v>
      </c>
      <c r="Q38" t="n">
        <v>11</v>
      </c>
      <c r="R38" s="2" t="inlineStr">
        <is>
          <t>Doftskinn
Garnlav
Kolflarnlav
Mörk kolflarnlav
Spillkråka
Talltita
Vedflamlav
Vedskivlav
Plattlummer
Kungsfågel
Tjäder</t>
        </is>
      </c>
      <c r="S38">
        <f>HYPERLINK("https://klasma.github.io/Logging_2039/artfynd/A 43867-2025 artfynd.xlsx", "A 43867-2025")</f>
        <v/>
      </c>
      <c r="T38">
        <f>HYPERLINK("https://klasma.github.io/Logging_2039/kartor/A 43867-2025 karta.png", "A 43867-2025")</f>
        <v/>
      </c>
      <c r="V38">
        <f>HYPERLINK("https://klasma.github.io/Logging_2039/klagomål/A 43867-2025 FSC-klagomål.docx", "A 43867-2025")</f>
        <v/>
      </c>
      <c r="W38">
        <f>HYPERLINK("https://klasma.github.io/Logging_2039/klagomålsmail/A 43867-2025 FSC-klagomål mail.docx", "A 43867-2025")</f>
        <v/>
      </c>
      <c r="X38">
        <f>HYPERLINK("https://klasma.github.io/Logging_2039/tillsyn/A 43867-2025 tillsynsbegäran.docx", "A 43867-2025")</f>
        <v/>
      </c>
      <c r="Y38">
        <f>HYPERLINK("https://klasma.github.io/Logging_2039/tillsynsmail/A 43867-2025 tillsynsbegäran mail.docx", "A 43867-2025")</f>
        <v/>
      </c>
      <c r="Z38">
        <f>HYPERLINK("https://klasma.github.io/Logging_2039/fåglar/A 43867-2025 prioriterade fågelarter.docx", "A 43867-2025")</f>
        <v/>
      </c>
    </row>
    <row r="39" ht="15" customHeight="1">
      <c r="A39" t="inlineStr">
        <is>
          <t>A 30214-2023</t>
        </is>
      </c>
      <c r="B39" s="1" t="n">
        <v>45110</v>
      </c>
      <c r="C39" s="1" t="n">
        <v>46030</v>
      </c>
      <c r="D39" t="inlineStr">
        <is>
          <t>DALARNAS LÄN</t>
        </is>
      </c>
      <c r="E39" t="inlineStr">
        <is>
          <t>ÄLVDALEN</t>
        </is>
      </c>
      <c r="F39" t="inlineStr">
        <is>
          <t>Allmännings- och besparingsskogar</t>
        </is>
      </c>
      <c r="G39" t="n">
        <v>8.699999999999999</v>
      </c>
      <c r="H39" t="n">
        <v>1</v>
      </c>
      <c r="I39" t="n">
        <v>2</v>
      </c>
      <c r="J39" t="n">
        <v>9</v>
      </c>
      <c r="K39" t="n">
        <v>0</v>
      </c>
      <c r="L39" t="n">
        <v>0</v>
      </c>
      <c r="M39" t="n">
        <v>0</v>
      </c>
      <c r="N39" t="n">
        <v>0</v>
      </c>
      <c r="O39" t="n">
        <v>9</v>
      </c>
      <c r="P39" t="n">
        <v>0</v>
      </c>
      <c r="Q39" t="n">
        <v>11</v>
      </c>
      <c r="R39" s="2" t="inlineStr">
        <is>
          <t>Blå taggsvamp
Blågrå svartspik
Garnlav
Grantaggsvamp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47008-2025</t>
        </is>
      </c>
      <c r="B40" s="1" t="n">
        <v>45929.56971064815</v>
      </c>
      <c r="C40" s="1" t="n">
        <v>46030</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32048-2025</t>
        </is>
      </c>
      <c r="B41" s="1" t="n">
        <v>45835</v>
      </c>
      <c r="C41" s="1" t="n">
        <v>46030</v>
      </c>
      <c r="D41" t="inlineStr">
        <is>
          <t>DALARNAS LÄN</t>
        </is>
      </c>
      <c r="E41" t="inlineStr">
        <is>
          <t>ÄLVDALEN</t>
        </is>
      </c>
      <c r="G41" t="n">
        <v>6.7</v>
      </c>
      <c r="H41" t="n">
        <v>4</v>
      </c>
      <c r="I41" t="n">
        <v>0</v>
      </c>
      <c r="J41" t="n">
        <v>10</v>
      </c>
      <c r="K41" t="n">
        <v>0</v>
      </c>
      <c r="L41" t="n">
        <v>0</v>
      </c>
      <c r="M41" t="n">
        <v>0</v>
      </c>
      <c r="N41" t="n">
        <v>0</v>
      </c>
      <c r="O41" t="n">
        <v>10</v>
      </c>
      <c r="P41" t="n">
        <v>0</v>
      </c>
      <c r="Q41" t="n">
        <v>11</v>
      </c>
      <c r="R41" s="2" t="inlineStr">
        <is>
          <t>Doftskinn
Garnlav
Granticka
Mörk kolflarnlav
Spillkråka
Talltita
Tretåig hackspett
Vedflamlav
Vedskivlav
Vitgrynig nållav
Tjäder</t>
        </is>
      </c>
      <c r="S41">
        <f>HYPERLINK("https://klasma.github.io/Logging_2039/artfynd/A 32048-2025 artfynd.xlsx", "A 32048-2025")</f>
        <v/>
      </c>
      <c r="T41">
        <f>HYPERLINK("https://klasma.github.io/Logging_2039/kartor/A 32048-2025 karta.png", "A 32048-2025")</f>
        <v/>
      </c>
      <c r="V41">
        <f>HYPERLINK("https://klasma.github.io/Logging_2039/klagomål/A 32048-2025 FSC-klagomål.docx", "A 32048-2025")</f>
        <v/>
      </c>
      <c r="W41">
        <f>HYPERLINK("https://klasma.github.io/Logging_2039/klagomålsmail/A 32048-2025 FSC-klagomål mail.docx", "A 32048-2025")</f>
        <v/>
      </c>
      <c r="X41">
        <f>HYPERLINK("https://klasma.github.io/Logging_2039/tillsyn/A 32048-2025 tillsynsbegäran.docx", "A 32048-2025")</f>
        <v/>
      </c>
      <c r="Y41">
        <f>HYPERLINK("https://klasma.github.io/Logging_2039/tillsynsmail/A 32048-2025 tillsynsbegäran mail.docx", "A 32048-2025")</f>
        <v/>
      </c>
      <c r="Z41">
        <f>HYPERLINK("https://klasma.github.io/Logging_2039/fåglar/A 32048-2025 prioriterade fågelarter.docx", "A 32048-2025")</f>
        <v/>
      </c>
    </row>
    <row r="42" ht="15" customHeight="1">
      <c r="A42" t="inlineStr">
        <is>
          <t>A 29154-2025</t>
        </is>
      </c>
      <c r="B42" s="1" t="n">
        <v>45821.65135416666</v>
      </c>
      <c r="C42" s="1" t="n">
        <v>46030</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36371-2025</t>
        </is>
      </c>
      <c r="B43" s="1" t="n">
        <v>45868</v>
      </c>
      <c r="C43" s="1" t="n">
        <v>46030</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44936-2025</t>
        </is>
      </c>
      <c r="B44" s="1" t="n">
        <v>45918.57844907408</v>
      </c>
      <c r="C44" s="1" t="n">
        <v>46030</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46030</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46030</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38364-2021</t>
        </is>
      </c>
      <c r="B47" s="1" t="n">
        <v>44406</v>
      </c>
      <c r="C47" s="1" t="n">
        <v>46030</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30220-2023</t>
        </is>
      </c>
      <c r="B48" s="1" t="n">
        <v>45110.64706018518</v>
      </c>
      <c r="C48" s="1" t="n">
        <v>46030</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31658-2025</t>
        </is>
      </c>
      <c r="B49" s="1" t="n">
        <v>45834.34892361111</v>
      </c>
      <c r="C49" s="1" t="n">
        <v>46030</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55981-2025</t>
        </is>
      </c>
      <c r="B50" s="1" t="n">
        <v>45973.53064814815</v>
      </c>
      <c r="C50" s="1" t="n">
        <v>46030</v>
      </c>
      <c r="D50" t="inlineStr">
        <is>
          <t>DALARNAS LÄN</t>
        </is>
      </c>
      <c r="E50" t="inlineStr">
        <is>
          <t>ÄLVDALEN</t>
        </is>
      </c>
      <c r="G50" t="n">
        <v>12.2</v>
      </c>
      <c r="H50" t="n">
        <v>2</v>
      </c>
      <c r="I50" t="n">
        <v>1</v>
      </c>
      <c r="J50" t="n">
        <v>8</v>
      </c>
      <c r="K50" t="n">
        <v>0</v>
      </c>
      <c r="L50" t="n">
        <v>0</v>
      </c>
      <c r="M50" t="n">
        <v>0</v>
      </c>
      <c r="N50" t="n">
        <v>0</v>
      </c>
      <c r="O50" t="n">
        <v>8</v>
      </c>
      <c r="P50" t="n">
        <v>0</v>
      </c>
      <c r="Q50" t="n">
        <v>10</v>
      </c>
      <c r="R50" s="2" t="inlineStr">
        <is>
          <t>Garnlav
Kolflarnlav
Lunglav
Mörk kolflarnlav
Skrovellav
Spillkråka
Vedflamlav
Vedskivlav
Mindre märgborre
Tjäder</t>
        </is>
      </c>
      <c r="S50">
        <f>HYPERLINK("https://klasma.github.io/Logging_2039/artfynd/A 55981-2025 artfynd.xlsx", "A 55981-2025")</f>
        <v/>
      </c>
      <c r="T50">
        <f>HYPERLINK("https://klasma.github.io/Logging_2039/kartor/A 55981-2025 karta.png", "A 55981-2025")</f>
        <v/>
      </c>
      <c r="V50">
        <f>HYPERLINK("https://klasma.github.io/Logging_2039/klagomål/A 55981-2025 FSC-klagomål.docx", "A 55981-2025")</f>
        <v/>
      </c>
      <c r="W50">
        <f>HYPERLINK("https://klasma.github.io/Logging_2039/klagomålsmail/A 55981-2025 FSC-klagomål mail.docx", "A 55981-2025")</f>
        <v/>
      </c>
      <c r="X50">
        <f>HYPERLINK("https://klasma.github.io/Logging_2039/tillsyn/A 55981-2025 tillsynsbegäran.docx", "A 55981-2025")</f>
        <v/>
      </c>
      <c r="Y50">
        <f>HYPERLINK("https://klasma.github.io/Logging_2039/tillsynsmail/A 55981-2025 tillsynsbegäran mail.docx", "A 55981-2025")</f>
        <v/>
      </c>
      <c r="Z50">
        <f>HYPERLINK("https://klasma.github.io/Logging_2039/fåglar/A 55981-2025 prioriterade fågelarter.docx", "A 55981-2025")</f>
        <v/>
      </c>
    </row>
    <row r="51" ht="15" customHeight="1">
      <c r="A51" t="inlineStr">
        <is>
          <t>A 34765-2025</t>
        </is>
      </c>
      <c r="B51" s="1" t="n">
        <v>45848</v>
      </c>
      <c r="C51" s="1" t="n">
        <v>46030</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46030</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16370-2024</t>
        </is>
      </c>
      <c r="B53" s="1" t="n">
        <v>45407</v>
      </c>
      <c r="C53" s="1" t="n">
        <v>46030</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40444-2025</t>
        </is>
      </c>
      <c r="B54" s="1" t="n">
        <v>45895</v>
      </c>
      <c r="C54" s="1" t="n">
        <v>46030</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38582-2023</t>
        </is>
      </c>
      <c r="B55" s="1" t="n">
        <v>45162</v>
      </c>
      <c r="C55" s="1" t="n">
        <v>46030</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46030</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46030</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46030</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46030</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46030</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71652-2021</t>
        </is>
      </c>
      <c r="B61" s="1" t="n">
        <v>44543</v>
      </c>
      <c r="C61" s="1" t="n">
        <v>46030</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50070-2025</t>
        </is>
      </c>
      <c r="B62" s="1" t="n">
        <v>45943</v>
      </c>
      <c r="C62" s="1" t="n">
        <v>46030</v>
      </c>
      <c r="D62" t="inlineStr">
        <is>
          <t>DALARNAS LÄN</t>
        </is>
      </c>
      <c r="E62" t="inlineStr">
        <is>
          <t>ÄLVDALEN</t>
        </is>
      </c>
      <c r="F62" t="inlineStr">
        <is>
          <t>Allmännings- och besparingsskogar</t>
        </is>
      </c>
      <c r="G62" t="n">
        <v>2.6</v>
      </c>
      <c r="H62" t="n">
        <v>3</v>
      </c>
      <c r="I62" t="n">
        <v>0</v>
      </c>
      <c r="J62" t="n">
        <v>7</v>
      </c>
      <c r="K62" t="n">
        <v>0</v>
      </c>
      <c r="L62" t="n">
        <v>0</v>
      </c>
      <c r="M62" t="n">
        <v>0</v>
      </c>
      <c r="N62" t="n">
        <v>0</v>
      </c>
      <c r="O62" t="n">
        <v>7</v>
      </c>
      <c r="P62" t="n">
        <v>0</v>
      </c>
      <c r="Q62" t="n">
        <v>8</v>
      </c>
      <c r="R62" s="2" t="inlineStr">
        <is>
          <t>Garnlav
Kolflarnlav
Mörk kolflarnlav
Spillkråka
Tallticka
Varglav
Vedskivlav
Tjäder</t>
        </is>
      </c>
      <c r="S62">
        <f>HYPERLINK("https://klasma.github.io/Logging_2039/artfynd/A 50070-2025 artfynd.xlsx", "A 50070-2025")</f>
        <v/>
      </c>
      <c r="T62">
        <f>HYPERLINK("https://klasma.github.io/Logging_2039/kartor/A 50070-2025 karta.png", "A 50070-2025")</f>
        <v/>
      </c>
      <c r="V62">
        <f>HYPERLINK("https://klasma.github.io/Logging_2039/klagomål/A 50070-2025 FSC-klagomål.docx", "A 50070-2025")</f>
        <v/>
      </c>
      <c r="W62">
        <f>HYPERLINK("https://klasma.github.io/Logging_2039/klagomålsmail/A 50070-2025 FSC-klagomål mail.docx", "A 50070-2025")</f>
        <v/>
      </c>
      <c r="X62">
        <f>HYPERLINK("https://klasma.github.io/Logging_2039/tillsyn/A 50070-2025 tillsynsbegäran.docx", "A 50070-2025")</f>
        <v/>
      </c>
      <c r="Y62">
        <f>HYPERLINK("https://klasma.github.io/Logging_2039/tillsynsmail/A 50070-2025 tillsynsbegäran mail.docx", "A 50070-2025")</f>
        <v/>
      </c>
      <c r="Z62">
        <f>HYPERLINK("https://klasma.github.io/Logging_2039/fåglar/A 50070-2025 prioriterade fågelarter.docx", "A 50070-2025")</f>
        <v/>
      </c>
    </row>
    <row r="63" ht="15" customHeight="1">
      <c r="A63" t="inlineStr">
        <is>
          <t>A 41755-2025</t>
        </is>
      </c>
      <c r="B63" s="1" t="n">
        <v>45902.50262731482</v>
      </c>
      <c r="C63" s="1" t="n">
        <v>46030</v>
      </c>
      <c r="D63" t="inlineStr">
        <is>
          <t>DALARNAS LÄN</t>
        </is>
      </c>
      <c r="E63" t="inlineStr">
        <is>
          <t>ÄLVDALEN</t>
        </is>
      </c>
      <c r="F63" t="inlineStr">
        <is>
          <t>Sveaskog</t>
        </is>
      </c>
      <c r="G63" t="n">
        <v>18.2</v>
      </c>
      <c r="H63" t="n">
        <v>0</v>
      </c>
      <c r="I63" t="n">
        <v>2</v>
      </c>
      <c r="J63" t="n">
        <v>6</v>
      </c>
      <c r="K63" t="n">
        <v>0</v>
      </c>
      <c r="L63" t="n">
        <v>0</v>
      </c>
      <c r="M63" t="n">
        <v>0</v>
      </c>
      <c r="N63" t="n">
        <v>0</v>
      </c>
      <c r="O63" t="n">
        <v>6</v>
      </c>
      <c r="P63" t="n">
        <v>0</v>
      </c>
      <c r="Q63" t="n">
        <v>8</v>
      </c>
      <c r="R63" s="2" t="inlineStr">
        <is>
          <t>Blå taggsvamp
Kolflarnlav
Mörk kolflarnlav
Orange taggsvamp
Talltaggsvamp
Vedflamlav
Dropptaggsvamp
Skarp dropptaggsvamp</t>
        </is>
      </c>
      <c r="S63">
        <f>HYPERLINK("https://klasma.github.io/Logging_2039/artfynd/A 41755-2025 artfynd.xlsx", "A 41755-2025")</f>
        <v/>
      </c>
      <c r="T63">
        <f>HYPERLINK("https://klasma.github.io/Logging_2039/kartor/A 41755-2025 karta.png", "A 41755-2025")</f>
        <v/>
      </c>
      <c r="V63">
        <f>HYPERLINK("https://klasma.github.io/Logging_2039/klagomål/A 41755-2025 FSC-klagomål.docx", "A 41755-2025")</f>
        <v/>
      </c>
      <c r="W63">
        <f>HYPERLINK("https://klasma.github.io/Logging_2039/klagomålsmail/A 41755-2025 FSC-klagomål mail.docx", "A 41755-2025")</f>
        <v/>
      </c>
      <c r="X63">
        <f>HYPERLINK("https://klasma.github.io/Logging_2039/tillsyn/A 41755-2025 tillsynsbegäran.docx", "A 41755-2025")</f>
        <v/>
      </c>
      <c r="Y63">
        <f>HYPERLINK("https://klasma.github.io/Logging_2039/tillsynsmail/A 41755-2025 tillsynsbegäran mail.docx", "A 41755-2025")</f>
        <v/>
      </c>
    </row>
    <row r="64" ht="15" customHeight="1">
      <c r="A64" t="inlineStr">
        <is>
          <t>A 44785-2025</t>
        </is>
      </c>
      <c r="B64" s="1" t="n">
        <v>45917.96543981481</v>
      </c>
      <c r="C64" s="1" t="n">
        <v>46030</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23427-2025</t>
        </is>
      </c>
      <c r="B65" s="1" t="n">
        <v>45792</v>
      </c>
      <c r="C65" s="1" t="n">
        <v>46030</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43051-2025</t>
        </is>
      </c>
      <c r="B66" s="1" t="n">
        <v>45909.56883101852</v>
      </c>
      <c r="C66" s="1" t="n">
        <v>46030</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54840-2025</t>
        </is>
      </c>
      <c r="B67" s="1" t="n">
        <v>45966.68414351852</v>
      </c>
      <c r="C67" s="1" t="n">
        <v>46030</v>
      </c>
      <c r="D67" t="inlineStr">
        <is>
          <t>DALARNAS LÄN</t>
        </is>
      </c>
      <c r="E67" t="inlineStr">
        <is>
          <t>ÄLVDALEN</t>
        </is>
      </c>
      <c r="G67" t="n">
        <v>16.3</v>
      </c>
      <c r="H67" t="n">
        <v>3</v>
      </c>
      <c r="I67" t="n">
        <v>2</v>
      </c>
      <c r="J67" t="n">
        <v>4</v>
      </c>
      <c r="K67" t="n">
        <v>0</v>
      </c>
      <c r="L67" t="n">
        <v>0</v>
      </c>
      <c r="M67" t="n">
        <v>0</v>
      </c>
      <c r="N67" t="n">
        <v>0</v>
      </c>
      <c r="O67" t="n">
        <v>4</v>
      </c>
      <c r="P67" t="n">
        <v>0</v>
      </c>
      <c r="Q67" t="n">
        <v>8</v>
      </c>
      <c r="R67" s="2" t="inlineStr">
        <is>
          <t>Garnlav
Kolflarnlav
Spillkråka
Vedskivlav
Bronshjon
Mindre märgborre
Kungsfågel
Revlummer</t>
        </is>
      </c>
      <c r="S67">
        <f>HYPERLINK("https://klasma.github.io/Logging_2039/artfynd/A 54840-2025 artfynd.xlsx", "A 54840-2025")</f>
        <v/>
      </c>
      <c r="T67">
        <f>HYPERLINK("https://klasma.github.io/Logging_2039/kartor/A 54840-2025 karta.png", "A 54840-2025")</f>
        <v/>
      </c>
      <c r="V67">
        <f>HYPERLINK("https://klasma.github.io/Logging_2039/klagomål/A 54840-2025 FSC-klagomål.docx", "A 54840-2025")</f>
        <v/>
      </c>
      <c r="W67">
        <f>HYPERLINK("https://klasma.github.io/Logging_2039/klagomålsmail/A 54840-2025 FSC-klagomål mail.docx", "A 54840-2025")</f>
        <v/>
      </c>
      <c r="X67">
        <f>HYPERLINK("https://klasma.github.io/Logging_2039/tillsyn/A 54840-2025 tillsynsbegäran.docx", "A 54840-2025")</f>
        <v/>
      </c>
      <c r="Y67">
        <f>HYPERLINK("https://klasma.github.io/Logging_2039/tillsynsmail/A 54840-2025 tillsynsbegäran mail.docx", "A 54840-2025")</f>
        <v/>
      </c>
      <c r="Z67">
        <f>HYPERLINK("https://klasma.github.io/Logging_2039/fåglar/A 54840-2025 prioriterade fågelarter.docx", "A 54840-2025")</f>
        <v/>
      </c>
    </row>
    <row r="68" ht="15" customHeight="1">
      <c r="A68" t="inlineStr">
        <is>
          <t>A 51041-2025</t>
        </is>
      </c>
      <c r="B68" s="1" t="n">
        <v>45947.41690972223</v>
      </c>
      <c r="C68" s="1" t="n">
        <v>46030</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17715-2024</t>
        </is>
      </c>
      <c r="B69" s="1" t="n">
        <v>45415</v>
      </c>
      <c r="C69" s="1" t="n">
        <v>46030</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25754-2025</t>
        </is>
      </c>
      <c r="B70" s="1" t="n">
        <v>45804.32020833333</v>
      </c>
      <c r="C70" s="1" t="n">
        <v>46030</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46305-2025</t>
        </is>
      </c>
      <c r="B71" s="1" t="n">
        <v>45925.4190625</v>
      </c>
      <c r="C71" s="1" t="n">
        <v>46030</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46030</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9783-2024</t>
        </is>
      </c>
      <c r="B73" s="1" t="n">
        <v>45362</v>
      </c>
      <c r="C73" s="1" t="n">
        <v>46030</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33882-2024</t>
        </is>
      </c>
      <c r="B74" s="1" t="n">
        <v>45522</v>
      </c>
      <c r="C74" s="1" t="n">
        <v>46030</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46030</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46030</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46030</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46030</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41750-2025</t>
        </is>
      </c>
      <c r="B79" s="1" t="n">
        <v>45902.49466435185</v>
      </c>
      <c r="C79" s="1" t="n">
        <v>46030</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46030</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46030</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46030</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46030</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46030</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58889-2025</t>
        </is>
      </c>
      <c r="B85" s="1" t="n">
        <v>45987.48891203704</v>
      </c>
      <c r="C85" s="1" t="n">
        <v>46030</v>
      </c>
      <c r="D85" t="inlineStr">
        <is>
          <t>DALARNAS LÄN</t>
        </is>
      </c>
      <c r="E85" t="inlineStr">
        <is>
          <t>ÄLVDALEN</t>
        </is>
      </c>
      <c r="F85" t="inlineStr">
        <is>
          <t>Sveaskog</t>
        </is>
      </c>
      <c r="G85" t="n">
        <v>6.6</v>
      </c>
      <c r="H85" t="n">
        <v>1</v>
      </c>
      <c r="I85" t="n">
        <v>2</v>
      </c>
      <c r="J85" t="n">
        <v>4</v>
      </c>
      <c r="K85" t="n">
        <v>0</v>
      </c>
      <c r="L85" t="n">
        <v>0</v>
      </c>
      <c r="M85" t="n">
        <v>0</v>
      </c>
      <c r="N85" t="n">
        <v>0</v>
      </c>
      <c r="O85" t="n">
        <v>4</v>
      </c>
      <c r="P85" t="n">
        <v>0</v>
      </c>
      <c r="Q85" t="n">
        <v>6</v>
      </c>
      <c r="R85" s="2" t="inlineStr">
        <is>
          <t>Dvärgbägarlav
Kolflarnlav
Mörk kolflarnlav
Vedflamlav
Dropptaggsvamp
Plattlummer</t>
        </is>
      </c>
      <c r="S85">
        <f>HYPERLINK("https://klasma.github.io/Logging_2039/artfynd/A 58889-2025 artfynd.xlsx", "A 58889-2025")</f>
        <v/>
      </c>
      <c r="T85">
        <f>HYPERLINK("https://klasma.github.io/Logging_2039/kartor/A 58889-2025 karta.png", "A 58889-2025")</f>
        <v/>
      </c>
      <c r="V85">
        <f>HYPERLINK("https://klasma.github.io/Logging_2039/klagomål/A 58889-2025 FSC-klagomål.docx", "A 58889-2025")</f>
        <v/>
      </c>
      <c r="W85">
        <f>HYPERLINK("https://klasma.github.io/Logging_2039/klagomålsmail/A 58889-2025 FSC-klagomål mail.docx", "A 58889-2025")</f>
        <v/>
      </c>
      <c r="X85">
        <f>HYPERLINK("https://klasma.github.io/Logging_2039/tillsyn/A 58889-2025 tillsynsbegäran.docx", "A 58889-2025")</f>
        <v/>
      </c>
      <c r="Y85">
        <f>HYPERLINK("https://klasma.github.io/Logging_2039/tillsynsmail/A 58889-2025 tillsynsbegäran mail.docx", "A 58889-2025")</f>
        <v/>
      </c>
    </row>
    <row r="86" ht="15" customHeight="1">
      <c r="A86" t="inlineStr">
        <is>
          <t>A 40417-2025</t>
        </is>
      </c>
      <c r="B86" s="1" t="n">
        <v>45895</v>
      </c>
      <c r="C86" s="1" t="n">
        <v>46030</v>
      </c>
      <c r="D86" t="inlineStr">
        <is>
          <t>DALARNAS LÄN</t>
        </is>
      </c>
      <c r="E86" t="inlineStr">
        <is>
          <t>ÄLVDALEN</t>
        </is>
      </c>
      <c r="G86" t="n">
        <v>14.2</v>
      </c>
      <c r="H86" t="n">
        <v>2</v>
      </c>
      <c r="I86" t="n">
        <v>1</v>
      </c>
      <c r="J86" t="n">
        <v>4</v>
      </c>
      <c r="K86" t="n">
        <v>0</v>
      </c>
      <c r="L86" t="n">
        <v>0</v>
      </c>
      <c r="M86" t="n">
        <v>0</v>
      </c>
      <c r="N86" t="n">
        <v>0</v>
      </c>
      <c r="O86" t="n">
        <v>4</v>
      </c>
      <c r="P86" t="n">
        <v>0</v>
      </c>
      <c r="Q86" t="n">
        <v>6</v>
      </c>
      <c r="R86" s="2" t="inlineStr">
        <is>
          <t>Garnlav
Kolflarnlav
Mörk kolflarnlav
Vedskivlav
Plattlummer
Tjäder</t>
        </is>
      </c>
      <c r="S86">
        <f>HYPERLINK("https://klasma.github.io/Logging_2039/artfynd/A 40417-2025 artfynd.xlsx", "A 40417-2025")</f>
        <v/>
      </c>
      <c r="T86">
        <f>HYPERLINK("https://klasma.github.io/Logging_2039/kartor/A 40417-2025 karta.png", "A 40417-2025")</f>
        <v/>
      </c>
      <c r="V86">
        <f>HYPERLINK("https://klasma.github.io/Logging_2039/klagomål/A 40417-2025 FSC-klagomål.docx", "A 40417-2025")</f>
        <v/>
      </c>
      <c r="W86">
        <f>HYPERLINK("https://klasma.github.io/Logging_2039/klagomålsmail/A 40417-2025 FSC-klagomål mail.docx", "A 40417-2025")</f>
        <v/>
      </c>
      <c r="X86">
        <f>HYPERLINK("https://klasma.github.io/Logging_2039/tillsyn/A 40417-2025 tillsynsbegäran.docx", "A 40417-2025")</f>
        <v/>
      </c>
      <c r="Y86">
        <f>HYPERLINK("https://klasma.github.io/Logging_2039/tillsynsmail/A 40417-2025 tillsynsbegäran mail.docx", "A 40417-2025")</f>
        <v/>
      </c>
      <c r="Z86">
        <f>HYPERLINK("https://klasma.github.io/Logging_2039/fåglar/A 40417-2025 prioriterade fågelarter.docx", "A 40417-2025")</f>
        <v/>
      </c>
    </row>
    <row r="87" ht="15" customHeight="1">
      <c r="A87" t="inlineStr">
        <is>
          <t>A 19534-2025</t>
        </is>
      </c>
      <c r="B87" s="1" t="n">
        <v>45770.47667824074</v>
      </c>
      <c r="C87" s="1" t="n">
        <v>46030</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19262-2025</t>
        </is>
      </c>
      <c r="B88" s="1" t="n">
        <v>45769.51054398148</v>
      </c>
      <c r="C88" s="1" t="n">
        <v>46030</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46030</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10282-2024</t>
        </is>
      </c>
      <c r="B90" s="1" t="n">
        <v>45365</v>
      </c>
      <c r="C90" s="1" t="n">
        <v>46030</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38585-2023</t>
        </is>
      </c>
      <c r="B91" s="1" t="n">
        <v>45162</v>
      </c>
      <c r="C91" s="1" t="n">
        <v>46030</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41782-2025</t>
        </is>
      </c>
      <c r="B92" s="1" t="n">
        <v>45902.58693287037</v>
      </c>
      <c r="C92" s="1" t="n">
        <v>46030</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61591-2025</t>
        </is>
      </c>
      <c r="B93" s="1" t="n">
        <v>46002.34777777778</v>
      </c>
      <c r="C93" s="1" t="n">
        <v>46030</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16894-2025</t>
        </is>
      </c>
      <c r="B94" s="1" t="n">
        <v>45755.33045138889</v>
      </c>
      <c r="C94" s="1" t="n">
        <v>46030</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19616-2024</t>
        </is>
      </c>
      <c r="B95" s="1" t="n">
        <v>45432.31541666666</v>
      </c>
      <c r="C95" s="1" t="n">
        <v>46030</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46030</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46030</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22291-2025</t>
        </is>
      </c>
      <c r="B98" s="1" t="n">
        <v>45786.34568287037</v>
      </c>
      <c r="C98" s="1" t="n">
        <v>46030</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25090-2025</t>
        </is>
      </c>
      <c r="B99" s="1" t="n">
        <v>45800.31733796297</v>
      </c>
      <c r="C99" s="1" t="n">
        <v>46030</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25090-2025 artfynd.xlsx", "A 25090-2025")</f>
        <v/>
      </c>
      <c r="T99">
        <f>HYPERLINK("https://klasma.github.io/Logging_2039/kartor/A 25090-2025 karta.png", "A 25090-2025")</f>
        <v/>
      </c>
      <c r="V99">
        <f>HYPERLINK("https://klasma.github.io/Logging_2039/klagomål/A 25090-2025 FSC-klagomål.docx", "A 25090-2025")</f>
        <v/>
      </c>
      <c r="W99">
        <f>HYPERLINK("https://klasma.github.io/Logging_2039/klagomålsmail/A 25090-2025 FSC-klagomål mail.docx", "A 25090-2025")</f>
        <v/>
      </c>
      <c r="X99">
        <f>HYPERLINK("https://klasma.github.io/Logging_2039/tillsyn/A 25090-2025 tillsynsbegäran.docx", "A 25090-2025")</f>
        <v/>
      </c>
      <c r="Y99">
        <f>HYPERLINK("https://klasma.github.io/Logging_2039/tillsynsmail/A 25090-2025 tillsynsbegäran mail.docx", "A 25090-2025")</f>
        <v/>
      </c>
    </row>
    <row r="100" ht="15" customHeight="1">
      <c r="A100" t="inlineStr">
        <is>
          <t>A 43344-2025</t>
        </is>
      </c>
      <c r="B100" s="1" t="n">
        <v>45910.76924768519</v>
      </c>
      <c r="C100" s="1" t="n">
        <v>46030</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51896-2025</t>
        </is>
      </c>
      <c r="B101" s="1" t="n">
        <v>45952.43372685185</v>
      </c>
      <c r="C101" s="1" t="n">
        <v>46030</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29252-2023</t>
        </is>
      </c>
      <c r="B102" s="1" t="n">
        <v>45105</v>
      </c>
      <c r="C102" s="1" t="n">
        <v>46030</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36580-2024</t>
        </is>
      </c>
      <c r="B103" s="1" t="n">
        <v>45537.50400462963</v>
      </c>
      <c r="C103" s="1" t="n">
        <v>46030</v>
      </c>
      <c r="D103" t="inlineStr">
        <is>
          <t>DALARNAS LÄN</t>
        </is>
      </c>
      <c r="E103" t="inlineStr">
        <is>
          <t>ÄLVDALEN</t>
        </is>
      </c>
      <c r="F103" t="inlineStr">
        <is>
          <t>Sveaskog</t>
        </is>
      </c>
      <c r="G103" t="n">
        <v>4.2</v>
      </c>
      <c r="H103" t="n">
        <v>0</v>
      </c>
      <c r="I103" t="n">
        <v>0</v>
      </c>
      <c r="J103" t="n">
        <v>4</v>
      </c>
      <c r="K103" t="n">
        <v>0</v>
      </c>
      <c r="L103" t="n">
        <v>0</v>
      </c>
      <c r="M103" t="n">
        <v>0</v>
      </c>
      <c r="N103" t="n">
        <v>0</v>
      </c>
      <c r="O103" t="n">
        <v>4</v>
      </c>
      <c r="P103" t="n">
        <v>0</v>
      </c>
      <c r="Q103" t="n">
        <v>4</v>
      </c>
      <c r="R103" s="2" t="inlineStr">
        <is>
          <t>Garnlav
Kolflarnlav
Mörk kolflarnlav
Vedflamlav</t>
        </is>
      </c>
      <c r="S103">
        <f>HYPERLINK("https://klasma.github.io/Logging_2039/artfynd/A 36580-2024 artfynd.xlsx", "A 36580-2024")</f>
        <v/>
      </c>
      <c r="T103">
        <f>HYPERLINK("https://klasma.github.io/Logging_2039/kartor/A 36580-2024 karta.png", "A 36580-2024")</f>
        <v/>
      </c>
      <c r="V103">
        <f>HYPERLINK("https://klasma.github.io/Logging_2039/klagomål/A 36580-2024 FSC-klagomål.docx", "A 36580-2024")</f>
        <v/>
      </c>
      <c r="W103">
        <f>HYPERLINK("https://klasma.github.io/Logging_2039/klagomålsmail/A 36580-2024 FSC-klagomål mail.docx", "A 36580-2024")</f>
        <v/>
      </c>
      <c r="X103">
        <f>HYPERLINK("https://klasma.github.io/Logging_2039/tillsyn/A 36580-2024 tillsynsbegäran.docx", "A 36580-2024")</f>
        <v/>
      </c>
      <c r="Y103">
        <f>HYPERLINK("https://klasma.github.io/Logging_2039/tillsynsmail/A 36580-2024 tillsynsbegäran mail.docx", "A 36580-2024")</f>
        <v/>
      </c>
    </row>
    <row r="104" ht="15" customHeight="1">
      <c r="A104" t="inlineStr">
        <is>
          <t>A 61583-2025</t>
        </is>
      </c>
      <c r="B104" s="1" t="n">
        <v>46002.34027777778</v>
      </c>
      <c r="C104" s="1" t="n">
        <v>46030</v>
      </c>
      <c r="D104" t="inlineStr">
        <is>
          <t>DALARNAS LÄN</t>
        </is>
      </c>
      <c r="E104" t="inlineStr">
        <is>
          <t>ÄLVDALEN</t>
        </is>
      </c>
      <c r="F104" t="inlineStr">
        <is>
          <t>Sveaskog</t>
        </is>
      </c>
      <c r="G104" t="n">
        <v>6.7</v>
      </c>
      <c r="H104" t="n">
        <v>2</v>
      </c>
      <c r="I104" t="n">
        <v>1</v>
      </c>
      <c r="J104" t="n">
        <v>3</v>
      </c>
      <c r="K104" t="n">
        <v>0</v>
      </c>
      <c r="L104" t="n">
        <v>0</v>
      </c>
      <c r="M104" t="n">
        <v>0</v>
      </c>
      <c r="N104" t="n">
        <v>0</v>
      </c>
      <c r="O104" t="n">
        <v>3</v>
      </c>
      <c r="P104" t="n">
        <v>0</v>
      </c>
      <c r="Q104" t="n">
        <v>4</v>
      </c>
      <c r="R104" s="2" t="inlineStr">
        <is>
          <t>Kolflarnlav
Mörk kolflarnlav
Varglav
Plattlummer</t>
        </is>
      </c>
      <c r="S104">
        <f>HYPERLINK("https://klasma.github.io/Logging_2039/artfynd/A 61583-2025 artfynd.xlsx", "A 61583-2025")</f>
        <v/>
      </c>
      <c r="T104">
        <f>HYPERLINK("https://klasma.github.io/Logging_2039/kartor/A 61583-2025 karta.png", "A 61583-2025")</f>
        <v/>
      </c>
      <c r="V104">
        <f>HYPERLINK("https://klasma.github.io/Logging_2039/klagomål/A 61583-2025 FSC-klagomål.docx", "A 61583-2025")</f>
        <v/>
      </c>
      <c r="W104">
        <f>HYPERLINK("https://klasma.github.io/Logging_2039/klagomålsmail/A 61583-2025 FSC-klagomål mail.docx", "A 61583-2025")</f>
        <v/>
      </c>
      <c r="X104">
        <f>HYPERLINK("https://klasma.github.io/Logging_2039/tillsyn/A 61583-2025 tillsynsbegäran.docx", "A 61583-2025")</f>
        <v/>
      </c>
      <c r="Y104">
        <f>HYPERLINK("https://klasma.github.io/Logging_2039/tillsynsmail/A 61583-2025 tillsynsbegäran mail.docx", "A 61583-2025")</f>
        <v/>
      </c>
    </row>
    <row r="105" ht="15" customHeight="1">
      <c r="A105" t="inlineStr">
        <is>
          <t>A 61585-2025</t>
        </is>
      </c>
      <c r="B105" s="1" t="n">
        <v>46002.34267361111</v>
      </c>
      <c r="C105" s="1" t="n">
        <v>46030</v>
      </c>
      <c r="D105" t="inlineStr">
        <is>
          <t>DALARNAS LÄN</t>
        </is>
      </c>
      <c r="E105" t="inlineStr">
        <is>
          <t>ÄLVDALEN</t>
        </is>
      </c>
      <c r="F105" t="inlineStr">
        <is>
          <t>Sveaskog</t>
        </is>
      </c>
      <c r="G105" t="n">
        <v>11.2</v>
      </c>
      <c r="H105" t="n">
        <v>0</v>
      </c>
      <c r="I105" t="n">
        <v>0</v>
      </c>
      <c r="J105" t="n">
        <v>4</v>
      </c>
      <c r="K105" t="n">
        <v>0</v>
      </c>
      <c r="L105" t="n">
        <v>0</v>
      </c>
      <c r="M105" t="n">
        <v>0</v>
      </c>
      <c r="N105" t="n">
        <v>0</v>
      </c>
      <c r="O105" t="n">
        <v>4</v>
      </c>
      <c r="P105" t="n">
        <v>0</v>
      </c>
      <c r="Q105" t="n">
        <v>4</v>
      </c>
      <c r="R105" s="2" t="inlineStr">
        <is>
          <t>Dvärgbägarlav
Kolflarnlav
Skrovellav
Vedflamlav</t>
        </is>
      </c>
      <c r="S105">
        <f>HYPERLINK("https://klasma.github.io/Logging_2039/artfynd/A 61585-2025 artfynd.xlsx", "A 61585-2025")</f>
        <v/>
      </c>
      <c r="T105">
        <f>HYPERLINK("https://klasma.github.io/Logging_2039/kartor/A 61585-2025 karta.png", "A 61585-2025")</f>
        <v/>
      </c>
      <c r="V105">
        <f>HYPERLINK("https://klasma.github.io/Logging_2039/klagomål/A 61585-2025 FSC-klagomål.docx", "A 61585-2025")</f>
        <v/>
      </c>
      <c r="W105">
        <f>HYPERLINK("https://klasma.github.io/Logging_2039/klagomålsmail/A 61585-2025 FSC-klagomål mail.docx", "A 61585-2025")</f>
        <v/>
      </c>
      <c r="X105">
        <f>HYPERLINK("https://klasma.github.io/Logging_2039/tillsyn/A 61585-2025 tillsynsbegäran.docx", "A 61585-2025")</f>
        <v/>
      </c>
      <c r="Y105">
        <f>HYPERLINK("https://klasma.github.io/Logging_2039/tillsynsmail/A 61585-2025 tillsynsbegäran mail.docx", "A 61585-2025")</f>
        <v/>
      </c>
    </row>
    <row r="106" ht="15" customHeight="1">
      <c r="A106" t="inlineStr">
        <is>
          <t>A 38819-2024</t>
        </is>
      </c>
      <c r="B106" s="1" t="n">
        <v>45547.5541087963</v>
      </c>
      <c r="C106" s="1" t="n">
        <v>46030</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55222-2025</t>
        </is>
      </c>
      <c r="B107" s="1" t="n">
        <v>45968.59255787037</v>
      </c>
      <c r="C107" s="1" t="n">
        <v>46030</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57505-2024</t>
        </is>
      </c>
      <c r="B108" s="1" t="n">
        <v>45630</v>
      </c>
      <c r="C108" s="1" t="n">
        <v>46030</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32204-2024</t>
        </is>
      </c>
      <c r="B109" s="1" t="n">
        <v>45511.67277777778</v>
      </c>
      <c r="C109" s="1" t="n">
        <v>46030</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45511.67440972223</v>
      </c>
      <c r="C110" s="1" t="n">
        <v>46030</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7024-2024</t>
        </is>
      </c>
      <c r="B111" s="1" t="n">
        <v>45343.57924768519</v>
      </c>
      <c r="C111" s="1" t="n">
        <v>46030</v>
      </c>
      <c r="D111" t="inlineStr">
        <is>
          <t>DALARNAS LÄN</t>
        </is>
      </c>
      <c r="E111" t="inlineStr">
        <is>
          <t>ÄLVDALEN</t>
        </is>
      </c>
      <c r="F111" t="inlineStr">
        <is>
          <t>Sveaskog</t>
        </is>
      </c>
      <c r="G111" t="n">
        <v>30.1</v>
      </c>
      <c r="H111" t="n">
        <v>0</v>
      </c>
      <c r="I111" t="n">
        <v>0</v>
      </c>
      <c r="J111" t="n">
        <v>2</v>
      </c>
      <c r="K111" t="n">
        <v>1</v>
      </c>
      <c r="L111" t="n">
        <v>0</v>
      </c>
      <c r="M111" t="n">
        <v>0</v>
      </c>
      <c r="N111" t="n">
        <v>0</v>
      </c>
      <c r="O111" t="n">
        <v>3</v>
      </c>
      <c r="P111" t="n">
        <v>1</v>
      </c>
      <c r="Q111" t="n">
        <v>3</v>
      </c>
      <c r="R111" s="2" t="inlineStr">
        <is>
          <t>Gräddporing
Nordtagging
Vaddporing</t>
        </is>
      </c>
      <c r="S111">
        <f>HYPERLINK("https://klasma.github.io/Logging_2039/artfynd/A 7024-2024 artfynd.xlsx", "A 7024-2024")</f>
        <v/>
      </c>
      <c r="T111">
        <f>HYPERLINK("https://klasma.github.io/Logging_2039/kartor/A 7024-2024 karta.png", "A 7024-2024")</f>
        <v/>
      </c>
      <c r="V111">
        <f>HYPERLINK("https://klasma.github.io/Logging_2039/klagomål/A 7024-2024 FSC-klagomål.docx", "A 7024-2024")</f>
        <v/>
      </c>
      <c r="W111">
        <f>HYPERLINK("https://klasma.github.io/Logging_2039/klagomålsmail/A 7024-2024 FSC-klagomål mail.docx", "A 7024-2024")</f>
        <v/>
      </c>
      <c r="X111">
        <f>HYPERLINK("https://klasma.github.io/Logging_2039/tillsyn/A 7024-2024 tillsynsbegäran.docx", "A 7024-2024")</f>
        <v/>
      </c>
      <c r="Y111">
        <f>HYPERLINK("https://klasma.github.io/Logging_2039/tillsynsmail/A 7024-2024 tillsynsbegäran mail.docx", "A 7024-2024")</f>
        <v/>
      </c>
    </row>
    <row r="112" ht="15" customHeight="1">
      <c r="A112" t="inlineStr">
        <is>
          <t>A 25758-2025</t>
        </is>
      </c>
      <c r="B112" s="1" t="n">
        <v>45804.33314814815</v>
      </c>
      <c r="C112" s="1" t="n">
        <v>46030</v>
      </c>
      <c r="D112" t="inlineStr">
        <is>
          <t>DALARNAS LÄN</t>
        </is>
      </c>
      <c r="E112" t="inlineStr">
        <is>
          <t>ÄLVDALEN</t>
        </is>
      </c>
      <c r="F112" t="inlineStr">
        <is>
          <t>Kommuner</t>
        </is>
      </c>
      <c r="G112" t="n">
        <v>2.2</v>
      </c>
      <c r="H112" t="n">
        <v>1</v>
      </c>
      <c r="I112" t="n">
        <v>1</v>
      </c>
      <c r="J112" t="n">
        <v>2</v>
      </c>
      <c r="K112" t="n">
        <v>0</v>
      </c>
      <c r="L112" t="n">
        <v>0</v>
      </c>
      <c r="M112" t="n">
        <v>0</v>
      </c>
      <c r="N112" t="n">
        <v>0</v>
      </c>
      <c r="O112" t="n">
        <v>2</v>
      </c>
      <c r="P112" t="n">
        <v>0</v>
      </c>
      <c r="Q112" t="n">
        <v>3</v>
      </c>
      <c r="R112" s="2" t="inlineStr">
        <is>
          <t>Garnlav
Spillkråka
Dropptaggsvamp</t>
        </is>
      </c>
      <c r="S112">
        <f>HYPERLINK("https://klasma.github.io/Logging_2039/artfynd/A 25758-2025 artfynd.xlsx", "A 25758-2025")</f>
        <v/>
      </c>
      <c r="T112">
        <f>HYPERLINK("https://klasma.github.io/Logging_2039/kartor/A 25758-2025 karta.png", "A 25758-2025")</f>
        <v/>
      </c>
      <c r="V112">
        <f>HYPERLINK("https://klasma.github.io/Logging_2039/klagomål/A 25758-2025 FSC-klagomål.docx", "A 25758-2025")</f>
        <v/>
      </c>
      <c r="W112">
        <f>HYPERLINK("https://klasma.github.io/Logging_2039/klagomålsmail/A 25758-2025 FSC-klagomål mail.docx", "A 25758-2025")</f>
        <v/>
      </c>
      <c r="X112">
        <f>HYPERLINK("https://klasma.github.io/Logging_2039/tillsyn/A 25758-2025 tillsynsbegäran.docx", "A 25758-2025")</f>
        <v/>
      </c>
      <c r="Y112">
        <f>HYPERLINK("https://klasma.github.io/Logging_2039/tillsynsmail/A 25758-2025 tillsynsbegäran mail.docx", "A 25758-2025")</f>
        <v/>
      </c>
      <c r="Z112">
        <f>HYPERLINK("https://klasma.github.io/Logging_2039/fåglar/A 25758-2025 prioriterade fågelarter.docx", "A 25758-2025")</f>
        <v/>
      </c>
    </row>
    <row r="113" ht="15" customHeight="1">
      <c r="A113" t="inlineStr">
        <is>
          <t>A 35141-2023</t>
        </is>
      </c>
      <c r="B113" s="1" t="n">
        <v>45145</v>
      </c>
      <c r="C113" s="1" t="n">
        <v>46030</v>
      </c>
      <c r="D113" t="inlineStr">
        <is>
          <t>DALARNAS LÄN</t>
        </is>
      </c>
      <c r="E113" t="inlineStr">
        <is>
          <t>ÄLVDALEN</t>
        </is>
      </c>
      <c r="F113" t="inlineStr">
        <is>
          <t>Sveaskog</t>
        </is>
      </c>
      <c r="G113" t="n">
        <v>1.8</v>
      </c>
      <c r="H113" t="n">
        <v>1</v>
      </c>
      <c r="I113" t="n">
        <v>0</v>
      </c>
      <c r="J113" t="n">
        <v>3</v>
      </c>
      <c r="K113" t="n">
        <v>0</v>
      </c>
      <c r="L113" t="n">
        <v>0</v>
      </c>
      <c r="M113" t="n">
        <v>0</v>
      </c>
      <c r="N113" t="n">
        <v>0</v>
      </c>
      <c r="O113" t="n">
        <v>3</v>
      </c>
      <c r="P113" t="n">
        <v>0</v>
      </c>
      <c r="Q113" t="n">
        <v>3</v>
      </c>
      <c r="R113" s="2" t="inlineStr">
        <is>
          <t>Garnlav
Kolflarnlav
Varglav</t>
        </is>
      </c>
      <c r="S113">
        <f>HYPERLINK("https://klasma.github.io/Logging_2039/artfynd/A 35141-2023 artfynd.xlsx", "A 35141-2023")</f>
        <v/>
      </c>
      <c r="T113">
        <f>HYPERLINK("https://klasma.github.io/Logging_2039/kartor/A 35141-2023 karta.png", "A 35141-2023")</f>
        <v/>
      </c>
      <c r="V113">
        <f>HYPERLINK("https://klasma.github.io/Logging_2039/klagomål/A 35141-2023 FSC-klagomål.docx", "A 35141-2023")</f>
        <v/>
      </c>
      <c r="W113">
        <f>HYPERLINK("https://klasma.github.io/Logging_2039/klagomålsmail/A 35141-2023 FSC-klagomål mail.docx", "A 35141-2023")</f>
        <v/>
      </c>
      <c r="X113">
        <f>HYPERLINK("https://klasma.github.io/Logging_2039/tillsyn/A 35141-2023 tillsynsbegäran.docx", "A 35141-2023")</f>
        <v/>
      </c>
      <c r="Y113">
        <f>HYPERLINK("https://klasma.github.io/Logging_2039/tillsynsmail/A 35141-2023 tillsynsbegäran mail.docx", "A 35141-2023")</f>
        <v/>
      </c>
    </row>
    <row r="114" ht="15" customHeight="1">
      <c r="A114" t="inlineStr">
        <is>
          <t>A 26751-2025</t>
        </is>
      </c>
      <c r="B114" s="1" t="n">
        <v>45810.55134259259</v>
      </c>
      <c r="C114" s="1" t="n">
        <v>46030</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27933-2025</t>
        </is>
      </c>
      <c r="B115" s="1" t="n">
        <v>45817.49630787037</v>
      </c>
      <c r="C115" s="1" t="n">
        <v>46030</v>
      </c>
      <c r="D115" t="inlineStr">
        <is>
          <t>DALARNAS LÄN</t>
        </is>
      </c>
      <c r="E115" t="inlineStr">
        <is>
          <t>ÄLVDALEN</t>
        </is>
      </c>
      <c r="F115" t="inlineStr">
        <is>
          <t>Sveaskog</t>
        </is>
      </c>
      <c r="G115" t="n">
        <v>2.5</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27933-2025 artfynd.xlsx", "A 27933-2025")</f>
        <v/>
      </c>
      <c r="T115">
        <f>HYPERLINK("https://klasma.github.io/Logging_2039/kartor/A 27933-2025 karta.png", "A 27933-2025")</f>
        <v/>
      </c>
      <c r="V115">
        <f>HYPERLINK("https://klasma.github.io/Logging_2039/klagomål/A 27933-2025 FSC-klagomål.docx", "A 27933-2025")</f>
        <v/>
      </c>
      <c r="W115">
        <f>HYPERLINK("https://klasma.github.io/Logging_2039/klagomålsmail/A 27933-2025 FSC-klagomål mail.docx", "A 27933-2025")</f>
        <v/>
      </c>
      <c r="X115">
        <f>HYPERLINK("https://klasma.github.io/Logging_2039/tillsyn/A 27933-2025 tillsynsbegäran.docx", "A 27933-2025")</f>
        <v/>
      </c>
      <c r="Y115">
        <f>HYPERLINK("https://klasma.github.io/Logging_2039/tillsynsmail/A 27933-2025 tillsynsbegäran mail.docx", "A 27933-2025")</f>
        <v/>
      </c>
    </row>
    <row r="116" ht="15" customHeight="1">
      <c r="A116" t="inlineStr">
        <is>
          <t>A 18839-2024</t>
        </is>
      </c>
      <c r="B116" s="1" t="n">
        <v>45426</v>
      </c>
      <c r="C116" s="1" t="n">
        <v>46030</v>
      </c>
      <c r="D116" t="inlineStr">
        <is>
          <t>DALARNAS LÄN</t>
        </is>
      </c>
      <c r="E116" t="inlineStr">
        <is>
          <t>ÄLVDALEN</t>
        </is>
      </c>
      <c r="F116" t="inlineStr">
        <is>
          <t>Sveaskog</t>
        </is>
      </c>
      <c r="G116" t="n">
        <v>1.3</v>
      </c>
      <c r="H116" t="n">
        <v>0</v>
      </c>
      <c r="I116" t="n">
        <v>1</v>
      </c>
      <c r="J116" t="n">
        <v>2</v>
      </c>
      <c r="K116" t="n">
        <v>0</v>
      </c>
      <c r="L116" t="n">
        <v>0</v>
      </c>
      <c r="M116" t="n">
        <v>0</v>
      </c>
      <c r="N116" t="n">
        <v>0</v>
      </c>
      <c r="O116" t="n">
        <v>2</v>
      </c>
      <c r="P116" t="n">
        <v>0</v>
      </c>
      <c r="Q116" t="n">
        <v>3</v>
      </c>
      <c r="R116" s="2" t="inlineStr">
        <is>
          <t>Kolflarnlav
Vedflamlav
Dropptaggsvamp</t>
        </is>
      </c>
      <c r="S116">
        <f>HYPERLINK("https://klasma.github.io/Logging_2039/artfynd/A 18839-2024 artfynd.xlsx", "A 18839-2024")</f>
        <v/>
      </c>
      <c r="T116">
        <f>HYPERLINK("https://klasma.github.io/Logging_2039/kartor/A 18839-2024 karta.png", "A 18839-2024")</f>
        <v/>
      </c>
      <c r="V116">
        <f>HYPERLINK("https://klasma.github.io/Logging_2039/klagomål/A 18839-2024 FSC-klagomål.docx", "A 18839-2024")</f>
        <v/>
      </c>
      <c r="W116">
        <f>HYPERLINK("https://klasma.github.io/Logging_2039/klagomålsmail/A 18839-2024 FSC-klagomål mail.docx", "A 18839-2024")</f>
        <v/>
      </c>
      <c r="X116">
        <f>HYPERLINK("https://klasma.github.io/Logging_2039/tillsyn/A 18839-2024 tillsynsbegäran.docx", "A 18839-2024")</f>
        <v/>
      </c>
      <c r="Y116">
        <f>HYPERLINK("https://klasma.github.io/Logging_2039/tillsynsmail/A 18839-2024 tillsynsbegäran mail.docx", "A 18839-2024")</f>
        <v/>
      </c>
    </row>
    <row r="117" ht="15" customHeight="1">
      <c r="A117" t="inlineStr">
        <is>
          <t>A 41909-2022</t>
        </is>
      </c>
      <c r="B117" s="1" t="n">
        <v>44830</v>
      </c>
      <c r="C117" s="1" t="n">
        <v>46030</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33645-2025</t>
        </is>
      </c>
      <c r="B118" s="1" t="n">
        <v>45841.65282407407</v>
      </c>
      <c r="C118" s="1" t="n">
        <v>46030</v>
      </c>
      <c r="D118" t="inlineStr">
        <is>
          <t>DALARNAS LÄN</t>
        </is>
      </c>
      <c r="E118" t="inlineStr">
        <is>
          <t>ÄLVDALEN</t>
        </is>
      </c>
      <c r="F118" t="inlineStr">
        <is>
          <t>Sveaskog</t>
        </is>
      </c>
      <c r="G118" t="n">
        <v>1.6</v>
      </c>
      <c r="H118" t="n">
        <v>0</v>
      </c>
      <c r="I118" t="n">
        <v>0</v>
      </c>
      <c r="J118" t="n">
        <v>3</v>
      </c>
      <c r="K118" t="n">
        <v>0</v>
      </c>
      <c r="L118" t="n">
        <v>0</v>
      </c>
      <c r="M118" t="n">
        <v>0</v>
      </c>
      <c r="N118" t="n">
        <v>0</v>
      </c>
      <c r="O118" t="n">
        <v>3</v>
      </c>
      <c r="P118" t="n">
        <v>0</v>
      </c>
      <c r="Q118" t="n">
        <v>3</v>
      </c>
      <c r="R118" s="2" t="inlineStr">
        <is>
          <t>Dvärgbägarlav
Kolflarnlav
Vedflamlav</t>
        </is>
      </c>
      <c r="S118">
        <f>HYPERLINK("https://klasma.github.io/Logging_2039/artfynd/A 33645-2025 artfynd.xlsx", "A 33645-2025")</f>
        <v/>
      </c>
      <c r="T118">
        <f>HYPERLINK("https://klasma.github.io/Logging_2039/kartor/A 33645-2025 karta.png", "A 33645-2025")</f>
        <v/>
      </c>
      <c r="V118">
        <f>HYPERLINK("https://klasma.github.io/Logging_2039/klagomål/A 33645-2025 FSC-klagomål.docx", "A 33645-2025")</f>
        <v/>
      </c>
      <c r="W118">
        <f>HYPERLINK("https://klasma.github.io/Logging_2039/klagomålsmail/A 33645-2025 FSC-klagomål mail.docx", "A 33645-2025")</f>
        <v/>
      </c>
      <c r="X118">
        <f>HYPERLINK("https://klasma.github.io/Logging_2039/tillsyn/A 33645-2025 tillsynsbegäran.docx", "A 33645-2025")</f>
        <v/>
      </c>
      <c r="Y118">
        <f>HYPERLINK("https://klasma.github.io/Logging_2039/tillsynsmail/A 33645-2025 tillsynsbegäran mail.docx", "A 33645-2025")</f>
        <v/>
      </c>
    </row>
    <row r="119" ht="15" customHeight="1">
      <c r="A119" t="inlineStr">
        <is>
          <t>A 49125-2025</t>
        </is>
      </c>
      <c r="B119" s="1" t="n">
        <v>45937.86962962963</v>
      </c>
      <c r="C119" s="1" t="n">
        <v>46030</v>
      </c>
      <c r="D119" t="inlineStr">
        <is>
          <t>DALARNAS LÄN</t>
        </is>
      </c>
      <c r="E119" t="inlineStr">
        <is>
          <t>ÄLVDALEN</t>
        </is>
      </c>
      <c r="F119" t="inlineStr">
        <is>
          <t>Sveaskog</t>
        </is>
      </c>
      <c r="G119" t="n">
        <v>1.8</v>
      </c>
      <c r="H119" t="n">
        <v>0</v>
      </c>
      <c r="I119" t="n">
        <v>0</v>
      </c>
      <c r="J119" t="n">
        <v>3</v>
      </c>
      <c r="K119" t="n">
        <v>0</v>
      </c>
      <c r="L119" t="n">
        <v>0</v>
      </c>
      <c r="M119" t="n">
        <v>0</v>
      </c>
      <c r="N119" t="n">
        <v>0</v>
      </c>
      <c r="O119" t="n">
        <v>3</v>
      </c>
      <c r="P119" t="n">
        <v>0</v>
      </c>
      <c r="Q119" t="n">
        <v>3</v>
      </c>
      <c r="R119" s="2" t="inlineStr">
        <is>
          <t>Blanksvart spiklav
Kolflarnlav
Mörk kolflarnlav</t>
        </is>
      </c>
      <c r="S119">
        <f>HYPERLINK("https://klasma.github.io/Logging_2039/artfynd/A 49125-2025 artfynd.xlsx", "A 49125-2025")</f>
        <v/>
      </c>
      <c r="T119">
        <f>HYPERLINK("https://klasma.github.io/Logging_2039/kartor/A 49125-2025 karta.png", "A 49125-2025")</f>
        <v/>
      </c>
      <c r="V119">
        <f>HYPERLINK("https://klasma.github.io/Logging_2039/klagomål/A 49125-2025 FSC-klagomål.docx", "A 49125-2025")</f>
        <v/>
      </c>
      <c r="W119">
        <f>HYPERLINK("https://klasma.github.io/Logging_2039/klagomålsmail/A 49125-2025 FSC-klagomål mail.docx", "A 49125-2025")</f>
        <v/>
      </c>
      <c r="X119">
        <f>HYPERLINK("https://klasma.github.io/Logging_2039/tillsyn/A 49125-2025 tillsynsbegäran.docx", "A 49125-2025")</f>
        <v/>
      </c>
      <c r="Y119">
        <f>HYPERLINK("https://klasma.github.io/Logging_2039/tillsynsmail/A 49125-2025 tillsynsbegäran mail.docx", "A 49125-2025")</f>
        <v/>
      </c>
    </row>
    <row r="120" ht="15" customHeight="1">
      <c r="A120" t="inlineStr">
        <is>
          <t>A 59587-2025</t>
        </is>
      </c>
      <c r="B120" s="1" t="n">
        <v>45992.33722222222</v>
      </c>
      <c r="C120" s="1" t="n">
        <v>46030</v>
      </c>
      <c r="D120" t="inlineStr">
        <is>
          <t>DALARNAS LÄN</t>
        </is>
      </c>
      <c r="E120" t="inlineStr">
        <is>
          <t>ÄLVDALEN</t>
        </is>
      </c>
      <c r="F120" t="inlineStr">
        <is>
          <t>Sveaskog</t>
        </is>
      </c>
      <c r="G120" t="n">
        <v>10.7</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59587-2025 artfynd.xlsx", "A 59587-2025")</f>
        <v/>
      </c>
      <c r="T120">
        <f>HYPERLINK("https://klasma.github.io/Logging_2039/kartor/A 59587-2025 karta.png", "A 59587-2025")</f>
        <v/>
      </c>
      <c r="V120">
        <f>HYPERLINK("https://klasma.github.io/Logging_2039/klagomål/A 59587-2025 FSC-klagomål.docx", "A 59587-2025")</f>
        <v/>
      </c>
      <c r="W120">
        <f>HYPERLINK("https://klasma.github.io/Logging_2039/klagomålsmail/A 59587-2025 FSC-klagomål mail.docx", "A 59587-2025")</f>
        <v/>
      </c>
      <c r="X120">
        <f>HYPERLINK("https://klasma.github.io/Logging_2039/tillsyn/A 59587-2025 tillsynsbegäran.docx", "A 59587-2025")</f>
        <v/>
      </c>
      <c r="Y120">
        <f>HYPERLINK("https://klasma.github.io/Logging_2039/tillsynsmail/A 59587-2025 tillsynsbegäran mail.docx", "A 59587-2025")</f>
        <v/>
      </c>
    </row>
    <row r="121" ht="15" customHeight="1">
      <c r="A121" t="inlineStr">
        <is>
          <t>A 44128-2023</t>
        </is>
      </c>
      <c r="B121" s="1" t="n">
        <v>45188.45712962963</v>
      </c>
      <c r="C121" s="1" t="n">
        <v>46030</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31057-2024</t>
        </is>
      </c>
      <c r="B122" s="1" t="n">
        <v>45502.37813657407</v>
      </c>
      <c r="C122" s="1" t="n">
        <v>46030</v>
      </c>
      <c r="D122" t="inlineStr">
        <is>
          <t>DALARNAS LÄN</t>
        </is>
      </c>
      <c r="E122" t="inlineStr">
        <is>
          <t>ÄLVDALEN</t>
        </is>
      </c>
      <c r="F122" t="inlineStr">
        <is>
          <t>Sveaskog</t>
        </is>
      </c>
      <c r="G122" t="n">
        <v>2.4</v>
      </c>
      <c r="H122" t="n">
        <v>0</v>
      </c>
      <c r="I122" t="n">
        <v>1</v>
      </c>
      <c r="J122" t="n">
        <v>2</v>
      </c>
      <c r="K122" t="n">
        <v>0</v>
      </c>
      <c r="L122" t="n">
        <v>0</v>
      </c>
      <c r="M122" t="n">
        <v>0</v>
      </c>
      <c r="N122" t="n">
        <v>0</v>
      </c>
      <c r="O122" t="n">
        <v>2</v>
      </c>
      <c r="P122" t="n">
        <v>0</v>
      </c>
      <c r="Q122" t="n">
        <v>3</v>
      </c>
      <c r="R122" s="2" t="inlineStr">
        <is>
          <t>Blå taggsvamp
Kolflarnlav
Skarp dropptaggsvamp</t>
        </is>
      </c>
      <c r="S122">
        <f>HYPERLINK("https://klasma.github.io/Logging_2039/artfynd/A 31057-2024 artfynd.xlsx", "A 31057-2024")</f>
        <v/>
      </c>
      <c r="T122">
        <f>HYPERLINK("https://klasma.github.io/Logging_2039/kartor/A 31057-2024 karta.png", "A 31057-2024")</f>
        <v/>
      </c>
      <c r="V122">
        <f>HYPERLINK("https://klasma.github.io/Logging_2039/klagomål/A 31057-2024 FSC-klagomål.docx", "A 31057-2024")</f>
        <v/>
      </c>
      <c r="W122">
        <f>HYPERLINK("https://klasma.github.io/Logging_2039/klagomålsmail/A 31057-2024 FSC-klagomål mail.docx", "A 31057-2024")</f>
        <v/>
      </c>
      <c r="X122">
        <f>HYPERLINK("https://klasma.github.io/Logging_2039/tillsyn/A 31057-2024 tillsynsbegäran.docx", "A 31057-2024")</f>
        <v/>
      </c>
      <c r="Y122">
        <f>HYPERLINK("https://klasma.github.io/Logging_2039/tillsynsmail/A 31057-2024 tillsynsbegäran mail.docx", "A 31057-2024")</f>
        <v/>
      </c>
    </row>
    <row r="123" ht="15" customHeight="1">
      <c r="A123" t="inlineStr">
        <is>
          <t>A 55218-2025</t>
        </is>
      </c>
      <c r="B123" s="1" t="n">
        <v>45968.58936342593</v>
      </c>
      <c r="C123" s="1" t="n">
        <v>46030</v>
      </c>
      <c r="D123" t="inlineStr">
        <is>
          <t>DALARNAS LÄN</t>
        </is>
      </c>
      <c r="E123" t="inlineStr">
        <is>
          <t>ÄLVDALEN</t>
        </is>
      </c>
      <c r="F123" t="inlineStr">
        <is>
          <t>Sveaskog</t>
        </is>
      </c>
      <c r="G123" t="n">
        <v>3.5</v>
      </c>
      <c r="H123" t="n">
        <v>1</v>
      </c>
      <c r="I123" t="n">
        <v>1</v>
      </c>
      <c r="J123" t="n">
        <v>1</v>
      </c>
      <c r="K123" t="n">
        <v>1</v>
      </c>
      <c r="L123" t="n">
        <v>0</v>
      </c>
      <c r="M123" t="n">
        <v>0</v>
      </c>
      <c r="N123" t="n">
        <v>0</v>
      </c>
      <c r="O123" t="n">
        <v>2</v>
      </c>
      <c r="P123" t="n">
        <v>1</v>
      </c>
      <c r="Q123" t="n">
        <v>3</v>
      </c>
      <c r="R123" s="2" t="inlineStr">
        <is>
          <t>Gräddporing
Varglav
Dropptaggsvamp</t>
        </is>
      </c>
      <c r="S123">
        <f>HYPERLINK("https://klasma.github.io/Logging_2039/artfynd/A 55218-2025 artfynd.xlsx", "A 55218-2025")</f>
        <v/>
      </c>
      <c r="T123">
        <f>HYPERLINK("https://klasma.github.io/Logging_2039/kartor/A 55218-2025 karta.png", "A 55218-2025")</f>
        <v/>
      </c>
      <c r="V123">
        <f>HYPERLINK("https://klasma.github.io/Logging_2039/klagomål/A 55218-2025 FSC-klagomål.docx", "A 55218-2025")</f>
        <v/>
      </c>
      <c r="W123">
        <f>HYPERLINK("https://klasma.github.io/Logging_2039/klagomålsmail/A 55218-2025 FSC-klagomål mail.docx", "A 55218-2025")</f>
        <v/>
      </c>
      <c r="X123">
        <f>HYPERLINK("https://klasma.github.io/Logging_2039/tillsyn/A 55218-2025 tillsynsbegäran.docx", "A 55218-2025")</f>
        <v/>
      </c>
      <c r="Y123">
        <f>HYPERLINK("https://klasma.github.io/Logging_2039/tillsynsmail/A 55218-2025 tillsynsbegäran mail.docx", "A 55218-2025")</f>
        <v/>
      </c>
    </row>
    <row r="124" ht="15" customHeight="1">
      <c r="A124" t="inlineStr">
        <is>
          <t>A 43740-2024</t>
        </is>
      </c>
      <c r="B124" s="1" t="n">
        <v>45569.65748842592</v>
      </c>
      <c r="C124" s="1" t="n">
        <v>46030</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32403-2023</t>
        </is>
      </c>
      <c r="B125" s="1" t="n">
        <v>45120</v>
      </c>
      <c r="C125" s="1" t="n">
        <v>46030</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41921-2022</t>
        </is>
      </c>
      <c r="B126" s="1" t="n">
        <v>44830</v>
      </c>
      <c r="C126" s="1" t="n">
        <v>46030</v>
      </c>
      <c r="D126" t="inlineStr">
        <is>
          <t>DALARNAS LÄN</t>
        </is>
      </c>
      <c r="E126" t="inlineStr">
        <is>
          <t>ÄLVDALEN</t>
        </is>
      </c>
      <c r="F126" t="inlineStr">
        <is>
          <t>Sveaskog</t>
        </is>
      </c>
      <c r="G126" t="n">
        <v>5.4</v>
      </c>
      <c r="H126" t="n">
        <v>1</v>
      </c>
      <c r="I126" t="n">
        <v>0</v>
      </c>
      <c r="J126" t="n">
        <v>3</v>
      </c>
      <c r="K126" t="n">
        <v>0</v>
      </c>
      <c r="L126" t="n">
        <v>0</v>
      </c>
      <c r="M126" t="n">
        <v>0</v>
      </c>
      <c r="N126" t="n">
        <v>0</v>
      </c>
      <c r="O126" t="n">
        <v>3</v>
      </c>
      <c r="P126" t="n">
        <v>0</v>
      </c>
      <c r="Q126" t="n">
        <v>3</v>
      </c>
      <c r="R126" s="2" t="inlineStr">
        <is>
          <t>Blågrå svartspik
Tretåig hackspett
Vedskivlav</t>
        </is>
      </c>
      <c r="S126">
        <f>HYPERLINK("https://klasma.github.io/Logging_2039/artfynd/A 41921-2022 artfynd.xlsx", "A 41921-2022")</f>
        <v/>
      </c>
      <c r="T126">
        <f>HYPERLINK("https://klasma.github.io/Logging_2039/kartor/A 41921-2022 karta.png", "A 41921-2022")</f>
        <v/>
      </c>
      <c r="V126">
        <f>HYPERLINK("https://klasma.github.io/Logging_2039/klagomål/A 41921-2022 FSC-klagomål.docx", "A 41921-2022")</f>
        <v/>
      </c>
      <c r="W126">
        <f>HYPERLINK("https://klasma.github.io/Logging_2039/klagomålsmail/A 41921-2022 FSC-klagomål mail.docx", "A 41921-2022")</f>
        <v/>
      </c>
      <c r="X126">
        <f>HYPERLINK("https://klasma.github.io/Logging_2039/tillsyn/A 41921-2022 tillsynsbegäran.docx", "A 41921-2022")</f>
        <v/>
      </c>
      <c r="Y126">
        <f>HYPERLINK("https://klasma.github.io/Logging_2039/tillsynsmail/A 41921-2022 tillsynsbegäran mail.docx", "A 41921-2022")</f>
        <v/>
      </c>
      <c r="Z126">
        <f>HYPERLINK("https://klasma.github.io/Logging_2039/fåglar/A 41921-2022 prioriterade fågelarter.docx", "A 41921-2022")</f>
        <v/>
      </c>
    </row>
    <row r="127" ht="15" customHeight="1">
      <c r="A127" t="inlineStr">
        <is>
          <t>A 51732-2021</t>
        </is>
      </c>
      <c r="B127" s="1" t="n">
        <v>44461</v>
      </c>
      <c r="C127" s="1" t="n">
        <v>46030</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67709-2021</t>
        </is>
      </c>
      <c r="B128" s="1" t="n">
        <v>44525</v>
      </c>
      <c r="C128" s="1" t="n">
        <v>46030</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46030</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46030</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46030</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46030</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21629-2022</t>
        </is>
      </c>
      <c r="B133" s="1" t="n">
        <v>44706</v>
      </c>
      <c r="C133" s="1" t="n">
        <v>46030</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40231-2021</t>
        </is>
      </c>
      <c r="B134" s="1" t="n">
        <v>44419.31553240741</v>
      </c>
      <c r="C134" s="1" t="n">
        <v>46030</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32206-2024</t>
        </is>
      </c>
      <c r="B135" s="1" t="n">
        <v>45511.67366898148</v>
      </c>
      <c r="C135" s="1" t="n">
        <v>46030</v>
      </c>
      <c r="D135" t="inlineStr">
        <is>
          <t>DALARNAS LÄN</t>
        </is>
      </c>
      <c r="E135" t="inlineStr">
        <is>
          <t>ÄLVDALEN</t>
        </is>
      </c>
      <c r="F135" t="inlineStr">
        <is>
          <t>Sveaskog</t>
        </is>
      </c>
      <c r="G135" t="n">
        <v>8.1</v>
      </c>
      <c r="H135" t="n">
        <v>0</v>
      </c>
      <c r="I135" t="n">
        <v>0</v>
      </c>
      <c r="J135" t="n">
        <v>2</v>
      </c>
      <c r="K135" t="n">
        <v>0</v>
      </c>
      <c r="L135" t="n">
        <v>0</v>
      </c>
      <c r="M135" t="n">
        <v>0</v>
      </c>
      <c r="N135" t="n">
        <v>0</v>
      </c>
      <c r="O135" t="n">
        <v>2</v>
      </c>
      <c r="P135" t="n">
        <v>0</v>
      </c>
      <c r="Q135" t="n">
        <v>2</v>
      </c>
      <c r="R135" s="2" t="inlineStr">
        <is>
          <t>Blanksvart spiklav
Dvärgbägarlav</t>
        </is>
      </c>
      <c r="S135">
        <f>HYPERLINK("https://klasma.github.io/Logging_2039/artfynd/A 32206-2024 artfynd.xlsx", "A 32206-2024")</f>
        <v/>
      </c>
      <c r="T135">
        <f>HYPERLINK("https://klasma.github.io/Logging_2039/kartor/A 32206-2024 karta.png", "A 32206-2024")</f>
        <v/>
      </c>
      <c r="V135">
        <f>HYPERLINK("https://klasma.github.io/Logging_2039/klagomål/A 32206-2024 FSC-klagomål.docx", "A 32206-2024")</f>
        <v/>
      </c>
      <c r="W135">
        <f>HYPERLINK("https://klasma.github.io/Logging_2039/klagomålsmail/A 32206-2024 FSC-klagomål mail.docx", "A 32206-2024")</f>
        <v/>
      </c>
      <c r="X135">
        <f>HYPERLINK("https://klasma.github.io/Logging_2039/tillsyn/A 32206-2024 tillsynsbegäran.docx", "A 32206-2024")</f>
        <v/>
      </c>
      <c r="Y135">
        <f>HYPERLINK("https://klasma.github.io/Logging_2039/tillsynsmail/A 32206-2024 tillsynsbegäran mail.docx", "A 32206-2024")</f>
        <v/>
      </c>
    </row>
    <row r="136" ht="15" customHeight="1">
      <c r="A136" t="inlineStr">
        <is>
          <t>A 27937-2025</t>
        </is>
      </c>
      <c r="B136" s="1" t="n">
        <v>45817.50025462963</v>
      </c>
      <c r="C136" s="1" t="n">
        <v>46030</v>
      </c>
      <c r="D136" t="inlineStr">
        <is>
          <t>DALARNAS LÄN</t>
        </is>
      </c>
      <c r="E136" t="inlineStr">
        <is>
          <t>ÄLVDALEN</t>
        </is>
      </c>
      <c r="F136" t="inlineStr">
        <is>
          <t>Sveaskog</t>
        </is>
      </c>
      <c r="G136" t="n">
        <v>0.9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HYPERLINK("https://klasma.github.io/Logging_2039/artfynd/A 27937-2025 artfynd.xlsx", "A 27937-2025")</f>
        <v/>
      </c>
      <c r="T136">
        <f>HYPERLINK("https://klasma.github.io/Logging_2039/kartor/A 27937-2025 karta.png", "A 27937-2025")</f>
        <v/>
      </c>
      <c r="V136">
        <f>HYPERLINK("https://klasma.github.io/Logging_2039/klagomål/A 27937-2025 FSC-klagomål.docx", "A 27937-2025")</f>
        <v/>
      </c>
      <c r="W136">
        <f>HYPERLINK("https://klasma.github.io/Logging_2039/klagomålsmail/A 27937-2025 FSC-klagomål mail.docx", "A 27937-2025")</f>
        <v/>
      </c>
      <c r="X136">
        <f>HYPERLINK("https://klasma.github.io/Logging_2039/tillsyn/A 27937-2025 tillsynsbegäran.docx", "A 27937-2025")</f>
        <v/>
      </c>
      <c r="Y136">
        <f>HYPERLINK("https://klasma.github.io/Logging_2039/tillsynsmail/A 27937-2025 tillsynsbegäran mail.docx", "A 27937-2025")</f>
        <v/>
      </c>
    </row>
    <row r="137" ht="15" customHeight="1">
      <c r="A137" t="inlineStr">
        <is>
          <t>A 31264-2025</t>
        </is>
      </c>
      <c r="B137" s="1" t="n">
        <v>45833.3283912037</v>
      </c>
      <c r="C137" s="1" t="n">
        <v>46030</v>
      </c>
      <c r="D137" t="inlineStr">
        <is>
          <t>DALARNAS LÄN</t>
        </is>
      </c>
      <c r="E137" t="inlineStr">
        <is>
          <t>ÄLVDALEN</t>
        </is>
      </c>
      <c r="F137" t="inlineStr">
        <is>
          <t>Sveaskog</t>
        </is>
      </c>
      <c r="G137" t="n">
        <v>1.3</v>
      </c>
      <c r="H137" t="n">
        <v>2</v>
      </c>
      <c r="I137" t="n">
        <v>0</v>
      </c>
      <c r="J137" t="n">
        <v>1</v>
      </c>
      <c r="K137" t="n">
        <v>0</v>
      </c>
      <c r="L137" t="n">
        <v>1</v>
      </c>
      <c r="M137" t="n">
        <v>0</v>
      </c>
      <c r="N137" t="n">
        <v>0</v>
      </c>
      <c r="O137" t="n">
        <v>2</v>
      </c>
      <c r="P137" t="n">
        <v>1</v>
      </c>
      <c r="Q137" t="n">
        <v>2</v>
      </c>
      <c r="R137" s="2" t="inlineStr">
        <is>
          <t>Mosippa
Drillsnäppa</t>
        </is>
      </c>
      <c r="S137">
        <f>HYPERLINK("https://klasma.github.io/Logging_2039/artfynd/A 31264-2025 artfynd.xlsx", "A 31264-2025")</f>
        <v/>
      </c>
      <c r="T137">
        <f>HYPERLINK("https://klasma.github.io/Logging_2039/kartor/A 31264-2025 karta.png", "A 31264-2025")</f>
        <v/>
      </c>
      <c r="V137">
        <f>HYPERLINK("https://klasma.github.io/Logging_2039/klagomål/A 31264-2025 FSC-klagomål.docx", "A 31264-2025")</f>
        <v/>
      </c>
      <c r="W137">
        <f>HYPERLINK("https://klasma.github.io/Logging_2039/klagomålsmail/A 31264-2025 FSC-klagomål mail.docx", "A 31264-2025")</f>
        <v/>
      </c>
      <c r="X137">
        <f>HYPERLINK("https://klasma.github.io/Logging_2039/tillsyn/A 31264-2025 tillsynsbegäran.docx", "A 31264-2025")</f>
        <v/>
      </c>
      <c r="Y137">
        <f>HYPERLINK("https://klasma.github.io/Logging_2039/tillsynsmail/A 31264-2025 tillsynsbegäran mail.docx", "A 31264-2025")</f>
        <v/>
      </c>
    </row>
    <row r="138" ht="15" customHeight="1">
      <c r="A138" t="inlineStr">
        <is>
          <t>A 58476-2025</t>
        </is>
      </c>
      <c r="B138" s="1" t="n">
        <v>45985.64229166666</v>
      </c>
      <c r="C138" s="1" t="n">
        <v>46030</v>
      </c>
      <c r="D138" t="inlineStr">
        <is>
          <t>DALARNAS LÄN</t>
        </is>
      </c>
      <c r="E138" t="inlineStr">
        <is>
          <t>ÄLVDALEN</t>
        </is>
      </c>
      <c r="F138" t="inlineStr">
        <is>
          <t>Allmännings- och besparingsskogar</t>
        </is>
      </c>
      <c r="G138" t="n">
        <v>17.9</v>
      </c>
      <c r="H138" t="n">
        <v>2</v>
      </c>
      <c r="I138" t="n">
        <v>0</v>
      </c>
      <c r="J138" t="n">
        <v>0</v>
      </c>
      <c r="K138" t="n">
        <v>0</v>
      </c>
      <c r="L138" t="n">
        <v>0</v>
      </c>
      <c r="M138" t="n">
        <v>0</v>
      </c>
      <c r="N138" t="n">
        <v>0</v>
      </c>
      <c r="O138" t="n">
        <v>0</v>
      </c>
      <c r="P138" t="n">
        <v>0</v>
      </c>
      <c r="Q138" t="n">
        <v>2</v>
      </c>
      <c r="R138" s="2" t="inlineStr">
        <is>
          <t>Tjäder
Huggorm</t>
        </is>
      </c>
      <c r="S138">
        <f>HYPERLINK("https://klasma.github.io/Logging_2039/artfynd/A 58476-2025 artfynd.xlsx", "A 58476-2025")</f>
        <v/>
      </c>
      <c r="T138">
        <f>HYPERLINK("https://klasma.github.io/Logging_2039/kartor/A 58476-2025 karta.png", "A 58476-2025")</f>
        <v/>
      </c>
      <c r="V138">
        <f>HYPERLINK("https://klasma.github.io/Logging_2039/klagomål/A 58476-2025 FSC-klagomål.docx", "A 58476-2025")</f>
        <v/>
      </c>
      <c r="W138">
        <f>HYPERLINK("https://klasma.github.io/Logging_2039/klagomålsmail/A 58476-2025 FSC-klagomål mail.docx", "A 58476-2025")</f>
        <v/>
      </c>
      <c r="X138">
        <f>HYPERLINK("https://klasma.github.io/Logging_2039/tillsyn/A 58476-2025 tillsynsbegäran.docx", "A 58476-2025")</f>
        <v/>
      </c>
      <c r="Y138">
        <f>HYPERLINK("https://klasma.github.io/Logging_2039/tillsynsmail/A 58476-2025 tillsynsbegäran mail.docx", "A 58476-2025")</f>
        <v/>
      </c>
      <c r="Z138">
        <f>HYPERLINK("https://klasma.github.io/Logging_2039/fåglar/A 58476-2025 prioriterade fågelarter.docx", "A 58476-2025")</f>
        <v/>
      </c>
    </row>
    <row r="139" ht="15" customHeight="1">
      <c r="A139" t="inlineStr">
        <is>
          <t>A 54632-2021</t>
        </is>
      </c>
      <c r="B139" s="1" t="n">
        <v>44473</v>
      </c>
      <c r="C139" s="1" t="n">
        <v>46030</v>
      </c>
      <c r="D139" t="inlineStr">
        <is>
          <t>DALARNAS LÄN</t>
        </is>
      </c>
      <c r="E139" t="inlineStr">
        <is>
          <t>ÄLVDALEN</t>
        </is>
      </c>
      <c r="G139" t="n">
        <v>4.3</v>
      </c>
      <c r="H139" t="n">
        <v>1</v>
      </c>
      <c r="I139" t="n">
        <v>0</v>
      </c>
      <c r="J139" t="n">
        <v>2</v>
      </c>
      <c r="K139" t="n">
        <v>0</v>
      </c>
      <c r="L139" t="n">
        <v>0</v>
      </c>
      <c r="M139" t="n">
        <v>0</v>
      </c>
      <c r="N139" t="n">
        <v>0</v>
      </c>
      <c r="O139" t="n">
        <v>2</v>
      </c>
      <c r="P139" t="n">
        <v>0</v>
      </c>
      <c r="Q139" t="n">
        <v>2</v>
      </c>
      <c r="R139" s="2" t="inlineStr">
        <is>
          <t>Varglav
Vedflamlav</t>
        </is>
      </c>
      <c r="S139">
        <f>HYPERLINK("https://klasma.github.io/Logging_2039/artfynd/A 54632-2021 artfynd.xlsx", "A 54632-2021")</f>
        <v/>
      </c>
      <c r="T139">
        <f>HYPERLINK("https://klasma.github.io/Logging_2039/kartor/A 54632-2021 karta.png", "A 54632-2021")</f>
        <v/>
      </c>
      <c r="V139">
        <f>HYPERLINK("https://klasma.github.io/Logging_2039/klagomål/A 54632-2021 FSC-klagomål.docx", "A 54632-2021")</f>
        <v/>
      </c>
      <c r="W139">
        <f>HYPERLINK("https://klasma.github.io/Logging_2039/klagomålsmail/A 54632-2021 FSC-klagomål mail.docx", "A 54632-2021")</f>
        <v/>
      </c>
      <c r="X139">
        <f>HYPERLINK("https://klasma.github.io/Logging_2039/tillsyn/A 54632-2021 tillsynsbegäran.docx", "A 54632-2021")</f>
        <v/>
      </c>
      <c r="Y139">
        <f>HYPERLINK("https://klasma.github.io/Logging_2039/tillsynsmail/A 54632-2021 tillsynsbegäran mail.docx", "A 54632-2021")</f>
        <v/>
      </c>
    </row>
    <row r="140" ht="15" customHeight="1">
      <c r="A140" t="inlineStr">
        <is>
          <t>A 59951-2025</t>
        </is>
      </c>
      <c r="B140" s="1" t="n">
        <v>45993.45759259259</v>
      </c>
      <c r="C140" s="1" t="n">
        <v>46030</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59429-2024</t>
        </is>
      </c>
      <c r="B141" s="1" t="n">
        <v>45638.42091435185</v>
      </c>
      <c r="C141" s="1" t="n">
        <v>46030</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42848-2023</t>
        </is>
      </c>
      <c r="B142" s="1" t="n">
        <v>45182</v>
      </c>
      <c r="C142" s="1" t="n">
        <v>46030</v>
      </c>
      <c r="D142" t="inlineStr">
        <is>
          <t>DALARNAS LÄN</t>
        </is>
      </c>
      <c r="E142" t="inlineStr">
        <is>
          <t>ÄLVDALEN</t>
        </is>
      </c>
      <c r="F142" t="inlineStr">
        <is>
          <t>Allmännings- och besparingsskogar</t>
        </is>
      </c>
      <c r="G142" t="n">
        <v>1.9</v>
      </c>
      <c r="H142" t="n">
        <v>0</v>
      </c>
      <c r="I142" t="n">
        <v>1</v>
      </c>
      <c r="J142" t="n">
        <v>1</v>
      </c>
      <c r="K142" t="n">
        <v>0</v>
      </c>
      <c r="L142" t="n">
        <v>0</v>
      </c>
      <c r="M142" t="n">
        <v>0</v>
      </c>
      <c r="N142" t="n">
        <v>0</v>
      </c>
      <c r="O142" t="n">
        <v>1</v>
      </c>
      <c r="P142" t="n">
        <v>0</v>
      </c>
      <c r="Q142" t="n">
        <v>2</v>
      </c>
      <c r="R142" s="2" t="inlineStr">
        <is>
          <t>Blå taggsvamp
Dropptaggsvamp</t>
        </is>
      </c>
      <c r="S142">
        <f>HYPERLINK("https://klasma.github.io/Logging_2039/artfynd/A 42848-2023 artfynd.xlsx", "A 42848-2023")</f>
        <v/>
      </c>
      <c r="T142">
        <f>HYPERLINK("https://klasma.github.io/Logging_2039/kartor/A 42848-2023 karta.png", "A 42848-2023")</f>
        <v/>
      </c>
      <c r="V142">
        <f>HYPERLINK("https://klasma.github.io/Logging_2039/klagomål/A 42848-2023 FSC-klagomål.docx", "A 42848-2023")</f>
        <v/>
      </c>
      <c r="W142">
        <f>HYPERLINK("https://klasma.github.io/Logging_2039/klagomålsmail/A 42848-2023 FSC-klagomål mail.docx", "A 42848-2023")</f>
        <v/>
      </c>
      <c r="X142">
        <f>HYPERLINK("https://klasma.github.io/Logging_2039/tillsyn/A 42848-2023 tillsynsbegäran.docx", "A 42848-2023")</f>
        <v/>
      </c>
      <c r="Y142">
        <f>HYPERLINK("https://klasma.github.io/Logging_2039/tillsynsmail/A 42848-2023 tillsynsbegäran mail.docx", "A 42848-2023")</f>
        <v/>
      </c>
    </row>
    <row r="143" ht="15" customHeight="1">
      <c r="A143" t="inlineStr">
        <is>
          <t>A 40461-2025</t>
        </is>
      </c>
      <c r="B143" s="1" t="n">
        <v>45895</v>
      </c>
      <c r="C143" s="1" t="n">
        <v>46030</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55227-2025</t>
        </is>
      </c>
      <c r="B144" s="1" t="n">
        <v>45968.59744212963</v>
      </c>
      <c r="C144" s="1" t="n">
        <v>46030</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55225-2025</t>
        </is>
      </c>
      <c r="B145" s="1" t="n">
        <v>45968.59571759259</v>
      </c>
      <c r="C145" s="1" t="n">
        <v>46030</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27967-2023</t>
        </is>
      </c>
      <c r="B146" s="1" t="n">
        <v>45098.70354166667</v>
      </c>
      <c r="C146" s="1" t="n">
        <v>46030</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52490-2022</t>
        </is>
      </c>
      <c r="B147" s="1" t="n">
        <v>44874</v>
      </c>
      <c r="C147" s="1" t="n">
        <v>46030</v>
      </c>
      <c r="D147" t="inlineStr">
        <is>
          <t>DALARNAS LÄN</t>
        </is>
      </c>
      <c r="E147" t="inlineStr">
        <is>
          <t>ÄLVDALEN</t>
        </is>
      </c>
      <c r="G147" t="n">
        <v>4.3</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52490-2022 artfynd.xlsx", "A 52490-2022")</f>
        <v/>
      </c>
      <c r="T147">
        <f>HYPERLINK("https://klasma.github.io/Logging_2039/kartor/A 52490-2022 karta.png", "A 52490-2022")</f>
        <v/>
      </c>
      <c r="V147">
        <f>HYPERLINK("https://klasma.github.io/Logging_2039/klagomål/A 52490-2022 FSC-klagomål.docx", "A 52490-2022")</f>
        <v/>
      </c>
      <c r="W147">
        <f>HYPERLINK("https://klasma.github.io/Logging_2039/klagomålsmail/A 52490-2022 FSC-klagomål mail.docx", "A 52490-2022")</f>
        <v/>
      </c>
      <c r="X147">
        <f>HYPERLINK("https://klasma.github.io/Logging_2039/tillsyn/A 52490-2022 tillsynsbegäran.docx", "A 52490-2022")</f>
        <v/>
      </c>
      <c r="Y147">
        <f>HYPERLINK("https://klasma.github.io/Logging_2039/tillsynsmail/A 52490-2022 tillsynsbegäran mail.docx", "A 52490-2022")</f>
        <v/>
      </c>
    </row>
    <row r="148" ht="15" customHeight="1">
      <c r="A148" t="inlineStr">
        <is>
          <t>A 30727-2024</t>
        </is>
      </c>
      <c r="B148" s="1" t="n">
        <v>45496.55789351852</v>
      </c>
      <c r="C148" s="1" t="n">
        <v>46030</v>
      </c>
      <c r="D148" t="inlineStr">
        <is>
          <t>DALARNAS LÄN</t>
        </is>
      </c>
      <c r="E148" t="inlineStr">
        <is>
          <t>ÄLVDALEN</t>
        </is>
      </c>
      <c r="F148" t="inlineStr">
        <is>
          <t>Allmännings- och besparingsskogar</t>
        </is>
      </c>
      <c r="G148" t="n">
        <v>35.7</v>
      </c>
      <c r="H148" t="n">
        <v>1</v>
      </c>
      <c r="I148" t="n">
        <v>0</v>
      </c>
      <c r="J148" t="n">
        <v>2</v>
      </c>
      <c r="K148" t="n">
        <v>0</v>
      </c>
      <c r="L148" t="n">
        <v>0</v>
      </c>
      <c r="M148" t="n">
        <v>0</v>
      </c>
      <c r="N148" t="n">
        <v>0</v>
      </c>
      <c r="O148" t="n">
        <v>2</v>
      </c>
      <c r="P148" t="n">
        <v>0</v>
      </c>
      <c r="Q148" t="n">
        <v>2</v>
      </c>
      <c r="R148" s="2" t="inlineStr">
        <is>
          <t>Garnlav
Spillkråka</t>
        </is>
      </c>
      <c r="S148">
        <f>HYPERLINK("https://klasma.github.io/Logging_2039/artfynd/A 30727-2024 artfynd.xlsx", "A 30727-2024")</f>
        <v/>
      </c>
      <c r="T148">
        <f>HYPERLINK("https://klasma.github.io/Logging_2039/kartor/A 30727-2024 karta.png", "A 30727-2024")</f>
        <v/>
      </c>
      <c r="V148">
        <f>HYPERLINK("https://klasma.github.io/Logging_2039/klagomål/A 30727-2024 FSC-klagomål.docx", "A 30727-2024")</f>
        <v/>
      </c>
      <c r="W148">
        <f>HYPERLINK("https://klasma.github.io/Logging_2039/klagomålsmail/A 30727-2024 FSC-klagomål mail.docx", "A 30727-2024")</f>
        <v/>
      </c>
      <c r="X148">
        <f>HYPERLINK("https://klasma.github.io/Logging_2039/tillsyn/A 30727-2024 tillsynsbegäran.docx", "A 30727-2024")</f>
        <v/>
      </c>
      <c r="Y148">
        <f>HYPERLINK("https://klasma.github.io/Logging_2039/tillsynsmail/A 30727-2024 tillsynsbegäran mail.docx", "A 30727-2024")</f>
        <v/>
      </c>
      <c r="Z148">
        <f>HYPERLINK("https://klasma.github.io/Logging_2039/fåglar/A 30727-2024 prioriterade fågelarter.docx", "A 30727-2024")</f>
        <v/>
      </c>
    </row>
    <row r="149" ht="15" customHeight="1">
      <c r="A149" t="inlineStr">
        <is>
          <t>A 31761-2021</t>
        </is>
      </c>
      <c r="B149" s="1" t="n">
        <v>44370</v>
      </c>
      <c r="C149" s="1" t="n">
        <v>46030</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46030</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46030</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46030</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46030</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46030</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46030</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46030</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46030</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46030</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46030</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46030</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46030</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30691-2024</t>
        </is>
      </c>
      <c r="B162" s="1" t="n">
        <v>45496.26998842593</v>
      </c>
      <c r="C162" s="1" t="n">
        <v>46030</v>
      </c>
      <c r="D162" t="inlineStr">
        <is>
          <t>DALARNAS LÄN</t>
        </is>
      </c>
      <c r="E162" t="inlineStr">
        <is>
          <t>ÄLVDALEN</t>
        </is>
      </c>
      <c r="G162" t="n">
        <v>2.9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30691-2024 artfynd.xlsx", "A 30691-2024")</f>
        <v/>
      </c>
      <c r="T162">
        <f>HYPERLINK("https://klasma.github.io/Logging_2039/kartor/A 30691-2024 karta.png", "A 30691-2024")</f>
        <v/>
      </c>
      <c r="V162">
        <f>HYPERLINK("https://klasma.github.io/Logging_2039/klagomål/A 30691-2024 FSC-klagomål.docx", "A 30691-2024")</f>
        <v/>
      </c>
      <c r="W162">
        <f>HYPERLINK("https://klasma.github.io/Logging_2039/klagomålsmail/A 30691-2024 FSC-klagomål mail.docx", "A 30691-2024")</f>
        <v/>
      </c>
      <c r="X162">
        <f>HYPERLINK("https://klasma.github.io/Logging_2039/tillsyn/A 30691-2024 tillsynsbegäran.docx", "A 30691-2024")</f>
        <v/>
      </c>
      <c r="Y162">
        <f>HYPERLINK("https://klasma.github.io/Logging_2039/tillsynsmail/A 30691-2024 tillsynsbegäran mail.docx", "A 30691-2024")</f>
        <v/>
      </c>
    </row>
    <row r="163" ht="15" customHeight="1">
      <c r="A163" t="inlineStr">
        <is>
          <t>A 23872-2023</t>
        </is>
      </c>
      <c r="B163" s="1" t="n">
        <v>45078</v>
      </c>
      <c r="C163" s="1" t="n">
        <v>46030</v>
      </c>
      <c r="D163" t="inlineStr">
        <is>
          <t>DALARNAS LÄN</t>
        </is>
      </c>
      <c r="E163" t="inlineStr">
        <is>
          <t>ÄLVDALEN</t>
        </is>
      </c>
      <c r="F163" t="inlineStr">
        <is>
          <t>Allmännings- och besparingsskogar</t>
        </is>
      </c>
      <c r="G163" t="n">
        <v>79.5</v>
      </c>
      <c r="H163" t="n">
        <v>1</v>
      </c>
      <c r="I163" t="n">
        <v>0</v>
      </c>
      <c r="J163" t="n">
        <v>0</v>
      </c>
      <c r="K163" t="n">
        <v>0</v>
      </c>
      <c r="L163" t="n">
        <v>0</v>
      </c>
      <c r="M163" t="n">
        <v>0</v>
      </c>
      <c r="N163" t="n">
        <v>0</v>
      </c>
      <c r="O163" t="n">
        <v>0</v>
      </c>
      <c r="P163" t="n">
        <v>0</v>
      </c>
      <c r="Q163" t="n">
        <v>1</v>
      </c>
      <c r="R163" s="2" t="inlineStr">
        <is>
          <t>Vanlig groda</t>
        </is>
      </c>
      <c r="S163">
        <f>HYPERLINK("https://klasma.github.io/Logging_2039/artfynd/A 23872-2023 artfynd.xlsx", "A 23872-2023")</f>
        <v/>
      </c>
      <c r="T163">
        <f>HYPERLINK("https://klasma.github.io/Logging_2039/kartor/A 23872-2023 karta.png", "A 23872-2023")</f>
        <v/>
      </c>
      <c r="V163">
        <f>HYPERLINK("https://klasma.github.io/Logging_2039/klagomål/A 23872-2023 FSC-klagomål.docx", "A 23872-2023")</f>
        <v/>
      </c>
      <c r="W163">
        <f>HYPERLINK("https://klasma.github.io/Logging_2039/klagomålsmail/A 23872-2023 FSC-klagomål mail.docx", "A 23872-2023")</f>
        <v/>
      </c>
      <c r="X163">
        <f>HYPERLINK("https://klasma.github.io/Logging_2039/tillsyn/A 23872-2023 tillsynsbegäran.docx", "A 23872-2023")</f>
        <v/>
      </c>
      <c r="Y163">
        <f>HYPERLINK("https://klasma.github.io/Logging_2039/tillsynsmail/A 23872-2023 tillsynsbegäran mail.docx", "A 23872-2023")</f>
        <v/>
      </c>
    </row>
    <row r="164" ht="15" customHeight="1">
      <c r="A164" t="inlineStr">
        <is>
          <t>A 19614-2024</t>
        </is>
      </c>
      <c r="B164" s="1" t="n">
        <v>45432.30798611111</v>
      </c>
      <c r="C164" s="1" t="n">
        <v>46030</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41932-2025</t>
        </is>
      </c>
      <c r="B165" s="1" t="n">
        <v>45903.43458333334</v>
      </c>
      <c r="C165" s="1" t="n">
        <v>46030</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41728-2025</t>
        </is>
      </c>
      <c r="B166" s="1" t="n">
        <v>45902.45748842593</v>
      </c>
      <c r="C166" s="1" t="n">
        <v>46030</v>
      </c>
      <c r="D166" t="inlineStr">
        <is>
          <t>DALARNAS LÄN</t>
        </is>
      </c>
      <c r="E166" t="inlineStr">
        <is>
          <t>ÄLVDALEN</t>
        </is>
      </c>
      <c r="F166" t="inlineStr">
        <is>
          <t>Sveaskog</t>
        </is>
      </c>
      <c r="G166" t="n">
        <v>0.9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41728-2025 artfynd.xlsx", "A 41728-2025")</f>
        <v/>
      </c>
      <c r="T166">
        <f>HYPERLINK("https://klasma.github.io/Logging_2039/kartor/A 41728-2025 karta.png", "A 41728-2025")</f>
        <v/>
      </c>
      <c r="V166">
        <f>HYPERLINK("https://klasma.github.io/Logging_2039/klagomål/A 41728-2025 FSC-klagomål.docx", "A 41728-2025")</f>
        <v/>
      </c>
      <c r="W166">
        <f>HYPERLINK("https://klasma.github.io/Logging_2039/klagomålsmail/A 41728-2025 FSC-klagomål mail.docx", "A 41728-2025")</f>
        <v/>
      </c>
      <c r="X166">
        <f>HYPERLINK("https://klasma.github.io/Logging_2039/tillsyn/A 41728-2025 tillsynsbegäran.docx", "A 41728-2025")</f>
        <v/>
      </c>
      <c r="Y166">
        <f>HYPERLINK("https://klasma.github.io/Logging_2039/tillsynsmail/A 41728-2025 tillsynsbegäran mail.docx", "A 41728-2025")</f>
        <v/>
      </c>
    </row>
    <row r="167" ht="15" customHeight="1">
      <c r="A167" t="inlineStr">
        <is>
          <t>A 27929-2025</t>
        </is>
      </c>
      <c r="B167" s="1" t="n">
        <v>45817.49222222222</v>
      </c>
      <c r="C167" s="1" t="n">
        <v>46030</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27923-2025</t>
        </is>
      </c>
      <c r="B168" s="1" t="n">
        <v>45817.48814814815</v>
      </c>
      <c r="C168" s="1" t="n">
        <v>46030</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50385-2024</t>
        </is>
      </c>
      <c r="B169" s="1" t="n">
        <v>45600</v>
      </c>
      <c r="C169" s="1" t="n">
        <v>46030</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31145-2024</t>
        </is>
      </c>
      <c r="B170" s="1" t="n">
        <v>45502.85956018518</v>
      </c>
      <c r="C170" s="1" t="n">
        <v>46030</v>
      </c>
      <c r="D170" t="inlineStr">
        <is>
          <t>DALARNAS LÄN</t>
        </is>
      </c>
      <c r="E170" t="inlineStr">
        <is>
          <t>ÄLVDALEN</t>
        </is>
      </c>
      <c r="G170" t="n">
        <v>1.2</v>
      </c>
      <c r="H170" t="n">
        <v>1</v>
      </c>
      <c r="I170" t="n">
        <v>0</v>
      </c>
      <c r="J170" t="n">
        <v>1</v>
      </c>
      <c r="K170" t="n">
        <v>0</v>
      </c>
      <c r="L170" t="n">
        <v>0</v>
      </c>
      <c r="M170" t="n">
        <v>0</v>
      </c>
      <c r="N170" t="n">
        <v>0</v>
      </c>
      <c r="O170" t="n">
        <v>1</v>
      </c>
      <c r="P170" t="n">
        <v>0</v>
      </c>
      <c r="Q170" t="n">
        <v>1</v>
      </c>
      <c r="R170" s="2" t="inlineStr">
        <is>
          <t>Tretåig hackspett</t>
        </is>
      </c>
      <c r="S170">
        <f>HYPERLINK("https://klasma.github.io/Logging_2039/artfynd/A 31145-2024 artfynd.xlsx", "A 31145-2024")</f>
        <v/>
      </c>
      <c r="T170">
        <f>HYPERLINK("https://klasma.github.io/Logging_2039/kartor/A 31145-2024 karta.png", "A 31145-2024")</f>
        <v/>
      </c>
      <c r="V170">
        <f>HYPERLINK("https://klasma.github.io/Logging_2039/klagomål/A 31145-2024 FSC-klagomål.docx", "A 31145-2024")</f>
        <v/>
      </c>
      <c r="W170">
        <f>HYPERLINK("https://klasma.github.io/Logging_2039/klagomålsmail/A 31145-2024 FSC-klagomål mail.docx", "A 31145-2024")</f>
        <v/>
      </c>
      <c r="X170">
        <f>HYPERLINK("https://klasma.github.io/Logging_2039/tillsyn/A 31145-2024 tillsynsbegäran.docx", "A 31145-2024")</f>
        <v/>
      </c>
      <c r="Y170">
        <f>HYPERLINK("https://klasma.github.io/Logging_2039/tillsynsmail/A 31145-2024 tillsynsbegäran mail.docx", "A 31145-2024")</f>
        <v/>
      </c>
      <c r="Z170">
        <f>HYPERLINK("https://klasma.github.io/Logging_2039/fåglar/A 31145-2024 prioriterade fågelarter.docx", "A 31145-2024")</f>
        <v/>
      </c>
    </row>
    <row r="171" ht="15" customHeight="1">
      <c r="A171" t="inlineStr">
        <is>
          <t>A 49141-2025</t>
        </is>
      </c>
      <c r="B171" s="1" t="n">
        <v>45938.31905092593</v>
      </c>
      <c r="C171" s="1" t="n">
        <v>46030</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35352-2025</t>
        </is>
      </c>
      <c r="B172" s="1" t="n">
        <v>45853</v>
      </c>
      <c r="C172" s="1" t="n">
        <v>46030</v>
      </c>
      <c r="D172" t="inlineStr">
        <is>
          <t>DALARNAS LÄN</t>
        </is>
      </c>
      <c r="E172" t="inlineStr">
        <is>
          <t>ÄLVDALEN</t>
        </is>
      </c>
      <c r="F172" t="inlineStr">
        <is>
          <t>Sveaskog</t>
        </is>
      </c>
      <c r="G172" t="n">
        <v>0.7</v>
      </c>
      <c r="H172" t="n">
        <v>0</v>
      </c>
      <c r="I172" t="n">
        <v>0</v>
      </c>
      <c r="J172" t="n">
        <v>0</v>
      </c>
      <c r="K172" t="n">
        <v>1</v>
      </c>
      <c r="L172" t="n">
        <v>0</v>
      </c>
      <c r="M172" t="n">
        <v>0</v>
      </c>
      <c r="N172" t="n">
        <v>0</v>
      </c>
      <c r="O172" t="n">
        <v>1</v>
      </c>
      <c r="P172" t="n">
        <v>1</v>
      </c>
      <c r="Q172" t="n">
        <v>1</v>
      </c>
      <c r="R172" s="2" t="inlineStr">
        <is>
          <t>Gräddporing</t>
        </is>
      </c>
      <c r="S172">
        <f>HYPERLINK("https://klasma.github.io/Logging_2039/artfynd/A 35352-2025 artfynd.xlsx", "A 35352-2025")</f>
        <v/>
      </c>
      <c r="T172">
        <f>HYPERLINK("https://klasma.github.io/Logging_2039/kartor/A 35352-2025 karta.png", "A 35352-2025")</f>
        <v/>
      </c>
      <c r="V172">
        <f>HYPERLINK("https://klasma.github.io/Logging_2039/klagomål/A 35352-2025 FSC-klagomål.docx", "A 35352-2025")</f>
        <v/>
      </c>
      <c r="W172">
        <f>HYPERLINK("https://klasma.github.io/Logging_2039/klagomålsmail/A 35352-2025 FSC-klagomål mail.docx", "A 35352-2025")</f>
        <v/>
      </c>
      <c r="X172">
        <f>HYPERLINK("https://klasma.github.io/Logging_2039/tillsyn/A 35352-2025 tillsynsbegäran.docx", "A 35352-2025")</f>
        <v/>
      </c>
      <c r="Y172">
        <f>HYPERLINK("https://klasma.github.io/Logging_2039/tillsynsmail/A 35352-2025 tillsynsbegäran mail.docx", "A 35352-2025")</f>
        <v/>
      </c>
    </row>
    <row r="173" ht="15" customHeight="1">
      <c r="A173" t="inlineStr">
        <is>
          <t>A 59380-2025</t>
        </is>
      </c>
      <c r="B173" s="1" t="n">
        <v>45989.4540625</v>
      </c>
      <c r="C173" s="1" t="n">
        <v>46030</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36574-2021</t>
        </is>
      </c>
      <c r="B174" s="1" t="n">
        <v>44391</v>
      </c>
      <c r="C174" s="1" t="n">
        <v>46030</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60082-2025</t>
        </is>
      </c>
      <c r="B175" s="1" t="n">
        <v>45993</v>
      </c>
      <c r="C175" s="1" t="n">
        <v>46030</v>
      </c>
      <c r="D175" t="inlineStr">
        <is>
          <t>DALARNAS LÄN</t>
        </is>
      </c>
      <c r="E175" t="inlineStr">
        <is>
          <t>ÄLVDALEN</t>
        </is>
      </c>
      <c r="G175" t="n">
        <v>7.5</v>
      </c>
      <c r="H175" t="n">
        <v>1</v>
      </c>
      <c r="I175" t="n">
        <v>0</v>
      </c>
      <c r="J175" t="n">
        <v>0</v>
      </c>
      <c r="K175" t="n">
        <v>0</v>
      </c>
      <c r="L175" t="n">
        <v>0</v>
      </c>
      <c r="M175" t="n">
        <v>0</v>
      </c>
      <c r="N175" t="n">
        <v>0</v>
      </c>
      <c r="O175" t="n">
        <v>0</v>
      </c>
      <c r="P175" t="n">
        <v>0</v>
      </c>
      <c r="Q175" t="n">
        <v>1</v>
      </c>
      <c r="R175" s="2" t="inlineStr">
        <is>
          <t>Revlummer</t>
        </is>
      </c>
      <c r="S175">
        <f>HYPERLINK("https://klasma.github.io/Logging_2039/artfynd/A 60082-2025 artfynd.xlsx", "A 60082-2025")</f>
        <v/>
      </c>
      <c r="T175">
        <f>HYPERLINK("https://klasma.github.io/Logging_2039/kartor/A 60082-2025 karta.png", "A 60082-2025")</f>
        <v/>
      </c>
      <c r="V175">
        <f>HYPERLINK("https://klasma.github.io/Logging_2039/klagomål/A 60082-2025 FSC-klagomål.docx", "A 60082-2025")</f>
        <v/>
      </c>
      <c r="W175">
        <f>HYPERLINK("https://klasma.github.io/Logging_2039/klagomålsmail/A 60082-2025 FSC-klagomål mail.docx", "A 60082-2025")</f>
        <v/>
      </c>
      <c r="X175">
        <f>HYPERLINK("https://klasma.github.io/Logging_2039/tillsyn/A 60082-2025 tillsynsbegäran.docx", "A 60082-2025")</f>
        <v/>
      </c>
      <c r="Y175">
        <f>HYPERLINK("https://klasma.github.io/Logging_2039/tillsynsmail/A 60082-2025 tillsynsbegäran mail.docx", "A 60082-2025")</f>
        <v/>
      </c>
    </row>
    <row r="176" ht="15" customHeight="1">
      <c r="A176" t="inlineStr">
        <is>
          <t>A 62684-2025</t>
        </is>
      </c>
      <c r="B176" s="1" t="n">
        <v>46008.45831018518</v>
      </c>
      <c r="C176" s="1" t="n">
        <v>46030</v>
      </c>
      <c r="D176" t="inlineStr">
        <is>
          <t>DALARNAS LÄN</t>
        </is>
      </c>
      <c r="E176" t="inlineStr">
        <is>
          <t>ÄLVDALEN</t>
        </is>
      </c>
      <c r="G176" t="n">
        <v>20.3</v>
      </c>
      <c r="H176" t="n">
        <v>0</v>
      </c>
      <c r="I176" t="n">
        <v>1</v>
      </c>
      <c r="J176" t="n">
        <v>0</v>
      </c>
      <c r="K176" t="n">
        <v>0</v>
      </c>
      <c r="L176" t="n">
        <v>0</v>
      </c>
      <c r="M176" t="n">
        <v>0</v>
      </c>
      <c r="N176" t="n">
        <v>0</v>
      </c>
      <c r="O176" t="n">
        <v>0</v>
      </c>
      <c r="P176" t="n">
        <v>0</v>
      </c>
      <c r="Q176" t="n">
        <v>1</v>
      </c>
      <c r="R176" s="2" t="inlineStr">
        <is>
          <t>Mindre märgborre</t>
        </is>
      </c>
      <c r="S176">
        <f>HYPERLINK("https://klasma.github.io/Logging_2039/artfynd/A 62684-2025 artfynd.xlsx", "A 62684-2025")</f>
        <v/>
      </c>
      <c r="T176">
        <f>HYPERLINK("https://klasma.github.io/Logging_2039/kartor/A 62684-2025 karta.png", "A 62684-2025")</f>
        <v/>
      </c>
      <c r="V176">
        <f>HYPERLINK("https://klasma.github.io/Logging_2039/klagomål/A 62684-2025 FSC-klagomål.docx", "A 62684-2025")</f>
        <v/>
      </c>
      <c r="W176">
        <f>HYPERLINK("https://klasma.github.io/Logging_2039/klagomålsmail/A 62684-2025 FSC-klagomål mail.docx", "A 62684-2025")</f>
        <v/>
      </c>
      <c r="X176">
        <f>HYPERLINK("https://klasma.github.io/Logging_2039/tillsyn/A 62684-2025 tillsynsbegäran.docx", "A 62684-2025")</f>
        <v/>
      </c>
      <c r="Y176">
        <f>HYPERLINK("https://klasma.github.io/Logging_2039/tillsynsmail/A 62684-2025 tillsynsbegäran mail.docx", "A 62684-2025")</f>
        <v/>
      </c>
    </row>
    <row r="177" ht="15" customHeight="1">
      <c r="A177" t="inlineStr">
        <is>
          <t>A 45201-2024</t>
        </is>
      </c>
      <c r="B177" s="1" t="n">
        <v>45575</v>
      </c>
      <c r="C177" s="1" t="n">
        <v>46030</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45202-2024</t>
        </is>
      </c>
      <c r="B178" s="1" t="n">
        <v>45575</v>
      </c>
      <c r="C178" s="1" t="n">
        <v>46030</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55062-2022</t>
        </is>
      </c>
      <c r="B179" s="1" t="n">
        <v>44881</v>
      </c>
      <c r="C179" s="1" t="n">
        <v>46030</v>
      </c>
      <c r="D179" t="inlineStr">
        <is>
          <t>DALARNAS LÄN</t>
        </is>
      </c>
      <c r="E179" t="inlineStr">
        <is>
          <t>ÄLVDALEN</t>
        </is>
      </c>
      <c r="F179" t="inlineStr">
        <is>
          <t>Övriga statliga verk och myndigheter</t>
        </is>
      </c>
      <c r="G179" t="n">
        <v>28.1</v>
      </c>
      <c r="H179" t="n">
        <v>1</v>
      </c>
      <c r="I179" t="n">
        <v>0</v>
      </c>
      <c r="J179" t="n">
        <v>1</v>
      </c>
      <c r="K179" t="n">
        <v>0</v>
      </c>
      <c r="L179" t="n">
        <v>0</v>
      </c>
      <c r="M179" t="n">
        <v>0</v>
      </c>
      <c r="N179" t="n">
        <v>0</v>
      </c>
      <c r="O179" t="n">
        <v>1</v>
      </c>
      <c r="P179" t="n">
        <v>0</v>
      </c>
      <c r="Q179" t="n">
        <v>1</v>
      </c>
      <c r="R179" s="2" t="inlineStr">
        <is>
          <t>Utter</t>
        </is>
      </c>
      <c r="S179">
        <f>HYPERLINK("https://klasma.github.io/Logging_2039/artfynd/A 55062-2022 artfynd.xlsx", "A 55062-2022")</f>
        <v/>
      </c>
      <c r="T179">
        <f>HYPERLINK("https://klasma.github.io/Logging_2039/kartor/A 55062-2022 karta.png", "A 55062-2022")</f>
        <v/>
      </c>
      <c r="V179">
        <f>HYPERLINK("https://klasma.github.io/Logging_2039/klagomål/A 55062-2022 FSC-klagomål.docx", "A 55062-2022")</f>
        <v/>
      </c>
      <c r="W179">
        <f>HYPERLINK("https://klasma.github.io/Logging_2039/klagomålsmail/A 55062-2022 FSC-klagomål mail.docx", "A 55062-2022")</f>
        <v/>
      </c>
      <c r="X179">
        <f>HYPERLINK("https://klasma.github.io/Logging_2039/tillsyn/A 55062-2022 tillsynsbegäran.docx", "A 55062-2022")</f>
        <v/>
      </c>
      <c r="Y179">
        <f>HYPERLINK("https://klasma.github.io/Logging_2039/tillsynsmail/A 55062-2022 tillsynsbegäran mail.docx", "A 55062-2022")</f>
        <v/>
      </c>
    </row>
    <row r="180" ht="15" customHeight="1">
      <c r="A180" t="inlineStr">
        <is>
          <t>A 11061-2021</t>
        </is>
      </c>
      <c r="B180" s="1" t="n">
        <v>44260</v>
      </c>
      <c r="C180" s="1" t="n">
        <v>46030</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46030</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50981-2024</t>
        </is>
      </c>
      <c r="B182" s="1" t="n">
        <v>45603.36233796296</v>
      </c>
      <c r="C182" s="1" t="n">
        <v>46030</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32199-2024</t>
        </is>
      </c>
      <c r="B183" s="1" t="n">
        <v>45511.66325231481</v>
      </c>
      <c r="C183" s="1" t="n">
        <v>46030</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19313-2021</t>
        </is>
      </c>
      <c r="B184" s="1" t="n">
        <v>44309</v>
      </c>
      <c r="C184" s="1" t="n">
        <v>46030</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46030</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46030</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46030</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46030</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46030</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46030</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54292-2021</t>
        </is>
      </c>
      <c r="B191" s="1" t="n">
        <v>44471</v>
      </c>
      <c r="C191" s="1" t="n">
        <v>46030</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46030</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46030</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46030</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46030</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46030</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46030</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46030</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46030</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46030</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46030</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46030</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46030</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46030</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46030</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46030</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46030</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46030</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46030</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46030</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46030</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46030</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41020-2021</t>
        </is>
      </c>
      <c r="B213" s="1" t="n">
        <v>44421</v>
      </c>
      <c r="C213" s="1" t="n">
        <v>46030</v>
      </c>
      <c r="D213" t="inlineStr">
        <is>
          <t>DALARNAS LÄN</t>
        </is>
      </c>
      <c r="E213" t="inlineStr">
        <is>
          <t>ÄLVDALEN</t>
        </is>
      </c>
      <c r="G213" t="n">
        <v>5.5</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46030</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46030</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46030</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46030</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46030</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46030</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46030</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46030</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46030</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46030</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46030</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46030</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46030</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46030</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46030</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46030</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46030</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46030</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46030</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46030</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46030</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46030</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46030</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46030</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46030</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46030</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46030</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46030</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46030</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46030</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46030</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46030</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46030</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46030</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57783-2021</t>
        </is>
      </c>
      <c r="B248" s="1" t="n">
        <v>44484</v>
      </c>
      <c r="C248" s="1" t="n">
        <v>46030</v>
      </c>
      <c r="D248" t="inlineStr">
        <is>
          <t>DALARNAS LÄN</t>
        </is>
      </c>
      <c r="E248" t="inlineStr">
        <is>
          <t>ÄLVDALEN</t>
        </is>
      </c>
      <c r="G248" t="n">
        <v>6.9</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46030</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46030</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46030</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46030</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46030</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46030</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46030</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46030</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46030</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46030</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17627-2022</t>
        </is>
      </c>
      <c r="B260" s="1" t="n">
        <v>44680</v>
      </c>
      <c r="C260" s="1" t="n">
        <v>46030</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46030</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30255-2021</t>
        </is>
      </c>
      <c r="B262" s="1" t="n">
        <v>44363</v>
      </c>
      <c r="C262" s="1" t="n">
        <v>46030</v>
      </c>
      <c r="D262" t="inlineStr">
        <is>
          <t>DALARNAS LÄN</t>
        </is>
      </c>
      <c r="E262" t="inlineStr">
        <is>
          <t>ÄLVDALEN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46030</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46030</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46030</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46030</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46030</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46030</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46030</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46030</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46030</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46030</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24009-2024</t>
        </is>
      </c>
      <c r="B273" s="1" t="n">
        <v>45456.40030092592</v>
      </c>
      <c r="C273" s="1" t="n">
        <v>46030</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46030</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36285-2024</t>
        </is>
      </c>
      <c r="B275" s="1" t="n">
        <v>45534.59008101852</v>
      </c>
      <c r="C275" s="1" t="n">
        <v>46030</v>
      </c>
      <c r="D275" t="inlineStr">
        <is>
          <t>DALARNAS LÄN</t>
        </is>
      </c>
      <c r="E275" t="inlineStr">
        <is>
          <t>ÄLVDALEN</t>
        </is>
      </c>
      <c r="G275" t="n">
        <v>4.9</v>
      </c>
      <c r="H275" t="n">
        <v>0</v>
      </c>
      <c r="I275" t="n">
        <v>0</v>
      </c>
      <c r="J275" t="n">
        <v>0</v>
      </c>
      <c r="K275" t="n">
        <v>0</v>
      </c>
      <c r="L275" t="n">
        <v>0</v>
      </c>
      <c r="M275" t="n">
        <v>0</v>
      </c>
      <c r="N275" t="n">
        <v>0</v>
      </c>
      <c r="O275" t="n">
        <v>0</v>
      </c>
      <c r="P275" t="n">
        <v>0</v>
      </c>
      <c r="Q275" t="n">
        <v>0</v>
      </c>
      <c r="R275" s="2" t="inlineStr"/>
    </row>
    <row r="276" ht="15" customHeight="1">
      <c r="A276" t="inlineStr">
        <is>
          <t>A 55778-2021</t>
        </is>
      </c>
      <c r="B276" s="1" t="n">
        <v>44476</v>
      </c>
      <c r="C276" s="1" t="n">
        <v>46030</v>
      </c>
      <c r="D276" t="inlineStr">
        <is>
          <t>DALARNAS LÄN</t>
        </is>
      </c>
      <c r="E276" t="inlineStr">
        <is>
          <t>ÄLVDALEN</t>
        </is>
      </c>
      <c r="G276" t="n">
        <v>3.2</v>
      </c>
      <c r="H276" t="n">
        <v>0</v>
      </c>
      <c r="I276" t="n">
        <v>0</v>
      </c>
      <c r="J276" t="n">
        <v>0</v>
      </c>
      <c r="K276" t="n">
        <v>0</v>
      </c>
      <c r="L276" t="n">
        <v>0</v>
      </c>
      <c r="M276" t="n">
        <v>0</v>
      </c>
      <c r="N276" t="n">
        <v>0</v>
      </c>
      <c r="O276" t="n">
        <v>0</v>
      </c>
      <c r="P276" t="n">
        <v>0</v>
      </c>
      <c r="Q276" t="n">
        <v>0</v>
      </c>
      <c r="R276" s="2" t="inlineStr"/>
    </row>
    <row r="277" ht="15" customHeight="1">
      <c r="A277" t="inlineStr">
        <is>
          <t>A 19992-2023</t>
        </is>
      </c>
      <c r="B277" s="1" t="n">
        <v>45054.61501157407</v>
      </c>
      <c r="C277" s="1" t="n">
        <v>46030</v>
      </c>
      <c r="D277" t="inlineStr">
        <is>
          <t>DALARNAS LÄN</t>
        </is>
      </c>
      <c r="E277" t="inlineStr">
        <is>
          <t>ÄLVDALEN</t>
        </is>
      </c>
      <c r="G277" t="n">
        <v>3.9</v>
      </c>
      <c r="H277" t="n">
        <v>0</v>
      </c>
      <c r="I277" t="n">
        <v>0</v>
      </c>
      <c r="J277" t="n">
        <v>0</v>
      </c>
      <c r="K277" t="n">
        <v>0</v>
      </c>
      <c r="L277" t="n">
        <v>0</v>
      </c>
      <c r="M277" t="n">
        <v>0</v>
      </c>
      <c r="N277" t="n">
        <v>0</v>
      </c>
      <c r="O277" t="n">
        <v>0</v>
      </c>
      <c r="P277" t="n">
        <v>0</v>
      </c>
      <c r="Q277" t="n">
        <v>0</v>
      </c>
      <c r="R277" s="2" t="inlineStr"/>
    </row>
    <row r="278" ht="15" customHeight="1">
      <c r="A278" t="inlineStr">
        <is>
          <t>A 27615-2023</t>
        </is>
      </c>
      <c r="B278" s="1" t="n">
        <v>45097</v>
      </c>
      <c r="C278" s="1" t="n">
        <v>46030</v>
      </c>
      <c r="D278" t="inlineStr">
        <is>
          <t>DALARNAS LÄN</t>
        </is>
      </c>
      <c r="E278" t="inlineStr">
        <is>
          <t>ÄLVDALEN</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74324-2021</t>
        </is>
      </c>
      <c r="B279" s="1" t="n">
        <v>44558</v>
      </c>
      <c r="C279" s="1" t="n">
        <v>46030</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68219-2021</t>
        </is>
      </c>
      <c r="B280" s="1" t="n">
        <v>44526.57060185185</v>
      </c>
      <c r="C280" s="1" t="n">
        <v>46030</v>
      </c>
      <c r="D280" t="inlineStr">
        <is>
          <t>DALARNAS LÄN</t>
        </is>
      </c>
      <c r="E280" t="inlineStr">
        <is>
          <t>ÄLVDALEN</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22631-2025</t>
        </is>
      </c>
      <c r="B281" s="1" t="n">
        <v>45789.44056712963</v>
      </c>
      <c r="C281" s="1" t="n">
        <v>46030</v>
      </c>
      <c r="D281" t="inlineStr">
        <is>
          <t>DALARNAS LÄN</t>
        </is>
      </c>
      <c r="E281" t="inlineStr">
        <is>
          <t>ÄLVDALEN</t>
        </is>
      </c>
      <c r="F281" t="inlineStr">
        <is>
          <t>Allmännings- och besparingsskogar</t>
        </is>
      </c>
      <c r="G281" t="n">
        <v>2</v>
      </c>
      <c r="H281" t="n">
        <v>0</v>
      </c>
      <c r="I281" t="n">
        <v>0</v>
      </c>
      <c r="J281" t="n">
        <v>0</v>
      </c>
      <c r="K281" t="n">
        <v>0</v>
      </c>
      <c r="L281" t="n">
        <v>0</v>
      </c>
      <c r="M281" t="n">
        <v>0</v>
      </c>
      <c r="N281" t="n">
        <v>0</v>
      </c>
      <c r="O281" t="n">
        <v>0</v>
      </c>
      <c r="P281" t="n">
        <v>0</v>
      </c>
      <c r="Q281" t="n">
        <v>0</v>
      </c>
      <c r="R281" s="2" t="inlineStr"/>
    </row>
    <row r="282" ht="15" customHeight="1">
      <c r="A282" t="inlineStr">
        <is>
          <t>A 1804-2024</t>
        </is>
      </c>
      <c r="B282" s="1" t="n">
        <v>45307.59216435185</v>
      </c>
      <c r="C282" s="1" t="n">
        <v>46030</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1790-2024</t>
        </is>
      </c>
      <c r="B283" s="1" t="n">
        <v>45307.5731712963</v>
      </c>
      <c r="C283" s="1" t="n">
        <v>46030</v>
      </c>
      <c r="D283" t="inlineStr">
        <is>
          <t>DALARNAS LÄN</t>
        </is>
      </c>
      <c r="E283" t="inlineStr">
        <is>
          <t>ÄLVDALEN</t>
        </is>
      </c>
      <c r="G283" t="n">
        <v>1.9</v>
      </c>
      <c r="H283" t="n">
        <v>0</v>
      </c>
      <c r="I283" t="n">
        <v>0</v>
      </c>
      <c r="J283" t="n">
        <v>0</v>
      </c>
      <c r="K283" t="n">
        <v>0</v>
      </c>
      <c r="L283" t="n">
        <v>0</v>
      </c>
      <c r="M283" t="n">
        <v>0</v>
      </c>
      <c r="N283" t="n">
        <v>0</v>
      </c>
      <c r="O283" t="n">
        <v>0</v>
      </c>
      <c r="P283" t="n">
        <v>0</v>
      </c>
      <c r="Q283" t="n">
        <v>0</v>
      </c>
      <c r="R283" s="2" t="inlineStr"/>
    </row>
    <row r="284" ht="15" customHeight="1">
      <c r="A284" t="inlineStr">
        <is>
          <t>A 22559-2025</t>
        </is>
      </c>
      <c r="B284" s="1" t="n">
        <v>45789.32916666667</v>
      </c>
      <c r="C284" s="1" t="n">
        <v>46030</v>
      </c>
      <c r="D284" t="inlineStr">
        <is>
          <t>DALARNAS LÄN</t>
        </is>
      </c>
      <c r="E284" t="inlineStr">
        <is>
          <t>ÄLVDALEN</t>
        </is>
      </c>
      <c r="F284" t="inlineStr">
        <is>
          <t>Allmännings- och besparingsskogar</t>
        </is>
      </c>
      <c r="G284" t="n">
        <v>6.4</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46030</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38754-2025</t>
        </is>
      </c>
      <c r="B286" s="1" t="n">
        <v>45887.39354166666</v>
      </c>
      <c r="C286" s="1" t="n">
        <v>46030</v>
      </c>
      <c r="D286" t="inlineStr">
        <is>
          <t>DALARNAS LÄN</t>
        </is>
      </c>
      <c r="E286" t="inlineStr">
        <is>
          <t>ÄLVDALEN</t>
        </is>
      </c>
      <c r="F286" t="inlineStr">
        <is>
          <t>Bergvik skog väst AB</t>
        </is>
      </c>
      <c r="G286" t="n">
        <v>7.1</v>
      </c>
      <c r="H286" t="n">
        <v>0</v>
      </c>
      <c r="I286" t="n">
        <v>0</v>
      </c>
      <c r="J286" t="n">
        <v>0</v>
      </c>
      <c r="K286" t="n">
        <v>0</v>
      </c>
      <c r="L286" t="n">
        <v>0</v>
      </c>
      <c r="M286" t="n">
        <v>0</v>
      </c>
      <c r="N286" t="n">
        <v>0</v>
      </c>
      <c r="O286" t="n">
        <v>0</v>
      </c>
      <c r="P286" t="n">
        <v>0</v>
      </c>
      <c r="Q286" t="n">
        <v>0</v>
      </c>
      <c r="R286" s="2" t="inlineStr"/>
    </row>
    <row r="287" ht="15" customHeight="1">
      <c r="A287" t="inlineStr">
        <is>
          <t>A 22577-2025</t>
        </is>
      </c>
      <c r="B287" s="1" t="n">
        <v>45789.36928240741</v>
      </c>
      <c r="C287" s="1" t="n">
        <v>46030</v>
      </c>
      <c r="D287" t="inlineStr">
        <is>
          <t>DALARNAS LÄN</t>
        </is>
      </c>
      <c r="E287" t="inlineStr">
        <is>
          <t>ÄLVDALEN</t>
        </is>
      </c>
      <c r="F287" t="inlineStr">
        <is>
          <t>Allmännings- och besparingsskogar</t>
        </is>
      </c>
      <c r="G287" t="n">
        <v>18.1</v>
      </c>
      <c r="H287" t="n">
        <v>0</v>
      </c>
      <c r="I287" t="n">
        <v>0</v>
      </c>
      <c r="J287" t="n">
        <v>0</v>
      </c>
      <c r="K287" t="n">
        <v>0</v>
      </c>
      <c r="L287" t="n">
        <v>0</v>
      </c>
      <c r="M287" t="n">
        <v>0</v>
      </c>
      <c r="N287" t="n">
        <v>0</v>
      </c>
      <c r="O287" t="n">
        <v>0</v>
      </c>
      <c r="P287" t="n">
        <v>0</v>
      </c>
      <c r="Q287" t="n">
        <v>0</v>
      </c>
      <c r="R287" s="2" t="inlineStr"/>
    </row>
    <row r="288" ht="15" customHeight="1">
      <c r="A288" t="inlineStr">
        <is>
          <t>A 22303-2025</t>
        </is>
      </c>
      <c r="B288" s="1" t="n">
        <v>45786</v>
      </c>
      <c r="C288" s="1" t="n">
        <v>46030</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68204-2021</t>
        </is>
      </c>
      <c r="B289" s="1" t="n">
        <v>44526</v>
      </c>
      <c r="C289" s="1" t="n">
        <v>46030</v>
      </c>
      <c r="D289" t="inlineStr">
        <is>
          <t>DALARNAS LÄN</t>
        </is>
      </c>
      <c r="E289" t="inlineStr">
        <is>
          <t>ÄLVDALEN</t>
        </is>
      </c>
      <c r="F289" t="inlineStr">
        <is>
          <t>Kyrkan</t>
        </is>
      </c>
      <c r="G289" t="n">
        <v>5</v>
      </c>
      <c r="H289" t="n">
        <v>0</v>
      </c>
      <c r="I289" t="n">
        <v>0</v>
      </c>
      <c r="J289" t="n">
        <v>0</v>
      </c>
      <c r="K289" t="n">
        <v>0</v>
      </c>
      <c r="L289" t="n">
        <v>0</v>
      </c>
      <c r="M289" t="n">
        <v>0</v>
      </c>
      <c r="N289" t="n">
        <v>0</v>
      </c>
      <c r="O289" t="n">
        <v>0</v>
      </c>
      <c r="P289" t="n">
        <v>0</v>
      </c>
      <c r="Q289" t="n">
        <v>0</v>
      </c>
      <c r="R289" s="2" t="inlineStr"/>
    </row>
    <row r="290" ht="15" customHeight="1">
      <c r="A290" t="inlineStr">
        <is>
          <t>A 63601-2025</t>
        </is>
      </c>
      <c r="B290" s="1" t="n">
        <v>46014.31347222222</v>
      </c>
      <c r="C290" s="1" t="n">
        <v>46030</v>
      </c>
      <c r="D290" t="inlineStr">
        <is>
          <t>DALARNAS LÄN</t>
        </is>
      </c>
      <c r="E290" t="inlineStr">
        <is>
          <t>ÄLVDALEN</t>
        </is>
      </c>
      <c r="G290" t="n">
        <v>0.6</v>
      </c>
      <c r="H290" t="n">
        <v>0</v>
      </c>
      <c r="I290" t="n">
        <v>0</v>
      </c>
      <c r="J290" t="n">
        <v>0</v>
      </c>
      <c r="K290" t="n">
        <v>0</v>
      </c>
      <c r="L290" t="n">
        <v>0</v>
      </c>
      <c r="M290" t="n">
        <v>0</v>
      </c>
      <c r="N290" t="n">
        <v>0</v>
      </c>
      <c r="O290" t="n">
        <v>0</v>
      </c>
      <c r="P290" t="n">
        <v>0</v>
      </c>
      <c r="Q290" t="n">
        <v>0</v>
      </c>
      <c r="R290" s="2" t="inlineStr"/>
    </row>
    <row r="291" ht="15" customHeight="1">
      <c r="A291" t="inlineStr">
        <is>
          <t>A 61070-2024</t>
        </is>
      </c>
      <c r="B291" s="1" t="n">
        <v>45645.50170138889</v>
      </c>
      <c r="C291" s="1" t="n">
        <v>46030</v>
      </c>
      <c r="D291" t="inlineStr">
        <is>
          <t>DALARNAS LÄN</t>
        </is>
      </c>
      <c r="E291" t="inlineStr">
        <is>
          <t>ÄLVDALEN</t>
        </is>
      </c>
      <c r="G291" t="n">
        <v>5.6</v>
      </c>
      <c r="H291" t="n">
        <v>0</v>
      </c>
      <c r="I291" t="n">
        <v>0</v>
      </c>
      <c r="J291" t="n">
        <v>0</v>
      </c>
      <c r="K291" t="n">
        <v>0</v>
      </c>
      <c r="L291" t="n">
        <v>0</v>
      </c>
      <c r="M291" t="n">
        <v>0</v>
      </c>
      <c r="N291" t="n">
        <v>0</v>
      </c>
      <c r="O291" t="n">
        <v>0</v>
      </c>
      <c r="P291" t="n">
        <v>0</v>
      </c>
      <c r="Q291" t="n">
        <v>0</v>
      </c>
      <c r="R291" s="2" t="inlineStr"/>
    </row>
    <row r="292" ht="15" customHeight="1">
      <c r="A292" t="inlineStr">
        <is>
          <t>A 55924-2025</t>
        </is>
      </c>
      <c r="B292" s="1" t="n">
        <v>45973.42548611111</v>
      </c>
      <c r="C292" s="1" t="n">
        <v>46030</v>
      </c>
      <c r="D292" t="inlineStr">
        <is>
          <t>DALARNAS LÄN</t>
        </is>
      </c>
      <c r="E292" t="inlineStr">
        <is>
          <t>ÄLVDALEN</t>
        </is>
      </c>
      <c r="F292" t="inlineStr">
        <is>
          <t>Övriga statliga verk och myndigheter</t>
        </is>
      </c>
      <c r="G292" t="n">
        <v>1.1</v>
      </c>
      <c r="H292" t="n">
        <v>0</v>
      </c>
      <c r="I292" t="n">
        <v>0</v>
      </c>
      <c r="J292" t="n">
        <v>0</v>
      </c>
      <c r="K292" t="n">
        <v>0</v>
      </c>
      <c r="L292" t="n">
        <v>0</v>
      </c>
      <c r="M292" t="n">
        <v>0</v>
      </c>
      <c r="N292" t="n">
        <v>0</v>
      </c>
      <c r="O292" t="n">
        <v>0</v>
      </c>
      <c r="P292" t="n">
        <v>0</v>
      </c>
      <c r="Q292" t="n">
        <v>0</v>
      </c>
      <c r="R292" s="2" t="inlineStr"/>
    </row>
    <row r="293" ht="15" customHeight="1">
      <c r="A293" t="inlineStr">
        <is>
          <t>A 47666-2024</t>
        </is>
      </c>
      <c r="B293" s="1" t="n">
        <v>45588.39283564815</v>
      </c>
      <c r="C293" s="1" t="n">
        <v>46030</v>
      </c>
      <c r="D293" t="inlineStr">
        <is>
          <t>DALARNAS LÄN</t>
        </is>
      </c>
      <c r="E293" t="inlineStr">
        <is>
          <t>ÄLVDALEN</t>
        </is>
      </c>
      <c r="G293" t="n">
        <v>1.5</v>
      </c>
      <c r="H293" t="n">
        <v>0</v>
      </c>
      <c r="I293" t="n">
        <v>0</v>
      </c>
      <c r="J293" t="n">
        <v>0</v>
      </c>
      <c r="K293" t="n">
        <v>0</v>
      </c>
      <c r="L293" t="n">
        <v>0</v>
      </c>
      <c r="M293" t="n">
        <v>0</v>
      </c>
      <c r="N293" t="n">
        <v>0</v>
      </c>
      <c r="O293" t="n">
        <v>0</v>
      </c>
      <c r="P293" t="n">
        <v>0</v>
      </c>
      <c r="Q293" t="n">
        <v>0</v>
      </c>
      <c r="R293" s="2" t="inlineStr"/>
    </row>
    <row r="294" ht="15" customHeight="1">
      <c r="A294" t="inlineStr">
        <is>
          <t>A 57470-2023</t>
        </is>
      </c>
      <c r="B294" s="1" t="n">
        <v>45246</v>
      </c>
      <c r="C294" s="1" t="n">
        <v>46030</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55919-2025</t>
        </is>
      </c>
      <c r="B295" s="1" t="n">
        <v>45973.41636574074</v>
      </c>
      <c r="C295" s="1" t="n">
        <v>46030</v>
      </c>
      <c r="D295" t="inlineStr">
        <is>
          <t>DALARNAS LÄN</t>
        </is>
      </c>
      <c r="E295" t="inlineStr">
        <is>
          <t>ÄLVDALEN</t>
        </is>
      </c>
      <c r="F295" t="inlineStr">
        <is>
          <t>Övriga statliga verk och myndigheter</t>
        </is>
      </c>
      <c r="G295" t="n">
        <v>0.6</v>
      </c>
      <c r="H295" t="n">
        <v>0</v>
      </c>
      <c r="I295" t="n">
        <v>0</v>
      </c>
      <c r="J295" t="n">
        <v>0</v>
      </c>
      <c r="K295" t="n">
        <v>0</v>
      </c>
      <c r="L295" t="n">
        <v>0</v>
      </c>
      <c r="M295" t="n">
        <v>0</v>
      </c>
      <c r="N295" t="n">
        <v>0</v>
      </c>
      <c r="O295" t="n">
        <v>0</v>
      </c>
      <c r="P295" t="n">
        <v>0</v>
      </c>
      <c r="Q295" t="n">
        <v>0</v>
      </c>
      <c r="R295" s="2" t="inlineStr"/>
    </row>
    <row r="296" ht="15" customHeight="1">
      <c r="A296" t="inlineStr">
        <is>
          <t>A 51967-2023</t>
        </is>
      </c>
      <c r="B296" s="1" t="n">
        <v>45223.56440972222</v>
      </c>
      <c r="C296" s="1" t="n">
        <v>46030</v>
      </c>
      <c r="D296" t="inlineStr">
        <is>
          <t>DALARNAS LÄN</t>
        </is>
      </c>
      <c r="E296" t="inlineStr">
        <is>
          <t>ÄLVDALEN</t>
        </is>
      </c>
      <c r="G296" t="n">
        <v>2.2</v>
      </c>
      <c r="H296" t="n">
        <v>0</v>
      </c>
      <c r="I296" t="n">
        <v>0</v>
      </c>
      <c r="J296" t="n">
        <v>0</v>
      </c>
      <c r="K296" t="n">
        <v>0</v>
      </c>
      <c r="L296" t="n">
        <v>0</v>
      </c>
      <c r="M296" t="n">
        <v>0</v>
      </c>
      <c r="N296" t="n">
        <v>0</v>
      </c>
      <c r="O296" t="n">
        <v>0</v>
      </c>
      <c r="P296" t="n">
        <v>0</v>
      </c>
      <c r="Q296" t="n">
        <v>0</v>
      </c>
      <c r="R296" s="2" t="inlineStr"/>
    </row>
    <row r="297" ht="15" customHeight="1">
      <c r="A297" t="inlineStr">
        <is>
          <t>A 9108-2024</t>
        </is>
      </c>
      <c r="B297" s="1" t="n">
        <v>45357.96072916667</v>
      </c>
      <c r="C297" s="1" t="n">
        <v>46030</v>
      </c>
      <c r="D297" t="inlineStr">
        <is>
          <t>DALARNAS LÄN</t>
        </is>
      </c>
      <c r="E297" t="inlineStr">
        <is>
          <t>ÄLVDALEN</t>
        </is>
      </c>
      <c r="F297" t="inlineStr">
        <is>
          <t>Övriga Aktiebolag</t>
        </is>
      </c>
      <c r="G297" t="n">
        <v>24.4</v>
      </c>
      <c r="H297" t="n">
        <v>0</v>
      </c>
      <c r="I297" t="n">
        <v>0</v>
      </c>
      <c r="J297" t="n">
        <v>0</v>
      </c>
      <c r="K297" t="n">
        <v>0</v>
      </c>
      <c r="L297" t="n">
        <v>0</v>
      </c>
      <c r="M297" t="n">
        <v>0</v>
      </c>
      <c r="N297" t="n">
        <v>0</v>
      </c>
      <c r="O297" t="n">
        <v>0</v>
      </c>
      <c r="P297" t="n">
        <v>0</v>
      </c>
      <c r="Q297" t="n">
        <v>0</v>
      </c>
      <c r="R297" s="2" t="inlineStr"/>
    </row>
    <row r="298" ht="15" customHeight="1">
      <c r="A298" t="inlineStr">
        <is>
          <t>A 22909-2025</t>
        </is>
      </c>
      <c r="B298" s="1" t="n">
        <v>45790.42219907408</v>
      </c>
      <c r="C298" s="1" t="n">
        <v>46030</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30411-2024</t>
        </is>
      </c>
      <c r="B299" s="1" t="n">
        <v>45491.62447916667</v>
      </c>
      <c r="C299" s="1" t="n">
        <v>46030</v>
      </c>
      <c r="D299" t="inlineStr">
        <is>
          <t>DALARNAS LÄN</t>
        </is>
      </c>
      <c r="E299" t="inlineStr">
        <is>
          <t>ÄLVDALEN</t>
        </is>
      </c>
      <c r="G299" t="n">
        <v>1.1</v>
      </c>
      <c r="H299" t="n">
        <v>0</v>
      </c>
      <c r="I299" t="n">
        <v>0</v>
      </c>
      <c r="J299" t="n">
        <v>0</v>
      </c>
      <c r="K299" t="n">
        <v>0</v>
      </c>
      <c r="L299" t="n">
        <v>0</v>
      </c>
      <c r="M299" t="n">
        <v>0</v>
      </c>
      <c r="N299" t="n">
        <v>0</v>
      </c>
      <c r="O299" t="n">
        <v>0</v>
      </c>
      <c r="P299" t="n">
        <v>0</v>
      </c>
      <c r="Q299" t="n">
        <v>0</v>
      </c>
      <c r="R299" s="2" t="inlineStr"/>
    </row>
    <row r="300" ht="15" customHeight="1">
      <c r="A300" t="inlineStr">
        <is>
          <t>A 32359-2024</t>
        </is>
      </c>
      <c r="B300" s="1" t="n">
        <v>45512.56623842593</v>
      </c>
      <c r="C300" s="1" t="n">
        <v>46030</v>
      </c>
      <c r="D300" t="inlineStr">
        <is>
          <t>DALARNAS LÄN</t>
        </is>
      </c>
      <c r="E300" t="inlineStr">
        <is>
          <t>ÄLVDALEN</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23219-2025</t>
        </is>
      </c>
      <c r="B301" s="1" t="n">
        <v>45791.47893518519</v>
      </c>
      <c r="C301" s="1" t="n">
        <v>46030</v>
      </c>
      <c r="D301" t="inlineStr">
        <is>
          <t>DALARNAS LÄN</t>
        </is>
      </c>
      <c r="E301" t="inlineStr">
        <is>
          <t>ÄLVDALEN</t>
        </is>
      </c>
      <c r="F301" t="inlineStr">
        <is>
          <t>Bergvik skog öst AB</t>
        </is>
      </c>
      <c r="G301" t="n">
        <v>16.7</v>
      </c>
      <c r="H301" t="n">
        <v>0</v>
      </c>
      <c r="I301" t="n">
        <v>0</v>
      </c>
      <c r="J301" t="n">
        <v>0</v>
      </c>
      <c r="K301" t="n">
        <v>0</v>
      </c>
      <c r="L301" t="n">
        <v>0</v>
      </c>
      <c r="M301" t="n">
        <v>0</v>
      </c>
      <c r="N301" t="n">
        <v>0</v>
      </c>
      <c r="O301" t="n">
        <v>0</v>
      </c>
      <c r="P301" t="n">
        <v>0</v>
      </c>
      <c r="Q301" t="n">
        <v>0</v>
      </c>
      <c r="R301" s="2" t="inlineStr"/>
    </row>
    <row r="302" ht="15" customHeight="1">
      <c r="A302" t="inlineStr">
        <is>
          <t>A 57817-2023</t>
        </is>
      </c>
      <c r="B302" s="1" t="n">
        <v>45247</v>
      </c>
      <c r="C302" s="1" t="n">
        <v>46030</v>
      </c>
      <c r="D302" t="inlineStr">
        <is>
          <t>DALARNAS LÄN</t>
        </is>
      </c>
      <c r="E302" t="inlineStr">
        <is>
          <t>ÄLVDALEN</t>
        </is>
      </c>
      <c r="G302" t="n">
        <v>6.4</v>
      </c>
      <c r="H302" t="n">
        <v>0</v>
      </c>
      <c r="I302" t="n">
        <v>0</v>
      </c>
      <c r="J302" t="n">
        <v>0</v>
      </c>
      <c r="K302" t="n">
        <v>0</v>
      </c>
      <c r="L302" t="n">
        <v>0</v>
      </c>
      <c r="M302" t="n">
        <v>0</v>
      </c>
      <c r="N302" t="n">
        <v>0</v>
      </c>
      <c r="O302" t="n">
        <v>0</v>
      </c>
      <c r="P302" t="n">
        <v>0</v>
      </c>
      <c r="Q302" t="n">
        <v>0</v>
      </c>
      <c r="R302" s="2" t="inlineStr"/>
    </row>
    <row r="303" ht="15" customHeight="1">
      <c r="A303" t="inlineStr">
        <is>
          <t>A 23555-2025</t>
        </is>
      </c>
      <c r="B303" s="1" t="n">
        <v>45792.57824074074</v>
      </c>
      <c r="C303" s="1" t="n">
        <v>46030</v>
      </c>
      <c r="D303" t="inlineStr">
        <is>
          <t>DALARNAS LÄN</t>
        </is>
      </c>
      <c r="E303" t="inlineStr">
        <is>
          <t>ÄLVDALEN</t>
        </is>
      </c>
      <c r="G303" t="n">
        <v>3.1</v>
      </c>
      <c r="H303" t="n">
        <v>0</v>
      </c>
      <c r="I303" t="n">
        <v>0</v>
      </c>
      <c r="J303" t="n">
        <v>0</v>
      </c>
      <c r="K303" t="n">
        <v>0</v>
      </c>
      <c r="L303" t="n">
        <v>0</v>
      </c>
      <c r="M303" t="n">
        <v>0</v>
      </c>
      <c r="N303" t="n">
        <v>0</v>
      </c>
      <c r="O303" t="n">
        <v>0</v>
      </c>
      <c r="P303" t="n">
        <v>0</v>
      </c>
      <c r="Q303" t="n">
        <v>0</v>
      </c>
      <c r="R303" s="2" t="inlineStr"/>
    </row>
    <row r="304" ht="15" customHeight="1">
      <c r="A304" t="inlineStr">
        <is>
          <t>A 57560-2024</t>
        </is>
      </c>
      <c r="B304" s="1" t="n">
        <v>45630.4566550926</v>
      </c>
      <c r="C304" s="1" t="n">
        <v>46030</v>
      </c>
      <c r="D304" t="inlineStr">
        <is>
          <t>DALARNAS LÄN</t>
        </is>
      </c>
      <c r="E304" t="inlineStr">
        <is>
          <t>ÄLVDALEN</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56501-2025</t>
        </is>
      </c>
      <c r="B305" s="1" t="n">
        <v>45975.43454861111</v>
      </c>
      <c r="C305" s="1" t="n">
        <v>46030</v>
      </c>
      <c r="D305" t="inlineStr">
        <is>
          <t>DALARNAS LÄN</t>
        </is>
      </c>
      <c r="E305" t="inlineStr">
        <is>
          <t>ÄLVDALEN</t>
        </is>
      </c>
      <c r="G305" t="n">
        <v>14.9</v>
      </c>
      <c r="H305" t="n">
        <v>0</v>
      </c>
      <c r="I305" t="n">
        <v>0</v>
      </c>
      <c r="J305" t="n">
        <v>0</v>
      </c>
      <c r="K305" t="n">
        <v>0</v>
      </c>
      <c r="L305" t="n">
        <v>0</v>
      </c>
      <c r="M305" t="n">
        <v>0</v>
      </c>
      <c r="N305" t="n">
        <v>0</v>
      </c>
      <c r="O305" t="n">
        <v>0</v>
      </c>
      <c r="P305" t="n">
        <v>0</v>
      </c>
      <c r="Q305" t="n">
        <v>0</v>
      </c>
      <c r="R305" s="2" t="inlineStr"/>
    </row>
    <row r="306" ht="15" customHeight="1">
      <c r="A306" t="inlineStr">
        <is>
          <t>A 8069-2025</t>
        </is>
      </c>
      <c r="B306" s="1" t="n">
        <v>45707.64342592593</v>
      </c>
      <c r="C306" s="1" t="n">
        <v>46030</v>
      </c>
      <c r="D306" t="inlineStr">
        <is>
          <t>DALARNAS LÄN</t>
        </is>
      </c>
      <c r="E306" t="inlineStr">
        <is>
          <t>ÄLVDALEN</t>
        </is>
      </c>
      <c r="F306" t="inlineStr">
        <is>
          <t>Allmännings- och besparingsskogar</t>
        </is>
      </c>
      <c r="G306" t="n">
        <v>4.2</v>
      </c>
      <c r="H306" t="n">
        <v>0</v>
      </c>
      <c r="I306" t="n">
        <v>0</v>
      </c>
      <c r="J306" t="n">
        <v>0</v>
      </c>
      <c r="K306" t="n">
        <v>0</v>
      </c>
      <c r="L306" t="n">
        <v>0</v>
      </c>
      <c r="M306" t="n">
        <v>0</v>
      </c>
      <c r="N306" t="n">
        <v>0</v>
      </c>
      <c r="O306" t="n">
        <v>0</v>
      </c>
      <c r="P306" t="n">
        <v>0</v>
      </c>
      <c r="Q306" t="n">
        <v>0</v>
      </c>
      <c r="R306" s="2" t="inlineStr"/>
    </row>
    <row r="307" ht="15" customHeight="1">
      <c r="A307" t="inlineStr">
        <is>
          <t>A 43351-2024</t>
        </is>
      </c>
      <c r="B307" s="1" t="n">
        <v>45568.56023148148</v>
      </c>
      <c r="C307" s="1" t="n">
        <v>46030</v>
      </c>
      <c r="D307" t="inlineStr">
        <is>
          <t>DALARNAS LÄN</t>
        </is>
      </c>
      <c r="E307" t="inlineStr">
        <is>
          <t>ÄLVDALEN</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56252-2025</t>
        </is>
      </c>
      <c r="B308" s="1" t="n">
        <v>45974.56061342593</v>
      </c>
      <c r="C308" s="1" t="n">
        <v>46030</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39041-2025</t>
        </is>
      </c>
      <c r="B309" s="1" t="n">
        <v>45888</v>
      </c>
      <c r="C309" s="1" t="n">
        <v>46030</v>
      </c>
      <c r="D309" t="inlineStr">
        <is>
          <t>DALARNAS LÄN</t>
        </is>
      </c>
      <c r="E309" t="inlineStr">
        <is>
          <t>ÄLVDALEN</t>
        </is>
      </c>
      <c r="G309" t="n">
        <v>4.7</v>
      </c>
      <c r="H309" t="n">
        <v>0</v>
      </c>
      <c r="I309" t="n">
        <v>0</v>
      </c>
      <c r="J309" t="n">
        <v>0</v>
      </c>
      <c r="K309" t="n">
        <v>0</v>
      </c>
      <c r="L309" t="n">
        <v>0</v>
      </c>
      <c r="M309" t="n">
        <v>0</v>
      </c>
      <c r="N309" t="n">
        <v>0</v>
      </c>
      <c r="O309" t="n">
        <v>0</v>
      </c>
      <c r="P309" t="n">
        <v>0</v>
      </c>
      <c r="Q309" t="n">
        <v>0</v>
      </c>
      <c r="R309" s="2" t="inlineStr"/>
    </row>
    <row r="310" ht="15" customHeight="1">
      <c r="A310" t="inlineStr">
        <is>
          <t>A 52167-2024</t>
        </is>
      </c>
      <c r="B310" s="1" t="n">
        <v>45608.53949074074</v>
      </c>
      <c r="C310" s="1" t="n">
        <v>46030</v>
      </c>
      <c r="D310" t="inlineStr">
        <is>
          <t>DALARNAS LÄN</t>
        </is>
      </c>
      <c r="E310" t="inlineStr">
        <is>
          <t>ÄLVDALEN</t>
        </is>
      </c>
      <c r="G310" t="n">
        <v>0.6</v>
      </c>
      <c r="H310" t="n">
        <v>0</v>
      </c>
      <c r="I310" t="n">
        <v>0</v>
      </c>
      <c r="J310" t="n">
        <v>0</v>
      </c>
      <c r="K310" t="n">
        <v>0</v>
      </c>
      <c r="L310" t="n">
        <v>0</v>
      </c>
      <c r="M310" t="n">
        <v>0</v>
      </c>
      <c r="N310" t="n">
        <v>0</v>
      </c>
      <c r="O310" t="n">
        <v>0</v>
      </c>
      <c r="P310" t="n">
        <v>0</v>
      </c>
      <c r="Q310" t="n">
        <v>0</v>
      </c>
      <c r="R310" s="2" t="inlineStr"/>
    </row>
    <row r="311" ht="15" customHeight="1">
      <c r="A311" t="inlineStr">
        <is>
          <t>A 68383-2021</t>
        </is>
      </c>
      <c r="B311" s="1" t="n">
        <v>44529</v>
      </c>
      <c r="C311" s="1" t="n">
        <v>46030</v>
      </c>
      <c r="D311" t="inlineStr">
        <is>
          <t>DALARNAS LÄN</t>
        </is>
      </c>
      <c r="E311" t="inlineStr">
        <is>
          <t>ÄLVDALEN</t>
        </is>
      </c>
      <c r="F311" t="inlineStr">
        <is>
          <t>Sveaskog</t>
        </is>
      </c>
      <c r="G311" t="n">
        <v>2.7</v>
      </c>
      <c r="H311" t="n">
        <v>0</v>
      </c>
      <c r="I311" t="n">
        <v>0</v>
      </c>
      <c r="J311" t="n">
        <v>0</v>
      </c>
      <c r="K311" t="n">
        <v>0</v>
      </c>
      <c r="L311" t="n">
        <v>0</v>
      </c>
      <c r="M311" t="n">
        <v>0</v>
      </c>
      <c r="N311" t="n">
        <v>0</v>
      </c>
      <c r="O311" t="n">
        <v>0</v>
      </c>
      <c r="P311" t="n">
        <v>0</v>
      </c>
      <c r="Q311" t="n">
        <v>0</v>
      </c>
      <c r="R311" s="2" t="inlineStr"/>
    </row>
    <row r="312" ht="15" customHeight="1">
      <c r="A312" t="inlineStr">
        <is>
          <t>A 39893-2025</t>
        </is>
      </c>
      <c r="B312" s="1" t="n">
        <v>45891.63013888889</v>
      </c>
      <c r="C312" s="1" t="n">
        <v>46030</v>
      </c>
      <c r="D312" t="inlineStr">
        <is>
          <t>DALARNAS LÄN</t>
        </is>
      </c>
      <c r="E312" t="inlineStr">
        <is>
          <t>ÄLVDALEN</t>
        </is>
      </c>
      <c r="F312" t="inlineStr">
        <is>
          <t>Kommuner</t>
        </is>
      </c>
      <c r="G312" t="n">
        <v>5.8</v>
      </c>
      <c r="H312" t="n">
        <v>0</v>
      </c>
      <c r="I312" t="n">
        <v>0</v>
      </c>
      <c r="J312" t="n">
        <v>0</v>
      </c>
      <c r="K312" t="n">
        <v>0</v>
      </c>
      <c r="L312" t="n">
        <v>0</v>
      </c>
      <c r="M312" t="n">
        <v>0</v>
      </c>
      <c r="N312" t="n">
        <v>0</v>
      </c>
      <c r="O312" t="n">
        <v>0</v>
      </c>
      <c r="P312" t="n">
        <v>0</v>
      </c>
      <c r="Q312" t="n">
        <v>0</v>
      </c>
      <c r="R312" s="2" t="inlineStr"/>
    </row>
    <row r="313" ht="15" customHeight="1">
      <c r="A313" t="inlineStr">
        <is>
          <t>A 45122-2023</t>
        </is>
      </c>
      <c r="B313" s="1" t="n">
        <v>45191.44871527778</v>
      </c>
      <c r="C313" s="1" t="n">
        <v>46030</v>
      </c>
      <c r="D313" t="inlineStr">
        <is>
          <t>DALARNAS LÄN</t>
        </is>
      </c>
      <c r="E313" t="inlineStr">
        <is>
          <t>ÄLVDALEN</t>
        </is>
      </c>
      <c r="G313" t="n">
        <v>2.7</v>
      </c>
      <c r="H313" t="n">
        <v>0</v>
      </c>
      <c r="I313" t="n">
        <v>0</v>
      </c>
      <c r="J313" t="n">
        <v>0</v>
      </c>
      <c r="K313" t="n">
        <v>0</v>
      </c>
      <c r="L313" t="n">
        <v>0</v>
      </c>
      <c r="M313" t="n">
        <v>0</v>
      </c>
      <c r="N313" t="n">
        <v>0</v>
      </c>
      <c r="O313" t="n">
        <v>0</v>
      </c>
      <c r="P313" t="n">
        <v>0</v>
      </c>
      <c r="Q313" t="n">
        <v>0</v>
      </c>
      <c r="R313" s="2" t="inlineStr"/>
    </row>
    <row r="314" ht="15" customHeight="1">
      <c r="A314" t="inlineStr">
        <is>
          <t>A 47645-2024</t>
        </is>
      </c>
      <c r="B314" s="1" t="n">
        <v>45588.37167824074</v>
      </c>
      <c r="C314" s="1" t="n">
        <v>46030</v>
      </c>
      <c r="D314" t="inlineStr">
        <is>
          <t>DALARNAS LÄN</t>
        </is>
      </c>
      <c r="E314" t="inlineStr">
        <is>
          <t>ÄLVDALEN</t>
        </is>
      </c>
      <c r="G314" t="n">
        <v>4.6</v>
      </c>
      <c r="H314" t="n">
        <v>0</v>
      </c>
      <c r="I314" t="n">
        <v>0</v>
      </c>
      <c r="J314" t="n">
        <v>0</v>
      </c>
      <c r="K314" t="n">
        <v>0</v>
      </c>
      <c r="L314" t="n">
        <v>0</v>
      </c>
      <c r="M314" t="n">
        <v>0</v>
      </c>
      <c r="N314" t="n">
        <v>0</v>
      </c>
      <c r="O314" t="n">
        <v>0</v>
      </c>
      <c r="P314" t="n">
        <v>0</v>
      </c>
      <c r="Q314" t="n">
        <v>0</v>
      </c>
      <c r="R314" s="2" t="inlineStr"/>
    </row>
    <row r="315" ht="15" customHeight="1">
      <c r="A315" t="inlineStr">
        <is>
          <t>A 23328-2024</t>
        </is>
      </c>
      <c r="B315" s="1" t="n">
        <v>45453.46716435185</v>
      </c>
      <c r="C315" s="1" t="n">
        <v>46030</v>
      </c>
      <c r="D315" t="inlineStr">
        <is>
          <t>DALARNAS LÄN</t>
        </is>
      </c>
      <c r="E315" t="inlineStr">
        <is>
          <t>ÄLVDALEN</t>
        </is>
      </c>
      <c r="G315" t="n">
        <v>2.7</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46030</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39789-2025</t>
        </is>
      </c>
      <c r="B317" s="1" t="n">
        <v>45891.48471064815</v>
      </c>
      <c r="C317" s="1" t="n">
        <v>46030</v>
      </c>
      <c r="D317" t="inlineStr">
        <is>
          <t>DALARNAS LÄN</t>
        </is>
      </c>
      <c r="E317" t="inlineStr">
        <is>
          <t>ÄLVDALEN</t>
        </is>
      </c>
      <c r="G317" t="n">
        <v>2.2</v>
      </c>
      <c r="H317" t="n">
        <v>0</v>
      </c>
      <c r="I317" t="n">
        <v>0</v>
      </c>
      <c r="J317" t="n">
        <v>0</v>
      </c>
      <c r="K317" t="n">
        <v>0</v>
      </c>
      <c r="L317" t="n">
        <v>0</v>
      </c>
      <c r="M317" t="n">
        <v>0</v>
      </c>
      <c r="N317" t="n">
        <v>0</v>
      </c>
      <c r="O317" t="n">
        <v>0</v>
      </c>
      <c r="P317" t="n">
        <v>0</v>
      </c>
      <c r="Q317" t="n">
        <v>0</v>
      </c>
      <c r="R317" s="2" t="inlineStr"/>
    </row>
    <row r="318" ht="15" customHeight="1">
      <c r="A318" t="inlineStr">
        <is>
          <t>A 28473-2024</t>
        </is>
      </c>
      <c r="B318" s="1" t="n">
        <v>45477.73017361111</v>
      </c>
      <c r="C318" s="1" t="n">
        <v>46030</v>
      </c>
      <c r="D318" t="inlineStr">
        <is>
          <t>DALARNAS LÄN</t>
        </is>
      </c>
      <c r="E318" t="inlineStr">
        <is>
          <t>ÄLVDALEN</t>
        </is>
      </c>
      <c r="G318" t="n">
        <v>5</v>
      </c>
      <c r="H318" t="n">
        <v>0</v>
      </c>
      <c r="I318" t="n">
        <v>0</v>
      </c>
      <c r="J318" t="n">
        <v>0</v>
      </c>
      <c r="K318" t="n">
        <v>0</v>
      </c>
      <c r="L318" t="n">
        <v>0</v>
      </c>
      <c r="M318" t="n">
        <v>0</v>
      </c>
      <c r="N318" t="n">
        <v>0</v>
      </c>
      <c r="O318" t="n">
        <v>0</v>
      </c>
      <c r="P318" t="n">
        <v>0</v>
      </c>
      <c r="Q318" t="n">
        <v>0</v>
      </c>
      <c r="R318" s="2" t="inlineStr"/>
    </row>
    <row r="319" ht="15" customHeight="1">
      <c r="A319" t="inlineStr">
        <is>
          <t>A 28479-2024</t>
        </is>
      </c>
      <c r="B319" s="1" t="n">
        <v>45477.74017361111</v>
      </c>
      <c r="C319" s="1" t="n">
        <v>46030</v>
      </c>
      <c r="D319" t="inlineStr">
        <is>
          <t>DALARNAS LÄN</t>
        </is>
      </c>
      <c r="E319" t="inlineStr">
        <is>
          <t>ÄLVDALEN</t>
        </is>
      </c>
      <c r="G319" t="n">
        <v>4.1</v>
      </c>
      <c r="H319" t="n">
        <v>0</v>
      </c>
      <c r="I319" t="n">
        <v>0</v>
      </c>
      <c r="J319" t="n">
        <v>0</v>
      </c>
      <c r="K319" t="n">
        <v>0</v>
      </c>
      <c r="L319" t="n">
        <v>0</v>
      </c>
      <c r="M319" t="n">
        <v>0</v>
      </c>
      <c r="N319" t="n">
        <v>0</v>
      </c>
      <c r="O319" t="n">
        <v>0</v>
      </c>
      <c r="P319" t="n">
        <v>0</v>
      </c>
      <c r="Q319" t="n">
        <v>0</v>
      </c>
      <c r="R319" s="2" t="inlineStr"/>
    </row>
    <row r="320" ht="15" customHeight="1">
      <c r="A320" t="inlineStr">
        <is>
          <t>A 713-2022</t>
        </is>
      </c>
      <c r="B320" s="1" t="n">
        <v>44568</v>
      </c>
      <c r="C320" s="1" t="n">
        <v>46030</v>
      </c>
      <c r="D320" t="inlineStr">
        <is>
          <t>DALARNAS LÄN</t>
        </is>
      </c>
      <c r="E320" t="inlineStr">
        <is>
          <t>ÄLVDALEN</t>
        </is>
      </c>
      <c r="G320" t="n">
        <v>1.6</v>
      </c>
      <c r="H320" t="n">
        <v>0</v>
      </c>
      <c r="I320" t="n">
        <v>0</v>
      </c>
      <c r="J320" t="n">
        <v>0</v>
      </c>
      <c r="K320" t="n">
        <v>0</v>
      </c>
      <c r="L320" t="n">
        <v>0</v>
      </c>
      <c r="M320" t="n">
        <v>0</v>
      </c>
      <c r="N320" t="n">
        <v>0</v>
      </c>
      <c r="O320" t="n">
        <v>0</v>
      </c>
      <c r="P320" t="n">
        <v>0</v>
      </c>
      <c r="Q320" t="n">
        <v>0</v>
      </c>
      <c r="R320" s="2" t="inlineStr"/>
    </row>
    <row r="321" ht="15" customHeight="1">
      <c r="A321" t="inlineStr">
        <is>
          <t>A 39755-2025</t>
        </is>
      </c>
      <c r="B321" s="1" t="n">
        <v>45891</v>
      </c>
      <c r="C321" s="1" t="n">
        <v>46030</v>
      </c>
      <c r="D321" t="inlineStr">
        <is>
          <t>DALARNAS LÄN</t>
        </is>
      </c>
      <c r="E321" t="inlineStr">
        <is>
          <t>ÄLVDALEN</t>
        </is>
      </c>
      <c r="G321" t="n">
        <v>1.2</v>
      </c>
      <c r="H321" t="n">
        <v>0</v>
      </c>
      <c r="I321" t="n">
        <v>0</v>
      </c>
      <c r="J321" t="n">
        <v>0</v>
      </c>
      <c r="K321" t="n">
        <v>0</v>
      </c>
      <c r="L321" t="n">
        <v>0</v>
      </c>
      <c r="M321" t="n">
        <v>0</v>
      </c>
      <c r="N321" t="n">
        <v>0</v>
      </c>
      <c r="O321" t="n">
        <v>0</v>
      </c>
      <c r="P321" t="n">
        <v>0</v>
      </c>
      <c r="Q321" t="n">
        <v>0</v>
      </c>
      <c r="R321" s="2" t="inlineStr"/>
    </row>
    <row r="322" ht="15" customHeight="1">
      <c r="A322" t="inlineStr">
        <is>
          <t>A 40081-2025</t>
        </is>
      </c>
      <c r="B322" s="1" t="n">
        <v>45894.46609953704</v>
      </c>
      <c r="C322" s="1" t="n">
        <v>46030</v>
      </c>
      <c r="D322" t="inlineStr">
        <is>
          <t>DALARNAS LÄN</t>
        </is>
      </c>
      <c r="E322" t="inlineStr">
        <is>
          <t>ÄLVDALEN</t>
        </is>
      </c>
      <c r="F322" t="inlineStr">
        <is>
          <t>Övriga statliga verk och myndigheter</t>
        </is>
      </c>
      <c r="G322" t="n">
        <v>1.4</v>
      </c>
      <c r="H322" t="n">
        <v>0</v>
      </c>
      <c r="I322" t="n">
        <v>0</v>
      </c>
      <c r="J322" t="n">
        <v>0</v>
      </c>
      <c r="K322" t="n">
        <v>0</v>
      </c>
      <c r="L322" t="n">
        <v>0</v>
      </c>
      <c r="M322" t="n">
        <v>0</v>
      </c>
      <c r="N322" t="n">
        <v>0</v>
      </c>
      <c r="O322" t="n">
        <v>0</v>
      </c>
      <c r="P322" t="n">
        <v>0</v>
      </c>
      <c r="Q322" t="n">
        <v>0</v>
      </c>
      <c r="R322" s="2" t="inlineStr"/>
    </row>
    <row r="323" ht="15" customHeight="1">
      <c r="A323" t="inlineStr">
        <is>
          <t>A 49203-2023</t>
        </is>
      </c>
      <c r="B323" s="1" t="n">
        <v>45210</v>
      </c>
      <c r="C323" s="1" t="n">
        <v>46030</v>
      </c>
      <c r="D323" t="inlineStr">
        <is>
          <t>DALARNAS LÄN</t>
        </is>
      </c>
      <c r="E323" t="inlineStr">
        <is>
          <t>ÄLVDALEN</t>
        </is>
      </c>
      <c r="F323" t="inlineStr">
        <is>
          <t>Bergvik skog väst AB</t>
        </is>
      </c>
      <c r="G323" t="n">
        <v>18.2</v>
      </c>
      <c r="H323" t="n">
        <v>0</v>
      </c>
      <c r="I323" t="n">
        <v>0</v>
      </c>
      <c r="J323" t="n">
        <v>0</v>
      </c>
      <c r="K323" t="n">
        <v>0</v>
      </c>
      <c r="L323" t="n">
        <v>0</v>
      </c>
      <c r="M323" t="n">
        <v>0</v>
      </c>
      <c r="N323" t="n">
        <v>0</v>
      </c>
      <c r="O323" t="n">
        <v>0</v>
      </c>
      <c r="P323" t="n">
        <v>0</v>
      </c>
      <c r="Q323" t="n">
        <v>0</v>
      </c>
      <c r="R323" s="2" t="inlineStr"/>
    </row>
    <row r="324" ht="15" customHeight="1">
      <c r="A324" t="inlineStr">
        <is>
          <t>A 40954-2025</t>
        </is>
      </c>
      <c r="B324" s="1" t="n">
        <v>45897.67196759259</v>
      </c>
      <c r="C324" s="1" t="n">
        <v>46030</v>
      </c>
      <c r="D324" t="inlineStr">
        <is>
          <t>DALARNAS LÄN</t>
        </is>
      </c>
      <c r="E324" t="inlineStr">
        <is>
          <t>ÄLVDALEN</t>
        </is>
      </c>
      <c r="G324" t="n">
        <v>2.9</v>
      </c>
      <c r="H324" t="n">
        <v>0</v>
      </c>
      <c r="I324" t="n">
        <v>0</v>
      </c>
      <c r="J324" t="n">
        <v>0</v>
      </c>
      <c r="K324" t="n">
        <v>0</v>
      </c>
      <c r="L324" t="n">
        <v>0</v>
      </c>
      <c r="M324" t="n">
        <v>0</v>
      </c>
      <c r="N324" t="n">
        <v>0</v>
      </c>
      <c r="O324" t="n">
        <v>0</v>
      </c>
      <c r="P324" t="n">
        <v>0</v>
      </c>
      <c r="Q324" t="n">
        <v>0</v>
      </c>
      <c r="R324" s="2" t="inlineStr"/>
    </row>
    <row r="325" ht="15" customHeight="1">
      <c r="A325" t="inlineStr">
        <is>
          <t>A 59444-2024</t>
        </is>
      </c>
      <c r="B325" s="1" t="n">
        <v>45638.45292824074</v>
      </c>
      <c r="C325" s="1" t="n">
        <v>46030</v>
      </c>
      <c r="D325" t="inlineStr">
        <is>
          <t>DALARNAS LÄN</t>
        </is>
      </c>
      <c r="E325" t="inlineStr">
        <is>
          <t>ÄLVDALEN</t>
        </is>
      </c>
      <c r="G325" t="n">
        <v>3.9</v>
      </c>
      <c r="H325" t="n">
        <v>0</v>
      </c>
      <c r="I325" t="n">
        <v>0</v>
      </c>
      <c r="J325" t="n">
        <v>0</v>
      </c>
      <c r="K325" t="n">
        <v>0</v>
      </c>
      <c r="L325" t="n">
        <v>0</v>
      </c>
      <c r="M325" t="n">
        <v>0</v>
      </c>
      <c r="N325" t="n">
        <v>0</v>
      </c>
      <c r="O325" t="n">
        <v>0</v>
      </c>
      <c r="P325" t="n">
        <v>0</v>
      </c>
      <c r="Q325" t="n">
        <v>0</v>
      </c>
      <c r="R325" s="2" t="inlineStr"/>
    </row>
    <row r="326" ht="15" customHeight="1">
      <c r="A326" t="inlineStr">
        <is>
          <t>A 48552-2024</t>
        </is>
      </c>
      <c r="B326" s="1" t="n">
        <v>45593.37266203704</v>
      </c>
      <c r="C326" s="1" t="n">
        <v>46030</v>
      </c>
      <c r="D326" t="inlineStr">
        <is>
          <t>DALARNAS LÄN</t>
        </is>
      </c>
      <c r="E326" t="inlineStr">
        <is>
          <t>ÄLVDALEN</t>
        </is>
      </c>
      <c r="G326" t="n">
        <v>4.1</v>
      </c>
      <c r="H326" t="n">
        <v>0</v>
      </c>
      <c r="I326" t="n">
        <v>0</v>
      </c>
      <c r="J326" t="n">
        <v>0</v>
      </c>
      <c r="K326" t="n">
        <v>0</v>
      </c>
      <c r="L326" t="n">
        <v>0</v>
      </c>
      <c r="M326" t="n">
        <v>0</v>
      </c>
      <c r="N326" t="n">
        <v>0</v>
      </c>
      <c r="O326" t="n">
        <v>0</v>
      </c>
      <c r="P326" t="n">
        <v>0</v>
      </c>
      <c r="Q326" t="n">
        <v>0</v>
      </c>
      <c r="R326" s="2" t="inlineStr"/>
    </row>
    <row r="327" ht="15" customHeight="1">
      <c r="A327" t="inlineStr">
        <is>
          <t>A 24950-2025</t>
        </is>
      </c>
      <c r="B327" s="1" t="n">
        <v>45799.56943287037</v>
      </c>
      <c r="C327" s="1" t="n">
        <v>46030</v>
      </c>
      <c r="D327" t="inlineStr">
        <is>
          <t>DALARNAS LÄN</t>
        </is>
      </c>
      <c r="E327" t="inlineStr">
        <is>
          <t>ÄLVDALEN</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24637-2025</t>
        </is>
      </c>
      <c r="B328" s="1" t="n">
        <v>45798.616875</v>
      </c>
      <c r="C328" s="1" t="n">
        <v>46030</v>
      </c>
      <c r="D328" t="inlineStr">
        <is>
          <t>DALARNAS LÄN</t>
        </is>
      </c>
      <c r="E328" t="inlineStr">
        <is>
          <t>ÄLVDALEN</t>
        </is>
      </c>
      <c r="G328" t="n">
        <v>0.5</v>
      </c>
      <c r="H328" t="n">
        <v>0</v>
      </c>
      <c r="I328" t="n">
        <v>0</v>
      </c>
      <c r="J328" t="n">
        <v>0</v>
      </c>
      <c r="K328" t="n">
        <v>0</v>
      </c>
      <c r="L328" t="n">
        <v>0</v>
      </c>
      <c r="M328" t="n">
        <v>0</v>
      </c>
      <c r="N328" t="n">
        <v>0</v>
      </c>
      <c r="O328" t="n">
        <v>0</v>
      </c>
      <c r="P328" t="n">
        <v>0</v>
      </c>
      <c r="Q328" t="n">
        <v>0</v>
      </c>
      <c r="R328" s="2" t="inlineStr"/>
    </row>
    <row r="329" ht="15" customHeight="1">
      <c r="A329" t="inlineStr">
        <is>
          <t>A 30147-2024</t>
        </is>
      </c>
      <c r="B329" s="1" t="n">
        <v>45488</v>
      </c>
      <c r="C329" s="1" t="n">
        <v>46030</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41566-2025</t>
        </is>
      </c>
      <c r="B330" s="1" t="n">
        <v>45901.6049537037</v>
      </c>
      <c r="C330" s="1" t="n">
        <v>46030</v>
      </c>
      <c r="D330" t="inlineStr">
        <is>
          <t>DALARNAS LÄN</t>
        </is>
      </c>
      <c r="E330" t="inlineStr">
        <is>
          <t>ÄLVDALEN</t>
        </is>
      </c>
      <c r="G330" t="n">
        <v>2.6</v>
      </c>
      <c r="H330" t="n">
        <v>0</v>
      </c>
      <c r="I330" t="n">
        <v>0</v>
      </c>
      <c r="J330" t="n">
        <v>0</v>
      </c>
      <c r="K330" t="n">
        <v>0</v>
      </c>
      <c r="L330" t="n">
        <v>0</v>
      </c>
      <c r="M330" t="n">
        <v>0</v>
      </c>
      <c r="N330" t="n">
        <v>0</v>
      </c>
      <c r="O330" t="n">
        <v>0</v>
      </c>
      <c r="P330" t="n">
        <v>0</v>
      </c>
      <c r="Q330" t="n">
        <v>0</v>
      </c>
      <c r="R330" s="2" t="inlineStr"/>
    </row>
    <row r="331" ht="15" customHeight="1">
      <c r="A331" t="inlineStr">
        <is>
          <t>A 41571-2025</t>
        </is>
      </c>
      <c r="B331" s="1" t="n">
        <v>45901.61150462963</v>
      </c>
      <c r="C331" s="1" t="n">
        <v>46030</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25086-2025</t>
        </is>
      </c>
      <c r="B332" s="1" t="n">
        <v>45800</v>
      </c>
      <c r="C332" s="1" t="n">
        <v>46030</v>
      </c>
      <c r="D332" t="inlineStr">
        <is>
          <t>DALARNAS LÄN</t>
        </is>
      </c>
      <c r="E332" t="inlineStr">
        <is>
          <t>ÄLVDALEN</t>
        </is>
      </c>
      <c r="F332" t="inlineStr">
        <is>
          <t>Sveaskog</t>
        </is>
      </c>
      <c r="G332" t="n">
        <v>10.7</v>
      </c>
      <c r="H332" t="n">
        <v>0</v>
      </c>
      <c r="I332" t="n">
        <v>0</v>
      </c>
      <c r="J332" t="n">
        <v>0</v>
      </c>
      <c r="K332" t="n">
        <v>0</v>
      </c>
      <c r="L332" t="n">
        <v>0</v>
      </c>
      <c r="M332" t="n">
        <v>0</v>
      </c>
      <c r="N332" t="n">
        <v>0</v>
      </c>
      <c r="O332" t="n">
        <v>0</v>
      </c>
      <c r="P332" t="n">
        <v>0</v>
      </c>
      <c r="Q332" t="n">
        <v>0</v>
      </c>
      <c r="R332" s="2" t="inlineStr"/>
    </row>
    <row r="333" ht="15" customHeight="1">
      <c r="A333" t="inlineStr">
        <is>
          <t>A 41115-2025</t>
        </is>
      </c>
      <c r="B333" s="1" t="n">
        <v>45898.46256944445</v>
      </c>
      <c r="C333" s="1" t="n">
        <v>46030</v>
      </c>
      <c r="D333" t="inlineStr">
        <is>
          <t>DALARNAS LÄN</t>
        </is>
      </c>
      <c r="E333" t="inlineStr">
        <is>
          <t>ÄLVDALEN</t>
        </is>
      </c>
      <c r="G333" t="n">
        <v>1.7</v>
      </c>
      <c r="H333" t="n">
        <v>0</v>
      </c>
      <c r="I333" t="n">
        <v>0</v>
      </c>
      <c r="J333" t="n">
        <v>0</v>
      </c>
      <c r="K333" t="n">
        <v>0</v>
      </c>
      <c r="L333" t="n">
        <v>0</v>
      </c>
      <c r="M333" t="n">
        <v>0</v>
      </c>
      <c r="N333" t="n">
        <v>0</v>
      </c>
      <c r="O333" t="n">
        <v>0</v>
      </c>
      <c r="P333" t="n">
        <v>0</v>
      </c>
      <c r="Q333" t="n">
        <v>0</v>
      </c>
      <c r="R333" s="2" t="inlineStr"/>
    </row>
    <row r="334" ht="15" customHeight="1">
      <c r="A334" t="inlineStr">
        <is>
          <t>A 46559-2023</t>
        </is>
      </c>
      <c r="B334" s="1" t="n">
        <v>45187</v>
      </c>
      <c r="C334" s="1" t="n">
        <v>46030</v>
      </c>
      <c r="D334" t="inlineStr">
        <is>
          <t>DALARNAS LÄN</t>
        </is>
      </c>
      <c r="E334" t="inlineStr">
        <is>
          <t>ÄLVDALEN</t>
        </is>
      </c>
      <c r="G334" t="n">
        <v>9.6</v>
      </c>
      <c r="H334" t="n">
        <v>0</v>
      </c>
      <c r="I334" t="n">
        <v>0</v>
      </c>
      <c r="J334" t="n">
        <v>0</v>
      </c>
      <c r="K334" t="n">
        <v>0</v>
      </c>
      <c r="L334" t="n">
        <v>0</v>
      </c>
      <c r="M334" t="n">
        <v>0</v>
      </c>
      <c r="N334" t="n">
        <v>0</v>
      </c>
      <c r="O334" t="n">
        <v>0</v>
      </c>
      <c r="P334" t="n">
        <v>0</v>
      </c>
      <c r="Q334" t="n">
        <v>0</v>
      </c>
      <c r="R334" s="2" t="inlineStr"/>
    </row>
    <row r="335" ht="15" customHeight="1">
      <c r="A335" t="inlineStr">
        <is>
          <t>A 19553-2025</t>
        </is>
      </c>
      <c r="B335" s="1" t="n">
        <v>45770</v>
      </c>
      <c r="C335" s="1" t="n">
        <v>46030</v>
      </c>
      <c r="D335" t="inlineStr">
        <is>
          <t>DALARNAS LÄN</t>
        </is>
      </c>
      <c r="E335" t="inlineStr">
        <is>
          <t>ÄLVDALEN</t>
        </is>
      </c>
      <c r="F335" t="inlineStr">
        <is>
          <t>Sveaskog</t>
        </is>
      </c>
      <c r="G335" t="n">
        <v>25.2</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46030</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26285-2025</t>
        </is>
      </c>
      <c r="B337" s="1" t="n">
        <v>45805.61885416666</v>
      </c>
      <c r="C337" s="1" t="n">
        <v>46030</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47087-2024</t>
        </is>
      </c>
      <c r="B338" s="1" t="n">
        <v>45586.50946759259</v>
      </c>
      <c r="C338" s="1" t="n">
        <v>46030</v>
      </c>
      <c r="D338" t="inlineStr">
        <is>
          <t>DALARNAS LÄN</t>
        </is>
      </c>
      <c r="E338" t="inlineStr">
        <is>
          <t>ÄLVDALEN</t>
        </is>
      </c>
      <c r="G338" t="n">
        <v>2.6</v>
      </c>
      <c r="H338" t="n">
        <v>0</v>
      </c>
      <c r="I338" t="n">
        <v>0</v>
      </c>
      <c r="J338" t="n">
        <v>0</v>
      </c>
      <c r="K338" t="n">
        <v>0</v>
      </c>
      <c r="L338" t="n">
        <v>0</v>
      </c>
      <c r="M338" t="n">
        <v>0</v>
      </c>
      <c r="N338" t="n">
        <v>0</v>
      </c>
      <c r="O338" t="n">
        <v>0</v>
      </c>
      <c r="P338" t="n">
        <v>0</v>
      </c>
      <c r="Q338" t="n">
        <v>0</v>
      </c>
      <c r="R338" s="2" t="inlineStr"/>
    </row>
    <row r="339" ht="15" customHeight="1">
      <c r="A339" t="inlineStr">
        <is>
          <t>A 38277-2024</t>
        </is>
      </c>
      <c r="B339" s="1" t="n">
        <v>45545.61171296296</v>
      </c>
      <c r="C339" s="1" t="n">
        <v>46030</v>
      </c>
      <c r="D339" t="inlineStr">
        <is>
          <t>DALARNAS LÄN</t>
        </is>
      </c>
      <c r="E339" t="inlineStr">
        <is>
          <t>ÄLVDALEN</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50037-2022</t>
        </is>
      </c>
      <c r="B340" s="1" t="n">
        <v>44865.46136574074</v>
      </c>
      <c r="C340" s="1" t="n">
        <v>46030</v>
      </c>
      <c r="D340" t="inlineStr">
        <is>
          <t>DALARNAS LÄN</t>
        </is>
      </c>
      <c r="E340" t="inlineStr">
        <is>
          <t>ÄLVDALEN</t>
        </is>
      </c>
      <c r="F340" t="inlineStr">
        <is>
          <t>Allmännings- och besparingsskogar</t>
        </is>
      </c>
      <c r="G340" t="n">
        <v>5.8</v>
      </c>
      <c r="H340" t="n">
        <v>0</v>
      </c>
      <c r="I340" t="n">
        <v>0</v>
      </c>
      <c r="J340" t="n">
        <v>0</v>
      </c>
      <c r="K340" t="n">
        <v>0</v>
      </c>
      <c r="L340" t="n">
        <v>0</v>
      </c>
      <c r="M340" t="n">
        <v>0</v>
      </c>
      <c r="N340" t="n">
        <v>0</v>
      </c>
      <c r="O340" t="n">
        <v>0</v>
      </c>
      <c r="P340" t="n">
        <v>0</v>
      </c>
      <c r="Q340" t="n">
        <v>0</v>
      </c>
      <c r="R340" s="2" t="inlineStr"/>
    </row>
    <row r="341" ht="15" customHeight="1">
      <c r="A341" t="inlineStr">
        <is>
          <t>A 5883-2024</t>
        </is>
      </c>
      <c r="B341" s="1" t="n">
        <v>45335.69585648148</v>
      </c>
      <c r="C341" s="1" t="n">
        <v>46030</v>
      </c>
      <c r="D341" t="inlineStr">
        <is>
          <t>DALARNAS LÄN</t>
        </is>
      </c>
      <c r="E341" t="inlineStr">
        <is>
          <t>ÄLVDALEN</t>
        </is>
      </c>
      <c r="G341" t="n">
        <v>12</v>
      </c>
      <c r="H341" t="n">
        <v>0</v>
      </c>
      <c r="I341" t="n">
        <v>0</v>
      </c>
      <c r="J341" t="n">
        <v>0</v>
      </c>
      <c r="K341" t="n">
        <v>0</v>
      </c>
      <c r="L341" t="n">
        <v>0</v>
      </c>
      <c r="M341" t="n">
        <v>0</v>
      </c>
      <c r="N341" t="n">
        <v>0</v>
      </c>
      <c r="O341" t="n">
        <v>0</v>
      </c>
      <c r="P341" t="n">
        <v>0</v>
      </c>
      <c r="Q341" t="n">
        <v>0</v>
      </c>
      <c r="R341" s="2" t="inlineStr"/>
    </row>
    <row r="342" ht="15" customHeight="1">
      <c r="A342" t="inlineStr">
        <is>
          <t>A 25879-2025</t>
        </is>
      </c>
      <c r="B342" s="1" t="n">
        <v>45804.49605324074</v>
      </c>
      <c r="C342" s="1" t="n">
        <v>46030</v>
      </c>
      <c r="D342" t="inlineStr">
        <is>
          <t>DALARNAS LÄN</t>
        </is>
      </c>
      <c r="E342" t="inlineStr">
        <is>
          <t>ÄLVDALEN</t>
        </is>
      </c>
      <c r="F342" t="inlineStr">
        <is>
          <t>Allmännings- och besparingsskogar</t>
        </is>
      </c>
      <c r="G342" t="n">
        <v>0.2</v>
      </c>
      <c r="H342" t="n">
        <v>0</v>
      </c>
      <c r="I342" t="n">
        <v>0</v>
      </c>
      <c r="J342" t="n">
        <v>0</v>
      </c>
      <c r="K342" t="n">
        <v>0</v>
      </c>
      <c r="L342" t="n">
        <v>0</v>
      </c>
      <c r="M342" t="n">
        <v>0</v>
      </c>
      <c r="N342" t="n">
        <v>0</v>
      </c>
      <c r="O342" t="n">
        <v>0</v>
      </c>
      <c r="P342" t="n">
        <v>0</v>
      </c>
      <c r="Q342" t="n">
        <v>0</v>
      </c>
      <c r="R342" s="2" t="inlineStr"/>
    </row>
    <row r="343" ht="15" customHeight="1">
      <c r="A343" t="inlineStr">
        <is>
          <t>A 25823-2025</t>
        </is>
      </c>
      <c r="B343" s="1" t="n">
        <v>45804.4396412037</v>
      </c>
      <c r="C343" s="1" t="n">
        <v>46030</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26704-2025</t>
        </is>
      </c>
      <c r="B344" s="1" t="n">
        <v>45810.45271990741</v>
      </c>
      <c r="C344" s="1" t="n">
        <v>46030</v>
      </c>
      <c r="D344" t="inlineStr">
        <is>
          <t>DALARNAS LÄN</t>
        </is>
      </c>
      <c r="E344" t="inlineStr">
        <is>
          <t>ÄLVDALEN</t>
        </is>
      </c>
      <c r="F344" t="inlineStr">
        <is>
          <t>Bergvik skog väst AB</t>
        </is>
      </c>
      <c r="G344" t="n">
        <v>32.3</v>
      </c>
      <c r="H344" t="n">
        <v>0</v>
      </c>
      <c r="I344" t="n">
        <v>0</v>
      </c>
      <c r="J344" t="n">
        <v>0</v>
      </c>
      <c r="K344" t="n">
        <v>0</v>
      </c>
      <c r="L344" t="n">
        <v>0</v>
      </c>
      <c r="M344" t="n">
        <v>0</v>
      </c>
      <c r="N344" t="n">
        <v>0</v>
      </c>
      <c r="O344" t="n">
        <v>0</v>
      </c>
      <c r="P344" t="n">
        <v>0</v>
      </c>
      <c r="Q344" t="n">
        <v>0</v>
      </c>
      <c r="R344" s="2" t="inlineStr"/>
    </row>
    <row r="345" ht="15" customHeight="1">
      <c r="A345" t="inlineStr">
        <is>
          <t>A 59177-2023</t>
        </is>
      </c>
      <c r="B345" s="1" t="n">
        <v>45253</v>
      </c>
      <c r="C345" s="1" t="n">
        <v>46030</v>
      </c>
      <c r="D345" t="inlineStr">
        <is>
          <t>DALARNAS LÄN</t>
        </is>
      </c>
      <c r="E345" t="inlineStr">
        <is>
          <t>ÄLVDALEN</t>
        </is>
      </c>
      <c r="G345" t="n">
        <v>0.6</v>
      </c>
      <c r="H345" t="n">
        <v>0</v>
      </c>
      <c r="I345" t="n">
        <v>0</v>
      </c>
      <c r="J345" t="n">
        <v>0</v>
      </c>
      <c r="K345" t="n">
        <v>0</v>
      </c>
      <c r="L345" t="n">
        <v>0</v>
      </c>
      <c r="M345" t="n">
        <v>0</v>
      </c>
      <c r="N345" t="n">
        <v>0</v>
      </c>
      <c r="O345" t="n">
        <v>0</v>
      </c>
      <c r="P345" t="n">
        <v>0</v>
      </c>
      <c r="Q345" t="n">
        <v>0</v>
      </c>
      <c r="R345" s="2" t="inlineStr"/>
    </row>
    <row r="346" ht="15" customHeight="1">
      <c r="A346" t="inlineStr">
        <is>
          <t>A 35161-2023</t>
        </is>
      </c>
      <c r="B346" s="1" t="n">
        <v>45145.57525462963</v>
      </c>
      <c r="C346" s="1" t="n">
        <v>46030</v>
      </c>
      <c r="D346" t="inlineStr">
        <is>
          <t>DALARNAS LÄN</t>
        </is>
      </c>
      <c r="E346" t="inlineStr">
        <is>
          <t>ÄLVDALEN</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2546-2025</t>
        </is>
      </c>
      <c r="B347" s="1" t="n">
        <v>45674.62240740741</v>
      </c>
      <c r="C347" s="1" t="n">
        <v>46030</v>
      </c>
      <c r="D347" t="inlineStr">
        <is>
          <t>DALARNAS LÄN</t>
        </is>
      </c>
      <c r="E347" t="inlineStr">
        <is>
          <t>ÄLVDALEN</t>
        </is>
      </c>
      <c r="G347" t="n">
        <v>2</v>
      </c>
      <c r="H347" t="n">
        <v>0</v>
      </c>
      <c r="I347" t="n">
        <v>0</v>
      </c>
      <c r="J347" t="n">
        <v>0</v>
      </c>
      <c r="K347" t="n">
        <v>0</v>
      </c>
      <c r="L347" t="n">
        <v>0</v>
      </c>
      <c r="M347" t="n">
        <v>0</v>
      </c>
      <c r="N347" t="n">
        <v>0</v>
      </c>
      <c r="O347" t="n">
        <v>0</v>
      </c>
      <c r="P347" t="n">
        <v>0</v>
      </c>
      <c r="Q347" t="n">
        <v>0</v>
      </c>
      <c r="R347" s="2" t="inlineStr"/>
    </row>
    <row r="348" ht="15" customHeight="1">
      <c r="A348" t="inlineStr">
        <is>
          <t>A 29710-2022</t>
        </is>
      </c>
      <c r="B348" s="1" t="n">
        <v>44755</v>
      </c>
      <c r="C348" s="1" t="n">
        <v>46030</v>
      </c>
      <c r="D348" t="inlineStr">
        <is>
          <t>DALARNAS LÄN</t>
        </is>
      </c>
      <c r="E348" t="inlineStr">
        <is>
          <t>ÄLVDALEN</t>
        </is>
      </c>
      <c r="F348" t="inlineStr">
        <is>
          <t>Sveaskog</t>
        </is>
      </c>
      <c r="G348" t="n">
        <v>9.1</v>
      </c>
      <c r="H348" t="n">
        <v>0</v>
      </c>
      <c r="I348" t="n">
        <v>0</v>
      </c>
      <c r="J348" t="n">
        <v>0</v>
      </c>
      <c r="K348" t="n">
        <v>0</v>
      </c>
      <c r="L348" t="n">
        <v>0</v>
      </c>
      <c r="M348" t="n">
        <v>0</v>
      </c>
      <c r="N348" t="n">
        <v>0</v>
      </c>
      <c r="O348" t="n">
        <v>0</v>
      </c>
      <c r="P348" t="n">
        <v>0</v>
      </c>
      <c r="Q348" t="n">
        <v>0</v>
      </c>
      <c r="R348" s="2" t="inlineStr"/>
    </row>
    <row r="349" ht="15" customHeight="1">
      <c r="A349" t="inlineStr">
        <is>
          <t>A 43903-2024</t>
        </is>
      </c>
      <c r="B349" s="1" t="n">
        <v>45572</v>
      </c>
      <c r="C349" s="1" t="n">
        <v>46030</v>
      </c>
      <c r="D349" t="inlineStr">
        <is>
          <t>DALARNAS LÄN</t>
        </is>
      </c>
      <c r="E349" t="inlineStr">
        <is>
          <t>ÄLVDALEN</t>
        </is>
      </c>
      <c r="F349" t="inlineStr">
        <is>
          <t>Bergvik skog väst AB</t>
        </is>
      </c>
      <c r="G349" t="n">
        <v>0.7</v>
      </c>
      <c r="H349" t="n">
        <v>0</v>
      </c>
      <c r="I349" t="n">
        <v>0</v>
      </c>
      <c r="J349" t="n">
        <v>0</v>
      </c>
      <c r="K349" t="n">
        <v>0</v>
      </c>
      <c r="L349" t="n">
        <v>0</v>
      </c>
      <c r="M349" t="n">
        <v>0</v>
      </c>
      <c r="N349" t="n">
        <v>0</v>
      </c>
      <c r="O349" t="n">
        <v>0</v>
      </c>
      <c r="P349" t="n">
        <v>0</v>
      </c>
      <c r="Q349" t="n">
        <v>0</v>
      </c>
      <c r="R349" s="2" t="inlineStr"/>
    </row>
    <row r="350" ht="15" customHeight="1">
      <c r="A350" t="inlineStr">
        <is>
          <t>A 47525-2024</t>
        </is>
      </c>
      <c r="B350" s="1" t="n">
        <v>45587.6328587963</v>
      </c>
      <c r="C350" s="1" t="n">
        <v>46030</v>
      </c>
      <c r="D350" t="inlineStr">
        <is>
          <t>DALARNAS LÄN</t>
        </is>
      </c>
      <c r="E350" t="inlineStr">
        <is>
          <t>ÄLVDALEN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27090-2025</t>
        </is>
      </c>
      <c r="B351" s="1" t="n">
        <v>45811.66903935185</v>
      </c>
      <c r="C351" s="1" t="n">
        <v>46030</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5583-2025</t>
        </is>
      </c>
      <c r="B352" s="1" t="n">
        <v>45693.55244212963</v>
      </c>
      <c r="C352" s="1" t="n">
        <v>46030</v>
      </c>
      <c r="D352" t="inlineStr">
        <is>
          <t>DALARNAS LÄN</t>
        </is>
      </c>
      <c r="E352" t="inlineStr">
        <is>
          <t>ÄLVDALEN</t>
        </is>
      </c>
      <c r="G352" t="n">
        <v>0.9</v>
      </c>
      <c r="H352" t="n">
        <v>0</v>
      </c>
      <c r="I352" t="n">
        <v>0</v>
      </c>
      <c r="J352" t="n">
        <v>0</v>
      </c>
      <c r="K352" t="n">
        <v>0</v>
      </c>
      <c r="L352" t="n">
        <v>0</v>
      </c>
      <c r="M352" t="n">
        <v>0</v>
      </c>
      <c r="N352" t="n">
        <v>0</v>
      </c>
      <c r="O352" t="n">
        <v>0</v>
      </c>
      <c r="P352" t="n">
        <v>0</v>
      </c>
      <c r="Q352" t="n">
        <v>0</v>
      </c>
      <c r="R352" s="2" t="inlineStr"/>
    </row>
    <row r="353" ht="15" customHeight="1">
      <c r="A353" t="inlineStr">
        <is>
          <t>A 43602-2025</t>
        </is>
      </c>
      <c r="B353" s="1" t="n">
        <v>45911.66576388889</v>
      </c>
      <c r="C353" s="1" t="n">
        <v>46030</v>
      </c>
      <c r="D353" t="inlineStr">
        <is>
          <t>DALARNAS LÄN</t>
        </is>
      </c>
      <c r="E353" t="inlineStr">
        <is>
          <t>ÄLVDALEN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27230-2025</t>
        </is>
      </c>
      <c r="B354" s="1" t="n">
        <v>45812.43825231482</v>
      </c>
      <c r="C354" s="1" t="n">
        <v>46030</v>
      </c>
      <c r="D354" t="inlineStr">
        <is>
          <t>DALARNAS LÄN</t>
        </is>
      </c>
      <c r="E354" t="inlineStr">
        <is>
          <t>ÄLVDALEN</t>
        </is>
      </c>
      <c r="F354" t="inlineStr">
        <is>
          <t>Allmännings- och besparingsskogar</t>
        </is>
      </c>
      <c r="G354" t="n">
        <v>4</v>
      </c>
      <c r="H354" t="n">
        <v>0</v>
      </c>
      <c r="I354" t="n">
        <v>0</v>
      </c>
      <c r="J354" t="n">
        <v>0</v>
      </c>
      <c r="K354" t="n">
        <v>0</v>
      </c>
      <c r="L354" t="n">
        <v>0</v>
      </c>
      <c r="M354" t="n">
        <v>0</v>
      </c>
      <c r="N354" t="n">
        <v>0</v>
      </c>
      <c r="O354" t="n">
        <v>0</v>
      </c>
      <c r="P354" t="n">
        <v>0</v>
      </c>
      <c r="Q354" t="n">
        <v>0</v>
      </c>
      <c r="R354" s="2" t="inlineStr"/>
    </row>
    <row r="355" ht="15" customHeight="1">
      <c r="A355" t="inlineStr">
        <is>
          <t>A 27261-2025</t>
        </is>
      </c>
      <c r="B355" s="1" t="n">
        <v>45812.47674768518</v>
      </c>
      <c r="C355" s="1" t="n">
        <v>46030</v>
      </c>
      <c r="D355" t="inlineStr">
        <is>
          <t>DALARNAS LÄN</t>
        </is>
      </c>
      <c r="E355" t="inlineStr">
        <is>
          <t>ÄLVDALEN</t>
        </is>
      </c>
      <c r="F355" t="inlineStr">
        <is>
          <t>Bergvik skog väst AB</t>
        </is>
      </c>
      <c r="G355" t="n">
        <v>9.5</v>
      </c>
      <c r="H355" t="n">
        <v>0</v>
      </c>
      <c r="I355" t="n">
        <v>0</v>
      </c>
      <c r="J355" t="n">
        <v>0</v>
      </c>
      <c r="K355" t="n">
        <v>0</v>
      </c>
      <c r="L355" t="n">
        <v>0</v>
      </c>
      <c r="M355" t="n">
        <v>0</v>
      </c>
      <c r="N355" t="n">
        <v>0</v>
      </c>
      <c r="O355" t="n">
        <v>0</v>
      </c>
      <c r="P355" t="n">
        <v>0</v>
      </c>
      <c r="Q355" t="n">
        <v>0</v>
      </c>
      <c r="R355" s="2" t="inlineStr"/>
    </row>
    <row r="356" ht="15" customHeight="1">
      <c r="A356" t="inlineStr">
        <is>
          <t>A 43581-2025</t>
        </is>
      </c>
      <c r="B356" s="1" t="n">
        <v>45911.64846064815</v>
      </c>
      <c r="C356" s="1" t="n">
        <v>46030</v>
      </c>
      <c r="D356" t="inlineStr">
        <is>
          <t>DALARNAS LÄN</t>
        </is>
      </c>
      <c r="E356" t="inlineStr">
        <is>
          <t>ÄLVDALEN</t>
        </is>
      </c>
      <c r="G356" t="n">
        <v>1.7</v>
      </c>
      <c r="H356" t="n">
        <v>0</v>
      </c>
      <c r="I356" t="n">
        <v>0</v>
      </c>
      <c r="J356" t="n">
        <v>0</v>
      </c>
      <c r="K356" t="n">
        <v>0</v>
      </c>
      <c r="L356" t="n">
        <v>0</v>
      </c>
      <c r="M356" t="n">
        <v>0</v>
      </c>
      <c r="N356" t="n">
        <v>0</v>
      </c>
      <c r="O356" t="n">
        <v>0</v>
      </c>
      <c r="P356" t="n">
        <v>0</v>
      </c>
      <c r="Q356" t="n">
        <v>0</v>
      </c>
      <c r="R356" s="2" t="inlineStr"/>
    </row>
    <row r="357" ht="15" customHeight="1">
      <c r="A357" t="inlineStr">
        <is>
          <t>A 43514-2025</t>
        </is>
      </c>
      <c r="B357" s="1" t="n">
        <v>45911.56475694444</v>
      </c>
      <c r="C357" s="1" t="n">
        <v>46030</v>
      </c>
      <c r="D357" t="inlineStr">
        <is>
          <t>DALARNAS LÄN</t>
        </is>
      </c>
      <c r="E357" t="inlineStr">
        <is>
          <t>ÄLVDALEN</t>
        </is>
      </c>
      <c r="F357" t="inlineStr">
        <is>
          <t>Allmännings- och besparingsskogar</t>
        </is>
      </c>
      <c r="G357" t="n">
        <v>1.3</v>
      </c>
      <c r="H357" t="n">
        <v>0</v>
      </c>
      <c r="I357" t="n">
        <v>0</v>
      </c>
      <c r="J357" t="n">
        <v>0</v>
      </c>
      <c r="K357" t="n">
        <v>0</v>
      </c>
      <c r="L357" t="n">
        <v>0</v>
      </c>
      <c r="M357" t="n">
        <v>0</v>
      </c>
      <c r="N357" t="n">
        <v>0</v>
      </c>
      <c r="O357" t="n">
        <v>0</v>
      </c>
      <c r="P357" t="n">
        <v>0</v>
      </c>
      <c r="Q357" t="n">
        <v>0</v>
      </c>
      <c r="R357" s="2" t="inlineStr"/>
    </row>
    <row r="358" ht="15" customHeight="1">
      <c r="A358" t="inlineStr">
        <is>
          <t>A 43342-2025</t>
        </is>
      </c>
      <c r="B358" s="1" t="n">
        <v>45910.7628125</v>
      </c>
      <c r="C358" s="1" t="n">
        <v>46030</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44119-2022</t>
        </is>
      </c>
      <c r="B359" s="1" t="n">
        <v>44839.39157407408</v>
      </c>
      <c r="C359" s="1" t="n">
        <v>46030</v>
      </c>
      <c r="D359" t="inlineStr">
        <is>
          <t>DALARNAS LÄN</t>
        </is>
      </c>
      <c r="E359" t="inlineStr">
        <is>
          <t>ÄLVDALEN</t>
        </is>
      </c>
      <c r="G359" t="n">
        <v>3.2</v>
      </c>
      <c r="H359" t="n">
        <v>0</v>
      </c>
      <c r="I359" t="n">
        <v>0</v>
      </c>
      <c r="J359" t="n">
        <v>0</v>
      </c>
      <c r="K359" t="n">
        <v>0</v>
      </c>
      <c r="L359" t="n">
        <v>0</v>
      </c>
      <c r="M359" t="n">
        <v>0</v>
      </c>
      <c r="N359" t="n">
        <v>0</v>
      </c>
      <c r="O359" t="n">
        <v>0</v>
      </c>
      <c r="P359" t="n">
        <v>0</v>
      </c>
      <c r="Q359" t="n">
        <v>0</v>
      </c>
      <c r="R359" s="2" t="inlineStr"/>
    </row>
    <row r="360" ht="15" customHeight="1">
      <c r="A360" t="inlineStr">
        <is>
          <t>A 7998-2024</t>
        </is>
      </c>
      <c r="B360" s="1" t="n">
        <v>45350.6433912037</v>
      </c>
      <c r="C360" s="1" t="n">
        <v>46030</v>
      </c>
      <c r="D360" t="inlineStr">
        <is>
          <t>DALARNAS LÄN</t>
        </is>
      </c>
      <c r="E360" t="inlineStr">
        <is>
          <t>ÄLVDALEN</t>
        </is>
      </c>
      <c r="F360" t="inlineStr">
        <is>
          <t>Kommuner</t>
        </is>
      </c>
      <c r="G360" t="n">
        <v>7.9</v>
      </c>
      <c r="H360" t="n">
        <v>0</v>
      </c>
      <c r="I360" t="n">
        <v>0</v>
      </c>
      <c r="J360" t="n">
        <v>0</v>
      </c>
      <c r="K360" t="n">
        <v>0</v>
      </c>
      <c r="L360" t="n">
        <v>0</v>
      </c>
      <c r="M360" t="n">
        <v>0</v>
      </c>
      <c r="N360" t="n">
        <v>0</v>
      </c>
      <c r="O360" t="n">
        <v>0</v>
      </c>
      <c r="P360" t="n">
        <v>0</v>
      </c>
      <c r="Q360" t="n">
        <v>0</v>
      </c>
      <c r="R360" s="2" t="inlineStr"/>
    </row>
    <row r="361" ht="15" customHeight="1">
      <c r="A361" t="inlineStr">
        <is>
          <t>A 43585-2025</t>
        </is>
      </c>
      <c r="B361" s="1" t="n">
        <v>45911.65087962963</v>
      </c>
      <c r="C361" s="1" t="n">
        <v>46030</v>
      </c>
      <c r="D361" t="inlineStr">
        <is>
          <t>DALARNAS LÄN</t>
        </is>
      </c>
      <c r="E361" t="inlineStr">
        <is>
          <t>ÄLVDALEN</t>
        </is>
      </c>
      <c r="G361" t="n">
        <v>2.8</v>
      </c>
      <c r="H361" t="n">
        <v>0</v>
      </c>
      <c r="I361" t="n">
        <v>0</v>
      </c>
      <c r="J361" t="n">
        <v>0</v>
      </c>
      <c r="K361" t="n">
        <v>0</v>
      </c>
      <c r="L361" t="n">
        <v>0</v>
      </c>
      <c r="M361" t="n">
        <v>0</v>
      </c>
      <c r="N361" t="n">
        <v>0</v>
      </c>
      <c r="O361" t="n">
        <v>0</v>
      </c>
      <c r="P361" t="n">
        <v>0</v>
      </c>
      <c r="Q361" t="n">
        <v>0</v>
      </c>
      <c r="R361" s="2" t="inlineStr"/>
    </row>
    <row r="362" ht="15" customHeight="1">
      <c r="A362" t="inlineStr">
        <is>
          <t>A 39006-2024</t>
        </is>
      </c>
      <c r="B362" s="1" t="n">
        <v>45548.42846064815</v>
      </c>
      <c r="C362" s="1" t="n">
        <v>46030</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27918-2025</t>
        </is>
      </c>
      <c r="B363" s="1" t="n">
        <v>45817.48231481481</v>
      </c>
      <c r="C363" s="1" t="n">
        <v>46030</v>
      </c>
      <c r="D363" t="inlineStr">
        <is>
          <t>DALARNAS LÄN</t>
        </is>
      </c>
      <c r="E363" t="inlineStr">
        <is>
          <t>ÄLVDALEN</t>
        </is>
      </c>
      <c r="G363" t="n">
        <v>5.6</v>
      </c>
      <c r="H363" t="n">
        <v>0</v>
      </c>
      <c r="I363" t="n">
        <v>0</v>
      </c>
      <c r="J363" t="n">
        <v>0</v>
      </c>
      <c r="K363" t="n">
        <v>0</v>
      </c>
      <c r="L363" t="n">
        <v>0</v>
      </c>
      <c r="M363" t="n">
        <v>0</v>
      </c>
      <c r="N363" t="n">
        <v>0</v>
      </c>
      <c r="O363" t="n">
        <v>0</v>
      </c>
      <c r="P363" t="n">
        <v>0</v>
      </c>
      <c r="Q363" t="n">
        <v>0</v>
      </c>
      <c r="R363" s="2" t="inlineStr"/>
    </row>
    <row r="364" ht="15" customHeight="1">
      <c r="A364" t="inlineStr">
        <is>
          <t>A 43998-2025</t>
        </is>
      </c>
      <c r="B364" s="1" t="n">
        <v>45915</v>
      </c>
      <c r="C364" s="1" t="n">
        <v>46030</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3904-2024</t>
        </is>
      </c>
      <c r="B365" s="1" t="n">
        <v>45322</v>
      </c>
      <c r="C365" s="1" t="n">
        <v>46030</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27739-2025</t>
        </is>
      </c>
      <c r="B366" s="1" t="n">
        <v>45815.49082175926</v>
      </c>
      <c r="C366" s="1" t="n">
        <v>46030</v>
      </c>
      <c r="D366" t="inlineStr">
        <is>
          <t>DALARNAS LÄN</t>
        </is>
      </c>
      <c r="E366" t="inlineStr">
        <is>
          <t>ÄLVDALEN</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15251-2021</t>
        </is>
      </c>
      <c r="B367" s="1" t="n">
        <v>44284</v>
      </c>
      <c r="C367" s="1" t="n">
        <v>46030</v>
      </c>
      <c r="D367" t="inlineStr">
        <is>
          <t>DALARNAS LÄN</t>
        </is>
      </c>
      <c r="E367" t="inlineStr">
        <is>
          <t>ÄLVDALEN</t>
        </is>
      </c>
      <c r="G367" t="n">
        <v>6.1</v>
      </c>
      <c r="H367" t="n">
        <v>0</v>
      </c>
      <c r="I367" t="n">
        <v>0</v>
      </c>
      <c r="J367" t="n">
        <v>0</v>
      </c>
      <c r="K367" t="n">
        <v>0</v>
      </c>
      <c r="L367" t="n">
        <v>0</v>
      </c>
      <c r="M367" t="n">
        <v>0</v>
      </c>
      <c r="N367" t="n">
        <v>0</v>
      </c>
      <c r="O367" t="n">
        <v>0</v>
      </c>
      <c r="P367" t="n">
        <v>0</v>
      </c>
      <c r="Q367" t="n">
        <v>0</v>
      </c>
      <c r="R367" s="2" t="inlineStr"/>
    </row>
    <row r="368" ht="15" customHeight="1">
      <c r="A368" t="inlineStr">
        <is>
          <t>A 47936-2024</t>
        </is>
      </c>
      <c r="B368" s="1" t="n">
        <v>45589.34738425926</v>
      </c>
      <c r="C368" s="1" t="n">
        <v>46030</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3900-2024</t>
        </is>
      </c>
      <c r="B369" s="1" t="n">
        <v>45322</v>
      </c>
      <c r="C369" s="1" t="n">
        <v>46030</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3903-2024</t>
        </is>
      </c>
      <c r="B370" s="1" t="n">
        <v>45322</v>
      </c>
      <c r="C370" s="1" t="n">
        <v>46030</v>
      </c>
      <c r="D370" t="inlineStr">
        <is>
          <t>DALARNAS LÄN</t>
        </is>
      </c>
      <c r="E370" t="inlineStr">
        <is>
          <t>ÄLVDALEN</t>
        </is>
      </c>
      <c r="G370" t="n">
        <v>0.7</v>
      </c>
      <c r="H370" t="n">
        <v>0</v>
      </c>
      <c r="I370" t="n">
        <v>0</v>
      </c>
      <c r="J370" t="n">
        <v>0</v>
      </c>
      <c r="K370" t="n">
        <v>0</v>
      </c>
      <c r="L370" t="n">
        <v>0</v>
      </c>
      <c r="M370" t="n">
        <v>0</v>
      </c>
      <c r="N370" t="n">
        <v>0</v>
      </c>
      <c r="O370" t="n">
        <v>0</v>
      </c>
      <c r="P370" t="n">
        <v>0</v>
      </c>
      <c r="Q370" t="n">
        <v>0</v>
      </c>
      <c r="R370" s="2" t="inlineStr"/>
    </row>
    <row r="371" ht="15" customHeight="1">
      <c r="A371" t="inlineStr">
        <is>
          <t>A 3914-2024</t>
        </is>
      </c>
      <c r="B371" s="1" t="n">
        <v>45322</v>
      </c>
      <c r="C371" s="1" t="n">
        <v>46030</v>
      </c>
      <c r="D371" t="inlineStr">
        <is>
          <t>DALARNAS LÄN</t>
        </is>
      </c>
      <c r="E371" t="inlineStr">
        <is>
          <t>ÄLVDALEN</t>
        </is>
      </c>
      <c r="G371" t="n">
        <v>0.3</v>
      </c>
      <c r="H371" t="n">
        <v>0</v>
      </c>
      <c r="I371" t="n">
        <v>0</v>
      </c>
      <c r="J371" t="n">
        <v>0</v>
      </c>
      <c r="K371" t="n">
        <v>0</v>
      </c>
      <c r="L371" t="n">
        <v>0</v>
      </c>
      <c r="M371" t="n">
        <v>0</v>
      </c>
      <c r="N371" t="n">
        <v>0</v>
      </c>
      <c r="O371" t="n">
        <v>0</v>
      </c>
      <c r="P371" t="n">
        <v>0</v>
      </c>
      <c r="Q371" t="n">
        <v>0</v>
      </c>
      <c r="R371" s="2" t="inlineStr"/>
    </row>
    <row r="372" ht="15" customHeight="1">
      <c r="A372" t="inlineStr">
        <is>
          <t>A 30414-2024</t>
        </is>
      </c>
      <c r="B372" s="1" t="n">
        <v>45491.63538194444</v>
      </c>
      <c r="C372" s="1" t="n">
        <v>46030</v>
      </c>
      <c r="D372" t="inlineStr">
        <is>
          <t>DALARNAS LÄN</t>
        </is>
      </c>
      <c r="E372" t="inlineStr">
        <is>
          <t>ÄLVDALEN</t>
        </is>
      </c>
      <c r="G372" t="n">
        <v>0.7</v>
      </c>
      <c r="H372" t="n">
        <v>0</v>
      </c>
      <c r="I372" t="n">
        <v>0</v>
      </c>
      <c r="J372" t="n">
        <v>0</v>
      </c>
      <c r="K372" t="n">
        <v>0</v>
      </c>
      <c r="L372" t="n">
        <v>0</v>
      </c>
      <c r="M372" t="n">
        <v>0</v>
      </c>
      <c r="N372" t="n">
        <v>0</v>
      </c>
      <c r="O372" t="n">
        <v>0</v>
      </c>
      <c r="P372" t="n">
        <v>0</v>
      </c>
      <c r="Q372" t="n">
        <v>0</v>
      </c>
      <c r="R372" s="2" t="inlineStr"/>
    </row>
    <row r="373" ht="15" customHeight="1">
      <c r="A373" t="inlineStr">
        <is>
          <t>A 59108-2022</t>
        </is>
      </c>
      <c r="B373" s="1" t="n">
        <v>44904</v>
      </c>
      <c r="C373" s="1" t="n">
        <v>46030</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3196-2025</t>
        </is>
      </c>
      <c r="B374" s="1" t="n">
        <v>45679.42957175926</v>
      </c>
      <c r="C374" s="1" t="n">
        <v>46030</v>
      </c>
      <c r="D374" t="inlineStr">
        <is>
          <t>DALARNAS LÄN</t>
        </is>
      </c>
      <c r="E374" t="inlineStr">
        <is>
          <t>ÄLVDALEN</t>
        </is>
      </c>
      <c r="G374" t="n">
        <v>5.2</v>
      </c>
      <c r="H374" t="n">
        <v>0</v>
      </c>
      <c r="I374" t="n">
        <v>0</v>
      </c>
      <c r="J374" t="n">
        <v>0</v>
      </c>
      <c r="K374" t="n">
        <v>0</v>
      </c>
      <c r="L374" t="n">
        <v>0</v>
      </c>
      <c r="M374" t="n">
        <v>0</v>
      </c>
      <c r="N374" t="n">
        <v>0</v>
      </c>
      <c r="O374" t="n">
        <v>0</v>
      </c>
      <c r="P374" t="n">
        <v>0</v>
      </c>
      <c r="Q374" t="n">
        <v>0</v>
      </c>
      <c r="R374" s="2" t="inlineStr"/>
    </row>
    <row r="375" ht="15" customHeight="1">
      <c r="A375" t="inlineStr">
        <is>
          <t>A 57510-2025</t>
        </is>
      </c>
      <c r="B375" s="1" t="n">
        <v>45980.60502314815</v>
      </c>
      <c r="C375" s="1" t="n">
        <v>46030</v>
      </c>
      <c r="D375" t="inlineStr">
        <is>
          <t>DALARNAS LÄN</t>
        </is>
      </c>
      <c r="E375" t="inlineStr">
        <is>
          <t>ÄLVDALEN</t>
        </is>
      </c>
      <c r="G375" t="n">
        <v>2.1</v>
      </c>
      <c r="H375" t="n">
        <v>0</v>
      </c>
      <c r="I375" t="n">
        <v>0</v>
      </c>
      <c r="J375" t="n">
        <v>0</v>
      </c>
      <c r="K375" t="n">
        <v>0</v>
      </c>
      <c r="L375" t="n">
        <v>0</v>
      </c>
      <c r="M375" t="n">
        <v>0</v>
      </c>
      <c r="N375" t="n">
        <v>0</v>
      </c>
      <c r="O375" t="n">
        <v>0</v>
      </c>
      <c r="P375" t="n">
        <v>0</v>
      </c>
      <c r="Q375" t="n">
        <v>0</v>
      </c>
      <c r="R375" s="2" t="inlineStr"/>
    </row>
    <row r="376" ht="15" customHeight="1">
      <c r="A376" t="inlineStr">
        <is>
          <t>A 28838-2025</t>
        </is>
      </c>
      <c r="B376" s="1" t="n">
        <v>45820.56359953704</v>
      </c>
      <c r="C376" s="1" t="n">
        <v>46030</v>
      </c>
      <c r="D376" t="inlineStr">
        <is>
          <t>DALARNAS LÄN</t>
        </is>
      </c>
      <c r="E376" t="inlineStr">
        <is>
          <t>ÄLVDALEN</t>
        </is>
      </c>
      <c r="F376" t="inlineStr">
        <is>
          <t>Allmännings- och besparingsskogar</t>
        </is>
      </c>
      <c r="G376" t="n">
        <v>7.5</v>
      </c>
      <c r="H376" t="n">
        <v>0</v>
      </c>
      <c r="I376" t="n">
        <v>0</v>
      </c>
      <c r="J376" t="n">
        <v>0</v>
      </c>
      <c r="K376" t="n">
        <v>0</v>
      </c>
      <c r="L376" t="n">
        <v>0</v>
      </c>
      <c r="M376" t="n">
        <v>0</v>
      </c>
      <c r="N376" t="n">
        <v>0</v>
      </c>
      <c r="O376" t="n">
        <v>0</v>
      </c>
      <c r="P376" t="n">
        <v>0</v>
      </c>
      <c r="Q376" t="n">
        <v>0</v>
      </c>
      <c r="R376" s="2" t="inlineStr"/>
    </row>
    <row r="377" ht="15" customHeight="1">
      <c r="A377" t="inlineStr">
        <is>
          <t>A 28844-2025</t>
        </is>
      </c>
      <c r="B377" s="1" t="n">
        <v>45820.57053240741</v>
      </c>
      <c r="C377" s="1" t="n">
        <v>46030</v>
      </c>
      <c r="D377" t="inlineStr">
        <is>
          <t>DALARNAS LÄN</t>
        </is>
      </c>
      <c r="E377" t="inlineStr">
        <is>
          <t>ÄLVDALEN</t>
        </is>
      </c>
      <c r="F377" t="inlineStr">
        <is>
          <t>Allmännings- och besparingsskogar</t>
        </is>
      </c>
      <c r="G377" t="n">
        <v>1.3</v>
      </c>
      <c r="H377" t="n">
        <v>0</v>
      </c>
      <c r="I377" t="n">
        <v>0</v>
      </c>
      <c r="J377" t="n">
        <v>0</v>
      </c>
      <c r="K377" t="n">
        <v>0</v>
      </c>
      <c r="L377" t="n">
        <v>0</v>
      </c>
      <c r="M377" t="n">
        <v>0</v>
      </c>
      <c r="N377" t="n">
        <v>0</v>
      </c>
      <c r="O377" t="n">
        <v>0</v>
      </c>
      <c r="P377" t="n">
        <v>0</v>
      </c>
      <c r="Q377" t="n">
        <v>0</v>
      </c>
      <c r="R377" s="2" t="inlineStr"/>
    </row>
    <row r="378" ht="15" customHeight="1">
      <c r="A378" t="inlineStr">
        <is>
          <t>A 42649-2023</t>
        </is>
      </c>
      <c r="B378" s="1" t="n">
        <v>45181.53310185186</v>
      </c>
      <c r="C378" s="1" t="n">
        <v>46030</v>
      </c>
      <c r="D378" t="inlineStr">
        <is>
          <t>DALARNAS LÄN</t>
        </is>
      </c>
      <c r="E378" t="inlineStr">
        <is>
          <t>ÄLVDALEN</t>
        </is>
      </c>
      <c r="G378" t="n">
        <v>5.3</v>
      </c>
      <c r="H378" t="n">
        <v>0</v>
      </c>
      <c r="I378" t="n">
        <v>0</v>
      </c>
      <c r="J378" t="n">
        <v>0</v>
      </c>
      <c r="K378" t="n">
        <v>0</v>
      </c>
      <c r="L378" t="n">
        <v>0</v>
      </c>
      <c r="M378" t="n">
        <v>0</v>
      </c>
      <c r="N378" t="n">
        <v>0</v>
      </c>
      <c r="O378" t="n">
        <v>0</v>
      </c>
      <c r="P378" t="n">
        <v>0</v>
      </c>
      <c r="Q378" t="n">
        <v>0</v>
      </c>
      <c r="R378" s="2" t="inlineStr"/>
    </row>
    <row r="379" ht="15" customHeight="1">
      <c r="A379" t="inlineStr">
        <is>
          <t>A 28842-2025</t>
        </is>
      </c>
      <c r="B379" s="1" t="n">
        <v>45820.56780092593</v>
      </c>
      <c r="C379" s="1" t="n">
        <v>46030</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45173-2025</t>
        </is>
      </c>
      <c r="B380" s="1" t="n">
        <v>45919.51228009259</v>
      </c>
      <c r="C380" s="1" t="n">
        <v>46030</v>
      </c>
      <c r="D380" t="inlineStr">
        <is>
          <t>DALARNAS LÄN</t>
        </is>
      </c>
      <c r="E380" t="inlineStr">
        <is>
          <t>ÄLVDALEN</t>
        </is>
      </c>
      <c r="F380" t="inlineStr">
        <is>
          <t>Allmännings- och besparingsskogar</t>
        </is>
      </c>
      <c r="G380" t="n">
        <v>40.5</v>
      </c>
      <c r="H380" t="n">
        <v>0</v>
      </c>
      <c r="I380" t="n">
        <v>0</v>
      </c>
      <c r="J380" t="n">
        <v>0</v>
      </c>
      <c r="K380" t="n">
        <v>0</v>
      </c>
      <c r="L380" t="n">
        <v>0</v>
      </c>
      <c r="M380" t="n">
        <v>0</v>
      </c>
      <c r="N380" t="n">
        <v>0</v>
      </c>
      <c r="O380" t="n">
        <v>0</v>
      </c>
      <c r="P380" t="n">
        <v>0</v>
      </c>
      <c r="Q380" t="n">
        <v>0</v>
      </c>
      <c r="R380" s="2" t="inlineStr"/>
    </row>
    <row r="381" ht="15" customHeight="1">
      <c r="A381" t="inlineStr">
        <is>
          <t>A 45156-2025</t>
        </is>
      </c>
      <c r="B381" s="1" t="n">
        <v>45919.48063657407</v>
      </c>
      <c r="C381" s="1" t="n">
        <v>46030</v>
      </c>
      <c r="D381" t="inlineStr">
        <is>
          <t>DALARNAS LÄN</t>
        </is>
      </c>
      <c r="E381" t="inlineStr">
        <is>
          <t>ÄLVDALEN</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14938-2023</t>
        </is>
      </c>
      <c r="B382" s="1" t="n">
        <v>45015</v>
      </c>
      <c r="C382" s="1" t="n">
        <v>46030</v>
      </c>
      <c r="D382" t="inlineStr">
        <is>
          <t>DALARNAS LÄN</t>
        </is>
      </c>
      <c r="E382" t="inlineStr">
        <is>
          <t>ÄLVDALEN</t>
        </is>
      </c>
      <c r="G382" t="n">
        <v>1.8</v>
      </c>
      <c r="H382" t="n">
        <v>0</v>
      </c>
      <c r="I382" t="n">
        <v>0</v>
      </c>
      <c r="J382" t="n">
        <v>0</v>
      </c>
      <c r="K382" t="n">
        <v>0</v>
      </c>
      <c r="L382" t="n">
        <v>0</v>
      </c>
      <c r="M382" t="n">
        <v>0</v>
      </c>
      <c r="N382" t="n">
        <v>0</v>
      </c>
      <c r="O382" t="n">
        <v>0</v>
      </c>
      <c r="P382" t="n">
        <v>0</v>
      </c>
      <c r="Q382" t="n">
        <v>0</v>
      </c>
      <c r="R382" s="2" t="inlineStr"/>
    </row>
    <row r="383" ht="15" customHeight="1">
      <c r="A383" t="inlineStr">
        <is>
          <t>A 52483-2023</t>
        </is>
      </c>
      <c r="B383" s="1" t="n">
        <v>45225</v>
      </c>
      <c r="C383" s="1" t="n">
        <v>46030</v>
      </c>
      <c r="D383" t="inlineStr">
        <is>
          <t>DALARNAS LÄN</t>
        </is>
      </c>
      <c r="E383" t="inlineStr">
        <is>
          <t>ÄLVDALEN</t>
        </is>
      </c>
      <c r="F383" t="inlineStr">
        <is>
          <t>Allmännings- och besparingsskogar</t>
        </is>
      </c>
      <c r="G383" t="n">
        <v>30.9</v>
      </c>
      <c r="H383" t="n">
        <v>0</v>
      </c>
      <c r="I383" t="n">
        <v>0</v>
      </c>
      <c r="J383" t="n">
        <v>0</v>
      </c>
      <c r="K383" t="n">
        <v>0</v>
      </c>
      <c r="L383" t="n">
        <v>0</v>
      </c>
      <c r="M383" t="n">
        <v>0</v>
      </c>
      <c r="N383" t="n">
        <v>0</v>
      </c>
      <c r="O383" t="n">
        <v>0</v>
      </c>
      <c r="P383" t="n">
        <v>0</v>
      </c>
      <c r="Q383" t="n">
        <v>0</v>
      </c>
      <c r="R383" s="2" t="inlineStr"/>
      <c r="U383">
        <f>HYPERLINK("https://klasma.github.io/Logging_2039/knärot/A 52483-2023 karta knärot.png", "A 52483-2023")</f>
        <v/>
      </c>
      <c r="V383">
        <f>HYPERLINK("https://klasma.github.io/Logging_2039/klagomål/A 52483-2023 FSC-klagomål.docx", "A 52483-2023")</f>
        <v/>
      </c>
      <c r="W383">
        <f>HYPERLINK("https://klasma.github.io/Logging_2039/klagomålsmail/A 52483-2023 FSC-klagomål mail.docx", "A 52483-2023")</f>
        <v/>
      </c>
      <c r="X383">
        <f>HYPERLINK("https://klasma.github.io/Logging_2039/tillsyn/A 52483-2023 tillsynsbegäran.docx", "A 52483-2023")</f>
        <v/>
      </c>
      <c r="Y383">
        <f>HYPERLINK("https://klasma.github.io/Logging_2039/tillsynsmail/A 52483-2023 tillsynsbegäran mail.docx", "A 52483-2023")</f>
        <v/>
      </c>
    </row>
    <row r="384" ht="15" customHeight="1">
      <c r="A384" t="inlineStr">
        <is>
          <t>A 30025-2025</t>
        </is>
      </c>
      <c r="B384" s="1" t="n">
        <v>45826.56265046296</v>
      </c>
      <c r="C384" s="1" t="n">
        <v>46030</v>
      </c>
      <c r="D384" t="inlineStr">
        <is>
          <t>DALARNAS LÄN</t>
        </is>
      </c>
      <c r="E384" t="inlineStr">
        <is>
          <t>ÄLVDALEN</t>
        </is>
      </c>
      <c r="G384" t="n">
        <v>9</v>
      </c>
      <c r="H384" t="n">
        <v>0</v>
      </c>
      <c r="I384" t="n">
        <v>0</v>
      </c>
      <c r="J384" t="n">
        <v>0</v>
      </c>
      <c r="K384" t="n">
        <v>0</v>
      </c>
      <c r="L384" t="n">
        <v>0</v>
      </c>
      <c r="M384" t="n">
        <v>0</v>
      </c>
      <c r="N384" t="n">
        <v>0</v>
      </c>
      <c r="O384" t="n">
        <v>0</v>
      </c>
      <c r="P384" t="n">
        <v>0</v>
      </c>
      <c r="Q384" t="n">
        <v>0</v>
      </c>
      <c r="R384" s="2" t="inlineStr"/>
    </row>
    <row r="385" ht="15" customHeight="1">
      <c r="A385" t="inlineStr">
        <is>
          <t>A 49906-2024</t>
        </is>
      </c>
      <c r="B385" s="1" t="n">
        <v>45597.55230324074</v>
      </c>
      <c r="C385" s="1" t="n">
        <v>46030</v>
      </c>
      <c r="D385" t="inlineStr">
        <is>
          <t>DALARNAS LÄN</t>
        </is>
      </c>
      <c r="E385" t="inlineStr">
        <is>
          <t>ÄLVDALEN</t>
        </is>
      </c>
      <c r="G385" t="n">
        <v>4.2</v>
      </c>
      <c r="H385" t="n">
        <v>0</v>
      </c>
      <c r="I385" t="n">
        <v>0</v>
      </c>
      <c r="J385" t="n">
        <v>0</v>
      </c>
      <c r="K385" t="n">
        <v>0</v>
      </c>
      <c r="L385" t="n">
        <v>0</v>
      </c>
      <c r="M385" t="n">
        <v>0</v>
      </c>
      <c r="N385" t="n">
        <v>0</v>
      </c>
      <c r="O385" t="n">
        <v>0</v>
      </c>
      <c r="P385" t="n">
        <v>0</v>
      </c>
      <c r="Q385" t="n">
        <v>0</v>
      </c>
      <c r="R385" s="2" t="inlineStr"/>
    </row>
    <row r="386" ht="15" customHeight="1">
      <c r="A386" t="inlineStr">
        <is>
          <t>A 30032-2025</t>
        </is>
      </c>
      <c r="B386" s="1" t="n">
        <v>45826.56873842593</v>
      </c>
      <c r="C386" s="1" t="n">
        <v>46030</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46409-2025</t>
        </is>
      </c>
      <c r="B387" s="1" t="n">
        <v>45925.56752314815</v>
      </c>
      <c r="C387" s="1" t="n">
        <v>46030</v>
      </c>
      <c r="D387" t="inlineStr">
        <is>
          <t>DALARNAS LÄN</t>
        </is>
      </c>
      <c r="E387" t="inlineStr">
        <is>
          <t>ÄLVDALEN</t>
        </is>
      </c>
      <c r="G387" t="n">
        <v>2.6</v>
      </c>
      <c r="H387" t="n">
        <v>0</v>
      </c>
      <c r="I387" t="n">
        <v>0</v>
      </c>
      <c r="J387" t="n">
        <v>0</v>
      </c>
      <c r="K387" t="n">
        <v>0</v>
      </c>
      <c r="L387" t="n">
        <v>0</v>
      </c>
      <c r="M387" t="n">
        <v>0</v>
      </c>
      <c r="N387" t="n">
        <v>0</v>
      </c>
      <c r="O387" t="n">
        <v>0</v>
      </c>
      <c r="P387" t="n">
        <v>0</v>
      </c>
      <c r="Q387" t="n">
        <v>0</v>
      </c>
      <c r="R387" s="2" t="inlineStr"/>
    </row>
    <row r="388" ht="15" customHeight="1">
      <c r="A388" t="inlineStr">
        <is>
          <t>A 5885-2024</t>
        </is>
      </c>
      <c r="B388" s="1" t="n">
        <v>45335</v>
      </c>
      <c r="C388" s="1" t="n">
        <v>46030</v>
      </c>
      <c r="D388" t="inlineStr">
        <is>
          <t>DALARNAS LÄN</t>
        </is>
      </c>
      <c r="E388" t="inlineStr">
        <is>
          <t>ÄLVDALEN</t>
        </is>
      </c>
      <c r="G388" t="n">
        <v>0.8</v>
      </c>
      <c r="H388" t="n">
        <v>0</v>
      </c>
      <c r="I388" t="n">
        <v>0</v>
      </c>
      <c r="J388" t="n">
        <v>0</v>
      </c>
      <c r="K388" t="n">
        <v>0</v>
      </c>
      <c r="L388" t="n">
        <v>0</v>
      </c>
      <c r="M388" t="n">
        <v>0</v>
      </c>
      <c r="N388" t="n">
        <v>0</v>
      </c>
      <c r="O388" t="n">
        <v>0</v>
      </c>
      <c r="P388" t="n">
        <v>0</v>
      </c>
      <c r="Q388" t="n">
        <v>0</v>
      </c>
      <c r="R388" s="2" t="inlineStr"/>
    </row>
    <row r="389" ht="15" customHeight="1">
      <c r="A389" t="inlineStr">
        <is>
          <t>A 30502-2025</t>
        </is>
      </c>
      <c r="B389" s="1" t="n">
        <v>45830.82903935185</v>
      </c>
      <c r="C389" s="1" t="n">
        <v>46030</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47018-2025</t>
        </is>
      </c>
      <c r="B390" s="1" t="n">
        <v>45929.57569444444</v>
      </c>
      <c r="C390" s="1" t="n">
        <v>46030</v>
      </c>
      <c r="D390" t="inlineStr">
        <is>
          <t>DALARNAS LÄN</t>
        </is>
      </c>
      <c r="E390" t="inlineStr">
        <is>
          <t>ÄLVDALEN</t>
        </is>
      </c>
      <c r="F390" t="inlineStr">
        <is>
          <t>Allmännings- och besparingsskogar</t>
        </is>
      </c>
      <c r="G390" t="n">
        <v>3.4</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46030</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57980-2025</t>
        </is>
      </c>
      <c r="B392" s="1" t="n">
        <v>45982.40280092593</v>
      </c>
      <c r="C392" s="1" t="n">
        <v>46030</v>
      </c>
      <c r="D392" t="inlineStr">
        <is>
          <t>DALARNAS LÄN</t>
        </is>
      </c>
      <c r="E392" t="inlineStr">
        <is>
          <t>ÄLVDALEN</t>
        </is>
      </c>
      <c r="G392" t="n">
        <v>1</v>
      </c>
      <c r="H392" t="n">
        <v>0</v>
      </c>
      <c r="I392" t="n">
        <v>0</v>
      </c>
      <c r="J392" t="n">
        <v>0</v>
      </c>
      <c r="K392" t="n">
        <v>0</v>
      </c>
      <c r="L392" t="n">
        <v>0</v>
      </c>
      <c r="M392" t="n">
        <v>0</v>
      </c>
      <c r="N392" t="n">
        <v>0</v>
      </c>
      <c r="O392" t="n">
        <v>0</v>
      </c>
      <c r="P392" t="n">
        <v>0</v>
      </c>
      <c r="Q392" t="n">
        <v>0</v>
      </c>
      <c r="R392" s="2" t="inlineStr"/>
    </row>
    <row r="393" ht="15" customHeight="1">
      <c r="A393" t="inlineStr">
        <is>
          <t>A 46882-2025</t>
        </is>
      </c>
      <c r="B393" s="1" t="n">
        <v>45929.36357638889</v>
      </c>
      <c r="C393" s="1" t="n">
        <v>46030</v>
      </c>
      <c r="D393" t="inlineStr">
        <is>
          <t>DALARNAS LÄN</t>
        </is>
      </c>
      <c r="E393" t="inlineStr">
        <is>
          <t>ÄLVDALEN</t>
        </is>
      </c>
      <c r="F393" t="inlineStr">
        <is>
          <t>Allmännings- och besparingsskogar</t>
        </is>
      </c>
      <c r="G393" t="n">
        <v>4.9</v>
      </c>
      <c r="H393" t="n">
        <v>0</v>
      </c>
      <c r="I393" t="n">
        <v>0</v>
      </c>
      <c r="J393" t="n">
        <v>0</v>
      </c>
      <c r="K393" t="n">
        <v>0</v>
      </c>
      <c r="L393" t="n">
        <v>0</v>
      </c>
      <c r="M393" t="n">
        <v>0</v>
      </c>
      <c r="N393" t="n">
        <v>0</v>
      </c>
      <c r="O393" t="n">
        <v>0</v>
      </c>
      <c r="P393" t="n">
        <v>0</v>
      </c>
      <c r="Q393" t="n">
        <v>0</v>
      </c>
      <c r="R393" s="2" t="inlineStr"/>
    </row>
    <row r="394" ht="15" customHeight="1">
      <c r="A394" t="inlineStr">
        <is>
          <t>A 52060-2022</t>
        </is>
      </c>
      <c r="B394" s="1" t="n">
        <v>44873.34417824074</v>
      </c>
      <c r="C394" s="1" t="n">
        <v>46030</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32063-2025</t>
        </is>
      </c>
      <c r="B395" s="1" t="n">
        <v>45835.44703703704</v>
      </c>
      <c r="C395" s="1" t="n">
        <v>46030</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31796-2025</t>
        </is>
      </c>
      <c r="B396" s="1" t="n">
        <v>45834.54943287037</v>
      </c>
      <c r="C396" s="1" t="n">
        <v>46030</v>
      </c>
      <c r="D396" t="inlineStr">
        <is>
          <t>DALARNAS LÄN</t>
        </is>
      </c>
      <c r="E396" t="inlineStr">
        <is>
          <t>ÄLVDALEN</t>
        </is>
      </c>
      <c r="G396" t="n">
        <v>65.5</v>
      </c>
      <c r="H396" t="n">
        <v>0</v>
      </c>
      <c r="I396" t="n">
        <v>0</v>
      </c>
      <c r="J396" t="n">
        <v>0</v>
      </c>
      <c r="K396" t="n">
        <v>0</v>
      </c>
      <c r="L396" t="n">
        <v>0</v>
      </c>
      <c r="M396" t="n">
        <v>0</v>
      </c>
      <c r="N396" t="n">
        <v>0</v>
      </c>
      <c r="O396" t="n">
        <v>0</v>
      </c>
      <c r="P396" t="n">
        <v>0</v>
      </c>
      <c r="Q396" t="n">
        <v>0</v>
      </c>
      <c r="R396" s="2" t="inlineStr"/>
    </row>
    <row r="397" ht="15" customHeight="1">
      <c r="A397" t="inlineStr">
        <is>
          <t>A 47707-2025</t>
        </is>
      </c>
      <c r="B397" s="1" t="n">
        <v>45931.6125462963</v>
      </c>
      <c r="C397" s="1" t="n">
        <v>46030</v>
      </c>
      <c r="D397" t="inlineStr">
        <is>
          <t>DALARNAS LÄN</t>
        </is>
      </c>
      <c r="E397" t="inlineStr">
        <is>
          <t>ÄLVDALEN</t>
        </is>
      </c>
      <c r="G397" t="n">
        <v>1</v>
      </c>
      <c r="H397" t="n">
        <v>0</v>
      </c>
      <c r="I397" t="n">
        <v>0</v>
      </c>
      <c r="J397" t="n">
        <v>0</v>
      </c>
      <c r="K397" t="n">
        <v>0</v>
      </c>
      <c r="L397" t="n">
        <v>0</v>
      </c>
      <c r="M397" t="n">
        <v>0</v>
      </c>
      <c r="N397" t="n">
        <v>0</v>
      </c>
      <c r="O397" t="n">
        <v>0</v>
      </c>
      <c r="P397" t="n">
        <v>0</v>
      </c>
      <c r="Q397" t="n">
        <v>0</v>
      </c>
      <c r="R397" s="2" t="inlineStr"/>
    </row>
    <row r="398" ht="15" customHeight="1">
      <c r="A398" t="inlineStr">
        <is>
          <t>A 32668-2025</t>
        </is>
      </c>
      <c r="B398" s="1" t="n">
        <v>45838.69678240741</v>
      </c>
      <c r="C398" s="1" t="n">
        <v>46030</v>
      </c>
      <c r="D398" t="inlineStr">
        <is>
          <t>DALARNAS LÄN</t>
        </is>
      </c>
      <c r="E398" t="inlineStr">
        <is>
          <t>ÄLVDALEN</t>
        </is>
      </c>
      <c r="F398" t="inlineStr">
        <is>
          <t>Övriga Aktiebolag</t>
        </is>
      </c>
      <c r="G398" t="n">
        <v>29.5</v>
      </c>
      <c r="H398" t="n">
        <v>0</v>
      </c>
      <c r="I398" t="n">
        <v>0</v>
      </c>
      <c r="J398" t="n">
        <v>0</v>
      </c>
      <c r="K398" t="n">
        <v>0</v>
      </c>
      <c r="L398" t="n">
        <v>0</v>
      </c>
      <c r="M398" t="n">
        <v>0</v>
      </c>
      <c r="N398" t="n">
        <v>0</v>
      </c>
      <c r="O398" t="n">
        <v>0</v>
      </c>
      <c r="P398" t="n">
        <v>0</v>
      </c>
      <c r="Q398" t="n">
        <v>0</v>
      </c>
      <c r="R398" s="2" t="inlineStr"/>
    </row>
    <row r="399" ht="15" customHeight="1">
      <c r="A399" t="inlineStr">
        <is>
          <t>A 47692-2025</t>
        </is>
      </c>
      <c r="B399" s="1" t="n">
        <v>45931.59818287037</v>
      </c>
      <c r="C399" s="1" t="n">
        <v>46030</v>
      </c>
      <c r="D399" t="inlineStr">
        <is>
          <t>DALARNAS LÄN</t>
        </is>
      </c>
      <c r="E399" t="inlineStr">
        <is>
          <t>ÄLVDALEN</t>
        </is>
      </c>
      <c r="G399" t="n">
        <v>0.4</v>
      </c>
      <c r="H399" t="n">
        <v>0</v>
      </c>
      <c r="I399" t="n">
        <v>0</v>
      </c>
      <c r="J399" t="n">
        <v>0</v>
      </c>
      <c r="K399" t="n">
        <v>0</v>
      </c>
      <c r="L399" t="n">
        <v>0</v>
      </c>
      <c r="M399" t="n">
        <v>0</v>
      </c>
      <c r="N399" t="n">
        <v>0</v>
      </c>
      <c r="O399" t="n">
        <v>0</v>
      </c>
      <c r="P399" t="n">
        <v>0</v>
      </c>
      <c r="Q399" t="n">
        <v>0</v>
      </c>
      <c r="R399" s="2" t="inlineStr"/>
    </row>
    <row r="400" ht="15" customHeight="1">
      <c r="A400" t="inlineStr">
        <is>
          <t>A 48197-2025</t>
        </is>
      </c>
      <c r="B400" s="1" t="n">
        <v>45933.47471064814</v>
      </c>
      <c r="C400" s="1" t="n">
        <v>46030</v>
      </c>
      <c r="D400" t="inlineStr">
        <is>
          <t>DALARNAS LÄN</t>
        </is>
      </c>
      <c r="E400" t="inlineStr">
        <is>
          <t>ÄLVDALEN</t>
        </is>
      </c>
      <c r="F400" t="inlineStr">
        <is>
          <t>Bergvik skog öst AB</t>
        </is>
      </c>
      <c r="G400" t="n">
        <v>5.6</v>
      </c>
      <c r="H400" t="n">
        <v>0</v>
      </c>
      <c r="I400" t="n">
        <v>0</v>
      </c>
      <c r="J400" t="n">
        <v>0</v>
      </c>
      <c r="K400" t="n">
        <v>0</v>
      </c>
      <c r="L400" t="n">
        <v>0</v>
      </c>
      <c r="M400" t="n">
        <v>0</v>
      </c>
      <c r="N400" t="n">
        <v>0</v>
      </c>
      <c r="O400" t="n">
        <v>0</v>
      </c>
      <c r="P400" t="n">
        <v>0</v>
      </c>
      <c r="Q400" t="n">
        <v>0</v>
      </c>
      <c r="R400" s="2" t="inlineStr"/>
    </row>
    <row r="401" ht="15" customHeight="1">
      <c r="A401" t="inlineStr">
        <is>
          <t>A 54219-2025</t>
        </is>
      </c>
      <c r="B401" s="1" t="n">
        <v>45964</v>
      </c>
      <c r="C401" s="1" t="n">
        <v>46030</v>
      </c>
      <c r="D401" t="inlineStr">
        <is>
          <t>DALARNAS LÄN</t>
        </is>
      </c>
      <c r="E401" t="inlineStr">
        <is>
          <t>ÄLVDALEN</t>
        </is>
      </c>
      <c r="G401" t="n">
        <v>11.5</v>
      </c>
      <c r="H401" t="n">
        <v>0</v>
      </c>
      <c r="I401" t="n">
        <v>0</v>
      </c>
      <c r="J401" t="n">
        <v>0</v>
      </c>
      <c r="K401" t="n">
        <v>0</v>
      </c>
      <c r="L401" t="n">
        <v>0</v>
      </c>
      <c r="M401" t="n">
        <v>0</v>
      </c>
      <c r="N401" t="n">
        <v>0</v>
      </c>
      <c r="O401" t="n">
        <v>0</v>
      </c>
      <c r="P401" t="n">
        <v>0</v>
      </c>
      <c r="Q401" t="n">
        <v>0</v>
      </c>
      <c r="R401" s="2" t="inlineStr"/>
    </row>
    <row r="402" ht="15" customHeight="1">
      <c r="A402" t="inlineStr">
        <is>
          <t>A 48135-2025</t>
        </is>
      </c>
      <c r="B402" s="1" t="n">
        <v>45933.37452546296</v>
      </c>
      <c r="C402" s="1" t="n">
        <v>46030</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48017-2025</t>
        </is>
      </c>
      <c r="B403" s="1" t="n">
        <v>45932.64740740741</v>
      </c>
      <c r="C403" s="1" t="n">
        <v>46030</v>
      </c>
      <c r="D403" t="inlineStr">
        <is>
          <t>DALARNAS LÄN</t>
        </is>
      </c>
      <c r="E403" t="inlineStr">
        <is>
          <t>ÄLVDALEN</t>
        </is>
      </c>
      <c r="G403" t="n">
        <v>4.5</v>
      </c>
      <c r="H403" t="n">
        <v>0</v>
      </c>
      <c r="I403" t="n">
        <v>0</v>
      </c>
      <c r="J403" t="n">
        <v>0</v>
      </c>
      <c r="K403" t="n">
        <v>0</v>
      </c>
      <c r="L403" t="n">
        <v>0</v>
      </c>
      <c r="M403" t="n">
        <v>0</v>
      </c>
      <c r="N403" t="n">
        <v>0</v>
      </c>
      <c r="O403" t="n">
        <v>0</v>
      </c>
      <c r="P403" t="n">
        <v>0</v>
      </c>
      <c r="Q403" t="n">
        <v>0</v>
      </c>
      <c r="R403" s="2" t="inlineStr"/>
    </row>
    <row r="404" ht="15" customHeight="1">
      <c r="A404" t="inlineStr">
        <is>
          <t>A 40003-2022</t>
        </is>
      </c>
      <c r="B404" s="1" t="n">
        <v>44820.36509259259</v>
      </c>
      <c r="C404" s="1" t="n">
        <v>46030</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42679-2024</t>
        </is>
      </c>
      <c r="B405" s="1" t="n">
        <v>45566.37706018519</v>
      </c>
      <c r="C405" s="1" t="n">
        <v>46030</v>
      </c>
      <c r="D405" t="inlineStr">
        <is>
          <t>DALARNAS LÄN</t>
        </is>
      </c>
      <c r="E405" t="inlineStr">
        <is>
          <t>ÄLVDALEN</t>
        </is>
      </c>
      <c r="F405" t="inlineStr">
        <is>
          <t>Bergvik skog väst AB</t>
        </is>
      </c>
      <c r="G405" t="n">
        <v>1.5</v>
      </c>
      <c r="H405" t="n">
        <v>0</v>
      </c>
      <c r="I405" t="n">
        <v>0</v>
      </c>
      <c r="J405" t="n">
        <v>0</v>
      </c>
      <c r="K405" t="n">
        <v>0</v>
      </c>
      <c r="L405" t="n">
        <v>0</v>
      </c>
      <c r="M405" t="n">
        <v>0</v>
      </c>
      <c r="N405" t="n">
        <v>0</v>
      </c>
      <c r="O405" t="n">
        <v>0</v>
      </c>
      <c r="P405" t="n">
        <v>0</v>
      </c>
      <c r="Q405" t="n">
        <v>0</v>
      </c>
      <c r="R405" s="2" t="inlineStr"/>
    </row>
    <row r="406" ht="15" customHeight="1">
      <c r="A406" t="inlineStr">
        <is>
          <t>A 63079-2021</t>
        </is>
      </c>
      <c r="B406" s="1" t="n">
        <v>44505.56753472222</v>
      </c>
      <c r="C406" s="1" t="n">
        <v>46030</v>
      </c>
      <c r="D406" t="inlineStr">
        <is>
          <t>DALARNAS LÄN</t>
        </is>
      </c>
      <c r="E406" t="inlineStr">
        <is>
          <t>ÄLVDALEN</t>
        </is>
      </c>
      <c r="F406" t="inlineStr">
        <is>
          <t>Bergvik skog väst AB</t>
        </is>
      </c>
      <c r="G406" t="n">
        <v>4</v>
      </c>
      <c r="H406" t="n">
        <v>0</v>
      </c>
      <c r="I406" t="n">
        <v>0</v>
      </c>
      <c r="J406" t="n">
        <v>0</v>
      </c>
      <c r="K406" t="n">
        <v>0</v>
      </c>
      <c r="L406" t="n">
        <v>0</v>
      </c>
      <c r="M406" t="n">
        <v>0</v>
      </c>
      <c r="N406" t="n">
        <v>0</v>
      </c>
      <c r="O406" t="n">
        <v>0</v>
      </c>
      <c r="P406" t="n">
        <v>0</v>
      </c>
      <c r="Q406" t="n">
        <v>0</v>
      </c>
      <c r="R406" s="2" t="inlineStr"/>
    </row>
    <row r="407" ht="15" customHeight="1">
      <c r="A407" t="inlineStr">
        <is>
          <t>A 510-2024</t>
        </is>
      </c>
      <c r="B407" s="1" t="n">
        <v>45299.39997685186</v>
      </c>
      <c r="C407" s="1" t="n">
        <v>46030</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54632-2021</t>
        </is>
      </c>
      <c r="B408" s="1" t="n">
        <v>44473</v>
      </c>
      <c r="C408" s="1" t="n">
        <v>46030</v>
      </c>
      <c r="D408" t="inlineStr">
        <is>
          <t>DALARNAS LÄN</t>
        </is>
      </c>
      <c r="E408" t="inlineStr">
        <is>
          <t>ÄLVDALEN</t>
        </is>
      </c>
      <c r="G408" t="n">
        <v>0.5</v>
      </c>
      <c r="H408" t="n">
        <v>0</v>
      </c>
      <c r="I408" t="n">
        <v>0</v>
      </c>
      <c r="J408" t="n">
        <v>0</v>
      </c>
      <c r="K408" t="n">
        <v>0</v>
      </c>
      <c r="L408" t="n">
        <v>0</v>
      </c>
      <c r="M408" t="n">
        <v>0</v>
      </c>
      <c r="N408" t="n">
        <v>0</v>
      </c>
      <c r="O408" t="n">
        <v>0</v>
      </c>
      <c r="P408" t="n">
        <v>0</v>
      </c>
      <c r="Q408" t="n">
        <v>0</v>
      </c>
      <c r="R408" s="2" t="inlineStr"/>
      <c r="T408">
        <f>HYPERLINK("https://klasma.github.io/Logging_2039/kartor/A 54632-2021 karta.png", "A 54632-2021")</f>
        <v/>
      </c>
      <c r="V408">
        <f>HYPERLINK("https://klasma.github.io/Logging_2039/klagomål/A 54632-2021 FSC-klagomål.docx", "A 54632-2021")</f>
        <v/>
      </c>
      <c r="W408">
        <f>HYPERLINK("https://klasma.github.io/Logging_2039/klagomålsmail/A 54632-2021 FSC-klagomål mail.docx", "A 54632-2021")</f>
        <v/>
      </c>
      <c r="X408">
        <f>HYPERLINK("https://klasma.github.io/Logging_2039/tillsyn/A 54632-2021 tillsynsbegäran.docx", "A 54632-2021")</f>
        <v/>
      </c>
      <c r="Y408">
        <f>HYPERLINK("https://klasma.github.io/Logging_2039/tillsynsmail/A 54632-2021 tillsynsbegäran mail.docx", "A 54632-2021")</f>
        <v/>
      </c>
    </row>
    <row r="409" ht="15" customHeight="1">
      <c r="A409" t="inlineStr">
        <is>
          <t>A 2377-2024</t>
        </is>
      </c>
      <c r="B409" s="1" t="n">
        <v>45310.63633101852</v>
      </c>
      <c r="C409" s="1" t="n">
        <v>46030</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2384-2024</t>
        </is>
      </c>
      <c r="B410" s="1" t="n">
        <v>45310.65099537037</v>
      </c>
      <c r="C410" s="1" t="n">
        <v>46030</v>
      </c>
      <c r="D410" t="inlineStr">
        <is>
          <t>DALARNAS LÄN</t>
        </is>
      </c>
      <c r="E410" t="inlineStr">
        <is>
          <t>ÄLVDALEN</t>
        </is>
      </c>
      <c r="G410" t="n">
        <v>2.7</v>
      </c>
      <c r="H410" t="n">
        <v>0</v>
      </c>
      <c r="I410" t="n">
        <v>0</v>
      </c>
      <c r="J410" t="n">
        <v>0</v>
      </c>
      <c r="K410" t="n">
        <v>0</v>
      </c>
      <c r="L410" t="n">
        <v>0</v>
      </c>
      <c r="M410" t="n">
        <v>0</v>
      </c>
      <c r="N410" t="n">
        <v>0</v>
      </c>
      <c r="O410" t="n">
        <v>0</v>
      </c>
      <c r="P410" t="n">
        <v>0</v>
      </c>
      <c r="Q410" t="n">
        <v>0</v>
      </c>
      <c r="R410" s="2" t="inlineStr"/>
    </row>
    <row r="411" ht="15" customHeight="1">
      <c r="A411" t="inlineStr">
        <is>
          <t>A 42426-2023</t>
        </is>
      </c>
      <c r="B411" s="1" t="n">
        <v>45175</v>
      </c>
      <c r="C411" s="1" t="n">
        <v>46030</v>
      </c>
      <c r="D411" t="inlineStr">
        <is>
          <t>DALARNAS LÄN</t>
        </is>
      </c>
      <c r="E411" t="inlineStr">
        <is>
          <t>ÄLVDALEN</t>
        </is>
      </c>
      <c r="G411" t="n">
        <v>3.6</v>
      </c>
      <c r="H411" t="n">
        <v>0</v>
      </c>
      <c r="I411" t="n">
        <v>0</v>
      </c>
      <c r="J411" t="n">
        <v>0</v>
      </c>
      <c r="K411" t="n">
        <v>0</v>
      </c>
      <c r="L411" t="n">
        <v>0</v>
      </c>
      <c r="M411" t="n">
        <v>0</v>
      </c>
      <c r="N411" t="n">
        <v>0</v>
      </c>
      <c r="O411" t="n">
        <v>0</v>
      </c>
      <c r="P411" t="n">
        <v>0</v>
      </c>
      <c r="Q411" t="n">
        <v>0</v>
      </c>
      <c r="R411" s="2" t="inlineStr"/>
    </row>
    <row r="412" ht="15" customHeight="1">
      <c r="A412" t="inlineStr">
        <is>
          <t>A 38814-2025</t>
        </is>
      </c>
      <c r="B412" s="1" t="n">
        <v>45887</v>
      </c>
      <c r="C412" s="1" t="n">
        <v>46030</v>
      </c>
      <c r="D412" t="inlineStr">
        <is>
          <t>DALARNAS LÄN</t>
        </is>
      </c>
      <c r="E412" t="inlineStr">
        <is>
          <t>ÄLVDALEN</t>
        </is>
      </c>
      <c r="G412" t="n">
        <v>1.9</v>
      </c>
      <c r="H412" t="n">
        <v>0</v>
      </c>
      <c r="I412" t="n">
        <v>0</v>
      </c>
      <c r="J412" t="n">
        <v>0</v>
      </c>
      <c r="K412" t="n">
        <v>0</v>
      </c>
      <c r="L412" t="n">
        <v>0</v>
      </c>
      <c r="M412" t="n">
        <v>0</v>
      </c>
      <c r="N412" t="n">
        <v>0</v>
      </c>
      <c r="O412" t="n">
        <v>0</v>
      </c>
      <c r="P412" t="n">
        <v>0</v>
      </c>
      <c r="Q412" t="n">
        <v>0</v>
      </c>
      <c r="R412" s="2" t="inlineStr"/>
    </row>
    <row r="413" ht="15" customHeight="1">
      <c r="A413" t="inlineStr">
        <is>
          <t>A 241-2026</t>
        </is>
      </c>
      <c r="B413" s="1" t="n">
        <v>46027.38569444444</v>
      </c>
      <c r="C413" s="1" t="n">
        <v>46030</v>
      </c>
      <c r="D413" t="inlineStr">
        <is>
          <t>DALARNAS LÄN</t>
        </is>
      </c>
      <c r="E413" t="inlineStr">
        <is>
          <t>ÄLVDALEN</t>
        </is>
      </c>
      <c r="F413" t="inlineStr">
        <is>
          <t>Bergvik skog väst AB</t>
        </is>
      </c>
      <c r="G413" t="n">
        <v>2.8</v>
      </c>
      <c r="H413" t="n">
        <v>0</v>
      </c>
      <c r="I413" t="n">
        <v>0</v>
      </c>
      <c r="J413" t="n">
        <v>0</v>
      </c>
      <c r="K413" t="n">
        <v>0</v>
      </c>
      <c r="L413" t="n">
        <v>0</v>
      </c>
      <c r="M413" t="n">
        <v>0</v>
      </c>
      <c r="N413" t="n">
        <v>0</v>
      </c>
      <c r="O413" t="n">
        <v>0</v>
      </c>
      <c r="P413" t="n">
        <v>0</v>
      </c>
      <c r="Q413" t="n">
        <v>0</v>
      </c>
      <c r="R413" s="2" t="inlineStr"/>
    </row>
    <row r="414" ht="15" customHeight="1">
      <c r="A414" t="inlineStr">
        <is>
          <t>A 36593-2023</t>
        </is>
      </c>
      <c r="B414" s="1" t="n">
        <v>45153.47732638889</v>
      </c>
      <c r="C414" s="1" t="n">
        <v>46030</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34314-2025</t>
        </is>
      </c>
      <c r="B415" s="1" t="n">
        <v>45846</v>
      </c>
      <c r="C415" s="1" t="n">
        <v>46030</v>
      </c>
      <c r="D415" t="inlineStr">
        <is>
          <t>DALARNAS LÄN</t>
        </is>
      </c>
      <c r="E415" t="inlineStr">
        <is>
          <t>ÄLVDALEN</t>
        </is>
      </c>
      <c r="F415" t="inlineStr">
        <is>
          <t>Bergvik skog väst AB</t>
        </is>
      </c>
      <c r="G415" t="n">
        <v>6</v>
      </c>
      <c r="H415" t="n">
        <v>0</v>
      </c>
      <c r="I415" t="n">
        <v>0</v>
      </c>
      <c r="J415" t="n">
        <v>0</v>
      </c>
      <c r="K415" t="n">
        <v>0</v>
      </c>
      <c r="L415" t="n">
        <v>0</v>
      </c>
      <c r="M415" t="n">
        <v>0</v>
      </c>
      <c r="N415" t="n">
        <v>0</v>
      </c>
      <c r="O415" t="n">
        <v>0</v>
      </c>
      <c r="P415" t="n">
        <v>0</v>
      </c>
      <c r="Q415" t="n">
        <v>0</v>
      </c>
      <c r="R415" s="2" t="inlineStr"/>
    </row>
    <row r="416" ht="15" customHeight="1">
      <c r="A416" t="inlineStr">
        <is>
          <t>A 760-2025</t>
        </is>
      </c>
      <c r="B416" s="1" t="n">
        <v>45665.44936342593</v>
      </c>
      <c r="C416" s="1" t="n">
        <v>46030</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55589-2022</t>
        </is>
      </c>
      <c r="B417" s="1" t="n">
        <v>44888.40673611111</v>
      </c>
      <c r="C417" s="1" t="n">
        <v>46030</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41004-2023</t>
        </is>
      </c>
      <c r="B418" s="1" t="n">
        <v>45173</v>
      </c>
      <c r="C418" s="1" t="n">
        <v>46030</v>
      </c>
      <c r="D418" t="inlineStr">
        <is>
          <t>DALARNAS LÄN</t>
        </is>
      </c>
      <c r="E418" t="inlineStr">
        <is>
          <t>ÄLVDALEN</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34526-2025</t>
        </is>
      </c>
      <c r="B419" s="1" t="n">
        <v>45847.47820601852</v>
      </c>
      <c r="C419" s="1" t="n">
        <v>46030</v>
      </c>
      <c r="D419" t="inlineStr">
        <is>
          <t>DALARNAS LÄN</t>
        </is>
      </c>
      <c r="E419" t="inlineStr">
        <is>
          <t>ÄLVDALEN</t>
        </is>
      </c>
      <c r="F419" t="inlineStr">
        <is>
          <t>Allmännings- och besparingsskogar</t>
        </is>
      </c>
      <c r="G419" t="n">
        <v>3.9</v>
      </c>
      <c r="H419" t="n">
        <v>0</v>
      </c>
      <c r="I419" t="n">
        <v>0</v>
      </c>
      <c r="J419" t="n">
        <v>0</v>
      </c>
      <c r="K419" t="n">
        <v>0</v>
      </c>
      <c r="L419" t="n">
        <v>0</v>
      </c>
      <c r="M419" t="n">
        <v>0</v>
      </c>
      <c r="N419" t="n">
        <v>0</v>
      </c>
      <c r="O419" t="n">
        <v>0</v>
      </c>
      <c r="P419" t="n">
        <v>0</v>
      </c>
      <c r="Q419" t="n">
        <v>0</v>
      </c>
      <c r="R419" s="2" t="inlineStr"/>
    </row>
    <row r="420" ht="15" customHeight="1">
      <c r="A420" t="inlineStr">
        <is>
          <t>A 34914-2025</t>
        </is>
      </c>
      <c r="B420" s="1" t="n">
        <v>45849.54108796296</v>
      </c>
      <c r="C420" s="1" t="n">
        <v>46030</v>
      </c>
      <c r="D420" t="inlineStr">
        <is>
          <t>DALARNAS LÄN</t>
        </is>
      </c>
      <c r="E420" t="inlineStr">
        <is>
          <t>ÄLVDALEN</t>
        </is>
      </c>
      <c r="F420" t="inlineStr">
        <is>
          <t>Allmännings- och besparingsskogar</t>
        </is>
      </c>
      <c r="G420" t="n">
        <v>19.2</v>
      </c>
      <c r="H420" t="n">
        <v>0</v>
      </c>
      <c r="I420" t="n">
        <v>0</v>
      </c>
      <c r="J420" t="n">
        <v>0</v>
      </c>
      <c r="K420" t="n">
        <v>0</v>
      </c>
      <c r="L420" t="n">
        <v>0</v>
      </c>
      <c r="M420" t="n">
        <v>0</v>
      </c>
      <c r="N420" t="n">
        <v>0</v>
      </c>
      <c r="O420" t="n">
        <v>0</v>
      </c>
      <c r="P420" t="n">
        <v>0</v>
      </c>
      <c r="Q420" t="n">
        <v>0</v>
      </c>
      <c r="R420" s="2" t="inlineStr"/>
    </row>
    <row r="421" ht="15" customHeight="1">
      <c r="A421" t="inlineStr">
        <is>
          <t>A 34778-2025</t>
        </is>
      </c>
      <c r="B421" s="1" t="n">
        <v>45848.66840277778</v>
      </c>
      <c r="C421" s="1" t="n">
        <v>46030</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34645-2025</t>
        </is>
      </c>
      <c r="B422" s="1" t="n">
        <v>45848.33440972222</v>
      </c>
      <c r="C422" s="1" t="n">
        <v>46030</v>
      </c>
      <c r="D422" t="inlineStr">
        <is>
          <t>DALARNAS LÄN</t>
        </is>
      </c>
      <c r="E422" t="inlineStr">
        <is>
          <t>ÄLVDALEN</t>
        </is>
      </c>
      <c r="G422" t="n">
        <v>7.1</v>
      </c>
      <c r="H422" t="n">
        <v>0</v>
      </c>
      <c r="I422" t="n">
        <v>0</v>
      </c>
      <c r="J422" t="n">
        <v>0</v>
      </c>
      <c r="K422" t="n">
        <v>0</v>
      </c>
      <c r="L422" t="n">
        <v>0</v>
      </c>
      <c r="M422" t="n">
        <v>0</v>
      </c>
      <c r="N422" t="n">
        <v>0</v>
      </c>
      <c r="O422" t="n">
        <v>0</v>
      </c>
      <c r="P422" t="n">
        <v>0</v>
      </c>
      <c r="Q422" t="n">
        <v>0</v>
      </c>
      <c r="R422" s="2" t="inlineStr"/>
    </row>
    <row r="423" ht="15" customHeight="1">
      <c r="A423" t="inlineStr">
        <is>
          <t>A 34697-2025</t>
        </is>
      </c>
      <c r="B423" s="1" t="n">
        <v>45848.46181712963</v>
      </c>
      <c r="C423" s="1" t="n">
        <v>46030</v>
      </c>
      <c r="D423" t="inlineStr">
        <is>
          <t>DALARNAS LÄN</t>
        </is>
      </c>
      <c r="E423" t="inlineStr">
        <is>
          <t>ÄLVDALEN</t>
        </is>
      </c>
      <c r="F423" t="inlineStr">
        <is>
          <t>Allmännings- och besparingsskogar</t>
        </is>
      </c>
      <c r="G423" t="n">
        <v>7.8</v>
      </c>
      <c r="H423" t="n">
        <v>0</v>
      </c>
      <c r="I423" t="n">
        <v>0</v>
      </c>
      <c r="J423" t="n">
        <v>0</v>
      </c>
      <c r="K423" t="n">
        <v>0</v>
      </c>
      <c r="L423" t="n">
        <v>0</v>
      </c>
      <c r="M423" t="n">
        <v>0</v>
      </c>
      <c r="N423" t="n">
        <v>0</v>
      </c>
      <c r="O423" t="n">
        <v>0</v>
      </c>
      <c r="P423" t="n">
        <v>0</v>
      </c>
      <c r="Q423" t="n">
        <v>0</v>
      </c>
      <c r="R423" s="2" t="inlineStr"/>
    </row>
    <row r="424" ht="15" customHeight="1">
      <c r="A424" t="inlineStr">
        <is>
          <t>A 34705-2025</t>
        </is>
      </c>
      <c r="B424" s="1" t="n">
        <v>45848.49012731481</v>
      </c>
      <c r="C424" s="1" t="n">
        <v>46030</v>
      </c>
      <c r="D424" t="inlineStr">
        <is>
          <t>DALARNAS LÄN</t>
        </is>
      </c>
      <c r="E424" t="inlineStr">
        <is>
          <t>ÄLVDALEN</t>
        </is>
      </c>
      <c r="F424" t="inlineStr">
        <is>
          <t>Allmännings- och besparingsskogar</t>
        </is>
      </c>
      <c r="G424" t="n">
        <v>1.1</v>
      </c>
      <c r="H424" t="n">
        <v>0</v>
      </c>
      <c r="I424" t="n">
        <v>0</v>
      </c>
      <c r="J424" t="n">
        <v>0</v>
      </c>
      <c r="K424" t="n">
        <v>0</v>
      </c>
      <c r="L424" t="n">
        <v>0</v>
      </c>
      <c r="M424" t="n">
        <v>0</v>
      </c>
      <c r="N424" t="n">
        <v>0</v>
      </c>
      <c r="O424" t="n">
        <v>0</v>
      </c>
      <c r="P424" t="n">
        <v>0</v>
      </c>
      <c r="Q424" t="n">
        <v>0</v>
      </c>
      <c r="R424" s="2" t="inlineStr"/>
    </row>
    <row r="425" ht="15" customHeight="1">
      <c r="A425" t="inlineStr">
        <is>
          <t>A 34850-2025</t>
        </is>
      </c>
      <c r="B425" s="1" t="n">
        <v>45849.42398148148</v>
      </c>
      <c r="C425" s="1" t="n">
        <v>46030</v>
      </c>
      <c r="D425" t="inlineStr">
        <is>
          <t>DALARNAS LÄN</t>
        </is>
      </c>
      <c r="E425" t="inlineStr">
        <is>
          <t>ÄLVDALEN</t>
        </is>
      </c>
      <c r="F425" t="inlineStr">
        <is>
          <t>Allmännings- och besparingsskogar</t>
        </is>
      </c>
      <c r="G425" t="n">
        <v>12.1</v>
      </c>
      <c r="H425" t="n">
        <v>0</v>
      </c>
      <c r="I425" t="n">
        <v>0</v>
      </c>
      <c r="J425" t="n">
        <v>0</v>
      </c>
      <c r="K425" t="n">
        <v>0</v>
      </c>
      <c r="L425" t="n">
        <v>0</v>
      </c>
      <c r="M425" t="n">
        <v>0</v>
      </c>
      <c r="N425" t="n">
        <v>0</v>
      </c>
      <c r="O425" t="n">
        <v>0</v>
      </c>
      <c r="P425" t="n">
        <v>0</v>
      </c>
      <c r="Q425" t="n">
        <v>0</v>
      </c>
      <c r="R425" s="2" t="inlineStr"/>
    </row>
    <row r="426" ht="15" customHeight="1">
      <c r="A426" t="inlineStr">
        <is>
          <t>A 34739-2025</t>
        </is>
      </c>
      <c r="B426" s="1" t="n">
        <v>45848.60682870371</v>
      </c>
      <c r="C426" s="1" t="n">
        <v>46030</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50314-2025</t>
        </is>
      </c>
      <c r="B427" s="1" t="n">
        <v>45944.44439814815</v>
      </c>
      <c r="C427" s="1" t="n">
        <v>46030</v>
      </c>
      <c r="D427" t="inlineStr">
        <is>
          <t>DALARNAS LÄN</t>
        </is>
      </c>
      <c r="E427" t="inlineStr">
        <is>
          <t>ÄLVDALEN</t>
        </is>
      </c>
      <c r="G427" t="n">
        <v>1.5</v>
      </c>
      <c r="H427" t="n">
        <v>0</v>
      </c>
      <c r="I427" t="n">
        <v>0</v>
      </c>
      <c r="J427" t="n">
        <v>0</v>
      </c>
      <c r="K427" t="n">
        <v>0</v>
      </c>
      <c r="L427" t="n">
        <v>0</v>
      </c>
      <c r="M427" t="n">
        <v>0</v>
      </c>
      <c r="N427" t="n">
        <v>0</v>
      </c>
      <c r="O427" t="n">
        <v>0</v>
      </c>
      <c r="P427" t="n">
        <v>0</v>
      </c>
      <c r="Q427" t="n">
        <v>0</v>
      </c>
      <c r="R427" s="2" t="inlineStr"/>
    </row>
    <row r="428" ht="15" customHeight="1">
      <c r="A428" t="inlineStr">
        <is>
          <t>A 47071-2023</t>
        </is>
      </c>
      <c r="B428" s="1" t="n">
        <v>45201.60141203704</v>
      </c>
      <c r="C428" s="1" t="n">
        <v>46030</v>
      </c>
      <c r="D428" t="inlineStr">
        <is>
          <t>DALARNAS LÄN</t>
        </is>
      </c>
      <c r="E428" t="inlineStr">
        <is>
          <t>ÄLVDALEN</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26734-2021</t>
        </is>
      </c>
      <c r="B429" s="1" t="n">
        <v>44349.39537037037</v>
      </c>
      <c r="C429" s="1" t="n">
        <v>46030</v>
      </c>
      <c r="D429" t="inlineStr">
        <is>
          <t>DALARNAS LÄN</t>
        </is>
      </c>
      <c r="E429" t="inlineStr">
        <is>
          <t>ÄLVDALEN</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61575-2024</t>
        </is>
      </c>
      <c r="B430" s="1" t="n">
        <v>45646.61907407407</v>
      </c>
      <c r="C430" s="1" t="n">
        <v>46030</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27187-2025</t>
        </is>
      </c>
      <c r="B431" s="1" t="n">
        <v>45812</v>
      </c>
      <c r="C431" s="1" t="n">
        <v>46030</v>
      </c>
      <c r="D431" t="inlineStr">
        <is>
          <t>DALARNAS LÄN</t>
        </is>
      </c>
      <c r="E431" t="inlineStr">
        <is>
          <t>ÄLVDALEN</t>
        </is>
      </c>
      <c r="F431" t="inlineStr">
        <is>
          <t>Allmännings- och besparingsskogar</t>
        </is>
      </c>
      <c r="G431" t="n">
        <v>3</v>
      </c>
      <c r="H431" t="n">
        <v>0</v>
      </c>
      <c r="I431" t="n">
        <v>0</v>
      </c>
      <c r="J431" t="n">
        <v>0</v>
      </c>
      <c r="K431" t="n">
        <v>0</v>
      </c>
      <c r="L431" t="n">
        <v>0</v>
      </c>
      <c r="M431" t="n">
        <v>0</v>
      </c>
      <c r="N431" t="n">
        <v>0</v>
      </c>
      <c r="O431" t="n">
        <v>0</v>
      </c>
      <c r="P431" t="n">
        <v>0</v>
      </c>
      <c r="Q431" t="n">
        <v>0</v>
      </c>
      <c r="R431" s="2" t="inlineStr"/>
    </row>
    <row r="432" ht="15" customHeight="1">
      <c r="A432" t="inlineStr">
        <is>
          <t>A 57665-2024</t>
        </is>
      </c>
      <c r="B432" s="1" t="n">
        <v>45630.62005787037</v>
      </c>
      <c r="C432" s="1" t="n">
        <v>46030</v>
      </c>
      <c r="D432" t="inlineStr">
        <is>
          <t>DALARNAS LÄN</t>
        </is>
      </c>
      <c r="E432" t="inlineStr">
        <is>
          <t>ÄLVDALEN</t>
        </is>
      </c>
      <c r="F432" t="inlineStr">
        <is>
          <t>Allmännings- och besparingsskogar</t>
        </is>
      </c>
      <c r="G432" t="n">
        <v>2</v>
      </c>
      <c r="H432" t="n">
        <v>0</v>
      </c>
      <c r="I432" t="n">
        <v>0</v>
      </c>
      <c r="J432" t="n">
        <v>0</v>
      </c>
      <c r="K432" t="n">
        <v>0</v>
      </c>
      <c r="L432" t="n">
        <v>0</v>
      </c>
      <c r="M432" t="n">
        <v>0</v>
      </c>
      <c r="N432" t="n">
        <v>0</v>
      </c>
      <c r="O432" t="n">
        <v>0</v>
      </c>
      <c r="P432" t="n">
        <v>0</v>
      </c>
      <c r="Q432" t="n">
        <v>0</v>
      </c>
      <c r="R432" s="2" t="inlineStr"/>
    </row>
    <row r="433" ht="15" customHeight="1">
      <c r="A433" t="inlineStr">
        <is>
          <t>A 6001-2024</t>
        </is>
      </c>
      <c r="B433" s="1" t="n">
        <v>45336</v>
      </c>
      <c r="C433" s="1" t="n">
        <v>46030</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505-2024</t>
        </is>
      </c>
      <c r="B434" s="1" t="n">
        <v>45299</v>
      </c>
      <c r="C434" s="1" t="n">
        <v>46030</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54493-2023</t>
        </is>
      </c>
      <c r="B435" s="1" t="n">
        <v>45233.50606481481</v>
      </c>
      <c r="C435" s="1" t="n">
        <v>46030</v>
      </c>
      <c r="D435" t="inlineStr">
        <is>
          <t>DALARNAS LÄN</t>
        </is>
      </c>
      <c r="E435" t="inlineStr">
        <is>
          <t>ÄLVDALEN</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2375-2024</t>
        </is>
      </c>
      <c r="B436" s="1" t="n">
        <v>45310</v>
      </c>
      <c r="C436" s="1" t="n">
        <v>46030</v>
      </c>
      <c r="D436" t="inlineStr">
        <is>
          <t>DALARNAS LÄN</t>
        </is>
      </c>
      <c r="E436" t="inlineStr">
        <is>
          <t>ÄLVDALEN</t>
        </is>
      </c>
      <c r="G436" t="n">
        <v>5.4</v>
      </c>
      <c r="H436" t="n">
        <v>0</v>
      </c>
      <c r="I436" t="n">
        <v>0</v>
      </c>
      <c r="J436" t="n">
        <v>0</v>
      </c>
      <c r="K436" t="n">
        <v>0</v>
      </c>
      <c r="L436" t="n">
        <v>0</v>
      </c>
      <c r="M436" t="n">
        <v>0</v>
      </c>
      <c r="N436" t="n">
        <v>0</v>
      </c>
      <c r="O436" t="n">
        <v>0</v>
      </c>
      <c r="P436" t="n">
        <v>0</v>
      </c>
      <c r="Q436" t="n">
        <v>0</v>
      </c>
      <c r="R436" s="2" t="inlineStr"/>
    </row>
    <row r="437" ht="15" customHeight="1">
      <c r="A437" t="inlineStr">
        <is>
          <t>A 59256-2025</t>
        </is>
      </c>
      <c r="B437" s="1" t="n">
        <v>45988.65612268518</v>
      </c>
      <c r="C437" s="1" t="n">
        <v>46030</v>
      </c>
      <c r="D437" t="inlineStr">
        <is>
          <t>DALARNAS LÄN</t>
        </is>
      </c>
      <c r="E437" t="inlineStr">
        <is>
          <t>ÄLVDALEN</t>
        </is>
      </c>
      <c r="G437" t="n">
        <v>1.2</v>
      </c>
      <c r="H437" t="n">
        <v>0</v>
      </c>
      <c r="I437" t="n">
        <v>0</v>
      </c>
      <c r="J437" t="n">
        <v>0</v>
      </c>
      <c r="K437" t="n">
        <v>0</v>
      </c>
      <c r="L437" t="n">
        <v>0</v>
      </c>
      <c r="M437" t="n">
        <v>0</v>
      </c>
      <c r="N437" t="n">
        <v>0</v>
      </c>
      <c r="O437" t="n">
        <v>0</v>
      </c>
      <c r="P437" t="n">
        <v>0</v>
      </c>
      <c r="Q437" t="n">
        <v>0</v>
      </c>
      <c r="R437" s="2" t="inlineStr"/>
    </row>
    <row r="438" ht="15" customHeight="1">
      <c r="A438" t="inlineStr">
        <is>
          <t>A 61072-2024</t>
        </is>
      </c>
      <c r="B438" s="1" t="n">
        <v>45645.50583333334</v>
      </c>
      <c r="C438" s="1" t="n">
        <v>46030</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35993-2025</t>
        </is>
      </c>
      <c r="B439" s="1" t="n">
        <v>45863.48056712963</v>
      </c>
      <c r="C439" s="1" t="n">
        <v>46030</v>
      </c>
      <c r="D439" t="inlineStr">
        <is>
          <t>DALARNAS LÄN</t>
        </is>
      </c>
      <c r="E439" t="inlineStr">
        <is>
          <t>ÄLVDALEN</t>
        </is>
      </c>
      <c r="F439" t="inlineStr">
        <is>
          <t>Bergvik skog öst AB</t>
        </is>
      </c>
      <c r="G439" t="n">
        <v>6.1</v>
      </c>
      <c r="H439" t="n">
        <v>0</v>
      </c>
      <c r="I439" t="n">
        <v>0</v>
      </c>
      <c r="J439" t="n">
        <v>0</v>
      </c>
      <c r="K439" t="n">
        <v>0</v>
      </c>
      <c r="L439" t="n">
        <v>0</v>
      </c>
      <c r="M439" t="n">
        <v>0</v>
      </c>
      <c r="N439" t="n">
        <v>0</v>
      </c>
      <c r="O439" t="n">
        <v>0</v>
      </c>
      <c r="P439" t="n">
        <v>0</v>
      </c>
      <c r="Q439" t="n">
        <v>0</v>
      </c>
      <c r="R439" s="2" t="inlineStr"/>
    </row>
    <row r="440" ht="15" customHeight="1">
      <c r="A440" t="inlineStr">
        <is>
          <t>A 30799-2021</t>
        </is>
      </c>
      <c r="B440" s="1" t="n">
        <v>44365.51483796296</v>
      </c>
      <c r="C440" s="1" t="n">
        <v>46030</v>
      </c>
      <c r="D440" t="inlineStr">
        <is>
          <t>DALARNAS LÄN</t>
        </is>
      </c>
      <c r="E440" t="inlineStr">
        <is>
          <t>ÄLVDALEN</t>
        </is>
      </c>
      <c r="G440" t="n">
        <v>1.2</v>
      </c>
      <c r="H440" t="n">
        <v>0</v>
      </c>
      <c r="I440" t="n">
        <v>0</v>
      </c>
      <c r="J440" t="n">
        <v>0</v>
      </c>
      <c r="K440" t="n">
        <v>0</v>
      </c>
      <c r="L440" t="n">
        <v>0</v>
      </c>
      <c r="M440" t="n">
        <v>0</v>
      </c>
      <c r="N440" t="n">
        <v>0</v>
      </c>
      <c r="O440" t="n">
        <v>0</v>
      </c>
      <c r="P440" t="n">
        <v>0</v>
      </c>
      <c r="Q440" t="n">
        <v>0</v>
      </c>
      <c r="R440" s="2" t="inlineStr"/>
    </row>
    <row r="441" ht="15" customHeight="1">
      <c r="A441" t="inlineStr">
        <is>
          <t>A 31047-2024</t>
        </is>
      </c>
      <c r="B441" s="1" t="n">
        <v>45502.33021990741</v>
      </c>
      <c r="C441" s="1" t="n">
        <v>46030</v>
      </c>
      <c r="D441" t="inlineStr">
        <is>
          <t>DALARNAS LÄN</t>
        </is>
      </c>
      <c r="E441" t="inlineStr">
        <is>
          <t>ÄLVDALEN</t>
        </is>
      </c>
      <c r="F441" t="inlineStr">
        <is>
          <t>Sveaskog</t>
        </is>
      </c>
      <c r="G441" t="n">
        <v>8</v>
      </c>
      <c r="H441" t="n">
        <v>0</v>
      </c>
      <c r="I441" t="n">
        <v>0</v>
      </c>
      <c r="J441" t="n">
        <v>0</v>
      </c>
      <c r="K441" t="n">
        <v>0</v>
      </c>
      <c r="L441" t="n">
        <v>0</v>
      </c>
      <c r="M441" t="n">
        <v>0</v>
      </c>
      <c r="N441" t="n">
        <v>0</v>
      </c>
      <c r="O441" t="n">
        <v>0</v>
      </c>
      <c r="P441" t="n">
        <v>0</v>
      </c>
      <c r="Q441" t="n">
        <v>0</v>
      </c>
      <c r="R441" s="2" t="inlineStr"/>
    </row>
    <row r="442" ht="15" customHeight="1">
      <c r="A442" t="inlineStr">
        <is>
          <t>A 47080-2024</t>
        </is>
      </c>
      <c r="B442" s="1" t="n">
        <v>45586.50578703704</v>
      </c>
      <c r="C442" s="1" t="n">
        <v>46030</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36257-2025</t>
        </is>
      </c>
      <c r="B443" s="1" t="n">
        <v>45867.591875</v>
      </c>
      <c r="C443" s="1" t="n">
        <v>46030</v>
      </c>
      <c r="D443" t="inlineStr">
        <is>
          <t>DALARNAS LÄN</t>
        </is>
      </c>
      <c r="E443" t="inlineStr">
        <is>
          <t>ÄLVDALEN</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32009-2021</t>
        </is>
      </c>
      <c r="B444" s="1" t="n">
        <v>44370.63354166667</v>
      </c>
      <c r="C444" s="1" t="n">
        <v>46030</v>
      </c>
      <c r="D444" t="inlineStr">
        <is>
          <t>DALARNAS LÄN</t>
        </is>
      </c>
      <c r="E444" t="inlineStr">
        <is>
          <t>ÄLVDALEN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17558-2024</t>
        </is>
      </c>
      <c r="B445" s="1" t="n">
        <v>45415.66295138889</v>
      </c>
      <c r="C445" s="1" t="n">
        <v>46030</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51058-2025</t>
        </is>
      </c>
      <c r="B446" s="1" t="n">
        <v>45947.44518518518</v>
      </c>
      <c r="C446" s="1" t="n">
        <v>46030</v>
      </c>
      <c r="D446" t="inlineStr">
        <is>
          <t>DALARNAS LÄN</t>
        </is>
      </c>
      <c r="E446" t="inlineStr">
        <is>
          <t>ÄLVDALEN</t>
        </is>
      </c>
      <c r="G446" t="n">
        <v>3.8</v>
      </c>
      <c r="H446" t="n">
        <v>0</v>
      </c>
      <c r="I446" t="n">
        <v>0</v>
      </c>
      <c r="J446" t="n">
        <v>0</v>
      </c>
      <c r="K446" t="n">
        <v>0</v>
      </c>
      <c r="L446" t="n">
        <v>0</v>
      </c>
      <c r="M446" t="n">
        <v>0</v>
      </c>
      <c r="N446" t="n">
        <v>0</v>
      </c>
      <c r="O446" t="n">
        <v>0</v>
      </c>
      <c r="P446" t="n">
        <v>0</v>
      </c>
      <c r="Q446" t="n">
        <v>0</v>
      </c>
      <c r="R446" s="2" t="inlineStr"/>
    </row>
    <row r="447" ht="15" customHeight="1">
      <c r="A447" t="inlineStr">
        <is>
          <t>A 59234-2025</t>
        </is>
      </c>
      <c r="B447" s="1" t="n">
        <v>45988.62946759259</v>
      </c>
      <c r="C447" s="1" t="n">
        <v>46030</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59250-2025</t>
        </is>
      </c>
      <c r="B448" s="1" t="n">
        <v>45988.65004629629</v>
      </c>
      <c r="C448" s="1" t="n">
        <v>46030</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19583-2025</t>
        </is>
      </c>
      <c r="B449" s="1" t="n">
        <v>45770</v>
      </c>
      <c r="C449" s="1" t="n">
        <v>46030</v>
      </c>
      <c r="D449" t="inlineStr">
        <is>
          <t>DALARNAS LÄN</t>
        </is>
      </c>
      <c r="E449" t="inlineStr">
        <is>
          <t>ÄLVDALEN</t>
        </is>
      </c>
      <c r="F449" t="inlineStr">
        <is>
          <t>Sveaskog</t>
        </is>
      </c>
      <c r="G449" t="n">
        <v>24.1</v>
      </c>
      <c r="H449" t="n">
        <v>0</v>
      </c>
      <c r="I449" t="n">
        <v>0</v>
      </c>
      <c r="J449" t="n">
        <v>0</v>
      </c>
      <c r="K449" t="n">
        <v>0</v>
      </c>
      <c r="L449" t="n">
        <v>0</v>
      </c>
      <c r="M449" t="n">
        <v>0</v>
      </c>
      <c r="N449" t="n">
        <v>0</v>
      </c>
      <c r="O449" t="n">
        <v>0</v>
      </c>
      <c r="P449" t="n">
        <v>0</v>
      </c>
      <c r="Q449" t="n">
        <v>0</v>
      </c>
      <c r="R449" s="2" t="inlineStr"/>
    </row>
    <row r="450" ht="15" customHeight="1">
      <c r="A450" t="inlineStr">
        <is>
          <t>A 51442-2025</t>
        </is>
      </c>
      <c r="B450" s="1" t="n">
        <v>45950.57458333333</v>
      </c>
      <c r="C450" s="1" t="n">
        <v>46030</v>
      </c>
      <c r="D450" t="inlineStr">
        <is>
          <t>DALARNAS LÄN</t>
        </is>
      </c>
      <c r="E450" t="inlineStr">
        <is>
          <t>ÄLVDALEN</t>
        </is>
      </c>
      <c r="F450" t="inlineStr">
        <is>
          <t>Bergvik skog väst AB</t>
        </is>
      </c>
      <c r="G450" t="n">
        <v>6.3</v>
      </c>
      <c r="H450" t="n">
        <v>0</v>
      </c>
      <c r="I450" t="n">
        <v>0</v>
      </c>
      <c r="J450" t="n">
        <v>0</v>
      </c>
      <c r="K450" t="n">
        <v>0</v>
      </c>
      <c r="L450" t="n">
        <v>0</v>
      </c>
      <c r="M450" t="n">
        <v>0</v>
      </c>
      <c r="N450" t="n">
        <v>0</v>
      </c>
      <c r="O450" t="n">
        <v>0</v>
      </c>
      <c r="P450" t="n">
        <v>0</v>
      </c>
      <c r="Q450" t="n">
        <v>0</v>
      </c>
      <c r="R450" s="2" t="inlineStr"/>
    </row>
    <row r="451" ht="15" customHeight="1">
      <c r="A451" t="inlineStr">
        <is>
          <t>A 51381-2025</t>
        </is>
      </c>
      <c r="B451" s="1" t="n">
        <v>45950.45982638889</v>
      </c>
      <c r="C451" s="1" t="n">
        <v>46030</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19578-2025</t>
        </is>
      </c>
      <c r="B452" s="1" t="n">
        <v>45770</v>
      </c>
      <c r="C452" s="1" t="n">
        <v>46030</v>
      </c>
      <c r="D452" t="inlineStr">
        <is>
          <t>DALARNAS LÄN</t>
        </is>
      </c>
      <c r="E452" t="inlineStr">
        <is>
          <t>ÄLVDALEN</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51392-2025</t>
        </is>
      </c>
      <c r="B453" s="1" t="n">
        <v>45950.46956018519</v>
      </c>
      <c r="C453" s="1" t="n">
        <v>46030</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59588-2025</t>
        </is>
      </c>
      <c r="B454" s="1" t="n">
        <v>45992.33900462963</v>
      </c>
      <c r="C454" s="1" t="n">
        <v>46030</v>
      </c>
      <c r="D454" t="inlineStr">
        <is>
          <t>DALARNAS LÄN</t>
        </is>
      </c>
      <c r="E454" t="inlineStr">
        <is>
          <t>ÄLVDALEN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6675-2025</t>
        </is>
      </c>
      <c r="B455" s="1" t="n">
        <v>45700.47643518518</v>
      </c>
      <c r="C455" s="1" t="n">
        <v>46030</v>
      </c>
      <c r="D455" t="inlineStr">
        <is>
          <t>DALARNAS LÄN</t>
        </is>
      </c>
      <c r="E455" t="inlineStr">
        <is>
          <t>ÄLVDALEN</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59590-2025</t>
        </is>
      </c>
      <c r="B456" s="1" t="n">
        <v>45992.34043981481</v>
      </c>
      <c r="C456" s="1" t="n">
        <v>46030</v>
      </c>
      <c r="D456" t="inlineStr">
        <is>
          <t>DALARNAS LÄN</t>
        </is>
      </c>
      <c r="E456" t="inlineStr">
        <is>
          <t>ÄLVDALEN</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46030</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10817-2025</t>
        </is>
      </c>
      <c r="B458" s="1" t="n">
        <v>45722.54625</v>
      </c>
      <c r="C458" s="1" t="n">
        <v>46030</v>
      </c>
      <c r="D458" t="inlineStr">
        <is>
          <t>DALARNAS LÄN</t>
        </is>
      </c>
      <c r="E458" t="inlineStr">
        <is>
          <t>ÄLVDALEN</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10831-2025</t>
        </is>
      </c>
      <c r="B459" s="1" t="n">
        <v>45722.56425925926</v>
      </c>
      <c r="C459" s="1" t="n">
        <v>46030</v>
      </c>
      <c r="D459" t="inlineStr">
        <is>
          <t>DALARNAS LÄN</t>
        </is>
      </c>
      <c r="E459" t="inlineStr">
        <is>
          <t>ÄLVDALEN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51399-2025</t>
        </is>
      </c>
      <c r="B460" s="1" t="n">
        <v>45950.47741898148</v>
      </c>
      <c r="C460" s="1" t="n">
        <v>46030</v>
      </c>
      <c r="D460" t="inlineStr">
        <is>
          <t>DALARNAS LÄN</t>
        </is>
      </c>
      <c r="E460" t="inlineStr">
        <is>
          <t>ÄLVDALEN</t>
        </is>
      </c>
      <c r="G460" t="n">
        <v>5.9</v>
      </c>
      <c r="H460" t="n">
        <v>0</v>
      </c>
      <c r="I460" t="n">
        <v>0</v>
      </c>
      <c r="J460" t="n">
        <v>0</v>
      </c>
      <c r="K460" t="n">
        <v>0</v>
      </c>
      <c r="L460" t="n">
        <v>0</v>
      </c>
      <c r="M460" t="n">
        <v>0</v>
      </c>
      <c r="N460" t="n">
        <v>0</v>
      </c>
      <c r="O460" t="n">
        <v>0</v>
      </c>
      <c r="P460" t="n">
        <v>0</v>
      </c>
      <c r="Q460" t="n">
        <v>0</v>
      </c>
      <c r="R460" s="2" t="inlineStr"/>
    </row>
    <row r="461" ht="15" customHeight="1">
      <c r="A461" t="inlineStr">
        <is>
          <t>A 43990-2024</t>
        </is>
      </c>
      <c r="B461" s="1" t="n">
        <v>45572</v>
      </c>
      <c r="C461" s="1" t="n">
        <v>46030</v>
      </c>
      <c r="D461" t="inlineStr">
        <is>
          <t>DALARNAS LÄN</t>
        </is>
      </c>
      <c r="E461" t="inlineStr">
        <is>
          <t>ÄLVDALEN</t>
        </is>
      </c>
      <c r="F461" t="inlineStr">
        <is>
          <t>Kommuner</t>
        </is>
      </c>
      <c r="G461" t="n">
        <v>0</v>
      </c>
      <c r="H461" t="n">
        <v>0</v>
      </c>
      <c r="I461" t="n">
        <v>0</v>
      </c>
      <c r="J461" t="n">
        <v>0</v>
      </c>
      <c r="K461" t="n">
        <v>0</v>
      </c>
      <c r="L461" t="n">
        <v>0</v>
      </c>
      <c r="M461" t="n">
        <v>0</v>
      </c>
      <c r="N461" t="n">
        <v>0</v>
      </c>
      <c r="O461" t="n">
        <v>0</v>
      </c>
      <c r="P461" t="n">
        <v>0</v>
      </c>
      <c r="Q461" t="n">
        <v>0</v>
      </c>
      <c r="R461" s="2" t="inlineStr"/>
    </row>
    <row r="462" ht="15" customHeight="1">
      <c r="A462" t="inlineStr">
        <is>
          <t>A 36830-2025</t>
        </is>
      </c>
      <c r="B462" s="1" t="n">
        <v>45874.34365740741</v>
      </c>
      <c r="C462" s="1" t="n">
        <v>46030</v>
      </c>
      <c r="D462" t="inlineStr">
        <is>
          <t>DALARNAS LÄN</t>
        </is>
      </c>
      <c r="E462" t="inlineStr">
        <is>
          <t>ÄLVDALEN</t>
        </is>
      </c>
      <c r="F462" t="inlineStr">
        <is>
          <t>Bergvik skog väst AB</t>
        </is>
      </c>
      <c r="G462" t="n">
        <v>5</v>
      </c>
      <c r="H462" t="n">
        <v>0</v>
      </c>
      <c r="I462" t="n">
        <v>0</v>
      </c>
      <c r="J462" t="n">
        <v>0</v>
      </c>
      <c r="K462" t="n">
        <v>0</v>
      </c>
      <c r="L462" t="n">
        <v>0</v>
      </c>
      <c r="M462" t="n">
        <v>0</v>
      </c>
      <c r="N462" t="n">
        <v>0</v>
      </c>
      <c r="O462" t="n">
        <v>0</v>
      </c>
      <c r="P462" t="n">
        <v>0</v>
      </c>
      <c r="Q462" t="n">
        <v>0</v>
      </c>
      <c r="R462" s="2" t="inlineStr"/>
    </row>
    <row r="463" ht="15" customHeight="1">
      <c r="A463" t="inlineStr">
        <is>
          <t>A 37186-2025</t>
        </is>
      </c>
      <c r="B463" s="1" t="n">
        <v>45875.63905092593</v>
      </c>
      <c r="C463" s="1" t="n">
        <v>46030</v>
      </c>
      <c r="D463" t="inlineStr">
        <is>
          <t>DALARNAS LÄN</t>
        </is>
      </c>
      <c r="E463" t="inlineStr">
        <is>
          <t>ÄLVDALEN</t>
        </is>
      </c>
      <c r="G463" t="n">
        <v>0.5</v>
      </c>
      <c r="H463" t="n">
        <v>0</v>
      </c>
      <c r="I463" t="n">
        <v>0</v>
      </c>
      <c r="J463" t="n">
        <v>0</v>
      </c>
      <c r="K463" t="n">
        <v>0</v>
      </c>
      <c r="L463" t="n">
        <v>0</v>
      </c>
      <c r="M463" t="n">
        <v>0</v>
      </c>
      <c r="N463" t="n">
        <v>0</v>
      </c>
      <c r="O463" t="n">
        <v>0</v>
      </c>
      <c r="P463" t="n">
        <v>0</v>
      </c>
      <c r="Q463" t="n">
        <v>0</v>
      </c>
      <c r="R463" s="2" t="inlineStr"/>
    </row>
    <row r="464" ht="15" customHeight="1">
      <c r="A464" t="inlineStr">
        <is>
          <t>A 45155-2023</t>
        </is>
      </c>
      <c r="B464" s="1" t="n">
        <v>45187</v>
      </c>
      <c r="C464" s="1" t="n">
        <v>46030</v>
      </c>
      <c r="D464" t="inlineStr">
        <is>
          <t>DALARNAS LÄN</t>
        </is>
      </c>
      <c r="E464" t="inlineStr">
        <is>
          <t>ÄLVDALEN</t>
        </is>
      </c>
      <c r="G464" t="n">
        <v>40.1</v>
      </c>
      <c r="H464" t="n">
        <v>0</v>
      </c>
      <c r="I464" t="n">
        <v>0</v>
      </c>
      <c r="J464" t="n">
        <v>0</v>
      </c>
      <c r="K464" t="n">
        <v>0</v>
      </c>
      <c r="L464" t="n">
        <v>0</v>
      </c>
      <c r="M464" t="n">
        <v>0</v>
      </c>
      <c r="N464" t="n">
        <v>0</v>
      </c>
      <c r="O464" t="n">
        <v>0</v>
      </c>
      <c r="P464" t="n">
        <v>0</v>
      </c>
      <c r="Q464" t="n">
        <v>0</v>
      </c>
      <c r="R464" s="2" t="inlineStr"/>
    </row>
    <row r="465" ht="15" customHeight="1">
      <c r="A465" t="inlineStr">
        <is>
          <t>A 41446-2024</t>
        </is>
      </c>
      <c r="B465" s="1" t="n">
        <v>45560.39483796297</v>
      </c>
      <c r="C465" s="1" t="n">
        <v>46030</v>
      </c>
      <c r="D465" t="inlineStr">
        <is>
          <t>DALARNAS LÄN</t>
        </is>
      </c>
      <c r="E465" t="inlineStr">
        <is>
          <t>ÄLVDALEN</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52152-2025</t>
        </is>
      </c>
      <c r="B466" s="1" t="n">
        <v>45953.34563657407</v>
      </c>
      <c r="C466" s="1" t="n">
        <v>46030</v>
      </c>
      <c r="D466" t="inlineStr">
        <is>
          <t>DALARNAS LÄN</t>
        </is>
      </c>
      <c r="E466" t="inlineStr">
        <is>
          <t>ÄLVDALEN</t>
        </is>
      </c>
      <c r="F466" t="inlineStr">
        <is>
          <t>Allmännings- och besparingsskogar</t>
        </is>
      </c>
      <c r="G466" t="n">
        <v>22.3</v>
      </c>
      <c r="H466" t="n">
        <v>0</v>
      </c>
      <c r="I466" t="n">
        <v>0</v>
      </c>
      <c r="J466" t="n">
        <v>0</v>
      </c>
      <c r="K466" t="n">
        <v>0</v>
      </c>
      <c r="L466" t="n">
        <v>0</v>
      </c>
      <c r="M466" t="n">
        <v>0</v>
      </c>
      <c r="N466" t="n">
        <v>0</v>
      </c>
      <c r="O466" t="n">
        <v>0</v>
      </c>
      <c r="P466" t="n">
        <v>0</v>
      </c>
      <c r="Q466" t="n">
        <v>0</v>
      </c>
      <c r="R466" s="2" t="inlineStr"/>
    </row>
    <row r="467" ht="15" customHeight="1">
      <c r="A467" t="inlineStr">
        <is>
          <t>A 22454-2021</t>
        </is>
      </c>
      <c r="B467" s="1" t="n">
        <v>44326</v>
      </c>
      <c r="C467" s="1" t="n">
        <v>46030</v>
      </c>
      <c r="D467" t="inlineStr">
        <is>
          <t>DALARNAS LÄN</t>
        </is>
      </c>
      <c r="E467" t="inlineStr">
        <is>
          <t>ÄLVDALEN</t>
        </is>
      </c>
      <c r="F467" t="inlineStr">
        <is>
          <t>Allmännings- och besparingsskogar</t>
        </is>
      </c>
      <c r="G467" t="n">
        <v>4.3</v>
      </c>
      <c r="H467" t="n">
        <v>0</v>
      </c>
      <c r="I467" t="n">
        <v>0</v>
      </c>
      <c r="J467" t="n">
        <v>0</v>
      </c>
      <c r="K467" t="n">
        <v>0</v>
      </c>
      <c r="L467" t="n">
        <v>0</v>
      </c>
      <c r="M467" t="n">
        <v>0</v>
      </c>
      <c r="N467" t="n">
        <v>0</v>
      </c>
      <c r="O467" t="n">
        <v>0</v>
      </c>
      <c r="P467" t="n">
        <v>0</v>
      </c>
      <c r="Q467" t="n">
        <v>0</v>
      </c>
      <c r="R467" s="2" t="inlineStr"/>
    </row>
    <row r="468" ht="15" customHeight="1">
      <c r="A468" t="inlineStr">
        <is>
          <t>A 60793-2022</t>
        </is>
      </c>
      <c r="B468" s="1" t="n">
        <v>44911</v>
      </c>
      <c r="C468" s="1" t="n">
        <v>46030</v>
      </c>
      <c r="D468" t="inlineStr">
        <is>
          <t>DALARNAS LÄN</t>
        </is>
      </c>
      <c r="E468" t="inlineStr">
        <is>
          <t>ÄLVDALEN</t>
        </is>
      </c>
      <c r="G468" t="n">
        <v>0.5</v>
      </c>
      <c r="H468" t="n">
        <v>0</v>
      </c>
      <c r="I468" t="n">
        <v>0</v>
      </c>
      <c r="J468" t="n">
        <v>0</v>
      </c>
      <c r="K468" t="n">
        <v>0</v>
      </c>
      <c r="L468" t="n">
        <v>0</v>
      </c>
      <c r="M468" t="n">
        <v>0</v>
      </c>
      <c r="N468" t="n">
        <v>0</v>
      </c>
      <c r="O468" t="n">
        <v>0</v>
      </c>
      <c r="P468" t="n">
        <v>0</v>
      </c>
      <c r="Q468" t="n">
        <v>0</v>
      </c>
      <c r="R468" s="2" t="inlineStr"/>
    </row>
    <row r="469" ht="15" customHeight="1">
      <c r="A469" t="inlineStr">
        <is>
          <t>A 32237-2025</t>
        </is>
      </c>
      <c r="B469" s="1" t="n">
        <v>45835</v>
      </c>
      <c r="C469" s="1" t="n">
        <v>46030</v>
      </c>
      <c r="D469" t="inlineStr">
        <is>
          <t>DALARNAS LÄN</t>
        </is>
      </c>
      <c r="E469" t="inlineStr">
        <is>
          <t>ÄLVDALEN</t>
        </is>
      </c>
      <c r="G469" t="n">
        <v>4.6</v>
      </c>
      <c r="H469" t="n">
        <v>0</v>
      </c>
      <c r="I469" t="n">
        <v>0</v>
      </c>
      <c r="J469" t="n">
        <v>0</v>
      </c>
      <c r="K469" t="n">
        <v>0</v>
      </c>
      <c r="L469" t="n">
        <v>0</v>
      </c>
      <c r="M469" t="n">
        <v>0</v>
      </c>
      <c r="N469" t="n">
        <v>0</v>
      </c>
      <c r="O469" t="n">
        <v>0</v>
      </c>
      <c r="P469" t="n">
        <v>0</v>
      </c>
      <c r="Q469" t="n">
        <v>0</v>
      </c>
      <c r="R469" s="2" t="inlineStr"/>
    </row>
    <row r="470" ht="15" customHeight="1">
      <c r="A470" t="inlineStr">
        <is>
          <t>A 41158-2024</t>
        </is>
      </c>
      <c r="B470" s="1" t="n">
        <v>45559.47958333333</v>
      </c>
      <c r="C470" s="1" t="n">
        <v>46030</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32361-2024</t>
        </is>
      </c>
      <c r="B471" s="1" t="n">
        <v>45512.56725694444</v>
      </c>
      <c r="C471" s="1" t="n">
        <v>46030</v>
      </c>
      <c r="D471" t="inlineStr">
        <is>
          <t>DALARNAS LÄN</t>
        </is>
      </c>
      <c r="E471" t="inlineStr">
        <is>
          <t>ÄLVDALEN</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32363-2024</t>
        </is>
      </c>
      <c r="B472" s="1" t="n">
        <v>45512</v>
      </c>
      <c r="C472" s="1" t="n">
        <v>46030</v>
      </c>
      <c r="D472" t="inlineStr">
        <is>
          <t>DALARNAS LÄN</t>
        </is>
      </c>
      <c r="E472" t="inlineStr">
        <is>
          <t>ÄLVDALEN</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52072-2025</t>
        </is>
      </c>
      <c r="B473" s="1" t="n">
        <v>45952.64829861111</v>
      </c>
      <c r="C473" s="1" t="n">
        <v>46030</v>
      </c>
      <c r="D473" t="inlineStr">
        <is>
          <t>DALARNAS LÄN</t>
        </is>
      </c>
      <c r="E473" t="inlineStr">
        <is>
          <t>ÄLVDALEN</t>
        </is>
      </c>
      <c r="F473" t="inlineStr">
        <is>
          <t>Allmännings- och besparingsskogar</t>
        </is>
      </c>
      <c r="G473" t="n">
        <v>54.2</v>
      </c>
      <c r="H473" t="n">
        <v>0</v>
      </c>
      <c r="I473" t="n">
        <v>0</v>
      </c>
      <c r="J473" t="n">
        <v>0</v>
      </c>
      <c r="K473" t="n">
        <v>0</v>
      </c>
      <c r="L473" t="n">
        <v>0</v>
      </c>
      <c r="M473" t="n">
        <v>0</v>
      </c>
      <c r="N473" t="n">
        <v>0</v>
      </c>
      <c r="O473" t="n">
        <v>0</v>
      </c>
      <c r="P473" t="n">
        <v>0</v>
      </c>
      <c r="Q473" t="n">
        <v>0</v>
      </c>
      <c r="R473" s="2" t="inlineStr"/>
    </row>
    <row r="474" ht="15" customHeight="1">
      <c r="A474" t="inlineStr">
        <is>
          <t>A 51915-2025</t>
        </is>
      </c>
      <c r="B474" s="1" t="n">
        <v>45952.47706018519</v>
      </c>
      <c r="C474" s="1" t="n">
        <v>46030</v>
      </c>
      <c r="D474" t="inlineStr">
        <is>
          <t>DALARNAS LÄN</t>
        </is>
      </c>
      <c r="E474" t="inlineStr">
        <is>
          <t>ÄLVDALEN</t>
        </is>
      </c>
      <c r="F474" t="inlineStr">
        <is>
          <t>Allmännings- och besparingsskogar</t>
        </is>
      </c>
      <c r="G474" t="n">
        <v>66.7</v>
      </c>
      <c r="H474" t="n">
        <v>0</v>
      </c>
      <c r="I474" t="n">
        <v>0</v>
      </c>
      <c r="J474" t="n">
        <v>0</v>
      </c>
      <c r="K474" t="n">
        <v>0</v>
      </c>
      <c r="L474" t="n">
        <v>0</v>
      </c>
      <c r="M474" t="n">
        <v>0</v>
      </c>
      <c r="N474" t="n">
        <v>0</v>
      </c>
      <c r="O474" t="n">
        <v>0</v>
      </c>
      <c r="P474" t="n">
        <v>0</v>
      </c>
      <c r="Q474" t="n">
        <v>0</v>
      </c>
      <c r="R474" s="2" t="inlineStr"/>
    </row>
    <row r="475" ht="15" customHeight="1">
      <c r="A475" t="inlineStr">
        <is>
          <t>A 51975-2025</t>
        </is>
      </c>
      <c r="B475" s="1" t="n">
        <v>45952</v>
      </c>
      <c r="C475" s="1" t="n">
        <v>46030</v>
      </c>
      <c r="D475" t="inlineStr">
        <is>
          <t>DALARNAS LÄN</t>
        </is>
      </c>
      <c r="E475" t="inlineStr">
        <is>
          <t>ÄLVDALEN</t>
        </is>
      </c>
      <c r="F475" t="inlineStr">
        <is>
          <t>Allmännings- och besparingsskogar</t>
        </is>
      </c>
      <c r="G475" t="n">
        <v>3.5</v>
      </c>
      <c r="H475" t="n">
        <v>0</v>
      </c>
      <c r="I475" t="n">
        <v>0</v>
      </c>
      <c r="J475" t="n">
        <v>0</v>
      </c>
      <c r="K475" t="n">
        <v>0</v>
      </c>
      <c r="L475" t="n">
        <v>0</v>
      </c>
      <c r="M475" t="n">
        <v>0</v>
      </c>
      <c r="N475" t="n">
        <v>0</v>
      </c>
      <c r="O475" t="n">
        <v>0</v>
      </c>
      <c r="P475" t="n">
        <v>0</v>
      </c>
      <c r="Q475" t="n">
        <v>0</v>
      </c>
      <c r="R475" s="2" t="inlineStr"/>
    </row>
    <row r="476" ht="15" customHeight="1">
      <c r="A476" t="inlineStr">
        <is>
          <t>A 37665-2023</t>
        </is>
      </c>
      <c r="B476" s="1" t="n">
        <v>45159.5371875</v>
      </c>
      <c r="C476" s="1" t="n">
        <v>46030</v>
      </c>
      <c r="D476" t="inlineStr">
        <is>
          <t>DALARNAS LÄN</t>
        </is>
      </c>
      <c r="E476" t="inlineStr">
        <is>
          <t>ÄLVDALEN</t>
        </is>
      </c>
      <c r="F476" t="inlineStr">
        <is>
          <t>Allmännings- och besparingsskogar</t>
        </is>
      </c>
      <c r="G476" t="n">
        <v>0.5</v>
      </c>
      <c r="H476" t="n">
        <v>0</v>
      </c>
      <c r="I476" t="n">
        <v>0</v>
      </c>
      <c r="J476" t="n">
        <v>0</v>
      </c>
      <c r="K476" t="n">
        <v>0</v>
      </c>
      <c r="L476" t="n">
        <v>0</v>
      </c>
      <c r="M476" t="n">
        <v>0</v>
      </c>
      <c r="N476" t="n">
        <v>0</v>
      </c>
      <c r="O476" t="n">
        <v>0</v>
      </c>
      <c r="P476" t="n">
        <v>0</v>
      </c>
      <c r="Q476" t="n">
        <v>0</v>
      </c>
      <c r="R476" s="2" t="inlineStr"/>
    </row>
    <row r="477" ht="15" customHeight="1">
      <c r="A477" t="inlineStr">
        <is>
          <t>A 52033-2025</t>
        </is>
      </c>
      <c r="B477" s="1" t="n">
        <v>45952.6122337963</v>
      </c>
      <c r="C477" s="1" t="n">
        <v>46030</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37874-2025</t>
        </is>
      </c>
      <c r="B478" s="1" t="n">
        <v>45881</v>
      </c>
      <c r="C478" s="1" t="n">
        <v>46030</v>
      </c>
      <c r="D478" t="inlineStr">
        <is>
          <t>DALARNAS LÄN</t>
        </is>
      </c>
      <c r="E478" t="inlineStr">
        <is>
          <t>ÄLVDALEN</t>
        </is>
      </c>
      <c r="F478" t="inlineStr">
        <is>
          <t>Övriga Aktiebolag</t>
        </is>
      </c>
      <c r="G478" t="n">
        <v>33.5</v>
      </c>
      <c r="H478" t="n">
        <v>0</v>
      </c>
      <c r="I478" t="n">
        <v>0</v>
      </c>
      <c r="J478" t="n">
        <v>0</v>
      </c>
      <c r="K478" t="n">
        <v>0</v>
      </c>
      <c r="L478" t="n">
        <v>0</v>
      </c>
      <c r="M478" t="n">
        <v>0</v>
      </c>
      <c r="N478" t="n">
        <v>0</v>
      </c>
      <c r="O478" t="n">
        <v>0</v>
      </c>
      <c r="P478" t="n">
        <v>0</v>
      </c>
      <c r="Q478" t="n">
        <v>0</v>
      </c>
      <c r="R478" s="2" t="inlineStr"/>
    </row>
    <row r="479" ht="15" customHeight="1">
      <c r="A479" t="inlineStr">
        <is>
          <t>A 60292-2025</t>
        </is>
      </c>
      <c r="B479" s="1" t="n">
        <v>45994.65491898148</v>
      </c>
      <c r="C479" s="1" t="n">
        <v>46030</v>
      </c>
      <c r="D479" t="inlineStr">
        <is>
          <t>DALARNAS LÄN</t>
        </is>
      </c>
      <c r="E479" t="inlineStr">
        <is>
          <t>ÄLVDALEN</t>
        </is>
      </c>
      <c r="F479" t="inlineStr">
        <is>
          <t>Allmännings- och besparingsskogar</t>
        </is>
      </c>
      <c r="G479" t="n">
        <v>11.8</v>
      </c>
      <c r="H479" t="n">
        <v>0</v>
      </c>
      <c r="I479" t="n">
        <v>0</v>
      </c>
      <c r="J479" t="n">
        <v>0</v>
      </c>
      <c r="K479" t="n">
        <v>0</v>
      </c>
      <c r="L479" t="n">
        <v>0</v>
      </c>
      <c r="M479" t="n">
        <v>0</v>
      </c>
      <c r="N479" t="n">
        <v>0</v>
      </c>
      <c r="O479" t="n">
        <v>0</v>
      </c>
      <c r="P479" t="n">
        <v>0</v>
      </c>
      <c r="Q479" t="n">
        <v>0</v>
      </c>
      <c r="R479" s="2" t="inlineStr"/>
    </row>
    <row r="480" ht="15" customHeight="1">
      <c r="A480" t="inlineStr">
        <is>
          <t>A 33099-2023</t>
        </is>
      </c>
      <c r="B480" s="1" t="n">
        <v>45114</v>
      </c>
      <c r="C480" s="1" t="n">
        <v>46030</v>
      </c>
      <c r="D480" t="inlineStr">
        <is>
          <t>DALARNAS LÄN</t>
        </is>
      </c>
      <c r="E480" t="inlineStr">
        <is>
          <t>ÄLVDALEN</t>
        </is>
      </c>
      <c r="G480" t="n">
        <v>3.5</v>
      </c>
      <c r="H480" t="n">
        <v>0</v>
      </c>
      <c r="I480" t="n">
        <v>0</v>
      </c>
      <c r="J480" t="n">
        <v>0</v>
      </c>
      <c r="K480" t="n">
        <v>0</v>
      </c>
      <c r="L480" t="n">
        <v>0</v>
      </c>
      <c r="M480" t="n">
        <v>0</v>
      </c>
      <c r="N480" t="n">
        <v>0</v>
      </c>
      <c r="O480" t="n">
        <v>0</v>
      </c>
      <c r="P480" t="n">
        <v>0</v>
      </c>
      <c r="Q480" t="n">
        <v>0</v>
      </c>
      <c r="R480" s="2" t="inlineStr"/>
    </row>
    <row r="481" ht="15" customHeight="1">
      <c r="A481" t="inlineStr">
        <is>
          <t>A 140-2026</t>
        </is>
      </c>
      <c r="B481" s="1" t="n">
        <v>46024.62175925926</v>
      </c>
      <c r="C481" s="1" t="n">
        <v>46030</v>
      </c>
      <c r="D481" t="inlineStr">
        <is>
          <t>DALARNAS LÄN</t>
        </is>
      </c>
      <c r="E481" t="inlineStr">
        <is>
          <t>ÄLVDALEN</t>
        </is>
      </c>
      <c r="G481" t="n">
        <v>0.9</v>
      </c>
      <c r="H481" t="n">
        <v>0</v>
      </c>
      <c r="I481" t="n">
        <v>0</v>
      </c>
      <c r="J481" t="n">
        <v>0</v>
      </c>
      <c r="K481" t="n">
        <v>0</v>
      </c>
      <c r="L481" t="n">
        <v>0</v>
      </c>
      <c r="M481" t="n">
        <v>0</v>
      </c>
      <c r="N481" t="n">
        <v>0</v>
      </c>
      <c r="O481" t="n">
        <v>0</v>
      </c>
      <c r="P481" t="n">
        <v>0</v>
      </c>
      <c r="Q481" t="n">
        <v>0</v>
      </c>
      <c r="R481" s="2" t="inlineStr"/>
    </row>
    <row r="482" ht="15" customHeight="1">
      <c r="A482" t="inlineStr">
        <is>
          <t>A 14489-2025</t>
        </is>
      </c>
      <c r="B482" s="1" t="n">
        <v>45741.60680555556</v>
      </c>
      <c r="C482" s="1" t="n">
        <v>46030</v>
      </c>
      <c r="D482" t="inlineStr">
        <is>
          <t>DALARNAS LÄN</t>
        </is>
      </c>
      <c r="E482" t="inlineStr">
        <is>
          <t>ÄLVDALEN</t>
        </is>
      </c>
      <c r="G482" t="n">
        <v>7.9</v>
      </c>
      <c r="H482" t="n">
        <v>0</v>
      </c>
      <c r="I482" t="n">
        <v>0</v>
      </c>
      <c r="J482" t="n">
        <v>0</v>
      </c>
      <c r="K482" t="n">
        <v>0</v>
      </c>
      <c r="L482" t="n">
        <v>0</v>
      </c>
      <c r="M482" t="n">
        <v>0</v>
      </c>
      <c r="N482" t="n">
        <v>0</v>
      </c>
      <c r="O482" t="n">
        <v>0</v>
      </c>
      <c r="P482" t="n">
        <v>0</v>
      </c>
      <c r="Q482" t="n">
        <v>0</v>
      </c>
      <c r="R482" s="2" t="inlineStr"/>
    </row>
    <row r="483" ht="15" customHeight="1">
      <c r="A483" t="inlineStr">
        <is>
          <t>A 583-2026</t>
        </is>
      </c>
      <c r="B483" s="1" t="n">
        <v>46029.48274305555</v>
      </c>
      <c r="C483" s="1" t="n">
        <v>46030</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58739-2025</t>
        </is>
      </c>
      <c r="B484" s="1" t="n">
        <v>45986.63236111111</v>
      </c>
      <c r="C484" s="1" t="n">
        <v>46030</v>
      </c>
      <c r="D484" t="inlineStr">
        <is>
          <t>DALARNAS LÄN</t>
        </is>
      </c>
      <c r="E484" t="inlineStr">
        <is>
          <t>ÄLVDALEN</t>
        </is>
      </c>
      <c r="F484" t="inlineStr">
        <is>
          <t>Övriga statliga verk och myndigheter</t>
        </is>
      </c>
      <c r="G484" t="n">
        <v>0.5</v>
      </c>
      <c r="H484" t="n">
        <v>0</v>
      </c>
      <c r="I484" t="n">
        <v>0</v>
      </c>
      <c r="J484" t="n">
        <v>0</v>
      </c>
      <c r="K484" t="n">
        <v>0</v>
      </c>
      <c r="L484" t="n">
        <v>0</v>
      </c>
      <c r="M484" t="n">
        <v>0</v>
      </c>
      <c r="N484" t="n">
        <v>0</v>
      </c>
      <c r="O484" t="n">
        <v>0</v>
      </c>
      <c r="P484" t="n">
        <v>0</v>
      </c>
      <c r="Q484" t="n">
        <v>0</v>
      </c>
      <c r="R484" s="2" t="inlineStr"/>
    </row>
    <row r="485" ht="15" customHeight="1">
      <c r="A485" t="inlineStr">
        <is>
          <t>A 37873-2025</t>
        </is>
      </c>
      <c r="B485" s="1" t="n">
        <v>45881</v>
      </c>
      <c r="C485" s="1" t="n">
        <v>46030</v>
      </c>
      <c r="D485" t="inlineStr">
        <is>
          <t>DALARNAS LÄN</t>
        </is>
      </c>
      <c r="E485" t="inlineStr">
        <is>
          <t>ÄLVDALEN</t>
        </is>
      </c>
      <c r="F485" t="inlineStr">
        <is>
          <t>Övriga Aktiebolag</t>
        </is>
      </c>
      <c r="G485" t="n">
        <v>40.7</v>
      </c>
      <c r="H485" t="n">
        <v>0</v>
      </c>
      <c r="I485" t="n">
        <v>0</v>
      </c>
      <c r="J485" t="n">
        <v>0</v>
      </c>
      <c r="K485" t="n">
        <v>0</v>
      </c>
      <c r="L485" t="n">
        <v>0</v>
      </c>
      <c r="M485" t="n">
        <v>0</v>
      </c>
      <c r="N485" t="n">
        <v>0</v>
      </c>
      <c r="O485" t="n">
        <v>0</v>
      </c>
      <c r="P485" t="n">
        <v>0</v>
      </c>
      <c r="Q485" t="n">
        <v>0</v>
      </c>
      <c r="R485" s="2" t="inlineStr"/>
    </row>
    <row r="486" ht="15" customHeight="1">
      <c r="A486" t="inlineStr">
        <is>
          <t>A 575-2026</t>
        </is>
      </c>
      <c r="B486" s="1" t="n">
        <v>46029.47552083333</v>
      </c>
      <c r="C486" s="1" t="n">
        <v>46030</v>
      </c>
      <c r="D486" t="inlineStr">
        <is>
          <t>DALARNAS LÄN</t>
        </is>
      </c>
      <c r="E486" t="inlineStr">
        <is>
          <t>ÄLVDALEN</t>
        </is>
      </c>
      <c r="G486" t="n">
        <v>4.3</v>
      </c>
      <c r="H486" t="n">
        <v>0</v>
      </c>
      <c r="I486" t="n">
        <v>0</v>
      </c>
      <c r="J486" t="n">
        <v>0</v>
      </c>
      <c r="K486" t="n">
        <v>0</v>
      </c>
      <c r="L486" t="n">
        <v>0</v>
      </c>
      <c r="M486" t="n">
        <v>0</v>
      </c>
      <c r="N486" t="n">
        <v>0</v>
      </c>
      <c r="O486" t="n">
        <v>0</v>
      </c>
      <c r="P486" t="n">
        <v>0</v>
      </c>
      <c r="Q486" t="n">
        <v>0</v>
      </c>
      <c r="R486" s="2" t="inlineStr"/>
    </row>
    <row r="487" ht="15" customHeight="1">
      <c r="A487" t="inlineStr">
        <is>
          <t>A 588-2026</t>
        </is>
      </c>
      <c r="B487" s="1" t="n">
        <v>46029.4896875</v>
      </c>
      <c r="C487" s="1" t="n">
        <v>46030</v>
      </c>
      <c r="D487" t="inlineStr">
        <is>
          <t>DALARNAS LÄN</t>
        </is>
      </c>
      <c r="E487" t="inlineStr">
        <is>
          <t>ÄLVDALEN</t>
        </is>
      </c>
      <c r="G487" t="n">
        <v>0.6</v>
      </c>
      <c r="H487" t="n">
        <v>0</v>
      </c>
      <c r="I487" t="n">
        <v>0</v>
      </c>
      <c r="J487" t="n">
        <v>0</v>
      </c>
      <c r="K487" t="n">
        <v>0</v>
      </c>
      <c r="L487" t="n">
        <v>0</v>
      </c>
      <c r="M487" t="n">
        <v>0</v>
      </c>
      <c r="N487" t="n">
        <v>0</v>
      </c>
      <c r="O487" t="n">
        <v>0</v>
      </c>
      <c r="P487" t="n">
        <v>0</v>
      </c>
      <c r="Q487" t="n">
        <v>0</v>
      </c>
      <c r="R487" s="2" t="inlineStr"/>
    </row>
    <row r="488" ht="15" customHeight="1">
      <c r="A488" t="inlineStr">
        <is>
          <t>A 59591-2025</t>
        </is>
      </c>
      <c r="B488" s="1" t="n">
        <v>45992</v>
      </c>
      <c r="C488" s="1" t="n">
        <v>46030</v>
      </c>
      <c r="D488" t="inlineStr">
        <is>
          <t>DALARNAS LÄN</t>
        </is>
      </c>
      <c r="E488" t="inlineStr">
        <is>
          <t>ÄLVDALEN</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60672-2025</t>
        </is>
      </c>
      <c r="B489" s="1" t="n">
        <v>45996.53233796296</v>
      </c>
      <c r="C489" s="1" t="n">
        <v>46030</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63329-2023</t>
        </is>
      </c>
      <c r="B490" s="1" t="n">
        <v>45274.38255787037</v>
      </c>
      <c r="C490" s="1" t="n">
        <v>46030</v>
      </c>
      <c r="D490" t="inlineStr">
        <is>
          <t>DALARNAS LÄN</t>
        </is>
      </c>
      <c r="E490" t="inlineStr">
        <is>
          <t>ÄLVDALEN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61495-2025</t>
        </is>
      </c>
      <c r="B491" s="1" t="n">
        <v>46001.64834490741</v>
      </c>
      <c r="C491" s="1" t="n">
        <v>46030</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29610-2024</t>
        </is>
      </c>
      <c r="B492" s="1" t="n">
        <v>45484</v>
      </c>
      <c r="C492" s="1" t="n">
        <v>46030</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61529-2025</t>
        </is>
      </c>
      <c r="B493" s="1" t="n">
        <v>46001.7033912037</v>
      </c>
      <c r="C493" s="1" t="n">
        <v>46030</v>
      </c>
      <c r="D493" t="inlineStr">
        <is>
          <t>DALARNAS LÄN</t>
        </is>
      </c>
      <c r="E493" t="inlineStr">
        <is>
          <t>ÄLVDALEN</t>
        </is>
      </c>
      <c r="G493" t="n">
        <v>3</v>
      </c>
      <c r="H493" t="n">
        <v>0</v>
      </c>
      <c r="I493" t="n">
        <v>0</v>
      </c>
      <c r="J493" t="n">
        <v>0</v>
      </c>
      <c r="K493" t="n">
        <v>0</v>
      </c>
      <c r="L493" t="n">
        <v>0</v>
      </c>
      <c r="M493" t="n">
        <v>0</v>
      </c>
      <c r="N493" t="n">
        <v>0</v>
      </c>
      <c r="O493" t="n">
        <v>0</v>
      </c>
      <c r="P493" t="n">
        <v>0</v>
      </c>
      <c r="Q493" t="n">
        <v>0</v>
      </c>
      <c r="R493" s="2" t="inlineStr"/>
    </row>
    <row r="494" ht="15" customHeight="1">
      <c r="A494" t="inlineStr">
        <is>
          <t>A 28467-2024</t>
        </is>
      </c>
      <c r="B494" s="1" t="n">
        <v>45477.71173611111</v>
      </c>
      <c r="C494" s="1" t="n">
        <v>46030</v>
      </c>
      <c r="D494" t="inlineStr">
        <is>
          <t>DALARNAS LÄN</t>
        </is>
      </c>
      <c r="E494" t="inlineStr">
        <is>
          <t>ÄLVDALEN</t>
        </is>
      </c>
      <c r="G494" t="n">
        <v>4</v>
      </c>
      <c r="H494" t="n">
        <v>0</v>
      </c>
      <c r="I494" t="n">
        <v>0</v>
      </c>
      <c r="J494" t="n">
        <v>0</v>
      </c>
      <c r="K494" t="n">
        <v>0</v>
      </c>
      <c r="L494" t="n">
        <v>0</v>
      </c>
      <c r="M494" t="n">
        <v>0</v>
      </c>
      <c r="N494" t="n">
        <v>0</v>
      </c>
      <c r="O494" t="n">
        <v>0</v>
      </c>
      <c r="P494" t="n">
        <v>0</v>
      </c>
      <c r="Q494" t="n">
        <v>0</v>
      </c>
      <c r="R494" s="2" t="inlineStr"/>
    </row>
    <row r="495" ht="15" customHeight="1">
      <c r="A495" t="inlineStr">
        <is>
          <t>A 61477-2025</t>
        </is>
      </c>
      <c r="B495" s="1" t="n">
        <v>46001.62087962963</v>
      </c>
      <c r="C495" s="1" t="n">
        <v>46030</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46800-2025</t>
        </is>
      </c>
      <c r="B496" s="1" t="n">
        <v>45926</v>
      </c>
      <c r="C496" s="1" t="n">
        <v>46030</v>
      </c>
      <c r="D496" t="inlineStr">
        <is>
          <t>DALARNAS LÄN</t>
        </is>
      </c>
      <c r="E496" t="inlineStr">
        <is>
          <t>ÄLVDALEN</t>
        </is>
      </c>
      <c r="F496" t="inlineStr">
        <is>
          <t>Allmännings- och besparingsskogar</t>
        </is>
      </c>
      <c r="G496" t="n">
        <v>0.8</v>
      </c>
      <c r="H496" t="n">
        <v>0</v>
      </c>
      <c r="I496" t="n">
        <v>0</v>
      </c>
      <c r="J496" t="n">
        <v>0</v>
      </c>
      <c r="K496" t="n">
        <v>0</v>
      </c>
      <c r="L496" t="n">
        <v>0</v>
      </c>
      <c r="M496" t="n">
        <v>0</v>
      </c>
      <c r="N496" t="n">
        <v>0</v>
      </c>
      <c r="O496" t="n">
        <v>0</v>
      </c>
      <c r="P496" t="n">
        <v>0</v>
      </c>
      <c r="Q496" t="n">
        <v>0</v>
      </c>
      <c r="R496" s="2" t="inlineStr"/>
      <c r="T496">
        <f>HYPERLINK("https://klasma.github.io/Logging_2039/kartor/A 46800-2025 karta.png", "A 46800-2025")</f>
        <v/>
      </c>
      <c r="V496">
        <f>HYPERLINK("https://klasma.github.io/Logging_2039/klagomål/A 46800-2025 FSC-klagomål.docx", "A 46800-2025")</f>
        <v/>
      </c>
      <c r="W496">
        <f>HYPERLINK("https://klasma.github.io/Logging_2039/klagomålsmail/A 46800-2025 FSC-klagomål mail.docx", "A 46800-2025")</f>
        <v/>
      </c>
      <c r="X496">
        <f>HYPERLINK("https://klasma.github.io/Logging_2039/tillsyn/A 46800-2025 tillsynsbegäran.docx", "A 46800-2025")</f>
        <v/>
      </c>
      <c r="Y496">
        <f>HYPERLINK("https://klasma.github.io/Logging_2039/tillsynsmail/A 46800-2025 tillsynsbegäran mail.docx", "A 46800-2025")</f>
        <v/>
      </c>
      <c r="Z496">
        <f>HYPERLINK("https://klasma.github.io/Logging_2039/fåglar/A 46800-2025 prioriterade fågelarter.docx", "A 46800-2025")</f>
        <v/>
      </c>
    </row>
    <row r="497" ht="15" customHeight="1">
      <c r="A497" t="inlineStr">
        <is>
          <t>A 39283-2024</t>
        </is>
      </c>
      <c r="B497" s="1" t="n">
        <v>45551.36314814815</v>
      </c>
      <c r="C497" s="1" t="n">
        <v>46030</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3893-2024</t>
        </is>
      </c>
      <c r="B498" s="1" t="n">
        <v>45322</v>
      </c>
      <c r="C498" s="1" t="n">
        <v>46030</v>
      </c>
      <c r="D498" t="inlineStr">
        <is>
          <t>DALARNAS LÄN</t>
        </is>
      </c>
      <c r="E498" t="inlineStr">
        <is>
          <t>ÄLVDALEN</t>
        </is>
      </c>
      <c r="G498" t="n">
        <v>0.5</v>
      </c>
      <c r="H498" t="n">
        <v>0</v>
      </c>
      <c r="I498" t="n">
        <v>0</v>
      </c>
      <c r="J498" t="n">
        <v>0</v>
      </c>
      <c r="K498" t="n">
        <v>0</v>
      </c>
      <c r="L498" t="n">
        <v>0</v>
      </c>
      <c r="M498" t="n">
        <v>0</v>
      </c>
      <c r="N498" t="n">
        <v>0</v>
      </c>
      <c r="O498" t="n">
        <v>0</v>
      </c>
      <c r="P498" t="n">
        <v>0</v>
      </c>
      <c r="Q498" t="n">
        <v>0</v>
      </c>
      <c r="R498" s="2" t="inlineStr"/>
    </row>
    <row r="499" ht="15" customHeight="1">
      <c r="A499" t="inlineStr">
        <is>
          <t>A 61973-2025</t>
        </is>
      </c>
      <c r="B499" s="1" t="n">
        <v>46003.60017361111</v>
      </c>
      <c r="C499" s="1" t="n">
        <v>46030</v>
      </c>
      <c r="D499" t="inlineStr">
        <is>
          <t>DALARNAS LÄN</t>
        </is>
      </c>
      <c r="E499" t="inlineStr">
        <is>
          <t>ÄLVDALEN</t>
        </is>
      </c>
      <c r="G499" t="n">
        <v>1.7</v>
      </c>
      <c r="H499" t="n">
        <v>0</v>
      </c>
      <c r="I499" t="n">
        <v>0</v>
      </c>
      <c r="J499" t="n">
        <v>0</v>
      </c>
      <c r="K499" t="n">
        <v>0</v>
      </c>
      <c r="L499" t="n">
        <v>0</v>
      </c>
      <c r="M499" t="n">
        <v>0</v>
      </c>
      <c r="N499" t="n">
        <v>0</v>
      </c>
      <c r="O499" t="n">
        <v>0</v>
      </c>
      <c r="P499" t="n">
        <v>0</v>
      </c>
      <c r="Q499" t="n">
        <v>0</v>
      </c>
      <c r="R499" s="2" t="inlineStr"/>
    </row>
    <row r="500" ht="15" customHeight="1">
      <c r="A500" t="inlineStr">
        <is>
          <t>A 61589-2025</t>
        </is>
      </c>
      <c r="B500" s="1" t="n">
        <v>46002.34538194445</v>
      </c>
      <c r="C500" s="1" t="n">
        <v>46030</v>
      </c>
      <c r="D500" t="inlineStr">
        <is>
          <t>DALARNAS LÄN</t>
        </is>
      </c>
      <c r="E500" t="inlineStr">
        <is>
          <t>ÄLVDALEN</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53319-2025</t>
        </is>
      </c>
      <c r="B501" s="1" t="n">
        <v>45959.35554398148</v>
      </c>
      <c r="C501" s="1" t="n">
        <v>46030</v>
      </c>
      <c r="D501" t="inlineStr">
        <is>
          <t>DALARNAS LÄN</t>
        </is>
      </c>
      <c r="E501" t="inlineStr">
        <is>
          <t>ÄLVDALEN</t>
        </is>
      </c>
      <c r="G501" t="n">
        <v>3.8</v>
      </c>
      <c r="H501" t="n">
        <v>0</v>
      </c>
      <c r="I501" t="n">
        <v>0</v>
      </c>
      <c r="J501" t="n">
        <v>0</v>
      </c>
      <c r="K501" t="n">
        <v>0</v>
      </c>
      <c r="L501" t="n">
        <v>0</v>
      </c>
      <c r="M501" t="n">
        <v>0</v>
      </c>
      <c r="N501" t="n">
        <v>0</v>
      </c>
      <c r="O501" t="n">
        <v>0</v>
      </c>
      <c r="P501" t="n">
        <v>0</v>
      </c>
      <c r="Q501" t="n">
        <v>0</v>
      </c>
      <c r="R501" s="2" t="inlineStr"/>
    </row>
    <row r="502" ht="15" customHeight="1">
      <c r="A502" t="inlineStr">
        <is>
          <t>A 50056-2024</t>
        </is>
      </c>
      <c r="B502" s="1" t="n">
        <v>45600.34134259259</v>
      </c>
      <c r="C502" s="1" t="n">
        <v>46030</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61971-2025</t>
        </is>
      </c>
      <c r="B503" s="1" t="n">
        <v>46003.59724537037</v>
      </c>
      <c r="C503" s="1" t="n">
        <v>46030</v>
      </c>
      <c r="D503" t="inlineStr">
        <is>
          <t>DALARNAS LÄN</t>
        </is>
      </c>
      <c r="E503" t="inlineStr">
        <is>
          <t>ÄLVDALEN</t>
        </is>
      </c>
      <c r="G503" t="n">
        <v>3.8</v>
      </c>
      <c r="H503" t="n">
        <v>0</v>
      </c>
      <c r="I503" t="n">
        <v>0</v>
      </c>
      <c r="J503" t="n">
        <v>0</v>
      </c>
      <c r="K503" t="n">
        <v>0</v>
      </c>
      <c r="L503" t="n">
        <v>0</v>
      </c>
      <c r="M503" t="n">
        <v>0</v>
      </c>
      <c r="N503" t="n">
        <v>0</v>
      </c>
      <c r="O503" t="n">
        <v>0</v>
      </c>
      <c r="P503" t="n">
        <v>0</v>
      </c>
      <c r="Q503" t="n">
        <v>0</v>
      </c>
      <c r="R503" s="2" t="inlineStr"/>
    </row>
    <row r="504" ht="15" customHeight="1">
      <c r="A504" t="inlineStr">
        <is>
          <t>A 61999-2025</t>
        </is>
      </c>
      <c r="B504" s="1" t="n">
        <v>46003.64638888889</v>
      </c>
      <c r="C504" s="1" t="n">
        <v>46030</v>
      </c>
      <c r="D504" t="inlineStr">
        <is>
          <t>DALARNAS LÄN</t>
        </is>
      </c>
      <c r="E504" t="inlineStr">
        <is>
          <t>ÄLVDALEN</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54114-2025</t>
        </is>
      </c>
      <c r="B505" s="1" t="n">
        <v>45964.44096064815</v>
      </c>
      <c r="C505" s="1" t="n">
        <v>46030</v>
      </c>
      <c r="D505" t="inlineStr">
        <is>
          <t>DALARNAS LÄN</t>
        </is>
      </c>
      <c r="E505" t="inlineStr">
        <is>
          <t>ÄLVDALEN</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5063-2025</t>
        </is>
      </c>
      <c r="B506" s="1" t="n">
        <v>45691.47466435185</v>
      </c>
      <c r="C506" s="1" t="n">
        <v>46030</v>
      </c>
      <c r="D506" t="inlineStr">
        <is>
          <t>DALARNAS LÄN</t>
        </is>
      </c>
      <c r="E506" t="inlineStr">
        <is>
          <t>ÄLVDALEN</t>
        </is>
      </c>
      <c r="F506" t="inlineStr">
        <is>
          <t>Bergvik skog väst AB</t>
        </is>
      </c>
      <c r="G506" t="n">
        <v>2.8</v>
      </c>
      <c r="H506" t="n">
        <v>0</v>
      </c>
      <c r="I506" t="n">
        <v>0</v>
      </c>
      <c r="J506" t="n">
        <v>0</v>
      </c>
      <c r="K506" t="n">
        <v>0</v>
      </c>
      <c r="L506" t="n">
        <v>0</v>
      </c>
      <c r="M506" t="n">
        <v>0</v>
      </c>
      <c r="N506" t="n">
        <v>0</v>
      </c>
      <c r="O506" t="n">
        <v>0</v>
      </c>
      <c r="P506" t="n">
        <v>0</v>
      </c>
      <c r="Q506" t="n">
        <v>0</v>
      </c>
      <c r="R506" s="2" t="inlineStr"/>
    </row>
    <row r="507" ht="15" customHeight="1">
      <c r="A507" t="inlineStr">
        <is>
          <t>A 777-2025</t>
        </is>
      </c>
      <c r="B507" s="1" t="n">
        <v>45665.47403935185</v>
      </c>
      <c r="C507" s="1" t="n">
        <v>46030</v>
      </c>
      <c r="D507" t="inlineStr">
        <is>
          <t>DALARNAS LÄN</t>
        </is>
      </c>
      <c r="E507" t="inlineStr">
        <is>
          <t>ÄLVDALEN</t>
        </is>
      </c>
      <c r="G507" t="n">
        <v>2.4</v>
      </c>
      <c r="H507" t="n">
        <v>0</v>
      </c>
      <c r="I507" t="n">
        <v>0</v>
      </c>
      <c r="J507" t="n">
        <v>0</v>
      </c>
      <c r="K507" t="n">
        <v>0</v>
      </c>
      <c r="L507" t="n">
        <v>0</v>
      </c>
      <c r="M507" t="n">
        <v>0</v>
      </c>
      <c r="N507" t="n">
        <v>0</v>
      </c>
      <c r="O507" t="n">
        <v>0</v>
      </c>
      <c r="P507" t="n">
        <v>0</v>
      </c>
      <c r="Q507" t="n">
        <v>0</v>
      </c>
      <c r="R507" s="2" t="inlineStr"/>
    </row>
    <row r="508" ht="15" customHeight="1">
      <c r="A508" t="inlineStr">
        <is>
          <t>A 12318-2025</t>
        </is>
      </c>
      <c r="B508" s="1" t="n">
        <v>45729.87777777778</v>
      </c>
      <c r="C508" s="1" t="n">
        <v>46030</v>
      </c>
      <c r="D508" t="inlineStr">
        <is>
          <t>DALARNAS LÄN</t>
        </is>
      </c>
      <c r="E508" t="inlineStr">
        <is>
          <t>ÄLVDALEN</t>
        </is>
      </c>
      <c r="G508" t="n">
        <v>3.3</v>
      </c>
      <c r="H508" t="n">
        <v>0</v>
      </c>
      <c r="I508" t="n">
        <v>0</v>
      </c>
      <c r="J508" t="n">
        <v>0</v>
      </c>
      <c r="K508" t="n">
        <v>0</v>
      </c>
      <c r="L508" t="n">
        <v>0</v>
      </c>
      <c r="M508" t="n">
        <v>0</v>
      </c>
      <c r="N508" t="n">
        <v>0</v>
      </c>
      <c r="O508" t="n">
        <v>0</v>
      </c>
      <c r="P508" t="n">
        <v>0</v>
      </c>
      <c r="Q508" t="n">
        <v>0</v>
      </c>
      <c r="R508" s="2" t="inlineStr"/>
    </row>
    <row r="509" ht="15" customHeight="1">
      <c r="A509" t="inlineStr">
        <is>
          <t>A 62106-2025</t>
        </is>
      </c>
      <c r="B509" s="1" t="n">
        <v>46006.42576388889</v>
      </c>
      <c r="C509" s="1" t="n">
        <v>46030</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45203-2024</t>
        </is>
      </c>
      <c r="B510" s="1" t="n">
        <v>45575</v>
      </c>
      <c r="C510" s="1" t="n">
        <v>46030</v>
      </c>
      <c r="D510" t="inlineStr">
        <is>
          <t>DALARNAS LÄN</t>
        </is>
      </c>
      <c r="E510" t="inlineStr">
        <is>
          <t>ÄLVDALEN</t>
        </is>
      </c>
      <c r="G510" t="n">
        <v>7.3</v>
      </c>
      <c r="H510" t="n">
        <v>0</v>
      </c>
      <c r="I510" t="n">
        <v>0</v>
      </c>
      <c r="J510" t="n">
        <v>0</v>
      </c>
      <c r="K510" t="n">
        <v>0</v>
      </c>
      <c r="L510" t="n">
        <v>0</v>
      </c>
      <c r="M510" t="n">
        <v>0</v>
      </c>
      <c r="N510" t="n">
        <v>0</v>
      </c>
      <c r="O510" t="n">
        <v>0</v>
      </c>
      <c r="P510" t="n">
        <v>0</v>
      </c>
      <c r="Q510" t="n">
        <v>0</v>
      </c>
      <c r="R510" s="2" t="inlineStr"/>
    </row>
    <row r="511" ht="15" customHeight="1">
      <c r="A511" t="inlineStr">
        <is>
          <t>A 43039-2025</t>
        </is>
      </c>
      <c r="B511" s="1" t="n">
        <v>45909.55166666667</v>
      </c>
      <c r="C511" s="1" t="n">
        <v>46030</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63107-2025</t>
        </is>
      </c>
      <c r="B512" s="1" t="n">
        <v>46009.72113425926</v>
      </c>
      <c r="C512" s="1" t="n">
        <v>46030</v>
      </c>
      <c r="D512" t="inlineStr">
        <is>
          <t>DALARNAS LÄN</t>
        </is>
      </c>
      <c r="E512" t="inlineStr">
        <is>
          <t>ÄLVDALEN</t>
        </is>
      </c>
      <c r="G512" t="n">
        <v>4.6</v>
      </c>
      <c r="H512" t="n">
        <v>0</v>
      </c>
      <c r="I512" t="n">
        <v>0</v>
      </c>
      <c r="J512" t="n">
        <v>0</v>
      </c>
      <c r="K512" t="n">
        <v>0</v>
      </c>
      <c r="L512" t="n">
        <v>0</v>
      </c>
      <c r="M512" t="n">
        <v>0</v>
      </c>
      <c r="N512" t="n">
        <v>0</v>
      </c>
      <c r="O512" t="n">
        <v>0</v>
      </c>
      <c r="P512" t="n">
        <v>0</v>
      </c>
      <c r="Q512" t="n">
        <v>0</v>
      </c>
      <c r="R512" s="2" t="inlineStr"/>
    </row>
    <row r="513" ht="15" customHeight="1">
      <c r="A513" t="inlineStr">
        <is>
          <t>A 18075-2024</t>
        </is>
      </c>
      <c r="B513" s="1" t="n">
        <v>45420.43453703704</v>
      </c>
      <c r="C513" s="1" t="n">
        <v>46030</v>
      </c>
      <c r="D513" t="inlineStr">
        <is>
          <t>DALARNAS LÄN</t>
        </is>
      </c>
      <c r="E513" t="inlineStr">
        <is>
          <t>ÄLVDALEN</t>
        </is>
      </c>
      <c r="F513" t="inlineStr">
        <is>
          <t>Bergvik skog väst AB</t>
        </is>
      </c>
      <c r="G513" t="n">
        <v>8.6</v>
      </c>
      <c r="H513" t="n">
        <v>0</v>
      </c>
      <c r="I513" t="n">
        <v>0</v>
      </c>
      <c r="J513" t="n">
        <v>0</v>
      </c>
      <c r="K513" t="n">
        <v>0</v>
      </c>
      <c r="L513" t="n">
        <v>0</v>
      </c>
      <c r="M513" t="n">
        <v>0</v>
      </c>
      <c r="N513" t="n">
        <v>0</v>
      </c>
      <c r="O513" t="n">
        <v>0</v>
      </c>
      <c r="P513" t="n">
        <v>0</v>
      </c>
      <c r="Q513" t="n">
        <v>0</v>
      </c>
      <c r="R513" s="2" t="inlineStr"/>
    </row>
    <row r="514" ht="15" customHeight="1">
      <c r="A514" t="inlineStr">
        <is>
          <t>A 59692-2024</t>
        </is>
      </c>
      <c r="B514" s="1" t="n">
        <v>45639.40686342592</v>
      </c>
      <c r="C514" s="1" t="n">
        <v>46030</v>
      </c>
      <c r="D514" t="inlineStr">
        <is>
          <t>DALARNAS LÄN</t>
        </is>
      </c>
      <c r="E514" t="inlineStr">
        <is>
          <t>ÄLVDALEN</t>
        </is>
      </c>
      <c r="G514" t="n">
        <v>2.2</v>
      </c>
      <c r="H514" t="n">
        <v>0</v>
      </c>
      <c r="I514" t="n">
        <v>0</v>
      </c>
      <c r="J514" t="n">
        <v>0</v>
      </c>
      <c r="K514" t="n">
        <v>0</v>
      </c>
      <c r="L514" t="n">
        <v>0</v>
      </c>
      <c r="M514" t="n">
        <v>0</v>
      </c>
      <c r="N514" t="n">
        <v>0</v>
      </c>
      <c r="O514" t="n">
        <v>0</v>
      </c>
      <c r="P514" t="n">
        <v>0</v>
      </c>
      <c r="Q514" t="n">
        <v>0</v>
      </c>
      <c r="R514" s="2" t="inlineStr"/>
    </row>
    <row r="515" ht="15" customHeight="1">
      <c r="A515" t="inlineStr">
        <is>
          <t>A 23553-2025</t>
        </is>
      </c>
      <c r="B515" s="1" t="n">
        <v>45792</v>
      </c>
      <c r="C515" s="1" t="n">
        <v>46030</v>
      </c>
      <c r="D515" t="inlineStr">
        <is>
          <t>DALARNAS LÄN</t>
        </is>
      </c>
      <c r="E515" t="inlineStr">
        <is>
          <t>ÄLVDALEN</t>
        </is>
      </c>
      <c r="G515" t="n">
        <v>46.2</v>
      </c>
      <c r="H515" t="n">
        <v>0</v>
      </c>
      <c r="I515" t="n">
        <v>0</v>
      </c>
      <c r="J515" t="n">
        <v>0</v>
      </c>
      <c r="K515" t="n">
        <v>0</v>
      </c>
      <c r="L515" t="n">
        <v>0</v>
      </c>
      <c r="M515" t="n">
        <v>0</v>
      </c>
      <c r="N515" t="n">
        <v>0</v>
      </c>
      <c r="O515" t="n">
        <v>0</v>
      </c>
      <c r="P515" t="n">
        <v>0</v>
      </c>
      <c r="Q515" t="n">
        <v>0</v>
      </c>
      <c r="R515" s="2" t="inlineStr"/>
    </row>
    <row r="516" ht="15" customHeight="1">
      <c r="A516" t="inlineStr">
        <is>
          <t>A 63327-2025</t>
        </is>
      </c>
      <c r="B516" s="1" t="n">
        <v>46010.63902777778</v>
      </c>
      <c r="C516" s="1" t="n">
        <v>46030</v>
      </c>
      <c r="D516" t="inlineStr">
        <is>
          <t>DALARNAS LÄN</t>
        </is>
      </c>
      <c r="E516" t="inlineStr">
        <is>
          <t>ÄLVDALEN</t>
        </is>
      </c>
      <c r="F516" t="inlineStr">
        <is>
          <t>Allmännings- och besparingsskogar</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59303-2025</t>
        </is>
      </c>
      <c r="B517" s="1" t="n">
        <v>45988</v>
      </c>
      <c r="C517" s="1" t="n">
        <v>46030</v>
      </c>
      <c r="D517" t="inlineStr">
        <is>
          <t>DALARNAS LÄN</t>
        </is>
      </c>
      <c r="E517" t="inlineStr">
        <is>
          <t>ÄLVDALEN</t>
        </is>
      </c>
      <c r="F517" t="inlineStr">
        <is>
          <t>Allmännings- och besparingsskogar</t>
        </is>
      </c>
      <c r="G517" t="n">
        <v>18.2</v>
      </c>
      <c r="H517" t="n">
        <v>0</v>
      </c>
      <c r="I517" t="n">
        <v>0</v>
      </c>
      <c r="J517" t="n">
        <v>0</v>
      </c>
      <c r="K517" t="n">
        <v>0</v>
      </c>
      <c r="L517" t="n">
        <v>0</v>
      </c>
      <c r="M517" t="n">
        <v>0</v>
      </c>
      <c r="N517" t="n">
        <v>0</v>
      </c>
      <c r="O517" t="n">
        <v>0</v>
      </c>
      <c r="P517" t="n">
        <v>0</v>
      </c>
      <c r="Q517" t="n">
        <v>0</v>
      </c>
      <c r="R517" s="2" t="inlineStr"/>
    </row>
    <row r="518" ht="15" customHeight="1">
      <c r="A518" t="inlineStr">
        <is>
          <t>A 63525-2025</t>
        </is>
      </c>
      <c r="B518" s="1" t="n">
        <v>46013.54934027778</v>
      </c>
      <c r="C518" s="1" t="n">
        <v>46030</v>
      </c>
      <c r="D518" t="inlineStr">
        <is>
          <t>DALARNAS LÄN</t>
        </is>
      </c>
      <c r="E518" t="inlineStr">
        <is>
          <t>ÄLVDALEN</t>
        </is>
      </c>
      <c r="G518" t="n">
        <v>2.9</v>
      </c>
      <c r="H518" t="n">
        <v>0</v>
      </c>
      <c r="I518" t="n">
        <v>0</v>
      </c>
      <c r="J518" t="n">
        <v>0</v>
      </c>
      <c r="K518" t="n">
        <v>0</v>
      </c>
      <c r="L518" t="n">
        <v>0</v>
      </c>
      <c r="M518" t="n">
        <v>0</v>
      </c>
      <c r="N518" t="n">
        <v>0</v>
      </c>
      <c r="O518" t="n">
        <v>0</v>
      </c>
      <c r="P518" t="n">
        <v>0</v>
      </c>
      <c r="Q518" t="n">
        <v>0</v>
      </c>
      <c r="R518" s="2" t="inlineStr"/>
    </row>
    <row r="519" ht="15" customHeight="1">
      <c r="A519" t="inlineStr">
        <is>
          <t>A 55176-2025</t>
        </is>
      </c>
      <c r="B519" s="1" t="n">
        <v>45968.51841435185</v>
      </c>
      <c r="C519" s="1" t="n">
        <v>46030</v>
      </c>
      <c r="D519" t="inlineStr">
        <is>
          <t>DALARNAS LÄN</t>
        </is>
      </c>
      <c r="E519" t="inlineStr">
        <is>
          <t>ÄLVDALEN</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32622-2023</t>
        </is>
      </c>
      <c r="B520" s="1" t="n">
        <v>45121</v>
      </c>
      <c r="C520" s="1" t="n">
        <v>46030</v>
      </c>
      <c r="D520" t="inlineStr">
        <is>
          <t>DALARNAS LÄN</t>
        </is>
      </c>
      <c r="E520" t="inlineStr">
        <is>
          <t>ÄLVDALEN</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59483-2024</t>
        </is>
      </c>
      <c r="B521" s="1" t="n">
        <v>45638.52847222222</v>
      </c>
      <c r="C521" s="1" t="n">
        <v>46030</v>
      </c>
      <c r="D521" t="inlineStr">
        <is>
          <t>DALARNAS LÄN</t>
        </is>
      </c>
      <c r="E521" t="inlineStr">
        <is>
          <t>ÄLVDALEN</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26080-2021</t>
        </is>
      </c>
      <c r="B522" s="1" t="n">
        <v>44344</v>
      </c>
      <c r="C522" s="1" t="n">
        <v>46030</v>
      </c>
      <c r="D522" t="inlineStr">
        <is>
          <t>DALARNAS LÄN</t>
        </is>
      </c>
      <c r="E522" t="inlineStr">
        <is>
          <t>ÄLVDALEN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59547-2023</t>
        </is>
      </c>
      <c r="B523" s="1" t="n">
        <v>45254.55645833333</v>
      </c>
      <c r="C523" s="1" t="n">
        <v>46030</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8538-2025</t>
        </is>
      </c>
      <c r="B524" s="1" t="n">
        <v>45709.59030092593</v>
      </c>
      <c r="C524" s="1" t="n">
        <v>46030</v>
      </c>
      <c r="D524" t="inlineStr">
        <is>
          <t>DALARNAS LÄN</t>
        </is>
      </c>
      <c r="E524" t="inlineStr">
        <is>
          <t>ÄLVDALEN</t>
        </is>
      </c>
      <c r="F524" t="inlineStr">
        <is>
          <t>Allmännings- och besparingsskogar</t>
        </is>
      </c>
      <c r="G524" t="n">
        <v>0.6</v>
      </c>
      <c r="H524" t="n">
        <v>0</v>
      </c>
      <c r="I524" t="n">
        <v>0</v>
      </c>
      <c r="J524" t="n">
        <v>0</v>
      </c>
      <c r="K524" t="n">
        <v>0</v>
      </c>
      <c r="L524" t="n">
        <v>0</v>
      </c>
      <c r="M524" t="n">
        <v>0</v>
      </c>
      <c r="N524" t="n">
        <v>0</v>
      </c>
      <c r="O524" t="n">
        <v>0</v>
      </c>
      <c r="P524" t="n">
        <v>0</v>
      </c>
      <c r="Q524" t="n">
        <v>0</v>
      </c>
      <c r="R524" s="2" t="inlineStr"/>
    </row>
    <row r="525" ht="15" customHeight="1">
      <c r="A525" t="inlineStr">
        <is>
          <t>A 8784-2024</t>
        </is>
      </c>
      <c r="B525" s="1" t="n">
        <v>45356.58180555556</v>
      </c>
      <c r="C525" s="1" t="n">
        <v>46030</v>
      </c>
      <c r="D525" t="inlineStr">
        <is>
          <t>DALARNAS LÄN</t>
        </is>
      </c>
      <c r="E525" t="inlineStr">
        <is>
          <t>ÄLVDALEN</t>
        </is>
      </c>
      <c r="G525" t="n">
        <v>1.6</v>
      </c>
      <c r="H525" t="n">
        <v>0</v>
      </c>
      <c r="I525" t="n">
        <v>0</v>
      </c>
      <c r="J525" t="n">
        <v>0</v>
      </c>
      <c r="K525" t="n">
        <v>0</v>
      </c>
      <c r="L525" t="n">
        <v>0</v>
      </c>
      <c r="M525" t="n">
        <v>0</v>
      </c>
      <c r="N525" t="n">
        <v>0</v>
      </c>
      <c r="O525" t="n">
        <v>0</v>
      </c>
      <c r="P525" t="n">
        <v>0</v>
      </c>
      <c r="Q525" t="n">
        <v>0</v>
      </c>
      <c r="R525" s="2" t="inlineStr"/>
    </row>
    <row r="526" ht="15" customHeight="1">
      <c r="A526" t="inlineStr">
        <is>
          <t>A 15952-2021</t>
        </is>
      </c>
      <c r="B526" s="1" t="n">
        <v>44286</v>
      </c>
      <c r="C526" s="1" t="n">
        <v>46030</v>
      </c>
      <c r="D526" t="inlineStr">
        <is>
          <t>DALARNAS LÄN</t>
        </is>
      </c>
      <c r="E526" t="inlineStr">
        <is>
          <t>ÄLVDALEN</t>
        </is>
      </c>
      <c r="F526" t="inlineStr">
        <is>
          <t>Övriga statliga verk och myndigheter</t>
        </is>
      </c>
      <c r="G526" t="n">
        <v>6.6</v>
      </c>
      <c r="H526" t="n">
        <v>0</v>
      </c>
      <c r="I526" t="n">
        <v>0</v>
      </c>
      <c r="J526" t="n">
        <v>0</v>
      </c>
      <c r="K526" t="n">
        <v>0</v>
      </c>
      <c r="L526" t="n">
        <v>0</v>
      </c>
      <c r="M526" t="n">
        <v>0</v>
      </c>
      <c r="N526" t="n">
        <v>0</v>
      </c>
      <c r="O526" t="n">
        <v>0</v>
      </c>
      <c r="P526" t="n">
        <v>0</v>
      </c>
      <c r="Q526" t="n">
        <v>0</v>
      </c>
      <c r="R526" s="2" t="inlineStr"/>
    </row>
    <row r="527" ht="15" customHeight="1">
      <c r="A527" t="inlineStr">
        <is>
          <t>A 59207-2022</t>
        </is>
      </c>
      <c r="B527" s="1" t="n">
        <v>44904</v>
      </c>
      <c r="C527" s="1" t="n">
        <v>46030</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49723-2023</t>
        </is>
      </c>
      <c r="B528" s="1" t="n">
        <v>45212</v>
      </c>
      <c r="C528" s="1" t="n">
        <v>46030</v>
      </c>
      <c r="D528" t="inlineStr">
        <is>
          <t>DALARNAS LÄN</t>
        </is>
      </c>
      <c r="E528" t="inlineStr">
        <is>
          <t>ÄLVDALEN</t>
        </is>
      </c>
      <c r="F528" t="inlineStr">
        <is>
          <t>Bergvik skog väst AB</t>
        </is>
      </c>
      <c r="G528" t="n">
        <v>5</v>
      </c>
      <c r="H528" t="n">
        <v>0</v>
      </c>
      <c r="I528" t="n">
        <v>0</v>
      </c>
      <c r="J528" t="n">
        <v>0</v>
      </c>
      <c r="K528" t="n">
        <v>0</v>
      </c>
      <c r="L528" t="n">
        <v>0</v>
      </c>
      <c r="M528" t="n">
        <v>0</v>
      </c>
      <c r="N528" t="n">
        <v>0</v>
      </c>
      <c r="O528" t="n">
        <v>0</v>
      </c>
      <c r="P528" t="n">
        <v>0</v>
      </c>
      <c r="Q528" t="n">
        <v>0</v>
      </c>
      <c r="R528" s="2" t="inlineStr"/>
    </row>
    <row r="529" ht="15" customHeight="1">
      <c r="A529" t="inlineStr">
        <is>
          <t>A 9045-2025</t>
        </is>
      </c>
      <c r="B529" s="1" t="n">
        <v>45713.62837962963</v>
      </c>
      <c r="C529" s="1" t="n">
        <v>46030</v>
      </c>
      <c r="D529" t="inlineStr">
        <is>
          <t>DALARNAS LÄN</t>
        </is>
      </c>
      <c r="E529" t="inlineStr">
        <is>
          <t>ÄLVDALEN</t>
        </is>
      </c>
      <c r="F529" t="inlineStr">
        <is>
          <t>Allmännings- och besparingsskogar</t>
        </is>
      </c>
      <c r="G529" t="n">
        <v>39.1</v>
      </c>
      <c r="H529" t="n">
        <v>0</v>
      </c>
      <c r="I529" t="n">
        <v>0</v>
      </c>
      <c r="J529" t="n">
        <v>0</v>
      </c>
      <c r="K529" t="n">
        <v>0</v>
      </c>
      <c r="L529" t="n">
        <v>0</v>
      </c>
      <c r="M529" t="n">
        <v>0</v>
      </c>
      <c r="N529" t="n">
        <v>0</v>
      </c>
      <c r="O529" t="n">
        <v>0</v>
      </c>
      <c r="P529" t="n">
        <v>0</v>
      </c>
      <c r="Q529" t="n">
        <v>0</v>
      </c>
      <c r="R529" s="2" t="inlineStr"/>
    </row>
    <row r="530" ht="15" customHeight="1">
      <c r="A530" t="inlineStr">
        <is>
          <t>A 48954-2023</t>
        </is>
      </c>
      <c r="B530" s="1" t="n">
        <v>45209.58488425926</v>
      </c>
      <c r="C530" s="1" t="n">
        <v>46030</v>
      </c>
      <c r="D530" t="inlineStr">
        <is>
          <t>DALARNAS LÄN</t>
        </is>
      </c>
      <c r="E530" t="inlineStr">
        <is>
          <t>ÄLVDALEN</t>
        </is>
      </c>
      <c r="G530" t="n">
        <v>7</v>
      </c>
      <c r="H530" t="n">
        <v>0</v>
      </c>
      <c r="I530" t="n">
        <v>0</v>
      </c>
      <c r="J530" t="n">
        <v>0</v>
      </c>
      <c r="K530" t="n">
        <v>0</v>
      </c>
      <c r="L530" t="n">
        <v>0</v>
      </c>
      <c r="M530" t="n">
        <v>0</v>
      </c>
      <c r="N530" t="n">
        <v>0</v>
      </c>
      <c r="O530" t="n">
        <v>0</v>
      </c>
      <c r="P530" t="n">
        <v>0</v>
      </c>
      <c r="Q530" t="n">
        <v>0</v>
      </c>
      <c r="R530" s="2" t="inlineStr"/>
    </row>
    <row r="531" ht="15" customHeight="1">
      <c r="A531" t="inlineStr">
        <is>
          <t>A 34835-2023</t>
        </is>
      </c>
      <c r="B531" s="1" t="n">
        <v>45141</v>
      </c>
      <c r="C531" s="1" t="n">
        <v>46030</v>
      </c>
      <c r="D531" t="inlineStr">
        <is>
          <t>DALARNAS LÄN</t>
        </is>
      </c>
      <c r="E531" t="inlineStr">
        <is>
          <t>ÄLVDALEN</t>
        </is>
      </c>
      <c r="G531" t="n">
        <v>3.4</v>
      </c>
      <c r="H531" t="n">
        <v>0</v>
      </c>
      <c r="I531" t="n">
        <v>0</v>
      </c>
      <c r="J531" t="n">
        <v>0</v>
      </c>
      <c r="K531" t="n">
        <v>0</v>
      </c>
      <c r="L531" t="n">
        <v>0</v>
      </c>
      <c r="M531" t="n">
        <v>0</v>
      </c>
      <c r="N531" t="n">
        <v>0</v>
      </c>
      <c r="O531" t="n">
        <v>0</v>
      </c>
      <c r="P531" t="n">
        <v>0</v>
      </c>
      <c r="Q531" t="n">
        <v>0</v>
      </c>
      <c r="R531" s="2" t="inlineStr"/>
    </row>
    <row r="532" ht="15" customHeight="1">
      <c r="A532" t="inlineStr">
        <is>
          <t>A 45245-2022</t>
        </is>
      </c>
      <c r="B532" s="1" t="n">
        <v>44844.48002314815</v>
      </c>
      <c r="C532" s="1" t="n">
        <v>46030</v>
      </c>
      <c r="D532" t="inlineStr">
        <is>
          <t>DALARNAS LÄN</t>
        </is>
      </c>
      <c r="E532" t="inlineStr">
        <is>
          <t>ÄLVDALEN</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8192-2025</t>
        </is>
      </c>
      <c r="B533" s="1" t="n">
        <v>45708.41151620371</v>
      </c>
      <c r="C533" s="1" t="n">
        <v>46030</v>
      </c>
      <c r="D533" t="inlineStr">
        <is>
          <t>DALARNAS LÄN</t>
        </is>
      </c>
      <c r="E533" t="inlineStr">
        <is>
          <t>ÄLVDALEN</t>
        </is>
      </c>
      <c r="F533" t="inlineStr">
        <is>
          <t>Allmännings- och besparingsskogar</t>
        </is>
      </c>
      <c r="G533" t="n">
        <v>15.1</v>
      </c>
      <c r="H533" t="n">
        <v>0</v>
      </c>
      <c r="I533" t="n">
        <v>0</v>
      </c>
      <c r="J533" t="n">
        <v>0</v>
      </c>
      <c r="K533" t="n">
        <v>0</v>
      </c>
      <c r="L533" t="n">
        <v>0</v>
      </c>
      <c r="M533" t="n">
        <v>0</v>
      </c>
      <c r="N533" t="n">
        <v>0</v>
      </c>
      <c r="O533" t="n">
        <v>0</v>
      </c>
      <c r="P533" t="n">
        <v>0</v>
      </c>
      <c r="Q533" t="n">
        <v>0</v>
      </c>
      <c r="R533" s="2" t="inlineStr"/>
    </row>
    <row r="534" ht="15" customHeight="1">
      <c r="A534" t="inlineStr">
        <is>
          <t>A 31857-2023</t>
        </is>
      </c>
      <c r="B534" s="1" t="n">
        <v>45106</v>
      </c>
      <c r="C534" s="1" t="n">
        <v>46030</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431-2023</t>
        </is>
      </c>
      <c r="B535" s="1" t="n">
        <v>44923</v>
      </c>
      <c r="C535" s="1" t="n">
        <v>46030</v>
      </c>
      <c r="D535" t="inlineStr">
        <is>
          <t>DALARNAS LÄN</t>
        </is>
      </c>
      <c r="E535" t="inlineStr">
        <is>
          <t>ÄLVDALEN</t>
        </is>
      </c>
      <c r="G535" t="n">
        <v>2.9</v>
      </c>
      <c r="H535" t="n">
        <v>0</v>
      </c>
      <c r="I535" t="n">
        <v>0</v>
      </c>
      <c r="J535" t="n">
        <v>0</v>
      </c>
      <c r="K535" t="n">
        <v>0</v>
      </c>
      <c r="L535" t="n">
        <v>0</v>
      </c>
      <c r="M535" t="n">
        <v>0</v>
      </c>
      <c r="N535" t="n">
        <v>0</v>
      </c>
      <c r="O535" t="n">
        <v>0</v>
      </c>
      <c r="P535" t="n">
        <v>0</v>
      </c>
      <c r="Q535" t="n">
        <v>0</v>
      </c>
      <c r="R535" s="2" t="inlineStr"/>
    </row>
    <row r="536" ht="15" customHeight="1">
      <c r="A536" t="inlineStr">
        <is>
          <t>A 58848-2022</t>
        </is>
      </c>
      <c r="B536" s="1" t="n">
        <v>44896</v>
      </c>
      <c r="C536" s="1" t="n">
        <v>46030</v>
      </c>
      <c r="D536" t="inlineStr">
        <is>
          <t>DALARNAS LÄN</t>
        </is>
      </c>
      <c r="E536" t="inlineStr">
        <is>
          <t>ÄLVDALEN</t>
        </is>
      </c>
      <c r="F536" t="inlineStr">
        <is>
          <t>Övriga statliga verk och myndigheter</t>
        </is>
      </c>
      <c r="G536" t="n">
        <v>18.1</v>
      </c>
      <c r="H536" t="n">
        <v>0</v>
      </c>
      <c r="I536" t="n">
        <v>0</v>
      </c>
      <c r="J536" t="n">
        <v>0</v>
      </c>
      <c r="K536" t="n">
        <v>0</v>
      </c>
      <c r="L536" t="n">
        <v>0</v>
      </c>
      <c r="M536" t="n">
        <v>0</v>
      </c>
      <c r="N536" t="n">
        <v>0</v>
      </c>
      <c r="O536" t="n">
        <v>0</v>
      </c>
      <c r="P536" t="n">
        <v>0</v>
      </c>
      <c r="Q536" t="n">
        <v>0</v>
      </c>
      <c r="R536" s="2" t="inlineStr"/>
    </row>
    <row r="537" ht="15" customHeight="1">
      <c r="A537" t="inlineStr">
        <is>
          <t>A 23570-2023</t>
        </is>
      </c>
      <c r="B537" s="1" t="n">
        <v>45077</v>
      </c>
      <c r="C537" s="1" t="n">
        <v>46030</v>
      </c>
      <c r="D537" t="inlineStr">
        <is>
          <t>DALARNAS LÄN</t>
        </is>
      </c>
      <c r="E537" t="inlineStr">
        <is>
          <t>ÄLVDALEN</t>
        </is>
      </c>
      <c r="G537" t="n">
        <v>4.9</v>
      </c>
      <c r="H537" t="n">
        <v>0</v>
      </c>
      <c r="I537" t="n">
        <v>0</v>
      </c>
      <c r="J537" t="n">
        <v>0</v>
      </c>
      <c r="K537" t="n">
        <v>0</v>
      </c>
      <c r="L537" t="n">
        <v>0</v>
      </c>
      <c r="M537" t="n">
        <v>0</v>
      </c>
      <c r="N537" t="n">
        <v>0</v>
      </c>
      <c r="O537" t="n">
        <v>0</v>
      </c>
      <c r="P537" t="n">
        <v>0</v>
      </c>
      <c r="Q537" t="n">
        <v>0</v>
      </c>
      <c r="R537" s="2" t="inlineStr"/>
    </row>
    <row r="538" ht="15" customHeight="1">
      <c r="A538" t="inlineStr">
        <is>
          <t>A 17346-2022</t>
        </is>
      </c>
      <c r="B538" s="1" t="n">
        <v>44678.56600694444</v>
      </c>
      <c r="C538" s="1" t="n">
        <v>46030</v>
      </c>
      <c r="D538" t="inlineStr">
        <is>
          <t>DALARNAS LÄN</t>
        </is>
      </c>
      <c r="E538" t="inlineStr">
        <is>
          <t>ÄLVDALEN</t>
        </is>
      </c>
      <c r="G538" t="n">
        <v>4.4</v>
      </c>
      <c r="H538" t="n">
        <v>0</v>
      </c>
      <c r="I538" t="n">
        <v>0</v>
      </c>
      <c r="J538" t="n">
        <v>0</v>
      </c>
      <c r="K538" t="n">
        <v>0</v>
      </c>
      <c r="L538" t="n">
        <v>0</v>
      </c>
      <c r="M538" t="n">
        <v>0</v>
      </c>
      <c r="N538" t="n">
        <v>0</v>
      </c>
      <c r="O538" t="n">
        <v>0</v>
      </c>
      <c r="P538" t="n">
        <v>0</v>
      </c>
      <c r="Q538" t="n">
        <v>0</v>
      </c>
      <c r="R538" s="2" t="inlineStr"/>
    </row>
    <row r="539" ht="15" customHeight="1">
      <c r="A539" t="inlineStr">
        <is>
          <t>A 19761-2021</t>
        </is>
      </c>
      <c r="B539" s="1" t="n">
        <v>44309</v>
      </c>
      <c r="C539" s="1" t="n">
        <v>46030</v>
      </c>
      <c r="D539" t="inlineStr">
        <is>
          <t>DALARNAS LÄN</t>
        </is>
      </c>
      <c r="E539" t="inlineStr">
        <is>
          <t>ÄLVDALEN</t>
        </is>
      </c>
      <c r="G539" t="n">
        <v>4.3</v>
      </c>
      <c r="H539" t="n">
        <v>0</v>
      </c>
      <c r="I539" t="n">
        <v>0</v>
      </c>
      <c r="J539" t="n">
        <v>0</v>
      </c>
      <c r="K539" t="n">
        <v>0</v>
      </c>
      <c r="L539" t="n">
        <v>0</v>
      </c>
      <c r="M539" t="n">
        <v>0</v>
      </c>
      <c r="N539" t="n">
        <v>0</v>
      </c>
      <c r="O539" t="n">
        <v>0</v>
      </c>
      <c r="P539" t="n">
        <v>0</v>
      </c>
      <c r="Q539" t="n">
        <v>0</v>
      </c>
      <c r="R539" s="2" t="inlineStr"/>
    </row>
    <row r="540" ht="15" customHeight="1">
      <c r="A540" t="inlineStr">
        <is>
          <t>A 23369-2023</t>
        </is>
      </c>
      <c r="B540" s="1" t="n">
        <v>45076</v>
      </c>
      <c r="C540" s="1" t="n">
        <v>46030</v>
      </c>
      <c r="D540" t="inlineStr">
        <is>
          <t>DALARNAS LÄN</t>
        </is>
      </c>
      <c r="E540" t="inlineStr">
        <is>
          <t>ÄLVDALEN</t>
        </is>
      </c>
      <c r="G540" t="n">
        <v>1.5</v>
      </c>
      <c r="H540" t="n">
        <v>0</v>
      </c>
      <c r="I540" t="n">
        <v>0</v>
      </c>
      <c r="J540" t="n">
        <v>0</v>
      </c>
      <c r="K540" t="n">
        <v>0</v>
      </c>
      <c r="L540" t="n">
        <v>0</v>
      </c>
      <c r="M540" t="n">
        <v>0</v>
      </c>
      <c r="N540" t="n">
        <v>0</v>
      </c>
      <c r="O540" t="n">
        <v>0</v>
      </c>
      <c r="P540" t="n">
        <v>0</v>
      </c>
      <c r="Q540" t="n">
        <v>0</v>
      </c>
      <c r="R540" s="2" t="inlineStr"/>
    </row>
    <row r="541" ht="15" customHeight="1">
      <c r="A541" t="inlineStr">
        <is>
          <t>A 29819-2024</t>
        </is>
      </c>
      <c r="B541" s="1" t="n">
        <v>45485.55760416666</v>
      </c>
      <c r="C541" s="1" t="n">
        <v>46030</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8146-2025</t>
        </is>
      </c>
      <c r="B542" s="1" t="n">
        <v>45708.30415509259</v>
      </c>
      <c r="C542" s="1" t="n">
        <v>46030</v>
      </c>
      <c r="D542" t="inlineStr">
        <is>
          <t>DALARNAS LÄN</t>
        </is>
      </c>
      <c r="E542" t="inlineStr">
        <is>
          <t>ÄLVDALEN</t>
        </is>
      </c>
      <c r="F542" t="inlineStr">
        <is>
          <t>Allmännings- och besparingsskogar</t>
        </is>
      </c>
      <c r="G542" t="n">
        <v>1</v>
      </c>
      <c r="H542" t="n">
        <v>0</v>
      </c>
      <c r="I542" t="n">
        <v>0</v>
      </c>
      <c r="J542" t="n">
        <v>0</v>
      </c>
      <c r="K542" t="n">
        <v>0</v>
      </c>
      <c r="L542" t="n">
        <v>0</v>
      </c>
      <c r="M542" t="n">
        <v>0</v>
      </c>
      <c r="N542" t="n">
        <v>0</v>
      </c>
      <c r="O542" t="n">
        <v>0</v>
      </c>
      <c r="P542" t="n">
        <v>0</v>
      </c>
      <c r="Q542" t="n">
        <v>0</v>
      </c>
      <c r="R542" s="2" t="inlineStr"/>
    </row>
    <row r="543" ht="15" customHeight="1">
      <c r="A543" t="inlineStr">
        <is>
          <t>A 57467-2023</t>
        </is>
      </c>
      <c r="B543" s="1" t="n">
        <v>45246.36751157408</v>
      </c>
      <c r="C543" s="1" t="n">
        <v>46030</v>
      </c>
      <c r="D543" t="inlineStr">
        <is>
          <t>DALARNAS LÄN</t>
        </is>
      </c>
      <c r="E543" t="inlineStr">
        <is>
          <t>ÄLVDALEN</t>
        </is>
      </c>
      <c r="G543" t="n">
        <v>0.2</v>
      </c>
      <c r="H543" t="n">
        <v>0</v>
      </c>
      <c r="I543" t="n">
        <v>0</v>
      </c>
      <c r="J543" t="n">
        <v>0</v>
      </c>
      <c r="K543" t="n">
        <v>0</v>
      </c>
      <c r="L543" t="n">
        <v>0</v>
      </c>
      <c r="M543" t="n">
        <v>0</v>
      </c>
      <c r="N543" t="n">
        <v>0</v>
      </c>
      <c r="O543" t="n">
        <v>0</v>
      </c>
      <c r="P543" t="n">
        <v>0</v>
      </c>
      <c r="Q543" t="n">
        <v>0</v>
      </c>
      <c r="R543" s="2" t="inlineStr"/>
    </row>
    <row r="544" ht="15" customHeight="1">
      <c r="A544" t="inlineStr">
        <is>
          <t>A 32838-2023</t>
        </is>
      </c>
      <c r="B544" s="1" t="n">
        <v>45124</v>
      </c>
      <c r="C544" s="1" t="n">
        <v>46030</v>
      </c>
      <c r="D544" t="inlineStr">
        <is>
          <t>DALARNAS LÄN</t>
        </is>
      </c>
      <c r="E544" t="inlineStr">
        <is>
          <t>ÄLVDALEN</t>
        </is>
      </c>
      <c r="G544" t="n">
        <v>3.7</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46030</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15760-2024</t>
        </is>
      </c>
      <c r="B546" s="1" t="n">
        <v>45404</v>
      </c>
      <c r="C546" s="1" t="n">
        <v>46030</v>
      </c>
      <c r="D546" t="inlineStr">
        <is>
          <t>DALARNAS LÄN</t>
        </is>
      </c>
      <c r="E546" t="inlineStr">
        <is>
          <t>ÄLVDALEN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39227-2024</t>
        </is>
      </c>
      <c r="B547" s="1" t="n">
        <v>45550.50548611111</v>
      </c>
      <c r="C547" s="1" t="n">
        <v>46030</v>
      </c>
      <c r="D547" t="inlineStr">
        <is>
          <t>DALARNAS LÄN</t>
        </is>
      </c>
      <c r="E547" t="inlineStr">
        <is>
          <t>ÄLVDALEN</t>
        </is>
      </c>
      <c r="G547" t="n">
        <v>0.2</v>
      </c>
      <c r="H547" t="n">
        <v>0</v>
      </c>
      <c r="I547" t="n">
        <v>0</v>
      </c>
      <c r="J547" t="n">
        <v>0</v>
      </c>
      <c r="K547" t="n">
        <v>0</v>
      </c>
      <c r="L547" t="n">
        <v>0</v>
      </c>
      <c r="M547" t="n">
        <v>0</v>
      </c>
      <c r="N547" t="n">
        <v>0</v>
      </c>
      <c r="O547" t="n">
        <v>0</v>
      </c>
      <c r="P547" t="n">
        <v>0</v>
      </c>
      <c r="Q547" t="n">
        <v>0</v>
      </c>
      <c r="R547" s="2" t="inlineStr"/>
    </row>
    <row r="548" ht="15" customHeight="1">
      <c r="A548" t="inlineStr">
        <is>
          <t>A 54076-2024</t>
        </is>
      </c>
      <c r="B548" s="1" t="n">
        <v>45616</v>
      </c>
      <c r="C548" s="1" t="n">
        <v>46030</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7164-2021</t>
        </is>
      </c>
      <c r="B549" s="1" t="n">
        <v>44238</v>
      </c>
      <c r="C549" s="1" t="n">
        <v>46030</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39010-2024</t>
        </is>
      </c>
      <c r="B550" s="1" t="n">
        <v>45548</v>
      </c>
      <c r="C550" s="1" t="n">
        <v>46030</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74322-2021</t>
        </is>
      </c>
      <c r="B551" s="1" t="n">
        <v>44558</v>
      </c>
      <c r="C551" s="1" t="n">
        <v>46030</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60265-2021</t>
        </is>
      </c>
      <c r="B552" s="1" t="n">
        <v>44495.68053240741</v>
      </c>
      <c r="C552" s="1" t="n">
        <v>46030</v>
      </c>
      <c r="D552" t="inlineStr">
        <is>
          <t>DALARNAS LÄN</t>
        </is>
      </c>
      <c r="E552" t="inlineStr">
        <is>
          <t>ÄLVDALEN</t>
        </is>
      </c>
      <c r="F552" t="inlineStr">
        <is>
          <t>Allmännings- och besparingsskogar</t>
        </is>
      </c>
      <c r="G552" t="n">
        <v>10</v>
      </c>
      <c r="H552" t="n">
        <v>0</v>
      </c>
      <c r="I552" t="n">
        <v>0</v>
      </c>
      <c r="J552" t="n">
        <v>0</v>
      </c>
      <c r="K552" t="n">
        <v>0</v>
      </c>
      <c r="L552" t="n">
        <v>0</v>
      </c>
      <c r="M552" t="n">
        <v>0</v>
      </c>
      <c r="N552" t="n">
        <v>0</v>
      </c>
      <c r="O552" t="n">
        <v>0</v>
      </c>
      <c r="P552" t="n">
        <v>0</v>
      </c>
      <c r="Q552" t="n">
        <v>0</v>
      </c>
      <c r="R552" s="2" t="inlineStr"/>
    </row>
    <row r="553" ht="15" customHeight="1">
      <c r="A553" t="inlineStr">
        <is>
          <t>A 14089-2022</t>
        </is>
      </c>
      <c r="B553" s="1" t="n">
        <v>44651</v>
      </c>
      <c r="C553" s="1" t="n">
        <v>46030</v>
      </c>
      <c r="D553" t="inlineStr">
        <is>
          <t>DALARNAS LÄN</t>
        </is>
      </c>
      <c r="E553" t="inlineStr">
        <is>
          <t>ÄLVDALEN</t>
        </is>
      </c>
      <c r="F553" t="inlineStr">
        <is>
          <t>Kommuner</t>
        </is>
      </c>
      <c r="G553" t="n">
        <v>2.1</v>
      </c>
      <c r="H553" t="n">
        <v>0</v>
      </c>
      <c r="I553" t="n">
        <v>0</v>
      </c>
      <c r="J553" t="n">
        <v>0</v>
      </c>
      <c r="K553" t="n">
        <v>0</v>
      </c>
      <c r="L553" t="n">
        <v>0</v>
      </c>
      <c r="M553" t="n">
        <v>0</v>
      </c>
      <c r="N553" t="n">
        <v>0</v>
      </c>
      <c r="O553" t="n">
        <v>0</v>
      </c>
      <c r="P553" t="n">
        <v>0</v>
      </c>
      <c r="Q553" t="n">
        <v>0</v>
      </c>
      <c r="R553" s="2" t="inlineStr"/>
    </row>
    <row r="554" ht="15" customHeight="1">
      <c r="A554" t="inlineStr">
        <is>
          <t>A 46011-2023</t>
        </is>
      </c>
      <c r="B554" s="1" t="n">
        <v>45196.38245370371</v>
      </c>
      <c r="C554" s="1" t="n">
        <v>46030</v>
      </c>
      <c r="D554" t="inlineStr">
        <is>
          <t>DALARNAS LÄN</t>
        </is>
      </c>
      <c r="E554" t="inlineStr">
        <is>
          <t>ÄLVDALEN</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23999-2024</t>
        </is>
      </c>
      <c r="B555" s="1" t="n">
        <v>45456.37555555555</v>
      </c>
      <c r="C555" s="1" t="n">
        <v>46030</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24002-2024</t>
        </is>
      </c>
      <c r="B556" s="1" t="n">
        <v>45456.3827662037</v>
      </c>
      <c r="C556" s="1" t="n">
        <v>46030</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4380-2024</t>
        </is>
      </c>
      <c r="B557" s="1" t="n">
        <v>45327</v>
      </c>
      <c r="C557" s="1" t="n">
        <v>46030</v>
      </c>
      <c r="D557" t="inlineStr">
        <is>
          <t>DALARNAS LÄN</t>
        </is>
      </c>
      <c r="E557" t="inlineStr">
        <is>
          <t>ÄLVDALEN</t>
        </is>
      </c>
      <c r="G557" t="n">
        <v>6.3</v>
      </c>
      <c r="H557" t="n">
        <v>0</v>
      </c>
      <c r="I557" t="n">
        <v>0</v>
      </c>
      <c r="J557" t="n">
        <v>0</v>
      </c>
      <c r="K557" t="n">
        <v>0</v>
      </c>
      <c r="L557" t="n">
        <v>0</v>
      </c>
      <c r="M557" t="n">
        <v>0</v>
      </c>
      <c r="N557" t="n">
        <v>0</v>
      </c>
      <c r="O557" t="n">
        <v>0</v>
      </c>
      <c r="P557" t="n">
        <v>0</v>
      </c>
      <c r="Q557" t="n">
        <v>0</v>
      </c>
      <c r="R557" s="2" t="inlineStr"/>
    </row>
    <row r="558" ht="15" customHeight="1">
      <c r="A558" t="inlineStr">
        <is>
          <t>A 30225-2023</t>
        </is>
      </c>
      <c r="B558" s="1" t="n">
        <v>45110.64971064815</v>
      </c>
      <c r="C558" s="1" t="n">
        <v>46030</v>
      </c>
      <c r="D558" t="inlineStr">
        <is>
          <t>DALARNAS LÄN</t>
        </is>
      </c>
      <c r="E558" t="inlineStr">
        <is>
          <t>ÄLVDALEN</t>
        </is>
      </c>
      <c r="F558" t="inlineStr">
        <is>
          <t>Allmännings- och besparingsskogar</t>
        </is>
      </c>
      <c r="G558" t="n">
        <v>0.6</v>
      </c>
      <c r="H558" t="n">
        <v>0</v>
      </c>
      <c r="I558" t="n">
        <v>0</v>
      </c>
      <c r="J558" t="n">
        <v>0</v>
      </c>
      <c r="K558" t="n">
        <v>0</v>
      </c>
      <c r="L558" t="n">
        <v>0</v>
      </c>
      <c r="M558" t="n">
        <v>0</v>
      </c>
      <c r="N558" t="n">
        <v>0</v>
      </c>
      <c r="O558" t="n">
        <v>0</v>
      </c>
      <c r="P558" t="n">
        <v>0</v>
      </c>
      <c r="Q558" t="n">
        <v>0</v>
      </c>
      <c r="R558" s="2" t="inlineStr"/>
    </row>
    <row r="559" ht="15" customHeight="1">
      <c r="A559" t="inlineStr">
        <is>
          <t>A 22847-2023</t>
        </is>
      </c>
      <c r="B559" s="1" t="n">
        <v>45072</v>
      </c>
      <c r="C559" s="1" t="n">
        <v>46030</v>
      </c>
      <c r="D559" t="inlineStr">
        <is>
          <t>DALARNAS LÄN</t>
        </is>
      </c>
      <c r="E559" t="inlineStr">
        <is>
          <t>ÄLVDALEN</t>
        </is>
      </c>
      <c r="F559" t="inlineStr">
        <is>
          <t>Bergvik skog väst AB</t>
        </is>
      </c>
      <c r="G559" t="n">
        <v>8.1</v>
      </c>
      <c r="H559" t="n">
        <v>0</v>
      </c>
      <c r="I559" t="n">
        <v>0</v>
      </c>
      <c r="J559" t="n">
        <v>0</v>
      </c>
      <c r="K559" t="n">
        <v>0</v>
      </c>
      <c r="L559" t="n">
        <v>0</v>
      </c>
      <c r="M559" t="n">
        <v>0</v>
      </c>
      <c r="N559" t="n">
        <v>0</v>
      </c>
      <c r="O559" t="n">
        <v>0</v>
      </c>
      <c r="P559" t="n">
        <v>0</v>
      </c>
      <c r="Q559" t="n">
        <v>0</v>
      </c>
      <c r="R559" s="2" t="inlineStr"/>
    </row>
    <row r="560" ht="15" customHeight="1">
      <c r="A560" t="inlineStr">
        <is>
          <t>A 59478-2024</t>
        </is>
      </c>
      <c r="B560" s="1" t="n">
        <v>45638.52181712963</v>
      </c>
      <c r="C560" s="1" t="n">
        <v>46030</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771-2025</t>
        </is>
      </c>
      <c r="B561" s="1" t="n">
        <v>45665.46518518519</v>
      </c>
      <c r="C561" s="1" t="n">
        <v>46030</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6791-2025</t>
        </is>
      </c>
      <c r="B562" s="1" t="n">
        <v>45700.66315972222</v>
      </c>
      <c r="C562" s="1" t="n">
        <v>46030</v>
      </c>
      <c r="D562" t="inlineStr">
        <is>
          <t>DALARNAS LÄN</t>
        </is>
      </c>
      <c r="E562" t="inlineStr">
        <is>
          <t>ÄLVDALEN</t>
        </is>
      </c>
      <c r="G562" t="n">
        <v>30.2</v>
      </c>
      <c r="H562" t="n">
        <v>0</v>
      </c>
      <c r="I562" t="n">
        <v>0</v>
      </c>
      <c r="J562" t="n">
        <v>0</v>
      </c>
      <c r="K562" t="n">
        <v>0</v>
      </c>
      <c r="L562" t="n">
        <v>0</v>
      </c>
      <c r="M562" t="n">
        <v>0</v>
      </c>
      <c r="N562" t="n">
        <v>0</v>
      </c>
      <c r="O562" t="n">
        <v>0</v>
      </c>
      <c r="P562" t="n">
        <v>0</v>
      </c>
      <c r="Q562" t="n">
        <v>0</v>
      </c>
      <c r="R562" s="2" t="inlineStr"/>
    </row>
    <row r="563" ht="15" customHeight="1">
      <c r="A563" t="inlineStr">
        <is>
          <t>A 46927-2024</t>
        </is>
      </c>
      <c r="B563" s="1" t="n">
        <v>45584.69063657407</v>
      </c>
      <c r="C563" s="1" t="n">
        <v>46030</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29713-2022</t>
        </is>
      </c>
      <c r="B564" s="1" t="n">
        <v>44755</v>
      </c>
      <c r="C564" s="1" t="n">
        <v>46030</v>
      </c>
      <c r="D564" t="inlineStr">
        <is>
          <t>DALARNAS LÄN</t>
        </is>
      </c>
      <c r="E564" t="inlineStr">
        <is>
          <t>ÄLVDALEN</t>
        </is>
      </c>
      <c r="G564" t="n">
        <v>2.8</v>
      </c>
      <c r="H564" t="n">
        <v>0</v>
      </c>
      <c r="I564" t="n">
        <v>0</v>
      </c>
      <c r="J564" t="n">
        <v>0</v>
      </c>
      <c r="K564" t="n">
        <v>0</v>
      </c>
      <c r="L564" t="n">
        <v>0</v>
      </c>
      <c r="M564" t="n">
        <v>0</v>
      </c>
      <c r="N564" t="n">
        <v>0</v>
      </c>
      <c r="O564" t="n">
        <v>0</v>
      </c>
      <c r="P564" t="n">
        <v>0</v>
      </c>
      <c r="Q564" t="n">
        <v>0</v>
      </c>
      <c r="R564" s="2" t="inlineStr"/>
    </row>
    <row r="565" ht="15" customHeight="1">
      <c r="A565" t="inlineStr">
        <is>
          <t>A 52107-2022</t>
        </is>
      </c>
      <c r="B565" s="1" t="n">
        <v>44873.41295138889</v>
      </c>
      <c r="C565" s="1" t="n">
        <v>46030</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56222-2023</t>
        </is>
      </c>
      <c r="B566" s="1" t="n">
        <v>45240</v>
      </c>
      <c r="C566" s="1" t="n">
        <v>46030</v>
      </c>
      <c r="D566" t="inlineStr">
        <is>
          <t>DALARNAS LÄN</t>
        </is>
      </c>
      <c r="E566" t="inlineStr">
        <is>
          <t>ÄLVDALEN</t>
        </is>
      </c>
      <c r="F566" t="inlineStr">
        <is>
          <t>Övriga Aktiebolag</t>
        </is>
      </c>
      <c r="G566" t="n">
        <v>3.2</v>
      </c>
      <c r="H566" t="n">
        <v>0</v>
      </c>
      <c r="I566" t="n">
        <v>0</v>
      </c>
      <c r="J566" t="n">
        <v>0</v>
      </c>
      <c r="K566" t="n">
        <v>0</v>
      </c>
      <c r="L566" t="n">
        <v>0</v>
      </c>
      <c r="M566" t="n">
        <v>0</v>
      </c>
      <c r="N566" t="n">
        <v>0</v>
      </c>
      <c r="O566" t="n">
        <v>0</v>
      </c>
      <c r="P566" t="n">
        <v>0</v>
      </c>
      <c r="Q566" t="n">
        <v>0</v>
      </c>
      <c r="R566" s="2" t="inlineStr"/>
    </row>
    <row r="567" ht="15" customHeight="1">
      <c r="A567" t="inlineStr">
        <is>
          <t>A 56224-2023</t>
        </is>
      </c>
      <c r="B567" s="1" t="n">
        <v>45240</v>
      </c>
      <c r="C567" s="1" t="n">
        <v>46030</v>
      </c>
      <c r="D567" t="inlineStr">
        <is>
          <t>DALARNAS LÄN</t>
        </is>
      </c>
      <c r="E567" t="inlineStr">
        <is>
          <t>ÄLVDALEN</t>
        </is>
      </c>
      <c r="F567" t="inlineStr">
        <is>
          <t>Övriga Aktiebolag</t>
        </is>
      </c>
      <c r="G567" t="n">
        <v>10.9</v>
      </c>
      <c r="H567" t="n">
        <v>0</v>
      </c>
      <c r="I567" t="n">
        <v>0</v>
      </c>
      <c r="J567" t="n">
        <v>0</v>
      </c>
      <c r="K567" t="n">
        <v>0</v>
      </c>
      <c r="L567" t="n">
        <v>0</v>
      </c>
      <c r="M567" t="n">
        <v>0</v>
      </c>
      <c r="N567" t="n">
        <v>0</v>
      </c>
      <c r="O567" t="n">
        <v>0</v>
      </c>
      <c r="P567" t="n">
        <v>0</v>
      </c>
      <c r="Q567" t="n">
        <v>0</v>
      </c>
      <c r="R567" s="2" t="inlineStr"/>
    </row>
    <row r="568" ht="15" customHeight="1">
      <c r="A568" t="inlineStr">
        <is>
          <t>A 62355-2022</t>
        </is>
      </c>
      <c r="B568" s="1" t="n">
        <v>44923</v>
      </c>
      <c r="C568" s="1" t="n">
        <v>46030</v>
      </c>
      <c r="D568" t="inlineStr">
        <is>
          <t>DALARNAS LÄN</t>
        </is>
      </c>
      <c r="E568" t="inlineStr">
        <is>
          <t>ÄLVDALEN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32187-2024</t>
        </is>
      </c>
      <c r="B569" s="1" t="n">
        <v>45511.64925925926</v>
      </c>
      <c r="C569" s="1" t="n">
        <v>46030</v>
      </c>
      <c r="D569" t="inlineStr">
        <is>
          <t>DALARNAS LÄN</t>
        </is>
      </c>
      <c r="E569" t="inlineStr">
        <is>
          <t>ÄLVDALEN</t>
        </is>
      </c>
      <c r="F569" t="inlineStr">
        <is>
          <t>Allmännings- och besparingsskogar</t>
        </is>
      </c>
      <c r="G569" t="n">
        <v>20</v>
      </c>
      <c r="H569" t="n">
        <v>0</v>
      </c>
      <c r="I569" t="n">
        <v>0</v>
      </c>
      <c r="J569" t="n">
        <v>0</v>
      </c>
      <c r="K569" t="n">
        <v>0</v>
      </c>
      <c r="L569" t="n">
        <v>0</v>
      </c>
      <c r="M569" t="n">
        <v>0</v>
      </c>
      <c r="N569" t="n">
        <v>0</v>
      </c>
      <c r="O569" t="n">
        <v>0</v>
      </c>
      <c r="P569" t="n">
        <v>0</v>
      </c>
      <c r="Q569" t="n">
        <v>0</v>
      </c>
      <c r="R569" s="2" t="inlineStr"/>
    </row>
    <row r="570" ht="15" customHeight="1">
      <c r="A570" t="inlineStr">
        <is>
          <t>A 19587-2025</t>
        </is>
      </c>
      <c r="B570" s="1" t="n">
        <v>45770.56820601852</v>
      </c>
      <c r="C570" s="1" t="n">
        <v>46030</v>
      </c>
      <c r="D570" t="inlineStr">
        <is>
          <t>DALARNAS LÄN</t>
        </is>
      </c>
      <c r="E570" t="inlineStr">
        <is>
          <t>ÄLVDALEN</t>
        </is>
      </c>
      <c r="F570" t="inlineStr">
        <is>
          <t>Allmännings- och besparingsskogar</t>
        </is>
      </c>
      <c r="G570" t="n">
        <v>1.4</v>
      </c>
      <c r="H570" t="n">
        <v>0</v>
      </c>
      <c r="I570" t="n">
        <v>0</v>
      </c>
      <c r="J570" t="n">
        <v>0</v>
      </c>
      <c r="K570" t="n">
        <v>0</v>
      </c>
      <c r="L570" t="n">
        <v>0</v>
      </c>
      <c r="M570" t="n">
        <v>0</v>
      </c>
      <c r="N570" t="n">
        <v>0</v>
      </c>
      <c r="O570" t="n">
        <v>0</v>
      </c>
      <c r="P570" t="n">
        <v>0</v>
      </c>
      <c r="Q570" t="n">
        <v>0</v>
      </c>
      <c r="R570" s="2" t="inlineStr"/>
    </row>
    <row r="571" ht="15" customHeight="1">
      <c r="A571" t="inlineStr">
        <is>
          <t>A 57821-2023</t>
        </is>
      </c>
      <c r="B571" s="1" t="n">
        <v>45247</v>
      </c>
      <c r="C571" s="1" t="n">
        <v>46030</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45167-2022</t>
        </is>
      </c>
      <c r="B572" s="1" t="n">
        <v>44844</v>
      </c>
      <c r="C572" s="1" t="n">
        <v>46030</v>
      </c>
      <c r="D572" t="inlineStr">
        <is>
          <t>DALARNAS LÄN</t>
        </is>
      </c>
      <c r="E572" t="inlineStr">
        <is>
          <t>ÄLVDALEN</t>
        </is>
      </c>
      <c r="G572" t="n">
        <v>1.2</v>
      </c>
      <c r="H572" t="n">
        <v>0</v>
      </c>
      <c r="I572" t="n">
        <v>0</v>
      </c>
      <c r="J572" t="n">
        <v>0</v>
      </c>
      <c r="K572" t="n">
        <v>0</v>
      </c>
      <c r="L572" t="n">
        <v>0</v>
      </c>
      <c r="M572" t="n">
        <v>0</v>
      </c>
      <c r="N572" t="n">
        <v>0</v>
      </c>
      <c r="O572" t="n">
        <v>0</v>
      </c>
      <c r="P572" t="n">
        <v>0</v>
      </c>
      <c r="Q572" t="n">
        <v>0</v>
      </c>
      <c r="R572" s="2" t="inlineStr"/>
    </row>
    <row r="573" ht="15" customHeight="1">
      <c r="A573" t="inlineStr">
        <is>
          <t>A 56487-2024</t>
        </is>
      </c>
      <c r="B573" s="1" t="n">
        <v>45625.48621527778</v>
      </c>
      <c r="C573" s="1" t="n">
        <v>46030</v>
      </c>
      <c r="D573" t="inlineStr">
        <is>
          <t>DALARNAS LÄN</t>
        </is>
      </c>
      <c r="E573" t="inlineStr">
        <is>
          <t>ÄLVDALEN</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46030</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47751-2024</t>
        </is>
      </c>
      <c r="B575" s="1" t="n">
        <v>45588.53628472222</v>
      </c>
      <c r="C575" s="1" t="n">
        <v>46030</v>
      </c>
      <c r="D575" t="inlineStr">
        <is>
          <t>DALARNAS LÄN</t>
        </is>
      </c>
      <c r="E575" t="inlineStr">
        <is>
          <t>ÄLVDALEN</t>
        </is>
      </c>
      <c r="G575" t="n">
        <v>0.6</v>
      </c>
      <c r="H575" t="n">
        <v>0</v>
      </c>
      <c r="I575" t="n">
        <v>0</v>
      </c>
      <c r="J575" t="n">
        <v>0</v>
      </c>
      <c r="K575" t="n">
        <v>0</v>
      </c>
      <c r="L575" t="n">
        <v>0</v>
      </c>
      <c r="M575" t="n">
        <v>0</v>
      </c>
      <c r="N575" t="n">
        <v>0</v>
      </c>
      <c r="O575" t="n">
        <v>0</v>
      </c>
      <c r="P575" t="n">
        <v>0</v>
      </c>
      <c r="Q575" t="n">
        <v>0</v>
      </c>
      <c r="R575" s="2" t="inlineStr"/>
    </row>
    <row r="576" ht="15" customHeight="1">
      <c r="A576" t="inlineStr">
        <is>
          <t>A 47873-2023</t>
        </is>
      </c>
      <c r="B576" s="1" t="n">
        <v>45204</v>
      </c>
      <c r="C576" s="1" t="n">
        <v>46030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31690-2024</t>
        </is>
      </c>
      <c r="B577" s="1" t="n">
        <v>45507</v>
      </c>
      <c r="C577" s="1" t="n">
        <v>46030</v>
      </c>
      <c r="D577" t="inlineStr">
        <is>
          <t>DALARNAS LÄN</t>
        </is>
      </c>
      <c r="E577" t="inlineStr">
        <is>
          <t>ÄLVDALEN</t>
        </is>
      </c>
      <c r="G577" t="n">
        <v>2.3</v>
      </c>
      <c r="H577" t="n">
        <v>0</v>
      </c>
      <c r="I577" t="n">
        <v>0</v>
      </c>
      <c r="J577" t="n">
        <v>0</v>
      </c>
      <c r="K577" t="n">
        <v>0</v>
      </c>
      <c r="L577" t="n">
        <v>0</v>
      </c>
      <c r="M577" t="n">
        <v>0</v>
      </c>
      <c r="N577" t="n">
        <v>0</v>
      </c>
      <c r="O577" t="n">
        <v>0</v>
      </c>
      <c r="P577" t="n">
        <v>0</v>
      </c>
      <c r="Q577" t="n">
        <v>0</v>
      </c>
      <c r="R577" s="2" t="inlineStr"/>
    </row>
    <row r="578" ht="15" customHeight="1">
      <c r="A578" t="inlineStr">
        <is>
          <t>A 19567-2025</t>
        </is>
      </c>
      <c r="B578" s="1" t="n">
        <v>45770.5349537037</v>
      </c>
      <c r="C578" s="1" t="n">
        <v>46030</v>
      </c>
      <c r="D578" t="inlineStr">
        <is>
          <t>DALARNAS LÄN</t>
        </is>
      </c>
      <c r="E578" t="inlineStr">
        <is>
          <t>ÄLVDALEN</t>
        </is>
      </c>
      <c r="F578" t="inlineStr">
        <is>
          <t>Allmännings- och besparingsskogar</t>
        </is>
      </c>
      <c r="G578" t="n">
        <v>3.7</v>
      </c>
      <c r="H578" t="n">
        <v>0</v>
      </c>
      <c r="I578" t="n">
        <v>0</v>
      </c>
      <c r="J578" t="n">
        <v>0</v>
      </c>
      <c r="K578" t="n">
        <v>0</v>
      </c>
      <c r="L578" t="n">
        <v>0</v>
      </c>
      <c r="M578" t="n">
        <v>0</v>
      </c>
      <c r="N578" t="n">
        <v>0</v>
      </c>
      <c r="O578" t="n">
        <v>0</v>
      </c>
      <c r="P578" t="n">
        <v>0</v>
      </c>
      <c r="Q578" t="n">
        <v>0</v>
      </c>
      <c r="R578" s="2" t="inlineStr"/>
    </row>
    <row r="579" ht="15" customHeight="1">
      <c r="A579" t="inlineStr">
        <is>
          <t>A 4662-2024</t>
        </is>
      </c>
      <c r="B579" s="1" t="n">
        <v>45328.465625</v>
      </c>
      <c r="C579" s="1" t="n">
        <v>46030</v>
      </c>
      <c r="D579" t="inlineStr">
        <is>
          <t>DALARNAS LÄN</t>
        </is>
      </c>
      <c r="E579" t="inlineStr">
        <is>
          <t>ÄLVDALEN</t>
        </is>
      </c>
      <c r="G579" t="n">
        <v>4.9</v>
      </c>
      <c r="H579" t="n">
        <v>0</v>
      </c>
      <c r="I579" t="n">
        <v>0</v>
      </c>
      <c r="J579" t="n">
        <v>0</v>
      </c>
      <c r="K579" t="n">
        <v>0</v>
      </c>
      <c r="L579" t="n">
        <v>0</v>
      </c>
      <c r="M579" t="n">
        <v>0</v>
      </c>
      <c r="N579" t="n">
        <v>0</v>
      </c>
      <c r="O579" t="n">
        <v>0</v>
      </c>
      <c r="P579" t="n">
        <v>0</v>
      </c>
      <c r="Q579" t="n">
        <v>0</v>
      </c>
      <c r="R579" s="2" t="inlineStr"/>
    </row>
    <row r="580" ht="15" customHeight="1">
      <c r="A580" t="inlineStr">
        <is>
          <t>A 9719-2023</t>
        </is>
      </c>
      <c r="B580" s="1" t="n">
        <v>44978</v>
      </c>
      <c r="C580" s="1" t="n">
        <v>46030</v>
      </c>
      <c r="D580" t="inlineStr">
        <is>
          <t>DALARNAS LÄN</t>
        </is>
      </c>
      <c r="E580" t="inlineStr">
        <is>
          <t>ÄLVDALEN</t>
        </is>
      </c>
      <c r="G580" t="n">
        <v>20.2</v>
      </c>
      <c r="H580" t="n">
        <v>0</v>
      </c>
      <c r="I580" t="n">
        <v>0</v>
      </c>
      <c r="J580" t="n">
        <v>0</v>
      </c>
      <c r="K580" t="n">
        <v>0</v>
      </c>
      <c r="L580" t="n">
        <v>0</v>
      </c>
      <c r="M580" t="n">
        <v>0</v>
      </c>
      <c r="N580" t="n">
        <v>0</v>
      </c>
      <c r="O580" t="n">
        <v>0</v>
      </c>
      <c r="P580" t="n">
        <v>0</v>
      </c>
      <c r="Q580" t="n">
        <v>0</v>
      </c>
      <c r="R580" s="2" t="inlineStr"/>
    </row>
    <row r="581" ht="15" customHeight="1">
      <c r="A581" t="inlineStr">
        <is>
          <t>A 29129-2024</t>
        </is>
      </c>
      <c r="B581" s="1" t="n">
        <v>45482.35762731481</v>
      </c>
      <c r="C581" s="1" t="n">
        <v>46030</v>
      </c>
      <c r="D581" t="inlineStr">
        <is>
          <t>DALARNAS LÄN</t>
        </is>
      </c>
      <c r="E581" t="inlineStr">
        <is>
          <t>ÄLVDALEN</t>
        </is>
      </c>
      <c r="F581" t="inlineStr">
        <is>
          <t>Allmännings- och besparingsskogar</t>
        </is>
      </c>
      <c r="G581" t="n">
        <v>19.8</v>
      </c>
      <c r="H581" t="n">
        <v>0</v>
      </c>
      <c r="I581" t="n">
        <v>0</v>
      </c>
      <c r="J581" t="n">
        <v>0</v>
      </c>
      <c r="K581" t="n">
        <v>0</v>
      </c>
      <c r="L581" t="n">
        <v>0</v>
      </c>
      <c r="M581" t="n">
        <v>0</v>
      </c>
      <c r="N581" t="n">
        <v>0</v>
      </c>
      <c r="O581" t="n">
        <v>0</v>
      </c>
      <c r="P581" t="n">
        <v>0</v>
      </c>
      <c r="Q581" t="n">
        <v>0</v>
      </c>
      <c r="R581" s="2" t="inlineStr"/>
    </row>
    <row r="582" ht="15" customHeight="1">
      <c r="A582" t="inlineStr">
        <is>
          <t>A 20584-2025</t>
        </is>
      </c>
      <c r="B582" s="1" t="n">
        <v>45775.695</v>
      </c>
      <c r="C582" s="1" t="n">
        <v>46030</v>
      </c>
      <c r="D582" t="inlineStr">
        <is>
          <t>DALARNAS LÄN</t>
        </is>
      </c>
      <c r="E582" t="inlineStr">
        <is>
          <t>ÄLVDALEN</t>
        </is>
      </c>
      <c r="G582" t="n">
        <v>1.8</v>
      </c>
      <c r="H582" t="n">
        <v>0</v>
      </c>
      <c r="I582" t="n">
        <v>0</v>
      </c>
      <c r="J582" t="n">
        <v>0</v>
      </c>
      <c r="K582" t="n">
        <v>0</v>
      </c>
      <c r="L582" t="n">
        <v>0</v>
      </c>
      <c r="M582" t="n">
        <v>0</v>
      </c>
      <c r="N582" t="n">
        <v>0</v>
      </c>
      <c r="O582" t="n">
        <v>0</v>
      </c>
      <c r="P582" t="n">
        <v>0</v>
      </c>
      <c r="Q582" t="n">
        <v>0</v>
      </c>
      <c r="R582" s="2" t="inlineStr"/>
    </row>
    <row r="583" ht="15" customHeight="1">
      <c r="A583" t="inlineStr">
        <is>
          <t>A 23129-2023</t>
        </is>
      </c>
      <c r="B583" s="1" t="n">
        <v>45075</v>
      </c>
      <c r="C583" s="1" t="n">
        <v>46030</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36284-2024</t>
        </is>
      </c>
      <c r="B584" s="1" t="n">
        <v>45534.5897337963</v>
      </c>
      <c r="C584" s="1" t="n">
        <v>46030</v>
      </c>
      <c r="D584" t="inlineStr">
        <is>
          <t>DALARNAS LÄN</t>
        </is>
      </c>
      <c r="E584" t="inlineStr">
        <is>
          <t>ÄLVDALEN</t>
        </is>
      </c>
      <c r="G584" t="n">
        <v>3.4</v>
      </c>
      <c r="H584" t="n">
        <v>0</v>
      </c>
      <c r="I584" t="n">
        <v>0</v>
      </c>
      <c r="J584" t="n">
        <v>0</v>
      </c>
      <c r="K584" t="n">
        <v>0</v>
      </c>
      <c r="L584" t="n">
        <v>0</v>
      </c>
      <c r="M584" t="n">
        <v>0</v>
      </c>
      <c r="N584" t="n">
        <v>0</v>
      </c>
      <c r="O584" t="n">
        <v>0</v>
      </c>
      <c r="P584" t="n">
        <v>0</v>
      </c>
      <c r="Q584" t="n">
        <v>0</v>
      </c>
      <c r="R584" s="2" t="inlineStr"/>
    </row>
    <row r="585" ht="15" customHeight="1">
      <c r="A585" t="inlineStr">
        <is>
          <t>A 52469-2022</t>
        </is>
      </c>
      <c r="B585" s="1" t="n">
        <v>44874</v>
      </c>
      <c r="C585" s="1" t="n">
        <v>46030</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28884-2023</t>
        </is>
      </c>
      <c r="B586" s="1" t="n">
        <v>45104.48320601852</v>
      </c>
      <c r="C586" s="1" t="n">
        <v>46030</v>
      </c>
      <c r="D586" t="inlineStr">
        <is>
          <t>DALARNAS LÄN</t>
        </is>
      </c>
      <c r="E586" t="inlineStr">
        <is>
          <t>ÄLVDALEN</t>
        </is>
      </c>
      <c r="F586" t="inlineStr">
        <is>
          <t>Allmännings- och besparingsskogar</t>
        </is>
      </c>
      <c r="G586" t="n">
        <v>1.1</v>
      </c>
      <c r="H586" t="n">
        <v>0</v>
      </c>
      <c r="I586" t="n">
        <v>0</v>
      </c>
      <c r="J586" t="n">
        <v>0</v>
      </c>
      <c r="K586" t="n">
        <v>0</v>
      </c>
      <c r="L586" t="n">
        <v>0</v>
      </c>
      <c r="M586" t="n">
        <v>0</v>
      </c>
      <c r="N586" t="n">
        <v>0</v>
      </c>
      <c r="O586" t="n">
        <v>0</v>
      </c>
      <c r="P586" t="n">
        <v>0</v>
      </c>
      <c r="Q586" t="n">
        <v>0</v>
      </c>
      <c r="R586" s="2" t="inlineStr"/>
    </row>
    <row r="587" ht="15" customHeight="1">
      <c r="A587" t="inlineStr">
        <is>
          <t>A 44386-2021</t>
        </is>
      </c>
      <c r="B587" s="1" t="n">
        <v>44435</v>
      </c>
      <c r="C587" s="1" t="n">
        <v>46030</v>
      </c>
      <c r="D587" t="inlineStr">
        <is>
          <t>DALARNAS LÄN</t>
        </is>
      </c>
      <c r="E587" t="inlineStr">
        <is>
          <t>ÄLVDALEN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30987-2023</t>
        </is>
      </c>
      <c r="B588" s="1" t="n">
        <v>45113</v>
      </c>
      <c r="C588" s="1" t="n">
        <v>46030</v>
      </c>
      <c r="D588" t="inlineStr">
        <is>
          <t>DALARNAS LÄN</t>
        </is>
      </c>
      <c r="E588" t="inlineStr">
        <is>
          <t>ÄLVDALEN</t>
        </is>
      </c>
      <c r="F588" t="inlineStr">
        <is>
          <t>Allmännings- och besparingsskogar</t>
        </is>
      </c>
      <c r="G588" t="n">
        <v>3.8</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46030</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1081-2025</t>
        </is>
      </c>
      <c r="B590" s="1" t="n">
        <v>45666.61589120371</v>
      </c>
      <c r="C590" s="1" t="n">
        <v>46030</v>
      </c>
      <c r="D590" t="inlineStr">
        <is>
          <t>DALARNAS LÄN</t>
        </is>
      </c>
      <c r="E590" t="inlineStr">
        <is>
          <t>ÄLVDALEN</t>
        </is>
      </c>
      <c r="G590" t="n">
        <v>5.8</v>
      </c>
      <c r="H590" t="n">
        <v>0</v>
      </c>
      <c r="I590" t="n">
        <v>0</v>
      </c>
      <c r="J590" t="n">
        <v>0</v>
      </c>
      <c r="K590" t="n">
        <v>0</v>
      </c>
      <c r="L590" t="n">
        <v>0</v>
      </c>
      <c r="M590" t="n">
        <v>0</v>
      </c>
      <c r="N590" t="n">
        <v>0</v>
      </c>
      <c r="O590" t="n">
        <v>0</v>
      </c>
      <c r="P590" t="n">
        <v>0</v>
      </c>
      <c r="Q590" t="n">
        <v>0</v>
      </c>
      <c r="R590" s="2" t="inlineStr"/>
    </row>
    <row r="591" ht="15" customHeight="1">
      <c r="A591" t="inlineStr">
        <is>
          <t>A 1088-2025</t>
        </is>
      </c>
      <c r="B591" s="1" t="n">
        <v>45666.62162037037</v>
      </c>
      <c r="C591" s="1" t="n">
        <v>46030</v>
      </c>
      <c r="D591" t="inlineStr">
        <is>
          <t>DALARNAS LÄN</t>
        </is>
      </c>
      <c r="E591" t="inlineStr">
        <is>
          <t>ÄLVDALEN</t>
        </is>
      </c>
      <c r="G591" t="n">
        <v>5.4</v>
      </c>
      <c r="H591" t="n">
        <v>0</v>
      </c>
      <c r="I591" t="n">
        <v>0</v>
      </c>
      <c r="J591" t="n">
        <v>0</v>
      </c>
      <c r="K591" t="n">
        <v>0</v>
      </c>
      <c r="L591" t="n">
        <v>0</v>
      </c>
      <c r="M591" t="n">
        <v>0</v>
      </c>
      <c r="N591" t="n">
        <v>0</v>
      </c>
      <c r="O591" t="n">
        <v>0</v>
      </c>
      <c r="P591" t="n">
        <v>0</v>
      </c>
      <c r="Q591" t="n">
        <v>0</v>
      </c>
      <c r="R591" s="2" t="inlineStr"/>
    </row>
    <row r="592" ht="15" customHeight="1">
      <c r="A592" t="inlineStr">
        <is>
          <t>A 30985-2023</t>
        </is>
      </c>
      <c r="B592" s="1" t="n">
        <v>45113</v>
      </c>
      <c r="C592" s="1" t="n">
        <v>46030</v>
      </c>
      <c r="D592" t="inlineStr">
        <is>
          <t>DALARNAS LÄN</t>
        </is>
      </c>
      <c r="E592" t="inlineStr">
        <is>
          <t>ÄLVDALEN</t>
        </is>
      </c>
      <c r="F592" t="inlineStr">
        <is>
          <t>Allmännings- och besparingsskogar</t>
        </is>
      </c>
      <c r="G592" t="n">
        <v>2.9</v>
      </c>
      <c r="H592" t="n">
        <v>0</v>
      </c>
      <c r="I592" t="n">
        <v>0</v>
      </c>
      <c r="J592" t="n">
        <v>0</v>
      </c>
      <c r="K592" t="n">
        <v>0</v>
      </c>
      <c r="L592" t="n">
        <v>0</v>
      </c>
      <c r="M592" t="n">
        <v>0</v>
      </c>
      <c r="N592" t="n">
        <v>0</v>
      </c>
      <c r="O592" t="n">
        <v>0</v>
      </c>
      <c r="P592" t="n">
        <v>0</v>
      </c>
      <c r="Q592" t="n">
        <v>0</v>
      </c>
      <c r="R592" s="2" t="inlineStr"/>
    </row>
    <row r="593" ht="15" customHeight="1">
      <c r="A593" t="inlineStr">
        <is>
          <t>A 33100-2023</t>
        </is>
      </c>
      <c r="B593" s="1" t="n">
        <v>45114</v>
      </c>
      <c r="C593" s="1" t="n">
        <v>46030</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37438-2024</t>
        </is>
      </c>
      <c r="B594" s="1" t="n">
        <v>45540</v>
      </c>
      <c r="C594" s="1" t="n">
        <v>46030</v>
      </c>
      <c r="D594" t="inlineStr">
        <is>
          <t>DALARNAS LÄN</t>
        </is>
      </c>
      <c r="E594" t="inlineStr">
        <is>
          <t>ÄLVDALEN</t>
        </is>
      </c>
      <c r="G594" t="n">
        <v>3.9</v>
      </c>
      <c r="H594" t="n">
        <v>0</v>
      </c>
      <c r="I594" t="n">
        <v>0</v>
      </c>
      <c r="J594" t="n">
        <v>0</v>
      </c>
      <c r="K594" t="n">
        <v>0</v>
      </c>
      <c r="L594" t="n">
        <v>0</v>
      </c>
      <c r="M594" t="n">
        <v>0</v>
      </c>
      <c r="N594" t="n">
        <v>0</v>
      </c>
      <c r="O594" t="n">
        <v>0</v>
      </c>
      <c r="P594" t="n">
        <v>0</v>
      </c>
      <c r="Q594" t="n">
        <v>0</v>
      </c>
      <c r="R594" s="2" t="inlineStr"/>
    </row>
    <row r="595" ht="15" customHeight="1">
      <c r="A595" t="inlineStr">
        <is>
          <t>A 15759-2024</t>
        </is>
      </c>
      <c r="B595" s="1" t="n">
        <v>45404</v>
      </c>
      <c r="C595" s="1" t="n">
        <v>46030</v>
      </c>
      <c r="D595" t="inlineStr">
        <is>
          <t>DALARNAS LÄN</t>
        </is>
      </c>
      <c r="E595" t="inlineStr">
        <is>
          <t>ÄLVDALEN</t>
        </is>
      </c>
      <c r="G595" t="n">
        <v>1.4</v>
      </c>
      <c r="H595" t="n">
        <v>0</v>
      </c>
      <c r="I595" t="n">
        <v>0</v>
      </c>
      <c r="J595" t="n">
        <v>0</v>
      </c>
      <c r="K595" t="n">
        <v>0</v>
      </c>
      <c r="L595" t="n">
        <v>0</v>
      </c>
      <c r="M595" t="n">
        <v>0</v>
      </c>
      <c r="N595" t="n">
        <v>0</v>
      </c>
      <c r="O595" t="n">
        <v>0</v>
      </c>
      <c r="P595" t="n">
        <v>0</v>
      </c>
      <c r="Q595" t="n">
        <v>0</v>
      </c>
      <c r="R595" s="2" t="inlineStr"/>
    </row>
    <row r="596" ht="15" customHeight="1">
      <c r="A596" t="inlineStr">
        <is>
          <t>A 627-2025</t>
        </is>
      </c>
      <c r="B596" s="1" t="n">
        <v>45660</v>
      </c>
      <c r="C596" s="1" t="n">
        <v>46030</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41137-2024</t>
        </is>
      </c>
      <c r="B597" s="1" t="n">
        <v>45559.46734953704</v>
      </c>
      <c r="C597" s="1" t="n">
        <v>46030</v>
      </c>
      <c r="D597" t="inlineStr">
        <is>
          <t>DALARNAS LÄN</t>
        </is>
      </c>
      <c r="E597" t="inlineStr">
        <is>
          <t>ÄLVDALEN</t>
        </is>
      </c>
      <c r="G597" t="n">
        <v>4.8</v>
      </c>
      <c r="H597" t="n">
        <v>0</v>
      </c>
      <c r="I597" t="n">
        <v>0</v>
      </c>
      <c r="J597" t="n">
        <v>0</v>
      </c>
      <c r="K597" t="n">
        <v>0</v>
      </c>
      <c r="L597" t="n">
        <v>0</v>
      </c>
      <c r="M597" t="n">
        <v>0</v>
      </c>
      <c r="N597" t="n">
        <v>0</v>
      </c>
      <c r="O597" t="n">
        <v>0</v>
      </c>
      <c r="P597" t="n">
        <v>0</v>
      </c>
      <c r="Q597" t="n">
        <v>0</v>
      </c>
      <c r="R597" s="2" t="inlineStr"/>
    </row>
    <row r="598" ht="15" customHeight="1">
      <c r="A598" t="inlineStr">
        <is>
          <t>A 32352-2023</t>
        </is>
      </c>
      <c r="B598" s="1" t="n">
        <v>45120</v>
      </c>
      <c r="C598" s="1" t="n">
        <v>46030</v>
      </c>
      <c r="D598" t="inlineStr">
        <is>
          <t>DALARNAS LÄN</t>
        </is>
      </c>
      <c r="E598" t="inlineStr">
        <is>
          <t>ÄLVDALEN</t>
        </is>
      </c>
      <c r="G598" t="n">
        <v>2</v>
      </c>
      <c r="H598" t="n">
        <v>0</v>
      </c>
      <c r="I598" t="n">
        <v>0</v>
      </c>
      <c r="J598" t="n">
        <v>0</v>
      </c>
      <c r="K598" t="n">
        <v>0</v>
      </c>
      <c r="L598" t="n">
        <v>0</v>
      </c>
      <c r="M598" t="n">
        <v>0</v>
      </c>
      <c r="N598" t="n">
        <v>0</v>
      </c>
      <c r="O598" t="n">
        <v>0</v>
      </c>
      <c r="P598" t="n">
        <v>0</v>
      </c>
      <c r="Q598" t="n">
        <v>0</v>
      </c>
      <c r="R598" s="2" t="inlineStr"/>
    </row>
    <row r="599" ht="15" customHeight="1">
      <c r="A599" t="inlineStr">
        <is>
          <t>A 47081-2023</t>
        </is>
      </c>
      <c r="B599" s="1" t="n">
        <v>45201.61148148148</v>
      </c>
      <c r="C599" s="1" t="n">
        <v>46030</v>
      </c>
      <c r="D599" t="inlineStr">
        <is>
          <t>DALARNAS LÄN</t>
        </is>
      </c>
      <c r="E599" t="inlineStr">
        <is>
          <t>ÄLVDALEN</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59209-2022</t>
        </is>
      </c>
      <c r="B600" s="1" t="n">
        <v>44904</v>
      </c>
      <c r="C600" s="1" t="n">
        <v>46030</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7937-2025</t>
        </is>
      </c>
      <c r="B601" s="1" t="n">
        <v>45707.3953125</v>
      </c>
      <c r="C601" s="1" t="n">
        <v>46030</v>
      </c>
      <c r="D601" t="inlineStr">
        <is>
          <t>DALARNAS LÄN</t>
        </is>
      </c>
      <c r="E601" t="inlineStr">
        <is>
          <t>ÄLVDALEN</t>
        </is>
      </c>
      <c r="F601" t="inlineStr">
        <is>
          <t>Allmännings- och besparingsskogar</t>
        </is>
      </c>
      <c r="G601" t="n">
        <v>1.2</v>
      </c>
      <c r="H601" t="n">
        <v>0</v>
      </c>
      <c r="I601" t="n">
        <v>0</v>
      </c>
      <c r="J601" t="n">
        <v>0</v>
      </c>
      <c r="K601" t="n">
        <v>0</v>
      </c>
      <c r="L601" t="n">
        <v>0</v>
      </c>
      <c r="M601" t="n">
        <v>0</v>
      </c>
      <c r="N601" t="n">
        <v>0</v>
      </c>
      <c r="O601" t="n">
        <v>0</v>
      </c>
      <c r="P601" t="n">
        <v>0</v>
      </c>
      <c r="Q601" t="n">
        <v>0</v>
      </c>
      <c r="R601" s="2" t="inlineStr"/>
    </row>
    <row r="602" ht="15" customHeight="1">
      <c r="A602" t="inlineStr">
        <is>
          <t>A 59138-2023</t>
        </is>
      </c>
      <c r="B602" s="1" t="n">
        <v>45253</v>
      </c>
      <c r="C602" s="1" t="n">
        <v>46030</v>
      </c>
      <c r="D602" t="inlineStr">
        <is>
          <t>DALARNAS LÄN</t>
        </is>
      </c>
      <c r="E602" t="inlineStr">
        <is>
          <t>ÄLVDALEN</t>
        </is>
      </c>
      <c r="G602" t="n">
        <v>0.4</v>
      </c>
      <c r="H602" t="n">
        <v>0</v>
      </c>
      <c r="I602" t="n">
        <v>0</v>
      </c>
      <c r="J602" t="n">
        <v>0</v>
      </c>
      <c r="K602" t="n">
        <v>0</v>
      </c>
      <c r="L602" t="n">
        <v>0</v>
      </c>
      <c r="M602" t="n">
        <v>0</v>
      </c>
      <c r="N602" t="n">
        <v>0</v>
      </c>
      <c r="O602" t="n">
        <v>0</v>
      </c>
      <c r="P602" t="n">
        <v>0</v>
      </c>
      <c r="Q602" t="n">
        <v>0</v>
      </c>
      <c r="R602" s="2" t="inlineStr"/>
    </row>
    <row r="603" ht="15" customHeight="1">
      <c r="A603" t="inlineStr">
        <is>
          <t>A 19588-2025</t>
        </is>
      </c>
      <c r="B603" s="1" t="n">
        <v>45770</v>
      </c>
      <c r="C603" s="1" t="n">
        <v>46030</v>
      </c>
      <c r="D603" t="inlineStr">
        <is>
          <t>DALARNAS LÄN</t>
        </is>
      </c>
      <c r="E603" t="inlineStr">
        <is>
          <t>ÄLVDALEN</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33102-2023</t>
        </is>
      </c>
      <c r="B604" s="1" t="n">
        <v>45114</v>
      </c>
      <c r="C604" s="1" t="n">
        <v>46030</v>
      </c>
      <c r="D604" t="inlineStr">
        <is>
          <t>DALARNAS LÄN</t>
        </is>
      </c>
      <c r="E604" t="inlineStr">
        <is>
          <t>ÄLVDALEN</t>
        </is>
      </c>
      <c r="G604" t="n">
        <v>1.6</v>
      </c>
      <c r="H604" t="n">
        <v>0</v>
      </c>
      <c r="I604" t="n">
        <v>0</v>
      </c>
      <c r="J604" t="n">
        <v>0</v>
      </c>
      <c r="K604" t="n">
        <v>0</v>
      </c>
      <c r="L604" t="n">
        <v>0</v>
      </c>
      <c r="M604" t="n">
        <v>0</v>
      </c>
      <c r="N604" t="n">
        <v>0</v>
      </c>
      <c r="O604" t="n">
        <v>0</v>
      </c>
      <c r="P604" t="n">
        <v>0</v>
      </c>
      <c r="Q604" t="n">
        <v>0</v>
      </c>
      <c r="R604" s="2" t="inlineStr"/>
    </row>
    <row r="605" ht="15" customHeight="1">
      <c r="A605" t="inlineStr">
        <is>
          <t>A 62315-2022</t>
        </is>
      </c>
      <c r="B605" s="1" t="n">
        <v>44916</v>
      </c>
      <c r="C605" s="1" t="n">
        <v>46030</v>
      </c>
      <c r="D605" t="inlineStr">
        <is>
          <t>DALARNAS LÄN</t>
        </is>
      </c>
      <c r="E605" t="inlineStr">
        <is>
          <t>ÄLVDALEN</t>
        </is>
      </c>
      <c r="G605" t="n">
        <v>2.1</v>
      </c>
      <c r="H605" t="n">
        <v>0</v>
      </c>
      <c r="I605" t="n">
        <v>0</v>
      </c>
      <c r="J605" t="n">
        <v>0</v>
      </c>
      <c r="K605" t="n">
        <v>0</v>
      </c>
      <c r="L605" t="n">
        <v>0</v>
      </c>
      <c r="M605" t="n">
        <v>0</v>
      </c>
      <c r="N605" t="n">
        <v>0</v>
      </c>
      <c r="O605" t="n">
        <v>0</v>
      </c>
      <c r="P605" t="n">
        <v>0</v>
      </c>
      <c r="Q605" t="n">
        <v>0</v>
      </c>
      <c r="R605" s="2" t="inlineStr"/>
    </row>
    <row r="606" ht="15" customHeight="1">
      <c r="A606" t="inlineStr">
        <is>
          <t>A 53168-2024</t>
        </is>
      </c>
      <c r="B606" s="1" t="n">
        <v>45611.65569444445</v>
      </c>
      <c r="C606" s="1" t="n">
        <v>46030</v>
      </c>
      <c r="D606" t="inlineStr">
        <is>
          <t>DALARNAS LÄN</t>
        </is>
      </c>
      <c r="E606" t="inlineStr">
        <is>
          <t>ÄLVDALEN</t>
        </is>
      </c>
      <c r="G606" t="n">
        <v>3.4</v>
      </c>
      <c r="H606" t="n">
        <v>0</v>
      </c>
      <c r="I606" t="n">
        <v>0</v>
      </c>
      <c r="J606" t="n">
        <v>0</v>
      </c>
      <c r="K606" t="n">
        <v>0</v>
      </c>
      <c r="L606" t="n">
        <v>0</v>
      </c>
      <c r="M606" t="n">
        <v>0</v>
      </c>
      <c r="N606" t="n">
        <v>0</v>
      </c>
      <c r="O606" t="n">
        <v>0</v>
      </c>
      <c r="P606" t="n">
        <v>0</v>
      </c>
      <c r="Q606" t="n">
        <v>0</v>
      </c>
      <c r="R606" s="2" t="inlineStr"/>
    </row>
    <row r="607" ht="15" customHeight="1">
      <c r="A607" t="inlineStr">
        <is>
          <t>A 6230-2024</t>
        </is>
      </c>
      <c r="B607" s="1" t="n">
        <v>45337</v>
      </c>
      <c r="C607" s="1" t="n">
        <v>46030</v>
      </c>
      <c r="D607" t="inlineStr">
        <is>
          <t>DALARNAS LÄN</t>
        </is>
      </c>
      <c r="E607" t="inlineStr">
        <is>
          <t>ÄLVDALEN</t>
        </is>
      </c>
      <c r="G607" t="n">
        <v>6.2</v>
      </c>
      <c r="H607" t="n">
        <v>0</v>
      </c>
      <c r="I607" t="n">
        <v>0</v>
      </c>
      <c r="J607" t="n">
        <v>0</v>
      </c>
      <c r="K607" t="n">
        <v>0</v>
      </c>
      <c r="L607" t="n">
        <v>0</v>
      </c>
      <c r="M607" t="n">
        <v>0</v>
      </c>
      <c r="N607" t="n">
        <v>0</v>
      </c>
      <c r="O607" t="n">
        <v>0</v>
      </c>
      <c r="P607" t="n">
        <v>0</v>
      </c>
      <c r="Q607" t="n">
        <v>0</v>
      </c>
      <c r="R607" s="2" t="inlineStr"/>
    </row>
    <row r="608" ht="15" customHeight="1">
      <c r="A608" t="inlineStr">
        <is>
          <t>A 56882-2022</t>
        </is>
      </c>
      <c r="B608" s="1" t="n">
        <v>44894</v>
      </c>
      <c r="C608" s="1" t="n">
        <v>46030</v>
      </c>
      <c r="D608" t="inlineStr">
        <is>
          <t>DALARNAS LÄN</t>
        </is>
      </c>
      <c r="E608" t="inlineStr">
        <is>
          <t>ÄLVDALEN</t>
        </is>
      </c>
      <c r="G608" t="n">
        <v>7.4</v>
      </c>
      <c r="H608" t="n">
        <v>0</v>
      </c>
      <c r="I608" t="n">
        <v>0</v>
      </c>
      <c r="J608" t="n">
        <v>0</v>
      </c>
      <c r="K608" t="n">
        <v>0</v>
      </c>
      <c r="L608" t="n">
        <v>0</v>
      </c>
      <c r="M608" t="n">
        <v>0</v>
      </c>
      <c r="N608" t="n">
        <v>0</v>
      </c>
      <c r="O608" t="n">
        <v>0</v>
      </c>
      <c r="P608" t="n">
        <v>0</v>
      </c>
      <c r="Q608" t="n">
        <v>0</v>
      </c>
      <c r="R608" s="2" t="inlineStr"/>
    </row>
    <row r="609" ht="15" customHeight="1">
      <c r="A609" t="inlineStr">
        <is>
          <t>A 47877-2023</t>
        </is>
      </c>
      <c r="B609" s="1" t="n">
        <v>45204</v>
      </c>
      <c r="C609" s="1" t="n">
        <v>46030</v>
      </c>
      <c r="D609" t="inlineStr">
        <is>
          <t>DALARNAS LÄN</t>
        </is>
      </c>
      <c r="E609" t="inlineStr">
        <is>
          <t>ÄLVDALEN</t>
        </is>
      </c>
      <c r="G609" t="n">
        <v>4.8</v>
      </c>
      <c r="H609" t="n">
        <v>0</v>
      </c>
      <c r="I609" t="n">
        <v>0</v>
      </c>
      <c r="J609" t="n">
        <v>0</v>
      </c>
      <c r="K609" t="n">
        <v>0</v>
      </c>
      <c r="L609" t="n">
        <v>0</v>
      </c>
      <c r="M609" t="n">
        <v>0</v>
      </c>
      <c r="N609" t="n">
        <v>0</v>
      </c>
      <c r="O609" t="n">
        <v>0</v>
      </c>
      <c r="P609" t="n">
        <v>0</v>
      </c>
      <c r="Q609" t="n">
        <v>0</v>
      </c>
      <c r="R609" s="2" t="inlineStr"/>
    </row>
    <row r="610" ht="15" customHeight="1">
      <c r="A610" t="inlineStr">
        <is>
          <t>A 5826-2023</t>
        </is>
      </c>
      <c r="B610" s="1" t="n">
        <v>44963.52038194444</v>
      </c>
      <c r="C610" s="1" t="n">
        <v>46030</v>
      </c>
      <c r="D610" t="inlineStr">
        <is>
          <t>DALARNAS LÄN</t>
        </is>
      </c>
      <c r="E610" t="inlineStr">
        <is>
          <t>ÄLVDALEN</t>
        </is>
      </c>
      <c r="G610" t="n">
        <v>1.7</v>
      </c>
      <c r="H610" t="n">
        <v>0</v>
      </c>
      <c r="I610" t="n">
        <v>0</v>
      </c>
      <c r="J610" t="n">
        <v>0</v>
      </c>
      <c r="K610" t="n">
        <v>0</v>
      </c>
      <c r="L610" t="n">
        <v>0</v>
      </c>
      <c r="M610" t="n">
        <v>0</v>
      </c>
      <c r="N610" t="n">
        <v>0</v>
      </c>
      <c r="O610" t="n">
        <v>0</v>
      </c>
      <c r="P610" t="n">
        <v>0</v>
      </c>
      <c r="Q610" t="n">
        <v>0</v>
      </c>
      <c r="R610" s="2" t="inlineStr"/>
    </row>
    <row r="611" ht="15" customHeight="1">
      <c r="A611" t="inlineStr">
        <is>
          <t>A 747-2025</t>
        </is>
      </c>
      <c r="B611" s="1" t="n">
        <v>45665.43965277778</v>
      </c>
      <c r="C611" s="1" t="n">
        <v>46030</v>
      </c>
      <c r="D611" t="inlineStr">
        <is>
          <t>DALARNAS LÄN</t>
        </is>
      </c>
      <c r="E611" t="inlineStr">
        <is>
          <t>ÄLVDALEN</t>
        </is>
      </c>
      <c r="G611" t="n">
        <v>1.5</v>
      </c>
      <c r="H611" t="n">
        <v>0</v>
      </c>
      <c r="I611" t="n">
        <v>0</v>
      </c>
      <c r="J611" t="n">
        <v>0</v>
      </c>
      <c r="K611" t="n">
        <v>0</v>
      </c>
      <c r="L611" t="n">
        <v>0</v>
      </c>
      <c r="M611" t="n">
        <v>0</v>
      </c>
      <c r="N611" t="n">
        <v>0</v>
      </c>
      <c r="O611" t="n">
        <v>0</v>
      </c>
      <c r="P611" t="n">
        <v>0</v>
      </c>
      <c r="Q611" t="n">
        <v>0</v>
      </c>
      <c r="R611" s="2" t="inlineStr"/>
    </row>
    <row r="612" ht="15" customHeight="1">
      <c r="A612" t="inlineStr">
        <is>
          <t>A 7917-2025</t>
        </is>
      </c>
      <c r="B612" s="1" t="n">
        <v>45707.35225694445</v>
      </c>
      <c r="C612" s="1" t="n">
        <v>46030</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19527-2025</t>
        </is>
      </c>
      <c r="B613" s="1" t="n">
        <v>45770.46546296297</v>
      </c>
      <c r="C613" s="1" t="n">
        <v>46030</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30355-2021</t>
        </is>
      </c>
      <c r="B614" s="1" t="n">
        <v>44364</v>
      </c>
      <c r="C614" s="1" t="n">
        <v>46030</v>
      </c>
      <c r="D614" t="inlineStr">
        <is>
          <t>DALARNAS LÄN</t>
        </is>
      </c>
      <c r="E614" t="inlineStr">
        <is>
          <t>ÄLVDALEN</t>
        </is>
      </c>
      <c r="G614" t="n">
        <v>2.3</v>
      </c>
      <c r="H614" t="n">
        <v>0</v>
      </c>
      <c r="I614" t="n">
        <v>0</v>
      </c>
      <c r="J614" t="n">
        <v>0</v>
      </c>
      <c r="K614" t="n">
        <v>0</v>
      </c>
      <c r="L614" t="n">
        <v>0</v>
      </c>
      <c r="M614" t="n">
        <v>0</v>
      </c>
      <c r="N614" t="n">
        <v>0</v>
      </c>
      <c r="O614" t="n">
        <v>0</v>
      </c>
      <c r="P614" t="n">
        <v>0</v>
      </c>
      <c r="Q614" t="n">
        <v>0</v>
      </c>
      <c r="R614" s="2" t="inlineStr"/>
    </row>
    <row r="615" ht="15" customHeight="1">
      <c r="A615" t="inlineStr">
        <is>
          <t>A 47743-2024</t>
        </is>
      </c>
      <c r="B615" s="1" t="n">
        <v>45588.52550925926</v>
      </c>
      <c r="C615" s="1" t="n">
        <v>46030</v>
      </c>
      <c r="D615" t="inlineStr">
        <is>
          <t>DALARNAS LÄN</t>
        </is>
      </c>
      <c r="E615" t="inlineStr">
        <is>
          <t>ÄLVDALEN</t>
        </is>
      </c>
      <c r="G615" t="n">
        <v>4.4</v>
      </c>
      <c r="H615" t="n">
        <v>0</v>
      </c>
      <c r="I615" t="n">
        <v>0</v>
      </c>
      <c r="J615" t="n">
        <v>0</v>
      </c>
      <c r="K615" t="n">
        <v>0</v>
      </c>
      <c r="L615" t="n">
        <v>0</v>
      </c>
      <c r="M615" t="n">
        <v>0</v>
      </c>
      <c r="N615" t="n">
        <v>0</v>
      </c>
      <c r="O615" t="n">
        <v>0</v>
      </c>
      <c r="P615" t="n">
        <v>0</v>
      </c>
      <c r="Q615" t="n">
        <v>0</v>
      </c>
      <c r="R615" s="2" t="inlineStr"/>
    </row>
    <row r="616" ht="15" customHeight="1">
      <c r="A616" t="inlineStr">
        <is>
          <t>A 53408-2023</t>
        </is>
      </c>
      <c r="B616" s="1" t="n">
        <v>45229</v>
      </c>
      <c r="C616" s="1" t="n">
        <v>46030</v>
      </c>
      <c r="D616" t="inlineStr">
        <is>
          <t>DALARNAS LÄN</t>
        </is>
      </c>
      <c r="E616" t="inlineStr">
        <is>
          <t>ÄLVDALEN</t>
        </is>
      </c>
      <c r="G616" t="n">
        <v>2</v>
      </c>
      <c r="H616" t="n">
        <v>0</v>
      </c>
      <c r="I616" t="n">
        <v>0</v>
      </c>
      <c r="J616" t="n">
        <v>0</v>
      </c>
      <c r="K616" t="n">
        <v>0</v>
      </c>
      <c r="L616" t="n">
        <v>0</v>
      </c>
      <c r="M616" t="n">
        <v>0</v>
      </c>
      <c r="N616" t="n">
        <v>0</v>
      </c>
      <c r="O616" t="n">
        <v>0</v>
      </c>
      <c r="P616" t="n">
        <v>0</v>
      </c>
      <c r="Q616" t="n">
        <v>0</v>
      </c>
      <c r="R616" s="2" t="inlineStr"/>
    </row>
    <row r="617" ht="15" customHeight="1">
      <c r="A617" t="inlineStr">
        <is>
          <t>A 70140-2021</t>
        </is>
      </c>
      <c r="B617" s="1" t="n">
        <v>44533</v>
      </c>
      <c r="C617" s="1" t="n">
        <v>46030</v>
      </c>
      <c r="D617" t="inlineStr">
        <is>
          <t>DALARNAS LÄN</t>
        </is>
      </c>
      <c r="E617" t="inlineStr">
        <is>
          <t>ÄLVDALEN</t>
        </is>
      </c>
      <c r="G617" t="n">
        <v>2.5</v>
      </c>
      <c r="H617" t="n">
        <v>0</v>
      </c>
      <c r="I617" t="n">
        <v>0</v>
      </c>
      <c r="J617" t="n">
        <v>0</v>
      </c>
      <c r="K617" t="n">
        <v>0</v>
      </c>
      <c r="L617" t="n">
        <v>0</v>
      </c>
      <c r="M617" t="n">
        <v>0</v>
      </c>
      <c r="N617" t="n">
        <v>0</v>
      </c>
      <c r="O617" t="n">
        <v>0</v>
      </c>
      <c r="P617" t="n">
        <v>0</v>
      </c>
      <c r="Q617" t="n">
        <v>0</v>
      </c>
      <c r="R617" s="2" t="inlineStr"/>
    </row>
    <row r="618" ht="15" customHeight="1">
      <c r="A618" t="inlineStr">
        <is>
          <t>A 31332-2023</t>
        </is>
      </c>
      <c r="B618" s="1" t="n">
        <v>45114</v>
      </c>
      <c r="C618" s="1" t="n">
        <v>46030</v>
      </c>
      <c r="D618" t="inlineStr">
        <is>
          <t>DALARNAS LÄN</t>
        </is>
      </c>
      <c r="E618" t="inlineStr">
        <is>
          <t>ÄLVDALEN</t>
        </is>
      </c>
      <c r="F618" t="inlineStr">
        <is>
          <t>Övriga statliga verk och myndigheter</t>
        </is>
      </c>
      <c r="G618" t="n">
        <v>0.5</v>
      </c>
      <c r="H618" t="n">
        <v>0</v>
      </c>
      <c r="I618" t="n">
        <v>0</v>
      </c>
      <c r="J618" t="n">
        <v>0</v>
      </c>
      <c r="K618" t="n">
        <v>0</v>
      </c>
      <c r="L618" t="n">
        <v>0</v>
      </c>
      <c r="M618" t="n">
        <v>0</v>
      </c>
      <c r="N618" t="n">
        <v>0</v>
      </c>
      <c r="O618" t="n">
        <v>0</v>
      </c>
      <c r="P618" t="n">
        <v>0</v>
      </c>
      <c r="Q618" t="n">
        <v>0</v>
      </c>
      <c r="R618" s="2" t="inlineStr"/>
    </row>
    <row r="619" ht="15" customHeight="1">
      <c r="A619" t="inlineStr">
        <is>
          <t>A 37439-2024</t>
        </is>
      </c>
      <c r="B619" s="1" t="n">
        <v>45540</v>
      </c>
      <c r="C619" s="1" t="n">
        <v>46030</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49236-2023</t>
        </is>
      </c>
      <c r="B620" s="1" t="n">
        <v>45210.63995370371</v>
      </c>
      <c r="C620" s="1" t="n">
        <v>46030</v>
      </c>
      <c r="D620" t="inlineStr">
        <is>
          <t>DALARNAS LÄN</t>
        </is>
      </c>
      <c r="E620" t="inlineStr">
        <is>
          <t>ÄLVDALEN</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32362-2021</t>
        </is>
      </c>
      <c r="B621" s="1" t="n">
        <v>44371</v>
      </c>
      <c r="C621" s="1" t="n">
        <v>46030</v>
      </c>
      <c r="D621" t="inlineStr">
        <is>
          <t>DALARNAS LÄN</t>
        </is>
      </c>
      <c r="E621" t="inlineStr">
        <is>
          <t>ÄLVDALEN</t>
        </is>
      </c>
      <c r="F621" t="inlineStr">
        <is>
          <t>Sveaskog</t>
        </is>
      </c>
      <c r="G621" t="n">
        <v>3.7</v>
      </c>
      <c r="H621" t="n">
        <v>0</v>
      </c>
      <c r="I621" t="n">
        <v>0</v>
      </c>
      <c r="J621" t="n">
        <v>0</v>
      </c>
      <c r="K621" t="n">
        <v>0</v>
      </c>
      <c r="L621" t="n">
        <v>0</v>
      </c>
      <c r="M621" t="n">
        <v>0</v>
      </c>
      <c r="N621" t="n">
        <v>0</v>
      </c>
      <c r="O621" t="n">
        <v>0</v>
      </c>
      <c r="P621" t="n">
        <v>0</v>
      </c>
      <c r="Q621" t="n">
        <v>0</v>
      </c>
      <c r="R621" s="2" t="inlineStr"/>
    </row>
    <row r="622" ht="15" customHeight="1">
      <c r="A622" t="inlineStr">
        <is>
          <t>A 1310-2024</t>
        </is>
      </c>
      <c r="B622" s="1" t="n">
        <v>45303</v>
      </c>
      <c r="C622" s="1" t="n">
        <v>46030</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62314-2022</t>
        </is>
      </c>
      <c r="B623" s="1" t="n">
        <v>44916</v>
      </c>
      <c r="C623" s="1" t="n">
        <v>46030</v>
      </c>
      <c r="D623" t="inlineStr">
        <is>
          <t>DALARNAS LÄN</t>
        </is>
      </c>
      <c r="E623" t="inlineStr">
        <is>
          <t>ÄLVDALEN</t>
        </is>
      </c>
      <c r="G623" t="n">
        <v>2.7</v>
      </c>
      <c r="H623" t="n">
        <v>0</v>
      </c>
      <c r="I623" t="n">
        <v>0</v>
      </c>
      <c r="J623" t="n">
        <v>0</v>
      </c>
      <c r="K623" t="n">
        <v>0</v>
      </c>
      <c r="L623" t="n">
        <v>0</v>
      </c>
      <c r="M623" t="n">
        <v>0</v>
      </c>
      <c r="N623" t="n">
        <v>0</v>
      </c>
      <c r="O623" t="n">
        <v>0</v>
      </c>
      <c r="P623" t="n">
        <v>0</v>
      </c>
      <c r="Q623" t="n">
        <v>0</v>
      </c>
      <c r="R623" s="2" t="inlineStr"/>
    </row>
    <row r="624" ht="15" customHeight="1">
      <c r="A624" t="inlineStr">
        <is>
          <t>A 47869-2023</t>
        </is>
      </c>
      <c r="B624" s="1" t="n">
        <v>45204</v>
      </c>
      <c r="C624" s="1" t="n">
        <v>46030</v>
      </c>
      <c r="D624" t="inlineStr">
        <is>
          <t>DALARNAS LÄN</t>
        </is>
      </c>
      <c r="E624" t="inlineStr">
        <is>
          <t>ÄLVDALEN</t>
        </is>
      </c>
      <c r="G624" t="n">
        <v>11</v>
      </c>
      <c r="H624" t="n">
        <v>0</v>
      </c>
      <c r="I624" t="n">
        <v>0</v>
      </c>
      <c r="J624" t="n">
        <v>0</v>
      </c>
      <c r="K624" t="n">
        <v>0</v>
      </c>
      <c r="L624" t="n">
        <v>0</v>
      </c>
      <c r="M624" t="n">
        <v>0</v>
      </c>
      <c r="N624" t="n">
        <v>0</v>
      </c>
      <c r="O624" t="n">
        <v>0</v>
      </c>
      <c r="P624" t="n">
        <v>0</v>
      </c>
      <c r="Q624" t="n">
        <v>0</v>
      </c>
      <c r="R624" s="2" t="inlineStr"/>
    </row>
    <row r="625" ht="15" customHeight="1">
      <c r="A625" t="inlineStr">
        <is>
          <t>A 5170-2024</t>
        </is>
      </c>
      <c r="B625" s="1" t="n">
        <v>45330.55390046296</v>
      </c>
      <c r="C625" s="1" t="n">
        <v>46030</v>
      </c>
      <c r="D625" t="inlineStr">
        <is>
          <t>DALARNAS LÄN</t>
        </is>
      </c>
      <c r="E625" t="inlineStr">
        <is>
          <t>ÄLVDALEN</t>
        </is>
      </c>
      <c r="G625" t="n">
        <v>15.8</v>
      </c>
      <c r="H625" t="n">
        <v>0</v>
      </c>
      <c r="I625" t="n">
        <v>0</v>
      </c>
      <c r="J625" t="n">
        <v>0</v>
      </c>
      <c r="K625" t="n">
        <v>0</v>
      </c>
      <c r="L625" t="n">
        <v>0</v>
      </c>
      <c r="M625" t="n">
        <v>0</v>
      </c>
      <c r="N625" t="n">
        <v>0</v>
      </c>
      <c r="O625" t="n">
        <v>0</v>
      </c>
      <c r="P625" t="n">
        <v>0</v>
      </c>
      <c r="Q625" t="n">
        <v>0</v>
      </c>
      <c r="R625" s="2" t="inlineStr"/>
    </row>
    <row r="626" ht="15" customHeight="1">
      <c r="A626" t="inlineStr">
        <is>
          <t>A 7232-2025</t>
        </is>
      </c>
      <c r="B626" s="1" t="n">
        <v>45702.51415509259</v>
      </c>
      <c r="C626" s="1" t="n">
        <v>46030</v>
      </c>
      <c r="D626" t="inlineStr">
        <is>
          <t>DALARNAS LÄN</t>
        </is>
      </c>
      <c r="E626" t="inlineStr">
        <is>
          <t>ÄLVDALEN</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36462-2024</t>
        </is>
      </c>
      <c r="B627" s="1" t="n">
        <v>45537.35211805555</v>
      </c>
      <c r="C627" s="1" t="n">
        <v>46030</v>
      </c>
      <c r="D627" t="inlineStr">
        <is>
          <t>DALARNAS LÄN</t>
        </is>
      </c>
      <c r="E627" t="inlineStr">
        <is>
          <t>ÄLVDALEN</t>
        </is>
      </c>
      <c r="G627" t="n">
        <v>5</v>
      </c>
      <c r="H627" t="n">
        <v>0</v>
      </c>
      <c r="I627" t="n">
        <v>0</v>
      </c>
      <c r="J627" t="n">
        <v>0</v>
      </c>
      <c r="K627" t="n">
        <v>0</v>
      </c>
      <c r="L627" t="n">
        <v>0</v>
      </c>
      <c r="M627" t="n">
        <v>0</v>
      </c>
      <c r="N627" t="n">
        <v>0</v>
      </c>
      <c r="O627" t="n">
        <v>0</v>
      </c>
      <c r="P627" t="n">
        <v>0</v>
      </c>
      <c r="Q627" t="n">
        <v>0</v>
      </c>
      <c r="R627" s="2" t="inlineStr"/>
    </row>
    <row r="628" ht="15" customHeight="1">
      <c r="A628" t="inlineStr">
        <is>
          <t>A 32740-2024</t>
        </is>
      </c>
      <c r="B628" s="1" t="n">
        <v>45516.43834490741</v>
      </c>
      <c r="C628" s="1" t="n">
        <v>46030</v>
      </c>
      <c r="D628" t="inlineStr">
        <is>
          <t>DALARNAS LÄN</t>
        </is>
      </c>
      <c r="E628" t="inlineStr">
        <is>
          <t>ÄLVDALEN</t>
        </is>
      </c>
      <c r="G628" t="n">
        <v>2.1</v>
      </c>
      <c r="H628" t="n">
        <v>0</v>
      </c>
      <c r="I628" t="n">
        <v>0</v>
      </c>
      <c r="J628" t="n">
        <v>0</v>
      </c>
      <c r="K628" t="n">
        <v>0</v>
      </c>
      <c r="L628" t="n">
        <v>0</v>
      </c>
      <c r="M628" t="n">
        <v>0</v>
      </c>
      <c r="N628" t="n">
        <v>0</v>
      </c>
      <c r="O628" t="n">
        <v>0</v>
      </c>
      <c r="P628" t="n">
        <v>0</v>
      </c>
      <c r="Q628" t="n">
        <v>0</v>
      </c>
      <c r="R628" s="2" t="inlineStr"/>
    </row>
    <row r="629" ht="15" customHeight="1">
      <c r="A629" t="inlineStr">
        <is>
          <t>A 46926-2024</t>
        </is>
      </c>
      <c r="B629" s="1" t="n">
        <v>45584.68275462963</v>
      </c>
      <c r="C629" s="1" t="n">
        <v>46030</v>
      </c>
      <c r="D629" t="inlineStr">
        <is>
          <t>DALARNAS LÄN</t>
        </is>
      </c>
      <c r="E629" t="inlineStr">
        <is>
          <t>ÄLVDALEN</t>
        </is>
      </c>
      <c r="G629" t="n">
        <v>4.4</v>
      </c>
      <c r="H629" t="n">
        <v>0</v>
      </c>
      <c r="I629" t="n">
        <v>0</v>
      </c>
      <c r="J629" t="n">
        <v>0</v>
      </c>
      <c r="K629" t="n">
        <v>0</v>
      </c>
      <c r="L629" t="n">
        <v>0</v>
      </c>
      <c r="M629" t="n">
        <v>0</v>
      </c>
      <c r="N629" t="n">
        <v>0</v>
      </c>
      <c r="O629" t="n">
        <v>0</v>
      </c>
      <c r="P629" t="n">
        <v>0</v>
      </c>
      <c r="Q629" t="n">
        <v>0</v>
      </c>
      <c r="R629" s="2" t="inlineStr"/>
    </row>
    <row r="630" ht="15" customHeight="1">
      <c r="A630" t="inlineStr">
        <is>
          <t>A 30143-2024</t>
        </is>
      </c>
      <c r="B630" s="1" t="n">
        <v>45488</v>
      </c>
      <c r="C630" s="1" t="n">
        <v>46030</v>
      </c>
      <c r="D630" t="inlineStr">
        <is>
          <t>DALARNAS LÄN</t>
        </is>
      </c>
      <c r="E630" t="inlineStr">
        <is>
          <t>ÄLVDALEN</t>
        </is>
      </c>
      <c r="G630" t="n">
        <v>1</v>
      </c>
      <c r="H630" t="n">
        <v>0</v>
      </c>
      <c r="I630" t="n">
        <v>0</v>
      </c>
      <c r="J630" t="n">
        <v>0</v>
      </c>
      <c r="K630" t="n">
        <v>0</v>
      </c>
      <c r="L630" t="n">
        <v>0</v>
      </c>
      <c r="M630" t="n">
        <v>0</v>
      </c>
      <c r="N630" t="n">
        <v>0</v>
      </c>
      <c r="O630" t="n">
        <v>0</v>
      </c>
      <c r="P630" t="n">
        <v>0</v>
      </c>
      <c r="Q630" t="n">
        <v>0</v>
      </c>
      <c r="R630" s="2" t="inlineStr"/>
    </row>
    <row r="631" ht="15" customHeight="1">
      <c r="A631" t="inlineStr">
        <is>
          <t>A 30146-2024</t>
        </is>
      </c>
      <c r="B631" s="1" t="n">
        <v>45488</v>
      </c>
      <c r="C631" s="1" t="n">
        <v>46030</v>
      </c>
      <c r="D631" t="inlineStr">
        <is>
          <t>DALARNAS LÄN</t>
        </is>
      </c>
      <c r="E631" t="inlineStr">
        <is>
          <t>ÄLVDALEN</t>
        </is>
      </c>
      <c r="G631" t="n">
        <v>1.1</v>
      </c>
      <c r="H631" t="n">
        <v>0</v>
      </c>
      <c r="I631" t="n">
        <v>0</v>
      </c>
      <c r="J631" t="n">
        <v>0</v>
      </c>
      <c r="K631" t="n">
        <v>0</v>
      </c>
      <c r="L631" t="n">
        <v>0</v>
      </c>
      <c r="M631" t="n">
        <v>0</v>
      </c>
      <c r="N631" t="n">
        <v>0</v>
      </c>
      <c r="O631" t="n">
        <v>0</v>
      </c>
      <c r="P631" t="n">
        <v>0</v>
      </c>
      <c r="Q631" t="n">
        <v>0</v>
      </c>
      <c r="R631" s="2" t="inlineStr"/>
    </row>
    <row r="632" ht="15" customHeight="1">
      <c r="A632" t="inlineStr">
        <is>
          <t>A 42332-2023</t>
        </is>
      </c>
      <c r="B632" s="1" t="n">
        <v>45175</v>
      </c>
      <c r="C632" s="1" t="n">
        <v>46030</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36640-2023</t>
        </is>
      </c>
      <c r="B633" s="1" t="n">
        <v>45153.54498842593</v>
      </c>
      <c r="C633" s="1" t="n">
        <v>46030</v>
      </c>
      <c r="D633" t="inlineStr">
        <is>
          <t>DALARNAS LÄN</t>
        </is>
      </c>
      <c r="E633" t="inlineStr">
        <is>
          <t>ÄLVDALEN</t>
        </is>
      </c>
      <c r="G633" t="n">
        <v>2.3</v>
      </c>
      <c r="H633" t="n">
        <v>0</v>
      </c>
      <c r="I633" t="n">
        <v>0</v>
      </c>
      <c r="J633" t="n">
        <v>0</v>
      </c>
      <c r="K633" t="n">
        <v>0</v>
      </c>
      <c r="L633" t="n">
        <v>0</v>
      </c>
      <c r="M633" t="n">
        <v>0</v>
      </c>
      <c r="N633" t="n">
        <v>0</v>
      </c>
      <c r="O633" t="n">
        <v>0</v>
      </c>
      <c r="P633" t="n">
        <v>0</v>
      </c>
      <c r="Q633" t="n">
        <v>0</v>
      </c>
      <c r="R633" s="2" t="inlineStr"/>
    </row>
    <row r="634" ht="15" customHeight="1">
      <c r="A634" t="inlineStr">
        <is>
          <t>A 19182-2023</t>
        </is>
      </c>
      <c r="B634" s="1" t="n">
        <v>45048</v>
      </c>
      <c r="C634" s="1" t="n">
        <v>46030</v>
      </c>
      <c r="D634" t="inlineStr">
        <is>
          <t>DALARNAS LÄN</t>
        </is>
      </c>
      <c r="E634" t="inlineStr">
        <is>
          <t>ÄLVDALEN</t>
        </is>
      </c>
      <c r="G634" t="n">
        <v>0.6</v>
      </c>
      <c r="H634" t="n">
        <v>0</v>
      </c>
      <c r="I634" t="n">
        <v>0</v>
      </c>
      <c r="J634" t="n">
        <v>0</v>
      </c>
      <c r="K634" t="n">
        <v>0</v>
      </c>
      <c r="L634" t="n">
        <v>0</v>
      </c>
      <c r="M634" t="n">
        <v>0</v>
      </c>
      <c r="N634" t="n">
        <v>0</v>
      </c>
      <c r="O634" t="n">
        <v>0</v>
      </c>
      <c r="P634" t="n">
        <v>0</v>
      </c>
      <c r="Q634" t="n">
        <v>0</v>
      </c>
      <c r="R634" s="2" t="inlineStr"/>
    </row>
    <row r="635" ht="15" customHeight="1">
      <c r="A635" t="inlineStr">
        <is>
          <t>A 13000-2022</t>
        </is>
      </c>
      <c r="B635" s="1" t="n">
        <v>44643.44597222222</v>
      </c>
      <c r="C635" s="1" t="n">
        <v>46030</v>
      </c>
      <c r="D635" t="inlineStr">
        <is>
          <t>DALARNAS LÄN</t>
        </is>
      </c>
      <c r="E635" t="inlineStr">
        <is>
          <t>ÄLVDALEN</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43900-2024</t>
        </is>
      </c>
      <c r="B636" s="1" t="n">
        <v>45572.41975694444</v>
      </c>
      <c r="C636" s="1" t="n">
        <v>46030</v>
      </c>
      <c r="D636" t="inlineStr">
        <is>
          <t>DALARNAS LÄN</t>
        </is>
      </c>
      <c r="E636" t="inlineStr">
        <is>
          <t>ÄLVDALEN</t>
        </is>
      </c>
      <c r="F636" t="inlineStr">
        <is>
          <t>Bergvik skog väst AB</t>
        </is>
      </c>
      <c r="G636" t="n">
        <v>7.3</v>
      </c>
      <c r="H636" t="n">
        <v>0</v>
      </c>
      <c r="I636" t="n">
        <v>0</v>
      </c>
      <c r="J636" t="n">
        <v>0</v>
      </c>
      <c r="K636" t="n">
        <v>0</v>
      </c>
      <c r="L636" t="n">
        <v>0</v>
      </c>
      <c r="M636" t="n">
        <v>0</v>
      </c>
      <c r="N636" t="n">
        <v>0</v>
      </c>
      <c r="O636" t="n">
        <v>0</v>
      </c>
      <c r="P636" t="n">
        <v>0</v>
      </c>
      <c r="Q636" t="n">
        <v>0</v>
      </c>
      <c r="R636" s="2" t="inlineStr"/>
    </row>
    <row r="637" ht="15" customHeight="1">
      <c r="A637" t="inlineStr">
        <is>
          <t>A 61450-2022</t>
        </is>
      </c>
      <c r="B637" s="1" t="n">
        <v>44910</v>
      </c>
      <c r="C637" s="1" t="n">
        <v>46030</v>
      </c>
      <c r="D637" t="inlineStr">
        <is>
          <t>DALARNAS LÄN</t>
        </is>
      </c>
      <c r="E637" t="inlineStr">
        <is>
          <t>ÄLVDALEN</t>
        </is>
      </c>
      <c r="G637" t="n">
        <v>0.7</v>
      </c>
      <c r="H637" t="n">
        <v>0</v>
      </c>
      <c r="I637" t="n">
        <v>0</v>
      </c>
      <c r="J637" t="n">
        <v>0</v>
      </c>
      <c r="K637" t="n">
        <v>0</v>
      </c>
      <c r="L637" t="n">
        <v>0</v>
      </c>
      <c r="M637" t="n">
        <v>0</v>
      </c>
      <c r="N637" t="n">
        <v>0</v>
      </c>
      <c r="O637" t="n">
        <v>0</v>
      </c>
      <c r="P637" t="n">
        <v>0</v>
      </c>
      <c r="Q637" t="n">
        <v>0</v>
      </c>
      <c r="R637" s="2" t="inlineStr"/>
    </row>
    <row r="638" ht="15" customHeight="1">
      <c r="A638" t="inlineStr">
        <is>
          <t>A 8492-2025</t>
        </is>
      </c>
      <c r="B638" s="1" t="n">
        <v>45709.50980324074</v>
      </c>
      <c r="C638" s="1" t="n">
        <v>46030</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8496-2025</t>
        </is>
      </c>
      <c r="B639" s="1" t="n">
        <v>45709.51084490741</v>
      </c>
      <c r="C639" s="1" t="n">
        <v>46030</v>
      </c>
      <c r="D639" t="inlineStr">
        <is>
          <t>DALARNAS LÄN</t>
        </is>
      </c>
      <c r="E639" t="inlineStr">
        <is>
          <t>ÄLVDALEN</t>
        </is>
      </c>
      <c r="G639" t="n">
        <v>1.4</v>
      </c>
      <c r="H639" t="n">
        <v>0</v>
      </c>
      <c r="I639" t="n">
        <v>0</v>
      </c>
      <c r="J639" t="n">
        <v>0</v>
      </c>
      <c r="K639" t="n">
        <v>0</v>
      </c>
      <c r="L639" t="n">
        <v>0</v>
      </c>
      <c r="M639" t="n">
        <v>0</v>
      </c>
      <c r="N639" t="n">
        <v>0</v>
      </c>
      <c r="O639" t="n">
        <v>0</v>
      </c>
      <c r="P639" t="n">
        <v>0</v>
      </c>
      <c r="Q639" t="n">
        <v>0</v>
      </c>
      <c r="R639" s="2" t="inlineStr"/>
    </row>
    <row r="640" ht="15" customHeight="1">
      <c r="A640" t="inlineStr">
        <is>
          <t>A 59668-2024</t>
        </is>
      </c>
      <c r="B640" s="1" t="n">
        <v>45639.37899305556</v>
      </c>
      <c r="C640" s="1" t="n">
        <v>46030</v>
      </c>
      <c r="D640" t="inlineStr">
        <is>
          <t>DALARNAS LÄN</t>
        </is>
      </c>
      <c r="E640" t="inlineStr">
        <is>
          <t>ÄLVDALEN</t>
        </is>
      </c>
      <c r="G640" t="n">
        <v>2.5</v>
      </c>
      <c r="H640" t="n">
        <v>0</v>
      </c>
      <c r="I640" t="n">
        <v>0</v>
      </c>
      <c r="J640" t="n">
        <v>0</v>
      </c>
      <c r="K640" t="n">
        <v>0</v>
      </c>
      <c r="L640" t="n">
        <v>0</v>
      </c>
      <c r="M640" t="n">
        <v>0</v>
      </c>
      <c r="N640" t="n">
        <v>0</v>
      </c>
      <c r="O640" t="n">
        <v>0</v>
      </c>
      <c r="P640" t="n">
        <v>0</v>
      </c>
      <c r="Q640" t="n">
        <v>0</v>
      </c>
      <c r="R640" s="2" t="inlineStr"/>
    </row>
    <row r="641" ht="15" customHeight="1">
      <c r="A641" t="inlineStr">
        <is>
          <t>A 59671-2024</t>
        </is>
      </c>
      <c r="B641" s="1" t="n">
        <v>45639.3862962963</v>
      </c>
      <c r="C641" s="1" t="n">
        <v>46030</v>
      </c>
      <c r="D641" t="inlineStr">
        <is>
          <t>DALARNAS LÄN</t>
        </is>
      </c>
      <c r="E641" t="inlineStr">
        <is>
          <t>ÄLVDALEN</t>
        </is>
      </c>
      <c r="G641" t="n">
        <v>2.2</v>
      </c>
      <c r="H641" t="n">
        <v>0</v>
      </c>
      <c r="I641" t="n">
        <v>0</v>
      </c>
      <c r="J641" t="n">
        <v>0</v>
      </c>
      <c r="K641" t="n">
        <v>0</v>
      </c>
      <c r="L641" t="n">
        <v>0</v>
      </c>
      <c r="M641" t="n">
        <v>0</v>
      </c>
      <c r="N641" t="n">
        <v>0</v>
      </c>
      <c r="O641" t="n">
        <v>0</v>
      </c>
      <c r="P641" t="n">
        <v>0</v>
      </c>
      <c r="Q641" t="n">
        <v>0</v>
      </c>
      <c r="R641" s="2" t="inlineStr"/>
    </row>
    <row r="642" ht="15" customHeight="1">
      <c r="A642" t="inlineStr">
        <is>
          <t>A 39064-2021</t>
        </is>
      </c>
      <c r="B642" s="1" t="n">
        <v>44411</v>
      </c>
      <c r="C642" s="1" t="n">
        <v>46030</v>
      </c>
      <c r="D642" t="inlineStr">
        <is>
          <t>DALARNAS LÄN</t>
        </is>
      </c>
      <c r="E642" t="inlineStr">
        <is>
          <t>ÄLVDALEN</t>
        </is>
      </c>
      <c r="F642" t="inlineStr">
        <is>
          <t>Övriga statliga verk och myndigheter</t>
        </is>
      </c>
      <c r="G642" t="n">
        <v>4.5</v>
      </c>
      <c r="H642" t="n">
        <v>0</v>
      </c>
      <c r="I642" t="n">
        <v>0</v>
      </c>
      <c r="J642" t="n">
        <v>0</v>
      </c>
      <c r="K642" t="n">
        <v>0</v>
      </c>
      <c r="L642" t="n">
        <v>0</v>
      </c>
      <c r="M642" t="n">
        <v>0</v>
      </c>
      <c r="N642" t="n">
        <v>0</v>
      </c>
      <c r="O642" t="n">
        <v>0</v>
      </c>
      <c r="P642" t="n">
        <v>0</v>
      </c>
      <c r="Q642" t="n">
        <v>0</v>
      </c>
      <c r="R642" s="2" t="inlineStr"/>
    </row>
    <row r="643" ht="15" customHeight="1">
      <c r="A643" t="inlineStr">
        <is>
          <t>A 27480-2022</t>
        </is>
      </c>
      <c r="B643" s="1" t="n">
        <v>44742.60590277778</v>
      </c>
      <c r="C643" s="1" t="n">
        <v>46030</v>
      </c>
      <c r="D643" t="inlineStr">
        <is>
          <t>DALARNAS LÄN</t>
        </is>
      </c>
      <c r="E643" t="inlineStr">
        <is>
          <t>ÄLVDALEN</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46030</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17051-2023</t>
        </is>
      </c>
      <c r="B645" s="1" t="n">
        <v>45034</v>
      </c>
      <c r="C645" s="1" t="n">
        <v>46030</v>
      </c>
      <c r="D645" t="inlineStr">
        <is>
          <t>DALARNAS LÄN</t>
        </is>
      </c>
      <c r="E645" t="inlineStr">
        <is>
          <t>ÄLVDALEN</t>
        </is>
      </c>
      <c r="G645" t="n">
        <v>4.2</v>
      </c>
      <c r="H645" t="n">
        <v>0</v>
      </c>
      <c r="I645" t="n">
        <v>0</v>
      </c>
      <c r="J645" t="n">
        <v>0</v>
      </c>
      <c r="K645" t="n">
        <v>0</v>
      </c>
      <c r="L645" t="n">
        <v>0</v>
      </c>
      <c r="M645" t="n">
        <v>0</v>
      </c>
      <c r="N645" t="n">
        <v>0</v>
      </c>
      <c r="O645" t="n">
        <v>0</v>
      </c>
      <c r="P645" t="n">
        <v>0</v>
      </c>
      <c r="Q645" t="n">
        <v>0</v>
      </c>
      <c r="R645" s="2" t="inlineStr"/>
    </row>
    <row r="646" ht="15" customHeight="1">
      <c r="A646" t="inlineStr">
        <is>
          <t>A 7576-2024</t>
        </is>
      </c>
      <c r="B646" s="1" t="n">
        <v>45348.47555555555</v>
      </c>
      <c r="C646" s="1" t="n">
        <v>46030</v>
      </c>
      <c r="D646" t="inlineStr">
        <is>
          <t>DALARNAS LÄN</t>
        </is>
      </c>
      <c r="E646" t="inlineStr">
        <is>
          <t>ÄLVDALEN</t>
        </is>
      </c>
      <c r="G646" t="n">
        <v>11.1</v>
      </c>
      <c r="H646" t="n">
        <v>0</v>
      </c>
      <c r="I646" t="n">
        <v>0</v>
      </c>
      <c r="J646" t="n">
        <v>0</v>
      </c>
      <c r="K646" t="n">
        <v>0</v>
      </c>
      <c r="L646" t="n">
        <v>0</v>
      </c>
      <c r="M646" t="n">
        <v>0</v>
      </c>
      <c r="N646" t="n">
        <v>0</v>
      </c>
      <c r="O646" t="n">
        <v>0</v>
      </c>
      <c r="P646" t="n">
        <v>0</v>
      </c>
      <c r="Q646" t="n">
        <v>0</v>
      </c>
      <c r="R646" s="2" t="inlineStr"/>
    </row>
    <row r="647" ht="15" customHeight="1">
      <c r="A647" t="inlineStr">
        <is>
          <t>A 2381-2024</t>
        </is>
      </c>
      <c r="B647" s="1" t="n">
        <v>45310.64228009259</v>
      </c>
      <c r="C647" s="1" t="n">
        <v>46030</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60642-2021</t>
        </is>
      </c>
      <c r="B648" s="1" t="n">
        <v>44496.61677083333</v>
      </c>
      <c r="C648" s="1" t="n">
        <v>46030</v>
      </c>
      <c r="D648" t="inlineStr">
        <is>
          <t>DALARNAS LÄN</t>
        </is>
      </c>
      <c r="E648" t="inlineStr">
        <is>
          <t>ÄLVDALEN</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20924-2025</t>
        </is>
      </c>
      <c r="B649" s="1" t="n">
        <v>45777</v>
      </c>
      <c r="C649" s="1" t="n">
        <v>46030</v>
      </c>
      <c r="D649" t="inlineStr">
        <is>
          <t>DALARNAS LÄN</t>
        </is>
      </c>
      <c r="E649" t="inlineStr">
        <is>
          <t>ÄLVDALEN</t>
        </is>
      </c>
      <c r="G649" t="n">
        <v>2.3</v>
      </c>
      <c r="H649" t="n">
        <v>0</v>
      </c>
      <c r="I649" t="n">
        <v>0</v>
      </c>
      <c r="J649" t="n">
        <v>0</v>
      </c>
      <c r="K649" t="n">
        <v>0</v>
      </c>
      <c r="L649" t="n">
        <v>0</v>
      </c>
      <c r="M649" t="n">
        <v>0</v>
      </c>
      <c r="N649" t="n">
        <v>0</v>
      </c>
      <c r="O649" t="n">
        <v>0</v>
      </c>
      <c r="P649" t="n">
        <v>0</v>
      </c>
      <c r="Q649" t="n">
        <v>0</v>
      </c>
      <c r="R649" s="2" t="inlineStr"/>
    </row>
    <row r="650" ht="15" customHeight="1">
      <c r="A650" t="inlineStr">
        <is>
          <t>A 21395-2025</t>
        </is>
      </c>
      <c r="B650" s="1" t="n">
        <v>45782.48197916667</v>
      </c>
      <c r="C650" s="1" t="n">
        <v>46030</v>
      </c>
      <c r="D650" t="inlineStr">
        <is>
          <t>DALARNAS LÄN</t>
        </is>
      </c>
      <c r="E650" t="inlineStr">
        <is>
          <t>ÄLVDALEN</t>
        </is>
      </c>
      <c r="G650" t="n">
        <v>6.4</v>
      </c>
      <c r="H650" t="n">
        <v>0</v>
      </c>
      <c r="I650" t="n">
        <v>0</v>
      </c>
      <c r="J650" t="n">
        <v>0</v>
      </c>
      <c r="K650" t="n">
        <v>0</v>
      </c>
      <c r="L650" t="n">
        <v>0</v>
      </c>
      <c r="M650" t="n">
        <v>0</v>
      </c>
      <c r="N650" t="n">
        <v>0</v>
      </c>
      <c r="O650" t="n">
        <v>0</v>
      </c>
      <c r="P650" t="n">
        <v>0</v>
      </c>
      <c r="Q650" t="n">
        <v>0</v>
      </c>
      <c r="R650" s="2" t="inlineStr"/>
    </row>
    <row r="651" ht="15" customHeight="1">
      <c r="A651" t="inlineStr">
        <is>
          <t>A 21613-2025</t>
        </is>
      </c>
      <c r="B651" s="1" t="n">
        <v>45783.39542824074</v>
      </c>
      <c r="C651" s="1" t="n">
        <v>46030</v>
      </c>
      <c r="D651" t="inlineStr">
        <is>
          <t>DALARNAS LÄN</t>
        </is>
      </c>
      <c r="E651" t="inlineStr">
        <is>
          <t>ÄLVDALEN</t>
        </is>
      </c>
      <c r="G651" t="n">
        <v>3.4</v>
      </c>
      <c r="H651" t="n">
        <v>0</v>
      </c>
      <c r="I651" t="n">
        <v>0</v>
      </c>
      <c r="J651" t="n">
        <v>0</v>
      </c>
      <c r="K651" t="n">
        <v>0</v>
      </c>
      <c r="L651" t="n">
        <v>0</v>
      </c>
      <c r="M651" t="n">
        <v>0</v>
      </c>
      <c r="N651" t="n">
        <v>0</v>
      </c>
      <c r="O651" t="n">
        <v>0</v>
      </c>
      <c r="P651" t="n">
        <v>0</v>
      </c>
      <c r="Q651" t="n">
        <v>0</v>
      </c>
      <c r="R651" s="2" t="inlineStr"/>
    </row>
    <row r="652" ht="15" customHeight="1">
      <c r="A652" t="inlineStr">
        <is>
          <t>A 21629-2025</t>
        </is>
      </c>
      <c r="B652" s="1" t="n">
        <v>45783.4247337963</v>
      </c>
      <c r="C652" s="1" t="n">
        <v>46030</v>
      </c>
      <c r="D652" t="inlineStr">
        <is>
          <t>DALARNAS LÄN</t>
        </is>
      </c>
      <c r="E652" t="inlineStr">
        <is>
          <t>ÄLVDALEN</t>
        </is>
      </c>
      <c r="G652" t="n">
        <v>1.8</v>
      </c>
      <c r="H652" t="n">
        <v>0</v>
      </c>
      <c r="I652" t="n">
        <v>0</v>
      </c>
      <c r="J652" t="n">
        <v>0</v>
      </c>
      <c r="K652" t="n">
        <v>0</v>
      </c>
      <c r="L652" t="n">
        <v>0</v>
      </c>
      <c r="M652" t="n">
        <v>0</v>
      </c>
      <c r="N652" t="n">
        <v>0</v>
      </c>
      <c r="O652" t="n">
        <v>0</v>
      </c>
      <c r="P652" t="n">
        <v>0</v>
      </c>
      <c r="Q652" t="n">
        <v>0</v>
      </c>
      <c r="R652" s="2" t="inlineStr"/>
    </row>
    <row r="653" ht="15" customHeight="1">
      <c r="A653" t="inlineStr">
        <is>
          <t>A 37061-2024</t>
        </is>
      </c>
      <c r="B653" s="1" t="n">
        <v>45539</v>
      </c>
      <c r="C653" s="1" t="n">
        <v>46030</v>
      </c>
      <c r="D653" t="inlineStr">
        <is>
          <t>DALARNAS LÄN</t>
        </is>
      </c>
      <c r="E653" t="inlineStr">
        <is>
          <t>ÄLVDALEN</t>
        </is>
      </c>
      <c r="G653" t="n">
        <v>0.8</v>
      </c>
      <c r="H653" t="n">
        <v>0</v>
      </c>
      <c r="I653" t="n">
        <v>0</v>
      </c>
      <c r="J653" t="n">
        <v>0</v>
      </c>
      <c r="K653" t="n">
        <v>0</v>
      </c>
      <c r="L653" t="n">
        <v>0</v>
      </c>
      <c r="M653" t="n">
        <v>0</v>
      </c>
      <c r="N653" t="n">
        <v>0</v>
      </c>
      <c r="O653" t="n">
        <v>0</v>
      </c>
      <c r="P653" t="n">
        <v>0</v>
      </c>
      <c r="Q653" t="n">
        <v>0</v>
      </c>
      <c r="R653" s="2" t="inlineStr"/>
    </row>
    <row r="654" ht="15" customHeight="1">
      <c r="A654" t="inlineStr">
        <is>
          <t>A 22189-2025</t>
        </is>
      </c>
      <c r="B654" s="1" t="n">
        <v>45785.62479166667</v>
      </c>
      <c r="C654" s="1" t="n">
        <v>46030</v>
      </c>
      <c r="D654" t="inlineStr">
        <is>
          <t>DALARNAS LÄN</t>
        </is>
      </c>
      <c r="E654" t="inlineStr">
        <is>
          <t>ÄLVDALEN</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19708-2024</t>
        </is>
      </c>
      <c r="B655" s="1" t="n">
        <v>45432.55324074074</v>
      </c>
      <c r="C655" s="1" t="n">
        <v>46030</v>
      </c>
      <c r="D655" t="inlineStr">
        <is>
          <t>DALARNAS LÄN</t>
        </is>
      </c>
      <c r="E655" t="inlineStr">
        <is>
          <t>ÄLVDALEN</t>
        </is>
      </c>
      <c r="G655" t="n">
        <v>12.4</v>
      </c>
      <c r="H655" t="n">
        <v>0</v>
      </c>
      <c r="I655" t="n">
        <v>0</v>
      </c>
      <c r="J655" t="n">
        <v>0</v>
      </c>
      <c r="K655" t="n">
        <v>0</v>
      </c>
      <c r="L655" t="n">
        <v>0</v>
      </c>
      <c r="M655" t="n">
        <v>0</v>
      </c>
      <c r="N655" t="n">
        <v>0</v>
      </c>
      <c r="O655" t="n">
        <v>0</v>
      </c>
      <c r="P655" t="n">
        <v>0</v>
      </c>
      <c r="Q655" t="n">
        <v>0</v>
      </c>
      <c r="R655" s="2" t="inlineStr"/>
    </row>
    <row r="656" ht="15" customHeight="1">
      <c r="A656" t="inlineStr">
        <is>
          <t>A 21469-2024</t>
        </is>
      </c>
      <c r="B656" s="1" t="n">
        <v>45441.486875</v>
      </c>
      <c r="C656" s="1" t="n">
        <v>46030</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32594-2023</t>
        </is>
      </c>
      <c r="B657" s="1" t="n">
        <v>45121.50986111111</v>
      </c>
      <c r="C657" s="1" t="n">
        <v>46030</v>
      </c>
      <c r="D657" t="inlineStr">
        <is>
          <t>DALARNAS LÄN</t>
        </is>
      </c>
      <c r="E657" t="inlineStr">
        <is>
          <t>ÄLVDALEN</t>
        </is>
      </c>
      <c r="G657" t="n">
        <v>4</v>
      </c>
      <c r="H657" t="n">
        <v>0</v>
      </c>
      <c r="I657" t="n">
        <v>0</v>
      </c>
      <c r="J657" t="n">
        <v>0</v>
      </c>
      <c r="K657" t="n">
        <v>0</v>
      </c>
      <c r="L657" t="n">
        <v>0</v>
      </c>
      <c r="M657" t="n">
        <v>0</v>
      </c>
      <c r="N657" t="n">
        <v>0</v>
      </c>
      <c r="O657" t="n">
        <v>0</v>
      </c>
      <c r="P657" t="n">
        <v>0</v>
      </c>
      <c r="Q657" t="n">
        <v>0</v>
      </c>
      <c r="R657" s="2" t="inlineStr"/>
    </row>
    <row r="658">
      <c r="A658" t="inlineStr">
        <is>
          <t>A 7581-2024</t>
        </is>
      </c>
      <c r="B658" s="1" t="n">
        <v>45348.49204861111</v>
      </c>
      <c r="C658" s="1" t="n">
        <v>46030</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2026-01-08T10:51:35Z</dcterms:created>
  <dcterms:modified xmlns:dcterms="http://purl.org/dc/terms/" xmlns:xsi="http://www.w3.org/2001/XMLSchema-instance" xsi:type="dcterms:W3CDTF">2026-01-08T10:51:36Z</dcterms:modified>
</cp:coreProperties>
</file>