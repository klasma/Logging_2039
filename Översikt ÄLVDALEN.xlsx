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45838</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45838</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45838</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45838</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45838</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45838</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45838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45838</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45838</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31144-2024</t>
        </is>
      </c>
      <c r="B12" s="1" t="n">
        <v>45502</v>
      </c>
      <c r="C12" s="1" t="n">
        <v>45838</v>
      </c>
      <c r="D12" t="inlineStr">
        <is>
          <t>DALARNAS LÄN</t>
        </is>
      </c>
      <c r="E12" t="inlineStr">
        <is>
          <t>ÄLVDALEN</t>
        </is>
      </c>
      <c r="G12" t="n">
        <v>6.7</v>
      </c>
      <c r="H12" t="n">
        <v>4</v>
      </c>
      <c r="I12" t="n">
        <v>4</v>
      </c>
      <c r="J12" t="n">
        <v>12</v>
      </c>
      <c r="K12" t="n">
        <v>0</v>
      </c>
      <c r="L12" t="n">
        <v>0</v>
      </c>
      <c r="M12" t="n">
        <v>0</v>
      </c>
      <c r="N12" t="n">
        <v>0</v>
      </c>
      <c r="O12" t="n">
        <v>12</v>
      </c>
      <c r="P12" t="n">
        <v>0</v>
      </c>
      <c r="Q12" t="n">
        <v>18</v>
      </c>
      <c r="R12" s="2" t="inlineStr">
        <is>
          <t>Garnlav
Granticka
Kolflarnlav
Mörk kolflarnlav
Svart taggsvamp
Tallriska
Talltita
Tretåig hackspett
Ullticka
Vedskivlav
Vedtrappmossa
Vitgrynig nållav
Bronshjon
Källpraktmossa
Norrlandslav
Tibast
Mattlummer
Revlummer</t>
        </is>
      </c>
      <c r="S12">
        <f>HYPERLINK("https://klasma.github.io/Logging_2039/artfynd/A 31144-2024 artfynd.xlsx", "A 31144-2024")</f>
        <v/>
      </c>
      <c r="T12">
        <f>HYPERLINK("https://klasma.github.io/Logging_2039/kartor/A 31144-2024 karta.png", "A 31144-2024")</f>
        <v/>
      </c>
      <c r="V12">
        <f>HYPERLINK("https://klasma.github.io/Logging_2039/klagomål/A 31144-2024 FSC-klagomål.docx", "A 31144-2024")</f>
        <v/>
      </c>
      <c r="W12">
        <f>HYPERLINK("https://klasma.github.io/Logging_2039/klagomålsmail/A 31144-2024 FSC-klagomål mail.docx", "A 31144-2024")</f>
        <v/>
      </c>
      <c r="X12">
        <f>HYPERLINK("https://klasma.github.io/Logging_2039/tillsyn/A 31144-2024 tillsynsbegäran.docx", "A 31144-2024")</f>
        <v/>
      </c>
      <c r="Y12">
        <f>HYPERLINK("https://klasma.github.io/Logging_2039/tillsynsmail/A 31144-2024 tillsynsbegäran mail.docx", "A 31144-2024")</f>
        <v/>
      </c>
      <c r="Z12">
        <f>HYPERLINK("https://klasma.github.io/Logging_2039/fåglar/A 31144-2024 prioriterade fågelarter.docx", "A 31144-2024")</f>
        <v/>
      </c>
    </row>
    <row r="13" ht="15" customHeight="1">
      <c r="A13" t="inlineStr">
        <is>
          <t>A 40996-2023</t>
        </is>
      </c>
      <c r="B13" s="1" t="n">
        <v>45173</v>
      </c>
      <c r="C13" s="1" t="n">
        <v>45838</v>
      </c>
      <c r="D13" t="inlineStr">
        <is>
          <t>DALARNAS LÄN</t>
        </is>
      </c>
      <c r="E13" t="inlineStr">
        <is>
          <t>ÄLVDALEN</t>
        </is>
      </c>
      <c r="F13" t="inlineStr">
        <is>
          <t>Bergvik skog väst AB</t>
        </is>
      </c>
      <c r="G13" t="n">
        <v>8</v>
      </c>
      <c r="H13" t="n">
        <v>5</v>
      </c>
      <c r="I13" t="n">
        <v>6</v>
      </c>
      <c r="J13" t="n">
        <v>9</v>
      </c>
      <c r="K13" t="n">
        <v>1</v>
      </c>
      <c r="L13" t="n">
        <v>0</v>
      </c>
      <c r="M13" t="n">
        <v>0</v>
      </c>
      <c r="N13" t="n">
        <v>0</v>
      </c>
      <c r="O13" t="n">
        <v>10</v>
      </c>
      <c r="P13" t="n">
        <v>1</v>
      </c>
      <c r="Q13" t="n">
        <v>17</v>
      </c>
      <c r="R13" s="2" t="inlineStr">
        <is>
          <t>Knärot
Gammelgransskål
Garnlav
Granticka
Gultoppig fingersvamp
Järpe
Skogshare
Spillkråka
Talltita
Ullticka
Mörk husmossa
Rödgul trumpetsvamp
Svavelriska
Trådticka
Vedticka
Ögonpyrola
Gråspett</t>
        </is>
      </c>
      <c r="S13">
        <f>HYPERLINK("https://klasma.github.io/Logging_2039/artfynd/A 40996-2023 artfynd.xlsx", "A 40996-2023")</f>
        <v/>
      </c>
      <c r="T13">
        <f>HYPERLINK("https://klasma.github.io/Logging_2039/kartor/A 40996-2023 karta.png", "A 40996-2023")</f>
        <v/>
      </c>
      <c r="U13">
        <f>HYPERLINK("https://klasma.github.io/Logging_2039/knärot/A 40996-2023 karta knärot.png", "A 40996-2023")</f>
        <v/>
      </c>
      <c r="V13">
        <f>HYPERLINK("https://klasma.github.io/Logging_2039/klagomål/A 40996-2023 FSC-klagomål.docx", "A 40996-2023")</f>
        <v/>
      </c>
      <c r="W13">
        <f>HYPERLINK("https://klasma.github.io/Logging_2039/klagomålsmail/A 40996-2023 FSC-klagomål mail.docx", "A 40996-2023")</f>
        <v/>
      </c>
      <c r="X13">
        <f>HYPERLINK("https://klasma.github.io/Logging_2039/tillsyn/A 40996-2023 tillsynsbegäran.docx", "A 40996-2023")</f>
        <v/>
      </c>
      <c r="Y13">
        <f>HYPERLINK("https://klasma.github.io/Logging_2039/tillsynsmail/A 40996-2023 tillsynsbegäran mail.docx", "A 40996-2023")</f>
        <v/>
      </c>
      <c r="Z13">
        <f>HYPERLINK("https://klasma.github.io/Logging_2039/fåglar/A 40996-2023 prioriterade fågelarter.docx", "A 40996-2023")</f>
        <v/>
      </c>
    </row>
    <row r="14" ht="15" customHeight="1">
      <c r="A14" t="inlineStr">
        <is>
          <t>A 30238-2023</t>
        </is>
      </c>
      <c r="B14" s="1" t="n">
        <v>45110</v>
      </c>
      <c r="C14" s="1" t="n">
        <v>45838</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63895-2023</t>
        </is>
      </c>
      <c r="B15" s="1" t="n">
        <v>45278</v>
      </c>
      <c r="C15" s="1" t="n">
        <v>45838</v>
      </c>
      <c r="D15" t="inlineStr">
        <is>
          <t>DALARNAS LÄN</t>
        </is>
      </c>
      <c r="E15" t="inlineStr">
        <is>
          <t>ÄLVDALEN</t>
        </is>
      </c>
      <c r="F15" t="inlineStr">
        <is>
          <t>Sveaskog</t>
        </is>
      </c>
      <c r="G15" t="n">
        <v>13.4</v>
      </c>
      <c r="H15" t="n">
        <v>2</v>
      </c>
      <c r="I15" t="n">
        <v>1</v>
      </c>
      <c r="J15" t="n">
        <v>9</v>
      </c>
      <c r="K15" t="n">
        <v>6</v>
      </c>
      <c r="L15" t="n">
        <v>0</v>
      </c>
      <c r="M15" t="n">
        <v>0</v>
      </c>
      <c r="N15" t="n">
        <v>0</v>
      </c>
      <c r="O15" t="n">
        <v>15</v>
      </c>
      <c r="P15" t="n">
        <v>6</v>
      </c>
      <c r="Q15" t="n">
        <v>16</v>
      </c>
      <c r="R15" s="2" t="inlineStr">
        <is>
          <t>Fläckporing
Goliatmusseron
Gräddporing
Laxgröppa
Smalfotad taggsvamp
Spadskinn
Blanksvart spiklav
Blå taggsvamp
Kolflarnlav
Mörk kolflarnlav
Nordtagging
Orange taggsvamp
Varglav
Vedskivlav
Vitplätt
Plattlummer</t>
        </is>
      </c>
      <c r="S15">
        <f>HYPERLINK("https://klasma.github.io/Logging_2039/artfynd/A 63895-2023 artfynd.xlsx", "A 63895-2023")</f>
        <v/>
      </c>
      <c r="T15">
        <f>HYPERLINK("https://klasma.github.io/Logging_2039/kartor/A 63895-2023 karta.png", "A 63895-2023")</f>
        <v/>
      </c>
      <c r="V15">
        <f>HYPERLINK("https://klasma.github.io/Logging_2039/klagomål/A 63895-2023 FSC-klagomål.docx", "A 63895-2023")</f>
        <v/>
      </c>
      <c r="W15">
        <f>HYPERLINK("https://klasma.github.io/Logging_2039/klagomålsmail/A 63895-2023 FSC-klagomål mail.docx", "A 63895-2023")</f>
        <v/>
      </c>
      <c r="X15">
        <f>HYPERLINK("https://klasma.github.io/Logging_2039/tillsyn/A 63895-2023 tillsynsbegäran.docx", "A 63895-2023")</f>
        <v/>
      </c>
      <c r="Y15">
        <f>HYPERLINK("https://klasma.github.io/Logging_2039/tillsynsmail/A 63895-2023 tillsynsbegäran mail.docx", "A 63895-2023")</f>
        <v/>
      </c>
    </row>
    <row r="16" ht="15" customHeight="1">
      <c r="A16" t="inlineStr">
        <is>
          <t>A 19109-2023</t>
        </is>
      </c>
      <c r="B16" s="1" t="n">
        <v>45044</v>
      </c>
      <c r="C16" s="1" t="n">
        <v>45838</v>
      </c>
      <c r="D16" t="inlineStr">
        <is>
          <t>DALARNAS LÄN</t>
        </is>
      </c>
      <c r="E16" t="inlineStr">
        <is>
          <t>ÄLVDALEN</t>
        </is>
      </c>
      <c r="G16" t="n">
        <v>202.7</v>
      </c>
      <c r="H16" t="n">
        <v>7</v>
      </c>
      <c r="I16" t="n">
        <v>0</v>
      </c>
      <c r="J16" t="n">
        <v>12</v>
      </c>
      <c r="K16" t="n">
        <v>0</v>
      </c>
      <c r="L16" t="n">
        <v>0</v>
      </c>
      <c r="M16" t="n">
        <v>0</v>
      </c>
      <c r="N16" t="n">
        <v>0</v>
      </c>
      <c r="O16" t="n">
        <v>12</v>
      </c>
      <c r="P16" t="n">
        <v>0</v>
      </c>
      <c r="Q16" t="n">
        <v>15</v>
      </c>
      <c r="R16" s="2" t="inlineStr">
        <is>
          <t>Björktrast
Blanksvart spiklav
Gammelgransskål
Garnlav
Granticka
Kolflarnlav
Mörk kolflarnlav
Talltita
Tretåig hackspett
Varglav
Vedflamlav
Vedskivlav
Huggorm
Vanlig groda
Revlummer</t>
        </is>
      </c>
      <c r="S16">
        <f>HYPERLINK("https://klasma.github.io/Logging_2039/artfynd/A 19109-2023 artfynd.xlsx", "A 19109-2023")</f>
        <v/>
      </c>
      <c r="T16">
        <f>HYPERLINK("https://klasma.github.io/Logging_2039/kartor/A 19109-2023 karta.png", "A 19109-2023")</f>
        <v/>
      </c>
      <c r="V16">
        <f>HYPERLINK("https://klasma.github.io/Logging_2039/klagomål/A 19109-2023 FSC-klagomål.docx", "A 19109-2023")</f>
        <v/>
      </c>
      <c r="W16">
        <f>HYPERLINK("https://klasma.github.io/Logging_2039/klagomålsmail/A 19109-2023 FSC-klagomål mail.docx", "A 19109-2023")</f>
        <v/>
      </c>
      <c r="X16">
        <f>HYPERLINK("https://klasma.github.io/Logging_2039/tillsyn/A 19109-2023 tillsynsbegäran.docx", "A 19109-2023")</f>
        <v/>
      </c>
      <c r="Y16">
        <f>HYPERLINK("https://klasma.github.io/Logging_2039/tillsynsmail/A 19109-2023 tillsynsbegäran mail.docx", "A 19109-2023")</f>
        <v/>
      </c>
      <c r="Z16">
        <f>HYPERLINK("https://klasma.github.io/Logging_2039/fåglar/A 19109-2023 prioriterade fågelarter.docx", "A 19109-2023")</f>
        <v/>
      </c>
    </row>
    <row r="17" ht="15" customHeight="1">
      <c r="A17" t="inlineStr">
        <is>
          <t>A 28823-2023</t>
        </is>
      </c>
      <c r="B17" s="1" t="n">
        <v>45104</v>
      </c>
      <c r="C17" s="1" t="n">
        <v>45838</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30234-2023</t>
        </is>
      </c>
      <c r="B18" s="1" t="n">
        <v>45110</v>
      </c>
      <c r="C18" s="1" t="n">
        <v>45838</v>
      </c>
      <c r="D18" t="inlineStr">
        <is>
          <t>DALARNAS LÄN</t>
        </is>
      </c>
      <c r="E18" t="inlineStr">
        <is>
          <t>ÄLVDALEN</t>
        </is>
      </c>
      <c r="F18" t="inlineStr">
        <is>
          <t>Sveaskog</t>
        </is>
      </c>
      <c r="G18" t="n">
        <v>3.1</v>
      </c>
      <c r="H18" t="n">
        <v>3</v>
      </c>
      <c r="I18" t="n">
        <v>2</v>
      </c>
      <c r="J18" t="n">
        <v>11</v>
      </c>
      <c r="K18" t="n">
        <v>0</v>
      </c>
      <c r="L18" t="n">
        <v>0</v>
      </c>
      <c r="M18" t="n">
        <v>0</v>
      </c>
      <c r="N18" t="n">
        <v>0</v>
      </c>
      <c r="O18" t="n">
        <v>11</v>
      </c>
      <c r="P18" t="n">
        <v>0</v>
      </c>
      <c r="Q18" t="n">
        <v>14</v>
      </c>
      <c r="R18" s="2" t="inlineStr">
        <is>
          <t>Blanksvart spiklav
Gammelgransskål
Garnlav
Kolflarnlav
Skrovellav
Talltaggsvamp
Talltita
Vaddporing
Vedflamlav
Vedskivlav
Vitgrynig nållav
Plattlummer
Stuplav
Fläcknycklar</t>
        </is>
      </c>
      <c r="S18">
        <f>HYPERLINK("https://klasma.github.io/Logging_2039/artfynd/A 30234-2023 artfynd.xlsx", "A 30234-2023")</f>
        <v/>
      </c>
      <c r="T18">
        <f>HYPERLINK("https://klasma.github.io/Logging_2039/kartor/A 30234-2023 karta.png", "A 30234-2023")</f>
        <v/>
      </c>
      <c r="V18">
        <f>HYPERLINK("https://klasma.github.io/Logging_2039/klagomål/A 30234-2023 FSC-klagomål.docx", "A 30234-2023")</f>
        <v/>
      </c>
      <c r="W18">
        <f>HYPERLINK("https://klasma.github.io/Logging_2039/klagomålsmail/A 30234-2023 FSC-klagomål mail.docx", "A 30234-2023")</f>
        <v/>
      </c>
      <c r="X18">
        <f>HYPERLINK("https://klasma.github.io/Logging_2039/tillsyn/A 30234-2023 tillsynsbegäran.docx", "A 30234-2023")</f>
        <v/>
      </c>
      <c r="Y18">
        <f>HYPERLINK("https://klasma.github.io/Logging_2039/tillsynsmail/A 30234-2023 tillsynsbegäran mail.docx", "A 30234-2023")</f>
        <v/>
      </c>
      <c r="Z18">
        <f>HYPERLINK("https://klasma.github.io/Logging_2039/fåglar/A 30234-2023 prioriterade fågelarter.docx", "A 30234-2023")</f>
        <v/>
      </c>
    </row>
    <row r="19" ht="15" customHeight="1">
      <c r="A19" t="inlineStr">
        <is>
          <t>A 31037-2023</t>
        </is>
      </c>
      <c r="B19" s="1" t="n">
        <v>45113</v>
      </c>
      <c r="C19" s="1" t="n">
        <v>45838</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34232-2024</t>
        </is>
      </c>
      <c r="B20" s="1" t="n">
        <v>45524</v>
      </c>
      <c r="C20" s="1" t="n">
        <v>45838</v>
      </c>
      <c r="D20" t="inlineStr">
        <is>
          <t>DALARNAS LÄN</t>
        </is>
      </c>
      <c r="E20" t="inlineStr">
        <is>
          <t>ÄLVDALEN</t>
        </is>
      </c>
      <c r="G20" t="n">
        <v>6.2</v>
      </c>
      <c r="H20" t="n">
        <v>3</v>
      </c>
      <c r="I20" t="n">
        <v>2</v>
      </c>
      <c r="J20" t="n">
        <v>9</v>
      </c>
      <c r="K20" t="n">
        <v>2</v>
      </c>
      <c r="L20" t="n">
        <v>0</v>
      </c>
      <c r="M20" t="n">
        <v>0</v>
      </c>
      <c r="N20" t="n">
        <v>0</v>
      </c>
      <c r="O20" t="n">
        <v>11</v>
      </c>
      <c r="P20" t="n">
        <v>2</v>
      </c>
      <c r="Q20" t="n">
        <v>14</v>
      </c>
      <c r="R20" s="2" t="inlineStr">
        <is>
          <t>Liten sotlav
Rynkskinn
Garnlav
Granticka
Gränsticka
Grönhjon
Skrovellav
Talltita
Tretåig hackspett
Ullticka
Vitgrynig nållav
Luddlav
Vedticka
Revlummer</t>
        </is>
      </c>
      <c r="S20">
        <f>HYPERLINK("https://klasma.github.io/Logging_2039/artfynd/A 34232-2024 artfynd.xlsx", "A 34232-2024")</f>
        <v/>
      </c>
      <c r="T20">
        <f>HYPERLINK("https://klasma.github.io/Logging_2039/kartor/A 34232-2024 karta.png", "A 34232-2024")</f>
        <v/>
      </c>
      <c r="V20">
        <f>HYPERLINK("https://klasma.github.io/Logging_2039/klagomål/A 34232-2024 FSC-klagomål.docx", "A 34232-2024")</f>
        <v/>
      </c>
      <c r="W20">
        <f>HYPERLINK("https://klasma.github.io/Logging_2039/klagomålsmail/A 34232-2024 FSC-klagomål mail.docx", "A 34232-2024")</f>
        <v/>
      </c>
      <c r="X20">
        <f>HYPERLINK("https://klasma.github.io/Logging_2039/tillsyn/A 34232-2024 tillsynsbegäran.docx", "A 34232-2024")</f>
        <v/>
      </c>
      <c r="Y20">
        <f>HYPERLINK("https://klasma.github.io/Logging_2039/tillsynsmail/A 34232-2024 tillsynsbegäran mail.docx", "A 34232-2024")</f>
        <v/>
      </c>
      <c r="Z20">
        <f>HYPERLINK("https://klasma.github.io/Logging_2039/fåglar/A 34232-2024 prioriterade fågelarter.docx", "A 34232-2024")</f>
        <v/>
      </c>
    </row>
    <row r="21" ht="15" customHeight="1">
      <c r="A21" t="inlineStr">
        <is>
          <t>A 28620-2020</t>
        </is>
      </c>
      <c r="B21" s="1" t="n">
        <v>43999</v>
      </c>
      <c r="C21" s="1" t="n">
        <v>45838</v>
      </c>
      <c r="D21" t="inlineStr">
        <is>
          <t>DALARNAS LÄN</t>
        </is>
      </c>
      <c r="E21" t="inlineStr">
        <is>
          <t>ÄLVDALEN</t>
        </is>
      </c>
      <c r="F21" t="inlineStr">
        <is>
          <t>Sveaskog</t>
        </is>
      </c>
      <c r="G21" t="n">
        <v>14.2</v>
      </c>
      <c r="H21" t="n">
        <v>1</v>
      </c>
      <c r="I21" t="n">
        <v>1</v>
      </c>
      <c r="J21" t="n">
        <v>8</v>
      </c>
      <c r="K21" t="n">
        <v>3</v>
      </c>
      <c r="L21" t="n">
        <v>1</v>
      </c>
      <c r="M21" t="n">
        <v>0</v>
      </c>
      <c r="N21" t="n">
        <v>0</v>
      </c>
      <c r="O21" t="n">
        <v>12</v>
      </c>
      <c r="P21" t="n">
        <v>4</v>
      </c>
      <c r="Q21" t="n">
        <v>13</v>
      </c>
      <c r="R21" s="2" t="inlineStr">
        <is>
          <t>Kolticka
Fläckporing
Gräddporing
Smalfotad taggsvamp
Blanksvart spiklav
Dvärgbägarlav
Kolflarnlav
Mörk kolflarnlav
Nordtagging
Varglav
Vedflamlav
Vedskivlav
Dropptaggsvamp</t>
        </is>
      </c>
      <c r="S21">
        <f>HYPERLINK("https://klasma.github.io/Logging_2039/artfynd/A 28620-2020 artfynd.xlsx", "A 28620-2020")</f>
        <v/>
      </c>
      <c r="T21">
        <f>HYPERLINK("https://klasma.github.io/Logging_2039/kartor/A 28620-2020 karta.png", "A 28620-2020")</f>
        <v/>
      </c>
      <c r="V21">
        <f>HYPERLINK("https://klasma.github.io/Logging_2039/klagomål/A 28620-2020 FSC-klagomål.docx", "A 28620-2020")</f>
        <v/>
      </c>
      <c r="W21">
        <f>HYPERLINK("https://klasma.github.io/Logging_2039/klagomålsmail/A 28620-2020 FSC-klagomål mail.docx", "A 28620-2020")</f>
        <v/>
      </c>
      <c r="X21">
        <f>HYPERLINK("https://klasma.github.io/Logging_2039/tillsyn/A 28620-2020 tillsynsbegäran.docx", "A 28620-2020")</f>
        <v/>
      </c>
      <c r="Y21">
        <f>HYPERLINK("https://klasma.github.io/Logging_2039/tillsynsmail/A 28620-2020 tillsynsbegäran mail.docx", "A 28620-2020")</f>
        <v/>
      </c>
    </row>
    <row r="22" ht="15" customHeight="1">
      <c r="A22" t="inlineStr">
        <is>
          <t>A 69728-2021</t>
        </is>
      </c>
      <c r="B22" s="1" t="n">
        <v>44532</v>
      </c>
      <c r="C22" s="1" t="n">
        <v>45838</v>
      </c>
      <c r="D22" t="inlineStr">
        <is>
          <t>DALARNAS LÄN</t>
        </is>
      </c>
      <c r="E22" t="inlineStr">
        <is>
          <t>ÄLVDALEN</t>
        </is>
      </c>
      <c r="G22" t="n">
        <v>19.1</v>
      </c>
      <c r="H22" t="n">
        <v>0</v>
      </c>
      <c r="I22" t="n">
        <v>1</v>
      </c>
      <c r="J22" t="n">
        <v>8</v>
      </c>
      <c r="K22" t="n">
        <v>4</v>
      </c>
      <c r="L22" t="n">
        <v>0</v>
      </c>
      <c r="M22" t="n">
        <v>0</v>
      </c>
      <c r="N22" t="n">
        <v>0</v>
      </c>
      <c r="O22" t="n">
        <v>12</v>
      </c>
      <c r="P22" t="n">
        <v>4</v>
      </c>
      <c r="Q22" t="n">
        <v>13</v>
      </c>
      <c r="R22" s="2" t="inlineStr">
        <is>
          <t>Barrgråtagging
Fläckporing
Gräddporing
Smalfotad taggsvamp
Blanksvart spiklav
Dvärgbägarlav
Kolflarnlav
Mörk kolflarnlav
Nordtagging
Orange taggsvamp
Skrovlig taggsvamp
Vedskivlav
Dropptaggsvamp</t>
        </is>
      </c>
      <c r="S22">
        <f>HYPERLINK("https://klasma.github.io/Logging_2039/artfynd/A 69728-2021 artfynd.xlsx", "A 69728-2021")</f>
        <v/>
      </c>
      <c r="T22">
        <f>HYPERLINK("https://klasma.github.io/Logging_2039/kartor/A 69728-2021 karta.png", "A 69728-2021")</f>
        <v/>
      </c>
      <c r="V22">
        <f>HYPERLINK("https://klasma.github.io/Logging_2039/klagomål/A 69728-2021 FSC-klagomål.docx", "A 69728-2021")</f>
        <v/>
      </c>
      <c r="W22">
        <f>HYPERLINK("https://klasma.github.io/Logging_2039/klagomålsmail/A 69728-2021 FSC-klagomål mail.docx", "A 69728-2021")</f>
        <v/>
      </c>
      <c r="X22">
        <f>HYPERLINK("https://klasma.github.io/Logging_2039/tillsyn/A 69728-2021 tillsynsbegäran.docx", "A 69728-2021")</f>
        <v/>
      </c>
      <c r="Y22">
        <f>HYPERLINK("https://klasma.github.io/Logging_2039/tillsynsmail/A 69728-2021 tillsynsbegäran mail.docx", "A 69728-2021")</f>
        <v/>
      </c>
    </row>
    <row r="23" ht="15" customHeight="1">
      <c r="A23" t="inlineStr">
        <is>
          <t>A 33548-2023</t>
        </is>
      </c>
      <c r="B23" s="1" t="n">
        <v>45118</v>
      </c>
      <c r="C23" s="1" t="n">
        <v>45838</v>
      </c>
      <c r="D23" t="inlineStr">
        <is>
          <t>DALARNAS LÄN</t>
        </is>
      </c>
      <c r="E23" t="inlineStr">
        <is>
          <t>ÄLVDALEN</t>
        </is>
      </c>
      <c r="G23" t="n">
        <v>5.2</v>
      </c>
      <c r="H23" t="n">
        <v>6</v>
      </c>
      <c r="I23" t="n">
        <v>2</v>
      </c>
      <c r="J23" t="n">
        <v>8</v>
      </c>
      <c r="K23" t="n">
        <v>0</v>
      </c>
      <c r="L23" t="n">
        <v>0</v>
      </c>
      <c r="M23" t="n">
        <v>0</v>
      </c>
      <c r="N23" t="n">
        <v>0</v>
      </c>
      <c r="O23" t="n">
        <v>8</v>
      </c>
      <c r="P23" t="n">
        <v>0</v>
      </c>
      <c r="Q23" t="n">
        <v>13</v>
      </c>
      <c r="R23" s="2" t="inlineStr">
        <is>
          <t>Garnlav
Granticka
Rosenticka
Skrovellav
Talltita
Tretåig hackspett
Vedflamlav
Vitgrynig nållav
Spindelblomster
Ögonpyrola
Vanlig groda
Fläcknycklar
Revlummer</t>
        </is>
      </c>
      <c r="S23">
        <f>HYPERLINK("https://klasma.github.io/Logging_2039/artfynd/A 33548-2023 artfynd.xlsx", "A 33548-2023")</f>
        <v/>
      </c>
      <c r="T23">
        <f>HYPERLINK("https://klasma.github.io/Logging_2039/kartor/A 33548-2023 karta.png", "A 33548-2023")</f>
        <v/>
      </c>
      <c r="V23">
        <f>HYPERLINK("https://klasma.github.io/Logging_2039/klagomål/A 33548-2023 FSC-klagomål.docx", "A 33548-2023")</f>
        <v/>
      </c>
      <c r="W23">
        <f>HYPERLINK("https://klasma.github.io/Logging_2039/klagomålsmail/A 33548-2023 FSC-klagomål mail.docx", "A 33548-2023")</f>
        <v/>
      </c>
      <c r="X23">
        <f>HYPERLINK("https://klasma.github.io/Logging_2039/tillsyn/A 33548-2023 tillsynsbegäran.docx", "A 33548-2023")</f>
        <v/>
      </c>
      <c r="Y23">
        <f>HYPERLINK("https://klasma.github.io/Logging_2039/tillsynsmail/A 33548-2023 tillsynsbegäran mail.docx", "A 33548-2023")</f>
        <v/>
      </c>
      <c r="Z23">
        <f>HYPERLINK("https://klasma.github.io/Logging_2039/fåglar/A 33548-2023 prioriterade fågelarter.docx", "A 33548-2023")</f>
        <v/>
      </c>
    </row>
    <row r="24" ht="15" customHeight="1">
      <c r="A24" t="inlineStr">
        <is>
          <t>A 28765-2019</t>
        </is>
      </c>
      <c r="B24" s="1" t="n">
        <v>43627</v>
      </c>
      <c r="C24" s="1" t="n">
        <v>45838</v>
      </c>
      <c r="D24" t="inlineStr">
        <is>
          <t>DALARNAS LÄN</t>
        </is>
      </c>
      <c r="E24" t="inlineStr">
        <is>
          <t>ÄLVDALEN</t>
        </is>
      </c>
      <c r="F24" t="inlineStr">
        <is>
          <t>Kyrkan</t>
        </is>
      </c>
      <c r="G24" t="n">
        <v>13.5</v>
      </c>
      <c r="H24" t="n">
        <v>1</v>
      </c>
      <c r="I24" t="n">
        <v>2</v>
      </c>
      <c r="J24" t="n">
        <v>9</v>
      </c>
      <c r="K24" t="n">
        <v>1</v>
      </c>
      <c r="L24" t="n">
        <v>0</v>
      </c>
      <c r="M24" t="n">
        <v>0</v>
      </c>
      <c r="N24" t="n">
        <v>0</v>
      </c>
      <c r="O24" t="n">
        <v>10</v>
      </c>
      <c r="P24" t="n">
        <v>1</v>
      </c>
      <c r="Q24" t="n">
        <v>12</v>
      </c>
      <c r="R24" s="2" t="inlineStr">
        <is>
          <t>Smalfotad taggsvamp
Blanksvart spiklav
Blågrå svartspik
Kolflarnlav
Motaggsvamp
Mörk kolflarnlav
Vaddporing
Varglav
Vedflamlav
Vedskivlav
Skarp dropptaggsvamp
Vedticka</t>
        </is>
      </c>
      <c r="S24">
        <f>HYPERLINK("https://klasma.github.io/Logging_2039/artfynd/A 28765-2019 artfynd.xlsx", "A 28765-2019")</f>
        <v/>
      </c>
      <c r="T24">
        <f>HYPERLINK("https://klasma.github.io/Logging_2039/kartor/A 28765-2019 karta.png", "A 28765-2019")</f>
        <v/>
      </c>
      <c r="V24">
        <f>HYPERLINK("https://klasma.github.io/Logging_2039/klagomål/A 28765-2019 FSC-klagomål.docx", "A 28765-2019")</f>
        <v/>
      </c>
      <c r="W24">
        <f>HYPERLINK("https://klasma.github.io/Logging_2039/klagomålsmail/A 28765-2019 FSC-klagomål mail.docx", "A 28765-2019")</f>
        <v/>
      </c>
      <c r="X24">
        <f>HYPERLINK("https://klasma.github.io/Logging_2039/tillsyn/A 28765-2019 tillsynsbegäran.docx", "A 28765-2019")</f>
        <v/>
      </c>
      <c r="Y24">
        <f>HYPERLINK("https://klasma.github.io/Logging_2039/tillsynsmail/A 28765-2019 tillsynsbegäran mail.docx", "A 28765-2019")</f>
        <v/>
      </c>
    </row>
    <row r="25" ht="15" customHeight="1">
      <c r="A25" t="inlineStr">
        <is>
          <t>A 5813-2025</t>
        </is>
      </c>
      <c r="B25" s="1" t="n">
        <v>45694</v>
      </c>
      <c r="C25" s="1" t="n">
        <v>45838</v>
      </c>
      <c r="D25" t="inlineStr">
        <is>
          <t>DALARNAS LÄN</t>
        </is>
      </c>
      <c r="E25" t="inlineStr">
        <is>
          <t>ÄLVDALEN</t>
        </is>
      </c>
      <c r="F25" t="inlineStr">
        <is>
          <t>Övriga statliga verk och myndigheter</t>
        </is>
      </c>
      <c r="G25" t="n">
        <v>3.1</v>
      </c>
      <c r="H25" t="n">
        <v>4</v>
      </c>
      <c r="I25" t="n">
        <v>3</v>
      </c>
      <c r="J25" t="n">
        <v>6</v>
      </c>
      <c r="K25" t="n">
        <v>2</v>
      </c>
      <c r="L25" t="n">
        <v>0</v>
      </c>
      <c r="M25" t="n">
        <v>0</v>
      </c>
      <c r="N25" t="n">
        <v>0</v>
      </c>
      <c r="O25" t="n">
        <v>8</v>
      </c>
      <c r="P25" t="n">
        <v>2</v>
      </c>
      <c r="Q25" t="n">
        <v>12</v>
      </c>
      <c r="R25" s="2" t="inlineStr">
        <is>
          <t>Knärot
Ulltickeporing
Garnlav
Gränsticka
Spillkråka
Tretåig hackspett
Ullticka
Vedtrappmossa
Bronshjon
Källpraktmossa
Vedticka
Revlummer</t>
        </is>
      </c>
      <c r="S25">
        <f>HYPERLINK("https://klasma.github.io/Logging_2039/artfynd/A 5813-2025 artfynd.xlsx", "A 5813-2025")</f>
        <v/>
      </c>
      <c r="T25">
        <f>HYPERLINK("https://klasma.github.io/Logging_2039/kartor/A 5813-2025 karta.png", "A 5813-2025")</f>
        <v/>
      </c>
      <c r="U25">
        <f>HYPERLINK("https://klasma.github.io/Logging_2039/knärot/A 5813-2025 karta knärot.png", "A 5813-2025")</f>
        <v/>
      </c>
      <c r="V25">
        <f>HYPERLINK("https://klasma.github.io/Logging_2039/klagomål/A 5813-2025 FSC-klagomål.docx", "A 5813-2025")</f>
        <v/>
      </c>
      <c r="W25">
        <f>HYPERLINK("https://klasma.github.io/Logging_2039/klagomålsmail/A 5813-2025 FSC-klagomål mail.docx", "A 5813-2025")</f>
        <v/>
      </c>
      <c r="X25">
        <f>HYPERLINK("https://klasma.github.io/Logging_2039/tillsyn/A 5813-2025 tillsynsbegäran.docx", "A 5813-2025")</f>
        <v/>
      </c>
      <c r="Y25">
        <f>HYPERLINK("https://klasma.github.io/Logging_2039/tillsynsmail/A 5813-2025 tillsynsbegäran mail.docx", "A 5813-2025")</f>
        <v/>
      </c>
      <c r="Z25">
        <f>HYPERLINK("https://klasma.github.io/Logging_2039/fåglar/A 5813-2025 prioriterade fågelarter.docx", "A 5813-2025")</f>
        <v/>
      </c>
    </row>
    <row r="26" ht="15" customHeight="1">
      <c r="A26" t="inlineStr">
        <is>
          <t>A 32114-2023</t>
        </is>
      </c>
      <c r="B26" s="1" t="n">
        <v>45119</v>
      </c>
      <c r="C26" s="1" t="n">
        <v>45838</v>
      </c>
      <c r="D26" t="inlineStr">
        <is>
          <t>DALARNAS LÄN</t>
        </is>
      </c>
      <c r="E26" t="inlineStr">
        <is>
          <t>ÄLVDALEN</t>
        </is>
      </c>
      <c r="F26" t="inlineStr">
        <is>
          <t>Sveaskog</t>
        </is>
      </c>
      <c r="G26" t="n">
        <v>10.1</v>
      </c>
      <c r="H26" t="n">
        <v>2</v>
      </c>
      <c r="I26" t="n">
        <v>3</v>
      </c>
      <c r="J26" t="n">
        <v>6</v>
      </c>
      <c r="K26" t="n">
        <v>2</v>
      </c>
      <c r="L26" t="n">
        <v>0</v>
      </c>
      <c r="M26" t="n">
        <v>0</v>
      </c>
      <c r="N26" t="n">
        <v>0</v>
      </c>
      <c r="O26" t="n">
        <v>8</v>
      </c>
      <c r="P26" t="n">
        <v>2</v>
      </c>
      <c r="Q26" t="n">
        <v>11</v>
      </c>
      <c r="R26" s="2" t="inlineStr">
        <is>
          <t>Fläckporing
Gräddporing
Blanksvart spiklav
Nordtagging
Svartvit taggsvamp
Tretåig hackspett
Vedflamlav
Violettgrå tagellav
Dropptaggsvamp
Plattlummer
Skarp dropptaggsvamp</t>
        </is>
      </c>
      <c r="S26">
        <f>HYPERLINK("https://klasma.github.io/Logging_2039/artfynd/A 32114-2023 artfynd.xlsx", "A 32114-2023")</f>
        <v/>
      </c>
      <c r="T26">
        <f>HYPERLINK("https://klasma.github.io/Logging_2039/kartor/A 32114-2023 karta.png", "A 32114-2023")</f>
        <v/>
      </c>
      <c r="V26">
        <f>HYPERLINK("https://klasma.github.io/Logging_2039/klagomål/A 32114-2023 FSC-klagomål.docx", "A 32114-2023")</f>
        <v/>
      </c>
      <c r="W26">
        <f>HYPERLINK("https://klasma.github.io/Logging_2039/klagomålsmail/A 32114-2023 FSC-klagomål mail.docx", "A 32114-2023")</f>
        <v/>
      </c>
      <c r="X26">
        <f>HYPERLINK("https://klasma.github.io/Logging_2039/tillsyn/A 32114-2023 tillsynsbegäran.docx", "A 32114-2023")</f>
        <v/>
      </c>
      <c r="Y26">
        <f>HYPERLINK("https://klasma.github.io/Logging_2039/tillsynsmail/A 32114-2023 tillsynsbegäran mail.docx", "A 32114-2023")</f>
        <v/>
      </c>
      <c r="Z26">
        <f>HYPERLINK("https://klasma.github.io/Logging_2039/fåglar/A 32114-2023 prioriterade fågelarter.docx", "A 32114-2023")</f>
        <v/>
      </c>
    </row>
    <row r="27" ht="15" customHeight="1">
      <c r="A27" t="inlineStr">
        <is>
          <t>A 54736-2023</t>
        </is>
      </c>
      <c r="B27" s="1" t="n">
        <v>45236</v>
      </c>
      <c r="C27" s="1" t="n">
        <v>45838</v>
      </c>
      <c r="D27" t="inlineStr">
        <is>
          <t>DALARNAS LÄN</t>
        </is>
      </c>
      <c r="E27" t="inlineStr">
        <is>
          <t>ÄLVDALEN</t>
        </is>
      </c>
      <c r="F27" t="inlineStr">
        <is>
          <t>Allmännings- och besparingsskogar</t>
        </is>
      </c>
      <c r="G27" t="n">
        <v>28.5</v>
      </c>
      <c r="H27" t="n">
        <v>2</v>
      </c>
      <c r="I27" t="n">
        <v>1</v>
      </c>
      <c r="J27" t="n">
        <v>8</v>
      </c>
      <c r="K27" t="n">
        <v>1</v>
      </c>
      <c r="L27" t="n">
        <v>1</v>
      </c>
      <c r="M27" t="n">
        <v>0</v>
      </c>
      <c r="N27" t="n">
        <v>0</v>
      </c>
      <c r="O27" t="n">
        <v>10</v>
      </c>
      <c r="P27" t="n">
        <v>2</v>
      </c>
      <c r="Q27" t="n">
        <v>11</v>
      </c>
      <c r="R27" s="2" t="inlineStr">
        <is>
          <t>Mosippa
Gräddporing
Garnlav
Kolflarnlav
Mörk kolflarnlav
Varglav
Vedflamlav
Vedskivlav
Vedtrappmossa
Vitplätt
Dropptaggsvamp</t>
        </is>
      </c>
      <c r="S27">
        <f>HYPERLINK("https://klasma.github.io/Logging_2039/artfynd/A 54736-2023 artfynd.xlsx", "A 54736-2023")</f>
        <v/>
      </c>
      <c r="T27">
        <f>HYPERLINK("https://klasma.github.io/Logging_2039/kartor/A 54736-2023 karta.png", "A 54736-2023")</f>
        <v/>
      </c>
      <c r="V27">
        <f>HYPERLINK("https://klasma.github.io/Logging_2039/klagomål/A 54736-2023 FSC-klagomål.docx", "A 54736-2023")</f>
        <v/>
      </c>
      <c r="W27">
        <f>HYPERLINK("https://klasma.github.io/Logging_2039/klagomålsmail/A 54736-2023 FSC-klagomål mail.docx", "A 54736-2023")</f>
        <v/>
      </c>
      <c r="X27">
        <f>HYPERLINK("https://klasma.github.io/Logging_2039/tillsyn/A 54736-2023 tillsynsbegäran.docx", "A 54736-2023")</f>
        <v/>
      </c>
      <c r="Y27">
        <f>HYPERLINK("https://klasma.github.io/Logging_2039/tillsynsmail/A 54736-2023 tillsynsbegäran mail.docx", "A 54736-2023")</f>
        <v/>
      </c>
    </row>
    <row r="28" ht="15" customHeight="1">
      <c r="A28" t="inlineStr">
        <is>
          <t>A 51524-2020</t>
        </is>
      </c>
      <c r="B28" s="1" t="n">
        <v>44113</v>
      </c>
      <c r="C28" s="1" t="n">
        <v>45838</v>
      </c>
      <c r="D28" t="inlineStr">
        <is>
          <t>DALARNAS LÄN</t>
        </is>
      </c>
      <c r="E28" t="inlineStr">
        <is>
          <t>ÄLVDALEN</t>
        </is>
      </c>
      <c r="G28" t="n">
        <v>5.2</v>
      </c>
      <c r="H28" t="n">
        <v>1</v>
      </c>
      <c r="I28" t="n">
        <v>1</v>
      </c>
      <c r="J28" t="n">
        <v>6</v>
      </c>
      <c r="K28" t="n">
        <v>2</v>
      </c>
      <c r="L28" t="n">
        <v>1</v>
      </c>
      <c r="M28" t="n">
        <v>0</v>
      </c>
      <c r="N28" t="n">
        <v>0</v>
      </c>
      <c r="O28" t="n">
        <v>9</v>
      </c>
      <c r="P28" t="n">
        <v>3</v>
      </c>
      <c r="Q28" t="n">
        <v>10</v>
      </c>
      <c r="R28" s="2" t="inlineStr">
        <is>
          <t>Broktagel
Gräddticka
Varglavsknöl
Garnlav
Kolflarnlav
Urnlav
Varglav
Vedflamlav
Vedskivlav
Dropptaggsvamp</t>
        </is>
      </c>
      <c r="S28">
        <f>HYPERLINK("https://klasma.github.io/Logging_2039/artfynd/A 51524-2020 artfynd.xlsx", "A 51524-2020")</f>
        <v/>
      </c>
      <c r="T28">
        <f>HYPERLINK("https://klasma.github.io/Logging_2039/kartor/A 51524-2020 karta.png", "A 51524-2020")</f>
        <v/>
      </c>
      <c r="V28">
        <f>HYPERLINK("https://klasma.github.io/Logging_2039/klagomål/A 51524-2020 FSC-klagomål.docx", "A 51524-2020")</f>
        <v/>
      </c>
      <c r="W28">
        <f>HYPERLINK("https://klasma.github.io/Logging_2039/klagomålsmail/A 51524-2020 FSC-klagomål mail.docx", "A 51524-2020")</f>
        <v/>
      </c>
      <c r="X28">
        <f>HYPERLINK("https://klasma.github.io/Logging_2039/tillsyn/A 51524-2020 tillsynsbegäran.docx", "A 51524-2020")</f>
        <v/>
      </c>
      <c r="Y28">
        <f>HYPERLINK("https://klasma.github.io/Logging_2039/tillsynsmail/A 51524-2020 tillsynsbegäran mail.docx", "A 51524-2020")</f>
        <v/>
      </c>
    </row>
    <row r="29" ht="15" customHeight="1">
      <c r="A29" t="inlineStr">
        <is>
          <t>A 38364-2021</t>
        </is>
      </c>
      <c r="B29" s="1" t="n">
        <v>44406</v>
      </c>
      <c r="C29" s="1" t="n">
        <v>45838</v>
      </c>
      <c r="D29" t="inlineStr">
        <is>
          <t>DALARNAS LÄN</t>
        </is>
      </c>
      <c r="E29" t="inlineStr">
        <is>
          <t>ÄLVDALEN</t>
        </is>
      </c>
      <c r="G29" t="n">
        <v>16.9</v>
      </c>
      <c r="H29" t="n">
        <v>1</v>
      </c>
      <c r="I29" t="n">
        <v>2</v>
      </c>
      <c r="J29" t="n">
        <v>7</v>
      </c>
      <c r="K29" t="n">
        <v>1</v>
      </c>
      <c r="L29" t="n">
        <v>0</v>
      </c>
      <c r="M29" t="n">
        <v>0</v>
      </c>
      <c r="N29" t="n">
        <v>0</v>
      </c>
      <c r="O29" t="n">
        <v>8</v>
      </c>
      <c r="P29" t="n">
        <v>1</v>
      </c>
      <c r="Q29" t="n">
        <v>10</v>
      </c>
      <c r="R29" s="2" t="inlineStr">
        <is>
          <t>Rynkskinn
Doftskinn
Garnlav
Granticka
Skrovellav
Tretåig hackspett
Vedtrappmossa
Vitgrynig nållav
Luddlav
Stuplav</t>
        </is>
      </c>
      <c r="S29">
        <f>HYPERLINK("https://klasma.github.io/Logging_2039/artfynd/A 38364-2021 artfynd.xlsx", "A 38364-2021")</f>
        <v/>
      </c>
      <c r="T29">
        <f>HYPERLINK("https://klasma.github.io/Logging_2039/kartor/A 38364-2021 karta.png", "A 38364-2021")</f>
        <v/>
      </c>
      <c r="V29">
        <f>HYPERLINK("https://klasma.github.io/Logging_2039/klagomål/A 38364-2021 FSC-klagomål.docx", "A 38364-2021")</f>
        <v/>
      </c>
      <c r="W29">
        <f>HYPERLINK("https://klasma.github.io/Logging_2039/klagomålsmail/A 38364-2021 FSC-klagomål mail.docx", "A 38364-2021")</f>
        <v/>
      </c>
      <c r="X29">
        <f>HYPERLINK("https://klasma.github.io/Logging_2039/tillsyn/A 38364-2021 tillsynsbegäran.docx", "A 38364-2021")</f>
        <v/>
      </c>
      <c r="Y29">
        <f>HYPERLINK("https://klasma.github.io/Logging_2039/tillsynsmail/A 38364-2021 tillsynsbegäran mail.docx", "A 38364-2021")</f>
        <v/>
      </c>
      <c r="Z29">
        <f>HYPERLINK("https://klasma.github.io/Logging_2039/fåglar/A 38364-2021 prioriterade fågelarter.docx", "A 38364-2021")</f>
        <v/>
      </c>
    </row>
    <row r="30" ht="15" customHeight="1">
      <c r="A30" t="inlineStr">
        <is>
          <t>A 46458-2022</t>
        </is>
      </c>
      <c r="B30" s="1" t="n">
        <v>44848</v>
      </c>
      <c r="C30" s="1" t="n">
        <v>45838</v>
      </c>
      <c r="D30" t="inlineStr">
        <is>
          <t>DALARNAS LÄN</t>
        </is>
      </c>
      <c r="E30" t="inlineStr">
        <is>
          <t>ÄLVDALEN</t>
        </is>
      </c>
      <c r="F30" t="inlineStr">
        <is>
          <t>Bergvik skog väst AB</t>
        </is>
      </c>
      <c r="G30" t="n">
        <v>18.1</v>
      </c>
      <c r="H30" t="n">
        <v>1</v>
      </c>
      <c r="I30" t="n">
        <v>3</v>
      </c>
      <c r="J30" t="n">
        <v>7</v>
      </c>
      <c r="K30" t="n">
        <v>0</v>
      </c>
      <c r="L30" t="n">
        <v>0</v>
      </c>
      <c r="M30" t="n">
        <v>0</v>
      </c>
      <c r="N30" t="n">
        <v>0</v>
      </c>
      <c r="O30" t="n">
        <v>7</v>
      </c>
      <c r="P30" t="n">
        <v>0</v>
      </c>
      <c r="Q30" t="n">
        <v>10</v>
      </c>
      <c r="R30" s="2" t="inlineStr">
        <is>
          <t>Blanksvart spiklav
Blågrå svartspik
Dvärgbägarlav
Garnlav
Granticka
Kolflarnlav
Vedflamlav
Guckusko
Luddlav
Skinnlav</t>
        </is>
      </c>
      <c r="S30">
        <f>HYPERLINK("https://klasma.github.io/Logging_2039/artfynd/A 46458-2022 artfynd.xlsx", "A 46458-2022")</f>
        <v/>
      </c>
      <c r="T30">
        <f>HYPERLINK("https://klasma.github.io/Logging_2039/kartor/A 46458-2022 karta.png", "A 46458-2022")</f>
        <v/>
      </c>
      <c r="V30">
        <f>HYPERLINK("https://klasma.github.io/Logging_2039/klagomål/A 46458-2022 FSC-klagomål.docx", "A 46458-2022")</f>
        <v/>
      </c>
      <c r="W30">
        <f>HYPERLINK("https://klasma.github.io/Logging_2039/klagomålsmail/A 46458-2022 FSC-klagomål mail.docx", "A 46458-2022")</f>
        <v/>
      </c>
      <c r="X30">
        <f>HYPERLINK("https://klasma.github.io/Logging_2039/tillsyn/A 46458-2022 tillsynsbegäran.docx", "A 46458-2022")</f>
        <v/>
      </c>
      <c r="Y30">
        <f>HYPERLINK("https://klasma.github.io/Logging_2039/tillsynsmail/A 46458-2022 tillsynsbegäran mail.docx", "A 46458-2022")</f>
        <v/>
      </c>
    </row>
    <row r="31" ht="15" customHeight="1">
      <c r="A31" t="inlineStr">
        <is>
          <t>A 1892-2023</t>
        </is>
      </c>
      <c r="B31" s="1" t="n">
        <v>44939</v>
      </c>
      <c r="C31" s="1" t="n">
        <v>45838</v>
      </c>
      <c r="D31" t="inlineStr">
        <is>
          <t>DALARNAS LÄN</t>
        </is>
      </c>
      <c r="E31" t="inlineStr">
        <is>
          <t>ÄLVDALEN</t>
        </is>
      </c>
      <c r="G31" t="n">
        <v>15.2</v>
      </c>
      <c r="H31" t="n">
        <v>1</v>
      </c>
      <c r="I31" t="n">
        <v>0</v>
      </c>
      <c r="J31" t="n">
        <v>10</v>
      </c>
      <c r="K31" t="n">
        <v>0</v>
      </c>
      <c r="L31" t="n">
        <v>0</v>
      </c>
      <c r="M31" t="n">
        <v>0</v>
      </c>
      <c r="N31" t="n">
        <v>0</v>
      </c>
      <c r="O31" t="n">
        <v>10</v>
      </c>
      <c r="P31" t="n">
        <v>0</v>
      </c>
      <c r="Q31" t="n">
        <v>10</v>
      </c>
      <c r="R31" s="2" t="inlineStr">
        <is>
          <t>Blanksvart spiklav
Blågrå svartspik
Kolflarnlav
Mörk kolflarnlav
Skrovellav
Tallticka
Varglav
Vedflamlav
Vedskivlav
Violettgrå tagellav</t>
        </is>
      </c>
      <c r="S31">
        <f>HYPERLINK("https://klasma.github.io/Logging_2039/artfynd/A 1892-2023 artfynd.xlsx", "A 1892-2023")</f>
        <v/>
      </c>
      <c r="T31">
        <f>HYPERLINK("https://klasma.github.io/Logging_2039/kartor/A 1892-2023 karta.png", "A 1892-2023")</f>
        <v/>
      </c>
      <c r="V31">
        <f>HYPERLINK("https://klasma.github.io/Logging_2039/klagomål/A 1892-2023 FSC-klagomål.docx", "A 1892-2023")</f>
        <v/>
      </c>
      <c r="W31">
        <f>HYPERLINK("https://klasma.github.io/Logging_2039/klagomålsmail/A 1892-2023 FSC-klagomål mail.docx", "A 1892-2023")</f>
        <v/>
      </c>
      <c r="X31">
        <f>HYPERLINK("https://klasma.github.io/Logging_2039/tillsyn/A 1892-2023 tillsynsbegäran.docx", "A 1892-2023")</f>
        <v/>
      </c>
      <c r="Y31">
        <f>HYPERLINK("https://klasma.github.io/Logging_2039/tillsynsmail/A 1892-2023 tillsynsbegäran mail.docx", "A 1892-2023")</f>
        <v/>
      </c>
    </row>
    <row r="32" ht="15" customHeight="1">
      <c r="A32" t="inlineStr">
        <is>
          <t>A 30214-2023</t>
        </is>
      </c>
      <c r="B32" s="1" t="n">
        <v>45110</v>
      </c>
      <c r="C32" s="1" t="n">
        <v>45838</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30220-2023</t>
        </is>
      </c>
      <c r="B33" s="1" t="n">
        <v>45110</v>
      </c>
      <c r="C33" s="1" t="n">
        <v>45838</v>
      </c>
      <c r="D33" t="inlineStr">
        <is>
          <t>DALARNAS LÄN</t>
        </is>
      </c>
      <c r="E33" t="inlineStr">
        <is>
          <t>ÄLVDALEN</t>
        </is>
      </c>
      <c r="F33" t="inlineStr">
        <is>
          <t>Allmännings- och besparingsskogar</t>
        </is>
      </c>
      <c r="G33" t="n">
        <v>13</v>
      </c>
      <c r="H33" t="n">
        <v>0</v>
      </c>
      <c r="I33" t="n">
        <v>2</v>
      </c>
      <c r="J33" t="n">
        <v>6</v>
      </c>
      <c r="K33" t="n">
        <v>2</v>
      </c>
      <c r="L33" t="n">
        <v>0</v>
      </c>
      <c r="M33" t="n">
        <v>0</v>
      </c>
      <c r="N33" t="n">
        <v>0</v>
      </c>
      <c r="O33" t="n">
        <v>8</v>
      </c>
      <c r="P33" t="n">
        <v>2</v>
      </c>
      <c r="Q33" t="n">
        <v>10</v>
      </c>
      <c r="R33" s="2" t="inlineStr">
        <is>
          <t>Goliatmusseron
Smalfotad taggsvamp
Blå taggsvamp
Kolflarnlav
Orange taggsvamp
Talltaggsvamp
Vedskivlav
Vitplätt
Dropptaggsvamp
Skarp dropptaggsvamp</t>
        </is>
      </c>
      <c r="S33">
        <f>HYPERLINK("https://klasma.github.io/Logging_2039/artfynd/A 30220-2023 artfynd.xlsx", "A 30220-2023")</f>
        <v/>
      </c>
      <c r="T33">
        <f>HYPERLINK("https://klasma.github.io/Logging_2039/kartor/A 30220-2023 karta.png", "A 30220-2023")</f>
        <v/>
      </c>
      <c r="V33">
        <f>HYPERLINK("https://klasma.github.io/Logging_2039/klagomål/A 30220-2023 FSC-klagomål.docx", "A 30220-2023")</f>
        <v/>
      </c>
      <c r="W33">
        <f>HYPERLINK("https://klasma.github.io/Logging_2039/klagomålsmail/A 30220-2023 FSC-klagomål mail.docx", "A 30220-2023")</f>
        <v/>
      </c>
      <c r="X33">
        <f>HYPERLINK("https://klasma.github.io/Logging_2039/tillsyn/A 30220-2023 tillsynsbegäran.docx", "A 30220-2023")</f>
        <v/>
      </c>
      <c r="Y33">
        <f>HYPERLINK("https://klasma.github.io/Logging_2039/tillsynsmail/A 30220-2023 tillsynsbegäran mail.docx", "A 30220-2023")</f>
        <v/>
      </c>
    </row>
    <row r="34" ht="15" customHeight="1">
      <c r="A34" t="inlineStr">
        <is>
          <t>A 48138-2023</t>
        </is>
      </c>
      <c r="B34" s="1" t="n">
        <v>45205</v>
      </c>
      <c r="C34" s="1" t="n">
        <v>45838</v>
      </c>
      <c r="D34" t="inlineStr">
        <is>
          <t>DALARNAS LÄN</t>
        </is>
      </c>
      <c r="E34" t="inlineStr">
        <is>
          <t>ÄLVDALEN</t>
        </is>
      </c>
      <c r="F34" t="inlineStr">
        <is>
          <t>Allmännings- och besparingsskogar</t>
        </is>
      </c>
      <c r="G34" t="n">
        <v>45.7</v>
      </c>
      <c r="H34" t="n">
        <v>1</v>
      </c>
      <c r="I34" t="n">
        <v>1</v>
      </c>
      <c r="J34" t="n">
        <v>8</v>
      </c>
      <c r="K34" t="n">
        <v>1</v>
      </c>
      <c r="L34" t="n">
        <v>0</v>
      </c>
      <c r="M34" t="n">
        <v>0</v>
      </c>
      <c r="N34" t="n">
        <v>0</v>
      </c>
      <c r="O34" t="n">
        <v>9</v>
      </c>
      <c r="P34" t="n">
        <v>1</v>
      </c>
      <c r="Q34" t="n">
        <v>10</v>
      </c>
      <c r="R34" s="2" t="inlineStr">
        <is>
          <t>Gräddporing
Nordtagging
Reliktbock
Skrovellav
Tallticka
Varglav
Vedflamlav
Vedskivlav
Violettgrå tagellav
Luddlav</t>
        </is>
      </c>
      <c r="S34">
        <f>HYPERLINK("https://klasma.github.io/Logging_2039/artfynd/A 48138-2023 artfynd.xlsx", "A 48138-2023")</f>
        <v/>
      </c>
      <c r="T34">
        <f>HYPERLINK("https://klasma.github.io/Logging_2039/kartor/A 48138-2023 karta.png", "A 48138-2023")</f>
        <v/>
      </c>
      <c r="V34">
        <f>HYPERLINK("https://klasma.github.io/Logging_2039/klagomål/A 48138-2023 FSC-klagomål.docx", "A 48138-2023")</f>
        <v/>
      </c>
      <c r="W34">
        <f>HYPERLINK("https://klasma.github.io/Logging_2039/klagomålsmail/A 48138-2023 FSC-klagomål mail.docx", "A 48138-2023")</f>
        <v/>
      </c>
      <c r="X34">
        <f>HYPERLINK("https://klasma.github.io/Logging_2039/tillsyn/A 48138-2023 tillsynsbegäran.docx", "A 48138-2023")</f>
        <v/>
      </c>
      <c r="Y34">
        <f>HYPERLINK("https://klasma.github.io/Logging_2039/tillsynsmail/A 48138-2023 tillsynsbegäran mail.docx", "A 48138-2023")</f>
        <v/>
      </c>
    </row>
    <row r="35" ht="15" customHeight="1">
      <c r="A35" t="inlineStr">
        <is>
          <t>A 16370-2024</t>
        </is>
      </c>
      <c r="B35" s="1" t="n">
        <v>45407</v>
      </c>
      <c r="C35" s="1" t="n">
        <v>45838</v>
      </c>
      <c r="D35" t="inlineStr">
        <is>
          <t>DALARNAS LÄN</t>
        </is>
      </c>
      <c r="E35" t="inlineStr">
        <is>
          <t>ÄLVDALEN</t>
        </is>
      </c>
      <c r="F35" t="inlineStr">
        <is>
          <t>Sveaskog</t>
        </is>
      </c>
      <c r="G35" t="n">
        <v>11.8</v>
      </c>
      <c r="H35" t="n">
        <v>0</v>
      </c>
      <c r="I35" t="n">
        <v>3</v>
      </c>
      <c r="J35" t="n">
        <v>5</v>
      </c>
      <c r="K35" t="n">
        <v>2</v>
      </c>
      <c r="L35" t="n">
        <v>0</v>
      </c>
      <c r="M35" t="n">
        <v>0</v>
      </c>
      <c r="N35" t="n">
        <v>0</v>
      </c>
      <c r="O35" t="n">
        <v>7</v>
      </c>
      <c r="P35" t="n">
        <v>2</v>
      </c>
      <c r="Q35" t="n">
        <v>10</v>
      </c>
      <c r="R35" s="2" t="inlineStr">
        <is>
          <t>Fläckporing
Gräddporing
Dvärgbägarlav
Garnlav
Lunglav
Mörk kolflarnlav
Skrovellav
Dropptaggsvamp
Skarp dropptaggsvamp
Stuplav</t>
        </is>
      </c>
      <c r="S35">
        <f>HYPERLINK("https://klasma.github.io/Logging_2039/artfynd/A 16370-2024 artfynd.xlsx", "A 16370-2024")</f>
        <v/>
      </c>
      <c r="T35">
        <f>HYPERLINK("https://klasma.github.io/Logging_2039/kartor/A 16370-2024 karta.png", "A 16370-2024")</f>
        <v/>
      </c>
      <c r="V35">
        <f>HYPERLINK("https://klasma.github.io/Logging_2039/klagomål/A 16370-2024 FSC-klagomål.docx", "A 16370-2024")</f>
        <v/>
      </c>
      <c r="W35">
        <f>HYPERLINK("https://klasma.github.io/Logging_2039/klagomålsmail/A 16370-2024 FSC-klagomål mail.docx", "A 16370-2024")</f>
        <v/>
      </c>
      <c r="X35">
        <f>HYPERLINK("https://klasma.github.io/Logging_2039/tillsyn/A 16370-2024 tillsynsbegäran.docx", "A 16370-2024")</f>
        <v/>
      </c>
      <c r="Y35">
        <f>HYPERLINK("https://klasma.github.io/Logging_2039/tillsynsmail/A 16370-2024 tillsynsbegäran mail.docx", "A 16370-2024")</f>
        <v/>
      </c>
    </row>
    <row r="36" ht="15" customHeight="1">
      <c r="A36" t="inlineStr">
        <is>
          <t>A 66637-2021</t>
        </is>
      </c>
      <c r="B36" s="1" t="n">
        <v>44519</v>
      </c>
      <c r="C36" s="1" t="n">
        <v>45838</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41913-2022</t>
        </is>
      </c>
      <c r="B37" s="1" t="n">
        <v>44830</v>
      </c>
      <c r="C37" s="1" t="n">
        <v>45838</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38582-2023</t>
        </is>
      </c>
      <c r="B38" s="1" t="n">
        <v>45162</v>
      </c>
      <c r="C38" s="1" t="n">
        <v>45838</v>
      </c>
      <c r="D38" t="inlineStr">
        <is>
          <t>DALARNAS LÄN</t>
        </is>
      </c>
      <c r="E38" t="inlineStr">
        <is>
          <t>ÄLVDALEN</t>
        </is>
      </c>
      <c r="F38" t="inlineStr">
        <is>
          <t>Sveaskog</t>
        </is>
      </c>
      <c r="G38" t="n">
        <v>4.4</v>
      </c>
      <c r="H38" t="n">
        <v>1</v>
      </c>
      <c r="I38" t="n">
        <v>3</v>
      </c>
      <c r="J38" t="n">
        <v>5</v>
      </c>
      <c r="K38" t="n">
        <v>1</v>
      </c>
      <c r="L38" t="n">
        <v>0</v>
      </c>
      <c r="M38" t="n">
        <v>0</v>
      </c>
      <c r="N38" t="n">
        <v>0</v>
      </c>
      <c r="O38" t="n">
        <v>6</v>
      </c>
      <c r="P38" t="n">
        <v>1</v>
      </c>
      <c r="Q38" t="n">
        <v>9</v>
      </c>
      <c r="R38" s="2" t="inlineStr">
        <is>
          <t>Gräddporing
Blanksvart spiklav
Blå taggsvamp
Kolflarnlav
Mörk kolflarnlav
Vedskivlav
Dropptaggsvamp
Plattlummer
Skarp dropptaggsvamp</t>
        </is>
      </c>
      <c r="S38">
        <f>HYPERLINK("https://klasma.github.io/Logging_2039/artfynd/A 38582-2023 artfynd.xlsx", "A 38582-2023")</f>
        <v/>
      </c>
      <c r="T38">
        <f>HYPERLINK("https://klasma.github.io/Logging_2039/kartor/A 38582-2023 karta.png", "A 38582-2023")</f>
        <v/>
      </c>
      <c r="V38">
        <f>HYPERLINK("https://klasma.github.io/Logging_2039/klagomål/A 38582-2023 FSC-klagomål.docx", "A 38582-2023")</f>
        <v/>
      </c>
      <c r="W38">
        <f>HYPERLINK("https://klasma.github.io/Logging_2039/klagomålsmail/A 38582-2023 FSC-klagomål mail.docx", "A 38582-2023")</f>
        <v/>
      </c>
      <c r="X38">
        <f>HYPERLINK("https://klasma.github.io/Logging_2039/tillsyn/A 38582-2023 tillsynsbegäran.docx", "A 38582-2023")</f>
        <v/>
      </c>
      <c r="Y38">
        <f>HYPERLINK("https://klasma.github.io/Logging_2039/tillsynsmail/A 38582-2023 tillsynsbegäran mail.docx", "A 38582-2023")</f>
        <v/>
      </c>
    </row>
    <row r="39" ht="15" customHeight="1">
      <c r="A39" t="inlineStr">
        <is>
          <t>A 16528-2024</t>
        </is>
      </c>
      <c r="B39" s="1" t="n">
        <v>45408</v>
      </c>
      <c r="C39" s="1" t="n">
        <v>45838</v>
      </c>
      <c r="D39" t="inlineStr">
        <is>
          <t>DALARNAS LÄN</t>
        </is>
      </c>
      <c r="E39" t="inlineStr">
        <is>
          <t>ÄLVDALEN</t>
        </is>
      </c>
      <c r="F39" t="inlineStr">
        <is>
          <t>Sveaskog</t>
        </is>
      </c>
      <c r="G39" t="n">
        <v>6.4</v>
      </c>
      <c r="H39" t="n">
        <v>2</v>
      </c>
      <c r="I39" t="n">
        <v>1</v>
      </c>
      <c r="J39" t="n">
        <v>6</v>
      </c>
      <c r="K39" t="n">
        <v>1</v>
      </c>
      <c r="L39" t="n">
        <v>0</v>
      </c>
      <c r="M39" t="n">
        <v>0</v>
      </c>
      <c r="N39" t="n">
        <v>0</v>
      </c>
      <c r="O39" t="n">
        <v>7</v>
      </c>
      <c r="P39" t="n">
        <v>1</v>
      </c>
      <c r="Q39" t="n">
        <v>9</v>
      </c>
      <c r="R39" s="2" t="inlineStr">
        <is>
          <t>Tallgråticka
Gränsticka
Nordtagging
Reliktbock
Talltita
Vaddporing
Vedskivlav
Dropptaggsvamp
Tjäder</t>
        </is>
      </c>
      <c r="S39">
        <f>HYPERLINK("https://klasma.github.io/Logging_2039/artfynd/A 16528-2024 artfynd.xlsx", "A 16528-2024")</f>
        <v/>
      </c>
      <c r="T39">
        <f>HYPERLINK("https://klasma.github.io/Logging_2039/kartor/A 16528-2024 karta.png", "A 16528-2024")</f>
        <v/>
      </c>
      <c r="V39">
        <f>HYPERLINK("https://klasma.github.io/Logging_2039/klagomål/A 16528-2024 FSC-klagomål.docx", "A 16528-2024")</f>
        <v/>
      </c>
      <c r="W39">
        <f>HYPERLINK("https://klasma.github.io/Logging_2039/klagomålsmail/A 16528-2024 FSC-klagomål mail.docx", "A 16528-2024")</f>
        <v/>
      </c>
      <c r="X39">
        <f>HYPERLINK("https://klasma.github.io/Logging_2039/tillsyn/A 16528-2024 tillsynsbegäran.docx", "A 16528-2024")</f>
        <v/>
      </c>
      <c r="Y39">
        <f>HYPERLINK("https://klasma.github.io/Logging_2039/tillsynsmail/A 16528-2024 tillsynsbegäran mail.docx", "A 16528-2024")</f>
        <v/>
      </c>
      <c r="Z39">
        <f>HYPERLINK("https://klasma.github.io/Logging_2039/fåglar/A 16528-2024 prioriterade fågelarter.docx", "A 16528-2024")</f>
        <v/>
      </c>
    </row>
    <row r="40" ht="15" customHeight="1">
      <c r="A40" t="inlineStr">
        <is>
          <t>A 26140-2025</t>
        </is>
      </c>
      <c r="B40" s="1" t="n">
        <v>45805</v>
      </c>
      <c r="C40" s="1" t="n">
        <v>45838</v>
      </c>
      <c r="D40" t="inlineStr">
        <is>
          <t>DALARNAS LÄN</t>
        </is>
      </c>
      <c r="E40" t="inlineStr">
        <is>
          <t>ÄLVDALEN</t>
        </is>
      </c>
      <c r="F40" t="inlineStr">
        <is>
          <t>Allmännings- och besparingsskogar</t>
        </is>
      </c>
      <c r="G40" t="n">
        <v>36</v>
      </c>
      <c r="H40" t="n">
        <v>1</v>
      </c>
      <c r="I40" t="n">
        <v>0</v>
      </c>
      <c r="J40" t="n">
        <v>9</v>
      </c>
      <c r="K40" t="n">
        <v>0</v>
      </c>
      <c r="L40" t="n">
        <v>0</v>
      </c>
      <c r="M40" t="n">
        <v>0</v>
      </c>
      <c r="N40" t="n">
        <v>0</v>
      </c>
      <c r="O40" t="n">
        <v>9</v>
      </c>
      <c r="P40" t="n">
        <v>0</v>
      </c>
      <c r="Q40" t="n">
        <v>9</v>
      </c>
      <c r="R40" s="2" t="inlineStr">
        <is>
          <t>Dvärgbägarlav
Garnlav
Kolflarnlav
Kådvaxskinn
Mörk kolflarnlav
Stjärntagging
Talltita
Vedflamlav
Vedskivlav</t>
        </is>
      </c>
      <c r="S40">
        <f>HYPERLINK("https://klasma.github.io/Logging_202039/artfynd/A 26140-2025 artfynd.xlsx", "A 26140-2025")</f>
        <v/>
      </c>
      <c r="T40">
        <f>HYPERLINK("https://klasma.github.io/Logging_202039/kartor/A 26140-2025 karta.png", "A 26140-2025")</f>
        <v/>
      </c>
      <c r="V40">
        <f>HYPERLINK("https://klasma.github.io/Logging_202039/klagomål/A 26140-2025 FSC-klagomål.docx", "A 26140-2025")</f>
        <v/>
      </c>
      <c r="W40">
        <f>HYPERLINK("https://klasma.github.io/Logging_202039/klagomålsmail/A 26140-2025 FSC-klagomål mail.docx", "A 26140-2025")</f>
        <v/>
      </c>
      <c r="X40">
        <f>HYPERLINK("https://klasma.github.io/Logging_202039/tillsyn/A 26140-2025 tillsynsbegäran.docx", "A 26140-2025")</f>
        <v/>
      </c>
      <c r="Y40">
        <f>HYPERLINK("https://klasma.github.io/Logging_202039/tillsynsmail/A 26140-2025 tillsynsbegäran mail.docx", "A 26140-2025")</f>
        <v/>
      </c>
      <c r="Z40">
        <f>HYPERLINK("https://klasma.github.io/Logging_202039/fåglar/A 26140-2025 prioriterade fågelarter.docx", "A 26140-2025")</f>
        <v/>
      </c>
    </row>
    <row r="41" ht="15" customHeight="1">
      <c r="A41" t="inlineStr">
        <is>
          <t>A 54371-2022</t>
        </is>
      </c>
      <c r="B41" s="1" t="n">
        <v>44879</v>
      </c>
      <c r="C41" s="1" t="n">
        <v>45838</v>
      </c>
      <c r="D41" t="inlineStr">
        <is>
          <t>DALARNAS LÄN</t>
        </is>
      </c>
      <c r="E41" t="inlineStr">
        <is>
          <t>ÄLVDALEN</t>
        </is>
      </c>
      <c r="G41" t="n">
        <v>39</v>
      </c>
      <c r="H41" t="n">
        <v>0</v>
      </c>
      <c r="I41" t="n">
        <v>2</v>
      </c>
      <c r="J41" t="n">
        <v>6</v>
      </c>
      <c r="K41" t="n">
        <v>0</v>
      </c>
      <c r="L41" t="n">
        <v>0</v>
      </c>
      <c r="M41" t="n">
        <v>0</v>
      </c>
      <c r="N41" t="n">
        <v>0</v>
      </c>
      <c r="O41" t="n">
        <v>6</v>
      </c>
      <c r="P41" t="n">
        <v>0</v>
      </c>
      <c r="Q41" t="n">
        <v>8</v>
      </c>
      <c r="R41" s="2" t="inlineStr">
        <is>
          <t>Garnlav
Lunglav
Mörk kolflarnlav
Skrovellav
Vedflamlav
Violettgrå tagellav
Luddlav
Stuplav</t>
        </is>
      </c>
      <c r="S41">
        <f>HYPERLINK("https://klasma.github.io/Logging_2039/artfynd/A 54371-2022 artfynd.xlsx", "A 54371-2022")</f>
        <v/>
      </c>
      <c r="T41">
        <f>HYPERLINK("https://klasma.github.io/Logging_2039/kartor/A 54371-2022 karta.png", "A 54371-2022")</f>
        <v/>
      </c>
      <c r="V41">
        <f>HYPERLINK("https://klasma.github.io/Logging_2039/klagomål/A 54371-2022 FSC-klagomål.docx", "A 54371-2022")</f>
        <v/>
      </c>
      <c r="W41">
        <f>HYPERLINK("https://klasma.github.io/Logging_2039/klagomålsmail/A 54371-2022 FSC-klagomål mail.docx", "A 54371-2022")</f>
        <v/>
      </c>
      <c r="X41">
        <f>HYPERLINK("https://klasma.github.io/Logging_2039/tillsyn/A 54371-2022 tillsynsbegäran.docx", "A 54371-2022")</f>
        <v/>
      </c>
      <c r="Y41">
        <f>HYPERLINK("https://klasma.github.io/Logging_2039/tillsynsmail/A 54371-2022 tillsynsbegäran mail.docx", "A 54371-2022")</f>
        <v/>
      </c>
    </row>
    <row r="42" ht="15" customHeight="1">
      <c r="A42" t="inlineStr">
        <is>
          <t>A 17715-2024</t>
        </is>
      </c>
      <c r="B42" s="1" t="n">
        <v>45415</v>
      </c>
      <c r="C42" s="1" t="n">
        <v>45838</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17767-2024</t>
        </is>
      </c>
      <c r="B43" s="1" t="n">
        <v>45415</v>
      </c>
      <c r="C43" s="1" t="n">
        <v>45838</v>
      </c>
      <c r="D43" t="inlineStr">
        <is>
          <t>DALARNAS LÄN</t>
        </is>
      </c>
      <c r="E43" t="inlineStr">
        <is>
          <t>ÄLVDALEN</t>
        </is>
      </c>
      <c r="F43" t="inlineStr">
        <is>
          <t>Övriga statliga verk och myndigheter</t>
        </is>
      </c>
      <c r="G43" t="n">
        <v>15.9</v>
      </c>
      <c r="H43" t="n">
        <v>0</v>
      </c>
      <c r="I43" t="n">
        <v>1</v>
      </c>
      <c r="J43" t="n">
        <v>6</v>
      </c>
      <c r="K43" t="n">
        <v>1</v>
      </c>
      <c r="L43" t="n">
        <v>0</v>
      </c>
      <c r="M43" t="n">
        <v>0</v>
      </c>
      <c r="N43" t="n">
        <v>0</v>
      </c>
      <c r="O43" t="n">
        <v>7</v>
      </c>
      <c r="P43" t="n">
        <v>1</v>
      </c>
      <c r="Q43" t="n">
        <v>8</v>
      </c>
      <c r="R43" s="2" t="inlineStr">
        <is>
          <t>Spadskinn
Dvärgbägarlav
Garnlav
Kolflarnlav
Mörk kolflarnlav
Vedflamlav
Vedskivlav
Dropptaggsvamp</t>
        </is>
      </c>
      <c r="S43">
        <f>HYPERLINK("https://klasma.github.io/Logging_2039/artfynd/A 17767-2024 artfynd.xlsx", "A 17767-2024")</f>
        <v/>
      </c>
      <c r="T43">
        <f>HYPERLINK("https://klasma.github.io/Logging_2039/kartor/A 17767-2024 karta.png", "A 17767-2024")</f>
        <v/>
      </c>
      <c r="V43">
        <f>HYPERLINK("https://klasma.github.io/Logging_2039/klagomål/A 17767-2024 FSC-klagomål.docx", "A 17767-2024")</f>
        <v/>
      </c>
      <c r="W43">
        <f>HYPERLINK("https://klasma.github.io/Logging_2039/klagomålsmail/A 17767-2024 FSC-klagomål mail.docx", "A 17767-2024")</f>
        <v/>
      </c>
      <c r="X43">
        <f>HYPERLINK("https://klasma.github.io/Logging_2039/tillsyn/A 17767-2024 tillsynsbegäran.docx", "A 17767-2024")</f>
        <v/>
      </c>
      <c r="Y43">
        <f>HYPERLINK("https://klasma.github.io/Logging_2039/tillsynsmail/A 17767-2024 tillsynsbegäran mail.docx", "A 17767-2024")</f>
        <v/>
      </c>
    </row>
    <row r="44" ht="15" customHeight="1">
      <c r="A44" t="inlineStr">
        <is>
          <t>A 54612-2021</t>
        </is>
      </c>
      <c r="B44" s="1" t="n">
        <v>44473</v>
      </c>
      <c r="C44" s="1" t="n">
        <v>45838</v>
      </c>
      <c r="D44" t="inlineStr">
        <is>
          <t>DALARNAS LÄN</t>
        </is>
      </c>
      <c r="E44" t="inlineStr">
        <is>
          <t>ÄLVDALEN</t>
        </is>
      </c>
      <c r="F44" t="inlineStr">
        <is>
          <t>Sveaskog</t>
        </is>
      </c>
      <c r="G44" t="n">
        <v>26</v>
      </c>
      <c r="H44" t="n">
        <v>2</v>
      </c>
      <c r="I44" t="n">
        <v>1</v>
      </c>
      <c r="J44" t="n">
        <v>4</v>
      </c>
      <c r="K44" t="n">
        <v>0</v>
      </c>
      <c r="L44" t="n">
        <v>1</v>
      </c>
      <c r="M44" t="n">
        <v>0</v>
      </c>
      <c r="N44" t="n">
        <v>0</v>
      </c>
      <c r="O44" t="n">
        <v>5</v>
      </c>
      <c r="P44" t="n">
        <v>1</v>
      </c>
      <c r="Q44" t="n">
        <v>7</v>
      </c>
      <c r="R44" s="2" t="inlineStr">
        <is>
          <t>Mosippa
Blå taggsvamp
Motaggsvamp
Mörk kolflarnlav
Rosenticka
Dropptaggsvamp
Lavskrika</t>
        </is>
      </c>
      <c r="S44">
        <f>HYPERLINK("https://klasma.github.io/Logging_2039/artfynd/A 54612-2021 artfynd.xlsx", "A 54612-2021")</f>
        <v/>
      </c>
      <c r="T44">
        <f>HYPERLINK("https://klasma.github.io/Logging_2039/kartor/A 54612-2021 karta.png", "A 54612-2021")</f>
        <v/>
      </c>
      <c r="V44">
        <f>HYPERLINK("https://klasma.github.io/Logging_2039/klagomål/A 54612-2021 FSC-klagomål.docx", "A 54612-2021")</f>
        <v/>
      </c>
      <c r="W44">
        <f>HYPERLINK("https://klasma.github.io/Logging_2039/klagomålsmail/A 54612-2021 FSC-klagomål mail.docx", "A 54612-2021")</f>
        <v/>
      </c>
      <c r="X44">
        <f>HYPERLINK("https://klasma.github.io/Logging_2039/tillsyn/A 54612-2021 tillsynsbegäran.docx", "A 54612-2021")</f>
        <v/>
      </c>
      <c r="Y44">
        <f>HYPERLINK("https://klasma.github.io/Logging_2039/tillsynsmail/A 54612-2021 tillsynsbegäran mail.docx", "A 54612-2021")</f>
        <v/>
      </c>
      <c r="Z44">
        <f>HYPERLINK("https://klasma.github.io/Logging_2039/fåglar/A 54612-2021 prioriterade fågelarter.docx", "A 54612-2021")</f>
        <v/>
      </c>
    </row>
    <row r="45" ht="15" customHeight="1">
      <c r="A45" t="inlineStr">
        <is>
          <t>A 47504-2022</t>
        </is>
      </c>
      <c r="B45" s="1" t="n">
        <v>44853</v>
      </c>
      <c r="C45" s="1" t="n">
        <v>45838</v>
      </c>
      <c r="D45" t="inlineStr">
        <is>
          <t>DALARNAS LÄN</t>
        </is>
      </c>
      <c r="E45" t="inlineStr">
        <is>
          <t>ÄLVDALEN</t>
        </is>
      </c>
      <c r="F45" t="inlineStr">
        <is>
          <t>Bergvik skog väst AB</t>
        </is>
      </c>
      <c r="G45" t="n">
        <v>14.7</v>
      </c>
      <c r="H45" t="n">
        <v>0</v>
      </c>
      <c r="I45" t="n">
        <v>1</v>
      </c>
      <c r="J45" t="n">
        <v>5</v>
      </c>
      <c r="K45" t="n">
        <v>1</v>
      </c>
      <c r="L45" t="n">
        <v>0</v>
      </c>
      <c r="M45" t="n">
        <v>0</v>
      </c>
      <c r="N45" t="n">
        <v>0</v>
      </c>
      <c r="O45" t="n">
        <v>6</v>
      </c>
      <c r="P45" t="n">
        <v>1</v>
      </c>
      <c r="Q45" t="n">
        <v>7</v>
      </c>
      <c r="R45" s="2" t="inlineStr">
        <is>
          <t>Liten hornflikmossa
Dvärgbägarlav
Hornvaxskinn
Nordtagging
Vaddporing
Vedtrappmossa
Dropptaggsvamp</t>
        </is>
      </c>
      <c r="S45">
        <f>HYPERLINK("https://klasma.github.io/Logging_2039/artfynd/A 47504-2022 artfynd.xlsx", "A 47504-2022")</f>
        <v/>
      </c>
      <c r="T45">
        <f>HYPERLINK("https://klasma.github.io/Logging_2039/kartor/A 47504-2022 karta.png", "A 47504-2022")</f>
        <v/>
      </c>
      <c r="V45">
        <f>HYPERLINK("https://klasma.github.io/Logging_2039/klagomål/A 47504-2022 FSC-klagomål.docx", "A 47504-2022")</f>
        <v/>
      </c>
      <c r="W45">
        <f>HYPERLINK("https://klasma.github.io/Logging_2039/klagomålsmail/A 47504-2022 FSC-klagomål mail.docx", "A 47504-2022")</f>
        <v/>
      </c>
      <c r="X45">
        <f>HYPERLINK("https://klasma.github.io/Logging_2039/tillsyn/A 47504-2022 tillsynsbegäran.docx", "A 47504-2022")</f>
        <v/>
      </c>
      <c r="Y45">
        <f>HYPERLINK("https://klasma.github.io/Logging_2039/tillsynsmail/A 47504-2022 tillsynsbegäran mail.docx", "A 47504-2022")</f>
        <v/>
      </c>
    </row>
    <row r="46" ht="15" customHeight="1">
      <c r="A46" t="inlineStr">
        <is>
          <t>A 9783-2024</t>
        </is>
      </c>
      <c r="B46" s="1" t="n">
        <v>45362</v>
      </c>
      <c r="C46" s="1" t="n">
        <v>45838</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48101-2024</t>
        </is>
      </c>
      <c r="B47" s="1" t="n">
        <v>45589</v>
      </c>
      <c r="C47" s="1" t="n">
        <v>45838</v>
      </c>
      <c r="D47" t="inlineStr">
        <is>
          <t>DALARNAS LÄN</t>
        </is>
      </c>
      <c r="E47" t="inlineStr">
        <is>
          <t>ÄLVDALEN</t>
        </is>
      </c>
      <c r="F47" t="inlineStr">
        <is>
          <t>Allmännings- och besparingsskogar</t>
        </is>
      </c>
      <c r="G47" t="n">
        <v>11</v>
      </c>
      <c r="H47" t="n">
        <v>2</v>
      </c>
      <c r="I47" t="n">
        <v>1</v>
      </c>
      <c r="J47" t="n">
        <v>6</v>
      </c>
      <c r="K47" t="n">
        <v>0</v>
      </c>
      <c r="L47" t="n">
        <v>0</v>
      </c>
      <c r="M47" t="n">
        <v>0</v>
      </c>
      <c r="N47" t="n">
        <v>0</v>
      </c>
      <c r="O47" t="n">
        <v>6</v>
      </c>
      <c r="P47" t="n">
        <v>0</v>
      </c>
      <c r="Q47" t="n">
        <v>7</v>
      </c>
      <c r="R47" s="2" t="inlineStr">
        <is>
          <t>Kolflarnlav
Lunglav
Mörk kolflarnlav
Spillkråka
Talltita
Vedskivlav
Dropptaggsvamp</t>
        </is>
      </c>
      <c r="S47">
        <f>HYPERLINK("https://klasma.github.io/Logging_2039/artfynd/A 48101-2024 artfynd.xlsx", "A 48101-2024")</f>
        <v/>
      </c>
      <c r="T47">
        <f>HYPERLINK("https://klasma.github.io/Logging_2039/kartor/A 48101-2024 karta.png", "A 48101-2024")</f>
        <v/>
      </c>
      <c r="V47">
        <f>HYPERLINK("https://klasma.github.io/Logging_2039/klagomål/A 48101-2024 FSC-klagomål.docx", "A 48101-2024")</f>
        <v/>
      </c>
      <c r="W47">
        <f>HYPERLINK("https://klasma.github.io/Logging_2039/klagomålsmail/A 48101-2024 FSC-klagomål mail.docx", "A 48101-2024")</f>
        <v/>
      </c>
      <c r="X47">
        <f>HYPERLINK("https://klasma.github.io/Logging_2039/tillsyn/A 48101-2024 tillsynsbegäran.docx", "A 48101-2024")</f>
        <v/>
      </c>
      <c r="Y47">
        <f>HYPERLINK("https://klasma.github.io/Logging_2039/tillsynsmail/A 48101-2024 tillsynsbegäran mail.docx", "A 48101-2024")</f>
        <v/>
      </c>
      <c r="Z47">
        <f>HYPERLINK("https://klasma.github.io/Logging_2039/fåglar/A 48101-2024 prioriterade fågelarter.docx", "A 48101-2024")</f>
        <v/>
      </c>
    </row>
    <row r="48" ht="15" customHeight="1">
      <c r="A48" t="inlineStr">
        <is>
          <t>A 23427-2025</t>
        </is>
      </c>
      <c r="B48" s="1" t="n">
        <v>45792</v>
      </c>
      <c r="C48" s="1" t="n">
        <v>45838</v>
      </c>
      <c r="D48" t="inlineStr">
        <is>
          <t>DALARNAS LÄN</t>
        </is>
      </c>
      <c r="E48" t="inlineStr">
        <is>
          <t>ÄLVDALEN</t>
        </is>
      </c>
      <c r="F48" t="inlineStr">
        <is>
          <t>Bergvik skog väst AB</t>
        </is>
      </c>
      <c r="G48" t="n">
        <v>11.7</v>
      </c>
      <c r="H48" t="n">
        <v>3</v>
      </c>
      <c r="I48" t="n">
        <v>1</v>
      </c>
      <c r="J48" t="n">
        <v>4</v>
      </c>
      <c r="K48" t="n">
        <v>0</v>
      </c>
      <c r="L48" t="n">
        <v>0</v>
      </c>
      <c r="M48" t="n">
        <v>0</v>
      </c>
      <c r="N48" t="n">
        <v>0</v>
      </c>
      <c r="O48" t="n">
        <v>4</v>
      </c>
      <c r="P48" t="n">
        <v>0</v>
      </c>
      <c r="Q48" t="n">
        <v>7</v>
      </c>
      <c r="R48" s="2" t="inlineStr">
        <is>
          <t>Blågrå svartspik
Garnlav
Varglav
Vedflamlav
Bronshjon
Fläcknycklar
Revlummer</t>
        </is>
      </c>
      <c r="S48">
        <f>HYPERLINK("https://klasma.github.io/Logging_202039/artfynd/A 23427-2025 artfynd.xlsx", "A 23427-2025")</f>
        <v/>
      </c>
      <c r="T48">
        <f>HYPERLINK("https://klasma.github.io/Logging_202039/kartor/A 23427-2025 karta.png", "A 23427-2025")</f>
        <v/>
      </c>
      <c r="V48">
        <f>HYPERLINK("https://klasma.github.io/Logging_202039/klagomål/A 23427-2025 FSC-klagomål.docx", "A 23427-2025")</f>
        <v/>
      </c>
      <c r="W48">
        <f>HYPERLINK("https://klasma.github.io/Logging_202039/klagomålsmail/A 23427-2025 FSC-klagomål mail.docx", "A 23427-2025")</f>
        <v/>
      </c>
      <c r="X48">
        <f>HYPERLINK("https://klasma.github.io/Logging_202039/tillsyn/A 23427-2025 tillsynsbegäran.docx", "A 23427-2025")</f>
        <v/>
      </c>
      <c r="Y48">
        <f>HYPERLINK("https://klasma.github.io/Logging_202039/tillsynsmail/A 23427-2025 tillsynsbegäran mail.docx", "A 23427-2025")</f>
        <v/>
      </c>
    </row>
    <row r="49" ht="15" customHeight="1">
      <c r="A49" t="inlineStr">
        <is>
          <t>A 33608-2021</t>
        </is>
      </c>
      <c r="B49" s="1" t="n">
        <v>44378</v>
      </c>
      <c r="C49" s="1" t="n">
        <v>45838</v>
      </c>
      <c r="D49" t="inlineStr">
        <is>
          <t>DALARNAS LÄN</t>
        </is>
      </c>
      <c r="E49" t="inlineStr">
        <is>
          <t>ÄLVDALEN</t>
        </is>
      </c>
      <c r="F49" t="inlineStr">
        <is>
          <t>Sveaskog</t>
        </is>
      </c>
      <c r="G49" t="n">
        <v>6.4</v>
      </c>
      <c r="H49" t="n">
        <v>1</v>
      </c>
      <c r="I49" t="n">
        <v>0</v>
      </c>
      <c r="J49" t="n">
        <v>6</v>
      </c>
      <c r="K49" t="n">
        <v>0</v>
      </c>
      <c r="L49" t="n">
        <v>0</v>
      </c>
      <c r="M49" t="n">
        <v>0</v>
      </c>
      <c r="N49" t="n">
        <v>0</v>
      </c>
      <c r="O49" t="n">
        <v>6</v>
      </c>
      <c r="P49" t="n">
        <v>0</v>
      </c>
      <c r="Q49" t="n">
        <v>6</v>
      </c>
      <c r="R49" s="2" t="inlineStr">
        <is>
          <t>Blanksvart spiklav
Duvhök
Kolflarnlav
Mörk kolflarnlav
Vedflamlav
Vedskivlav</t>
        </is>
      </c>
      <c r="S49">
        <f>HYPERLINK("https://klasma.github.io/Logging_2039/artfynd/A 33608-2021 artfynd.xlsx", "A 33608-2021")</f>
        <v/>
      </c>
      <c r="T49">
        <f>HYPERLINK("https://klasma.github.io/Logging_2039/kartor/A 33608-2021 karta.png", "A 33608-2021")</f>
        <v/>
      </c>
      <c r="V49">
        <f>HYPERLINK("https://klasma.github.io/Logging_2039/klagomål/A 33608-2021 FSC-klagomål.docx", "A 33608-2021")</f>
        <v/>
      </c>
      <c r="W49">
        <f>HYPERLINK("https://klasma.github.io/Logging_2039/klagomålsmail/A 33608-2021 FSC-klagomål mail.docx", "A 33608-2021")</f>
        <v/>
      </c>
      <c r="X49">
        <f>HYPERLINK("https://klasma.github.io/Logging_2039/tillsyn/A 33608-2021 tillsynsbegäran.docx", "A 33608-2021")</f>
        <v/>
      </c>
      <c r="Y49">
        <f>HYPERLINK("https://klasma.github.io/Logging_2039/tillsynsmail/A 33608-2021 tillsynsbegäran mail.docx", "A 33608-2021")</f>
        <v/>
      </c>
      <c r="Z49">
        <f>HYPERLINK("https://klasma.github.io/Logging_2039/fåglar/A 33608-2021 prioriterade fågelarter.docx", "A 33608-2021")</f>
        <v/>
      </c>
    </row>
    <row r="50" ht="15" customHeight="1">
      <c r="A50" t="inlineStr">
        <is>
          <t>A 54314-2021</t>
        </is>
      </c>
      <c r="B50" s="1" t="n">
        <v>44472</v>
      </c>
      <c r="C50" s="1" t="n">
        <v>45838</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54671-2021</t>
        </is>
      </c>
      <c r="B51" s="1" t="n">
        <v>44473</v>
      </c>
      <c r="C51" s="1" t="n">
        <v>45838</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39278-2022</t>
        </is>
      </c>
      <c r="B52" s="1" t="n">
        <v>44817</v>
      </c>
      <c r="C52" s="1" t="n">
        <v>45838</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970-2023</t>
        </is>
      </c>
      <c r="B53" s="1" t="n">
        <v>44935</v>
      </c>
      <c r="C53" s="1" t="n">
        <v>45838</v>
      </c>
      <c r="D53" t="inlineStr">
        <is>
          <t>DALARNAS LÄN</t>
        </is>
      </c>
      <c r="E53" t="inlineStr">
        <is>
          <t>ÄLVDALEN</t>
        </is>
      </c>
      <c r="F53" t="inlineStr">
        <is>
          <t>Övriga Aktiebolag</t>
        </is>
      </c>
      <c r="G53" t="n">
        <v>17</v>
      </c>
      <c r="H53" t="n">
        <v>1</v>
      </c>
      <c r="I53" t="n">
        <v>1</v>
      </c>
      <c r="J53" t="n">
        <v>5</v>
      </c>
      <c r="K53" t="n">
        <v>0</v>
      </c>
      <c r="L53" t="n">
        <v>0</v>
      </c>
      <c r="M53" t="n">
        <v>0</v>
      </c>
      <c r="N53" t="n">
        <v>0</v>
      </c>
      <c r="O53" t="n">
        <v>5</v>
      </c>
      <c r="P53" t="n">
        <v>0</v>
      </c>
      <c r="Q53" t="n">
        <v>6</v>
      </c>
      <c r="R53" s="2" t="inlineStr">
        <is>
          <t>Garnlav
Kolflarnlav
Nordtagging
Tretåig hackspett
Vedskivlav
Bronshjon</t>
        </is>
      </c>
      <c r="S53">
        <f>HYPERLINK("https://klasma.github.io/Logging_2039/artfynd/A 970-2023 artfynd.xlsx", "A 970-2023")</f>
        <v/>
      </c>
      <c r="T53">
        <f>HYPERLINK("https://klasma.github.io/Logging_2039/kartor/A 970-2023 karta.png", "A 970-2023")</f>
        <v/>
      </c>
      <c r="V53">
        <f>HYPERLINK("https://klasma.github.io/Logging_2039/klagomål/A 970-2023 FSC-klagomål.docx", "A 970-2023")</f>
        <v/>
      </c>
      <c r="W53">
        <f>HYPERLINK("https://klasma.github.io/Logging_2039/klagomålsmail/A 970-2023 FSC-klagomål mail.docx", "A 970-2023")</f>
        <v/>
      </c>
      <c r="X53">
        <f>HYPERLINK("https://klasma.github.io/Logging_2039/tillsyn/A 970-2023 tillsynsbegäran.docx", "A 970-2023")</f>
        <v/>
      </c>
      <c r="Y53">
        <f>HYPERLINK("https://klasma.github.io/Logging_2039/tillsynsmail/A 970-2023 tillsynsbegäran mail.docx", "A 970-2023")</f>
        <v/>
      </c>
      <c r="Z53">
        <f>HYPERLINK("https://klasma.github.io/Logging_2039/fåglar/A 970-2023 prioriterade fågelarter.docx", "A 970-2023")</f>
        <v/>
      </c>
    </row>
    <row r="54" ht="15" customHeight="1">
      <c r="A54" t="inlineStr">
        <is>
          <t>A 1523-2023</t>
        </is>
      </c>
      <c r="B54" s="1" t="n">
        <v>44937</v>
      </c>
      <c r="C54" s="1" t="n">
        <v>45838</v>
      </c>
      <c r="D54" t="inlineStr">
        <is>
          <t>DALARNAS LÄN</t>
        </is>
      </c>
      <c r="E54" t="inlineStr">
        <is>
          <t>ÄLVDALEN</t>
        </is>
      </c>
      <c r="F54" t="inlineStr">
        <is>
          <t>Allmännings- och besparingsskogar</t>
        </is>
      </c>
      <c r="G54" t="n">
        <v>32.9</v>
      </c>
      <c r="H54" t="n">
        <v>6</v>
      </c>
      <c r="I54" t="n">
        <v>0</v>
      </c>
      <c r="J54" t="n">
        <v>2</v>
      </c>
      <c r="K54" t="n">
        <v>1</v>
      </c>
      <c r="L54" t="n">
        <v>1</v>
      </c>
      <c r="M54" t="n">
        <v>0</v>
      </c>
      <c r="N54" t="n">
        <v>0</v>
      </c>
      <c r="O54" t="n">
        <v>4</v>
      </c>
      <c r="P54" t="n">
        <v>2</v>
      </c>
      <c r="Q54" t="n">
        <v>6</v>
      </c>
      <c r="R54" s="2" t="inlineStr">
        <is>
          <t>Tornseglare
Hussvala
Buskskvätta
Kungsörn
Grönsiska
Göktyta</t>
        </is>
      </c>
      <c r="S54">
        <f>HYPERLINK("https://klasma.github.io/Logging_2039/artfynd/A 1523-2023 artfynd.xlsx", "A 1523-2023")</f>
        <v/>
      </c>
      <c r="T54">
        <f>HYPERLINK("https://klasma.github.io/Logging_2039/kartor/A 1523-2023 karta.png", "A 1523-2023")</f>
        <v/>
      </c>
      <c r="V54">
        <f>HYPERLINK("https://klasma.github.io/Logging_2039/klagomål/A 1523-2023 FSC-klagomål.docx", "A 1523-2023")</f>
        <v/>
      </c>
      <c r="W54">
        <f>HYPERLINK("https://klasma.github.io/Logging_2039/klagomålsmail/A 1523-2023 FSC-klagomål mail.docx", "A 1523-2023")</f>
        <v/>
      </c>
      <c r="X54">
        <f>HYPERLINK("https://klasma.github.io/Logging_2039/tillsyn/A 1523-2023 tillsynsbegäran.docx", "A 1523-2023")</f>
        <v/>
      </c>
      <c r="Y54">
        <f>HYPERLINK("https://klasma.github.io/Logging_2039/tillsynsmail/A 1523-2023 tillsynsbegäran mail.docx", "A 1523-2023")</f>
        <v/>
      </c>
      <c r="Z54">
        <f>HYPERLINK("https://klasma.github.io/Logging_2039/fåglar/A 1523-2023 prioriterade fågelarter.docx", "A 1523-2023")</f>
        <v/>
      </c>
    </row>
    <row r="55" ht="15" customHeight="1">
      <c r="A55" t="inlineStr">
        <is>
          <t>A 48521-2023</t>
        </is>
      </c>
      <c r="B55" s="1" t="n">
        <v>45208</v>
      </c>
      <c r="C55" s="1" t="n">
        <v>45838</v>
      </c>
      <c r="D55" t="inlineStr">
        <is>
          <t>DALARNAS LÄN</t>
        </is>
      </c>
      <c r="E55" t="inlineStr">
        <is>
          <t>ÄLVDALEN</t>
        </is>
      </c>
      <c r="F55" t="inlineStr">
        <is>
          <t>Sveaskog</t>
        </is>
      </c>
      <c r="G55" t="n">
        <v>12.3</v>
      </c>
      <c r="H55" t="n">
        <v>0</v>
      </c>
      <c r="I55" t="n">
        <v>2</v>
      </c>
      <c r="J55" t="n">
        <v>3</v>
      </c>
      <c r="K55" t="n">
        <v>1</v>
      </c>
      <c r="L55" t="n">
        <v>0</v>
      </c>
      <c r="M55" t="n">
        <v>0</v>
      </c>
      <c r="N55" t="n">
        <v>0</v>
      </c>
      <c r="O55" t="n">
        <v>4</v>
      </c>
      <c r="P55" t="n">
        <v>1</v>
      </c>
      <c r="Q55" t="n">
        <v>6</v>
      </c>
      <c r="R55" s="2" t="inlineStr">
        <is>
          <t>Tallgråticka
Blå taggsvamp
Motaggsvamp
Orange taggsvamp
Dropptaggsvamp
Skarp dropptaggsvamp</t>
        </is>
      </c>
      <c r="S55">
        <f>HYPERLINK("https://klasma.github.io/Logging_2039/artfynd/A 48521-2023 artfynd.xlsx", "A 48521-2023")</f>
        <v/>
      </c>
      <c r="T55">
        <f>HYPERLINK("https://klasma.github.io/Logging_2039/kartor/A 48521-2023 karta.png", "A 48521-2023")</f>
        <v/>
      </c>
      <c r="V55">
        <f>HYPERLINK("https://klasma.github.io/Logging_2039/klagomål/A 48521-2023 FSC-klagomål.docx", "A 48521-2023")</f>
        <v/>
      </c>
      <c r="W55">
        <f>HYPERLINK("https://klasma.github.io/Logging_2039/klagomålsmail/A 48521-2023 FSC-klagomål mail.docx", "A 48521-2023")</f>
        <v/>
      </c>
      <c r="X55">
        <f>HYPERLINK("https://klasma.github.io/Logging_2039/tillsyn/A 48521-2023 tillsynsbegäran.docx", "A 48521-2023")</f>
        <v/>
      </c>
      <c r="Y55">
        <f>HYPERLINK("https://klasma.github.io/Logging_2039/tillsynsmail/A 48521-2023 tillsynsbegäran mail.docx", "A 48521-2023")</f>
        <v/>
      </c>
    </row>
    <row r="56" ht="15" customHeight="1">
      <c r="A56" t="inlineStr">
        <is>
          <t>A 18270-2024</t>
        </is>
      </c>
      <c r="B56" s="1" t="n">
        <v>45421</v>
      </c>
      <c r="C56" s="1" t="n">
        <v>45838</v>
      </c>
      <c r="D56" t="inlineStr">
        <is>
          <t>DALARNAS LÄN</t>
        </is>
      </c>
      <c r="E56" t="inlineStr">
        <is>
          <t>ÄLVDALEN</t>
        </is>
      </c>
      <c r="F56" t="inlineStr">
        <is>
          <t>Sveaskog</t>
        </is>
      </c>
      <c r="G56" t="n">
        <v>8.9</v>
      </c>
      <c r="H56" t="n">
        <v>0</v>
      </c>
      <c r="I56" t="n">
        <v>0</v>
      </c>
      <c r="J56" t="n">
        <v>6</v>
      </c>
      <c r="K56" t="n">
        <v>0</v>
      </c>
      <c r="L56" t="n">
        <v>0</v>
      </c>
      <c r="M56" t="n">
        <v>0</v>
      </c>
      <c r="N56" t="n">
        <v>0</v>
      </c>
      <c r="O56" t="n">
        <v>6</v>
      </c>
      <c r="P56" t="n">
        <v>0</v>
      </c>
      <c r="Q56" t="n">
        <v>6</v>
      </c>
      <c r="R56" s="2" t="inlineStr">
        <is>
          <t>Dvärgbägarlav
Kolflarnlav
Mörk kolflarnlav
Skrovellav
Vedflamlav
Vedskivlav</t>
        </is>
      </c>
      <c r="S56">
        <f>HYPERLINK("https://klasma.github.io/Logging_2039/artfynd/A 18270-2024 artfynd.xlsx", "A 18270-2024")</f>
        <v/>
      </c>
      <c r="T56">
        <f>HYPERLINK("https://klasma.github.io/Logging_2039/kartor/A 18270-2024 karta.png", "A 18270-2024")</f>
        <v/>
      </c>
      <c r="V56">
        <f>HYPERLINK("https://klasma.github.io/Logging_2039/klagomål/A 18270-2024 FSC-klagomål.docx", "A 18270-2024")</f>
        <v/>
      </c>
      <c r="W56">
        <f>HYPERLINK("https://klasma.github.io/Logging_2039/klagomålsmail/A 18270-2024 FSC-klagomål mail.docx", "A 18270-2024")</f>
        <v/>
      </c>
      <c r="X56">
        <f>HYPERLINK("https://klasma.github.io/Logging_2039/tillsyn/A 18270-2024 tillsynsbegäran.docx", "A 18270-2024")</f>
        <v/>
      </c>
      <c r="Y56">
        <f>HYPERLINK("https://klasma.github.io/Logging_2039/tillsynsmail/A 18270-2024 tillsynsbegäran mail.docx", "A 18270-2024")</f>
        <v/>
      </c>
    </row>
    <row r="57" ht="15" customHeight="1">
      <c r="A57" t="inlineStr">
        <is>
          <t>A 22701-2024</t>
        </is>
      </c>
      <c r="B57" s="1" t="n">
        <v>45448</v>
      </c>
      <c r="C57" s="1" t="n">
        <v>45838</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24507-2024</t>
        </is>
      </c>
      <c r="B58" s="1" t="n">
        <v>45460</v>
      </c>
      <c r="C58" s="1" t="n">
        <v>45838</v>
      </c>
      <c r="D58" t="inlineStr">
        <is>
          <t>DALARNAS LÄN</t>
        </is>
      </c>
      <c r="E58" t="inlineStr">
        <is>
          <t>ÄLVDALEN</t>
        </is>
      </c>
      <c r="F58" t="inlineStr">
        <is>
          <t>Sveaskog</t>
        </is>
      </c>
      <c r="G58" t="n">
        <v>12.2</v>
      </c>
      <c r="H58" t="n">
        <v>1</v>
      </c>
      <c r="I58" t="n">
        <v>1</v>
      </c>
      <c r="J58" t="n">
        <v>5</v>
      </c>
      <c r="K58" t="n">
        <v>0</v>
      </c>
      <c r="L58" t="n">
        <v>0</v>
      </c>
      <c r="M58" t="n">
        <v>0</v>
      </c>
      <c r="N58" t="n">
        <v>0</v>
      </c>
      <c r="O58" t="n">
        <v>5</v>
      </c>
      <c r="P58" t="n">
        <v>0</v>
      </c>
      <c r="Q58" t="n">
        <v>6</v>
      </c>
      <c r="R58" s="2" t="inlineStr">
        <is>
          <t>Dvärgbägarlav
Kolflarnlav
Mörk kolflarnlav
Varglav
Vedflamlav
Skarp dropptaggsvamp</t>
        </is>
      </c>
      <c r="S58">
        <f>HYPERLINK("https://klasma.github.io/Logging_2039/artfynd/A 24507-2024 artfynd.xlsx", "A 24507-2024")</f>
        <v/>
      </c>
      <c r="T58">
        <f>HYPERLINK("https://klasma.github.io/Logging_2039/kartor/A 24507-2024 karta.png", "A 24507-2024")</f>
        <v/>
      </c>
      <c r="V58">
        <f>HYPERLINK("https://klasma.github.io/Logging_2039/klagomål/A 24507-2024 FSC-klagomål.docx", "A 24507-2024")</f>
        <v/>
      </c>
      <c r="W58">
        <f>HYPERLINK("https://klasma.github.io/Logging_2039/klagomålsmail/A 24507-2024 FSC-klagomål mail.docx", "A 24507-2024")</f>
        <v/>
      </c>
      <c r="X58">
        <f>HYPERLINK("https://klasma.github.io/Logging_2039/tillsyn/A 24507-2024 tillsynsbegäran.docx", "A 24507-2024")</f>
        <v/>
      </c>
      <c r="Y58">
        <f>HYPERLINK("https://klasma.github.io/Logging_2039/tillsynsmail/A 24507-2024 tillsynsbegäran mail.docx", "A 24507-2024")</f>
        <v/>
      </c>
    </row>
    <row r="59" ht="15" customHeight="1">
      <c r="A59" t="inlineStr">
        <is>
          <t>A 29422-2024</t>
        </is>
      </c>
      <c r="B59" s="1" t="n">
        <v>45483</v>
      </c>
      <c r="C59" s="1" t="n">
        <v>45838</v>
      </c>
      <c r="D59" t="inlineStr">
        <is>
          <t>DALARNAS LÄN</t>
        </is>
      </c>
      <c r="E59" t="inlineStr">
        <is>
          <t>ÄLVDALEN</t>
        </is>
      </c>
      <c r="G59" t="n">
        <v>30.6</v>
      </c>
      <c r="H59" t="n">
        <v>0</v>
      </c>
      <c r="I59" t="n">
        <v>2</v>
      </c>
      <c r="J59" t="n">
        <v>3</v>
      </c>
      <c r="K59" t="n">
        <v>1</v>
      </c>
      <c r="L59" t="n">
        <v>0</v>
      </c>
      <c r="M59" t="n">
        <v>0</v>
      </c>
      <c r="N59" t="n">
        <v>0</v>
      </c>
      <c r="O59" t="n">
        <v>4</v>
      </c>
      <c r="P59" t="n">
        <v>1</v>
      </c>
      <c r="Q59" t="n">
        <v>6</v>
      </c>
      <c r="R59" s="2" t="inlineStr">
        <is>
          <t>Goliatmusseron
Blå taggsvamp
Kolflarnlav
Mörk kolflarnlav
Dropptaggsvamp
Skarp dropptaggsvamp</t>
        </is>
      </c>
      <c r="S59">
        <f>HYPERLINK("https://klasma.github.io/Logging_2039/artfynd/A 29422-2024 artfynd.xlsx", "A 29422-2024")</f>
        <v/>
      </c>
      <c r="T59">
        <f>HYPERLINK("https://klasma.github.io/Logging_2039/kartor/A 29422-2024 karta.png", "A 29422-2024")</f>
        <v/>
      </c>
      <c r="V59">
        <f>HYPERLINK("https://klasma.github.io/Logging_2039/klagomål/A 29422-2024 FSC-klagomål.docx", "A 29422-2024")</f>
        <v/>
      </c>
      <c r="W59">
        <f>HYPERLINK("https://klasma.github.io/Logging_2039/klagomålsmail/A 29422-2024 FSC-klagomål mail.docx", "A 29422-2024")</f>
        <v/>
      </c>
      <c r="X59">
        <f>HYPERLINK("https://klasma.github.io/Logging_2039/tillsyn/A 29422-2024 tillsynsbegäran.docx", "A 29422-2024")</f>
        <v/>
      </c>
      <c r="Y59">
        <f>HYPERLINK("https://klasma.github.io/Logging_2039/tillsynsmail/A 29422-2024 tillsynsbegäran mail.docx", "A 29422-2024")</f>
        <v/>
      </c>
    </row>
    <row r="60" ht="15" customHeight="1">
      <c r="A60" t="inlineStr">
        <is>
          <t>A 19534-2025</t>
        </is>
      </c>
      <c r="B60" s="1" t="n">
        <v>45770</v>
      </c>
      <c r="C60" s="1" t="n">
        <v>45838</v>
      </c>
      <c r="D60" t="inlineStr">
        <is>
          <t>DALARNAS LÄN</t>
        </is>
      </c>
      <c r="E60" t="inlineStr">
        <is>
          <t>ÄLVDALEN</t>
        </is>
      </c>
      <c r="F60" t="inlineStr">
        <is>
          <t>Sveaskog</t>
        </is>
      </c>
      <c r="G60" t="n">
        <v>34</v>
      </c>
      <c r="H60" t="n">
        <v>1</v>
      </c>
      <c r="I60" t="n">
        <v>1</v>
      </c>
      <c r="J60" t="n">
        <v>5</v>
      </c>
      <c r="K60" t="n">
        <v>0</v>
      </c>
      <c r="L60" t="n">
        <v>0</v>
      </c>
      <c r="M60" t="n">
        <v>0</v>
      </c>
      <c r="N60" t="n">
        <v>0</v>
      </c>
      <c r="O60" t="n">
        <v>5</v>
      </c>
      <c r="P60" t="n">
        <v>0</v>
      </c>
      <c r="Q60" t="n">
        <v>6</v>
      </c>
      <c r="R60" s="2" t="inlineStr">
        <is>
          <t>Dvärgbägarlav
Kolflarnlav
Mörk kolflarnlav
Varglav
Vedflamlav
Dropptaggsvamp</t>
        </is>
      </c>
      <c r="S60">
        <f>HYPERLINK("https://klasma.github.io/Logging_202039/artfynd/A 19534-2025 artfynd.xlsx", "A 19534-2025")</f>
        <v/>
      </c>
      <c r="T60">
        <f>HYPERLINK("https://klasma.github.io/Logging_202039/kartor/A 19534-2025 karta.png", "A 19534-2025")</f>
        <v/>
      </c>
      <c r="V60">
        <f>HYPERLINK("https://klasma.github.io/Logging_202039/klagomål/A 19534-2025 FSC-klagomål.docx", "A 19534-2025")</f>
        <v/>
      </c>
      <c r="W60">
        <f>HYPERLINK("https://klasma.github.io/Logging_202039/klagomålsmail/A 19534-2025 FSC-klagomål mail.docx", "A 19534-2025")</f>
        <v/>
      </c>
      <c r="X60">
        <f>HYPERLINK("https://klasma.github.io/Logging_202039/tillsyn/A 19534-2025 tillsynsbegäran.docx", "A 19534-2025")</f>
        <v/>
      </c>
      <c r="Y60">
        <f>HYPERLINK("https://klasma.github.io/Logging_202039/tillsynsmail/A 19534-2025 tillsynsbegäran mail.docx", "A 19534-2025")</f>
        <v/>
      </c>
    </row>
    <row r="61" ht="15" customHeight="1">
      <c r="A61" t="inlineStr">
        <is>
          <t>A 31631-2025</t>
        </is>
      </c>
      <c r="B61" s="1" t="n">
        <v>45834</v>
      </c>
      <c r="C61" s="1" t="n">
        <v>45838</v>
      </c>
      <c r="D61" t="inlineStr">
        <is>
          <t>DALARNAS LÄN</t>
        </is>
      </c>
      <c r="E61" t="inlineStr">
        <is>
          <t>ÄLVDALEN</t>
        </is>
      </c>
      <c r="F61" t="inlineStr">
        <is>
          <t>Sveaskog</t>
        </is>
      </c>
      <c r="G61" t="n">
        <v>9</v>
      </c>
      <c r="H61" t="n">
        <v>0</v>
      </c>
      <c r="I61" t="n">
        <v>1</v>
      </c>
      <c r="J61" t="n">
        <v>5</v>
      </c>
      <c r="K61" t="n">
        <v>0</v>
      </c>
      <c r="L61" t="n">
        <v>0</v>
      </c>
      <c r="M61" t="n">
        <v>0</v>
      </c>
      <c r="N61" t="n">
        <v>0</v>
      </c>
      <c r="O61" t="n">
        <v>5</v>
      </c>
      <c r="P61" t="n">
        <v>0</v>
      </c>
      <c r="Q61" t="n">
        <v>6</v>
      </c>
      <c r="R61" s="2" t="inlineStr">
        <is>
          <t>Dvärgbägarlav
Kolflarnlav
Lunglav
Mörk kolflarnlav
Vedflamlav
Dropptaggsvamp</t>
        </is>
      </c>
      <c r="S61">
        <f>HYPERLINK("https://klasma.github.io/Logging_202039/artfynd/A 31631-2025 artfynd.xlsx", "A 31631-2025")</f>
        <v/>
      </c>
      <c r="T61">
        <f>HYPERLINK("https://klasma.github.io/Logging_202039/kartor/A 31631-2025 karta.png", "A 31631-2025")</f>
        <v/>
      </c>
      <c r="V61">
        <f>HYPERLINK("https://klasma.github.io/Logging_202039/klagomål/A 31631-2025 FSC-klagomål.docx", "A 31631-2025")</f>
        <v/>
      </c>
      <c r="W61">
        <f>HYPERLINK("https://klasma.github.io/Logging_202039/klagomålsmail/A 31631-2025 FSC-klagomål mail.docx", "A 31631-2025")</f>
        <v/>
      </c>
      <c r="X61">
        <f>HYPERLINK("https://klasma.github.io/Logging_202039/tillsyn/A 31631-2025 tillsynsbegäran.docx", "A 31631-2025")</f>
        <v/>
      </c>
      <c r="Y61">
        <f>HYPERLINK("https://klasma.github.io/Logging_202039/tillsynsmail/A 31631-2025 tillsynsbegäran mail.docx", "A 31631-2025")</f>
        <v/>
      </c>
    </row>
    <row r="62" ht="15" customHeight="1">
      <c r="A62" t="inlineStr">
        <is>
          <t>A 31542-2019</t>
        </is>
      </c>
      <c r="B62" s="1" t="n">
        <v>43641</v>
      </c>
      <c r="C62" s="1" t="n">
        <v>45838</v>
      </c>
      <c r="D62" t="inlineStr">
        <is>
          <t>DALARNAS LÄN</t>
        </is>
      </c>
      <c r="E62" t="inlineStr">
        <is>
          <t>ÄLVDALEN</t>
        </is>
      </c>
      <c r="G62" t="n">
        <v>4</v>
      </c>
      <c r="H62" t="n">
        <v>0</v>
      </c>
      <c r="I62" t="n">
        <v>1</v>
      </c>
      <c r="J62" t="n">
        <v>4</v>
      </c>
      <c r="K62" t="n">
        <v>0</v>
      </c>
      <c r="L62" t="n">
        <v>0</v>
      </c>
      <c r="M62" t="n">
        <v>0</v>
      </c>
      <c r="N62" t="n">
        <v>0</v>
      </c>
      <c r="O62" t="n">
        <v>4</v>
      </c>
      <c r="P62" t="n">
        <v>0</v>
      </c>
      <c r="Q62" t="n">
        <v>5</v>
      </c>
      <c r="R62" s="2" t="inlineStr">
        <is>
          <t>Doftskinn
Garnlav
Kolflarnlav
Violettgrå tagellav
Vedticka</t>
        </is>
      </c>
      <c r="S62">
        <f>HYPERLINK("https://klasma.github.io/Logging_2039/artfynd/A 31542-2019 artfynd.xlsx", "A 31542-2019")</f>
        <v/>
      </c>
      <c r="T62">
        <f>HYPERLINK("https://klasma.github.io/Logging_2039/kartor/A 31542-2019 karta.png", "A 31542-2019")</f>
        <v/>
      </c>
      <c r="V62">
        <f>HYPERLINK("https://klasma.github.io/Logging_2039/klagomål/A 31542-2019 FSC-klagomål.docx", "A 31542-2019")</f>
        <v/>
      </c>
      <c r="W62">
        <f>HYPERLINK("https://klasma.github.io/Logging_2039/klagomålsmail/A 31542-2019 FSC-klagomål mail.docx", "A 31542-2019")</f>
        <v/>
      </c>
      <c r="X62">
        <f>HYPERLINK("https://klasma.github.io/Logging_2039/tillsyn/A 31542-2019 tillsynsbegäran.docx", "A 31542-2019")</f>
        <v/>
      </c>
      <c r="Y62">
        <f>HYPERLINK("https://klasma.github.io/Logging_2039/tillsynsmail/A 31542-2019 tillsynsbegäran mail.docx", "A 31542-2019")</f>
        <v/>
      </c>
    </row>
    <row r="63" ht="15" customHeight="1">
      <c r="A63" t="inlineStr">
        <is>
          <t>A 2511-2023</t>
        </is>
      </c>
      <c r="B63" s="1" t="n">
        <v>44943</v>
      </c>
      <c r="C63" s="1" t="n">
        <v>45838</v>
      </c>
      <c r="D63" t="inlineStr">
        <is>
          <t>DALARNAS LÄN</t>
        </is>
      </c>
      <c r="E63" t="inlineStr">
        <is>
          <t>ÄLVDALEN</t>
        </is>
      </c>
      <c r="G63" t="n">
        <v>4</v>
      </c>
      <c r="H63" t="n">
        <v>3</v>
      </c>
      <c r="I63" t="n">
        <v>3</v>
      </c>
      <c r="J63" t="n">
        <v>1</v>
      </c>
      <c r="K63" t="n">
        <v>0</v>
      </c>
      <c r="L63" t="n">
        <v>0</v>
      </c>
      <c r="M63" t="n">
        <v>0</v>
      </c>
      <c r="N63" t="n">
        <v>0</v>
      </c>
      <c r="O63" t="n">
        <v>1</v>
      </c>
      <c r="P63" t="n">
        <v>0</v>
      </c>
      <c r="Q63" t="n">
        <v>5</v>
      </c>
      <c r="R63" s="2" t="inlineStr">
        <is>
          <t>Garnlav
Korallrot
Spindelblomster
Stuplav
Revlummer</t>
        </is>
      </c>
      <c r="S63">
        <f>HYPERLINK("https://klasma.github.io/Logging_2039/artfynd/A 2511-2023 artfynd.xlsx", "A 2511-2023")</f>
        <v/>
      </c>
      <c r="T63">
        <f>HYPERLINK("https://klasma.github.io/Logging_2039/kartor/A 2511-2023 karta.png", "A 2511-2023")</f>
        <v/>
      </c>
      <c r="V63">
        <f>HYPERLINK("https://klasma.github.io/Logging_2039/klagomål/A 2511-2023 FSC-klagomål.docx", "A 2511-2023")</f>
        <v/>
      </c>
      <c r="W63">
        <f>HYPERLINK("https://klasma.github.io/Logging_2039/klagomålsmail/A 2511-2023 FSC-klagomål mail.docx", "A 2511-2023")</f>
        <v/>
      </c>
      <c r="X63">
        <f>HYPERLINK("https://klasma.github.io/Logging_2039/tillsyn/A 2511-2023 tillsynsbegäran.docx", "A 2511-2023")</f>
        <v/>
      </c>
      <c r="Y63">
        <f>HYPERLINK("https://klasma.github.io/Logging_2039/tillsynsmail/A 2511-2023 tillsynsbegäran mail.docx", "A 2511-2023")</f>
        <v/>
      </c>
    </row>
    <row r="64" ht="15" customHeight="1">
      <c r="A64" t="inlineStr">
        <is>
          <t>A 29234-2023</t>
        </is>
      </c>
      <c r="B64" s="1" t="n">
        <v>45105</v>
      </c>
      <c r="C64" s="1" t="n">
        <v>45838</v>
      </c>
      <c r="D64" t="inlineStr">
        <is>
          <t>DALARNAS LÄN</t>
        </is>
      </c>
      <c r="E64" t="inlineStr">
        <is>
          <t>ÄLVDALEN</t>
        </is>
      </c>
      <c r="F64" t="inlineStr">
        <is>
          <t>Allmännings- och besparingsskogar</t>
        </is>
      </c>
      <c r="G64" t="n">
        <v>17.7</v>
      </c>
      <c r="H64" t="n">
        <v>1</v>
      </c>
      <c r="I64" t="n">
        <v>0</v>
      </c>
      <c r="J64" t="n">
        <v>5</v>
      </c>
      <c r="K64" t="n">
        <v>0</v>
      </c>
      <c r="L64" t="n">
        <v>0</v>
      </c>
      <c r="M64" t="n">
        <v>0</v>
      </c>
      <c r="N64" t="n">
        <v>0</v>
      </c>
      <c r="O64" t="n">
        <v>5</v>
      </c>
      <c r="P64" t="n">
        <v>0</v>
      </c>
      <c r="Q64" t="n">
        <v>5</v>
      </c>
      <c r="R64" s="2" t="inlineStr">
        <is>
          <t>Garnlav
Kolflarnlav
Varglav
Vedflamlav
Vedskivlav</t>
        </is>
      </c>
      <c r="S64">
        <f>HYPERLINK("https://klasma.github.io/Logging_2039/artfynd/A 29234-2023 artfynd.xlsx", "A 29234-2023")</f>
        <v/>
      </c>
      <c r="T64">
        <f>HYPERLINK("https://klasma.github.io/Logging_2039/kartor/A 29234-2023 karta.png", "A 29234-2023")</f>
        <v/>
      </c>
      <c r="V64">
        <f>HYPERLINK("https://klasma.github.io/Logging_2039/klagomål/A 29234-2023 FSC-klagomål.docx", "A 29234-2023")</f>
        <v/>
      </c>
      <c r="W64">
        <f>HYPERLINK("https://klasma.github.io/Logging_2039/klagomålsmail/A 29234-2023 FSC-klagomål mail.docx", "A 29234-2023")</f>
        <v/>
      </c>
      <c r="X64">
        <f>HYPERLINK("https://klasma.github.io/Logging_2039/tillsyn/A 29234-2023 tillsynsbegäran.docx", "A 29234-2023")</f>
        <v/>
      </c>
      <c r="Y64">
        <f>HYPERLINK("https://klasma.github.io/Logging_2039/tillsynsmail/A 29234-2023 tillsynsbegäran mail.docx", "A 29234-2023")</f>
        <v/>
      </c>
    </row>
    <row r="65" ht="15" customHeight="1">
      <c r="A65" t="inlineStr">
        <is>
          <t>A 32101-2023</t>
        </is>
      </c>
      <c r="B65" s="1" t="n">
        <v>45119</v>
      </c>
      <c r="C65" s="1" t="n">
        <v>45838</v>
      </c>
      <c r="D65" t="inlineStr">
        <is>
          <t>DALARNAS LÄN</t>
        </is>
      </c>
      <c r="E65" t="inlineStr">
        <is>
          <t>ÄLVDALEN</t>
        </is>
      </c>
      <c r="F65" t="inlineStr">
        <is>
          <t>Sveaskog</t>
        </is>
      </c>
      <c r="G65" t="n">
        <v>12.1</v>
      </c>
      <c r="H65" t="n">
        <v>1</v>
      </c>
      <c r="I65" t="n">
        <v>2</v>
      </c>
      <c r="J65" t="n">
        <v>3</v>
      </c>
      <c r="K65" t="n">
        <v>0</v>
      </c>
      <c r="L65" t="n">
        <v>0</v>
      </c>
      <c r="M65" t="n">
        <v>0</v>
      </c>
      <c r="N65" t="n">
        <v>0</v>
      </c>
      <c r="O65" t="n">
        <v>3</v>
      </c>
      <c r="P65" t="n">
        <v>0</v>
      </c>
      <c r="Q65" t="n">
        <v>5</v>
      </c>
      <c r="R65" s="2" t="inlineStr">
        <is>
          <t>Blanksvart spiklav
Garnlav
Kolflarnlav
Plattlummer
Skarp dropptaggsvamp</t>
        </is>
      </c>
      <c r="S65">
        <f>HYPERLINK("https://klasma.github.io/Logging_2039/artfynd/A 32101-2023 artfynd.xlsx", "A 32101-2023")</f>
        <v/>
      </c>
      <c r="T65">
        <f>HYPERLINK("https://klasma.github.io/Logging_2039/kartor/A 32101-2023 karta.png", "A 32101-2023")</f>
        <v/>
      </c>
      <c r="V65">
        <f>HYPERLINK("https://klasma.github.io/Logging_2039/klagomål/A 32101-2023 FSC-klagomål.docx", "A 32101-2023")</f>
        <v/>
      </c>
      <c r="W65">
        <f>HYPERLINK("https://klasma.github.io/Logging_2039/klagomålsmail/A 32101-2023 FSC-klagomål mail.docx", "A 32101-2023")</f>
        <v/>
      </c>
      <c r="X65">
        <f>HYPERLINK("https://klasma.github.io/Logging_2039/tillsyn/A 32101-2023 tillsynsbegäran.docx", "A 32101-2023")</f>
        <v/>
      </c>
      <c r="Y65">
        <f>HYPERLINK("https://klasma.github.io/Logging_2039/tillsynsmail/A 32101-2023 tillsynsbegäran mail.docx", "A 32101-2023")</f>
        <v/>
      </c>
    </row>
    <row r="66" ht="15" customHeight="1">
      <c r="A66" t="inlineStr">
        <is>
          <t>A 37662-2023</t>
        </is>
      </c>
      <c r="B66" s="1" t="n">
        <v>45159</v>
      </c>
      <c r="C66" s="1" t="n">
        <v>45838</v>
      </c>
      <c r="D66" t="inlineStr">
        <is>
          <t>DALARNAS LÄN</t>
        </is>
      </c>
      <c r="E66" t="inlineStr">
        <is>
          <t>ÄLVDALEN</t>
        </is>
      </c>
      <c r="F66" t="inlineStr">
        <is>
          <t>Allmännings- och besparingsskogar</t>
        </is>
      </c>
      <c r="G66" t="n">
        <v>13.5</v>
      </c>
      <c r="H66" t="n">
        <v>0</v>
      </c>
      <c r="I66" t="n">
        <v>1</v>
      </c>
      <c r="J66" t="n">
        <v>3</v>
      </c>
      <c r="K66" t="n">
        <v>1</v>
      </c>
      <c r="L66" t="n">
        <v>0</v>
      </c>
      <c r="M66" t="n">
        <v>0</v>
      </c>
      <c r="N66" t="n">
        <v>0</v>
      </c>
      <c r="O66" t="n">
        <v>4</v>
      </c>
      <c r="P66" t="n">
        <v>1</v>
      </c>
      <c r="Q66" t="n">
        <v>5</v>
      </c>
      <c r="R66" s="2" t="inlineStr">
        <is>
          <t>Smalfotad taggsvamp
Nordtagging
Vaddporing
Vedflamlav
Dropptaggsvamp</t>
        </is>
      </c>
      <c r="S66">
        <f>HYPERLINK("https://klasma.github.io/Logging_2039/artfynd/A 37662-2023 artfynd.xlsx", "A 37662-2023")</f>
        <v/>
      </c>
      <c r="T66">
        <f>HYPERLINK("https://klasma.github.io/Logging_2039/kartor/A 37662-2023 karta.png", "A 37662-2023")</f>
        <v/>
      </c>
      <c r="V66">
        <f>HYPERLINK("https://klasma.github.io/Logging_2039/klagomål/A 37662-2023 FSC-klagomål.docx", "A 37662-2023")</f>
        <v/>
      </c>
      <c r="W66">
        <f>HYPERLINK("https://klasma.github.io/Logging_2039/klagomålsmail/A 37662-2023 FSC-klagomål mail.docx", "A 37662-2023")</f>
        <v/>
      </c>
      <c r="X66">
        <f>HYPERLINK("https://klasma.github.io/Logging_2039/tillsyn/A 37662-2023 tillsynsbegäran.docx", "A 37662-2023")</f>
        <v/>
      </c>
      <c r="Y66">
        <f>HYPERLINK("https://klasma.github.io/Logging_2039/tillsynsmail/A 37662-2023 tillsynsbegäran mail.docx", "A 37662-2023")</f>
        <v/>
      </c>
    </row>
    <row r="67" ht="15" customHeight="1">
      <c r="A67" t="inlineStr">
        <is>
          <t>A 38585-2023</t>
        </is>
      </c>
      <c r="B67" s="1" t="n">
        <v>45162</v>
      </c>
      <c r="C67" s="1" t="n">
        <v>45838</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49053-2023</t>
        </is>
      </c>
      <c r="B68" s="1" t="n">
        <v>45210</v>
      </c>
      <c r="C68" s="1" t="n">
        <v>45838</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53546-2023</t>
        </is>
      </c>
      <c r="B69" s="1" t="n">
        <v>45224</v>
      </c>
      <c r="C69" s="1" t="n">
        <v>45838</v>
      </c>
      <c r="D69" t="inlineStr">
        <is>
          <t>DALARNAS LÄN</t>
        </is>
      </c>
      <c r="E69" t="inlineStr">
        <is>
          <t>ÄLVDALEN</t>
        </is>
      </c>
      <c r="F69" t="inlineStr">
        <is>
          <t>Allmännings- och besparingsskogar</t>
        </is>
      </c>
      <c r="G69" t="n">
        <v>26.9</v>
      </c>
      <c r="H69" t="n">
        <v>0</v>
      </c>
      <c r="I69" t="n">
        <v>0</v>
      </c>
      <c r="J69" t="n">
        <v>4</v>
      </c>
      <c r="K69" t="n">
        <v>0</v>
      </c>
      <c r="L69" t="n">
        <v>1</v>
      </c>
      <c r="M69" t="n">
        <v>0</v>
      </c>
      <c r="N69" t="n">
        <v>0</v>
      </c>
      <c r="O69" t="n">
        <v>5</v>
      </c>
      <c r="P69" t="n">
        <v>1</v>
      </c>
      <c r="Q69" t="n">
        <v>5</v>
      </c>
      <c r="R69" s="2" t="inlineStr">
        <is>
          <t>Broktagel
Dvärgbägarlav
Garnlav
Kolflarnlav
Mörk kolflarnlav</t>
        </is>
      </c>
      <c r="S69">
        <f>HYPERLINK("https://klasma.github.io/Logging_2039/artfynd/A 53546-2023 artfynd.xlsx", "A 53546-2023")</f>
        <v/>
      </c>
      <c r="T69">
        <f>HYPERLINK("https://klasma.github.io/Logging_2039/kartor/A 53546-2023 karta.png", "A 53546-2023")</f>
        <v/>
      </c>
      <c r="V69">
        <f>HYPERLINK("https://klasma.github.io/Logging_2039/klagomål/A 53546-2023 FSC-klagomål.docx", "A 53546-2023")</f>
        <v/>
      </c>
      <c r="W69">
        <f>HYPERLINK("https://klasma.github.io/Logging_2039/klagomålsmail/A 53546-2023 FSC-klagomål mail.docx", "A 53546-2023")</f>
        <v/>
      </c>
      <c r="X69">
        <f>HYPERLINK("https://klasma.github.io/Logging_2039/tillsyn/A 53546-2023 tillsynsbegäran.docx", "A 53546-2023")</f>
        <v/>
      </c>
      <c r="Y69">
        <f>HYPERLINK("https://klasma.github.io/Logging_2039/tillsynsmail/A 53546-2023 tillsynsbegäran mail.docx", "A 53546-2023")</f>
        <v/>
      </c>
    </row>
    <row r="70" ht="15" customHeight="1">
      <c r="A70" t="inlineStr">
        <is>
          <t>A 9785-2024</t>
        </is>
      </c>
      <c r="B70" s="1" t="n">
        <v>45362</v>
      </c>
      <c r="C70" s="1" t="n">
        <v>45838</v>
      </c>
      <c r="D70" t="inlineStr">
        <is>
          <t>DALARNAS LÄN</t>
        </is>
      </c>
      <c r="E70" t="inlineStr">
        <is>
          <t>ÄLVDALEN</t>
        </is>
      </c>
      <c r="F70" t="inlineStr">
        <is>
          <t>Övriga statliga verk och myndigheter</t>
        </is>
      </c>
      <c r="G70" t="n">
        <v>12.8</v>
      </c>
      <c r="H70" t="n">
        <v>0</v>
      </c>
      <c r="I70" t="n">
        <v>2</v>
      </c>
      <c r="J70" t="n">
        <v>3</v>
      </c>
      <c r="K70" t="n">
        <v>0</v>
      </c>
      <c r="L70" t="n">
        <v>0</v>
      </c>
      <c r="M70" t="n">
        <v>0</v>
      </c>
      <c r="N70" t="n">
        <v>0</v>
      </c>
      <c r="O70" t="n">
        <v>3</v>
      </c>
      <c r="P70" t="n">
        <v>0</v>
      </c>
      <c r="Q70" t="n">
        <v>5</v>
      </c>
      <c r="R70" s="2" t="inlineStr">
        <is>
          <t>Blanksvart spiklav
Kolflarnlav
Tallriska
Dropptaggsvamp
Vedticka</t>
        </is>
      </c>
      <c r="S70">
        <f>HYPERLINK("https://klasma.github.io/Logging_2039/artfynd/A 9785-2024 artfynd.xlsx", "A 9785-2024")</f>
        <v/>
      </c>
      <c r="T70">
        <f>HYPERLINK("https://klasma.github.io/Logging_2039/kartor/A 9785-2024 karta.png", "A 9785-2024")</f>
        <v/>
      </c>
      <c r="V70">
        <f>HYPERLINK("https://klasma.github.io/Logging_2039/klagomål/A 9785-2024 FSC-klagomål.docx", "A 9785-2024")</f>
        <v/>
      </c>
      <c r="W70">
        <f>HYPERLINK("https://klasma.github.io/Logging_2039/klagomålsmail/A 9785-2024 FSC-klagomål mail.docx", "A 9785-2024")</f>
        <v/>
      </c>
      <c r="X70">
        <f>HYPERLINK("https://klasma.github.io/Logging_2039/tillsyn/A 9785-2024 tillsynsbegäran.docx", "A 9785-2024")</f>
        <v/>
      </c>
      <c r="Y70">
        <f>HYPERLINK("https://klasma.github.io/Logging_2039/tillsynsmail/A 9785-2024 tillsynsbegäran mail.docx", "A 9785-2024")</f>
        <v/>
      </c>
    </row>
    <row r="71" ht="15" customHeight="1">
      <c r="A71" t="inlineStr">
        <is>
          <t>A 10282-2024</t>
        </is>
      </c>
      <c r="B71" s="1" t="n">
        <v>45365</v>
      </c>
      <c r="C71" s="1" t="n">
        <v>45838</v>
      </c>
      <c r="D71" t="inlineStr">
        <is>
          <t>DALARNAS LÄN</t>
        </is>
      </c>
      <c r="E71" t="inlineStr">
        <is>
          <t>ÄLVDALEN</t>
        </is>
      </c>
      <c r="G71" t="n">
        <v>1.2</v>
      </c>
      <c r="H71" t="n">
        <v>1</v>
      </c>
      <c r="I71" t="n">
        <v>1</v>
      </c>
      <c r="J71" t="n">
        <v>3</v>
      </c>
      <c r="K71" t="n">
        <v>1</v>
      </c>
      <c r="L71" t="n">
        <v>0</v>
      </c>
      <c r="M71" t="n">
        <v>0</v>
      </c>
      <c r="N71" t="n">
        <v>0</v>
      </c>
      <c r="O71" t="n">
        <v>4</v>
      </c>
      <c r="P71" t="n">
        <v>1</v>
      </c>
      <c r="Q71" t="n">
        <v>5</v>
      </c>
      <c r="R71" s="2" t="inlineStr">
        <is>
          <t>Knärot
Garnlav
Ullticka
Violettgrå tagellav
Vedticka</t>
        </is>
      </c>
      <c r="S71">
        <f>HYPERLINK("https://klasma.github.io/Logging_2039/artfynd/A 10282-2024 artfynd.xlsx", "A 10282-2024")</f>
        <v/>
      </c>
      <c r="T71">
        <f>HYPERLINK("https://klasma.github.io/Logging_2039/kartor/A 10282-2024 karta.png", "A 10282-2024")</f>
        <v/>
      </c>
      <c r="U71">
        <f>HYPERLINK("https://klasma.github.io/Logging_2039/knärot/A 10282-2024 karta knärot.png", "A 10282-2024")</f>
        <v/>
      </c>
      <c r="V71">
        <f>HYPERLINK("https://klasma.github.io/Logging_2039/klagomål/A 10282-2024 FSC-klagomål.docx", "A 10282-2024")</f>
        <v/>
      </c>
      <c r="W71">
        <f>HYPERLINK("https://klasma.github.io/Logging_2039/klagomålsmail/A 10282-2024 FSC-klagomål mail.docx", "A 10282-2024")</f>
        <v/>
      </c>
      <c r="X71">
        <f>HYPERLINK("https://klasma.github.io/Logging_2039/tillsyn/A 10282-2024 tillsynsbegäran.docx", "A 10282-2024")</f>
        <v/>
      </c>
      <c r="Y71">
        <f>HYPERLINK("https://klasma.github.io/Logging_2039/tillsynsmail/A 10282-2024 tillsynsbegäran mail.docx", "A 10282-2024")</f>
        <v/>
      </c>
    </row>
    <row r="72" ht="15" customHeight="1">
      <c r="A72" t="inlineStr">
        <is>
          <t>A 19616-2024</t>
        </is>
      </c>
      <c r="B72" s="1" t="n">
        <v>45432</v>
      </c>
      <c r="C72" s="1" t="n">
        <v>45838</v>
      </c>
      <c r="D72" t="inlineStr">
        <is>
          <t>DALARNAS LÄN</t>
        </is>
      </c>
      <c r="E72" t="inlineStr">
        <is>
          <t>ÄLVDALEN</t>
        </is>
      </c>
      <c r="F72" t="inlineStr">
        <is>
          <t>Sveaskog</t>
        </is>
      </c>
      <c r="G72" t="n">
        <v>6.5</v>
      </c>
      <c r="H72" t="n">
        <v>1</v>
      </c>
      <c r="I72" t="n">
        <v>0</v>
      </c>
      <c r="J72" t="n">
        <v>5</v>
      </c>
      <c r="K72" t="n">
        <v>0</v>
      </c>
      <c r="L72" t="n">
        <v>0</v>
      </c>
      <c r="M72" t="n">
        <v>0</v>
      </c>
      <c r="N72" t="n">
        <v>0</v>
      </c>
      <c r="O72" t="n">
        <v>5</v>
      </c>
      <c r="P72" t="n">
        <v>0</v>
      </c>
      <c r="Q72" t="n">
        <v>5</v>
      </c>
      <c r="R72" s="2" t="inlineStr">
        <is>
          <t>Blanksvart spiklav
Kolflarnlav
Mörk kolflarnlav
Varglav
Vedflamlav</t>
        </is>
      </c>
      <c r="S72">
        <f>HYPERLINK("https://klasma.github.io/Logging_2039/artfynd/A 19616-2024 artfynd.xlsx", "A 19616-2024")</f>
        <v/>
      </c>
      <c r="T72">
        <f>HYPERLINK("https://klasma.github.io/Logging_2039/kartor/A 19616-2024 karta.png", "A 19616-2024")</f>
        <v/>
      </c>
      <c r="V72">
        <f>HYPERLINK("https://klasma.github.io/Logging_2039/klagomål/A 19616-2024 FSC-klagomål.docx", "A 19616-2024")</f>
        <v/>
      </c>
      <c r="W72">
        <f>HYPERLINK("https://klasma.github.io/Logging_2039/klagomålsmail/A 19616-2024 FSC-klagomål mail.docx", "A 19616-2024")</f>
        <v/>
      </c>
      <c r="X72">
        <f>HYPERLINK("https://klasma.github.io/Logging_2039/tillsyn/A 19616-2024 tillsynsbegäran.docx", "A 19616-2024")</f>
        <v/>
      </c>
      <c r="Y72">
        <f>HYPERLINK("https://klasma.github.io/Logging_2039/tillsynsmail/A 19616-2024 tillsynsbegäran mail.docx", "A 19616-2024")</f>
        <v/>
      </c>
    </row>
    <row r="73" ht="15" customHeight="1">
      <c r="A73" t="inlineStr">
        <is>
          <t>A 21115-2024</t>
        </is>
      </c>
      <c r="B73" s="1" t="n">
        <v>45440</v>
      </c>
      <c r="C73" s="1" t="n">
        <v>45838</v>
      </c>
      <c r="D73" t="inlineStr">
        <is>
          <t>DALARNAS LÄN</t>
        </is>
      </c>
      <c r="E73" t="inlineStr">
        <is>
          <t>ÄLVDALEN</t>
        </is>
      </c>
      <c r="F73" t="inlineStr">
        <is>
          <t>Sveaskog</t>
        </is>
      </c>
      <c r="G73" t="n">
        <v>19.7</v>
      </c>
      <c r="H73" t="n">
        <v>1</v>
      </c>
      <c r="I73" t="n">
        <v>1</v>
      </c>
      <c r="J73" t="n">
        <v>3</v>
      </c>
      <c r="K73" t="n">
        <v>0</v>
      </c>
      <c r="L73" t="n">
        <v>1</v>
      </c>
      <c r="M73" t="n">
        <v>0</v>
      </c>
      <c r="N73" t="n">
        <v>0</v>
      </c>
      <c r="O73" t="n">
        <v>4</v>
      </c>
      <c r="P73" t="n">
        <v>1</v>
      </c>
      <c r="Q73" t="n">
        <v>5</v>
      </c>
      <c r="R73" s="2" t="inlineStr">
        <is>
          <t>Mosippa
Blanksvart spiklav
Kolflarnlav
Mörk kolflarnlav
Dropptaggsvamp</t>
        </is>
      </c>
      <c r="S73">
        <f>HYPERLINK("https://klasma.github.io/Logging_2039/artfynd/A 21115-2024 artfynd.xlsx", "A 21115-2024")</f>
        <v/>
      </c>
      <c r="T73">
        <f>HYPERLINK("https://klasma.github.io/Logging_2039/kartor/A 21115-2024 karta.png", "A 21115-2024")</f>
        <v/>
      </c>
      <c r="V73">
        <f>HYPERLINK("https://klasma.github.io/Logging_2039/klagomål/A 21115-2024 FSC-klagomål.docx", "A 21115-2024")</f>
        <v/>
      </c>
      <c r="W73">
        <f>HYPERLINK("https://klasma.github.io/Logging_2039/klagomålsmail/A 21115-2024 FSC-klagomål mail.docx", "A 21115-2024")</f>
        <v/>
      </c>
      <c r="X73">
        <f>HYPERLINK("https://klasma.github.io/Logging_2039/tillsyn/A 21115-2024 tillsynsbegäran.docx", "A 21115-2024")</f>
        <v/>
      </c>
      <c r="Y73">
        <f>HYPERLINK("https://klasma.github.io/Logging_2039/tillsynsmail/A 21115-2024 tillsynsbegäran mail.docx", "A 21115-2024")</f>
        <v/>
      </c>
    </row>
    <row r="74" ht="15" customHeight="1">
      <c r="A74" t="inlineStr">
        <is>
          <t>A 21670-2024</t>
        </is>
      </c>
      <c r="B74" s="1" t="n">
        <v>45442</v>
      </c>
      <c r="C74" s="1" t="n">
        <v>45838</v>
      </c>
      <c r="D74" t="inlineStr">
        <is>
          <t>DALARNAS LÄN</t>
        </is>
      </c>
      <c r="E74" t="inlineStr">
        <is>
          <t>ÄLVDALEN</t>
        </is>
      </c>
      <c r="F74" t="inlineStr">
        <is>
          <t>Sveaskog</t>
        </is>
      </c>
      <c r="G74" t="n">
        <v>7.8</v>
      </c>
      <c r="H74" t="n">
        <v>1</v>
      </c>
      <c r="I74" t="n">
        <v>0</v>
      </c>
      <c r="J74" t="n">
        <v>4</v>
      </c>
      <c r="K74" t="n">
        <v>0</v>
      </c>
      <c r="L74" t="n">
        <v>1</v>
      </c>
      <c r="M74" t="n">
        <v>0</v>
      </c>
      <c r="N74" t="n">
        <v>0</v>
      </c>
      <c r="O74" t="n">
        <v>5</v>
      </c>
      <c r="P74" t="n">
        <v>1</v>
      </c>
      <c r="Q74" t="n">
        <v>5</v>
      </c>
      <c r="R74" s="2" t="inlineStr">
        <is>
          <t>Mosippa
Blanksvart spiklav
Kolflarnlav
Mörk kolflarnlav
Vedflamlav</t>
        </is>
      </c>
      <c r="S74">
        <f>HYPERLINK("https://klasma.github.io/Logging_2039/artfynd/A 21670-2024 artfynd.xlsx", "A 21670-2024")</f>
        <v/>
      </c>
      <c r="T74">
        <f>HYPERLINK("https://klasma.github.io/Logging_2039/kartor/A 21670-2024 karta.png", "A 21670-2024")</f>
        <v/>
      </c>
      <c r="V74">
        <f>HYPERLINK("https://klasma.github.io/Logging_2039/klagomål/A 21670-2024 FSC-klagomål.docx", "A 21670-2024")</f>
        <v/>
      </c>
      <c r="W74">
        <f>HYPERLINK("https://klasma.github.io/Logging_2039/klagomålsmail/A 21670-2024 FSC-klagomål mail.docx", "A 21670-2024")</f>
        <v/>
      </c>
      <c r="X74">
        <f>HYPERLINK("https://klasma.github.io/Logging_2039/tillsyn/A 21670-2024 tillsynsbegäran.docx", "A 21670-2024")</f>
        <v/>
      </c>
      <c r="Y74">
        <f>HYPERLINK("https://klasma.github.io/Logging_2039/tillsynsmail/A 21670-2024 tillsynsbegäran mail.docx", "A 21670-2024")</f>
        <v/>
      </c>
    </row>
    <row r="75" ht="15" customHeight="1">
      <c r="A75" t="inlineStr">
        <is>
          <t>A 25089-2024</t>
        </is>
      </c>
      <c r="B75" s="1" t="n">
        <v>45462</v>
      </c>
      <c r="C75" s="1" t="n">
        <v>45838</v>
      </c>
      <c r="D75" t="inlineStr">
        <is>
          <t>DALARNAS LÄN</t>
        </is>
      </c>
      <c r="E75" t="inlineStr">
        <is>
          <t>ÄLVDALEN</t>
        </is>
      </c>
      <c r="F75" t="inlineStr">
        <is>
          <t>Sveaskog</t>
        </is>
      </c>
      <c r="G75" t="n">
        <v>3.9</v>
      </c>
      <c r="H75" t="n">
        <v>0</v>
      </c>
      <c r="I75" t="n">
        <v>1</v>
      </c>
      <c r="J75" t="n">
        <v>4</v>
      </c>
      <c r="K75" t="n">
        <v>0</v>
      </c>
      <c r="L75" t="n">
        <v>0</v>
      </c>
      <c r="M75" t="n">
        <v>0</v>
      </c>
      <c r="N75" t="n">
        <v>0</v>
      </c>
      <c r="O75" t="n">
        <v>4</v>
      </c>
      <c r="P75" t="n">
        <v>0</v>
      </c>
      <c r="Q75" t="n">
        <v>5</v>
      </c>
      <c r="R75" s="2" t="inlineStr">
        <is>
          <t>Blanksvart spiklav
Kolflarnlav
Mörk kolflarnlav
Vedflamlav
Skarp dropptaggsvamp</t>
        </is>
      </c>
      <c r="S75">
        <f>HYPERLINK("https://klasma.github.io/Logging_2039/artfynd/A 25089-2024 artfynd.xlsx", "A 25089-2024")</f>
        <v/>
      </c>
      <c r="T75">
        <f>HYPERLINK("https://klasma.github.io/Logging_2039/kartor/A 25089-2024 karta.png", "A 25089-2024")</f>
        <v/>
      </c>
      <c r="V75">
        <f>HYPERLINK("https://klasma.github.io/Logging_2039/klagomål/A 25089-2024 FSC-klagomål.docx", "A 25089-2024")</f>
        <v/>
      </c>
      <c r="W75">
        <f>HYPERLINK("https://klasma.github.io/Logging_2039/klagomålsmail/A 25089-2024 FSC-klagomål mail.docx", "A 25089-2024")</f>
        <v/>
      </c>
      <c r="X75">
        <f>HYPERLINK("https://klasma.github.io/Logging_2039/tillsyn/A 25089-2024 tillsynsbegäran.docx", "A 25089-2024")</f>
        <v/>
      </c>
      <c r="Y75">
        <f>HYPERLINK("https://klasma.github.io/Logging_2039/tillsynsmail/A 25089-2024 tillsynsbegäran mail.docx", "A 25089-2024")</f>
        <v/>
      </c>
    </row>
    <row r="76" ht="15" customHeight="1">
      <c r="A76" t="inlineStr">
        <is>
          <t>A 32997-2024</t>
        </is>
      </c>
      <c r="B76" s="1" t="n">
        <v>45517</v>
      </c>
      <c r="C76" s="1" t="n">
        <v>45838</v>
      </c>
      <c r="D76" t="inlineStr">
        <is>
          <t>DALARNAS LÄN</t>
        </is>
      </c>
      <c r="E76" t="inlineStr">
        <is>
          <t>ÄLVDALEN</t>
        </is>
      </c>
      <c r="G76" t="n">
        <v>2.7</v>
      </c>
      <c r="H76" t="n">
        <v>0</v>
      </c>
      <c r="I76" t="n">
        <v>1</v>
      </c>
      <c r="J76" t="n">
        <v>2</v>
      </c>
      <c r="K76" t="n">
        <v>2</v>
      </c>
      <c r="L76" t="n">
        <v>0</v>
      </c>
      <c r="M76" t="n">
        <v>0</v>
      </c>
      <c r="N76" t="n">
        <v>0</v>
      </c>
      <c r="O76" t="n">
        <v>4</v>
      </c>
      <c r="P76" t="n">
        <v>2</v>
      </c>
      <c r="Q76" t="n">
        <v>5</v>
      </c>
      <c r="R76" s="2" t="inlineStr">
        <is>
          <t>Smalfotad taggsvamp
Tajgataggsvamp
Svart taggsvamp
Tallriska
Dropptaggsvamp</t>
        </is>
      </c>
      <c r="S76">
        <f>HYPERLINK("https://klasma.github.io/Logging_2039/artfynd/A 32997-2024 artfynd.xlsx", "A 32997-2024")</f>
        <v/>
      </c>
      <c r="T76">
        <f>HYPERLINK("https://klasma.github.io/Logging_2039/kartor/A 32997-2024 karta.png", "A 32997-2024")</f>
        <v/>
      </c>
      <c r="V76">
        <f>HYPERLINK("https://klasma.github.io/Logging_2039/klagomål/A 32997-2024 FSC-klagomål.docx", "A 32997-2024")</f>
        <v/>
      </c>
      <c r="W76">
        <f>HYPERLINK("https://klasma.github.io/Logging_2039/klagomålsmail/A 32997-2024 FSC-klagomål mail.docx", "A 32997-2024")</f>
        <v/>
      </c>
      <c r="X76">
        <f>HYPERLINK("https://klasma.github.io/Logging_2039/tillsyn/A 32997-2024 tillsynsbegäran.docx", "A 32997-2024")</f>
        <v/>
      </c>
      <c r="Y76">
        <f>HYPERLINK("https://klasma.github.io/Logging_2039/tillsynsmail/A 32997-2024 tillsynsbegäran mail.docx", "A 32997-2024")</f>
        <v/>
      </c>
    </row>
    <row r="77" ht="15" customHeight="1">
      <c r="A77" t="inlineStr">
        <is>
          <t>A 33882-2024</t>
        </is>
      </c>
      <c r="B77" s="1" t="n">
        <v>45522</v>
      </c>
      <c r="C77" s="1" t="n">
        <v>45838</v>
      </c>
      <c r="D77" t="inlineStr">
        <is>
          <t>DALARNAS LÄN</t>
        </is>
      </c>
      <c r="E77" t="inlineStr">
        <is>
          <t>ÄLVDALEN</t>
        </is>
      </c>
      <c r="G77" t="n">
        <v>36.4</v>
      </c>
      <c r="H77" t="n">
        <v>2</v>
      </c>
      <c r="I77" t="n">
        <v>1</v>
      </c>
      <c r="J77" t="n">
        <v>4</v>
      </c>
      <c r="K77" t="n">
        <v>0</v>
      </c>
      <c r="L77" t="n">
        <v>0</v>
      </c>
      <c r="M77" t="n">
        <v>0</v>
      </c>
      <c r="N77" t="n">
        <v>0</v>
      </c>
      <c r="O77" t="n">
        <v>4</v>
      </c>
      <c r="P77" t="n">
        <v>0</v>
      </c>
      <c r="Q77" t="n">
        <v>5</v>
      </c>
      <c r="R77" s="2" t="inlineStr">
        <is>
          <t>Garnlav
Granticka
Skrovellav
Tretåig hackspett
Spindelblomster</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34150-2024</t>
        </is>
      </c>
      <c r="B78" s="1" t="n">
        <v>45524</v>
      </c>
      <c r="C78" s="1" t="n">
        <v>45838</v>
      </c>
      <c r="D78" t="inlineStr">
        <is>
          <t>DALARNAS LÄN</t>
        </is>
      </c>
      <c r="E78" t="inlineStr">
        <is>
          <t>ÄLVDALEN</t>
        </is>
      </c>
      <c r="F78" t="inlineStr">
        <is>
          <t>Sveaskog</t>
        </is>
      </c>
      <c r="G78" t="n">
        <v>7.8</v>
      </c>
      <c r="H78" t="n">
        <v>0</v>
      </c>
      <c r="I78" t="n">
        <v>2</v>
      </c>
      <c r="J78" t="n">
        <v>3</v>
      </c>
      <c r="K78" t="n">
        <v>0</v>
      </c>
      <c r="L78" t="n">
        <v>0</v>
      </c>
      <c r="M78" t="n">
        <v>0</v>
      </c>
      <c r="N78" t="n">
        <v>0</v>
      </c>
      <c r="O78" t="n">
        <v>3</v>
      </c>
      <c r="P78" t="n">
        <v>0</v>
      </c>
      <c r="Q78" t="n">
        <v>5</v>
      </c>
      <c r="R78" s="2" t="inlineStr">
        <is>
          <t>Blanksvart spiklav
Blå taggsvamp
Violettgrå tagellav
Dropptaggsvamp
Skarp dropptaggsvamp</t>
        </is>
      </c>
      <c r="S78">
        <f>HYPERLINK("https://klasma.github.io/Logging_2039/artfynd/A 34150-2024 artfynd.xlsx", "A 34150-2024")</f>
        <v/>
      </c>
      <c r="T78">
        <f>HYPERLINK("https://klasma.github.io/Logging_2039/kartor/A 34150-2024 karta.png", "A 34150-2024")</f>
        <v/>
      </c>
      <c r="V78">
        <f>HYPERLINK("https://klasma.github.io/Logging_2039/klagomål/A 34150-2024 FSC-klagomål.docx", "A 34150-2024")</f>
        <v/>
      </c>
      <c r="W78">
        <f>HYPERLINK("https://klasma.github.io/Logging_2039/klagomålsmail/A 34150-2024 FSC-klagomål mail.docx", "A 34150-2024")</f>
        <v/>
      </c>
      <c r="X78">
        <f>HYPERLINK("https://klasma.github.io/Logging_2039/tillsyn/A 34150-2024 tillsynsbegäran.docx", "A 34150-2024")</f>
        <v/>
      </c>
      <c r="Y78">
        <f>HYPERLINK("https://klasma.github.io/Logging_2039/tillsynsmail/A 34150-2024 tillsynsbegäran mail.docx", "A 34150-2024")</f>
        <v/>
      </c>
    </row>
    <row r="79" ht="15" customHeight="1">
      <c r="A79" t="inlineStr">
        <is>
          <t>A 47285-2024</t>
        </is>
      </c>
      <c r="B79" s="1" t="n">
        <v>45587</v>
      </c>
      <c r="C79" s="1" t="n">
        <v>45838</v>
      </c>
      <c r="D79" t="inlineStr">
        <is>
          <t>DALARNAS LÄN</t>
        </is>
      </c>
      <c r="E79" t="inlineStr">
        <is>
          <t>ÄLVDALEN</t>
        </is>
      </c>
      <c r="F79" t="inlineStr">
        <is>
          <t>Sveaskog</t>
        </is>
      </c>
      <c r="G79" t="n">
        <v>17</v>
      </c>
      <c r="H79" t="n">
        <v>0</v>
      </c>
      <c r="I79" t="n">
        <v>1</v>
      </c>
      <c r="J79" t="n">
        <v>4</v>
      </c>
      <c r="K79" t="n">
        <v>0</v>
      </c>
      <c r="L79" t="n">
        <v>0</v>
      </c>
      <c r="M79" t="n">
        <v>0</v>
      </c>
      <c r="N79" t="n">
        <v>0</v>
      </c>
      <c r="O79" t="n">
        <v>4</v>
      </c>
      <c r="P79" t="n">
        <v>0</v>
      </c>
      <c r="Q79" t="n">
        <v>5</v>
      </c>
      <c r="R79" s="2" t="inlineStr">
        <is>
          <t>Kolflarnlav
Mörk kolflarnlav
Orange taggsvamp
Vedflamlav
Dropptaggsvamp</t>
        </is>
      </c>
      <c r="S79">
        <f>HYPERLINK("https://klasma.github.io/Logging_2039/artfynd/A 47285-2024 artfynd.xlsx", "A 47285-2024")</f>
        <v/>
      </c>
      <c r="T79">
        <f>HYPERLINK("https://klasma.github.io/Logging_2039/kartor/A 47285-2024 karta.png", "A 47285-2024")</f>
        <v/>
      </c>
      <c r="V79">
        <f>HYPERLINK("https://klasma.github.io/Logging_2039/klagomål/A 47285-2024 FSC-klagomål.docx", "A 47285-2024")</f>
        <v/>
      </c>
      <c r="W79">
        <f>HYPERLINK("https://klasma.github.io/Logging_2039/klagomålsmail/A 47285-2024 FSC-klagomål mail.docx", "A 47285-2024")</f>
        <v/>
      </c>
      <c r="X79">
        <f>HYPERLINK("https://klasma.github.io/Logging_2039/tillsyn/A 47285-2024 tillsynsbegäran.docx", "A 47285-2024")</f>
        <v/>
      </c>
      <c r="Y79">
        <f>HYPERLINK("https://klasma.github.io/Logging_2039/tillsynsmail/A 47285-2024 tillsynsbegäran mail.docx", "A 47285-2024")</f>
        <v/>
      </c>
    </row>
    <row r="80" ht="15" customHeight="1">
      <c r="A80" t="inlineStr">
        <is>
          <t>A 16894-2025</t>
        </is>
      </c>
      <c r="B80" s="1" t="n">
        <v>45755</v>
      </c>
      <c r="C80" s="1" t="n">
        <v>45838</v>
      </c>
      <c r="D80" t="inlineStr">
        <is>
          <t>DALARNAS LÄN</t>
        </is>
      </c>
      <c r="E80" t="inlineStr">
        <is>
          <t>ÄLVDALEN</t>
        </is>
      </c>
      <c r="F80" t="inlineStr">
        <is>
          <t>Sveaskog</t>
        </is>
      </c>
      <c r="G80" t="n">
        <v>17.3</v>
      </c>
      <c r="H80" t="n">
        <v>0</v>
      </c>
      <c r="I80" t="n">
        <v>1</v>
      </c>
      <c r="J80" t="n">
        <v>4</v>
      </c>
      <c r="K80" t="n">
        <v>0</v>
      </c>
      <c r="L80" t="n">
        <v>0</v>
      </c>
      <c r="M80" t="n">
        <v>0</v>
      </c>
      <c r="N80" t="n">
        <v>0</v>
      </c>
      <c r="O80" t="n">
        <v>4</v>
      </c>
      <c r="P80" t="n">
        <v>0</v>
      </c>
      <c r="Q80" t="n">
        <v>5</v>
      </c>
      <c r="R80" s="2" t="inlineStr">
        <is>
          <t>Dvärgbägarlav
Kolflarnlav
Mörk kolflarnlav
Vedflamlav
Dropptaggsvamp</t>
        </is>
      </c>
      <c r="S80">
        <f>HYPERLINK("https://klasma.github.io/Logging_202039/artfynd/A 16894-2025 artfynd.xlsx", "A 16894-2025")</f>
        <v/>
      </c>
      <c r="T80">
        <f>HYPERLINK("https://klasma.github.io/Logging_202039/kartor/A 16894-2025 karta.png", "A 16894-2025")</f>
        <v/>
      </c>
      <c r="V80">
        <f>HYPERLINK("https://klasma.github.io/Logging_202039/klagomål/A 16894-2025 FSC-klagomål.docx", "A 16894-2025")</f>
        <v/>
      </c>
      <c r="W80">
        <f>HYPERLINK("https://klasma.github.io/Logging_202039/klagomålsmail/A 16894-2025 FSC-klagomål mail.docx", "A 16894-2025")</f>
        <v/>
      </c>
      <c r="X80">
        <f>HYPERLINK("https://klasma.github.io/Logging_202039/tillsyn/A 16894-2025 tillsynsbegäran.docx", "A 16894-2025")</f>
        <v/>
      </c>
      <c r="Y80">
        <f>HYPERLINK("https://klasma.github.io/Logging_202039/tillsynsmail/A 16894-2025 tillsynsbegäran mail.docx", "A 16894-2025")</f>
        <v/>
      </c>
    </row>
    <row r="81" ht="15" customHeight="1">
      <c r="A81" t="inlineStr">
        <is>
          <t>A 29779-2025</t>
        </is>
      </c>
      <c r="B81" s="1" t="n">
        <v>45825</v>
      </c>
      <c r="C81" s="1" t="n">
        <v>45838</v>
      </c>
      <c r="D81" t="inlineStr">
        <is>
          <t>DALARNAS LÄN</t>
        </is>
      </c>
      <c r="E81" t="inlineStr">
        <is>
          <t>ÄLVDALEN</t>
        </is>
      </c>
      <c r="F81" t="inlineStr">
        <is>
          <t>Sveaskog</t>
        </is>
      </c>
      <c r="G81" t="n">
        <v>12.9</v>
      </c>
      <c r="H81" t="n">
        <v>1</v>
      </c>
      <c r="I81" t="n">
        <v>3</v>
      </c>
      <c r="J81" t="n">
        <v>2</v>
      </c>
      <c r="K81" t="n">
        <v>0</v>
      </c>
      <c r="L81" t="n">
        <v>0</v>
      </c>
      <c r="M81" t="n">
        <v>0</v>
      </c>
      <c r="N81" t="n">
        <v>0</v>
      </c>
      <c r="O81" t="n">
        <v>2</v>
      </c>
      <c r="P81" t="n">
        <v>0</v>
      </c>
      <c r="Q81" t="n">
        <v>5</v>
      </c>
      <c r="R81" s="2" t="inlineStr">
        <is>
          <t>Blå taggsvamp
Kolflarnlav
Dropptaggsvamp
Plattlummer
Skarp dropptaggsvamp</t>
        </is>
      </c>
      <c r="S81">
        <f>HYPERLINK("https://klasma.github.io/Logging_202039/artfynd/A 29779-2025 artfynd.xlsx", "A 29779-2025")</f>
        <v/>
      </c>
      <c r="T81">
        <f>HYPERLINK("https://klasma.github.io/Logging_202039/kartor/A 29779-2025 karta.png", "A 29779-2025")</f>
        <v/>
      </c>
      <c r="V81">
        <f>HYPERLINK("https://klasma.github.io/Logging_202039/klagomål/A 29779-2025 FSC-klagomål.docx", "A 29779-2025")</f>
        <v/>
      </c>
      <c r="W81">
        <f>HYPERLINK("https://klasma.github.io/Logging_202039/klagomålsmail/A 29779-2025 FSC-klagomål mail.docx", "A 29779-2025")</f>
        <v/>
      </c>
      <c r="X81">
        <f>HYPERLINK("https://klasma.github.io/Logging_202039/tillsyn/A 29779-2025 tillsynsbegäran.docx", "A 29779-2025")</f>
        <v/>
      </c>
      <c r="Y81">
        <f>HYPERLINK("https://klasma.github.io/Logging_202039/tillsynsmail/A 29779-2025 tillsynsbegäran mail.docx", "A 29779-2025")</f>
        <v/>
      </c>
    </row>
    <row r="82" ht="15" customHeight="1">
      <c r="A82" t="inlineStr">
        <is>
          <t>A 46264-2019</t>
        </is>
      </c>
      <c r="B82" s="1" t="n">
        <v>43713</v>
      </c>
      <c r="C82" s="1" t="n">
        <v>45838</v>
      </c>
      <c r="D82" t="inlineStr">
        <is>
          <t>DALARNAS LÄN</t>
        </is>
      </c>
      <c r="E82" t="inlineStr">
        <is>
          <t>ÄLVDALEN</t>
        </is>
      </c>
      <c r="G82" t="n">
        <v>19.4</v>
      </c>
      <c r="H82" t="n">
        <v>0</v>
      </c>
      <c r="I82" t="n">
        <v>0</v>
      </c>
      <c r="J82" t="n">
        <v>4</v>
      </c>
      <c r="K82" t="n">
        <v>0</v>
      </c>
      <c r="L82" t="n">
        <v>0</v>
      </c>
      <c r="M82" t="n">
        <v>0</v>
      </c>
      <c r="N82" t="n">
        <v>0</v>
      </c>
      <c r="O82" t="n">
        <v>4</v>
      </c>
      <c r="P82" t="n">
        <v>0</v>
      </c>
      <c r="Q82" t="n">
        <v>4</v>
      </c>
      <c r="R82" s="2" t="inlineStr">
        <is>
          <t>Kolflarnlav
Mörk kolflarnlav
Vedflamlav
Vedskivlav</t>
        </is>
      </c>
      <c r="S82">
        <f>HYPERLINK("https://klasma.github.io/Logging_2039/artfynd/A 46264-2019 artfynd.xlsx", "A 46264-2019")</f>
        <v/>
      </c>
      <c r="T82">
        <f>HYPERLINK("https://klasma.github.io/Logging_2039/kartor/A 46264-2019 karta.png", "A 46264-2019")</f>
        <v/>
      </c>
      <c r="V82">
        <f>HYPERLINK("https://klasma.github.io/Logging_2039/klagomål/A 46264-2019 FSC-klagomål.docx", "A 46264-2019")</f>
        <v/>
      </c>
      <c r="W82">
        <f>HYPERLINK("https://klasma.github.io/Logging_2039/klagomålsmail/A 46264-2019 FSC-klagomål mail.docx", "A 46264-2019")</f>
        <v/>
      </c>
      <c r="X82">
        <f>HYPERLINK("https://klasma.github.io/Logging_2039/tillsyn/A 46264-2019 tillsynsbegäran.docx", "A 46264-2019")</f>
        <v/>
      </c>
      <c r="Y82">
        <f>HYPERLINK("https://klasma.github.io/Logging_2039/tillsynsmail/A 46264-2019 tillsynsbegäran mail.docx", "A 46264-2019")</f>
        <v/>
      </c>
    </row>
    <row r="83" ht="15" customHeight="1">
      <c r="A83" t="inlineStr">
        <is>
          <t>A 58508-2021</t>
        </is>
      </c>
      <c r="B83" s="1" t="n">
        <v>44488</v>
      </c>
      <c r="C83" s="1" t="n">
        <v>45838</v>
      </c>
      <c r="D83" t="inlineStr">
        <is>
          <t>DALARNAS LÄN</t>
        </is>
      </c>
      <c r="E83" t="inlineStr">
        <is>
          <t>ÄLVDALEN</t>
        </is>
      </c>
      <c r="F83" t="inlineStr">
        <is>
          <t>Sveaskog</t>
        </is>
      </c>
      <c r="G83" t="n">
        <v>13.3</v>
      </c>
      <c r="H83" t="n">
        <v>1</v>
      </c>
      <c r="I83" t="n">
        <v>0</v>
      </c>
      <c r="J83" t="n">
        <v>4</v>
      </c>
      <c r="K83" t="n">
        <v>0</v>
      </c>
      <c r="L83" t="n">
        <v>0</v>
      </c>
      <c r="M83" t="n">
        <v>0</v>
      </c>
      <c r="N83" t="n">
        <v>0</v>
      </c>
      <c r="O83" t="n">
        <v>4</v>
      </c>
      <c r="P83" t="n">
        <v>0</v>
      </c>
      <c r="Q83" t="n">
        <v>4</v>
      </c>
      <c r="R83" s="2" t="inlineStr">
        <is>
          <t>Kolflarnlav
Mörk kolflarnlav
Varglav
Vedflamlav</t>
        </is>
      </c>
      <c r="S83">
        <f>HYPERLINK("https://klasma.github.io/Logging_2039/artfynd/A 58508-2021 artfynd.xlsx", "A 58508-2021")</f>
        <v/>
      </c>
      <c r="T83">
        <f>HYPERLINK("https://klasma.github.io/Logging_2039/kartor/A 58508-2021 karta.png", "A 58508-2021")</f>
        <v/>
      </c>
      <c r="V83">
        <f>HYPERLINK("https://klasma.github.io/Logging_2039/klagomål/A 58508-2021 FSC-klagomål.docx", "A 58508-2021")</f>
        <v/>
      </c>
      <c r="W83">
        <f>HYPERLINK("https://klasma.github.io/Logging_2039/klagomålsmail/A 58508-2021 FSC-klagomål mail.docx", "A 58508-2021")</f>
        <v/>
      </c>
      <c r="X83">
        <f>HYPERLINK("https://klasma.github.io/Logging_2039/tillsyn/A 58508-2021 tillsynsbegäran.docx", "A 58508-2021")</f>
        <v/>
      </c>
      <c r="Y83">
        <f>HYPERLINK("https://klasma.github.io/Logging_2039/tillsynsmail/A 58508-2021 tillsynsbegäran mail.docx", "A 58508-2021")</f>
        <v/>
      </c>
    </row>
    <row r="84" ht="15" customHeight="1">
      <c r="A84" t="inlineStr">
        <is>
          <t>A 40710-2022</t>
        </is>
      </c>
      <c r="B84" s="1" t="n">
        <v>44824</v>
      </c>
      <c r="C84" s="1" t="n">
        <v>45838</v>
      </c>
      <c r="D84" t="inlineStr">
        <is>
          <t>DALARNAS LÄN</t>
        </is>
      </c>
      <c r="E84" t="inlineStr">
        <is>
          <t>ÄLVDALEN</t>
        </is>
      </c>
      <c r="F84" t="inlineStr">
        <is>
          <t>Övriga statliga verk och myndigheter</t>
        </is>
      </c>
      <c r="G84" t="n">
        <v>6.7</v>
      </c>
      <c r="H84" t="n">
        <v>1</v>
      </c>
      <c r="I84" t="n">
        <v>1</v>
      </c>
      <c r="J84" t="n">
        <v>2</v>
      </c>
      <c r="K84" t="n">
        <v>0</v>
      </c>
      <c r="L84" t="n">
        <v>1</v>
      </c>
      <c r="M84" t="n">
        <v>0</v>
      </c>
      <c r="N84" t="n">
        <v>0</v>
      </c>
      <c r="O84" t="n">
        <v>3</v>
      </c>
      <c r="P84" t="n">
        <v>1</v>
      </c>
      <c r="Q84" t="n">
        <v>4</v>
      </c>
      <c r="R84" s="2" t="inlineStr">
        <is>
          <t>Mosippa
Garnlav
Tallticka
Stuplav</t>
        </is>
      </c>
      <c r="S84">
        <f>HYPERLINK("https://klasma.github.io/Logging_2039/artfynd/A 40710-2022 artfynd.xlsx", "A 40710-2022")</f>
        <v/>
      </c>
      <c r="T84">
        <f>HYPERLINK("https://klasma.github.io/Logging_2039/kartor/A 40710-2022 karta.png", "A 40710-2022")</f>
        <v/>
      </c>
      <c r="V84">
        <f>HYPERLINK("https://klasma.github.io/Logging_2039/klagomål/A 40710-2022 FSC-klagomål.docx", "A 40710-2022")</f>
        <v/>
      </c>
      <c r="W84">
        <f>HYPERLINK("https://klasma.github.io/Logging_2039/klagomålsmail/A 40710-2022 FSC-klagomål mail.docx", "A 40710-2022")</f>
        <v/>
      </c>
      <c r="X84">
        <f>HYPERLINK("https://klasma.github.io/Logging_2039/tillsyn/A 40710-2022 tillsynsbegäran.docx", "A 40710-2022")</f>
        <v/>
      </c>
      <c r="Y84">
        <f>HYPERLINK("https://klasma.github.io/Logging_2039/tillsynsmail/A 40710-2022 tillsynsbegäran mail.docx", "A 40710-2022")</f>
        <v/>
      </c>
    </row>
    <row r="85" ht="15" customHeight="1">
      <c r="A85" t="inlineStr">
        <is>
          <t>A 41966-2022</t>
        </is>
      </c>
      <c r="B85" s="1" t="n">
        <v>44830</v>
      </c>
      <c r="C85" s="1" t="n">
        <v>45838</v>
      </c>
      <c r="D85" t="inlineStr">
        <is>
          <t>DALARNAS LÄN</t>
        </is>
      </c>
      <c r="E85" t="inlineStr">
        <is>
          <t>ÄLVDALEN</t>
        </is>
      </c>
      <c r="F85" t="inlineStr">
        <is>
          <t>Sveaskog</t>
        </is>
      </c>
      <c r="G85" t="n">
        <v>3</v>
      </c>
      <c r="H85" t="n">
        <v>2</v>
      </c>
      <c r="I85" t="n">
        <v>1</v>
      </c>
      <c r="J85" t="n">
        <v>2</v>
      </c>
      <c r="K85" t="n">
        <v>0</v>
      </c>
      <c r="L85" t="n">
        <v>1</v>
      </c>
      <c r="M85" t="n">
        <v>0</v>
      </c>
      <c r="N85" t="n">
        <v>0</v>
      </c>
      <c r="O85" t="n">
        <v>3</v>
      </c>
      <c r="P85" t="n">
        <v>1</v>
      </c>
      <c r="Q85" t="n">
        <v>4</v>
      </c>
      <c r="R85" s="2" t="inlineStr">
        <is>
          <t>Mosippa
Kolflarnlav
Spillkråka
Dropptaggsvamp</t>
        </is>
      </c>
      <c r="S85">
        <f>HYPERLINK("https://klasma.github.io/Logging_2039/artfynd/A 41966-2022 artfynd.xlsx", "A 41966-2022")</f>
        <v/>
      </c>
      <c r="T85">
        <f>HYPERLINK("https://klasma.github.io/Logging_2039/kartor/A 41966-2022 karta.png", "A 41966-2022")</f>
        <v/>
      </c>
      <c r="V85">
        <f>HYPERLINK("https://klasma.github.io/Logging_2039/klagomål/A 41966-2022 FSC-klagomål.docx", "A 41966-2022")</f>
        <v/>
      </c>
      <c r="W85">
        <f>HYPERLINK("https://klasma.github.io/Logging_2039/klagomålsmail/A 41966-2022 FSC-klagomål mail.docx", "A 41966-2022")</f>
        <v/>
      </c>
      <c r="X85">
        <f>HYPERLINK("https://klasma.github.io/Logging_2039/tillsyn/A 41966-2022 tillsynsbegäran.docx", "A 41966-2022")</f>
        <v/>
      </c>
      <c r="Y85">
        <f>HYPERLINK("https://klasma.github.io/Logging_2039/tillsynsmail/A 41966-2022 tillsynsbegäran mail.docx", "A 41966-2022")</f>
        <v/>
      </c>
      <c r="Z85">
        <f>HYPERLINK("https://klasma.github.io/Logging_2039/fåglar/A 41966-2022 prioriterade fågelarter.docx", "A 41966-2022")</f>
        <v/>
      </c>
    </row>
    <row r="86" ht="15" customHeight="1">
      <c r="A86" t="inlineStr">
        <is>
          <t>A 50207-2022</t>
        </is>
      </c>
      <c r="B86" s="1" t="n">
        <v>44865</v>
      </c>
      <c r="C86" s="1" t="n">
        <v>45838</v>
      </c>
      <c r="D86" t="inlineStr">
        <is>
          <t>DALARNAS LÄN</t>
        </is>
      </c>
      <c r="E86" t="inlineStr">
        <is>
          <t>ÄLVDALEN</t>
        </is>
      </c>
      <c r="F86" t="inlineStr">
        <is>
          <t>Sveaskog</t>
        </is>
      </c>
      <c r="G86" t="n">
        <v>1.4</v>
      </c>
      <c r="H86" t="n">
        <v>0</v>
      </c>
      <c r="I86" t="n">
        <v>1</v>
      </c>
      <c r="J86" t="n">
        <v>3</v>
      </c>
      <c r="K86" t="n">
        <v>0</v>
      </c>
      <c r="L86" t="n">
        <v>0</v>
      </c>
      <c r="M86" t="n">
        <v>0</v>
      </c>
      <c r="N86" t="n">
        <v>0</v>
      </c>
      <c r="O86" t="n">
        <v>3</v>
      </c>
      <c r="P86" t="n">
        <v>0</v>
      </c>
      <c r="Q86" t="n">
        <v>4</v>
      </c>
      <c r="R86" s="2" t="inlineStr">
        <is>
          <t>Blanksvart spiklav
Kolflarnlav
Mörk kolflarnlav
Dropptaggsvamp</t>
        </is>
      </c>
      <c r="S86">
        <f>HYPERLINK("https://klasma.github.io/Logging_2039/artfynd/A 50207-2022 artfynd.xlsx", "A 50207-2022")</f>
        <v/>
      </c>
      <c r="T86">
        <f>HYPERLINK("https://klasma.github.io/Logging_2039/kartor/A 50207-2022 karta.png", "A 50207-2022")</f>
        <v/>
      </c>
      <c r="V86">
        <f>HYPERLINK("https://klasma.github.io/Logging_2039/klagomål/A 50207-2022 FSC-klagomål.docx", "A 50207-2022")</f>
        <v/>
      </c>
      <c r="W86">
        <f>HYPERLINK("https://klasma.github.io/Logging_2039/klagomålsmail/A 50207-2022 FSC-klagomål mail.docx", "A 50207-2022")</f>
        <v/>
      </c>
      <c r="X86">
        <f>HYPERLINK("https://klasma.github.io/Logging_2039/tillsyn/A 50207-2022 tillsynsbegäran.docx", "A 50207-2022")</f>
        <v/>
      </c>
      <c r="Y86">
        <f>HYPERLINK("https://klasma.github.io/Logging_2039/tillsynsmail/A 50207-2022 tillsynsbegäran mail.docx", "A 50207-2022")</f>
        <v/>
      </c>
    </row>
    <row r="87" ht="15" customHeight="1">
      <c r="A87" t="inlineStr">
        <is>
          <t>A 56078-2022</t>
        </is>
      </c>
      <c r="B87" s="1" t="n">
        <v>44889</v>
      </c>
      <c r="C87" s="1" t="n">
        <v>45838</v>
      </c>
      <c r="D87" t="inlineStr">
        <is>
          <t>DALARNAS LÄN</t>
        </is>
      </c>
      <c r="E87" t="inlineStr">
        <is>
          <t>ÄLVDALEN</t>
        </is>
      </c>
      <c r="F87" t="inlineStr">
        <is>
          <t>Bergvik skog öst AB</t>
        </is>
      </c>
      <c r="G87" t="n">
        <v>2.4</v>
      </c>
      <c r="H87" t="n">
        <v>3</v>
      </c>
      <c r="I87" t="n">
        <v>1</v>
      </c>
      <c r="J87" t="n">
        <v>1</v>
      </c>
      <c r="K87" t="n">
        <v>0</v>
      </c>
      <c r="L87" t="n">
        <v>1</v>
      </c>
      <c r="M87" t="n">
        <v>0</v>
      </c>
      <c r="N87" t="n">
        <v>0</v>
      </c>
      <c r="O87" t="n">
        <v>2</v>
      </c>
      <c r="P87" t="n">
        <v>1</v>
      </c>
      <c r="Q87" t="n">
        <v>4</v>
      </c>
      <c r="R87" s="2" t="inlineStr">
        <is>
          <t>Storspov
Buskskvätta
Dropptaggsvamp
Enkelbeckasin</t>
        </is>
      </c>
      <c r="S87">
        <f>HYPERLINK("https://klasma.github.io/Logging_2039/artfynd/A 56078-2022 artfynd.xlsx", "A 56078-2022")</f>
        <v/>
      </c>
      <c r="T87">
        <f>HYPERLINK("https://klasma.github.io/Logging_2039/kartor/A 56078-2022 karta.png", "A 56078-2022")</f>
        <v/>
      </c>
      <c r="V87">
        <f>HYPERLINK("https://klasma.github.io/Logging_2039/klagomål/A 56078-2022 FSC-klagomål.docx", "A 56078-2022")</f>
        <v/>
      </c>
      <c r="W87">
        <f>HYPERLINK("https://klasma.github.io/Logging_2039/klagomålsmail/A 56078-2022 FSC-klagomål mail.docx", "A 56078-2022")</f>
        <v/>
      </c>
      <c r="X87">
        <f>HYPERLINK("https://klasma.github.io/Logging_2039/tillsyn/A 56078-2022 tillsynsbegäran.docx", "A 56078-2022")</f>
        <v/>
      </c>
      <c r="Y87">
        <f>HYPERLINK("https://klasma.github.io/Logging_2039/tillsynsmail/A 56078-2022 tillsynsbegäran mail.docx", "A 56078-2022")</f>
        <v/>
      </c>
      <c r="Z87">
        <f>HYPERLINK("https://klasma.github.io/Logging_2039/fåglar/A 56078-2022 prioriterade fågelarter.docx", "A 56078-2022")</f>
        <v/>
      </c>
    </row>
    <row r="88" ht="15" customHeight="1">
      <c r="A88" t="inlineStr">
        <is>
          <t>A 28822-2023</t>
        </is>
      </c>
      <c r="B88" s="1" t="n">
        <v>45104</v>
      </c>
      <c r="C88" s="1" t="n">
        <v>45838</v>
      </c>
      <c r="D88" t="inlineStr">
        <is>
          <t>DALARNAS LÄN</t>
        </is>
      </c>
      <c r="E88" t="inlineStr">
        <is>
          <t>ÄLVDALEN</t>
        </is>
      </c>
      <c r="F88" t="inlineStr">
        <is>
          <t>Sveaskog</t>
        </is>
      </c>
      <c r="G88" t="n">
        <v>4</v>
      </c>
      <c r="H88" t="n">
        <v>0</v>
      </c>
      <c r="I88" t="n">
        <v>1</v>
      </c>
      <c r="J88" t="n">
        <v>3</v>
      </c>
      <c r="K88" t="n">
        <v>0</v>
      </c>
      <c r="L88" t="n">
        <v>0</v>
      </c>
      <c r="M88" t="n">
        <v>0</v>
      </c>
      <c r="N88" t="n">
        <v>0</v>
      </c>
      <c r="O88" t="n">
        <v>3</v>
      </c>
      <c r="P88" t="n">
        <v>0</v>
      </c>
      <c r="Q88" t="n">
        <v>4</v>
      </c>
      <c r="R88" s="2" t="inlineStr">
        <is>
          <t>Skrovlig taggsvamp
Talltaggsvamp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29252-2023</t>
        </is>
      </c>
      <c r="B89" s="1" t="n">
        <v>45105</v>
      </c>
      <c r="C89" s="1" t="n">
        <v>45838</v>
      </c>
      <c r="D89" t="inlineStr">
        <is>
          <t>DALARNAS LÄN</t>
        </is>
      </c>
      <c r="E89" t="inlineStr">
        <is>
          <t>ÄLVDALEN</t>
        </is>
      </c>
      <c r="F89" t="inlineStr">
        <is>
          <t>Allmännings- och besparingsskogar</t>
        </is>
      </c>
      <c r="G89" t="n">
        <v>3.5</v>
      </c>
      <c r="H89" t="n">
        <v>1</v>
      </c>
      <c r="I89" t="n">
        <v>0</v>
      </c>
      <c r="J89" t="n">
        <v>4</v>
      </c>
      <c r="K89" t="n">
        <v>0</v>
      </c>
      <c r="L89" t="n">
        <v>0</v>
      </c>
      <c r="M89" t="n">
        <v>0</v>
      </c>
      <c r="N89" t="n">
        <v>0</v>
      </c>
      <c r="O89" t="n">
        <v>4</v>
      </c>
      <c r="P89" t="n">
        <v>0</v>
      </c>
      <c r="Q89" t="n">
        <v>4</v>
      </c>
      <c r="R89" s="2" t="inlineStr">
        <is>
          <t>Knottrig blåslav
Kolflarnlav
Varglav
Vedflamlav</t>
        </is>
      </c>
      <c r="S89">
        <f>HYPERLINK("https://klasma.github.io/Logging_2039/artfynd/A 29252-2023 artfynd.xlsx", "A 29252-2023")</f>
        <v/>
      </c>
      <c r="T89">
        <f>HYPERLINK("https://klasma.github.io/Logging_2039/kartor/A 29252-2023 karta.png", "A 29252-2023")</f>
        <v/>
      </c>
      <c r="V89">
        <f>HYPERLINK("https://klasma.github.io/Logging_2039/klagomål/A 29252-2023 FSC-klagomål.docx", "A 29252-2023")</f>
        <v/>
      </c>
      <c r="W89">
        <f>HYPERLINK("https://klasma.github.io/Logging_2039/klagomålsmail/A 29252-2023 FSC-klagomål mail.docx", "A 29252-2023")</f>
        <v/>
      </c>
      <c r="X89">
        <f>HYPERLINK("https://klasma.github.io/Logging_2039/tillsyn/A 29252-2023 tillsynsbegäran.docx", "A 29252-2023")</f>
        <v/>
      </c>
      <c r="Y89">
        <f>HYPERLINK("https://klasma.github.io/Logging_2039/tillsynsmail/A 29252-2023 tillsynsbegäran mail.docx", "A 29252-2023")</f>
        <v/>
      </c>
    </row>
    <row r="90" ht="15" customHeight="1">
      <c r="A90" t="inlineStr">
        <is>
          <t>A 33550-2023</t>
        </is>
      </c>
      <c r="B90" s="1" t="n">
        <v>45118</v>
      </c>
      <c r="C90" s="1" t="n">
        <v>45838</v>
      </c>
      <c r="D90" t="inlineStr">
        <is>
          <t>DALARNAS LÄN</t>
        </is>
      </c>
      <c r="E90" t="inlineStr">
        <is>
          <t>ÄLVDALEN</t>
        </is>
      </c>
      <c r="G90" t="n">
        <v>1</v>
      </c>
      <c r="H90" t="n">
        <v>0</v>
      </c>
      <c r="I90" t="n">
        <v>1</v>
      </c>
      <c r="J90" t="n">
        <v>3</v>
      </c>
      <c r="K90" t="n">
        <v>0</v>
      </c>
      <c r="L90" t="n">
        <v>0</v>
      </c>
      <c r="M90" t="n">
        <v>0</v>
      </c>
      <c r="N90" t="n">
        <v>0</v>
      </c>
      <c r="O90" t="n">
        <v>3</v>
      </c>
      <c r="P90" t="n">
        <v>0</v>
      </c>
      <c r="Q90" t="n">
        <v>4</v>
      </c>
      <c r="R90" s="2" t="inlineStr">
        <is>
          <t>Garnlav
Granticka
Vedskivlav
Dropptaggsvamp</t>
        </is>
      </c>
      <c r="S90">
        <f>HYPERLINK("https://klasma.github.io/Logging_2039/artfynd/A 33550-2023 artfynd.xlsx", "A 33550-2023")</f>
        <v/>
      </c>
      <c r="T90">
        <f>HYPERLINK("https://klasma.github.io/Logging_2039/kartor/A 33550-2023 karta.png", "A 33550-2023")</f>
        <v/>
      </c>
      <c r="V90">
        <f>HYPERLINK("https://klasma.github.io/Logging_2039/klagomål/A 33550-2023 FSC-klagomål.docx", "A 33550-2023")</f>
        <v/>
      </c>
      <c r="W90">
        <f>HYPERLINK("https://klasma.github.io/Logging_2039/klagomålsmail/A 33550-2023 FSC-klagomål mail.docx", "A 33550-2023")</f>
        <v/>
      </c>
      <c r="X90">
        <f>HYPERLINK("https://klasma.github.io/Logging_2039/tillsyn/A 33550-2023 tillsynsbegäran.docx", "A 33550-2023")</f>
        <v/>
      </c>
      <c r="Y90">
        <f>HYPERLINK("https://klasma.github.io/Logging_2039/tillsynsmail/A 33550-2023 tillsynsbegäran mail.docx", "A 33550-2023")</f>
        <v/>
      </c>
    </row>
    <row r="91" ht="15" customHeight="1">
      <c r="A91" t="inlineStr">
        <is>
          <t>A 42874-2023</t>
        </is>
      </c>
      <c r="B91" s="1" t="n">
        <v>45182</v>
      </c>
      <c r="C91" s="1" t="n">
        <v>45838</v>
      </c>
      <c r="D91" t="inlineStr">
        <is>
          <t>DALARNAS LÄN</t>
        </is>
      </c>
      <c r="E91" t="inlineStr">
        <is>
          <t>ÄLVDALEN</t>
        </is>
      </c>
      <c r="F91" t="inlineStr">
        <is>
          <t>Sveaskog</t>
        </is>
      </c>
      <c r="G91" t="n">
        <v>2.7</v>
      </c>
      <c r="H91" t="n">
        <v>0</v>
      </c>
      <c r="I91" t="n">
        <v>1</v>
      </c>
      <c r="J91" t="n">
        <v>3</v>
      </c>
      <c r="K91" t="n">
        <v>0</v>
      </c>
      <c r="L91" t="n">
        <v>0</v>
      </c>
      <c r="M91" t="n">
        <v>0</v>
      </c>
      <c r="N91" t="n">
        <v>0</v>
      </c>
      <c r="O91" t="n">
        <v>3</v>
      </c>
      <c r="P91" t="n">
        <v>0</v>
      </c>
      <c r="Q91" t="n">
        <v>4</v>
      </c>
      <c r="R91" s="2" t="inlineStr">
        <is>
          <t>Blå taggsvamp
Motaggsvamp
Reliktbock
Skarp dropptaggsvamp</t>
        </is>
      </c>
      <c r="S91">
        <f>HYPERLINK("https://klasma.github.io/Logging_2039/artfynd/A 42874-2023 artfynd.xlsx", "A 42874-2023")</f>
        <v/>
      </c>
      <c r="T91">
        <f>HYPERLINK("https://klasma.github.io/Logging_2039/kartor/A 42874-2023 karta.png", "A 42874-2023")</f>
        <v/>
      </c>
      <c r="V91">
        <f>HYPERLINK("https://klasma.github.io/Logging_2039/klagomål/A 42874-2023 FSC-klagomål.docx", "A 42874-2023")</f>
        <v/>
      </c>
      <c r="W91">
        <f>HYPERLINK("https://klasma.github.io/Logging_2039/klagomålsmail/A 42874-2023 FSC-klagomål mail.docx", "A 42874-2023")</f>
        <v/>
      </c>
      <c r="X91">
        <f>HYPERLINK("https://klasma.github.io/Logging_2039/tillsyn/A 42874-2023 tillsynsbegäran.docx", "A 42874-2023")</f>
        <v/>
      </c>
      <c r="Y91">
        <f>HYPERLINK("https://klasma.github.io/Logging_2039/tillsynsmail/A 42874-2023 tillsynsbegäran mail.docx", "A 42874-2023")</f>
        <v/>
      </c>
    </row>
    <row r="92" ht="15" customHeight="1">
      <c r="A92" t="inlineStr">
        <is>
          <t>A 49052-2023</t>
        </is>
      </c>
      <c r="B92" s="1" t="n">
        <v>45210</v>
      </c>
      <c r="C92" s="1" t="n">
        <v>45838</v>
      </c>
      <c r="D92" t="inlineStr">
        <is>
          <t>DALARNAS LÄN</t>
        </is>
      </c>
      <c r="E92" t="inlineStr">
        <is>
          <t>ÄLVDALEN</t>
        </is>
      </c>
      <c r="F92" t="inlineStr">
        <is>
          <t>Sveaskog</t>
        </is>
      </c>
      <c r="G92" t="n">
        <v>4.4</v>
      </c>
      <c r="H92" t="n">
        <v>1</v>
      </c>
      <c r="I92" t="n">
        <v>0</v>
      </c>
      <c r="J92" t="n">
        <v>4</v>
      </c>
      <c r="K92" t="n">
        <v>0</v>
      </c>
      <c r="L92" t="n">
        <v>0</v>
      </c>
      <c r="M92" t="n">
        <v>0</v>
      </c>
      <c r="N92" t="n">
        <v>0</v>
      </c>
      <c r="O92" t="n">
        <v>4</v>
      </c>
      <c r="P92" t="n">
        <v>0</v>
      </c>
      <c r="Q92" t="n">
        <v>4</v>
      </c>
      <c r="R92" s="2" t="inlineStr">
        <is>
          <t>Kolflarnlav
Mörk kolflarnlav
Varglav
Vedflamlav</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59190-2023</t>
        </is>
      </c>
      <c r="B93" s="1" t="n">
        <v>45253</v>
      </c>
      <c r="C93" s="1" t="n">
        <v>45838</v>
      </c>
      <c r="D93" t="inlineStr">
        <is>
          <t>DALARNAS LÄN</t>
        </is>
      </c>
      <c r="E93" t="inlineStr">
        <is>
          <t>ÄLVDALEN</t>
        </is>
      </c>
      <c r="F93" t="inlineStr">
        <is>
          <t>Allmännings- och besparingsskogar</t>
        </is>
      </c>
      <c r="G93" t="n">
        <v>27.8</v>
      </c>
      <c r="H93" t="n">
        <v>0</v>
      </c>
      <c r="I93" t="n">
        <v>0</v>
      </c>
      <c r="J93" t="n">
        <v>4</v>
      </c>
      <c r="K93" t="n">
        <v>0</v>
      </c>
      <c r="L93" t="n">
        <v>0</v>
      </c>
      <c r="M93" t="n">
        <v>0</v>
      </c>
      <c r="N93" t="n">
        <v>0</v>
      </c>
      <c r="O93" t="n">
        <v>4</v>
      </c>
      <c r="P93" t="n">
        <v>0</v>
      </c>
      <c r="Q93" t="n">
        <v>4</v>
      </c>
      <c r="R93" s="2" t="inlineStr">
        <is>
          <t>Garnlav
Liten svartspik
Violettgrå tagellav
Vitgrynig nållav</t>
        </is>
      </c>
      <c r="S93">
        <f>HYPERLINK("https://klasma.github.io/Logging_2039/artfynd/A 59190-2023 artfynd.xlsx", "A 59190-2023")</f>
        <v/>
      </c>
      <c r="T93">
        <f>HYPERLINK("https://klasma.github.io/Logging_2039/kartor/A 59190-2023 karta.png", "A 59190-2023")</f>
        <v/>
      </c>
      <c r="V93">
        <f>HYPERLINK("https://klasma.github.io/Logging_2039/klagomål/A 59190-2023 FSC-klagomål.docx", "A 59190-2023")</f>
        <v/>
      </c>
      <c r="W93">
        <f>HYPERLINK("https://klasma.github.io/Logging_2039/klagomålsmail/A 59190-2023 FSC-klagomål mail.docx", "A 59190-2023")</f>
        <v/>
      </c>
      <c r="X93">
        <f>HYPERLINK("https://klasma.github.io/Logging_2039/tillsyn/A 59190-2023 tillsynsbegäran.docx", "A 59190-2023")</f>
        <v/>
      </c>
      <c r="Y93">
        <f>HYPERLINK("https://klasma.github.io/Logging_2039/tillsynsmail/A 59190-2023 tillsynsbegäran mail.docx", "A 59190-2023")</f>
        <v/>
      </c>
    </row>
    <row r="94" ht="15" customHeight="1">
      <c r="A94" t="inlineStr">
        <is>
          <t>A 9786-2024</t>
        </is>
      </c>
      <c r="B94" s="1" t="n">
        <v>45362</v>
      </c>
      <c r="C94" s="1" t="n">
        <v>45838</v>
      </c>
      <c r="D94" t="inlineStr">
        <is>
          <t>DALARNAS LÄN</t>
        </is>
      </c>
      <c r="E94" t="inlineStr">
        <is>
          <t>ÄLVDALEN</t>
        </is>
      </c>
      <c r="F94" t="inlineStr">
        <is>
          <t>Övriga statliga verk och myndigheter</t>
        </is>
      </c>
      <c r="G94" t="n">
        <v>12.5</v>
      </c>
      <c r="H94" t="n">
        <v>0</v>
      </c>
      <c r="I94" t="n">
        <v>1</v>
      </c>
      <c r="J94" t="n">
        <v>3</v>
      </c>
      <c r="K94" t="n">
        <v>0</v>
      </c>
      <c r="L94" t="n">
        <v>0</v>
      </c>
      <c r="M94" t="n">
        <v>0</v>
      </c>
      <c r="N94" t="n">
        <v>0</v>
      </c>
      <c r="O94" t="n">
        <v>3</v>
      </c>
      <c r="P94" t="n">
        <v>0</v>
      </c>
      <c r="Q94" t="n">
        <v>4</v>
      </c>
      <c r="R94" s="2" t="inlineStr">
        <is>
          <t>Mörk kolflarnlav
Nordtagging
Vedflamlav
Dropptaggsvamp</t>
        </is>
      </c>
      <c r="S94">
        <f>HYPERLINK("https://klasma.github.io/Logging_2039/artfynd/A 9786-2024 artfynd.xlsx", "A 9786-2024")</f>
        <v/>
      </c>
      <c r="T94">
        <f>HYPERLINK("https://klasma.github.io/Logging_2039/kartor/A 9786-2024 karta.png", "A 9786-2024")</f>
        <v/>
      </c>
      <c r="V94">
        <f>HYPERLINK("https://klasma.github.io/Logging_2039/klagomål/A 9786-2024 FSC-klagomål.docx", "A 9786-2024")</f>
        <v/>
      </c>
      <c r="W94">
        <f>HYPERLINK("https://klasma.github.io/Logging_2039/klagomålsmail/A 9786-2024 FSC-klagomål mail.docx", "A 9786-2024")</f>
        <v/>
      </c>
      <c r="X94">
        <f>HYPERLINK("https://klasma.github.io/Logging_2039/tillsyn/A 9786-2024 tillsynsbegäran.docx", "A 9786-2024")</f>
        <v/>
      </c>
      <c r="Y94">
        <f>HYPERLINK("https://klasma.github.io/Logging_2039/tillsynsmail/A 9786-2024 tillsynsbegäran mail.docx", "A 9786-2024")</f>
        <v/>
      </c>
    </row>
    <row r="95" ht="15" customHeight="1">
      <c r="A95" t="inlineStr">
        <is>
          <t>A 17824-2024</t>
        </is>
      </c>
      <c r="B95" s="1" t="n">
        <v>45418</v>
      </c>
      <c r="C95" s="1" t="n">
        <v>45838</v>
      </c>
      <c r="D95" t="inlineStr">
        <is>
          <t>DALARNAS LÄN</t>
        </is>
      </c>
      <c r="E95" t="inlineStr">
        <is>
          <t>ÄLVDALEN</t>
        </is>
      </c>
      <c r="F95" t="inlineStr">
        <is>
          <t>Övriga statliga verk och myndigheter</t>
        </is>
      </c>
      <c r="G95" t="n">
        <v>14</v>
      </c>
      <c r="H95" t="n">
        <v>0</v>
      </c>
      <c r="I95" t="n">
        <v>0</v>
      </c>
      <c r="J95" t="n">
        <v>4</v>
      </c>
      <c r="K95" t="n">
        <v>0</v>
      </c>
      <c r="L95" t="n">
        <v>0</v>
      </c>
      <c r="M95" t="n">
        <v>0</v>
      </c>
      <c r="N95" t="n">
        <v>0</v>
      </c>
      <c r="O95" t="n">
        <v>4</v>
      </c>
      <c r="P95" t="n">
        <v>0</v>
      </c>
      <c r="Q95" t="n">
        <v>4</v>
      </c>
      <c r="R95" s="2" t="inlineStr">
        <is>
          <t>Kolflarnlav
Mörk kolflarnlav
Reliktbock
Vedskivlav</t>
        </is>
      </c>
      <c r="S95">
        <f>HYPERLINK("https://klasma.github.io/Logging_2039/artfynd/A 17824-2024 artfynd.xlsx", "A 17824-2024")</f>
        <v/>
      </c>
      <c r="T95">
        <f>HYPERLINK("https://klasma.github.io/Logging_2039/kartor/A 17824-2024 karta.png", "A 17824-2024")</f>
        <v/>
      </c>
      <c r="V95">
        <f>HYPERLINK("https://klasma.github.io/Logging_2039/klagomål/A 17824-2024 FSC-klagomål.docx", "A 17824-2024")</f>
        <v/>
      </c>
      <c r="W95">
        <f>HYPERLINK("https://klasma.github.io/Logging_2039/klagomålsmail/A 17824-2024 FSC-klagomål mail.docx", "A 17824-2024")</f>
        <v/>
      </c>
      <c r="X95">
        <f>HYPERLINK("https://klasma.github.io/Logging_2039/tillsyn/A 17824-2024 tillsynsbegäran.docx", "A 17824-2024")</f>
        <v/>
      </c>
      <c r="Y95">
        <f>HYPERLINK("https://klasma.github.io/Logging_2039/tillsynsmail/A 17824-2024 tillsynsbegäran mail.docx", "A 17824-2024")</f>
        <v/>
      </c>
    </row>
    <row r="96" ht="15" customHeight="1">
      <c r="A96" t="inlineStr">
        <is>
          <t>A 21114-2024</t>
        </is>
      </c>
      <c r="B96" s="1" t="n">
        <v>45440</v>
      </c>
      <c r="C96" s="1" t="n">
        <v>45838</v>
      </c>
      <c r="D96" t="inlineStr">
        <is>
          <t>DALARNAS LÄN</t>
        </is>
      </c>
      <c r="E96" t="inlineStr">
        <is>
          <t>ÄLVDALEN</t>
        </is>
      </c>
      <c r="F96" t="inlineStr">
        <is>
          <t>Sveaskog</t>
        </is>
      </c>
      <c r="G96" t="n">
        <v>7.6</v>
      </c>
      <c r="H96" t="n">
        <v>1</v>
      </c>
      <c r="I96" t="n">
        <v>0</v>
      </c>
      <c r="J96" t="n">
        <v>4</v>
      </c>
      <c r="K96" t="n">
        <v>0</v>
      </c>
      <c r="L96" t="n">
        <v>0</v>
      </c>
      <c r="M96" t="n">
        <v>0</v>
      </c>
      <c r="N96" t="n">
        <v>0</v>
      </c>
      <c r="O96" t="n">
        <v>4</v>
      </c>
      <c r="P96" t="n">
        <v>0</v>
      </c>
      <c r="Q96" t="n">
        <v>4</v>
      </c>
      <c r="R96" s="2" t="inlineStr">
        <is>
          <t>Blanksvart spiklav
Kolflarnlav
Mörk kolflarnlav
Varglav</t>
        </is>
      </c>
      <c r="S96">
        <f>HYPERLINK("https://klasma.github.io/Logging_2039/artfynd/A 21114-2024 artfynd.xlsx", "A 21114-2024")</f>
        <v/>
      </c>
      <c r="T96">
        <f>HYPERLINK("https://klasma.github.io/Logging_2039/kartor/A 21114-2024 karta.png", "A 21114-2024")</f>
        <v/>
      </c>
      <c r="V96">
        <f>HYPERLINK("https://klasma.github.io/Logging_2039/klagomål/A 21114-2024 FSC-klagomål.docx", "A 21114-2024")</f>
        <v/>
      </c>
      <c r="W96">
        <f>HYPERLINK("https://klasma.github.io/Logging_2039/klagomålsmail/A 21114-2024 FSC-klagomål mail.docx", "A 21114-2024")</f>
        <v/>
      </c>
      <c r="X96">
        <f>HYPERLINK("https://klasma.github.io/Logging_2039/tillsyn/A 21114-2024 tillsynsbegäran.docx", "A 21114-2024")</f>
        <v/>
      </c>
      <c r="Y96">
        <f>HYPERLINK("https://klasma.github.io/Logging_2039/tillsynsmail/A 21114-2024 tillsynsbegäran mail.docx", "A 21114-2024")</f>
        <v/>
      </c>
    </row>
    <row r="97" ht="15" customHeight="1">
      <c r="A97" t="inlineStr">
        <is>
          <t>A 32204-2024</t>
        </is>
      </c>
      <c r="B97" s="1" t="n">
        <v>45511</v>
      </c>
      <c r="C97" s="1" t="n">
        <v>45838</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32207-2024</t>
        </is>
      </c>
      <c r="B98" s="1" t="n">
        <v>45511</v>
      </c>
      <c r="C98" s="1" t="n">
        <v>45838</v>
      </c>
      <c r="D98" t="inlineStr">
        <is>
          <t>DALARNAS LÄN</t>
        </is>
      </c>
      <c r="E98" t="inlineStr">
        <is>
          <t>ÄLVDALEN</t>
        </is>
      </c>
      <c r="F98" t="inlineStr">
        <is>
          <t>Sveaskog</t>
        </is>
      </c>
      <c r="G98" t="n">
        <v>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32207-2024 artfynd.xlsx", "A 32207-2024")</f>
        <v/>
      </c>
      <c r="T98">
        <f>HYPERLINK("https://klasma.github.io/Logging_2039/kartor/A 32207-2024 karta.png", "A 32207-2024")</f>
        <v/>
      </c>
      <c r="V98">
        <f>HYPERLINK("https://klasma.github.io/Logging_2039/klagomål/A 32207-2024 FSC-klagomål.docx", "A 32207-2024")</f>
        <v/>
      </c>
      <c r="W98">
        <f>HYPERLINK("https://klasma.github.io/Logging_2039/klagomålsmail/A 32207-2024 FSC-klagomål mail.docx", "A 32207-2024")</f>
        <v/>
      </c>
      <c r="X98">
        <f>HYPERLINK("https://klasma.github.io/Logging_2039/tillsyn/A 32207-2024 tillsynsbegäran.docx", "A 32207-2024")</f>
        <v/>
      </c>
      <c r="Y98">
        <f>HYPERLINK("https://klasma.github.io/Logging_2039/tillsynsmail/A 32207-2024 tillsynsbegäran mail.docx", "A 32207-2024")</f>
        <v/>
      </c>
    </row>
    <row r="99" ht="15" customHeight="1">
      <c r="A99" t="inlineStr">
        <is>
          <t>A 36580-2024</t>
        </is>
      </c>
      <c r="B99" s="1" t="n">
        <v>45537</v>
      </c>
      <c r="C99" s="1" t="n">
        <v>45838</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38819-2024</t>
        </is>
      </c>
      <c r="B100" s="1" t="n">
        <v>45547</v>
      </c>
      <c r="C100" s="1" t="n">
        <v>45838</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38819-2024 artfynd.xlsx", "A 38819-2024")</f>
        <v/>
      </c>
      <c r="T100">
        <f>HYPERLINK("https://klasma.github.io/Logging_2039/kartor/A 38819-2024 karta.png", "A 38819-2024")</f>
        <v/>
      </c>
      <c r="V100">
        <f>HYPERLINK("https://klasma.github.io/Logging_2039/klagomål/A 38819-2024 FSC-klagomål.docx", "A 38819-2024")</f>
        <v/>
      </c>
      <c r="W100">
        <f>HYPERLINK("https://klasma.github.io/Logging_2039/klagomålsmail/A 38819-2024 FSC-klagomål mail.docx", "A 38819-2024")</f>
        <v/>
      </c>
      <c r="X100">
        <f>HYPERLINK("https://klasma.github.io/Logging_2039/tillsyn/A 38819-2024 tillsynsbegäran.docx", "A 38819-2024")</f>
        <v/>
      </c>
      <c r="Y100">
        <f>HYPERLINK("https://klasma.github.io/Logging_2039/tillsynsmail/A 38819-2024 tillsynsbegäran mail.docx", "A 38819-2024")</f>
        <v/>
      </c>
    </row>
    <row r="101" ht="15" customHeight="1">
      <c r="A101" t="inlineStr">
        <is>
          <t>A 25090-2025</t>
        </is>
      </c>
      <c r="B101" s="1" t="n">
        <v>45800</v>
      </c>
      <c r="C101" s="1" t="n">
        <v>45838</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HYPERLINK("https://klasma.github.io/Logging_202039/artfynd/A 25090-2025 artfynd.xlsx", "A 25090-2025")</f>
        <v/>
      </c>
      <c r="T101">
        <f>HYPERLINK("https://klasma.github.io/Logging_202039/kartor/A 25090-2025 karta.png", "A 25090-2025")</f>
        <v/>
      </c>
      <c r="V101">
        <f>HYPERLINK("https://klasma.github.io/Logging_202039/klagomål/A 25090-2025 FSC-klagomål.docx", "A 25090-2025")</f>
        <v/>
      </c>
      <c r="W101">
        <f>HYPERLINK("https://klasma.github.io/Logging_202039/klagomålsmail/A 25090-2025 FSC-klagomål mail.docx", "A 25090-2025")</f>
        <v/>
      </c>
      <c r="X101">
        <f>HYPERLINK("https://klasma.github.io/Logging_202039/tillsyn/A 25090-2025 tillsynsbegäran.docx", "A 25090-2025")</f>
        <v/>
      </c>
      <c r="Y101">
        <f>HYPERLINK("https://klasma.github.io/Logging_202039/tillsynsmail/A 25090-2025 tillsynsbegäran mail.docx", "A 25090-2025")</f>
        <v/>
      </c>
    </row>
    <row r="102" ht="15" customHeight="1">
      <c r="A102" t="inlineStr">
        <is>
          <t>A 26765-2025</t>
        </is>
      </c>
      <c r="B102" s="1" t="n">
        <v>45810</v>
      </c>
      <c r="C102" s="1" t="n">
        <v>45838</v>
      </c>
      <c r="D102" t="inlineStr">
        <is>
          <t>DALARNAS LÄN</t>
        </is>
      </c>
      <c r="E102" t="inlineStr">
        <is>
          <t>ÄLVDALEN</t>
        </is>
      </c>
      <c r="F102" t="inlineStr">
        <is>
          <t>Allmännings- och besparingsskogar</t>
        </is>
      </c>
      <c r="G102" t="n">
        <v>17.5</v>
      </c>
      <c r="H102" t="n">
        <v>1</v>
      </c>
      <c r="I102" t="n">
        <v>0</v>
      </c>
      <c r="J102" t="n">
        <v>3</v>
      </c>
      <c r="K102" t="n">
        <v>0</v>
      </c>
      <c r="L102" t="n">
        <v>0</v>
      </c>
      <c r="M102" t="n">
        <v>0</v>
      </c>
      <c r="N102" t="n">
        <v>0</v>
      </c>
      <c r="O102" t="n">
        <v>3</v>
      </c>
      <c r="P102" t="n">
        <v>0</v>
      </c>
      <c r="Q102" t="n">
        <v>4</v>
      </c>
      <c r="R102" s="2" t="inlineStr">
        <is>
          <t>Kolflarnlav
Vedflamlav
Vedskivlav
Tjäder</t>
        </is>
      </c>
      <c r="S102">
        <f>HYPERLINK("https://klasma.github.io/Logging_202039/artfynd/A 26765-2025 artfynd.xlsx", "A 26765-2025")</f>
        <v/>
      </c>
      <c r="T102">
        <f>HYPERLINK("https://klasma.github.io/Logging_202039/kartor/A 26765-2025 karta.png", "A 26765-2025")</f>
        <v/>
      </c>
      <c r="V102">
        <f>HYPERLINK("https://klasma.github.io/Logging_202039/klagomål/A 26765-2025 FSC-klagomål.docx", "A 26765-2025")</f>
        <v/>
      </c>
      <c r="W102">
        <f>HYPERLINK("https://klasma.github.io/Logging_202039/klagomålsmail/A 26765-2025 FSC-klagomål mail.docx", "A 26765-2025")</f>
        <v/>
      </c>
      <c r="X102">
        <f>HYPERLINK("https://klasma.github.io/Logging_202039/tillsyn/A 26765-2025 tillsynsbegäran.docx", "A 26765-2025")</f>
        <v/>
      </c>
      <c r="Y102">
        <f>HYPERLINK("https://klasma.github.io/Logging_202039/tillsynsmail/A 26765-2025 tillsynsbegäran mail.docx", "A 26765-2025")</f>
        <v/>
      </c>
      <c r="Z102">
        <f>HYPERLINK("https://klasma.github.io/Logging_202039/fåglar/A 26765-2025 prioriterade fågelarter.docx", "A 26765-2025")</f>
        <v/>
      </c>
    </row>
    <row r="103" ht="15" customHeight="1">
      <c r="A103" t="inlineStr">
        <is>
          <t>A 42208-2019</t>
        </is>
      </c>
      <c r="B103" s="1" t="n">
        <v>43703</v>
      </c>
      <c r="C103" s="1" t="n">
        <v>45838</v>
      </c>
      <c r="D103" t="inlineStr">
        <is>
          <t>DALARNAS LÄN</t>
        </is>
      </c>
      <c r="E103" t="inlineStr">
        <is>
          <t>ÄLVDALEN</t>
        </is>
      </c>
      <c r="G103" t="n">
        <v>21.5</v>
      </c>
      <c r="H103" t="n">
        <v>0</v>
      </c>
      <c r="I103" t="n">
        <v>0</v>
      </c>
      <c r="J103" t="n">
        <v>3</v>
      </c>
      <c r="K103" t="n">
        <v>0</v>
      </c>
      <c r="L103" t="n">
        <v>0</v>
      </c>
      <c r="M103" t="n">
        <v>0</v>
      </c>
      <c r="N103" t="n">
        <v>0</v>
      </c>
      <c r="O103" t="n">
        <v>3</v>
      </c>
      <c r="P103" t="n">
        <v>0</v>
      </c>
      <c r="Q103" t="n">
        <v>3</v>
      </c>
      <c r="R103" s="2" t="inlineStr">
        <is>
          <t>Blanksvart spiklav
Dvärgbägarlav
Vitplätt</t>
        </is>
      </c>
      <c r="S103">
        <f>HYPERLINK("https://klasma.github.io/Logging_2039/artfynd/A 42208-2019 artfynd.xlsx", "A 42208-2019")</f>
        <v/>
      </c>
      <c r="T103">
        <f>HYPERLINK("https://klasma.github.io/Logging_2039/kartor/A 42208-2019 karta.png", "A 42208-2019")</f>
        <v/>
      </c>
      <c r="V103">
        <f>HYPERLINK("https://klasma.github.io/Logging_2039/klagomål/A 42208-2019 FSC-klagomål.docx", "A 42208-2019")</f>
        <v/>
      </c>
      <c r="W103">
        <f>HYPERLINK("https://klasma.github.io/Logging_2039/klagomålsmail/A 42208-2019 FSC-klagomål mail.docx", "A 42208-2019")</f>
        <v/>
      </c>
      <c r="X103">
        <f>HYPERLINK("https://klasma.github.io/Logging_2039/tillsyn/A 42208-2019 tillsynsbegäran.docx", "A 42208-2019")</f>
        <v/>
      </c>
      <c r="Y103">
        <f>HYPERLINK("https://klasma.github.io/Logging_2039/tillsynsmail/A 42208-2019 tillsynsbegäran mail.docx", "A 42208-2019")</f>
        <v/>
      </c>
    </row>
    <row r="104" ht="15" customHeight="1">
      <c r="A104" t="inlineStr">
        <is>
          <t>A 34201-2020</t>
        </is>
      </c>
      <c r="B104" s="1" t="n">
        <v>44029</v>
      </c>
      <c r="C104" s="1" t="n">
        <v>45838</v>
      </c>
      <c r="D104" t="inlineStr">
        <is>
          <t>DALARNAS LÄN</t>
        </is>
      </c>
      <c r="E104" t="inlineStr">
        <is>
          <t>ÄLVDALEN</t>
        </is>
      </c>
      <c r="F104" t="inlineStr">
        <is>
          <t>Sveaskog</t>
        </is>
      </c>
      <c r="G104" t="n">
        <v>6.9</v>
      </c>
      <c r="H104" t="n">
        <v>3</v>
      </c>
      <c r="I104" t="n">
        <v>1</v>
      </c>
      <c r="J104" t="n">
        <v>1</v>
      </c>
      <c r="K104" t="n">
        <v>0</v>
      </c>
      <c r="L104" t="n">
        <v>0</v>
      </c>
      <c r="M104" t="n">
        <v>0</v>
      </c>
      <c r="N104" t="n">
        <v>0</v>
      </c>
      <c r="O104" t="n">
        <v>1</v>
      </c>
      <c r="P104" t="n">
        <v>0</v>
      </c>
      <c r="Q104" t="n">
        <v>3</v>
      </c>
      <c r="R104" s="2" t="inlineStr">
        <is>
          <t>Varglav
Plattlummer
Fläcknycklar</t>
        </is>
      </c>
      <c r="S104">
        <f>HYPERLINK("https://klasma.github.io/Logging_2039/artfynd/A 34201-2020 artfynd.xlsx", "A 34201-2020")</f>
        <v/>
      </c>
      <c r="T104">
        <f>HYPERLINK("https://klasma.github.io/Logging_2039/kartor/A 34201-2020 karta.png", "A 34201-2020")</f>
        <v/>
      </c>
      <c r="V104">
        <f>HYPERLINK("https://klasma.github.io/Logging_2039/klagomål/A 34201-2020 FSC-klagomål.docx", "A 34201-2020")</f>
        <v/>
      </c>
      <c r="W104">
        <f>HYPERLINK("https://klasma.github.io/Logging_2039/klagomålsmail/A 34201-2020 FSC-klagomål mail.docx", "A 34201-2020")</f>
        <v/>
      </c>
      <c r="X104">
        <f>HYPERLINK("https://klasma.github.io/Logging_2039/tillsyn/A 34201-2020 tillsynsbegäran.docx", "A 34201-2020")</f>
        <v/>
      </c>
      <c r="Y104">
        <f>HYPERLINK("https://klasma.github.io/Logging_2039/tillsynsmail/A 34201-2020 tillsynsbegäran mail.docx", "A 34201-2020")</f>
        <v/>
      </c>
    </row>
    <row r="105" ht="15" customHeight="1">
      <c r="A105" t="inlineStr">
        <is>
          <t>A 58570-2020</t>
        </is>
      </c>
      <c r="B105" s="1" t="n">
        <v>44145</v>
      </c>
      <c r="C105" s="1" t="n">
        <v>45838</v>
      </c>
      <c r="D105" t="inlineStr">
        <is>
          <t>DALARNAS LÄN</t>
        </is>
      </c>
      <c r="E105" t="inlineStr">
        <is>
          <t>ÄLVDALEN</t>
        </is>
      </c>
      <c r="F105" t="inlineStr">
        <is>
          <t>Sveaskog</t>
        </is>
      </c>
      <c r="G105" t="n">
        <v>15.3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58570-2020 artfynd.xlsx", "A 58570-2020")</f>
        <v/>
      </c>
      <c r="T105">
        <f>HYPERLINK("https://klasma.github.io/Logging_2039/kartor/A 58570-2020 karta.png", "A 58570-2020")</f>
        <v/>
      </c>
      <c r="V105">
        <f>HYPERLINK("https://klasma.github.io/Logging_2039/klagomål/A 58570-2020 FSC-klagomål.docx", "A 58570-2020")</f>
        <v/>
      </c>
      <c r="W105">
        <f>HYPERLINK("https://klasma.github.io/Logging_2039/klagomålsmail/A 58570-2020 FSC-klagomål mail.docx", "A 58570-2020")</f>
        <v/>
      </c>
      <c r="X105">
        <f>HYPERLINK("https://klasma.github.io/Logging_2039/tillsyn/A 58570-2020 tillsynsbegäran.docx", "A 58570-2020")</f>
        <v/>
      </c>
      <c r="Y105">
        <f>HYPERLINK("https://klasma.github.io/Logging_2039/tillsynsmail/A 58570-2020 tillsynsbegäran mail.docx", "A 58570-2020")</f>
        <v/>
      </c>
    </row>
    <row r="106" ht="15" customHeight="1">
      <c r="A106" t="inlineStr">
        <is>
          <t>A 33582-2021</t>
        </is>
      </c>
      <c r="B106" s="1" t="n">
        <v>44377</v>
      </c>
      <c r="C106" s="1" t="n">
        <v>45838</v>
      </c>
      <c r="D106" t="inlineStr">
        <is>
          <t>DALARNAS LÄN</t>
        </is>
      </c>
      <c r="E106" t="inlineStr">
        <is>
          <t>ÄLVDALEN</t>
        </is>
      </c>
      <c r="F106" t="inlineStr">
        <is>
          <t>Sveaskog</t>
        </is>
      </c>
      <c r="G106" t="n">
        <v>9.199999999999999</v>
      </c>
      <c r="H106" t="n">
        <v>0</v>
      </c>
      <c r="I106" t="n">
        <v>1</v>
      </c>
      <c r="J106" t="n">
        <v>2</v>
      </c>
      <c r="K106" t="n">
        <v>0</v>
      </c>
      <c r="L106" t="n">
        <v>0</v>
      </c>
      <c r="M106" t="n">
        <v>0</v>
      </c>
      <c r="N106" t="n">
        <v>0</v>
      </c>
      <c r="O106" t="n">
        <v>2</v>
      </c>
      <c r="P106" t="n">
        <v>0</v>
      </c>
      <c r="Q106" t="n">
        <v>3</v>
      </c>
      <c r="R106" s="2" t="inlineStr">
        <is>
          <t>Blanksvart spiklav
Dvärgbägarlav
Dropptaggsvamp</t>
        </is>
      </c>
      <c r="S106">
        <f>HYPERLINK("https://klasma.github.io/Logging_2039/artfynd/A 33582-2021 artfynd.xlsx", "A 33582-2021")</f>
        <v/>
      </c>
      <c r="T106">
        <f>HYPERLINK("https://klasma.github.io/Logging_2039/kartor/A 33582-2021 karta.png", "A 33582-2021")</f>
        <v/>
      </c>
      <c r="V106">
        <f>HYPERLINK("https://klasma.github.io/Logging_2039/klagomål/A 33582-2021 FSC-klagomål.docx", "A 33582-2021")</f>
        <v/>
      </c>
      <c r="W106">
        <f>HYPERLINK("https://klasma.github.io/Logging_2039/klagomålsmail/A 33582-2021 FSC-klagomål mail.docx", "A 33582-2021")</f>
        <v/>
      </c>
      <c r="X106">
        <f>HYPERLINK("https://klasma.github.io/Logging_2039/tillsyn/A 33582-2021 tillsynsbegäran.docx", "A 33582-2021")</f>
        <v/>
      </c>
      <c r="Y106">
        <f>HYPERLINK("https://klasma.github.io/Logging_2039/tillsynsmail/A 33582-2021 tillsynsbegäran mail.docx", "A 33582-2021")</f>
        <v/>
      </c>
    </row>
    <row r="107" ht="15" customHeight="1">
      <c r="A107" t="inlineStr">
        <is>
          <t>A 51732-2021</t>
        </is>
      </c>
      <c r="B107" s="1" t="n">
        <v>44461</v>
      </c>
      <c r="C107" s="1" t="n">
        <v>45838</v>
      </c>
      <c r="D107" t="inlineStr">
        <is>
          <t>DALARNAS LÄN</t>
        </is>
      </c>
      <c r="E107" t="inlineStr">
        <is>
          <t>ÄLVDALEN</t>
        </is>
      </c>
      <c r="F107" t="inlineStr">
        <is>
          <t>Övriga statliga verk och myndigheter</t>
        </is>
      </c>
      <c r="G107" t="n">
        <v>5</v>
      </c>
      <c r="H107" t="n">
        <v>0</v>
      </c>
      <c r="I107" t="n">
        <v>2</v>
      </c>
      <c r="J107" t="n">
        <v>1</v>
      </c>
      <c r="K107" t="n">
        <v>0</v>
      </c>
      <c r="L107" t="n">
        <v>0</v>
      </c>
      <c r="M107" t="n">
        <v>0</v>
      </c>
      <c r="N107" t="n">
        <v>0</v>
      </c>
      <c r="O107" t="n">
        <v>1</v>
      </c>
      <c r="P107" t="n">
        <v>0</v>
      </c>
      <c r="Q107" t="n">
        <v>3</v>
      </c>
      <c r="R107" s="2" t="inlineStr">
        <is>
          <t>Garnlav
Svavelriska
Vedticka</t>
        </is>
      </c>
      <c r="S107">
        <f>HYPERLINK("https://klasma.github.io/Logging_2039/artfynd/A 51732-2021 artfynd.xlsx", "A 51732-2021")</f>
        <v/>
      </c>
      <c r="T107">
        <f>HYPERLINK("https://klasma.github.io/Logging_2039/kartor/A 51732-2021 karta.png", "A 51732-2021")</f>
        <v/>
      </c>
      <c r="V107">
        <f>HYPERLINK("https://klasma.github.io/Logging_2039/klagomål/A 51732-2021 FSC-klagomål.docx", "A 51732-2021")</f>
        <v/>
      </c>
      <c r="W107">
        <f>HYPERLINK("https://klasma.github.io/Logging_2039/klagomålsmail/A 51732-2021 FSC-klagomål mail.docx", "A 51732-2021")</f>
        <v/>
      </c>
      <c r="X107">
        <f>HYPERLINK("https://klasma.github.io/Logging_2039/tillsyn/A 51732-2021 tillsynsbegäran.docx", "A 51732-2021")</f>
        <v/>
      </c>
      <c r="Y107">
        <f>HYPERLINK("https://klasma.github.io/Logging_2039/tillsynsmail/A 51732-2021 tillsynsbegäran mail.docx", "A 51732-2021")</f>
        <v/>
      </c>
    </row>
    <row r="108" ht="15" customHeight="1">
      <c r="A108" t="inlineStr">
        <is>
          <t>A 54257-2021</t>
        </is>
      </c>
      <c r="B108" s="1" t="n">
        <v>44470</v>
      </c>
      <c r="C108" s="1" t="n">
        <v>45838</v>
      </c>
      <c r="D108" t="inlineStr">
        <is>
          <t>DALARNAS LÄN</t>
        </is>
      </c>
      <c r="E108" t="inlineStr">
        <is>
          <t>ÄLVDALEN</t>
        </is>
      </c>
      <c r="F108" t="inlineStr">
        <is>
          <t>Bergvik skog öst AB</t>
        </is>
      </c>
      <c r="G108" t="n">
        <v>6.8</v>
      </c>
      <c r="H108" t="n">
        <v>0</v>
      </c>
      <c r="I108" t="n">
        <v>1</v>
      </c>
      <c r="J108" t="n">
        <v>2</v>
      </c>
      <c r="K108" t="n">
        <v>0</v>
      </c>
      <c r="L108" t="n">
        <v>0</v>
      </c>
      <c r="M108" t="n">
        <v>0</v>
      </c>
      <c r="N108" t="n">
        <v>0</v>
      </c>
      <c r="O108" t="n">
        <v>2</v>
      </c>
      <c r="P108" t="n">
        <v>0</v>
      </c>
      <c r="Q108" t="n">
        <v>3</v>
      </c>
      <c r="R108" s="2" t="inlineStr">
        <is>
          <t>Motaggsvamp
Mörk kolflarnlav
Dropptaggsvamp</t>
        </is>
      </c>
      <c r="S108">
        <f>HYPERLINK("https://klasma.github.io/Logging_2039/artfynd/A 54257-2021 artfynd.xlsx", "A 54257-2021")</f>
        <v/>
      </c>
      <c r="T108">
        <f>HYPERLINK("https://klasma.github.io/Logging_2039/kartor/A 54257-2021 karta.png", "A 54257-2021")</f>
        <v/>
      </c>
      <c r="V108">
        <f>HYPERLINK("https://klasma.github.io/Logging_2039/klagomål/A 54257-2021 FSC-klagomål.docx", "A 54257-2021")</f>
        <v/>
      </c>
      <c r="W108">
        <f>HYPERLINK("https://klasma.github.io/Logging_2039/klagomålsmail/A 54257-2021 FSC-klagomål mail.docx", "A 54257-2021")</f>
        <v/>
      </c>
      <c r="X108">
        <f>HYPERLINK("https://klasma.github.io/Logging_2039/tillsyn/A 54257-2021 tillsynsbegäran.docx", "A 54257-2021")</f>
        <v/>
      </c>
      <c r="Y108">
        <f>HYPERLINK("https://klasma.github.io/Logging_2039/tillsynsmail/A 54257-2021 tillsynsbegäran mail.docx", "A 54257-2021")</f>
        <v/>
      </c>
    </row>
    <row r="109" ht="15" customHeight="1">
      <c r="A109" t="inlineStr">
        <is>
          <t>A 65467-2021</t>
        </is>
      </c>
      <c r="B109" s="1" t="n">
        <v>44516</v>
      </c>
      <c r="C109" s="1" t="n">
        <v>45838</v>
      </c>
      <c r="D109" t="inlineStr">
        <is>
          <t>DALARNAS LÄN</t>
        </is>
      </c>
      <c r="E109" t="inlineStr">
        <is>
          <t>ÄLVDALEN</t>
        </is>
      </c>
      <c r="F109" t="inlineStr">
        <is>
          <t>Sveaskog</t>
        </is>
      </c>
      <c r="G109" t="n">
        <v>47</v>
      </c>
      <c r="H109" t="n">
        <v>1</v>
      </c>
      <c r="I109" t="n">
        <v>0</v>
      </c>
      <c r="J109" t="n">
        <v>3</v>
      </c>
      <c r="K109" t="n">
        <v>0</v>
      </c>
      <c r="L109" t="n">
        <v>0</v>
      </c>
      <c r="M109" t="n">
        <v>0</v>
      </c>
      <c r="N109" t="n">
        <v>0</v>
      </c>
      <c r="O109" t="n">
        <v>3</v>
      </c>
      <c r="P109" t="n">
        <v>0</v>
      </c>
      <c r="Q109" t="n">
        <v>3</v>
      </c>
      <c r="R109" s="2" t="inlineStr">
        <is>
          <t>Dvärgbägarlav
Garnlav
Varglav</t>
        </is>
      </c>
      <c r="S109">
        <f>HYPERLINK("https://klasma.github.io/Logging_2039/artfynd/A 65467-2021 artfynd.xlsx", "A 65467-2021")</f>
        <v/>
      </c>
      <c r="T109">
        <f>HYPERLINK("https://klasma.github.io/Logging_2039/kartor/A 65467-2021 karta.png", "A 65467-2021")</f>
        <v/>
      </c>
      <c r="V109">
        <f>HYPERLINK("https://klasma.github.io/Logging_2039/klagomål/A 65467-2021 FSC-klagomål.docx", "A 65467-2021")</f>
        <v/>
      </c>
      <c r="W109">
        <f>HYPERLINK("https://klasma.github.io/Logging_2039/klagomålsmail/A 65467-2021 FSC-klagomål mail.docx", "A 65467-2021")</f>
        <v/>
      </c>
      <c r="X109">
        <f>HYPERLINK("https://klasma.github.io/Logging_2039/tillsyn/A 65467-2021 tillsynsbegäran.docx", "A 65467-2021")</f>
        <v/>
      </c>
      <c r="Y109">
        <f>HYPERLINK("https://klasma.github.io/Logging_2039/tillsynsmail/A 65467-2021 tillsynsbegäran mail.docx", "A 65467-2021")</f>
        <v/>
      </c>
    </row>
    <row r="110" ht="15" customHeight="1">
      <c r="A110" t="inlineStr">
        <is>
          <t>A 40720-2022</t>
        </is>
      </c>
      <c r="B110" s="1" t="n">
        <v>44824</v>
      </c>
      <c r="C110" s="1" t="n">
        <v>45838</v>
      </c>
      <c r="D110" t="inlineStr">
        <is>
          <t>DALARNAS LÄN</t>
        </is>
      </c>
      <c r="E110" t="inlineStr">
        <is>
          <t>ÄLVDALEN</t>
        </is>
      </c>
      <c r="F110" t="inlineStr">
        <is>
          <t>Övriga statliga verk och myndigheter</t>
        </is>
      </c>
      <c r="G110" t="n">
        <v>6.7</v>
      </c>
      <c r="H110" t="n">
        <v>0</v>
      </c>
      <c r="I110" t="n">
        <v>0</v>
      </c>
      <c r="J110" t="n">
        <v>3</v>
      </c>
      <c r="K110" t="n">
        <v>0</v>
      </c>
      <c r="L110" t="n">
        <v>0</v>
      </c>
      <c r="M110" t="n">
        <v>0</v>
      </c>
      <c r="N110" t="n">
        <v>0</v>
      </c>
      <c r="O110" t="n">
        <v>3</v>
      </c>
      <c r="P110" t="n">
        <v>0</v>
      </c>
      <c r="Q110" t="n">
        <v>3</v>
      </c>
      <c r="R110" s="2" t="inlineStr">
        <is>
          <t>Dvärgbägarlav
Mörk kolflarnlav
Vedflamlav</t>
        </is>
      </c>
      <c r="S110">
        <f>HYPERLINK("https://klasma.github.io/Logging_2039/artfynd/A 40720-2022 artfynd.xlsx", "A 40720-2022")</f>
        <v/>
      </c>
      <c r="T110">
        <f>HYPERLINK("https://klasma.github.io/Logging_2039/kartor/A 40720-2022 karta.png", "A 40720-2022")</f>
        <v/>
      </c>
      <c r="V110">
        <f>HYPERLINK("https://klasma.github.io/Logging_2039/klagomål/A 40720-2022 FSC-klagomål.docx", "A 40720-2022")</f>
        <v/>
      </c>
      <c r="W110">
        <f>HYPERLINK("https://klasma.github.io/Logging_2039/klagomålsmail/A 40720-2022 FSC-klagomål mail.docx", "A 40720-2022")</f>
        <v/>
      </c>
      <c r="X110">
        <f>HYPERLINK("https://klasma.github.io/Logging_2039/tillsyn/A 40720-2022 tillsynsbegäran.docx", "A 40720-2022")</f>
        <v/>
      </c>
      <c r="Y110">
        <f>HYPERLINK("https://klasma.github.io/Logging_2039/tillsynsmail/A 40720-2022 tillsynsbegäran mail.docx", "A 40720-2022")</f>
        <v/>
      </c>
    </row>
    <row r="111" ht="15" customHeight="1">
      <c r="A111" t="inlineStr">
        <is>
          <t>A 41909-2022</t>
        </is>
      </c>
      <c r="B111" s="1" t="n">
        <v>44830</v>
      </c>
      <c r="C111" s="1" t="n">
        <v>45838</v>
      </c>
      <c r="D111" t="inlineStr">
        <is>
          <t>DALARNAS LÄN</t>
        </is>
      </c>
      <c r="E111" t="inlineStr">
        <is>
          <t>ÄLVDALEN</t>
        </is>
      </c>
      <c r="F111" t="inlineStr">
        <is>
          <t>Sveaskog</t>
        </is>
      </c>
      <c r="G111" t="n">
        <v>3.5</v>
      </c>
      <c r="H111" t="n">
        <v>1</v>
      </c>
      <c r="I111" t="n">
        <v>0</v>
      </c>
      <c r="J111" t="n">
        <v>2</v>
      </c>
      <c r="K111" t="n">
        <v>1</v>
      </c>
      <c r="L111" t="n">
        <v>0</v>
      </c>
      <c r="M111" t="n">
        <v>0</v>
      </c>
      <c r="N111" t="n">
        <v>0</v>
      </c>
      <c r="O111" t="n">
        <v>3</v>
      </c>
      <c r="P111" t="n">
        <v>1</v>
      </c>
      <c r="Q111" t="n">
        <v>3</v>
      </c>
      <c r="R111" s="2" t="inlineStr">
        <is>
          <t>Tajgataggsvamp
Blanksvart spiklav
Talltita</t>
        </is>
      </c>
      <c r="S111">
        <f>HYPERLINK("https://klasma.github.io/Logging_2039/artfynd/A 41909-2022 artfynd.xlsx", "A 41909-2022")</f>
        <v/>
      </c>
      <c r="T111">
        <f>HYPERLINK("https://klasma.github.io/Logging_2039/kartor/A 41909-2022 karta.png", "A 41909-2022")</f>
        <v/>
      </c>
      <c r="V111">
        <f>HYPERLINK("https://klasma.github.io/Logging_2039/klagomål/A 41909-2022 FSC-klagomål.docx", "A 41909-2022")</f>
        <v/>
      </c>
      <c r="W111">
        <f>HYPERLINK("https://klasma.github.io/Logging_2039/klagomålsmail/A 41909-2022 FSC-klagomål mail.docx", "A 41909-2022")</f>
        <v/>
      </c>
      <c r="X111">
        <f>HYPERLINK("https://klasma.github.io/Logging_2039/tillsyn/A 41909-2022 tillsynsbegäran.docx", "A 41909-2022")</f>
        <v/>
      </c>
      <c r="Y111">
        <f>HYPERLINK("https://klasma.github.io/Logging_2039/tillsynsmail/A 41909-2022 tillsynsbegäran mail.docx", "A 41909-2022")</f>
        <v/>
      </c>
      <c r="Z111">
        <f>HYPERLINK("https://klasma.github.io/Logging_2039/fåglar/A 41909-2022 prioriterade fågelarter.docx", "A 41909-2022")</f>
        <v/>
      </c>
    </row>
    <row r="112" ht="15" customHeight="1">
      <c r="A112" t="inlineStr">
        <is>
          <t>A 41921-2022</t>
        </is>
      </c>
      <c r="B112" s="1" t="n">
        <v>44830</v>
      </c>
      <c r="C112" s="1" t="n">
        <v>45838</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41919-2022</t>
        </is>
      </c>
      <c r="B113" s="1" t="n">
        <v>44830</v>
      </c>
      <c r="C113" s="1" t="n">
        <v>45838</v>
      </c>
      <c r="D113" t="inlineStr">
        <is>
          <t>DALARNAS LÄN</t>
        </is>
      </c>
      <c r="E113" t="inlineStr">
        <is>
          <t>ÄLVDALEN</t>
        </is>
      </c>
      <c r="F113" t="inlineStr">
        <is>
          <t>Sveaskog</t>
        </is>
      </c>
      <c r="G113" t="n">
        <v>0.9</v>
      </c>
      <c r="H113" t="n">
        <v>0</v>
      </c>
      <c r="I113" t="n">
        <v>1</v>
      </c>
      <c r="J113" t="n">
        <v>1</v>
      </c>
      <c r="K113" t="n">
        <v>1</v>
      </c>
      <c r="L113" t="n">
        <v>0</v>
      </c>
      <c r="M113" t="n">
        <v>0</v>
      </c>
      <c r="N113" t="n">
        <v>0</v>
      </c>
      <c r="O113" t="n">
        <v>2</v>
      </c>
      <c r="P113" t="n">
        <v>1</v>
      </c>
      <c r="Q113" t="n">
        <v>3</v>
      </c>
      <c r="R113" s="2" t="inlineStr">
        <is>
          <t>Gräddporing
Blanksvart spiklav
Vedticka</t>
        </is>
      </c>
      <c r="S113">
        <f>HYPERLINK("https://klasma.github.io/Logging_2039/artfynd/A 41919-2022 artfynd.xlsx", "A 41919-2022")</f>
        <v/>
      </c>
      <c r="T113">
        <f>HYPERLINK("https://klasma.github.io/Logging_2039/kartor/A 41919-2022 karta.png", "A 41919-2022")</f>
        <v/>
      </c>
      <c r="V113">
        <f>HYPERLINK("https://klasma.github.io/Logging_2039/klagomål/A 41919-2022 FSC-klagomål.docx", "A 41919-2022")</f>
        <v/>
      </c>
      <c r="W113">
        <f>HYPERLINK("https://klasma.github.io/Logging_2039/klagomålsmail/A 41919-2022 FSC-klagomål mail.docx", "A 41919-2022")</f>
        <v/>
      </c>
      <c r="X113">
        <f>HYPERLINK("https://klasma.github.io/Logging_2039/tillsyn/A 41919-2022 tillsynsbegäran.docx", "A 41919-2022")</f>
        <v/>
      </c>
      <c r="Y113">
        <f>HYPERLINK("https://klasma.github.io/Logging_2039/tillsynsmail/A 41919-2022 tillsynsbegäran mail.docx", "A 41919-2022")</f>
        <v/>
      </c>
    </row>
    <row r="114" ht="15" customHeight="1">
      <c r="A114" t="inlineStr">
        <is>
          <t>A 5476-2023</t>
        </is>
      </c>
      <c r="B114" s="1" t="n">
        <v>44960</v>
      </c>
      <c r="C114" s="1" t="n">
        <v>45838</v>
      </c>
      <c r="D114" t="inlineStr">
        <is>
          <t>DALARNAS LÄN</t>
        </is>
      </c>
      <c r="E114" t="inlineStr">
        <is>
          <t>ÄLVDALEN</t>
        </is>
      </c>
      <c r="F114" t="inlineStr">
        <is>
          <t>Allmännings- och besparingsskogar</t>
        </is>
      </c>
      <c r="G114" t="n">
        <v>2.2</v>
      </c>
      <c r="H114" t="n">
        <v>0</v>
      </c>
      <c r="I114" t="n">
        <v>1</v>
      </c>
      <c r="J114" t="n">
        <v>2</v>
      </c>
      <c r="K114" t="n">
        <v>0</v>
      </c>
      <c r="L114" t="n">
        <v>0</v>
      </c>
      <c r="M114" t="n">
        <v>0</v>
      </c>
      <c r="N114" t="n">
        <v>0</v>
      </c>
      <c r="O114" t="n">
        <v>2</v>
      </c>
      <c r="P114" t="n">
        <v>0</v>
      </c>
      <c r="Q114" t="n">
        <v>3</v>
      </c>
      <c r="R114" s="2" t="inlineStr">
        <is>
          <t>Blågrå svartspik
Kolflarnlav
Dropptaggsvamp</t>
        </is>
      </c>
      <c r="S114">
        <f>HYPERLINK("https://klasma.github.io/Logging_2039/artfynd/A 5476-2023 artfynd.xlsx", "A 5476-2023")</f>
        <v/>
      </c>
      <c r="T114">
        <f>HYPERLINK("https://klasma.github.io/Logging_2039/kartor/A 5476-2023 karta.png", "A 5476-2023")</f>
        <v/>
      </c>
      <c r="V114">
        <f>HYPERLINK("https://klasma.github.io/Logging_2039/klagomål/A 5476-2023 FSC-klagomål.docx", "A 5476-2023")</f>
        <v/>
      </c>
      <c r="W114">
        <f>HYPERLINK("https://klasma.github.io/Logging_2039/klagomålsmail/A 5476-2023 FSC-klagomål mail.docx", "A 5476-2023")</f>
        <v/>
      </c>
      <c r="X114">
        <f>HYPERLINK("https://klasma.github.io/Logging_2039/tillsyn/A 5476-2023 tillsynsbegäran.docx", "A 5476-2023")</f>
        <v/>
      </c>
      <c r="Y114">
        <f>HYPERLINK("https://klasma.github.io/Logging_2039/tillsynsmail/A 5476-2023 tillsynsbegäran mail.docx", "A 5476-2023")</f>
        <v/>
      </c>
    </row>
    <row r="115" ht="15" customHeight="1">
      <c r="A115" t="inlineStr">
        <is>
          <t>A 28848-2023</t>
        </is>
      </c>
      <c r="B115" s="1" t="n">
        <v>45104</v>
      </c>
      <c r="C115" s="1" t="n">
        <v>45838</v>
      </c>
      <c r="D115" t="inlineStr">
        <is>
          <t>DALARNAS LÄN</t>
        </is>
      </c>
      <c r="E115" t="inlineStr">
        <is>
          <t>ÄLVDALEN</t>
        </is>
      </c>
      <c r="F115" t="inlineStr">
        <is>
          <t>Sveaskog</t>
        </is>
      </c>
      <c r="G115" t="n">
        <v>6.3</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HYPERLINK("https://klasma.github.io/Logging_2039/artfynd/A 28848-2023 artfynd.xlsx", "A 28848-2023")</f>
        <v/>
      </c>
      <c r="T115">
        <f>HYPERLINK("https://klasma.github.io/Logging_2039/kartor/A 28848-2023 karta.png", "A 28848-2023")</f>
        <v/>
      </c>
      <c r="V115">
        <f>HYPERLINK("https://klasma.github.io/Logging_2039/klagomål/A 28848-2023 FSC-klagomål.docx", "A 28848-2023")</f>
        <v/>
      </c>
      <c r="W115">
        <f>HYPERLINK("https://klasma.github.io/Logging_2039/klagomålsmail/A 28848-2023 FSC-klagomål mail.docx", "A 28848-2023")</f>
        <v/>
      </c>
      <c r="X115">
        <f>HYPERLINK("https://klasma.github.io/Logging_2039/tillsyn/A 28848-2023 tillsynsbegäran.docx", "A 28848-2023")</f>
        <v/>
      </c>
      <c r="Y115">
        <f>HYPERLINK("https://klasma.github.io/Logging_2039/tillsynsmail/A 28848-2023 tillsynsbegäran mail.docx", "A 28848-2023")</f>
        <v/>
      </c>
    </row>
    <row r="116" ht="15" customHeight="1">
      <c r="A116" t="inlineStr">
        <is>
          <t>A 31228-2023</t>
        </is>
      </c>
      <c r="B116" s="1" t="n">
        <v>45114</v>
      </c>
      <c r="C116" s="1" t="n">
        <v>45838</v>
      </c>
      <c r="D116" t="inlineStr">
        <is>
          <t>DALARNAS LÄN</t>
        </is>
      </c>
      <c r="E116" t="inlineStr">
        <is>
          <t>ÄLVDALEN</t>
        </is>
      </c>
      <c r="F116" t="inlineStr">
        <is>
          <t>Sveaskog</t>
        </is>
      </c>
      <c r="G116" t="n">
        <v>6.1</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31228-2023 artfynd.xlsx", "A 31228-2023")</f>
        <v/>
      </c>
      <c r="T116">
        <f>HYPERLINK("https://klasma.github.io/Logging_2039/kartor/A 31228-2023 karta.png", "A 31228-2023")</f>
        <v/>
      </c>
      <c r="V116">
        <f>HYPERLINK("https://klasma.github.io/Logging_2039/klagomål/A 31228-2023 FSC-klagomål.docx", "A 31228-2023")</f>
        <v/>
      </c>
      <c r="W116">
        <f>HYPERLINK("https://klasma.github.io/Logging_2039/klagomålsmail/A 31228-2023 FSC-klagomål mail.docx", "A 31228-2023")</f>
        <v/>
      </c>
      <c r="X116">
        <f>HYPERLINK("https://klasma.github.io/Logging_2039/tillsyn/A 31228-2023 tillsynsbegäran.docx", "A 31228-2023")</f>
        <v/>
      </c>
      <c r="Y116">
        <f>HYPERLINK("https://klasma.github.io/Logging_2039/tillsynsmail/A 31228-2023 tillsynsbegäran mail.docx", "A 31228-2023")</f>
        <v/>
      </c>
    </row>
    <row r="117" ht="15" customHeight="1">
      <c r="A117" t="inlineStr">
        <is>
          <t>A 32403-2023</t>
        </is>
      </c>
      <c r="B117" s="1" t="n">
        <v>45120</v>
      </c>
      <c r="C117" s="1" t="n">
        <v>45838</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35141-2023</t>
        </is>
      </c>
      <c r="B118" s="1" t="n">
        <v>45145</v>
      </c>
      <c r="C118" s="1" t="n">
        <v>45838</v>
      </c>
      <c r="D118" t="inlineStr">
        <is>
          <t>DALARNAS LÄN</t>
        </is>
      </c>
      <c r="E118" t="inlineStr">
        <is>
          <t>ÄLVDALEN</t>
        </is>
      </c>
      <c r="F118" t="inlineStr">
        <is>
          <t>Sveaskog</t>
        </is>
      </c>
      <c r="G118" t="n">
        <v>1.8</v>
      </c>
      <c r="H118" t="n">
        <v>1</v>
      </c>
      <c r="I118" t="n">
        <v>0</v>
      </c>
      <c r="J118" t="n">
        <v>3</v>
      </c>
      <c r="K118" t="n">
        <v>0</v>
      </c>
      <c r="L118" t="n">
        <v>0</v>
      </c>
      <c r="M118" t="n">
        <v>0</v>
      </c>
      <c r="N118" t="n">
        <v>0</v>
      </c>
      <c r="O118" t="n">
        <v>3</v>
      </c>
      <c r="P118" t="n">
        <v>0</v>
      </c>
      <c r="Q118" t="n">
        <v>3</v>
      </c>
      <c r="R118" s="2" t="inlineStr">
        <is>
          <t>Garnlav
Kolflarnlav
Varglav</t>
        </is>
      </c>
      <c r="S118">
        <f>HYPERLINK("https://klasma.github.io/Logging_2039/artfynd/A 35141-2023 artfynd.xlsx", "A 35141-2023")</f>
        <v/>
      </c>
      <c r="T118">
        <f>HYPERLINK("https://klasma.github.io/Logging_2039/kartor/A 35141-2023 karta.png", "A 35141-2023")</f>
        <v/>
      </c>
      <c r="V118">
        <f>HYPERLINK("https://klasma.github.io/Logging_2039/klagomål/A 35141-2023 FSC-klagomål.docx", "A 35141-2023")</f>
        <v/>
      </c>
      <c r="W118">
        <f>HYPERLINK("https://klasma.github.io/Logging_2039/klagomålsmail/A 35141-2023 FSC-klagomål mail.docx", "A 35141-2023")</f>
        <v/>
      </c>
      <c r="X118">
        <f>HYPERLINK("https://klasma.github.io/Logging_2039/tillsyn/A 35141-2023 tillsynsbegäran.docx", "A 35141-2023")</f>
        <v/>
      </c>
      <c r="Y118">
        <f>HYPERLINK("https://klasma.github.io/Logging_2039/tillsynsmail/A 35141-2023 tillsynsbegäran mail.docx", "A 35141-2023")</f>
        <v/>
      </c>
    </row>
    <row r="119" ht="15" customHeight="1">
      <c r="A119" t="inlineStr">
        <is>
          <t>A 44128-2023</t>
        </is>
      </c>
      <c r="B119" s="1" t="n">
        <v>45188</v>
      </c>
      <c r="C119" s="1" t="n">
        <v>45838</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7024-2024</t>
        </is>
      </c>
      <c r="B120" s="1" t="n">
        <v>45343</v>
      </c>
      <c r="C120" s="1" t="n">
        <v>45838</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9787-2024</t>
        </is>
      </c>
      <c r="B121" s="1" t="n">
        <v>45362</v>
      </c>
      <c r="C121" s="1" t="n">
        <v>45838</v>
      </c>
      <c r="D121" t="inlineStr">
        <is>
          <t>DALARNAS LÄN</t>
        </is>
      </c>
      <c r="E121" t="inlineStr">
        <is>
          <t>ÄLVDALEN</t>
        </is>
      </c>
      <c r="F121" t="inlineStr">
        <is>
          <t>Övriga statliga verk och myndigheter</t>
        </is>
      </c>
      <c r="G121" t="n">
        <v>14.9</v>
      </c>
      <c r="H121" t="n">
        <v>1</v>
      </c>
      <c r="I121" t="n">
        <v>0</v>
      </c>
      <c r="J121" t="n">
        <v>3</v>
      </c>
      <c r="K121" t="n">
        <v>0</v>
      </c>
      <c r="L121" t="n">
        <v>0</v>
      </c>
      <c r="M121" t="n">
        <v>0</v>
      </c>
      <c r="N121" t="n">
        <v>0</v>
      </c>
      <c r="O121" t="n">
        <v>3</v>
      </c>
      <c r="P121" t="n">
        <v>0</v>
      </c>
      <c r="Q121" t="n">
        <v>3</v>
      </c>
      <c r="R121" s="2" t="inlineStr">
        <is>
          <t>Kolflarnlav
Varglav
Vedflamlav</t>
        </is>
      </c>
      <c r="S121">
        <f>HYPERLINK("https://klasma.github.io/Logging_2039/artfynd/A 9787-2024 artfynd.xlsx", "A 9787-2024")</f>
        <v/>
      </c>
      <c r="T121">
        <f>HYPERLINK("https://klasma.github.io/Logging_2039/kartor/A 9787-2024 karta.png", "A 9787-2024")</f>
        <v/>
      </c>
      <c r="V121">
        <f>HYPERLINK("https://klasma.github.io/Logging_2039/klagomål/A 9787-2024 FSC-klagomål.docx", "A 9787-2024")</f>
        <v/>
      </c>
      <c r="W121">
        <f>HYPERLINK("https://klasma.github.io/Logging_2039/klagomålsmail/A 9787-2024 FSC-klagomål mail.docx", "A 9787-2024")</f>
        <v/>
      </c>
      <c r="X121">
        <f>HYPERLINK("https://klasma.github.io/Logging_2039/tillsyn/A 9787-2024 tillsynsbegäran.docx", "A 9787-2024")</f>
        <v/>
      </c>
      <c r="Y121">
        <f>HYPERLINK("https://klasma.github.io/Logging_2039/tillsynsmail/A 9787-2024 tillsynsbegäran mail.docx", "A 9787-2024")</f>
        <v/>
      </c>
    </row>
    <row r="122" ht="15" customHeight="1">
      <c r="A122" t="inlineStr">
        <is>
          <t>A 18839-2024</t>
        </is>
      </c>
      <c r="B122" s="1" t="n">
        <v>45426</v>
      </c>
      <c r="C122" s="1" t="n">
        <v>45838</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18838-2024</t>
        </is>
      </c>
      <c r="B123" s="1" t="n">
        <v>45426</v>
      </c>
      <c r="C123" s="1" t="n">
        <v>45838</v>
      </c>
      <c r="D123" t="inlineStr">
        <is>
          <t>DALARNAS LÄN</t>
        </is>
      </c>
      <c r="E123" t="inlineStr">
        <is>
          <t>ÄLVDALEN</t>
        </is>
      </c>
      <c r="F123" t="inlineStr">
        <is>
          <t>Sveaskog</t>
        </is>
      </c>
      <c r="G123" t="n">
        <v>7.3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18838-2024 artfynd.xlsx", "A 18838-2024")</f>
        <v/>
      </c>
      <c r="T123">
        <f>HYPERLINK("https://klasma.github.io/Logging_2039/kartor/A 18838-2024 karta.png", "A 18838-2024")</f>
        <v/>
      </c>
      <c r="V123">
        <f>HYPERLINK("https://klasma.github.io/Logging_2039/klagomål/A 18838-2024 FSC-klagomål.docx", "A 18838-2024")</f>
        <v/>
      </c>
      <c r="W123">
        <f>HYPERLINK("https://klasma.github.io/Logging_2039/klagomålsmail/A 18838-2024 FSC-klagomål mail.docx", "A 18838-2024")</f>
        <v/>
      </c>
      <c r="X123">
        <f>HYPERLINK("https://klasma.github.io/Logging_2039/tillsyn/A 18838-2024 tillsynsbegäran.docx", "A 18838-2024")</f>
        <v/>
      </c>
      <c r="Y123">
        <f>HYPERLINK("https://klasma.github.io/Logging_2039/tillsynsmail/A 18838-2024 tillsynsbegäran mail.docx", "A 18838-2024")</f>
        <v/>
      </c>
    </row>
    <row r="124" ht="15" customHeight="1">
      <c r="A124" t="inlineStr">
        <is>
          <t>A 21656-2024</t>
        </is>
      </c>
      <c r="B124" s="1" t="n">
        <v>45442</v>
      </c>
      <c r="C124" s="1" t="n">
        <v>45838</v>
      </c>
      <c r="D124" t="inlineStr">
        <is>
          <t>DALARNAS LÄN</t>
        </is>
      </c>
      <c r="E124" t="inlineStr">
        <is>
          <t>ÄLVDALEN</t>
        </is>
      </c>
      <c r="F124" t="inlineStr">
        <is>
          <t>Sveaskog</t>
        </is>
      </c>
      <c r="G124" t="n">
        <v>4.9</v>
      </c>
      <c r="H124" t="n">
        <v>0</v>
      </c>
      <c r="I124" t="n">
        <v>0</v>
      </c>
      <c r="J124" t="n">
        <v>2</v>
      </c>
      <c r="K124" t="n">
        <v>1</v>
      </c>
      <c r="L124" t="n">
        <v>0</v>
      </c>
      <c r="M124" t="n">
        <v>0</v>
      </c>
      <c r="N124" t="n">
        <v>0</v>
      </c>
      <c r="O124" t="n">
        <v>3</v>
      </c>
      <c r="P124" t="n">
        <v>1</v>
      </c>
      <c r="Q124" t="n">
        <v>3</v>
      </c>
      <c r="R124" s="2" t="inlineStr">
        <is>
          <t>Gräddporing
Kolflarnlav
Vedflamlav</t>
        </is>
      </c>
      <c r="S124">
        <f>HYPERLINK("https://klasma.github.io/Logging_2039/artfynd/A 21656-2024 artfynd.xlsx", "A 21656-2024")</f>
        <v/>
      </c>
      <c r="T124">
        <f>HYPERLINK("https://klasma.github.io/Logging_2039/kartor/A 21656-2024 karta.png", "A 21656-2024")</f>
        <v/>
      </c>
      <c r="V124">
        <f>HYPERLINK("https://klasma.github.io/Logging_2039/klagomål/A 21656-2024 FSC-klagomål.docx", "A 21656-2024")</f>
        <v/>
      </c>
      <c r="W124">
        <f>HYPERLINK("https://klasma.github.io/Logging_2039/klagomålsmail/A 21656-2024 FSC-klagomål mail.docx", "A 21656-2024")</f>
        <v/>
      </c>
      <c r="X124">
        <f>HYPERLINK("https://klasma.github.io/Logging_2039/tillsyn/A 21656-2024 tillsynsbegäran.docx", "A 21656-2024")</f>
        <v/>
      </c>
      <c r="Y124">
        <f>HYPERLINK("https://klasma.github.io/Logging_2039/tillsynsmail/A 21656-2024 tillsynsbegäran mail.docx", "A 21656-2024")</f>
        <v/>
      </c>
    </row>
    <row r="125" ht="15" customHeight="1">
      <c r="A125" t="inlineStr">
        <is>
          <t>A 31057-2024</t>
        </is>
      </c>
      <c r="B125" s="1" t="n">
        <v>45502</v>
      </c>
      <c r="C125" s="1" t="n">
        <v>45838</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43740-2024</t>
        </is>
      </c>
      <c r="B126" s="1" t="n">
        <v>45569</v>
      </c>
      <c r="C126" s="1" t="n">
        <v>45838</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19262-2025</t>
        </is>
      </c>
      <c r="B127" s="1" t="n">
        <v>45769</v>
      </c>
      <c r="C127" s="1" t="n">
        <v>45838</v>
      </c>
      <c r="D127" t="inlineStr">
        <is>
          <t>DALARNAS LÄN</t>
        </is>
      </c>
      <c r="E127" t="inlineStr">
        <is>
          <t>ÄLVDALEN</t>
        </is>
      </c>
      <c r="F127" t="inlineStr">
        <is>
          <t>Allmännings- och besparingsskogar</t>
        </is>
      </c>
      <c r="G127" t="n">
        <v>8.800000000000001</v>
      </c>
      <c r="H127" t="n">
        <v>0</v>
      </c>
      <c r="I127" t="n">
        <v>0</v>
      </c>
      <c r="J127" t="n">
        <v>2</v>
      </c>
      <c r="K127" t="n">
        <v>1</v>
      </c>
      <c r="L127" t="n">
        <v>0</v>
      </c>
      <c r="M127" t="n">
        <v>0</v>
      </c>
      <c r="N127" t="n">
        <v>0</v>
      </c>
      <c r="O127" t="n">
        <v>3</v>
      </c>
      <c r="P127" t="n">
        <v>1</v>
      </c>
      <c r="Q127" t="n">
        <v>3</v>
      </c>
      <c r="R127" s="2" t="inlineStr">
        <is>
          <t>Gräddporing
Dvärgbägarlav
Nordtagging</t>
        </is>
      </c>
      <c r="S127">
        <f>HYPERLINK("https://klasma.github.io/Logging_202039/artfynd/A 19262-2025 artfynd.xlsx", "A 19262-2025")</f>
        <v/>
      </c>
      <c r="T127">
        <f>HYPERLINK("https://klasma.github.io/Logging_202039/kartor/A 19262-2025 karta.png", "A 19262-2025")</f>
        <v/>
      </c>
      <c r="V127">
        <f>HYPERLINK("https://klasma.github.io/Logging_202039/klagomål/A 19262-2025 FSC-klagomål.docx", "A 19262-2025")</f>
        <v/>
      </c>
      <c r="W127">
        <f>HYPERLINK("https://klasma.github.io/Logging_202039/klagomålsmail/A 19262-2025 FSC-klagomål mail.docx", "A 19262-2025")</f>
        <v/>
      </c>
      <c r="X127">
        <f>HYPERLINK("https://klasma.github.io/Logging_202039/tillsyn/A 19262-2025 tillsynsbegäran.docx", "A 19262-2025")</f>
        <v/>
      </c>
      <c r="Y127">
        <f>HYPERLINK("https://klasma.github.io/Logging_202039/tillsynsmail/A 19262-2025 tillsynsbegäran mail.docx", "A 19262-2025")</f>
        <v/>
      </c>
    </row>
    <row r="128" ht="15" customHeight="1">
      <c r="A128" t="inlineStr">
        <is>
          <t>A 22191-2025</t>
        </is>
      </c>
      <c r="B128" s="1" t="n">
        <v>45785</v>
      </c>
      <c r="C128" s="1" t="n">
        <v>45838</v>
      </c>
      <c r="D128" t="inlineStr">
        <is>
          <t>DALARNAS LÄN</t>
        </is>
      </c>
      <c r="E128" t="inlineStr">
        <is>
          <t>ÄLVDALEN</t>
        </is>
      </c>
      <c r="F128" t="inlineStr">
        <is>
          <t>Sveaskog</t>
        </is>
      </c>
      <c r="G128" t="n">
        <v>1.7</v>
      </c>
      <c r="H128" t="n">
        <v>0</v>
      </c>
      <c r="I128" t="n">
        <v>0</v>
      </c>
      <c r="J128" t="n">
        <v>3</v>
      </c>
      <c r="K128" t="n">
        <v>0</v>
      </c>
      <c r="L128" t="n">
        <v>0</v>
      </c>
      <c r="M128" t="n">
        <v>0</v>
      </c>
      <c r="N128" t="n">
        <v>0</v>
      </c>
      <c r="O128" t="n">
        <v>3</v>
      </c>
      <c r="P128" t="n">
        <v>0</v>
      </c>
      <c r="Q128" t="n">
        <v>3</v>
      </c>
      <c r="R128" s="2" t="inlineStr">
        <is>
          <t>Kolflarnlav
Tallticka
Vedflamlav</t>
        </is>
      </c>
      <c r="S128">
        <f>HYPERLINK("https://klasma.github.io/Logging_202039/artfynd/A 22191-2025 artfynd.xlsx", "A 22191-2025")</f>
        <v/>
      </c>
      <c r="T128">
        <f>HYPERLINK("https://klasma.github.io/Logging_202039/kartor/A 22191-2025 karta.png", "A 22191-2025")</f>
        <v/>
      </c>
      <c r="V128">
        <f>HYPERLINK("https://klasma.github.io/Logging_202039/klagomål/A 22191-2025 FSC-klagomål.docx", "A 22191-2025")</f>
        <v/>
      </c>
      <c r="W128">
        <f>HYPERLINK("https://klasma.github.io/Logging_202039/klagomålsmail/A 22191-2025 FSC-klagomål mail.docx", "A 22191-2025")</f>
        <v/>
      </c>
      <c r="X128">
        <f>HYPERLINK("https://klasma.github.io/Logging_202039/tillsyn/A 22191-2025 tillsynsbegäran.docx", "A 22191-2025")</f>
        <v/>
      </c>
      <c r="Y128">
        <f>HYPERLINK("https://klasma.github.io/Logging_202039/tillsynsmail/A 22191-2025 tillsynsbegäran mail.docx", "A 22191-2025")</f>
        <v/>
      </c>
    </row>
    <row r="129" ht="15" customHeight="1">
      <c r="A129" t="inlineStr">
        <is>
          <t>A 22291-2025</t>
        </is>
      </c>
      <c r="B129" s="1" t="n">
        <v>45786</v>
      </c>
      <c r="C129" s="1" t="n">
        <v>45838</v>
      </c>
      <c r="D129" t="inlineStr">
        <is>
          <t>DALARNAS LÄN</t>
        </is>
      </c>
      <c r="E129" t="inlineStr">
        <is>
          <t>ÄLVDALEN</t>
        </is>
      </c>
      <c r="F129" t="inlineStr">
        <is>
          <t>Sveaskog</t>
        </is>
      </c>
      <c r="G129" t="n">
        <v>3.7</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22291-2025 artfynd.xlsx", "A 22291-2025")</f>
        <v/>
      </c>
      <c r="T129">
        <f>HYPERLINK("https://klasma.github.io/Logging_202039/kartor/A 22291-2025 karta.png", "A 22291-2025")</f>
        <v/>
      </c>
      <c r="V129">
        <f>HYPERLINK("https://klasma.github.io/Logging_202039/klagomål/A 22291-2025 FSC-klagomål.docx", "A 22291-2025")</f>
        <v/>
      </c>
      <c r="W129">
        <f>HYPERLINK("https://klasma.github.io/Logging_202039/klagomålsmail/A 22291-2025 FSC-klagomål mail.docx", "A 22291-2025")</f>
        <v/>
      </c>
      <c r="X129">
        <f>HYPERLINK("https://klasma.github.io/Logging_202039/tillsyn/A 22291-2025 tillsynsbegäran.docx", "A 22291-2025")</f>
        <v/>
      </c>
      <c r="Y129">
        <f>HYPERLINK("https://klasma.github.io/Logging_202039/tillsynsmail/A 22291-2025 tillsynsbegäran mail.docx", "A 22291-2025")</f>
        <v/>
      </c>
    </row>
    <row r="130" ht="15" customHeight="1">
      <c r="A130" t="inlineStr">
        <is>
          <t>A 26751-2025</t>
        </is>
      </c>
      <c r="B130" s="1" t="n">
        <v>45810</v>
      </c>
      <c r="C130" s="1" t="n">
        <v>45838</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HYPERLINK("https://klasma.github.io/Logging_202039/artfynd/A 26751-2025 artfynd.xlsx", "A 26751-2025")</f>
        <v/>
      </c>
      <c r="T130">
        <f>HYPERLINK("https://klasma.github.io/Logging_202039/kartor/A 26751-2025 karta.png", "A 26751-2025")</f>
        <v/>
      </c>
      <c r="V130">
        <f>HYPERLINK("https://klasma.github.io/Logging_202039/klagomål/A 26751-2025 FSC-klagomål.docx", "A 26751-2025")</f>
        <v/>
      </c>
      <c r="W130">
        <f>HYPERLINK("https://klasma.github.io/Logging_202039/klagomålsmail/A 26751-2025 FSC-klagomål mail.docx", "A 26751-2025")</f>
        <v/>
      </c>
      <c r="X130">
        <f>HYPERLINK("https://klasma.github.io/Logging_202039/tillsyn/A 26751-2025 tillsynsbegäran.docx", "A 26751-2025")</f>
        <v/>
      </c>
      <c r="Y130">
        <f>HYPERLINK("https://klasma.github.io/Logging_202039/tillsynsmail/A 26751-2025 tillsynsbegäran mail.docx", "A 26751-2025")</f>
        <v/>
      </c>
    </row>
    <row r="131" ht="15" customHeight="1">
      <c r="A131" t="inlineStr">
        <is>
          <t>A 27933-2025</t>
        </is>
      </c>
      <c r="B131" s="1" t="n">
        <v>45817</v>
      </c>
      <c r="C131" s="1" t="n">
        <v>45838</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HYPERLINK("https://klasma.github.io/Logging_202039/artfynd/A 27933-2025 artfynd.xlsx", "A 27933-2025")</f>
        <v/>
      </c>
      <c r="T131">
        <f>HYPERLINK("https://klasma.github.io/Logging_202039/kartor/A 27933-2025 karta.png", "A 27933-2025")</f>
        <v/>
      </c>
      <c r="V131">
        <f>HYPERLINK("https://klasma.github.io/Logging_202039/klagomål/A 27933-2025 FSC-klagomål.docx", "A 27933-2025")</f>
        <v/>
      </c>
      <c r="W131">
        <f>HYPERLINK("https://klasma.github.io/Logging_202039/klagomålsmail/A 27933-2025 FSC-klagomål mail.docx", "A 27933-2025")</f>
        <v/>
      </c>
      <c r="X131">
        <f>HYPERLINK("https://klasma.github.io/Logging_202039/tillsyn/A 27933-2025 tillsynsbegäran.docx", "A 27933-2025")</f>
        <v/>
      </c>
      <c r="Y131">
        <f>HYPERLINK("https://klasma.github.io/Logging_202039/tillsynsmail/A 27933-2025 tillsynsbegäran mail.docx", "A 27933-2025")</f>
        <v/>
      </c>
    </row>
    <row r="132" ht="15" customHeight="1">
      <c r="A132" t="inlineStr">
        <is>
          <t>A 29154-2025</t>
        </is>
      </c>
      <c r="B132" s="1" t="n">
        <v>45821</v>
      </c>
      <c r="C132" s="1" t="n">
        <v>45838</v>
      </c>
      <c r="D132" t="inlineStr">
        <is>
          <t>DALARNAS LÄN</t>
        </is>
      </c>
      <c r="E132" t="inlineStr">
        <is>
          <t>ÄLVDALEN</t>
        </is>
      </c>
      <c r="F132" t="inlineStr">
        <is>
          <t>Allmännings- och besparingsskogar</t>
        </is>
      </c>
      <c r="G132" t="n">
        <v>32.2</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row>
    <row r="133" ht="15" customHeight="1">
      <c r="A133" t="inlineStr">
        <is>
          <t>A 45015-2019</t>
        </is>
      </c>
      <c r="B133" s="1" t="n">
        <v>43707</v>
      </c>
      <c r="C133" s="1" t="n">
        <v>45838</v>
      </c>
      <c r="D133" t="inlineStr">
        <is>
          <t>DALARNAS LÄN</t>
        </is>
      </c>
      <c r="E133" t="inlineStr">
        <is>
          <t>ÄLVDALEN</t>
        </is>
      </c>
      <c r="F133" t="inlineStr">
        <is>
          <t>Sveaskog</t>
        </is>
      </c>
      <c r="G133" t="n">
        <v>33.8</v>
      </c>
      <c r="H133" t="n">
        <v>1</v>
      </c>
      <c r="I133" t="n">
        <v>0</v>
      </c>
      <c r="J133" t="n">
        <v>2</v>
      </c>
      <c r="K133" t="n">
        <v>0</v>
      </c>
      <c r="L133" t="n">
        <v>0</v>
      </c>
      <c r="M133" t="n">
        <v>0</v>
      </c>
      <c r="N133" t="n">
        <v>0</v>
      </c>
      <c r="O133" t="n">
        <v>2</v>
      </c>
      <c r="P133" t="n">
        <v>0</v>
      </c>
      <c r="Q133" t="n">
        <v>2</v>
      </c>
      <c r="R133" s="2" t="inlineStr">
        <is>
          <t>Skrovellav
Varglav</t>
        </is>
      </c>
      <c r="S133">
        <f>HYPERLINK("https://klasma.github.io/Logging_2039/artfynd/A 45015-2019 artfynd.xlsx", "A 45015-2019")</f>
        <v/>
      </c>
      <c r="T133">
        <f>HYPERLINK("https://klasma.github.io/Logging_2039/kartor/A 45015-2019 karta.png", "A 45015-2019")</f>
        <v/>
      </c>
      <c r="V133">
        <f>HYPERLINK("https://klasma.github.io/Logging_2039/klagomål/A 45015-2019 FSC-klagomål.docx", "A 45015-2019")</f>
        <v/>
      </c>
      <c r="W133">
        <f>HYPERLINK("https://klasma.github.io/Logging_2039/klagomålsmail/A 45015-2019 FSC-klagomål mail.docx", "A 45015-2019")</f>
        <v/>
      </c>
      <c r="X133">
        <f>HYPERLINK("https://klasma.github.io/Logging_2039/tillsyn/A 45015-2019 tillsynsbegäran.docx", "A 45015-2019")</f>
        <v/>
      </c>
      <c r="Y133">
        <f>HYPERLINK("https://klasma.github.io/Logging_2039/tillsynsmail/A 45015-2019 tillsynsbegäran mail.docx", "A 45015-2019")</f>
        <v/>
      </c>
    </row>
    <row r="134" ht="15" customHeight="1">
      <c r="A134" t="inlineStr">
        <is>
          <t>A 16638-2021</t>
        </is>
      </c>
      <c r="B134" s="1" t="n">
        <v>44284</v>
      </c>
      <c r="C134" s="1" t="n">
        <v>45838</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30615-2021</t>
        </is>
      </c>
      <c r="B135" s="1" t="n">
        <v>44365</v>
      </c>
      <c r="C135" s="1" t="n">
        <v>45838</v>
      </c>
      <c r="D135" t="inlineStr">
        <is>
          <t>DALARNAS LÄN</t>
        </is>
      </c>
      <c r="E135" t="inlineStr">
        <is>
          <t>ÄLVDALEN</t>
        </is>
      </c>
      <c r="F135" t="inlineStr">
        <is>
          <t>Sveaskog</t>
        </is>
      </c>
      <c r="G135" t="n">
        <v>22.8</v>
      </c>
      <c r="H135" t="n">
        <v>0</v>
      </c>
      <c r="I135" t="n">
        <v>1</v>
      </c>
      <c r="J135" t="n">
        <v>0</v>
      </c>
      <c r="K135" t="n">
        <v>1</v>
      </c>
      <c r="L135" t="n">
        <v>0</v>
      </c>
      <c r="M135" t="n">
        <v>0</v>
      </c>
      <c r="N135" t="n">
        <v>0</v>
      </c>
      <c r="O135" t="n">
        <v>1</v>
      </c>
      <c r="P135" t="n">
        <v>1</v>
      </c>
      <c r="Q135" t="n">
        <v>2</v>
      </c>
      <c r="R135" s="2" t="inlineStr">
        <is>
          <t>Smalfotad taggsvamp
Dropptaggsvamp</t>
        </is>
      </c>
      <c r="S135">
        <f>HYPERLINK("https://klasma.github.io/Logging_2039/artfynd/A 30615-2021 artfynd.xlsx", "A 30615-2021")</f>
        <v/>
      </c>
      <c r="T135">
        <f>HYPERLINK("https://klasma.github.io/Logging_2039/kartor/A 30615-2021 karta.png", "A 30615-2021")</f>
        <v/>
      </c>
      <c r="V135">
        <f>HYPERLINK("https://klasma.github.io/Logging_2039/klagomål/A 30615-2021 FSC-klagomål.docx", "A 30615-2021")</f>
        <v/>
      </c>
      <c r="W135">
        <f>HYPERLINK("https://klasma.github.io/Logging_2039/klagomålsmail/A 30615-2021 FSC-klagomål mail.docx", "A 30615-2021")</f>
        <v/>
      </c>
      <c r="X135">
        <f>HYPERLINK("https://klasma.github.io/Logging_2039/tillsyn/A 30615-2021 tillsynsbegäran.docx", "A 30615-2021")</f>
        <v/>
      </c>
      <c r="Y135">
        <f>HYPERLINK("https://klasma.github.io/Logging_2039/tillsynsmail/A 30615-2021 tillsynsbegäran mail.docx", "A 30615-2021")</f>
        <v/>
      </c>
    </row>
    <row r="136" ht="15" customHeight="1">
      <c r="A136" t="inlineStr">
        <is>
          <t>A 40231-2021</t>
        </is>
      </c>
      <c r="B136" s="1" t="n">
        <v>44419</v>
      </c>
      <c r="C136" s="1" t="n">
        <v>45838</v>
      </c>
      <c r="D136" t="inlineStr">
        <is>
          <t>DALARNAS LÄN</t>
        </is>
      </c>
      <c r="E136" t="inlineStr">
        <is>
          <t>ÄLVDALEN</t>
        </is>
      </c>
      <c r="F136" t="inlineStr">
        <is>
          <t>Sveaskog</t>
        </is>
      </c>
      <c r="G136" t="n">
        <v>4.1</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40231-2021 artfynd.xlsx", "A 40231-2021")</f>
        <v/>
      </c>
      <c r="T136">
        <f>HYPERLINK("https://klasma.github.io/Logging_2039/kartor/A 40231-2021 karta.png", "A 40231-2021")</f>
        <v/>
      </c>
      <c r="V136">
        <f>HYPERLINK("https://klasma.github.io/Logging_2039/klagomål/A 40231-2021 FSC-klagomål.docx", "A 40231-2021")</f>
        <v/>
      </c>
      <c r="W136">
        <f>HYPERLINK("https://klasma.github.io/Logging_2039/klagomålsmail/A 40231-2021 FSC-klagomål mail.docx", "A 40231-2021")</f>
        <v/>
      </c>
      <c r="X136">
        <f>HYPERLINK("https://klasma.github.io/Logging_2039/tillsyn/A 40231-2021 tillsynsbegäran.docx", "A 40231-2021")</f>
        <v/>
      </c>
      <c r="Y136">
        <f>HYPERLINK("https://klasma.github.io/Logging_2039/tillsynsmail/A 40231-2021 tillsynsbegäran mail.docx", "A 40231-2021")</f>
        <v/>
      </c>
    </row>
    <row r="137" ht="15" customHeight="1">
      <c r="A137" t="inlineStr">
        <is>
          <t>A 44407-2021</t>
        </is>
      </c>
      <c r="B137" s="1" t="n">
        <v>44435</v>
      </c>
      <c r="C137" s="1" t="n">
        <v>45838</v>
      </c>
      <c r="D137" t="inlineStr">
        <is>
          <t>DALARNAS LÄN</t>
        </is>
      </c>
      <c r="E137" t="inlineStr">
        <is>
          <t>ÄLVDALEN</t>
        </is>
      </c>
      <c r="F137" t="inlineStr">
        <is>
          <t>Sveaskog</t>
        </is>
      </c>
      <c r="G137" t="n">
        <v>4.4</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44407-2021 artfynd.xlsx", "A 44407-2021")</f>
        <v/>
      </c>
      <c r="T137">
        <f>HYPERLINK("https://klasma.github.io/Logging_2039/kartor/A 44407-2021 karta.png", "A 44407-2021")</f>
        <v/>
      </c>
      <c r="V137">
        <f>HYPERLINK("https://klasma.github.io/Logging_2039/klagomål/A 44407-2021 FSC-klagomål.docx", "A 44407-2021")</f>
        <v/>
      </c>
      <c r="W137">
        <f>HYPERLINK("https://klasma.github.io/Logging_2039/klagomålsmail/A 44407-2021 FSC-klagomål mail.docx", "A 44407-2021")</f>
        <v/>
      </c>
      <c r="X137">
        <f>HYPERLINK("https://klasma.github.io/Logging_2039/tillsyn/A 44407-2021 tillsynsbegäran.docx", "A 44407-2021")</f>
        <v/>
      </c>
      <c r="Y137">
        <f>HYPERLINK("https://klasma.github.io/Logging_2039/tillsynsmail/A 44407-2021 tillsynsbegäran mail.docx", "A 44407-2021")</f>
        <v/>
      </c>
    </row>
    <row r="138" ht="15" customHeight="1">
      <c r="A138" t="inlineStr">
        <is>
          <t>A 54632-2021</t>
        </is>
      </c>
      <c r="B138" s="1" t="n">
        <v>44473</v>
      </c>
      <c r="C138" s="1" t="n">
        <v>45838</v>
      </c>
      <c r="D138" t="inlineStr">
        <is>
          <t>DALARNAS LÄN</t>
        </is>
      </c>
      <c r="E138" t="inlineStr">
        <is>
          <t>ÄLVDALEN</t>
        </is>
      </c>
      <c r="G138" t="n">
        <v>4.8</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67709-2021</t>
        </is>
      </c>
      <c r="B139" s="1" t="n">
        <v>44525</v>
      </c>
      <c r="C139" s="1" t="n">
        <v>45838</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69726-2021</t>
        </is>
      </c>
      <c r="B140" s="1" t="n">
        <v>44532</v>
      </c>
      <c r="C140" s="1" t="n">
        <v>45838</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19918-2022</t>
        </is>
      </c>
      <c r="B141" s="1" t="n">
        <v>44697</v>
      </c>
      <c r="C141" s="1" t="n">
        <v>45838</v>
      </c>
      <c r="D141" t="inlineStr">
        <is>
          <t>DALARNAS LÄN</t>
        </is>
      </c>
      <c r="E141" t="inlineStr">
        <is>
          <t>ÄLVDALEN</t>
        </is>
      </c>
      <c r="F141" t="inlineStr">
        <is>
          <t>Sveaskog</t>
        </is>
      </c>
      <c r="G141" t="n">
        <v>20.8</v>
      </c>
      <c r="H141" t="n">
        <v>2</v>
      </c>
      <c r="I141" t="n">
        <v>0</v>
      </c>
      <c r="J141" t="n">
        <v>2</v>
      </c>
      <c r="K141" t="n">
        <v>0</v>
      </c>
      <c r="L141" t="n">
        <v>0</v>
      </c>
      <c r="M141" t="n">
        <v>0</v>
      </c>
      <c r="N141" t="n">
        <v>0</v>
      </c>
      <c r="O141" t="n">
        <v>2</v>
      </c>
      <c r="P141" t="n">
        <v>0</v>
      </c>
      <c r="Q141" t="n">
        <v>2</v>
      </c>
      <c r="R141" s="2" t="inlineStr">
        <is>
          <t>Buskskvätta
Ärtsångare</t>
        </is>
      </c>
      <c r="S141">
        <f>HYPERLINK("https://klasma.github.io/Logging_2039/artfynd/A 19918-2022 artfynd.xlsx", "A 19918-2022")</f>
        <v/>
      </c>
      <c r="T141">
        <f>HYPERLINK("https://klasma.github.io/Logging_2039/kartor/A 19918-2022 karta.png", "A 19918-2022")</f>
        <v/>
      </c>
      <c r="V141">
        <f>HYPERLINK("https://klasma.github.io/Logging_2039/klagomål/A 19918-2022 FSC-klagomål.docx", "A 19918-2022")</f>
        <v/>
      </c>
      <c r="W141">
        <f>HYPERLINK("https://klasma.github.io/Logging_2039/klagomålsmail/A 19918-2022 FSC-klagomål mail.docx", "A 19918-2022")</f>
        <v/>
      </c>
      <c r="X141">
        <f>HYPERLINK("https://klasma.github.io/Logging_2039/tillsyn/A 19918-2022 tillsynsbegäran.docx", "A 19918-2022")</f>
        <v/>
      </c>
      <c r="Y141">
        <f>HYPERLINK("https://klasma.github.io/Logging_2039/tillsynsmail/A 19918-2022 tillsynsbegäran mail.docx", "A 19918-2022")</f>
        <v/>
      </c>
      <c r="Z141">
        <f>HYPERLINK("https://klasma.github.io/Logging_2039/fåglar/A 19918-2022 prioriterade fågelarter.docx", "A 19918-2022")</f>
        <v/>
      </c>
    </row>
    <row r="142" ht="15" customHeight="1">
      <c r="A142" t="inlineStr">
        <is>
          <t>A 21629-2022</t>
        </is>
      </c>
      <c r="B142" s="1" t="n">
        <v>44706</v>
      </c>
      <c r="C142" s="1" t="n">
        <v>45838</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50242-2022</t>
        </is>
      </c>
      <c r="B143" s="1" t="n">
        <v>44865</v>
      </c>
      <c r="C143" s="1" t="n">
        <v>45838</v>
      </c>
      <c r="D143" t="inlineStr">
        <is>
          <t>DALARNAS LÄN</t>
        </is>
      </c>
      <c r="E143" t="inlineStr">
        <is>
          <t>ÄLVDALEN</t>
        </is>
      </c>
      <c r="F143" t="inlineStr">
        <is>
          <t>Sveaskog</t>
        </is>
      </c>
      <c r="G143" t="n">
        <v>10.7</v>
      </c>
      <c r="H143" t="n">
        <v>0</v>
      </c>
      <c r="I143" t="n">
        <v>1</v>
      </c>
      <c r="J143" t="n">
        <v>1</v>
      </c>
      <c r="K143" t="n">
        <v>0</v>
      </c>
      <c r="L143" t="n">
        <v>0</v>
      </c>
      <c r="M143" t="n">
        <v>0</v>
      </c>
      <c r="N143" t="n">
        <v>0</v>
      </c>
      <c r="O143" t="n">
        <v>1</v>
      </c>
      <c r="P143" t="n">
        <v>0</v>
      </c>
      <c r="Q143" t="n">
        <v>2</v>
      </c>
      <c r="R143" s="2" t="inlineStr">
        <is>
          <t>Kolflarnlav
Dropptaggsvamp</t>
        </is>
      </c>
      <c r="S143">
        <f>HYPERLINK("https://klasma.github.io/Logging_2039/artfynd/A 50242-2022 artfynd.xlsx", "A 50242-2022")</f>
        <v/>
      </c>
      <c r="T143">
        <f>HYPERLINK("https://klasma.github.io/Logging_2039/kartor/A 50242-2022 karta.png", "A 50242-2022")</f>
        <v/>
      </c>
      <c r="V143">
        <f>HYPERLINK("https://klasma.github.io/Logging_2039/klagomål/A 50242-2022 FSC-klagomål.docx", "A 50242-2022")</f>
        <v/>
      </c>
      <c r="W143">
        <f>HYPERLINK("https://klasma.github.io/Logging_2039/klagomålsmail/A 50242-2022 FSC-klagomål mail.docx", "A 50242-2022")</f>
        <v/>
      </c>
      <c r="X143">
        <f>HYPERLINK("https://klasma.github.io/Logging_2039/tillsyn/A 50242-2022 tillsynsbegäran.docx", "A 50242-2022")</f>
        <v/>
      </c>
      <c r="Y143">
        <f>HYPERLINK("https://klasma.github.io/Logging_2039/tillsynsmail/A 50242-2022 tillsynsbegäran mail.docx", "A 50242-2022")</f>
        <v/>
      </c>
    </row>
    <row r="144" ht="15" customHeight="1">
      <c r="A144" t="inlineStr">
        <is>
          <t>A 52490-2022</t>
        </is>
      </c>
      <c r="B144" s="1" t="n">
        <v>44874</v>
      </c>
      <c r="C144" s="1" t="n">
        <v>45838</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21857-2023</t>
        </is>
      </c>
      <c r="B145" s="1" t="n">
        <v>45068</v>
      </c>
      <c r="C145" s="1" t="n">
        <v>45838</v>
      </c>
      <c r="D145" t="inlineStr">
        <is>
          <t>DALARNAS LÄN</t>
        </is>
      </c>
      <c r="E145" t="inlineStr">
        <is>
          <t>ÄLVDALEN</t>
        </is>
      </c>
      <c r="F145" t="inlineStr">
        <is>
          <t>Allmännings- och besparingsskogar</t>
        </is>
      </c>
      <c r="G145" t="n">
        <v>25.2</v>
      </c>
      <c r="H145" t="n">
        <v>1</v>
      </c>
      <c r="I145" t="n">
        <v>0</v>
      </c>
      <c r="J145" t="n">
        <v>2</v>
      </c>
      <c r="K145" t="n">
        <v>0</v>
      </c>
      <c r="L145" t="n">
        <v>0</v>
      </c>
      <c r="M145" t="n">
        <v>0</v>
      </c>
      <c r="N145" t="n">
        <v>0</v>
      </c>
      <c r="O145" t="n">
        <v>2</v>
      </c>
      <c r="P145" t="n">
        <v>0</v>
      </c>
      <c r="Q145" t="n">
        <v>2</v>
      </c>
      <c r="R145" s="2" t="inlineStr">
        <is>
          <t>Svartvit flugsnappare
Vedflamlav</t>
        </is>
      </c>
      <c r="S145">
        <f>HYPERLINK("https://klasma.github.io/Logging_2039/artfynd/A 21857-2023 artfynd.xlsx", "A 21857-2023")</f>
        <v/>
      </c>
      <c r="T145">
        <f>HYPERLINK("https://klasma.github.io/Logging_2039/kartor/A 21857-2023 karta.png", "A 21857-2023")</f>
        <v/>
      </c>
      <c r="V145">
        <f>HYPERLINK("https://klasma.github.io/Logging_2039/klagomål/A 21857-2023 FSC-klagomål.docx", "A 21857-2023")</f>
        <v/>
      </c>
      <c r="W145">
        <f>HYPERLINK("https://klasma.github.io/Logging_2039/klagomålsmail/A 21857-2023 FSC-klagomål mail.docx", "A 21857-2023")</f>
        <v/>
      </c>
      <c r="X145">
        <f>HYPERLINK("https://klasma.github.io/Logging_2039/tillsyn/A 21857-2023 tillsynsbegäran.docx", "A 21857-2023")</f>
        <v/>
      </c>
      <c r="Y145">
        <f>HYPERLINK("https://klasma.github.io/Logging_2039/tillsynsmail/A 21857-2023 tillsynsbegäran mail.docx", "A 21857-2023")</f>
        <v/>
      </c>
      <c r="Z145">
        <f>HYPERLINK("https://klasma.github.io/Logging_2039/fåglar/A 21857-2023 prioriterade fågelarter.docx", "A 21857-2023")</f>
        <v/>
      </c>
    </row>
    <row r="146" ht="15" customHeight="1">
      <c r="A146" t="inlineStr">
        <is>
          <t>A 27967-2023</t>
        </is>
      </c>
      <c r="B146" s="1" t="n">
        <v>45098</v>
      </c>
      <c r="C146" s="1" t="n">
        <v>45838</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33894-2023</t>
        </is>
      </c>
      <c r="B147" s="1" t="n">
        <v>45121</v>
      </c>
      <c r="C147" s="1" t="n">
        <v>45838</v>
      </c>
      <c r="D147" t="inlineStr">
        <is>
          <t>DALARNAS LÄN</t>
        </is>
      </c>
      <c r="E147" t="inlineStr">
        <is>
          <t>ÄLVDALEN</t>
        </is>
      </c>
      <c r="F147" t="inlineStr">
        <is>
          <t>Sveaskog</t>
        </is>
      </c>
      <c r="G147" t="n">
        <v>3</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HYPERLINK("https://klasma.github.io/Logging_2039/artfynd/A 33894-2023 artfynd.xlsx", "A 33894-2023")</f>
        <v/>
      </c>
      <c r="T147">
        <f>HYPERLINK("https://klasma.github.io/Logging_2039/kartor/A 33894-2023 karta.png", "A 33894-2023")</f>
        <v/>
      </c>
      <c r="V147">
        <f>HYPERLINK("https://klasma.github.io/Logging_2039/klagomål/A 33894-2023 FSC-klagomål.docx", "A 33894-2023")</f>
        <v/>
      </c>
      <c r="W147">
        <f>HYPERLINK("https://klasma.github.io/Logging_2039/klagomålsmail/A 33894-2023 FSC-klagomål mail.docx", "A 33894-2023")</f>
        <v/>
      </c>
      <c r="X147">
        <f>HYPERLINK("https://klasma.github.io/Logging_2039/tillsyn/A 33894-2023 tillsynsbegäran.docx", "A 33894-2023")</f>
        <v/>
      </c>
      <c r="Y147">
        <f>HYPERLINK("https://klasma.github.io/Logging_2039/tillsynsmail/A 33894-2023 tillsynsbegäran mail.docx", "A 33894-2023")</f>
        <v/>
      </c>
    </row>
    <row r="148" ht="15" customHeight="1">
      <c r="A148" t="inlineStr">
        <is>
          <t>A 35184-2023</t>
        </is>
      </c>
      <c r="B148" s="1" t="n">
        <v>45145</v>
      </c>
      <c r="C148" s="1" t="n">
        <v>45838</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Blanksvart spiklav
Kolflarnlav</t>
        </is>
      </c>
      <c r="S148">
        <f>HYPERLINK("https://klasma.github.io/Logging_2039/artfynd/A 35184-2023 artfynd.xlsx", "A 35184-2023")</f>
        <v/>
      </c>
      <c r="T148">
        <f>HYPERLINK("https://klasma.github.io/Logging_2039/kartor/A 35184-2023 karta.png", "A 35184-2023")</f>
        <v/>
      </c>
      <c r="V148">
        <f>HYPERLINK("https://klasma.github.io/Logging_2039/klagomål/A 35184-2023 FSC-klagomål.docx", "A 35184-2023")</f>
        <v/>
      </c>
      <c r="W148">
        <f>HYPERLINK("https://klasma.github.io/Logging_2039/klagomålsmail/A 35184-2023 FSC-klagomål mail.docx", "A 35184-2023")</f>
        <v/>
      </c>
      <c r="X148">
        <f>HYPERLINK("https://klasma.github.io/Logging_2039/tillsyn/A 35184-2023 tillsynsbegäran.docx", "A 35184-2023")</f>
        <v/>
      </c>
      <c r="Y148">
        <f>HYPERLINK("https://klasma.github.io/Logging_2039/tillsynsmail/A 35184-2023 tillsynsbegäran mail.docx", "A 35184-2023")</f>
        <v/>
      </c>
    </row>
    <row r="149" ht="15" customHeight="1">
      <c r="A149" t="inlineStr">
        <is>
          <t>A 37664-2023</t>
        </is>
      </c>
      <c r="B149" s="1" t="n">
        <v>45159</v>
      </c>
      <c r="C149" s="1" t="n">
        <v>45838</v>
      </c>
      <c r="D149" t="inlineStr">
        <is>
          <t>DALARNAS LÄN</t>
        </is>
      </c>
      <c r="E149" t="inlineStr">
        <is>
          <t>ÄLVDALEN</t>
        </is>
      </c>
      <c r="F149" t="inlineStr">
        <is>
          <t>Allmännings- och besparingsskogar</t>
        </is>
      </c>
      <c r="G149" t="n">
        <v>0.6</v>
      </c>
      <c r="H149" t="n">
        <v>0</v>
      </c>
      <c r="I149" t="n">
        <v>1</v>
      </c>
      <c r="J149" t="n">
        <v>1</v>
      </c>
      <c r="K149" t="n">
        <v>0</v>
      </c>
      <c r="L149" t="n">
        <v>0</v>
      </c>
      <c r="M149" t="n">
        <v>0</v>
      </c>
      <c r="N149" t="n">
        <v>0</v>
      </c>
      <c r="O149" t="n">
        <v>1</v>
      </c>
      <c r="P149" t="n">
        <v>0</v>
      </c>
      <c r="Q149" t="n">
        <v>2</v>
      </c>
      <c r="R149" s="2" t="inlineStr">
        <is>
          <t>Vaddporing
Mindre märgborre</t>
        </is>
      </c>
      <c r="S149">
        <f>HYPERLINK("https://klasma.github.io/Logging_2039/artfynd/A 37664-2023 artfynd.xlsx", "A 37664-2023")</f>
        <v/>
      </c>
      <c r="T149">
        <f>HYPERLINK("https://klasma.github.io/Logging_2039/kartor/A 37664-2023 karta.png", "A 37664-2023")</f>
        <v/>
      </c>
      <c r="V149">
        <f>HYPERLINK("https://klasma.github.io/Logging_2039/klagomål/A 37664-2023 FSC-klagomål.docx", "A 37664-2023")</f>
        <v/>
      </c>
      <c r="W149">
        <f>HYPERLINK("https://klasma.github.io/Logging_2039/klagomålsmail/A 37664-2023 FSC-klagomål mail.docx", "A 37664-2023")</f>
        <v/>
      </c>
      <c r="X149">
        <f>HYPERLINK("https://klasma.github.io/Logging_2039/tillsyn/A 37664-2023 tillsynsbegäran.docx", "A 37664-2023")</f>
        <v/>
      </c>
      <c r="Y149">
        <f>HYPERLINK("https://klasma.github.io/Logging_2039/tillsynsmail/A 37664-2023 tillsynsbegäran mail.docx", "A 37664-2023")</f>
        <v/>
      </c>
    </row>
    <row r="150" ht="15" customHeight="1">
      <c r="A150" t="inlineStr">
        <is>
          <t>A 42848-2023</t>
        </is>
      </c>
      <c r="B150" s="1" t="n">
        <v>45182</v>
      </c>
      <c r="C150" s="1" t="n">
        <v>45838</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9079-2024</t>
        </is>
      </c>
      <c r="B151" s="1" t="n">
        <v>45357</v>
      </c>
      <c r="C151" s="1" t="n">
        <v>45838</v>
      </c>
      <c r="D151" t="inlineStr">
        <is>
          <t>DALARNAS LÄN</t>
        </is>
      </c>
      <c r="E151" t="inlineStr">
        <is>
          <t>ÄLVDALEN</t>
        </is>
      </c>
      <c r="F151" t="inlineStr">
        <is>
          <t>Övriga Aktiebolag</t>
        </is>
      </c>
      <c r="G151" t="n">
        <v>15.2</v>
      </c>
      <c r="H151" t="n">
        <v>1</v>
      </c>
      <c r="I151" t="n">
        <v>0</v>
      </c>
      <c r="J151" t="n">
        <v>1</v>
      </c>
      <c r="K151" t="n">
        <v>0</v>
      </c>
      <c r="L151" t="n">
        <v>0</v>
      </c>
      <c r="M151" t="n">
        <v>0</v>
      </c>
      <c r="N151" t="n">
        <v>0</v>
      </c>
      <c r="O151" t="n">
        <v>1</v>
      </c>
      <c r="P151" t="n">
        <v>0</v>
      </c>
      <c r="Q151" t="n">
        <v>2</v>
      </c>
      <c r="R151" s="2" t="inlineStr">
        <is>
          <t>Kortskaftad ärgspik
Fläcknycklar</t>
        </is>
      </c>
      <c r="S151">
        <f>HYPERLINK("https://klasma.github.io/Logging_2039/artfynd/A 9079-2024 artfynd.xlsx", "A 9079-2024")</f>
        <v/>
      </c>
      <c r="T151">
        <f>HYPERLINK("https://klasma.github.io/Logging_2039/kartor/A 9079-2024 karta.png", "A 9079-2024")</f>
        <v/>
      </c>
      <c r="V151">
        <f>HYPERLINK("https://klasma.github.io/Logging_2039/klagomål/A 9079-2024 FSC-klagomål.docx", "A 9079-2024")</f>
        <v/>
      </c>
      <c r="W151">
        <f>HYPERLINK("https://klasma.github.io/Logging_2039/klagomålsmail/A 9079-2024 FSC-klagomål mail.docx", "A 9079-2024")</f>
        <v/>
      </c>
      <c r="X151">
        <f>HYPERLINK("https://klasma.github.io/Logging_2039/tillsyn/A 9079-2024 tillsynsbegäran.docx", "A 9079-2024")</f>
        <v/>
      </c>
      <c r="Y151">
        <f>HYPERLINK("https://klasma.github.io/Logging_2039/tillsynsmail/A 9079-2024 tillsynsbegäran mail.docx", "A 9079-2024")</f>
        <v/>
      </c>
    </row>
    <row r="152" ht="15" customHeight="1">
      <c r="A152" t="inlineStr">
        <is>
          <t>A 19612-2024</t>
        </is>
      </c>
      <c r="B152" s="1" t="n">
        <v>45432</v>
      </c>
      <c r="C152" s="1" t="n">
        <v>45838</v>
      </c>
      <c r="D152" t="inlineStr">
        <is>
          <t>DALARNAS LÄN</t>
        </is>
      </c>
      <c r="E152" t="inlineStr">
        <is>
          <t>ÄLVDALEN</t>
        </is>
      </c>
      <c r="F152" t="inlineStr">
        <is>
          <t>Sveaskog</t>
        </is>
      </c>
      <c r="G152" t="n">
        <v>3.1</v>
      </c>
      <c r="H152" t="n">
        <v>0</v>
      </c>
      <c r="I152" t="n">
        <v>0</v>
      </c>
      <c r="J152" t="n">
        <v>2</v>
      </c>
      <c r="K152" t="n">
        <v>0</v>
      </c>
      <c r="L152" t="n">
        <v>0</v>
      </c>
      <c r="M152" t="n">
        <v>0</v>
      </c>
      <c r="N152" t="n">
        <v>0</v>
      </c>
      <c r="O152" t="n">
        <v>2</v>
      </c>
      <c r="P152" t="n">
        <v>0</v>
      </c>
      <c r="Q152" t="n">
        <v>2</v>
      </c>
      <c r="R152" s="2" t="inlineStr">
        <is>
          <t>Blanksvart spiklav
Kolflarnlav</t>
        </is>
      </c>
      <c r="S152">
        <f>HYPERLINK("https://klasma.github.io/Logging_2039/artfynd/A 19612-2024 artfynd.xlsx", "A 19612-2024")</f>
        <v/>
      </c>
      <c r="T152">
        <f>HYPERLINK("https://klasma.github.io/Logging_2039/kartor/A 19612-2024 karta.png", "A 19612-2024")</f>
        <v/>
      </c>
      <c r="V152">
        <f>HYPERLINK("https://klasma.github.io/Logging_2039/klagomål/A 19612-2024 FSC-klagomål.docx", "A 19612-2024")</f>
        <v/>
      </c>
      <c r="W152">
        <f>HYPERLINK("https://klasma.github.io/Logging_2039/klagomålsmail/A 19612-2024 FSC-klagomål mail.docx", "A 19612-2024")</f>
        <v/>
      </c>
      <c r="X152">
        <f>HYPERLINK("https://klasma.github.io/Logging_2039/tillsyn/A 19612-2024 tillsynsbegäran.docx", "A 19612-2024")</f>
        <v/>
      </c>
      <c r="Y152">
        <f>HYPERLINK("https://klasma.github.io/Logging_2039/tillsynsmail/A 19612-2024 tillsynsbegäran mail.docx", "A 19612-2024")</f>
        <v/>
      </c>
    </row>
    <row r="153" ht="15" customHeight="1">
      <c r="A153" t="inlineStr">
        <is>
          <t>A 32206-2024</t>
        </is>
      </c>
      <c r="B153" s="1" t="n">
        <v>45511</v>
      </c>
      <c r="C153" s="1" t="n">
        <v>45838</v>
      </c>
      <c r="D153" t="inlineStr">
        <is>
          <t>DALARNAS LÄN</t>
        </is>
      </c>
      <c r="E153" t="inlineStr">
        <is>
          <t>ÄLVDALEN</t>
        </is>
      </c>
      <c r="F153" t="inlineStr">
        <is>
          <t>Sveaskog</t>
        </is>
      </c>
      <c r="G153" t="n">
        <v>8.1</v>
      </c>
      <c r="H153" t="n">
        <v>0</v>
      </c>
      <c r="I153" t="n">
        <v>0</v>
      </c>
      <c r="J153" t="n">
        <v>2</v>
      </c>
      <c r="K153" t="n">
        <v>0</v>
      </c>
      <c r="L153" t="n">
        <v>0</v>
      </c>
      <c r="M153" t="n">
        <v>0</v>
      </c>
      <c r="N153" t="n">
        <v>0</v>
      </c>
      <c r="O153" t="n">
        <v>2</v>
      </c>
      <c r="P153" t="n">
        <v>0</v>
      </c>
      <c r="Q153" t="n">
        <v>2</v>
      </c>
      <c r="R153" s="2" t="inlineStr">
        <is>
          <t>Blanksvart spiklav
Dvärgbägarlav</t>
        </is>
      </c>
      <c r="S153">
        <f>HYPERLINK("https://klasma.github.io/Logging_2039/artfynd/A 32206-2024 artfynd.xlsx", "A 32206-2024")</f>
        <v/>
      </c>
      <c r="T153">
        <f>HYPERLINK("https://klasma.github.io/Logging_2039/kartor/A 32206-2024 karta.png", "A 32206-2024")</f>
        <v/>
      </c>
      <c r="V153">
        <f>HYPERLINK("https://klasma.github.io/Logging_2039/klagomål/A 32206-2024 FSC-klagomål.docx", "A 32206-2024")</f>
        <v/>
      </c>
      <c r="W153">
        <f>HYPERLINK("https://klasma.github.io/Logging_2039/klagomålsmail/A 32206-2024 FSC-klagomål mail.docx", "A 32206-2024")</f>
        <v/>
      </c>
      <c r="X153">
        <f>HYPERLINK("https://klasma.github.io/Logging_2039/tillsyn/A 32206-2024 tillsynsbegäran.docx", "A 32206-2024")</f>
        <v/>
      </c>
      <c r="Y153">
        <f>HYPERLINK("https://klasma.github.io/Logging_2039/tillsynsmail/A 32206-2024 tillsynsbegäran mail.docx", "A 32206-2024")</f>
        <v/>
      </c>
    </row>
    <row r="154" ht="15" customHeight="1">
      <c r="A154" t="inlineStr">
        <is>
          <t>A 52198-2024</t>
        </is>
      </c>
      <c r="B154" s="1" t="n">
        <v>45608</v>
      </c>
      <c r="C154" s="1" t="n">
        <v>45838</v>
      </c>
      <c r="D154" t="inlineStr">
        <is>
          <t>DALARNAS LÄN</t>
        </is>
      </c>
      <c r="E154" t="inlineStr">
        <is>
          <t>ÄLVDALEN</t>
        </is>
      </c>
      <c r="F154" t="inlineStr">
        <is>
          <t>Allmännings- och besparingsskogar</t>
        </is>
      </c>
      <c r="G154" t="n">
        <v>2.7</v>
      </c>
      <c r="H154" t="n">
        <v>1</v>
      </c>
      <c r="I154" t="n">
        <v>1</v>
      </c>
      <c r="J154" t="n">
        <v>1</v>
      </c>
      <c r="K154" t="n">
        <v>0</v>
      </c>
      <c r="L154" t="n">
        <v>0</v>
      </c>
      <c r="M154" t="n">
        <v>0</v>
      </c>
      <c r="N154" t="n">
        <v>0</v>
      </c>
      <c r="O154" t="n">
        <v>1</v>
      </c>
      <c r="P154" t="n">
        <v>0</v>
      </c>
      <c r="Q154" t="n">
        <v>2</v>
      </c>
      <c r="R154" s="2" t="inlineStr">
        <is>
          <t>Spillkråka
Skarp dropptaggsvamp</t>
        </is>
      </c>
      <c r="S154">
        <f>HYPERLINK("https://klasma.github.io/Logging_2039/artfynd/A 52198-2024 artfynd.xlsx", "A 52198-2024")</f>
        <v/>
      </c>
      <c r="T154">
        <f>HYPERLINK("https://klasma.github.io/Logging_2039/kartor/A 52198-2024 karta.png", "A 52198-2024")</f>
        <v/>
      </c>
      <c r="V154">
        <f>HYPERLINK("https://klasma.github.io/Logging_2039/klagomål/A 52198-2024 FSC-klagomål.docx", "A 52198-2024")</f>
        <v/>
      </c>
      <c r="W154">
        <f>HYPERLINK("https://klasma.github.io/Logging_2039/klagomålsmail/A 52198-2024 FSC-klagomål mail.docx", "A 52198-2024")</f>
        <v/>
      </c>
      <c r="X154">
        <f>HYPERLINK("https://klasma.github.io/Logging_2039/tillsyn/A 52198-2024 tillsynsbegäran.docx", "A 52198-2024")</f>
        <v/>
      </c>
      <c r="Y154">
        <f>HYPERLINK("https://klasma.github.io/Logging_2039/tillsynsmail/A 52198-2024 tillsynsbegäran mail.docx", "A 52198-2024")</f>
        <v/>
      </c>
      <c r="Z154">
        <f>HYPERLINK("https://klasma.github.io/Logging_2039/fåglar/A 52198-2024 prioriterade fågelarter.docx", "A 52198-2024")</f>
        <v/>
      </c>
    </row>
    <row r="155" ht="15" customHeight="1">
      <c r="A155" t="inlineStr">
        <is>
          <t>A 59429-2024</t>
        </is>
      </c>
      <c r="B155" s="1" t="n">
        <v>45638</v>
      </c>
      <c r="C155" s="1" t="n">
        <v>45838</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17546-2025</t>
        </is>
      </c>
      <c r="B156" s="1" t="n">
        <v>45757</v>
      </c>
      <c r="C156" s="1" t="n">
        <v>45838</v>
      </c>
      <c r="D156" t="inlineStr">
        <is>
          <t>DALARNAS LÄN</t>
        </is>
      </c>
      <c r="E156" t="inlineStr">
        <is>
          <t>ÄLVDALEN</t>
        </is>
      </c>
      <c r="F156" t="inlineStr">
        <is>
          <t>Sveaskog</t>
        </is>
      </c>
      <c r="G156" t="n">
        <v>3.5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HYPERLINK("https://klasma.github.io/Logging_202039/artfynd/A 17546-2025 artfynd.xlsx", "A 17546-2025")</f>
        <v/>
      </c>
      <c r="T156">
        <f>HYPERLINK("https://klasma.github.io/Logging_202039/kartor/A 17546-2025 karta.png", "A 17546-2025")</f>
        <v/>
      </c>
      <c r="V156">
        <f>HYPERLINK("https://klasma.github.io/Logging_202039/klagomål/A 17546-2025 FSC-klagomål.docx", "A 17546-2025")</f>
        <v/>
      </c>
      <c r="W156">
        <f>HYPERLINK("https://klasma.github.io/Logging_202039/klagomålsmail/A 17546-2025 FSC-klagomål mail.docx", "A 17546-2025")</f>
        <v/>
      </c>
      <c r="X156">
        <f>HYPERLINK("https://klasma.github.io/Logging_202039/tillsyn/A 17546-2025 tillsynsbegäran.docx", "A 17546-2025")</f>
        <v/>
      </c>
      <c r="Y156">
        <f>HYPERLINK("https://klasma.github.io/Logging_202039/tillsynsmail/A 17546-2025 tillsynsbegäran mail.docx", "A 17546-2025")</f>
        <v/>
      </c>
    </row>
    <row r="157" ht="15" customHeight="1">
      <c r="A157" t="inlineStr">
        <is>
          <t>A 27937-2025</t>
        </is>
      </c>
      <c r="B157" s="1" t="n">
        <v>45817</v>
      </c>
      <c r="C157" s="1" t="n">
        <v>45838</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HYPERLINK("https://klasma.github.io/Logging_202039/artfynd/A 27937-2025 artfynd.xlsx", "A 27937-2025")</f>
        <v/>
      </c>
      <c r="T157">
        <f>HYPERLINK("https://klasma.github.io/Logging_202039/kartor/A 27937-2025 karta.png", "A 27937-2025")</f>
        <v/>
      </c>
      <c r="V157">
        <f>HYPERLINK("https://klasma.github.io/Logging_202039/klagomål/A 27937-2025 FSC-klagomål.docx", "A 27937-2025")</f>
        <v/>
      </c>
      <c r="W157">
        <f>HYPERLINK("https://klasma.github.io/Logging_202039/klagomålsmail/A 27937-2025 FSC-klagomål mail.docx", "A 27937-2025")</f>
        <v/>
      </c>
      <c r="X157">
        <f>HYPERLINK("https://klasma.github.io/Logging_202039/tillsyn/A 27937-2025 tillsynsbegäran.docx", "A 27937-2025")</f>
        <v/>
      </c>
      <c r="Y157">
        <f>HYPERLINK("https://klasma.github.io/Logging_202039/tillsynsmail/A 27937-2025 tillsynsbegäran mail.docx", "A 27937-2025")</f>
        <v/>
      </c>
    </row>
    <row r="158" ht="15" customHeight="1">
      <c r="A158" t="inlineStr">
        <is>
          <t>A 31264-2025</t>
        </is>
      </c>
      <c r="B158" s="1" t="n">
        <v>45833</v>
      </c>
      <c r="C158" s="1" t="n">
        <v>45838</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HYPERLINK("https://klasma.github.io/Logging_202039/artfynd/A 31264-2025 artfynd.xlsx", "A 31264-2025")</f>
        <v/>
      </c>
      <c r="T158">
        <f>HYPERLINK("https://klasma.github.io/Logging_202039/kartor/A 31264-2025 karta.png", "A 31264-2025")</f>
        <v/>
      </c>
      <c r="V158">
        <f>HYPERLINK("https://klasma.github.io/Logging_202039/klagomål/A 31264-2025 FSC-klagomål.docx", "A 31264-2025")</f>
        <v/>
      </c>
      <c r="W158">
        <f>HYPERLINK("https://klasma.github.io/Logging_202039/klagomålsmail/A 31264-2025 FSC-klagomål mail.docx", "A 31264-2025")</f>
        <v/>
      </c>
      <c r="X158">
        <f>HYPERLINK("https://klasma.github.io/Logging_202039/tillsyn/A 31264-2025 tillsynsbegäran.docx", "A 31264-2025")</f>
        <v/>
      </c>
      <c r="Y158">
        <f>HYPERLINK("https://klasma.github.io/Logging_202039/tillsynsmail/A 31264-2025 tillsynsbegäran mail.docx", "A 31264-2025")</f>
        <v/>
      </c>
    </row>
    <row r="159" ht="15" customHeight="1">
      <c r="A159" t="inlineStr">
        <is>
          <t>A 22522-2019</t>
        </is>
      </c>
      <c r="B159" s="1" t="n">
        <v>43587</v>
      </c>
      <c r="C159" s="1" t="n">
        <v>45838</v>
      </c>
      <c r="D159" t="inlineStr">
        <is>
          <t>DALARNAS LÄN</t>
        </is>
      </c>
      <c r="E159" t="inlineStr">
        <is>
          <t>ÄLVDALEN</t>
        </is>
      </c>
      <c r="G159" t="n">
        <v>5.1</v>
      </c>
      <c r="H159" t="n">
        <v>1</v>
      </c>
      <c r="I159" t="n">
        <v>0</v>
      </c>
      <c r="J159" t="n">
        <v>1</v>
      </c>
      <c r="K159" t="n">
        <v>0</v>
      </c>
      <c r="L159" t="n">
        <v>0</v>
      </c>
      <c r="M159" t="n">
        <v>0</v>
      </c>
      <c r="N159" t="n">
        <v>0</v>
      </c>
      <c r="O159" t="n">
        <v>1</v>
      </c>
      <c r="P159" t="n">
        <v>0</v>
      </c>
      <c r="Q159" t="n">
        <v>1</v>
      </c>
      <c r="R159" s="2" t="inlineStr">
        <is>
          <t>Utter</t>
        </is>
      </c>
      <c r="S159">
        <f>HYPERLINK("https://klasma.github.io/Logging_2039/artfynd/A 22522-2019 artfynd.xlsx", "A 22522-2019")</f>
        <v/>
      </c>
      <c r="T159">
        <f>HYPERLINK("https://klasma.github.io/Logging_2039/kartor/A 22522-2019 karta.png", "A 22522-2019")</f>
        <v/>
      </c>
      <c r="V159">
        <f>HYPERLINK("https://klasma.github.io/Logging_2039/klagomål/A 22522-2019 FSC-klagomål.docx", "A 22522-2019")</f>
        <v/>
      </c>
      <c r="W159">
        <f>HYPERLINK("https://klasma.github.io/Logging_2039/klagomålsmail/A 22522-2019 FSC-klagomål mail.docx", "A 22522-2019")</f>
        <v/>
      </c>
      <c r="X159">
        <f>HYPERLINK("https://klasma.github.io/Logging_2039/tillsyn/A 22522-2019 tillsynsbegäran.docx", "A 22522-2019")</f>
        <v/>
      </c>
      <c r="Y159">
        <f>HYPERLINK("https://klasma.github.io/Logging_2039/tillsynsmail/A 22522-2019 tillsynsbegäran mail.docx", "A 22522-2019")</f>
        <v/>
      </c>
    </row>
    <row r="160" ht="15" customHeight="1">
      <c r="A160" t="inlineStr">
        <is>
          <t>A 18227-2020</t>
        </is>
      </c>
      <c r="B160" s="1" t="n">
        <v>43928</v>
      </c>
      <c r="C160" s="1" t="n">
        <v>45838</v>
      </c>
      <c r="D160" t="inlineStr">
        <is>
          <t>DALARNAS LÄN</t>
        </is>
      </c>
      <c r="E160" t="inlineStr">
        <is>
          <t>ÄLVDALEN</t>
        </is>
      </c>
      <c r="F160" t="inlineStr">
        <is>
          <t>Sveaskog</t>
        </is>
      </c>
      <c r="G160" t="n">
        <v>13.1</v>
      </c>
      <c r="H160" t="n">
        <v>1</v>
      </c>
      <c r="I160" t="n">
        <v>0</v>
      </c>
      <c r="J160" t="n">
        <v>1</v>
      </c>
      <c r="K160" t="n">
        <v>0</v>
      </c>
      <c r="L160" t="n">
        <v>0</v>
      </c>
      <c r="M160" t="n">
        <v>0</v>
      </c>
      <c r="N160" t="n">
        <v>0</v>
      </c>
      <c r="O160" t="n">
        <v>1</v>
      </c>
      <c r="P160" t="n">
        <v>0</v>
      </c>
      <c r="Q160" t="n">
        <v>1</v>
      </c>
      <c r="R160" s="2" t="inlineStr">
        <is>
          <t>Varglav</t>
        </is>
      </c>
      <c r="S160">
        <f>HYPERLINK("https://klasma.github.io/Logging_2039/artfynd/A 18227-2020 artfynd.xlsx", "A 18227-2020")</f>
        <v/>
      </c>
      <c r="T160">
        <f>HYPERLINK("https://klasma.github.io/Logging_2039/kartor/A 18227-2020 karta.png", "A 18227-2020")</f>
        <v/>
      </c>
      <c r="V160">
        <f>HYPERLINK("https://klasma.github.io/Logging_2039/klagomål/A 18227-2020 FSC-klagomål.docx", "A 18227-2020")</f>
        <v/>
      </c>
      <c r="W160">
        <f>HYPERLINK("https://klasma.github.io/Logging_2039/klagomålsmail/A 18227-2020 FSC-klagomål mail.docx", "A 18227-2020")</f>
        <v/>
      </c>
      <c r="X160">
        <f>HYPERLINK("https://klasma.github.io/Logging_2039/tillsyn/A 18227-2020 tillsynsbegäran.docx", "A 18227-2020")</f>
        <v/>
      </c>
      <c r="Y160">
        <f>HYPERLINK("https://klasma.github.io/Logging_2039/tillsynsmail/A 18227-2020 tillsynsbegäran mail.docx", "A 18227-2020")</f>
        <v/>
      </c>
    </row>
    <row r="161" ht="15" customHeight="1">
      <c r="A161" t="inlineStr">
        <is>
          <t>A 19669-2020</t>
        </is>
      </c>
      <c r="B161" s="1" t="n">
        <v>43937</v>
      </c>
      <c r="C161" s="1" t="n">
        <v>45838</v>
      </c>
      <c r="D161" t="inlineStr">
        <is>
          <t>DALARNAS LÄN</t>
        </is>
      </c>
      <c r="E161" t="inlineStr">
        <is>
          <t>ÄLVDALEN</t>
        </is>
      </c>
      <c r="F161" t="inlineStr">
        <is>
          <t>Sveaskog</t>
        </is>
      </c>
      <c r="G161" t="n">
        <v>12.9</v>
      </c>
      <c r="H161" t="n">
        <v>1</v>
      </c>
      <c r="I161" t="n">
        <v>0</v>
      </c>
      <c r="J161" t="n">
        <v>1</v>
      </c>
      <c r="K161" t="n">
        <v>0</v>
      </c>
      <c r="L161" t="n">
        <v>0</v>
      </c>
      <c r="M161" t="n">
        <v>0</v>
      </c>
      <c r="N161" t="n">
        <v>0</v>
      </c>
      <c r="O161" t="n">
        <v>1</v>
      </c>
      <c r="P161" t="n">
        <v>0</v>
      </c>
      <c r="Q161" t="n">
        <v>1</v>
      </c>
      <c r="R161" s="2" t="inlineStr">
        <is>
          <t>Varglav</t>
        </is>
      </c>
      <c r="S161">
        <f>HYPERLINK("https://klasma.github.io/Logging_2039/artfynd/A 19669-2020 artfynd.xlsx", "A 19669-2020")</f>
        <v/>
      </c>
      <c r="T161">
        <f>HYPERLINK("https://klasma.github.io/Logging_2039/kartor/A 19669-2020 karta.png", "A 19669-2020")</f>
        <v/>
      </c>
      <c r="V161">
        <f>HYPERLINK("https://klasma.github.io/Logging_2039/klagomål/A 19669-2020 FSC-klagomål.docx", "A 19669-2020")</f>
        <v/>
      </c>
      <c r="W161">
        <f>HYPERLINK("https://klasma.github.io/Logging_2039/klagomålsmail/A 19669-2020 FSC-klagomål mail.docx", "A 19669-2020")</f>
        <v/>
      </c>
      <c r="X161">
        <f>HYPERLINK("https://klasma.github.io/Logging_2039/tillsyn/A 19669-2020 tillsynsbegäran.docx", "A 19669-2020")</f>
        <v/>
      </c>
      <c r="Y161">
        <f>HYPERLINK("https://klasma.github.io/Logging_2039/tillsynsmail/A 19669-2020 tillsynsbegäran mail.docx", "A 19669-2020")</f>
        <v/>
      </c>
    </row>
    <row r="162" ht="15" customHeight="1">
      <c r="A162" t="inlineStr">
        <is>
          <t>A 38505-2020</t>
        </is>
      </c>
      <c r="B162" s="1" t="n">
        <v>44061</v>
      </c>
      <c r="C162" s="1" t="n">
        <v>45838</v>
      </c>
      <c r="D162" t="inlineStr">
        <is>
          <t>DALARNAS LÄN</t>
        </is>
      </c>
      <c r="E162" t="inlineStr">
        <is>
          <t>ÄLVDALEN</t>
        </is>
      </c>
      <c r="F162" t="inlineStr">
        <is>
          <t>Sveaskog</t>
        </is>
      </c>
      <c r="G162" t="n">
        <v>1.7</v>
      </c>
      <c r="H162" t="n">
        <v>1</v>
      </c>
      <c r="I162" t="n">
        <v>0</v>
      </c>
      <c r="J162" t="n">
        <v>1</v>
      </c>
      <c r="K162" t="n">
        <v>0</v>
      </c>
      <c r="L162" t="n">
        <v>0</v>
      </c>
      <c r="M162" t="n">
        <v>0</v>
      </c>
      <c r="N162" t="n">
        <v>0</v>
      </c>
      <c r="O162" t="n">
        <v>1</v>
      </c>
      <c r="P162" t="n">
        <v>0</v>
      </c>
      <c r="Q162" t="n">
        <v>1</v>
      </c>
      <c r="R162" s="2" t="inlineStr">
        <is>
          <t>Varglav</t>
        </is>
      </c>
      <c r="S162">
        <f>HYPERLINK("https://klasma.github.io/Logging_2039/artfynd/A 38505-2020 artfynd.xlsx", "A 38505-2020")</f>
        <v/>
      </c>
      <c r="T162">
        <f>HYPERLINK("https://klasma.github.io/Logging_2039/kartor/A 38505-2020 karta.png", "A 38505-2020")</f>
        <v/>
      </c>
      <c r="V162">
        <f>HYPERLINK("https://klasma.github.io/Logging_2039/klagomål/A 38505-2020 FSC-klagomål.docx", "A 38505-2020")</f>
        <v/>
      </c>
      <c r="W162">
        <f>HYPERLINK("https://klasma.github.io/Logging_2039/klagomålsmail/A 38505-2020 FSC-klagomål mail.docx", "A 38505-2020")</f>
        <v/>
      </c>
      <c r="X162">
        <f>HYPERLINK("https://klasma.github.io/Logging_2039/tillsyn/A 38505-2020 tillsynsbegäran.docx", "A 38505-2020")</f>
        <v/>
      </c>
      <c r="Y162">
        <f>HYPERLINK("https://klasma.github.io/Logging_2039/tillsynsmail/A 38505-2020 tillsynsbegäran mail.docx", "A 38505-2020")</f>
        <v/>
      </c>
    </row>
    <row r="163" ht="15" customHeight="1">
      <c r="A163" t="inlineStr">
        <is>
          <t>A 46279-2020</t>
        </is>
      </c>
      <c r="B163" s="1" t="n">
        <v>44092</v>
      </c>
      <c r="C163" s="1" t="n">
        <v>45838</v>
      </c>
      <c r="D163" t="inlineStr">
        <is>
          <t>DALARNAS LÄN</t>
        </is>
      </c>
      <c r="E163" t="inlineStr">
        <is>
          <t>ÄLVDALEN</t>
        </is>
      </c>
      <c r="F163" t="inlineStr">
        <is>
          <t>Sveaskog</t>
        </is>
      </c>
      <c r="G163" t="n">
        <v>0.5</v>
      </c>
      <c r="H163" t="n">
        <v>0</v>
      </c>
      <c r="I163" t="n">
        <v>0</v>
      </c>
      <c r="J163" t="n">
        <v>1</v>
      </c>
      <c r="K163" t="n">
        <v>0</v>
      </c>
      <c r="L163" t="n">
        <v>0</v>
      </c>
      <c r="M163" t="n">
        <v>0</v>
      </c>
      <c r="N163" t="n">
        <v>0</v>
      </c>
      <c r="O163" t="n">
        <v>1</v>
      </c>
      <c r="P163" t="n">
        <v>0</v>
      </c>
      <c r="Q163" t="n">
        <v>1</v>
      </c>
      <c r="R163" s="2" t="inlineStr">
        <is>
          <t>Nordtagging</t>
        </is>
      </c>
      <c r="S163">
        <f>HYPERLINK("https://klasma.github.io/Logging_2039/artfynd/A 46279-2020 artfynd.xlsx", "A 46279-2020")</f>
        <v/>
      </c>
      <c r="T163">
        <f>HYPERLINK("https://klasma.github.io/Logging_2039/kartor/A 46279-2020 karta.png", "A 46279-2020")</f>
        <v/>
      </c>
      <c r="V163">
        <f>HYPERLINK("https://klasma.github.io/Logging_2039/klagomål/A 46279-2020 FSC-klagomål.docx", "A 46279-2020")</f>
        <v/>
      </c>
      <c r="W163">
        <f>HYPERLINK("https://klasma.github.io/Logging_2039/klagomålsmail/A 46279-2020 FSC-klagomål mail.docx", "A 46279-2020")</f>
        <v/>
      </c>
      <c r="X163">
        <f>HYPERLINK("https://klasma.github.io/Logging_2039/tillsyn/A 46279-2020 tillsynsbegäran.docx", "A 46279-2020")</f>
        <v/>
      </c>
      <c r="Y163">
        <f>HYPERLINK("https://klasma.github.io/Logging_2039/tillsynsmail/A 46279-2020 tillsynsbegäran mail.docx", "A 46279-2020")</f>
        <v/>
      </c>
    </row>
    <row r="164" ht="15" customHeight="1">
      <c r="A164" t="inlineStr">
        <is>
          <t>A 11061-2021</t>
        </is>
      </c>
      <c r="B164" s="1" t="n">
        <v>44260</v>
      </c>
      <c r="C164" s="1" t="n">
        <v>45838</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16035-2021</t>
        </is>
      </c>
      <c r="B165" s="1" t="n">
        <v>44287</v>
      </c>
      <c r="C165" s="1" t="n">
        <v>45838</v>
      </c>
      <c r="D165" t="inlineStr">
        <is>
          <t>DALARNAS LÄN</t>
        </is>
      </c>
      <c r="E165" t="inlineStr">
        <is>
          <t>ÄLVDALEN</t>
        </is>
      </c>
      <c r="F165" t="inlineStr">
        <is>
          <t>Övriga statliga verk och myndigheter</t>
        </is>
      </c>
      <c r="G165" t="n">
        <v>2.2</v>
      </c>
      <c r="H165" t="n">
        <v>0</v>
      </c>
      <c r="I165" t="n">
        <v>0</v>
      </c>
      <c r="J165" t="n">
        <v>1</v>
      </c>
      <c r="K165" t="n">
        <v>0</v>
      </c>
      <c r="L165" t="n">
        <v>0</v>
      </c>
      <c r="M165" t="n">
        <v>0</v>
      </c>
      <c r="N165" t="n">
        <v>0</v>
      </c>
      <c r="O165" t="n">
        <v>1</v>
      </c>
      <c r="P165" t="n">
        <v>0</v>
      </c>
      <c r="Q165" t="n">
        <v>1</v>
      </c>
      <c r="R165" s="2" t="inlineStr">
        <is>
          <t>Gultoppig fingersvamp</t>
        </is>
      </c>
      <c r="S165">
        <f>HYPERLINK("https://klasma.github.io/Logging_2039/artfynd/A 16035-2021 artfynd.xlsx", "A 16035-2021")</f>
        <v/>
      </c>
      <c r="T165">
        <f>HYPERLINK("https://klasma.github.io/Logging_2039/kartor/A 16035-2021 karta.png", "A 16035-2021")</f>
        <v/>
      </c>
      <c r="V165">
        <f>HYPERLINK("https://klasma.github.io/Logging_2039/klagomål/A 16035-2021 FSC-klagomål.docx", "A 16035-2021")</f>
        <v/>
      </c>
      <c r="W165">
        <f>HYPERLINK("https://klasma.github.io/Logging_2039/klagomålsmail/A 16035-2021 FSC-klagomål mail.docx", "A 16035-2021")</f>
        <v/>
      </c>
      <c r="X165">
        <f>HYPERLINK("https://klasma.github.io/Logging_2039/tillsyn/A 16035-2021 tillsynsbegäran.docx", "A 16035-2021")</f>
        <v/>
      </c>
      <c r="Y165">
        <f>HYPERLINK("https://klasma.github.io/Logging_2039/tillsynsmail/A 16035-2021 tillsynsbegäran mail.docx", "A 16035-2021")</f>
        <v/>
      </c>
    </row>
    <row r="166" ht="15" customHeight="1">
      <c r="A166" t="inlineStr">
        <is>
          <t>A 22407-2021</t>
        </is>
      </c>
      <c r="B166" s="1" t="n">
        <v>44326</v>
      </c>
      <c r="C166" s="1" t="n">
        <v>45838</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22759-2021</t>
        </is>
      </c>
      <c r="B167" s="1" t="n">
        <v>44327</v>
      </c>
      <c r="C167" s="1" t="n">
        <v>45838</v>
      </c>
      <c r="D167" t="inlineStr">
        <is>
          <t>DALARNAS LÄN</t>
        </is>
      </c>
      <c r="E167" t="inlineStr">
        <is>
          <t>ÄLVDALEN</t>
        </is>
      </c>
      <c r="F167" t="inlineStr">
        <is>
          <t>Sveaskog</t>
        </is>
      </c>
      <c r="G167" t="n">
        <v>1.8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22759-2021 artfynd.xlsx", "A 22759-2021")</f>
        <v/>
      </c>
      <c r="T167">
        <f>HYPERLINK("https://klasma.github.io/Logging_2039/kartor/A 22759-2021 karta.png", "A 22759-2021")</f>
        <v/>
      </c>
      <c r="V167">
        <f>HYPERLINK("https://klasma.github.io/Logging_2039/klagomål/A 22759-2021 FSC-klagomål.docx", "A 22759-2021")</f>
        <v/>
      </c>
      <c r="W167">
        <f>HYPERLINK("https://klasma.github.io/Logging_2039/klagomålsmail/A 22759-2021 FSC-klagomål mail.docx", "A 22759-2021")</f>
        <v/>
      </c>
      <c r="X167">
        <f>HYPERLINK("https://klasma.github.io/Logging_2039/tillsyn/A 22759-2021 tillsynsbegäran.docx", "A 22759-2021")</f>
        <v/>
      </c>
      <c r="Y167">
        <f>HYPERLINK("https://klasma.github.io/Logging_2039/tillsynsmail/A 22759-2021 tillsynsbegäran mail.docx", "A 22759-2021")</f>
        <v/>
      </c>
    </row>
    <row r="168" ht="15" customHeight="1">
      <c r="A168" t="inlineStr">
        <is>
          <t>A 24847-2021</t>
        </is>
      </c>
      <c r="B168" s="1" t="n">
        <v>44340</v>
      </c>
      <c r="C168" s="1" t="n">
        <v>45838</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26736-2021</t>
        </is>
      </c>
      <c r="B169" s="1" t="n">
        <v>44349</v>
      </c>
      <c r="C169" s="1" t="n">
        <v>45838</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30971-2021</t>
        </is>
      </c>
      <c r="B170" s="1" t="n">
        <v>44365</v>
      </c>
      <c r="C170" s="1" t="n">
        <v>45838</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31761-2021</t>
        </is>
      </c>
      <c r="B171" s="1" t="n">
        <v>44370</v>
      </c>
      <c r="C171" s="1" t="n">
        <v>45838</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34099-2021</t>
        </is>
      </c>
      <c r="B172" s="1" t="n">
        <v>44379</v>
      </c>
      <c r="C172" s="1" t="n">
        <v>45838</v>
      </c>
      <c r="D172" t="inlineStr">
        <is>
          <t>DALARNAS LÄN</t>
        </is>
      </c>
      <c r="E172" t="inlineStr">
        <is>
          <t>ÄLVDALEN</t>
        </is>
      </c>
      <c r="F172" t="inlineStr">
        <is>
          <t>Sveaskog</t>
        </is>
      </c>
      <c r="G172" t="n">
        <v>9.4</v>
      </c>
      <c r="H172" t="n">
        <v>1</v>
      </c>
      <c r="I172" t="n">
        <v>0</v>
      </c>
      <c r="J172" t="n">
        <v>1</v>
      </c>
      <c r="K172" t="n">
        <v>0</v>
      </c>
      <c r="L172" t="n">
        <v>0</v>
      </c>
      <c r="M172" t="n">
        <v>0</v>
      </c>
      <c r="N172" t="n">
        <v>0</v>
      </c>
      <c r="O172" t="n">
        <v>1</v>
      </c>
      <c r="P172" t="n">
        <v>0</v>
      </c>
      <c r="Q172" t="n">
        <v>1</v>
      </c>
      <c r="R172" s="2" t="inlineStr">
        <is>
          <t>Varglav</t>
        </is>
      </c>
      <c r="S172">
        <f>HYPERLINK("https://klasma.github.io/Logging_2039/artfynd/A 34099-2021 artfynd.xlsx", "A 34099-2021")</f>
        <v/>
      </c>
      <c r="T172">
        <f>HYPERLINK("https://klasma.github.io/Logging_2039/kartor/A 34099-2021 karta.png", "A 34099-2021")</f>
        <v/>
      </c>
      <c r="V172">
        <f>HYPERLINK("https://klasma.github.io/Logging_2039/klagomål/A 34099-2021 FSC-klagomål.docx", "A 34099-2021")</f>
        <v/>
      </c>
      <c r="W172">
        <f>HYPERLINK("https://klasma.github.io/Logging_2039/klagomålsmail/A 34099-2021 FSC-klagomål mail.docx", "A 34099-2021")</f>
        <v/>
      </c>
      <c r="X172">
        <f>HYPERLINK("https://klasma.github.io/Logging_2039/tillsyn/A 34099-2021 tillsynsbegäran.docx", "A 34099-2021")</f>
        <v/>
      </c>
      <c r="Y172">
        <f>HYPERLINK("https://klasma.github.io/Logging_2039/tillsynsmail/A 34099-2021 tillsynsbegäran mail.docx", "A 34099-2021")</f>
        <v/>
      </c>
    </row>
    <row r="173" ht="15" customHeight="1">
      <c r="A173" t="inlineStr">
        <is>
          <t>A 36574-2021</t>
        </is>
      </c>
      <c r="B173" s="1" t="n">
        <v>44391</v>
      </c>
      <c r="C173" s="1" t="n">
        <v>45838</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60419-2021</t>
        </is>
      </c>
      <c r="B174" s="1" t="n">
        <v>44496</v>
      </c>
      <c r="C174" s="1" t="n">
        <v>45838</v>
      </c>
      <c r="D174" t="inlineStr">
        <is>
          <t>DALARNAS LÄN</t>
        </is>
      </c>
      <c r="E174" t="inlineStr">
        <is>
          <t>ÄLVDALEN</t>
        </is>
      </c>
      <c r="F174" t="inlineStr">
        <is>
          <t>Sveaskog</t>
        </is>
      </c>
      <c r="G174" t="n">
        <v>9.1</v>
      </c>
      <c r="H174" t="n">
        <v>0</v>
      </c>
      <c r="I174" t="n">
        <v>1</v>
      </c>
      <c r="J174" t="n">
        <v>0</v>
      </c>
      <c r="K174" t="n">
        <v>0</v>
      </c>
      <c r="L174" t="n">
        <v>0</v>
      </c>
      <c r="M174" t="n">
        <v>0</v>
      </c>
      <c r="N174" t="n">
        <v>0</v>
      </c>
      <c r="O174" t="n">
        <v>0</v>
      </c>
      <c r="P174" t="n">
        <v>0</v>
      </c>
      <c r="Q174" t="n">
        <v>1</v>
      </c>
      <c r="R174" s="2" t="inlineStr">
        <is>
          <t>Dropptaggsvamp</t>
        </is>
      </c>
      <c r="S174">
        <f>HYPERLINK("https://klasma.github.io/Logging_2039/artfynd/A 60419-2021 artfynd.xlsx", "A 60419-2021")</f>
        <v/>
      </c>
      <c r="T174">
        <f>HYPERLINK("https://klasma.github.io/Logging_2039/kartor/A 60419-2021 karta.png", "A 60419-2021")</f>
        <v/>
      </c>
      <c r="V174">
        <f>HYPERLINK("https://klasma.github.io/Logging_2039/klagomål/A 60419-2021 FSC-klagomål.docx", "A 60419-2021")</f>
        <v/>
      </c>
      <c r="W174">
        <f>HYPERLINK("https://klasma.github.io/Logging_2039/klagomålsmail/A 60419-2021 FSC-klagomål mail.docx", "A 60419-2021")</f>
        <v/>
      </c>
      <c r="X174">
        <f>HYPERLINK("https://klasma.github.io/Logging_2039/tillsyn/A 60419-2021 tillsynsbegäran.docx", "A 60419-2021")</f>
        <v/>
      </c>
      <c r="Y174">
        <f>HYPERLINK("https://klasma.github.io/Logging_2039/tillsynsmail/A 60419-2021 tillsynsbegäran mail.docx", "A 60419-2021")</f>
        <v/>
      </c>
    </row>
    <row r="175" ht="15" customHeight="1">
      <c r="A175" t="inlineStr">
        <is>
          <t>A 65500-2021</t>
        </is>
      </c>
      <c r="B175" s="1" t="n">
        <v>44516</v>
      </c>
      <c r="C175" s="1" t="n">
        <v>45838</v>
      </c>
      <c r="D175" t="inlineStr">
        <is>
          <t>DALARNAS LÄN</t>
        </is>
      </c>
      <c r="E175" t="inlineStr">
        <is>
          <t>ÄLVDALEN</t>
        </is>
      </c>
      <c r="F175" t="inlineStr">
        <is>
          <t>Sveaskog</t>
        </is>
      </c>
      <c r="G175" t="n">
        <v>10.4</v>
      </c>
      <c r="H175" t="n">
        <v>1</v>
      </c>
      <c r="I175" t="n">
        <v>0</v>
      </c>
      <c r="J175" t="n">
        <v>1</v>
      </c>
      <c r="K175" t="n">
        <v>0</v>
      </c>
      <c r="L175" t="n">
        <v>0</v>
      </c>
      <c r="M175" t="n">
        <v>0</v>
      </c>
      <c r="N175" t="n">
        <v>0</v>
      </c>
      <c r="O175" t="n">
        <v>1</v>
      </c>
      <c r="P175" t="n">
        <v>0</v>
      </c>
      <c r="Q175" t="n">
        <v>1</v>
      </c>
      <c r="R175" s="2" t="inlineStr">
        <is>
          <t>Varglav</t>
        </is>
      </c>
      <c r="S175">
        <f>HYPERLINK("https://klasma.github.io/Logging_2039/artfynd/A 65500-2021 artfynd.xlsx", "A 65500-2021")</f>
        <v/>
      </c>
      <c r="T175">
        <f>HYPERLINK("https://klasma.github.io/Logging_2039/kartor/A 65500-2021 karta.png", "A 65500-2021")</f>
        <v/>
      </c>
      <c r="V175">
        <f>HYPERLINK("https://klasma.github.io/Logging_2039/klagomål/A 65500-2021 FSC-klagomål.docx", "A 65500-2021")</f>
        <v/>
      </c>
      <c r="W175">
        <f>HYPERLINK("https://klasma.github.io/Logging_2039/klagomålsmail/A 65500-2021 FSC-klagomål mail.docx", "A 65500-2021")</f>
        <v/>
      </c>
      <c r="X175">
        <f>HYPERLINK("https://klasma.github.io/Logging_2039/tillsyn/A 65500-2021 tillsynsbegäran.docx", "A 65500-2021")</f>
        <v/>
      </c>
      <c r="Y175">
        <f>HYPERLINK("https://klasma.github.io/Logging_2039/tillsynsmail/A 65500-2021 tillsynsbegäran mail.docx", "A 65500-2021")</f>
        <v/>
      </c>
    </row>
    <row r="176" ht="15" customHeight="1">
      <c r="A176" t="inlineStr">
        <is>
          <t>A 71652-2021</t>
        </is>
      </c>
      <c r="B176" s="1" t="n">
        <v>44543</v>
      </c>
      <c r="C176" s="1" t="n">
        <v>45838</v>
      </c>
      <c r="D176" t="inlineStr">
        <is>
          <t>DALARNAS LÄN</t>
        </is>
      </c>
      <c r="E176" t="inlineStr">
        <is>
          <t>ÄLVDALEN</t>
        </is>
      </c>
      <c r="G176" t="n">
        <v>4.3</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71652-2021 artfynd.xlsx", "A 71652-2021")</f>
        <v/>
      </c>
      <c r="T176">
        <f>HYPERLINK("https://klasma.github.io/Logging_2039/kartor/A 71652-2021 karta.png", "A 71652-2021")</f>
        <v/>
      </c>
      <c r="V176">
        <f>HYPERLINK("https://klasma.github.io/Logging_2039/klagomål/A 71652-2021 FSC-klagomål.docx", "A 71652-2021")</f>
        <v/>
      </c>
      <c r="W176">
        <f>HYPERLINK("https://klasma.github.io/Logging_2039/klagomålsmail/A 71652-2021 FSC-klagomål mail.docx", "A 71652-2021")</f>
        <v/>
      </c>
      <c r="X176">
        <f>HYPERLINK("https://klasma.github.io/Logging_2039/tillsyn/A 71652-2021 tillsynsbegäran.docx", "A 71652-2021")</f>
        <v/>
      </c>
      <c r="Y176">
        <f>HYPERLINK("https://klasma.github.io/Logging_2039/tillsynsmail/A 71652-2021 tillsynsbegäran mail.docx", "A 71652-2021")</f>
        <v/>
      </c>
      <c r="Z176">
        <f>HYPERLINK("https://klasma.github.io/Logging_2039/fåglar/A 71652-2021 prioriterade fågelarter.docx", "A 71652-2021")</f>
        <v/>
      </c>
    </row>
    <row r="177" ht="15" customHeight="1">
      <c r="A177" t="inlineStr">
        <is>
          <t>A 72175-2021</t>
        </is>
      </c>
      <c r="B177" s="1" t="n">
        <v>44544</v>
      </c>
      <c r="C177" s="1" t="n">
        <v>45838</v>
      </c>
      <c r="D177" t="inlineStr">
        <is>
          <t>DALARNAS LÄN</t>
        </is>
      </c>
      <c r="E177" t="inlineStr">
        <is>
          <t>ÄLVDALEN</t>
        </is>
      </c>
      <c r="F177" t="inlineStr">
        <is>
          <t>Sveaskog</t>
        </is>
      </c>
      <c r="G177" t="n">
        <v>20.3</v>
      </c>
      <c r="H177" t="n">
        <v>1</v>
      </c>
      <c r="I177" t="n">
        <v>0</v>
      </c>
      <c r="J177" t="n">
        <v>1</v>
      </c>
      <c r="K177" t="n">
        <v>0</v>
      </c>
      <c r="L177" t="n">
        <v>0</v>
      </c>
      <c r="M177" t="n">
        <v>0</v>
      </c>
      <c r="N177" t="n">
        <v>0</v>
      </c>
      <c r="O177" t="n">
        <v>1</v>
      </c>
      <c r="P177" t="n">
        <v>0</v>
      </c>
      <c r="Q177" t="n">
        <v>1</v>
      </c>
      <c r="R177" s="2" t="inlineStr">
        <is>
          <t>Varglav</t>
        </is>
      </c>
      <c r="S177">
        <f>HYPERLINK("https://klasma.github.io/Logging_2039/artfynd/A 72175-2021 artfynd.xlsx", "A 72175-2021")</f>
        <v/>
      </c>
      <c r="T177">
        <f>HYPERLINK("https://klasma.github.io/Logging_2039/kartor/A 72175-2021 karta.png", "A 72175-2021")</f>
        <v/>
      </c>
      <c r="V177">
        <f>HYPERLINK("https://klasma.github.io/Logging_2039/klagomål/A 72175-2021 FSC-klagomål.docx", "A 72175-2021")</f>
        <v/>
      </c>
      <c r="W177">
        <f>HYPERLINK("https://klasma.github.io/Logging_2039/klagomålsmail/A 72175-2021 FSC-klagomål mail.docx", "A 72175-2021")</f>
        <v/>
      </c>
      <c r="X177">
        <f>HYPERLINK("https://klasma.github.io/Logging_2039/tillsyn/A 72175-2021 tillsynsbegäran.docx", "A 72175-2021")</f>
        <v/>
      </c>
      <c r="Y177">
        <f>HYPERLINK("https://klasma.github.io/Logging_2039/tillsynsmail/A 72175-2021 tillsynsbegäran mail.docx", "A 72175-2021")</f>
        <v/>
      </c>
    </row>
    <row r="178" ht="15" customHeight="1">
      <c r="A178" t="inlineStr">
        <is>
          <t>A 32572-2022</t>
        </is>
      </c>
      <c r="B178" s="1" t="n">
        <v>44783</v>
      </c>
      <c r="C178" s="1" t="n">
        <v>45838</v>
      </c>
      <c r="D178" t="inlineStr">
        <is>
          <t>DALARNAS LÄN</t>
        </is>
      </c>
      <c r="E178" t="inlineStr">
        <is>
          <t>ÄLVDALEN</t>
        </is>
      </c>
      <c r="G178" t="n">
        <v>5.7</v>
      </c>
      <c r="H178" t="n">
        <v>1</v>
      </c>
      <c r="I178" t="n">
        <v>0</v>
      </c>
      <c r="J178" t="n">
        <v>0</v>
      </c>
      <c r="K178" t="n">
        <v>1</v>
      </c>
      <c r="L178" t="n">
        <v>0</v>
      </c>
      <c r="M178" t="n">
        <v>0</v>
      </c>
      <c r="N178" t="n">
        <v>0</v>
      </c>
      <c r="O178" t="n">
        <v>1</v>
      </c>
      <c r="P178" t="n">
        <v>1</v>
      </c>
      <c r="Q178" t="n">
        <v>1</v>
      </c>
      <c r="R178" s="2" t="inlineStr">
        <is>
          <t>Knärot</t>
        </is>
      </c>
      <c r="S178">
        <f>HYPERLINK("https://klasma.github.io/Logging_2039/artfynd/A 32572-2022 artfynd.xlsx", "A 32572-2022")</f>
        <v/>
      </c>
      <c r="T178">
        <f>HYPERLINK("https://klasma.github.io/Logging_2039/kartor/A 32572-2022 karta.png", "A 32572-2022")</f>
        <v/>
      </c>
      <c r="U178">
        <f>HYPERLINK("https://klasma.github.io/Logging_2039/knärot/A 32572-2022 karta knärot.png", "A 32572-2022")</f>
        <v/>
      </c>
      <c r="V178">
        <f>HYPERLINK("https://klasma.github.io/Logging_2039/klagomål/A 32572-2022 FSC-klagomål.docx", "A 32572-2022")</f>
        <v/>
      </c>
      <c r="W178">
        <f>HYPERLINK("https://klasma.github.io/Logging_2039/klagomålsmail/A 32572-2022 FSC-klagomål mail.docx", "A 32572-2022")</f>
        <v/>
      </c>
      <c r="X178">
        <f>HYPERLINK("https://klasma.github.io/Logging_2039/tillsyn/A 32572-2022 tillsynsbegäran.docx", "A 32572-2022")</f>
        <v/>
      </c>
      <c r="Y178">
        <f>HYPERLINK("https://klasma.github.io/Logging_2039/tillsynsmail/A 32572-2022 tillsynsbegäran mail.docx", "A 32572-2022")</f>
        <v/>
      </c>
    </row>
    <row r="179" ht="15" customHeight="1">
      <c r="A179" t="inlineStr">
        <is>
          <t>A 39419-2022</t>
        </is>
      </c>
      <c r="B179" s="1" t="n">
        <v>44818</v>
      </c>
      <c r="C179" s="1" t="n">
        <v>45838</v>
      </c>
      <c r="D179" t="inlineStr">
        <is>
          <t>DALARNAS LÄN</t>
        </is>
      </c>
      <c r="E179" t="inlineStr">
        <is>
          <t>ÄLVDALEN</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HYPERLINK("https://klasma.github.io/Logging_2039/artfynd/A 39419-2022 artfynd.xlsx", "A 39419-2022")</f>
        <v/>
      </c>
      <c r="T179">
        <f>HYPERLINK("https://klasma.github.io/Logging_2039/kartor/A 39419-2022 karta.png", "A 39419-2022")</f>
        <v/>
      </c>
      <c r="V179">
        <f>HYPERLINK("https://klasma.github.io/Logging_2039/klagomål/A 39419-2022 FSC-klagomål.docx", "A 39419-2022")</f>
        <v/>
      </c>
      <c r="W179">
        <f>HYPERLINK("https://klasma.github.io/Logging_2039/klagomålsmail/A 39419-2022 FSC-klagomål mail.docx", "A 39419-2022")</f>
        <v/>
      </c>
      <c r="X179">
        <f>HYPERLINK("https://klasma.github.io/Logging_2039/tillsyn/A 39419-2022 tillsynsbegäran.docx", "A 39419-2022")</f>
        <v/>
      </c>
      <c r="Y179">
        <f>HYPERLINK("https://klasma.github.io/Logging_2039/tillsynsmail/A 39419-2022 tillsynsbegäran mail.docx", "A 39419-2022")</f>
        <v/>
      </c>
    </row>
    <row r="180" ht="15" customHeight="1">
      <c r="A180" t="inlineStr">
        <is>
          <t>A 43651-2022</t>
        </is>
      </c>
      <c r="B180" s="1" t="n">
        <v>44837</v>
      </c>
      <c r="C180" s="1" t="n">
        <v>45838</v>
      </c>
      <c r="D180" t="inlineStr">
        <is>
          <t>DALARNAS LÄN</t>
        </is>
      </c>
      <c r="E180" t="inlineStr">
        <is>
          <t>ÄLVDALEN</t>
        </is>
      </c>
      <c r="F180" t="inlineStr">
        <is>
          <t>Bergvik skog väst AB</t>
        </is>
      </c>
      <c r="G180" t="n">
        <v>1.6</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43651-2022 artfynd.xlsx", "A 43651-2022")</f>
        <v/>
      </c>
      <c r="T180">
        <f>HYPERLINK("https://klasma.github.io/Logging_2039/kartor/A 43651-2022 karta.png", "A 43651-2022")</f>
        <v/>
      </c>
      <c r="V180">
        <f>HYPERLINK("https://klasma.github.io/Logging_2039/klagomål/A 43651-2022 FSC-klagomål.docx", "A 43651-2022")</f>
        <v/>
      </c>
      <c r="W180">
        <f>HYPERLINK("https://klasma.github.io/Logging_2039/klagomålsmail/A 43651-2022 FSC-klagomål mail.docx", "A 43651-2022")</f>
        <v/>
      </c>
      <c r="X180">
        <f>HYPERLINK("https://klasma.github.io/Logging_2039/tillsyn/A 43651-2022 tillsynsbegäran.docx", "A 43651-2022")</f>
        <v/>
      </c>
      <c r="Y180">
        <f>HYPERLINK("https://klasma.github.io/Logging_2039/tillsynsmail/A 43651-2022 tillsynsbegäran mail.docx", "A 43651-2022")</f>
        <v/>
      </c>
    </row>
    <row r="181" ht="15" customHeight="1">
      <c r="A181" t="inlineStr">
        <is>
          <t>A 50251-2022</t>
        </is>
      </c>
      <c r="B181" s="1" t="n">
        <v>44865</v>
      </c>
      <c r="C181" s="1" t="n">
        <v>45838</v>
      </c>
      <c r="D181" t="inlineStr">
        <is>
          <t>DALARNAS LÄN</t>
        </is>
      </c>
      <c r="E181" t="inlineStr">
        <is>
          <t>ÄLVDALEN</t>
        </is>
      </c>
      <c r="F181" t="inlineStr">
        <is>
          <t>Sveaskog</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50251-2022 artfynd.xlsx", "A 50251-2022")</f>
        <v/>
      </c>
      <c r="T181">
        <f>HYPERLINK("https://klasma.github.io/Logging_2039/kartor/A 50251-2022 karta.png", "A 50251-2022")</f>
        <v/>
      </c>
      <c r="V181">
        <f>HYPERLINK("https://klasma.github.io/Logging_2039/klagomål/A 50251-2022 FSC-klagomål.docx", "A 50251-2022")</f>
        <v/>
      </c>
      <c r="W181">
        <f>HYPERLINK("https://klasma.github.io/Logging_2039/klagomålsmail/A 50251-2022 FSC-klagomål mail.docx", "A 50251-2022")</f>
        <v/>
      </c>
      <c r="X181">
        <f>HYPERLINK("https://klasma.github.io/Logging_2039/tillsyn/A 50251-2022 tillsynsbegäran.docx", "A 50251-2022")</f>
        <v/>
      </c>
      <c r="Y181">
        <f>HYPERLINK("https://klasma.github.io/Logging_2039/tillsynsmail/A 50251-2022 tillsynsbegäran mail.docx", "A 50251-2022")</f>
        <v/>
      </c>
    </row>
    <row r="182" ht="15" customHeight="1">
      <c r="A182" t="inlineStr">
        <is>
          <t>A 50252-2022</t>
        </is>
      </c>
      <c r="B182" s="1" t="n">
        <v>44865</v>
      </c>
      <c r="C182" s="1" t="n">
        <v>45838</v>
      </c>
      <c r="D182" t="inlineStr">
        <is>
          <t>DALARNAS LÄN</t>
        </is>
      </c>
      <c r="E182" t="inlineStr">
        <is>
          <t>ÄLVDALEN</t>
        </is>
      </c>
      <c r="F182" t="inlineStr">
        <is>
          <t>Sveaskog</t>
        </is>
      </c>
      <c r="G182" t="n">
        <v>3</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50252-2022 artfynd.xlsx", "A 50252-2022")</f>
        <v/>
      </c>
      <c r="T182">
        <f>HYPERLINK("https://klasma.github.io/Logging_2039/kartor/A 50252-2022 karta.png", "A 50252-2022")</f>
        <v/>
      </c>
      <c r="V182">
        <f>HYPERLINK("https://klasma.github.io/Logging_2039/klagomål/A 50252-2022 FSC-klagomål.docx", "A 50252-2022")</f>
        <v/>
      </c>
      <c r="W182">
        <f>HYPERLINK("https://klasma.github.io/Logging_2039/klagomålsmail/A 50252-2022 FSC-klagomål mail.docx", "A 50252-2022")</f>
        <v/>
      </c>
      <c r="X182">
        <f>HYPERLINK("https://klasma.github.io/Logging_2039/tillsyn/A 50252-2022 tillsynsbegäran.docx", "A 50252-2022")</f>
        <v/>
      </c>
      <c r="Y182">
        <f>HYPERLINK("https://klasma.github.io/Logging_2039/tillsynsmail/A 50252-2022 tillsynsbegäran mail.docx", "A 50252-2022")</f>
        <v/>
      </c>
    </row>
    <row r="183" ht="15" customHeight="1">
      <c r="A183" t="inlineStr">
        <is>
          <t>A 51477-2022</t>
        </is>
      </c>
      <c r="B183" s="1" t="n">
        <v>44869</v>
      </c>
      <c r="C183" s="1" t="n">
        <v>45838</v>
      </c>
      <c r="D183" t="inlineStr">
        <is>
          <t>DALARNAS LÄN</t>
        </is>
      </c>
      <c r="E183" t="inlineStr">
        <is>
          <t>ÄLVDALEN</t>
        </is>
      </c>
      <c r="F183" t="inlineStr">
        <is>
          <t>Sveaskog</t>
        </is>
      </c>
      <c r="G183" t="n">
        <v>3.8</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51477-2022 artfynd.xlsx", "A 51477-2022")</f>
        <v/>
      </c>
      <c r="T183">
        <f>HYPERLINK("https://klasma.github.io/Logging_2039/kartor/A 51477-2022 karta.png", "A 51477-2022")</f>
        <v/>
      </c>
      <c r="V183">
        <f>HYPERLINK("https://klasma.github.io/Logging_2039/klagomål/A 51477-2022 FSC-klagomål.docx", "A 51477-2022")</f>
        <v/>
      </c>
      <c r="W183">
        <f>HYPERLINK("https://klasma.github.io/Logging_2039/klagomålsmail/A 51477-2022 FSC-klagomål mail.docx", "A 51477-2022")</f>
        <v/>
      </c>
      <c r="X183">
        <f>HYPERLINK("https://klasma.github.io/Logging_2039/tillsyn/A 51477-2022 tillsynsbegäran.docx", "A 51477-2022")</f>
        <v/>
      </c>
      <c r="Y183">
        <f>HYPERLINK("https://klasma.github.io/Logging_2039/tillsynsmail/A 51477-2022 tillsynsbegäran mail.docx", "A 51477-2022")</f>
        <v/>
      </c>
    </row>
    <row r="184" ht="15" customHeight="1">
      <c r="A184" t="inlineStr">
        <is>
          <t>A 55062-2022</t>
        </is>
      </c>
      <c r="B184" s="1" t="n">
        <v>44881</v>
      </c>
      <c r="C184" s="1" t="n">
        <v>45838</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62665-2022</t>
        </is>
      </c>
      <c r="B185" s="1" t="n">
        <v>44917</v>
      </c>
      <c r="C185" s="1" t="n">
        <v>45838</v>
      </c>
      <c r="D185" t="inlineStr">
        <is>
          <t>DALARNAS LÄN</t>
        </is>
      </c>
      <c r="E185" t="inlineStr">
        <is>
          <t>ÄLVDALEN</t>
        </is>
      </c>
      <c r="G185" t="n">
        <v>0.6</v>
      </c>
      <c r="H185" t="n">
        <v>0</v>
      </c>
      <c r="I185" t="n">
        <v>1</v>
      </c>
      <c r="J185" t="n">
        <v>0</v>
      </c>
      <c r="K185" t="n">
        <v>0</v>
      </c>
      <c r="L185" t="n">
        <v>0</v>
      </c>
      <c r="M185" t="n">
        <v>0</v>
      </c>
      <c r="N185" t="n">
        <v>0</v>
      </c>
      <c r="O185" t="n">
        <v>0</v>
      </c>
      <c r="P185" t="n">
        <v>0</v>
      </c>
      <c r="Q185" t="n">
        <v>1</v>
      </c>
      <c r="R185" s="2" t="inlineStr">
        <is>
          <t>Luddlav</t>
        </is>
      </c>
      <c r="S185">
        <f>HYPERLINK("https://klasma.github.io/Logging_2039/artfynd/A 62665-2022 artfynd.xlsx", "A 62665-2022")</f>
        <v/>
      </c>
      <c r="T185">
        <f>HYPERLINK("https://klasma.github.io/Logging_2039/kartor/A 62665-2022 karta.png", "A 62665-2022")</f>
        <v/>
      </c>
      <c r="V185">
        <f>HYPERLINK("https://klasma.github.io/Logging_2039/klagomål/A 62665-2022 FSC-klagomål.docx", "A 62665-2022")</f>
        <v/>
      </c>
      <c r="W185">
        <f>HYPERLINK("https://klasma.github.io/Logging_2039/klagomålsmail/A 62665-2022 FSC-klagomål mail.docx", "A 62665-2022")</f>
        <v/>
      </c>
      <c r="X185">
        <f>HYPERLINK("https://klasma.github.io/Logging_2039/tillsyn/A 62665-2022 tillsynsbegäran.docx", "A 62665-2022")</f>
        <v/>
      </c>
      <c r="Y185">
        <f>HYPERLINK("https://klasma.github.io/Logging_2039/tillsynsmail/A 62665-2022 tillsynsbegäran mail.docx", "A 62665-2022")</f>
        <v/>
      </c>
    </row>
    <row r="186" ht="15" customHeight="1">
      <c r="A186" t="inlineStr">
        <is>
          <t>A 23872-2023</t>
        </is>
      </c>
      <c r="B186" s="1" t="n">
        <v>45078</v>
      </c>
      <c r="C186" s="1" t="n">
        <v>45838</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33553-2023</t>
        </is>
      </c>
      <c r="B187" s="1" t="n">
        <v>45118</v>
      </c>
      <c r="C187" s="1" t="n">
        <v>45838</v>
      </c>
      <c r="D187" t="inlineStr">
        <is>
          <t>DALARNAS LÄN</t>
        </is>
      </c>
      <c r="E187" t="inlineStr">
        <is>
          <t>ÄLVDALEN</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HYPERLINK("https://klasma.github.io/Logging_2039/artfynd/A 33553-2023 artfynd.xlsx", "A 33553-2023")</f>
        <v/>
      </c>
      <c r="T187">
        <f>HYPERLINK("https://klasma.github.io/Logging_2039/kartor/A 33553-2023 karta.png", "A 33553-2023")</f>
        <v/>
      </c>
      <c r="V187">
        <f>HYPERLINK("https://klasma.github.io/Logging_2039/klagomål/A 33553-2023 FSC-klagomål.docx", "A 33553-2023")</f>
        <v/>
      </c>
      <c r="W187">
        <f>HYPERLINK("https://klasma.github.io/Logging_2039/klagomålsmail/A 33553-2023 FSC-klagomål mail.docx", "A 33553-2023")</f>
        <v/>
      </c>
      <c r="X187">
        <f>HYPERLINK("https://klasma.github.io/Logging_2039/tillsyn/A 33553-2023 tillsynsbegäran.docx", "A 33553-2023")</f>
        <v/>
      </c>
      <c r="Y187">
        <f>HYPERLINK("https://klasma.github.io/Logging_2039/tillsynsmail/A 33553-2023 tillsynsbegäran mail.docx", "A 33553-2023")</f>
        <v/>
      </c>
    </row>
    <row r="188" ht="15" customHeight="1">
      <c r="A188" t="inlineStr">
        <is>
          <t>A 35185-2023</t>
        </is>
      </c>
      <c r="B188" s="1" t="n">
        <v>45145</v>
      </c>
      <c r="C188" s="1" t="n">
        <v>45838</v>
      </c>
      <c r="D188" t="inlineStr">
        <is>
          <t>DALARNAS LÄN</t>
        </is>
      </c>
      <c r="E188" t="inlineStr">
        <is>
          <t>ÄLVDALEN</t>
        </is>
      </c>
      <c r="F188" t="inlineStr">
        <is>
          <t>Sveaskog</t>
        </is>
      </c>
      <c r="G188" t="n">
        <v>1.4</v>
      </c>
      <c r="H188" t="n">
        <v>0</v>
      </c>
      <c r="I188" t="n">
        <v>0</v>
      </c>
      <c r="J188" t="n">
        <v>1</v>
      </c>
      <c r="K188" t="n">
        <v>0</v>
      </c>
      <c r="L188" t="n">
        <v>0</v>
      </c>
      <c r="M188" t="n">
        <v>0</v>
      </c>
      <c r="N188" t="n">
        <v>0</v>
      </c>
      <c r="O188" t="n">
        <v>1</v>
      </c>
      <c r="P188" t="n">
        <v>0</v>
      </c>
      <c r="Q188" t="n">
        <v>1</v>
      </c>
      <c r="R188" s="2" t="inlineStr">
        <is>
          <t>Kolflarnlav</t>
        </is>
      </c>
      <c r="S188">
        <f>HYPERLINK("https://klasma.github.io/Logging_2039/artfynd/A 35185-2023 artfynd.xlsx", "A 35185-2023")</f>
        <v/>
      </c>
      <c r="T188">
        <f>HYPERLINK("https://klasma.github.io/Logging_2039/kartor/A 35185-2023 karta.png", "A 35185-2023")</f>
        <v/>
      </c>
      <c r="V188">
        <f>HYPERLINK("https://klasma.github.io/Logging_2039/klagomål/A 35185-2023 FSC-klagomål.docx", "A 35185-2023")</f>
        <v/>
      </c>
      <c r="W188">
        <f>HYPERLINK("https://klasma.github.io/Logging_2039/klagomålsmail/A 35185-2023 FSC-klagomål mail.docx", "A 35185-2023")</f>
        <v/>
      </c>
      <c r="X188">
        <f>HYPERLINK("https://klasma.github.io/Logging_2039/tillsyn/A 35185-2023 tillsynsbegäran.docx", "A 35185-2023")</f>
        <v/>
      </c>
      <c r="Y188">
        <f>HYPERLINK("https://klasma.github.io/Logging_2039/tillsynsmail/A 35185-2023 tillsynsbegäran mail.docx", "A 35185-2023")</f>
        <v/>
      </c>
    </row>
    <row r="189" ht="15" customHeight="1">
      <c r="A189" t="inlineStr">
        <is>
          <t>A 43473-2023</t>
        </is>
      </c>
      <c r="B189" s="1" t="n">
        <v>45184</v>
      </c>
      <c r="C189" s="1" t="n">
        <v>45838</v>
      </c>
      <c r="D189" t="inlineStr">
        <is>
          <t>DALARNAS LÄN</t>
        </is>
      </c>
      <c r="E189" t="inlineStr">
        <is>
          <t>ÄLVDALEN</t>
        </is>
      </c>
      <c r="G189" t="n">
        <v>33.5</v>
      </c>
      <c r="H189" t="n">
        <v>0</v>
      </c>
      <c r="I189" t="n">
        <v>0</v>
      </c>
      <c r="J189" t="n">
        <v>1</v>
      </c>
      <c r="K189" t="n">
        <v>0</v>
      </c>
      <c r="L189" t="n">
        <v>0</v>
      </c>
      <c r="M189" t="n">
        <v>0</v>
      </c>
      <c r="N189" t="n">
        <v>0</v>
      </c>
      <c r="O189" t="n">
        <v>1</v>
      </c>
      <c r="P189" t="n">
        <v>0</v>
      </c>
      <c r="Q189" t="n">
        <v>1</v>
      </c>
      <c r="R189" s="2" t="inlineStr">
        <is>
          <t>Vedflamlav</t>
        </is>
      </c>
      <c r="S189">
        <f>HYPERLINK("https://klasma.github.io/Logging_2039/artfynd/A 43473-2023 artfynd.xlsx", "A 43473-2023")</f>
        <v/>
      </c>
      <c r="T189">
        <f>HYPERLINK("https://klasma.github.io/Logging_2039/kartor/A 43473-2023 karta.png", "A 43473-2023")</f>
        <v/>
      </c>
      <c r="V189">
        <f>HYPERLINK("https://klasma.github.io/Logging_2039/klagomål/A 43473-2023 FSC-klagomål.docx", "A 43473-2023")</f>
        <v/>
      </c>
      <c r="W189">
        <f>HYPERLINK("https://klasma.github.io/Logging_2039/klagomålsmail/A 43473-2023 FSC-klagomål mail.docx", "A 43473-2023")</f>
        <v/>
      </c>
      <c r="X189">
        <f>HYPERLINK("https://klasma.github.io/Logging_2039/tillsyn/A 43473-2023 tillsynsbegäran.docx", "A 43473-2023")</f>
        <v/>
      </c>
      <c r="Y189">
        <f>HYPERLINK("https://klasma.github.io/Logging_2039/tillsynsmail/A 43473-2023 tillsynsbegäran mail.docx", "A 43473-2023")</f>
        <v/>
      </c>
    </row>
    <row r="190" ht="15" customHeight="1">
      <c r="A190" t="inlineStr">
        <is>
          <t>A 53966-2023</t>
        </is>
      </c>
      <c r="B190" s="1" t="n">
        <v>45231</v>
      </c>
      <c r="C190" s="1" t="n">
        <v>45838</v>
      </c>
      <c r="D190" t="inlineStr">
        <is>
          <t>DALARNAS LÄN</t>
        </is>
      </c>
      <c r="E190" t="inlineStr">
        <is>
          <t>ÄLVDALEN</t>
        </is>
      </c>
      <c r="F190" t="inlineStr">
        <is>
          <t>Bergvik skog öst AB</t>
        </is>
      </c>
      <c r="G190" t="n">
        <v>14.7</v>
      </c>
      <c r="H190" t="n">
        <v>1</v>
      </c>
      <c r="I190" t="n">
        <v>0</v>
      </c>
      <c r="J190" t="n">
        <v>0</v>
      </c>
      <c r="K190" t="n">
        <v>1</v>
      </c>
      <c r="L190" t="n">
        <v>0</v>
      </c>
      <c r="M190" t="n">
        <v>0</v>
      </c>
      <c r="N190" t="n">
        <v>0</v>
      </c>
      <c r="O190" t="n">
        <v>1</v>
      </c>
      <c r="P190" t="n">
        <v>1</v>
      </c>
      <c r="Q190" t="n">
        <v>1</v>
      </c>
      <c r="R190" s="2" t="inlineStr">
        <is>
          <t>Lappuggla</t>
        </is>
      </c>
      <c r="S190">
        <f>HYPERLINK("https://klasma.github.io/Logging_2039/artfynd/A 53966-2023 artfynd.xlsx", "A 53966-2023")</f>
        <v/>
      </c>
      <c r="T190">
        <f>HYPERLINK("https://klasma.github.io/Logging_2039/kartor/A 53966-2023 karta.png", "A 53966-2023")</f>
        <v/>
      </c>
      <c r="V190">
        <f>HYPERLINK("https://klasma.github.io/Logging_2039/klagomål/A 53966-2023 FSC-klagomål.docx", "A 53966-2023")</f>
        <v/>
      </c>
      <c r="W190">
        <f>HYPERLINK("https://klasma.github.io/Logging_2039/klagomålsmail/A 53966-2023 FSC-klagomål mail.docx", "A 53966-2023")</f>
        <v/>
      </c>
      <c r="X190">
        <f>HYPERLINK("https://klasma.github.io/Logging_2039/tillsyn/A 53966-2023 tillsynsbegäran.docx", "A 53966-2023")</f>
        <v/>
      </c>
      <c r="Y190">
        <f>HYPERLINK("https://klasma.github.io/Logging_2039/tillsynsmail/A 53966-2023 tillsynsbegäran mail.docx", "A 53966-2023")</f>
        <v/>
      </c>
      <c r="Z190">
        <f>HYPERLINK("https://klasma.github.io/Logging_2039/fåglar/A 53966-2023 prioriterade fågelarter.docx", "A 53966-2023")</f>
        <v/>
      </c>
    </row>
    <row r="191" ht="15" customHeight="1">
      <c r="A191" t="inlineStr">
        <is>
          <t>A 9094-2024</t>
        </is>
      </c>
      <c r="B191" s="1" t="n">
        <v>45357</v>
      </c>
      <c r="C191" s="1" t="n">
        <v>45838</v>
      </c>
      <c r="D191" t="inlineStr">
        <is>
          <t>DALARNAS LÄN</t>
        </is>
      </c>
      <c r="E191" t="inlineStr">
        <is>
          <t>ÄLVDALEN</t>
        </is>
      </c>
      <c r="G191" t="n">
        <v>4.6</v>
      </c>
      <c r="H191" t="n">
        <v>0</v>
      </c>
      <c r="I191" t="n">
        <v>0</v>
      </c>
      <c r="J191" t="n">
        <v>1</v>
      </c>
      <c r="K191" t="n">
        <v>0</v>
      </c>
      <c r="L191" t="n">
        <v>0</v>
      </c>
      <c r="M191" t="n">
        <v>0</v>
      </c>
      <c r="N191" t="n">
        <v>0</v>
      </c>
      <c r="O191" t="n">
        <v>1</v>
      </c>
      <c r="P191" t="n">
        <v>0</v>
      </c>
      <c r="Q191" t="n">
        <v>1</v>
      </c>
      <c r="R191" s="2" t="inlineStr">
        <is>
          <t>Nordtagging</t>
        </is>
      </c>
      <c r="S191">
        <f>HYPERLINK("https://klasma.github.io/Logging_2039/artfynd/A 9094-2024 artfynd.xlsx", "A 9094-2024")</f>
        <v/>
      </c>
      <c r="T191">
        <f>HYPERLINK("https://klasma.github.io/Logging_2039/kartor/A 9094-2024 karta.png", "A 9094-2024")</f>
        <v/>
      </c>
      <c r="V191">
        <f>HYPERLINK("https://klasma.github.io/Logging_2039/klagomål/A 9094-2024 FSC-klagomål.docx", "A 9094-2024")</f>
        <v/>
      </c>
      <c r="W191">
        <f>HYPERLINK("https://klasma.github.io/Logging_2039/klagomålsmail/A 9094-2024 FSC-klagomål mail.docx", "A 9094-2024")</f>
        <v/>
      </c>
      <c r="X191">
        <f>HYPERLINK("https://klasma.github.io/Logging_2039/tillsyn/A 9094-2024 tillsynsbegäran.docx", "A 9094-2024")</f>
        <v/>
      </c>
      <c r="Y191">
        <f>HYPERLINK("https://klasma.github.io/Logging_2039/tillsynsmail/A 9094-2024 tillsynsbegäran mail.docx", "A 9094-2024")</f>
        <v/>
      </c>
    </row>
    <row r="192" ht="15" customHeight="1">
      <c r="A192" t="inlineStr">
        <is>
          <t>A 14277-2024</t>
        </is>
      </c>
      <c r="B192" s="1" t="n">
        <v>45393</v>
      </c>
      <c r="C192" s="1" t="n">
        <v>45838</v>
      </c>
      <c r="D192" t="inlineStr">
        <is>
          <t>DALARNAS LÄN</t>
        </is>
      </c>
      <c r="E192" t="inlineStr">
        <is>
          <t>ÄLVDALEN</t>
        </is>
      </c>
      <c r="F192" t="inlineStr">
        <is>
          <t>Allmännings- och besparingsskogar</t>
        </is>
      </c>
      <c r="G192" t="n">
        <v>2.8</v>
      </c>
      <c r="H192" t="n">
        <v>1</v>
      </c>
      <c r="I192" t="n">
        <v>0</v>
      </c>
      <c r="J192" t="n">
        <v>1</v>
      </c>
      <c r="K192" t="n">
        <v>0</v>
      </c>
      <c r="L192" t="n">
        <v>0</v>
      </c>
      <c r="M192" t="n">
        <v>0</v>
      </c>
      <c r="N192" t="n">
        <v>0</v>
      </c>
      <c r="O192" t="n">
        <v>1</v>
      </c>
      <c r="P192" t="n">
        <v>0</v>
      </c>
      <c r="Q192" t="n">
        <v>1</v>
      </c>
      <c r="R192" s="2" t="inlineStr">
        <is>
          <t>Talltita</t>
        </is>
      </c>
      <c r="S192">
        <f>HYPERLINK("https://klasma.github.io/Logging_2039/artfynd/A 14277-2024 artfynd.xlsx", "A 14277-2024")</f>
        <v/>
      </c>
      <c r="T192">
        <f>HYPERLINK("https://klasma.github.io/Logging_2039/kartor/A 14277-2024 karta.png", "A 14277-2024")</f>
        <v/>
      </c>
      <c r="V192">
        <f>HYPERLINK("https://klasma.github.io/Logging_2039/klagomål/A 14277-2024 FSC-klagomål.docx", "A 14277-2024")</f>
        <v/>
      </c>
      <c r="W192">
        <f>HYPERLINK("https://klasma.github.io/Logging_2039/klagomålsmail/A 14277-2024 FSC-klagomål mail.docx", "A 14277-2024")</f>
        <v/>
      </c>
      <c r="X192">
        <f>HYPERLINK("https://klasma.github.io/Logging_2039/tillsyn/A 14277-2024 tillsynsbegäran.docx", "A 14277-2024")</f>
        <v/>
      </c>
      <c r="Y192">
        <f>HYPERLINK("https://klasma.github.io/Logging_2039/tillsynsmail/A 14277-2024 tillsynsbegäran mail.docx", "A 14277-2024")</f>
        <v/>
      </c>
      <c r="Z192">
        <f>HYPERLINK("https://klasma.github.io/Logging_2039/fåglar/A 14277-2024 prioriterade fågelarter.docx", "A 14277-2024")</f>
        <v/>
      </c>
    </row>
    <row r="193" ht="15" customHeight="1">
      <c r="A193" t="inlineStr">
        <is>
          <t>A 17784-2024</t>
        </is>
      </c>
      <c r="B193" s="1" t="n">
        <v>45415</v>
      </c>
      <c r="C193" s="1" t="n">
        <v>45838</v>
      </c>
      <c r="D193" t="inlineStr">
        <is>
          <t>DALARNAS LÄN</t>
        </is>
      </c>
      <c r="E193" t="inlineStr">
        <is>
          <t>ÄLVDALEN</t>
        </is>
      </c>
      <c r="F193" t="inlineStr">
        <is>
          <t>Övriga statliga verk och myndigheter</t>
        </is>
      </c>
      <c r="G193" t="n">
        <v>20.4</v>
      </c>
      <c r="H193" t="n">
        <v>1</v>
      </c>
      <c r="I193" t="n">
        <v>1</v>
      </c>
      <c r="J193" t="n">
        <v>0</v>
      </c>
      <c r="K193" t="n">
        <v>0</v>
      </c>
      <c r="L193" t="n">
        <v>0</v>
      </c>
      <c r="M193" t="n">
        <v>0</v>
      </c>
      <c r="N193" t="n">
        <v>0</v>
      </c>
      <c r="O193" t="n">
        <v>0</v>
      </c>
      <c r="P193" t="n">
        <v>0</v>
      </c>
      <c r="Q193" t="n">
        <v>1</v>
      </c>
      <c r="R193" s="2" t="inlineStr">
        <is>
          <t>Plattlummer</t>
        </is>
      </c>
      <c r="S193">
        <f>HYPERLINK("https://klasma.github.io/Logging_2039/artfynd/A 17784-2024 artfynd.xlsx", "A 17784-2024")</f>
        <v/>
      </c>
      <c r="T193">
        <f>HYPERLINK("https://klasma.github.io/Logging_2039/kartor/A 17784-2024 karta.png", "A 17784-2024")</f>
        <v/>
      </c>
      <c r="V193">
        <f>HYPERLINK("https://klasma.github.io/Logging_2039/klagomål/A 17784-2024 FSC-klagomål.docx", "A 17784-2024")</f>
        <v/>
      </c>
      <c r="W193">
        <f>HYPERLINK("https://klasma.github.io/Logging_2039/klagomålsmail/A 17784-2024 FSC-klagomål mail.docx", "A 17784-2024")</f>
        <v/>
      </c>
      <c r="X193">
        <f>HYPERLINK("https://klasma.github.io/Logging_2039/tillsyn/A 17784-2024 tillsynsbegäran.docx", "A 17784-2024")</f>
        <v/>
      </c>
      <c r="Y193">
        <f>HYPERLINK("https://klasma.github.io/Logging_2039/tillsynsmail/A 17784-2024 tillsynsbegäran mail.docx", "A 17784-2024")</f>
        <v/>
      </c>
    </row>
    <row r="194" ht="15" customHeight="1">
      <c r="A194" t="inlineStr">
        <is>
          <t>A 19614-2024</t>
        </is>
      </c>
      <c r="B194" s="1" t="n">
        <v>45432</v>
      </c>
      <c r="C194" s="1" t="n">
        <v>45838</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21658-2024</t>
        </is>
      </c>
      <c r="B195" s="1" t="n">
        <v>45442</v>
      </c>
      <c r="C195" s="1" t="n">
        <v>45838</v>
      </c>
      <c r="D195" t="inlineStr">
        <is>
          <t>DALARNAS LÄN</t>
        </is>
      </c>
      <c r="E195" t="inlineStr">
        <is>
          <t>ÄLVDALEN</t>
        </is>
      </c>
      <c r="F195" t="inlineStr">
        <is>
          <t>Sveaskog</t>
        </is>
      </c>
      <c r="G195" t="n">
        <v>4.2</v>
      </c>
      <c r="H195" t="n">
        <v>1</v>
      </c>
      <c r="I195" t="n">
        <v>0</v>
      </c>
      <c r="J195" t="n">
        <v>1</v>
      </c>
      <c r="K195" t="n">
        <v>0</v>
      </c>
      <c r="L195" t="n">
        <v>0</v>
      </c>
      <c r="M195" t="n">
        <v>0</v>
      </c>
      <c r="N195" t="n">
        <v>0</v>
      </c>
      <c r="O195" t="n">
        <v>1</v>
      </c>
      <c r="P195" t="n">
        <v>0</v>
      </c>
      <c r="Q195" t="n">
        <v>1</v>
      </c>
      <c r="R195" s="2" t="inlineStr">
        <is>
          <t>Varglav</t>
        </is>
      </c>
      <c r="S195">
        <f>HYPERLINK("https://klasma.github.io/Logging_2039/artfynd/A 21658-2024 artfynd.xlsx", "A 21658-2024")</f>
        <v/>
      </c>
      <c r="T195">
        <f>HYPERLINK("https://klasma.github.io/Logging_2039/kartor/A 21658-2024 karta.png", "A 21658-2024")</f>
        <v/>
      </c>
      <c r="V195">
        <f>HYPERLINK("https://klasma.github.io/Logging_2039/klagomål/A 21658-2024 FSC-klagomål.docx", "A 21658-2024")</f>
        <v/>
      </c>
      <c r="W195">
        <f>HYPERLINK("https://klasma.github.io/Logging_2039/klagomålsmail/A 21658-2024 FSC-klagomål mail.docx", "A 21658-2024")</f>
        <v/>
      </c>
      <c r="X195">
        <f>HYPERLINK("https://klasma.github.io/Logging_2039/tillsyn/A 21658-2024 tillsynsbegäran.docx", "A 21658-2024")</f>
        <v/>
      </c>
      <c r="Y195">
        <f>HYPERLINK("https://klasma.github.io/Logging_2039/tillsynsmail/A 21658-2024 tillsynsbegäran mail.docx", "A 21658-2024")</f>
        <v/>
      </c>
    </row>
    <row r="196" ht="15" customHeight="1">
      <c r="A196" t="inlineStr">
        <is>
          <t>A 30691-2024</t>
        </is>
      </c>
      <c r="B196" s="1" t="n">
        <v>45496</v>
      </c>
      <c r="C196" s="1" t="n">
        <v>45838</v>
      </c>
      <c r="D196" t="inlineStr">
        <is>
          <t>DALARNAS LÄN</t>
        </is>
      </c>
      <c r="E196" t="inlineStr">
        <is>
          <t>ÄLVDALEN</t>
        </is>
      </c>
      <c r="G196" t="n">
        <v>2.9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30691-2024 artfynd.xlsx", "A 30691-2024")</f>
        <v/>
      </c>
      <c r="T196">
        <f>HYPERLINK("https://klasma.github.io/Logging_2039/kartor/A 30691-2024 karta.png", "A 30691-2024")</f>
        <v/>
      </c>
      <c r="V196">
        <f>HYPERLINK("https://klasma.github.io/Logging_2039/klagomål/A 30691-2024 FSC-klagomål.docx", "A 30691-2024")</f>
        <v/>
      </c>
      <c r="W196">
        <f>HYPERLINK("https://klasma.github.io/Logging_2039/klagomålsmail/A 30691-2024 FSC-klagomål mail.docx", "A 30691-2024")</f>
        <v/>
      </c>
      <c r="X196">
        <f>HYPERLINK("https://klasma.github.io/Logging_2039/tillsyn/A 30691-2024 tillsynsbegäran.docx", "A 30691-2024")</f>
        <v/>
      </c>
      <c r="Y196">
        <f>HYPERLINK("https://klasma.github.io/Logging_2039/tillsynsmail/A 30691-2024 tillsynsbegäran mail.docx", "A 30691-2024")</f>
        <v/>
      </c>
    </row>
    <row r="197" ht="15" customHeight="1">
      <c r="A197" t="inlineStr">
        <is>
          <t>A 31145-2024</t>
        </is>
      </c>
      <c r="B197" s="1" t="n">
        <v>45502</v>
      </c>
      <c r="C197" s="1" t="n">
        <v>45838</v>
      </c>
      <c r="D197" t="inlineStr">
        <is>
          <t>DALARNAS LÄN</t>
        </is>
      </c>
      <c r="E197" t="inlineStr">
        <is>
          <t>ÄLVDALEN</t>
        </is>
      </c>
      <c r="G197" t="n">
        <v>1.2</v>
      </c>
      <c r="H197" t="n">
        <v>1</v>
      </c>
      <c r="I197" t="n">
        <v>0</v>
      </c>
      <c r="J197" t="n">
        <v>1</v>
      </c>
      <c r="K197" t="n">
        <v>0</v>
      </c>
      <c r="L197" t="n">
        <v>0</v>
      </c>
      <c r="M197" t="n">
        <v>0</v>
      </c>
      <c r="N197" t="n">
        <v>0</v>
      </c>
      <c r="O197" t="n">
        <v>1</v>
      </c>
      <c r="P197" t="n">
        <v>0</v>
      </c>
      <c r="Q197" t="n">
        <v>1</v>
      </c>
      <c r="R197" s="2" t="inlineStr">
        <is>
          <t>Tretåig hackspett</t>
        </is>
      </c>
      <c r="S197">
        <f>HYPERLINK("https://klasma.github.io/Logging_2039/artfynd/A 31145-2024 artfynd.xlsx", "A 31145-2024")</f>
        <v/>
      </c>
      <c r="T197">
        <f>HYPERLINK("https://klasma.github.io/Logging_2039/kartor/A 31145-2024 karta.png", "A 31145-2024")</f>
        <v/>
      </c>
      <c r="V197">
        <f>HYPERLINK("https://klasma.github.io/Logging_2039/klagomål/A 31145-2024 FSC-klagomål.docx", "A 31145-2024")</f>
        <v/>
      </c>
      <c r="W197">
        <f>HYPERLINK("https://klasma.github.io/Logging_2039/klagomålsmail/A 31145-2024 FSC-klagomål mail.docx", "A 31145-2024")</f>
        <v/>
      </c>
      <c r="X197">
        <f>HYPERLINK("https://klasma.github.io/Logging_2039/tillsyn/A 31145-2024 tillsynsbegäran.docx", "A 31145-2024")</f>
        <v/>
      </c>
      <c r="Y197">
        <f>HYPERLINK("https://klasma.github.io/Logging_2039/tillsynsmail/A 31145-2024 tillsynsbegäran mail.docx", "A 31145-2024")</f>
        <v/>
      </c>
      <c r="Z197">
        <f>HYPERLINK("https://klasma.github.io/Logging_2039/fåglar/A 31145-2024 prioriterade fågelarter.docx", "A 31145-2024")</f>
        <v/>
      </c>
    </row>
    <row r="198" ht="15" customHeight="1">
      <c r="A198" t="inlineStr">
        <is>
          <t>A 31771-2024</t>
        </is>
      </c>
      <c r="B198" s="1" t="n">
        <v>45509</v>
      </c>
      <c r="C198" s="1" t="n">
        <v>45838</v>
      </c>
      <c r="D198" t="inlineStr">
        <is>
          <t>DALARNAS LÄN</t>
        </is>
      </c>
      <c r="E198" t="inlineStr">
        <is>
          <t>ÄLVDALEN</t>
        </is>
      </c>
      <c r="F198" t="inlineStr">
        <is>
          <t>Allmännings- och besparingsskogar</t>
        </is>
      </c>
      <c r="G198" t="n">
        <v>17.8</v>
      </c>
      <c r="H198" t="n">
        <v>1</v>
      </c>
      <c r="I198" t="n">
        <v>0</v>
      </c>
      <c r="J198" t="n">
        <v>0</v>
      </c>
      <c r="K198" t="n">
        <v>0</v>
      </c>
      <c r="L198" t="n">
        <v>1</v>
      </c>
      <c r="M198" t="n">
        <v>0</v>
      </c>
      <c r="N198" t="n">
        <v>0</v>
      </c>
      <c r="O198" t="n">
        <v>1</v>
      </c>
      <c r="P198" t="n">
        <v>1</v>
      </c>
      <c r="Q198" t="n">
        <v>1</v>
      </c>
      <c r="R198" s="2" t="inlineStr">
        <is>
          <t>Mosippa</t>
        </is>
      </c>
      <c r="S198">
        <f>HYPERLINK("https://klasma.github.io/Logging_2039/artfynd/A 31771-2024 artfynd.xlsx", "A 31771-2024")</f>
        <v/>
      </c>
      <c r="T198">
        <f>HYPERLINK("https://klasma.github.io/Logging_2039/kartor/A 31771-2024 karta.png", "A 31771-2024")</f>
        <v/>
      </c>
      <c r="V198">
        <f>HYPERLINK("https://klasma.github.io/Logging_2039/klagomål/A 31771-2024 FSC-klagomål.docx", "A 31771-2024")</f>
        <v/>
      </c>
      <c r="W198">
        <f>HYPERLINK("https://klasma.github.io/Logging_2039/klagomålsmail/A 31771-2024 FSC-klagomål mail.docx", "A 31771-2024")</f>
        <v/>
      </c>
      <c r="X198">
        <f>HYPERLINK("https://klasma.github.io/Logging_2039/tillsyn/A 31771-2024 tillsynsbegäran.docx", "A 31771-2024")</f>
        <v/>
      </c>
      <c r="Y198">
        <f>HYPERLINK("https://klasma.github.io/Logging_2039/tillsynsmail/A 31771-2024 tillsynsbegäran mail.docx", "A 31771-2024")</f>
        <v/>
      </c>
    </row>
    <row r="199" ht="15" customHeight="1">
      <c r="A199" t="inlineStr">
        <is>
          <t>A 32199-2024</t>
        </is>
      </c>
      <c r="B199" s="1" t="n">
        <v>45511</v>
      </c>
      <c r="C199" s="1" t="n">
        <v>45838</v>
      </c>
      <c r="D199" t="inlineStr">
        <is>
          <t>DALARNAS LÄN</t>
        </is>
      </c>
      <c r="E199" t="inlineStr">
        <is>
          <t>ÄLVDALEN</t>
        </is>
      </c>
      <c r="F199" t="inlineStr">
        <is>
          <t>Sveaskog</t>
        </is>
      </c>
      <c r="G199" t="n">
        <v>4.6</v>
      </c>
      <c r="H199" t="n">
        <v>1</v>
      </c>
      <c r="I199" t="n">
        <v>0</v>
      </c>
      <c r="J199" t="n">
        <v>1</v>
      </c>
      <c r="K199" t="n">
        <v>0</v>
      </c>
      <c r="L199" t="n">
        <v>0</v>
      </c>
      <c r="M199" t="n">
        <v>0</v>
      </c>
      <c r="N199" t="n">
        <v>0</v>
      </c>
      <c r="O199" t="n">
        <v>1</v>
      </c>
      <c r="P199" t="n">
        <v>0</v>
      </c>
      <c r="Q199" t="n">
        <v>1</v>
      </c>
      <c r="R199" s="2" t="inlineStr">
        <is>
          <t>Varglav</t>
        </is>
      </c>
      <c r="S199">
        <f>HYPERLINK("https://klasma.github.io/Logging_2039/artfynd/A 32199-2024 artfynd.xlsx", "A 32199-2024")</f>
        <v/>
      </c>
      <c r="T199">
        <f>HYPERLINK("https://klasma.github.io/Logging_2039/kartor/A 32199-2024 karta.png", "A 32199-2024")</f>
        <v/>
      </c>
      <c r="V199">
        <f>HYPERLINK("https://klasma.github.io/Logging_2039/klagomål/A 32199-2024 FSC-klagomål.docx", "A 32199-2024")</f>
        <v/>
      </c>
      <c r="W199">
        <f>HYPERLINK("https://klasma.github.io/Logging_2039/klagomålsmail/A 32199-2024 FSC-klagomål mail.docx", "A 32199-2024")</f>
        <v/>
      </c>
      <c r="X199">
        <f>HYPERLINK("https://klasma.github.io/Logging_2039/tillsyn/A 32199-2024 tillsynsbegäran.docx", "A 32199-2024")</f>
        <v/>
      </c>
      <c r="Y199">
        <f>HYPERLINK("https://klasma.github.io/Logging_2039/tillsynsmail/A 32199-2024 tillsynsbegäran mail.docx", "A 32199-2024")</f>
        <v/>
      </c>
    </row>
    <row r="200" ht="15" customHeight="1">
      <c r="A200" t="inlineStr">
        <is>
          <t>A 45202-2024</t>
        </is>
      </c>
      <c r="B200" s="1" t="n">
        <v>45575</v>
      </c>
      <c r="C200" s="1" t="n">
        <v>45838</v>
      </c>
      <c r="D200" t="inlineStr">
        <is>
          <t>DALARNAS LÄN</t>
        </is>
      </c>
      <c r="E200" t="inlineStr">
        <is>
          <t>ÄLVDALEN</t>
        </is>
      </c>
      <c r="G200" t="n">
        <v>184.5</v>
      </c>
      <c r="H200" t="n">
        <v>1</v>
      </c>
      <c r="I200" t="n">
        <v>0</v>
      </c>
      <c r="J200" t="n">
        <v>0</v>
      </c>
      <c r="K200" t="n">
        <v>0</v>
      </c>
      <c r="L200" t="n">
        <v>0</v>
      </c>
      <c r="M200" t="n">
        <v>0</v>
      </c>
      <c r="N200" t="n">
        <v>0</v>
      </c>
      <c r="O200" t="n">
        <v>0</v>
      </c>
      <c r="P200" t="n">
        <v>0</v>
      </c>
      <c r="Q200" t="n">
        <v>1</v>
      </c>
      <c r="R200" s="2" t="inlineStr">
        <is>
          <t>Lavskrika</t>
        </is>
      </c>
      <c r="S200">
        <f>HYPERLINK("https://klasma.github.io/Logging_2039/artfynd/A 45202-2024 artfynd.xlsx", "A 45202-2024")</f>
        <v/>
      </c>
      <c r="T200">
        <f>HYPERLINK("https://klasma.github.io/Logging_2039/kartor/A 45202-2024 karta.png", "A 45202-2024")</f>
        <v/>
      </c>
      <c r="V200">
        <f>HYPERLINK("https://klasma.github.io/Logging_2039/klagomål/A 45202-2024 FSC-klagomål.docx", "A 45202-2024")</f>
        <v/>
      </c>
      <c r="W200">
        <f>HYPERLINK("https://klasma.github.io/Logging_2039/klagomålsmail/A 45202-2024 FSC-klagomål mail.docx", "A 45202-2024")</f>
        <v/>
      </c>
      <c r="X200">
        <f>HYPERLINK("https://klasma.github.io/Logging_2039/tillsyn/A 45202-2024 tillsynsbegäran.docx", "A 45202-2024")</f>
        <v/>
      </c>
      <c r="Y200">
        <f>HYPERLINK("https://klasma.github.io/Logging_2039/tillsynsmail/A 45202-2024 tillsynsbegäran mail.docx", "A 45202-2024")</f>
        <v/>
      </c>
      <c r="Z200">
        <f>HYPERLINK("https://klasma.github.io/Logging_2039/fåglar/A 45202-2024 prioriterade fågelarter.docx", "A 45202-2024")</f>
        <v/>
      </c>
    </row>
    <row r="201" ht="15" customHeight="1">
      <c r="A201" t="inlineStr">
        <is>
          <t>A 45201-2024</t>
        </is>
      </c>
      <c r="B201" s="1" t="n">
        <v>45575</v>
      </c>
      <c r="C201" s="1" t="n">
        <v>45838</v>
      </c>
      <c r="D201" t="inlineStr">
        <is>
          <t>DALARNAS LÄN</t>
        </is>
      </c>
      <c r="E201" t="inlineStr">
        <is>
          <t>ÄLVDALEN</t>
        </is>
      </c>
      <c r="G201" t="n">
        <v>24.6</v>
      </c>
      <c r="H201" t="n">
        <v>1</v>
      </c>
      <c r="I201" t="n">
        <v>0</v>
      </c>
      <c r="J201" t="n">
        <v>1</v>
      </c>
      <c r="K201" t="n">
        <v>0</v>
      </c>
      <c r="L201" t="n">
        <v>0</v>
      </c>
      <c r="M201" t="n">
        <v>0</v>
      </c>
      <c r="N201" t="n">
        <v>0</v>
      </c>
      <c r="O201" t="n">
        <v>1</v>
      </c>
      <c r="P201" t="n">
        <v>0</v>
      </c>
      <c r="Q201" t="n">
        <v>1</v>
      </c>
      <c r="R201" s="2" t="inlineStr">
        <is>
          <t>Varglav</t>
        </is>
      </c>
      <c r="S201">
        <f>HYPERLINK("https://klasma.github.io/Logging_2039/artfynd/A 45201-2024 artfynd.xlsx", "A 45201-2024")</f>
        <v/>
      </c>
      <c r="T201">
        <f>HYPERLINK("https://klasma.github.io/Logging_2039/kartor/A 45201-2024 karta.png", "A 45201-2024")</f>
        <v/>
      </c>
      <c r="V201">
        <f>HYPERLINK("https://klasma.github.io/Logging_2039/klagomål/A 45201-2024 FSC-klagomål.docx", "A 45201-2024")</f>
        <v/>
      </c>
      <c r="W201">
        <f>HYPERLINK("https://klasma.github.io/Logging_2039/klagomålsmail/A 45201-2024 FSC-klagomål mail.docx", "A 45201-2024")</f>
        <v/>
      </c>
      <c r="X201">
        <f>HYPERLINK("https://klasma.github.io/Logging_2039/tillsyn/A 45201-2024 tillsynsbegäran.docx", "A 45201-2024")</f>
        <v/>
      </c>
      <c r="Y201">
        <f>HYPERLINK("https://klasma.github.io/Logging_2039/tillsynsmail/A 45201-2024 tillsynsbegäran mail.docx", "A 45201-2024")</f>
        <v/>
      </c>
    </row>
    <row r="202" ht="15" customHeight="1">
      <c r="A202" t="inlineStr">
        <is>
          <t>A 50981-2024</t>
        </is>
      </c>
      <c r="B202" s="1" t="n">
        <v>45603</v>
      </c>
      <c r="C202" s="1" t="n">
        <v>45838</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662-2025</t>
        </is>
      </c>
      <c r="B203" s="1" t="n">
        <v>45664</v>
      </c>
      <c r="C203" s="1" t="n">
        <v>45838</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19338-2025</t>
        </is>
      </c>
      <c r="B204" s="1" t="n">
        <v>45769</v>
      </c>
      <c r="C204" s="1" t="n">
        <v>45838</v>
      </c>
      <c r="D204" t="inlineStr">
        <is>
          <t>DALARNAS LÄN</t>
        </is>
      </c>
      <c r="E204" t="inlineStr">
        <is>
          <t>ÄLVDALEN</t>
        </is>
      </c>
      <c r="F204" t="inlineStr">
        <is>
          <t>Sveaskog</t>
        </is>
      </c>
      <c r="G204" t="n">
        <v>5.5</v>
      </c>
      <c r="H204" t="n">
        <v>1</v>
      </c>
      <c r="I204" t="n">
        <v>0</v>
      </c>
      <c r="J204" t="n">
        <v>1</v>
      </c>
      <c r="K204" t="n">
        <v>0</v>
      </c>
      <c r="L204" t="n">
        <v>0</v>
      </c>
      <c r="M204" t="n">
        <v>0</v>
      </c>
      <c r="N204" t="n">
        <v>0</v>
      </c>
      <c r="O204" t="n">
        <v>1</v>
      </c>
      <c r="P204" t="n">
        <v>0</v>
      </c>
      <c r="Q204" t="n">
        <v>1</v>
      </c>
      <c r="R204" s="2" t="inlineStr">
        <is>
          <t>Varglav</t>
        </is>
      </c>
      <c r="S204">
        <f>HYPERLINK("https://klasma.github.io/Logging_202039/artfynd/A 19338-2025 artfynd.xlsx", "A 19338-2025")</f>
        <v/>
      </c>
      <c r="T204">
        <f>HYPERLINK("https://klasma.github.io/Logging_202039/kartor/A 19338-2025 karta.png", "A 19338-2025")</f>
        <v/>
      </c>
      <c r="V204">
        <f>HYPERLINK("https://klasma.github.io/Logging_202039/klagomål/A 19338-2025 FSC-klagomål.docx", "A 19338-2025")</f>
        <v/>
      </c>
      <c r="W204">
        <f>HYPERLINK("https://klasma.github.io/Logging_202039/klagomålsmail/A 19338-2025 FSC-klagomål mail.docx", "A 19338-2025")</f>
        <v/>
      </c>
      <c r="X204">
        <f>HYPERLINK("https://klasma.github.io/Logging_202039/tillsyn/A 19338-2025 tillsynsbegäran.docx", "A 19338-2025")</f>
        <v/>
      </c>
      <c r="Y204">
        <f>HYPERLINK("https://klasma.github.io/Logging_202039/tillsynsmail/A 19338-2025 tillsynsbegäran mail.docx", "A 19338-2025")</f>
        <v/>
      </c>
    </row>
    <row r="205" ht="15" customHeight="1">
      <c r="A205" t="inlineStr">
        <is>
          <t>A 19443-2025</t>
        </is>
      </c>
      <c r="B205" s="1" t="n">
        <v>45770</v>
      </c>
      <c r="C205" s="1" t="n">
        <v>45838</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19443-2025 artfynd.xlsx", "A 19443-2025")</f>
        <v/>
      </c>
      <c r="T205">
        <f>HYPERLINK("https://klasma.github.io/Logging_202039/kartor/A 19443-2025 karta.png", "A 19443-2025")</f>
        <v/>
      </c>
      <c r="V205">
        <f>HYPERLINK("https://klasma.github.io/Logging_202039/klagomål/A 19443-2025 FSC-klagomål.docx", "A 19443-2025")</f>
        <v/>
      </c>
      <c r="W205">
        <f>HYPERLINK("https://klasma.github.io/Logging_202039/klagomålsmail/A 19443-2025 FSC-klagomål mail.docx", "A 19443-2025")</f>
        <v/>
      </c>
      <c r="X205">
        <f>HYPERLINK("https://klasma.github.io/Logging_202039/tillsyn/A 19443-2025 tillsynsbegäran.docx", "A 19443-2025")</f>
        <v/>
      </c>
      <c r="Y205">
        <f>HYPERLINK("https://klasma.github.io/Logging_202039/tillsynsmail/A 19443-2025 tillsynsbegäran mail.docx", "A 19443-2025")</f>
        <v/>
      </c>
    </row>
    <row r="206" ht="15" customHeight="1">
      <c r="A206" t="inlineStr">
        <is>
          <t>A 22286-2025</t>
        </is>
      </c>
      <c r="B206" s="1" t="n">
        <v>45786</v>
      </c>
      <c r="C206" s="1" t="n">
        <v>45838</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HYPERLINK("https://klasma.github.io/Logging_202039/artfynd/A 22286-2025 artfynd.xlsx", "A 22286-2025")</f>
        <v/>
      </c>
      <c r="T206">
        <f>HYPERLINK("https://klasma.github.io/Logging_202039/kartor/A 22286-2025 karta.png", "A 22286-2025")</f>
        <v/>
      </c>
      <c r="V206">
        <f>HYPERLINK("https://klasma.github.io/Logging_202039/klagomål/A 22286-2025 FSC-klagomål.docx", "A 22286-2025")</f>
        <v/>
      </c>
      <c r="W206">
        <f>HYPERLINK("https://klasma.github.io/Logging_202039/klagomålsmail/A 22286-2025 FSC-klagomål mail.docx", "A 22286-2025")</f>
        <v/>
      </c>
      <c r="X206">
        <f>HYPERLINK("https://klasma.github.io/Logging_202039/tillsyn/A 22286-2025 tillsynsbegäran.docx", "A 22286-2025")</f>
        <v/>
      </c>
      <c r="Y206">
        <f>HYPERLINK("https://klasma.github.io/Logging_202039/tillsynsmail/A 22286-2025 tillsynsbegäran mail.docx", "A 22286-2025")</f>
        <v/>
      </c>
    </row>
    <row r="207" ht="15" customHeight="1">
      <c r="A207" t="inlineStr">
        <is>
          <t>A 27929-2025</t>
        </is>
      </c>
      <c r="B207" s="1" t="n">
        <v>45817</v>
      </c>
      <c r="C207" s="1" t="n">
        <v>45838</v>
      </c>
      <c r="D207" t="inlineStr">
        <is>
          <t>DALARNAS LÄN</t>
        </is>
      </c>
      <c r="E207" t="inlineStr">
        <is>
          <t>ÄLVDALEN</t>
        </is>
      </c>
      <c r="F207" t="inlineStr">
        <is>
          <t>Sveaskog</t>
        </is>
      </c>
      <c r="G207" t="n">
        <v>2.7</v>
      </c>
      <c r="H207" t="n">
        <v>0</v>
      </c>
      <c r="I207" t="n">
        <v>1</v>
      </c>
      <c r="J207" t="n">
        <v>0</v>
      </c>
      <c r="K207" t="n">
        <v>0</v>
      </c>
      <c r="L207" t="n">
        <v>0</v>
      </c>
      <c r="M207" t="n">
        <v>0</v>
      </c>
      <c r="N207" t="n">
        <v>0</v>
      </c>
      <c r="O207" t="n">
        <v>0</v>
      </c>
      <c r="P207" t="n">
        <v>0</v>
      </c>
      <c r="Q207" t="n">
        <v>1</v>
      </c>
      <c r="R207" s="2" t="inlineStr">
        <is>
          <t>Dropptaggsvamp</t>
        </is>
      </c>
      <c r="S207">
        <f>HYPERLINK("https://klasma.github.io/Logging_202039/artfynd/A 27929-2025 artfynd.xlsx", "A 27929-2025")</f>
        <v/>
      </c>
      <c r="T207">
        <f>HYPERLINK("https://klasma.github.io/Logging_202039/kartor/A 27929-2025 karta.png", "A 27929-2025")</f>
        <v/>
      </c>
      <c r="V207">
        <f>HYPERLINK("https://klasma.github.io/Logging_202039/klagomål/A 27929-2025 FSC-klagomål.docx", "A 27929-2025")</f>
        <v/>
      </c>
      <c r="W207">
        <f>HYPERLINK("https://klasma.github.io/Logging_202039/klagomålsmail/A 27929-2025 FSC-klagomål mail.docx", "A 27929-2025")</f>
        <v/>
      </c>
      <c r="X207">
        <f>HYPERLINK("https://klasma.github.io/Logging_202039/tillsyn/A 27929-2025 tillsynsbegäran.docx", "A 27929-2025")</f>
        <v/>
      </c>
      <c r="Y207">
        <f>HYPERLINK("https://klasma.github.io/Logging_202039/tillsynsmail/A 27929-2025 tillsynsbegäran mail.docx", "A 27929-2025")</f>
        <v/>
      </c>
    </row>
    <row r="208" ht="15" customHeight="1">
      <c r="A208" t="inlineStr">
        <is>
          <t>A 30028-2025</t>
        </is>
      </c>
      <c r="B208" s="1" t="n">
        <v>45826</v>
      </c>
      <c r="C208" s="1" t="n">
        <v>45838</v>
      </c>
      <c r="D208" t="inlineStr">
        <is>
          <t>DALARNAS LÄN</t>
        </is>
      </c>
      <c r="E208" t="inlineStr">
        <is>
          <t>ÄLVDALEN</t>
        </is>
      </c>
      <c r="F208" t="inlineStr">
        <is>
          <t>Allmännings- och besparingsskogar</t>
        </is>
      </c>
      <c r="G208" t="n">
        <v>20.1</v>
      </c>
      <c r="H208" t="n">
        <v>1</v>
      </c>
      <c r="I208" t="n">
        <v>0</v>
      </c>
      <c r="J208" t="n">
        <v>0</v>
      </c>
      <c r="K208" t="n">
        <v>0</v>
      </c>
      <c r="L208" t="n">
        <v>1</v>
      </c>
      <c r="M208" t="n">
        <v>0</v>
      </c>
      <c r="N208" t="n">
        <v>0</v>
      </c>
      <c r="O208" t="n">
        <v>1</v>
      </c>
      <c r="P208" t="n">
        <v>1</v>
      </c>
      <c r="Q208" t="n">
        <v>1</v>
      </c>
      <c r="R208" s="2" t="inlineStr">
        <is>
          <t>Mosippa</t>
        </is>
      </c>
      <c r="S208">
        <f>HYPERLINK("https://klasma.github.io/Logging_202039/artfynd/A 30028-2025 artfynd.xlsx", "A 30028-2025")</f>
        <v/>
      </c>
      <c r="T208">
        <f>HYPERLINK("https://klasma.github.io/Logging_202039/kartor/A 30028-2025 karta.png", "A 30028-2025")</f>
        <v/>
      </c>
      <c r="V208">
        <f>HYPERLINK("https://klasma.github.io/Logging_202039/klagomål/A 30028-2025 FSC-klagomål.docx", "A 30028-2025")</f>
        <v/>
      </c>
      <c r="W208">
        <f>HYPERLINK("https://klasma.github.io/Logging_202039/klagomålsmail/A 30028-2025 FSC-klagomål mail.docx", "A 30028-2025")</f>
        <v/>
      </c>
      <c r="X208">
        <f>HYPERLINK("https://klasma.github.io/Logging_202039/tillsyn/A 30028-2025 tillsynsbegäran.docx", "A 30028-2025")</f>
        <v/>
      </c>
      <c r="Y208">
        <f>HYPERLINK("https://klasma.github.io/Logging_202039/tillsynsmail/A 30028-2025 tillsynsbegäran mail.docx", "A 30028-2025")</f>
        <v/>
      </c>
    </row>
    <row r="209" ht="15" customHeight="1">
      <c r="A209" t="inlineStr">
        <is>
          <t>A 30788-2025</t>
        </is>
      </c>
      <c r="B209" s="1" t="n">
        <v>45831</v>
      </c>
      <c r="C209" s="1" t="n">
        <v>45838</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45838</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45838</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45838</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45838</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45838</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45838</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45838</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45838</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45838</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45838</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45838</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45838</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45838</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45838</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45838</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45838</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45838</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45838</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45838</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45838</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45838</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45838</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45838</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45838</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45838</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45838</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45838</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45838</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45838</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45838</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45838</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45838</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45838</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45838</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45838</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45838</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45838</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45838</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45838</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45838</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45838</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45838</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45838</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45838</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45838</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45838</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45838</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45838</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45838</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45838</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45838</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45838</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45838</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45838</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45838</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45838</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45838</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45838</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45838</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45838</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45838</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45838</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45838</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45838</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45838</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45838</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45838</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45838</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45838</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45838</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45838</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45838</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45838</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45838</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45838</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45838</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45838</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45838</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45838</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45838</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45838</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45838</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45838</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45838</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45838</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45838</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45838</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45838</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45838</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45838</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45838</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45838</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45838</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45838</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45838</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45838</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45838</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45838</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45838</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45838</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45838</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45838</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45838</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45838</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45838</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45838</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45838</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45838</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45838</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45838</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45838</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45838</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45838</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45838</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45838</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45838</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45838</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45838</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45838</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45838</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45838</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45838</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45838</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45838</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45838</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45838</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45838</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45838</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45838</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45838</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45838</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45838</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45838</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45838</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45838</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45838</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45838</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45838</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45838</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45838</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45838</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45838</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45838</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45838</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45838</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45838</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45838</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45838</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45838</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45838</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45838</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45838</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45838</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45838</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45838</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45838</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45838</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45838</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45838</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45838</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45838</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45838</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45838</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45838</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45838</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45838</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45838</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45838</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45838</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45838</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45838</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45838</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45838</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45838</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45838</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45838</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45838</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45838</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45838</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45838</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45838</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45838</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45838</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45838</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45838</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45838</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45838</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45838</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45838</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45838</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45838</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45838</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45838</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45838</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45838</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45838</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45838</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45838</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45838</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45838</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45838</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45838</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45838</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45838</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45838</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45838</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45838</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45838</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45838</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45838</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45838</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45838</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45838</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45838</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45838</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45838</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45838</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45838</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45838</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45838</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45838</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45838</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45838</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45838</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45838</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45838</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45838</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45838</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45838</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45838</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45838</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45838</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45838</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45838</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45838</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45838</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45838</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45838</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45838</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45838</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45838</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45838</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45838</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45838</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45838</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45838</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45838</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45838</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45838</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45838</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45838</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45838</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45838</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45838</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45838</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45838</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45838</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45838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45838</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45838</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45838</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45838</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45838</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45838</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45838</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45838</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45838</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45838</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45838</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45838</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45838</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45838</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45838</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45838</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45838</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45838</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45838</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45838</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45838</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45838</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45838</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45838</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45838</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45838</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45838</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45838</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45838</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45838</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45838</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45838</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45838</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45838</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45838</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45838</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45838</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45838</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45838</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45838</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45838</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45838</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45838</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45838</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45838</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45838</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45838</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45838</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45838</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45838</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45838</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45838</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45838</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45838</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45838</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45838</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45838</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45838</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45838</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45838</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45838</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45838</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45838</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45838</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45838</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45838</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45838</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45838</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45838</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45838</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45838</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45838</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45838</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45838</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45838</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45838</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45838</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45838</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45838</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45838</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45838</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45838</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45838</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45838</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45838</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45838</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45838</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45838</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45838</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45838</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45838</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45838</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45838</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45838</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45838</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45838</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45838</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45838</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45838</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45838</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45838</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45838</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45838</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45838</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45838</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45838</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45838</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45838</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45838</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45838</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45838</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45838</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45838</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45838</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45838</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45838</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45838</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45838</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45838</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45838</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45838</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45838</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45838</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45838</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45838</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45838</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45838</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45838</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45838</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45838</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45838</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45838</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45838</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45838</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45838</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45838</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45838</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45838</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45838</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45838</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45838</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45838</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45838</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45838</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45838</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45838</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45838</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45838</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45838</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45838</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45838</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45838</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45838</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45838</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45838</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45838</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45838</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45838</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45838</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45838</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45838</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45838</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45838</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45838</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45838</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45838</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45838</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45838</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45838</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45838</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45838</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45838</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45838</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45838</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45838</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45838</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45838</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45838</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45838</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45838</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45838</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45838</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45838</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45838</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45838</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45838</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45838</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45838</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45838</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45838</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45838</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45838</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45838</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45838</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45838</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45838</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45838</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45838</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45838</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45838</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45838</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45838</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45838</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45838</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45838</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45838</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45838</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45838</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45838</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45838</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45838</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45838</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45838</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45838</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45838</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45838</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45838</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45838</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45838</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45838</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45838</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45838</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45838</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45838</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45838</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45838</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45838</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45838</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45838</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45838</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45838</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45838</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45838</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45838</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45838</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45838</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45838</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45838</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45838</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45838</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45838</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45838</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45838</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45838</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45838</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45838</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45838</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45838</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45838</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45838</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45838</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45838</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45838</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45838</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45838</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45838</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45838</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45838</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45838</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45838</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45838</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45838</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45838</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45838</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45838</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45838</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45838</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45838</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45838</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45838</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45838</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45838</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45838</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45838</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45838</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45838</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45838</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45838</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45838</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45838</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45838</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45838</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45838</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45838</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45838</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45838</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45838</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45838</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45838</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45838</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45838</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45838</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45838</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45838</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45838</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45838</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45838</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45838</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45838</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45838</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45838</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45838</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45838</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45838</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45838</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45838</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45838</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45838</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45838</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45838</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45838</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45838</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45838</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45838</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45838</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45838</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45838</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45838</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45838</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45838</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45838</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45838</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45838</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45838</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45838</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45838</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45838</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45838</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45838</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45838</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45838</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45838</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45838</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45838</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45838</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45838</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45838</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45838</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45838</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45838</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45838</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45838</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45838</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45838</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45838</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45838</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45838</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45838</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45838</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45838</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45838</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45838</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45838</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45838</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45838</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45838</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45838</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45838</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45838</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45838</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45838</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45838</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45838</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45838</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45838</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45838</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45838</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45838</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45838</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45838</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45838</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45838</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45838</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45838</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45838</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45838</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45838</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45838</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45838</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45838</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45838</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45838</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45838</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45838</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45838</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45838</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45838</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45838</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45838</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45838</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45838</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45838</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45838</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45838</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45838</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45838</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45838</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45838</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45838</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45838</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45838</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45838</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45838</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45838</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45838</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45838</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45838</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45838</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45838</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45838</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45838</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45838</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45838</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45838</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45838</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45838</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45838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45838</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45838</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45838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45838</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45838</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45838</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45838</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45838</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45838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45838</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45838</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45838</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45838</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45838</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45838</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45838</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45838</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45838</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45838</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45838</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45838</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45838</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45838</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45838</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45838</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45838</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45838</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45838</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45838</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45838</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45838</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45838</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45838</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45838</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45838</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45838</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45838</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45838</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45838</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45838</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45838</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45838</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45838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45838</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45838</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45838</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45838</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45838</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45838</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45838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45838</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45838</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45838</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45838</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45838</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45838</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45838</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45838</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45838</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45838</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45838</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45838</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45838</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45838</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45838</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45838</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45838</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45838</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45838</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45838</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45838</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45838</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45838</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45838</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45838</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45838</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45838</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45838</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45838</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45838</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45838</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45838</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45838</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45838</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45838</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45838</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45838</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45838</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45838</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45838</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45838</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45838</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45838</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45838</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45838</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45838</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45838</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45838</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45838</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45838</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45838</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45838</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45838</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45838</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45838</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45838</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45838</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45838</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45838</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45838</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45838</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45838</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45838</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45838</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45838</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45838</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45838</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45838</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45838</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45838</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45838</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45838</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45838</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45838</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45838</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45838</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45838</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45838</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45838</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45838</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45838</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45838</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45838</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45838</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45838</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45838</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45838</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45838</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45838</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45838</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45838</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45838</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45838</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45838</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45838</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45838</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45838</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45838</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45838</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45838</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45838</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45838</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45838</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45838</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45838</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45838</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45838</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45838</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45838</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45838</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45838</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45838</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45838</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45838</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45838</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45838</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45838</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45838</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45838</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45838</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45838</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45838</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45838</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45838</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45838</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45838</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45838</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45838</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45838</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45838</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45838</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45838</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45838</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45838</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45838</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45838</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45838</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45838</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45838</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45838</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45838</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45838</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45838</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45838</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45838</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45838</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45838</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45838</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45838</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45838</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45838</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45838</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45838</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45838</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45838</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45838</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45838</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45838</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45838</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45838</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45838</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45838</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45838</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45838</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45838</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45838</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45838</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45838</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45838</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45838</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45838</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45838</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45838</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45838</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45838</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27261-2025</t>
        </is>
      </c>
      <c r="B1110" s="1" t="n">
        <v>45812</v>
      </c>
      <c r="C1110" s="1" t="n">
        <v>45838</v>
      </c>
      <c r="D1110" t="inlineStr">
        <is>
          <t>DALARNAS LÄN</t>
        </is>
      </c>
      <c r="E1110" t="inlineStr">
        <is>
          <t>ÄLVDALEN</t>
        </is>
      </c>
      <c r="F1110" t="inlineStr">
        <is>
          <t>Bergvik skog väst AB</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27230-2025</t>
        </is>
      </c>
      <c r="B1111" s="1" t="n">
        <v>45812</v>
      </c>
      <c r="C1111" s="1" t="n">
        <v>45838</v>
      </c>
      <c r="D1111" t="inlineStr">
        <is>
          <t>DALARNAS LÄN</t>
        </is>
      </c>
      <c r="E1111" t="inlineStr">
        <is>
          <t>ÄLVDALEN</t>
        </is>
      </c>
      <c r="F1111" t="inlineStr">
        <is>
          <t>Allmännings- och besparingsskogar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45838</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45838</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45838</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28842-2025</t>
        </is>
      </c>
      <c r="B1115" s="1" t="n">
        <v>45820</v>
      </c>
      <c r="C1115" s="1" t="n">
        <v>45838</v>
      </c>
      <c r="D1115" t="inlineStr">
        <is>
          <t>DALARNAS LÄN</t>
        </is>
      </c>
      <c r="E1115" t="inlineStr">
        <is>
          <t>ÄLVDALEN</t>
        </is>
      </c>
      <c r="F1115" t="inlineStr">
        <is>
          <t>Allmännings- och besparingsskogar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28838-2025</t>
        </is>
      </c>
      <c r="B1116" s="1" t="n">
        <v>45820</v>
      </c>
      <c r="C1116" s="1" t="n">
        <v>45838</v>
      </c>
      <c r="D1116" t="inlineStr">
        <is>
          <t>DALARNAS LÄN</t>
        </is>
      </c>
      <c r="E1116" t="inlineStr">
        <is>
          <t>ÄLVDALEN</t>
        </is>
      </c>
      <c r="F1116" t="inlineStr">
        <is>
          <t>Allmännings- och besparingsskogar</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28844-2025</t>
        </is>
      </c>
      <c r="B1117" s="1" t="n">
        <v>45820</v>
      </c>
      <c r="C1117" s="1" t="n">
        <v>45838</v>
      </c>
      <c r="D1117" t="inlineStr">
        <is>
          <t>DALARNAS LÄN</t>
        </is>
      </c>
      <c r="E1117" t="inlineStr">
        <is>
          <t>ÄLVDALEN</t>
        </is>
      </c>
      <c r="F1117" t="inlineStr">
        <is>
          <t>Allmännings- och besparingsskogar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45838</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45838</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45838</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31821-2025</t>
        </is>
      </c>
      <c r="B1121" s="1" t="n">
        <v>45834</v>
      </c>
      <c r="C1121" s="1" t="n">
        <v>45838</v>
      </c>
      <c r="D1121" t="inlineStr">
        <is>
          <t>DALARNAS LÄN</t>
        </is>
      </c>
      <c r="E1121" t="inlineStr">
        <is>
          <t>ÄLVDALEN</t>
        </is>
      </c>
      <c r="F1121" t="inlineStr">
        <is>
          <t>Allmännings- och besparingsskogar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31658-2025</t>
        </is>
      </c>
      <c r="B1122" s="1" t="n">
        <v>45834</v>
      </c>
      <c r="C1122" s="1" t="n">
        <v>45838</v>
      </c>
      <c r="D1122" t="inlineStr">
        <is>
          <t>DALARNAS LÄN</t>
        </is>
      </c>
      <c r="E1122" t="inlineStr">
        <is>
          <t>ÄLVDALEN</t>
        </is>
      </c>
      <c r="F1122" t="inlineStr">
        <is>
          <t>Allmännings- och besparingsskogar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31796-2025</t>
        </is>
      </c>
      <c r="B1123" s="1" t="n">
        <v>45834</v>
      </c>
      <c r="C1123" s="1" t="n">
        <v>45838</v>
      </c>
      <c r="D1123" t="inlineStr">
        <is>
          <t>DALARNAS LÄN</t>
        </is>
      </c>
      <c r="E1123" t="inlineStr">
        <is>
          <t>ÄLVDALEN</t>
        </is>
      </c>
      <c r="G1123" t="n">
        <v>65.5</v>
      </c>
      <c r="H1123" t="n">
        <v>0</v>
      </c>
      <c r="I1123" t="n">
        <v>0</v>
      </c>
      <c r="J1123" t="n">
        <v>0</v>
      </c>
      <c r="K1123" t="n">
        <v>0</v>
      </c>
      <c r="L1123" t="n">
        <v>0</v>
      </c>
      <c r="M1123" t="n">
        <v>0</v>
      </c>
      <c r="N1123" t="n">
        <v>0</v>
      </c>
      <c r="O1123" t="n">
        <v>0</v>
      </c>
      <c r="P1123" t="n">
        <v>0</v>
      </c>
      <c r="Q1123" t="n">
        <v>0</v>
      </c>
      <c r="R1123" s="2" t="inlineStr"/>
    </row>
    <row r="1124" ht="15" customHeight="1">
      <c r="A1124" t="inlineStr">
        <is>
          <t>A 32048-2025</t>
        </is>
      </c>
      <c r="B1124" s="1" t="n">
        <v>45835</v>
      </c>
      <c r="C1124" s="1" t="n">
        <v>45838</v>
      </c>
      <c r="D1124" t="inlineStr">
        <is>
          <t>DALARNAS LÄN</t>
        </is>
      </c>
      <c r="E1124" t="inlineStr">
        <is>
          <t>ÄLVDALEN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32063-2025</t>
        </is>
      </c>
      <c r="B1125" s="1" t="n">
        <v>45835</v>
      </c>
      <c r="C1125" s="1" t="n">
        <v>45838</v>
      </c>
      <c r="D1125" t="inlineStr">
        <is>
          <t>DALARNAS LÄN</t>
        </is>
      </c>
      <c r="E1125" t="inlineStr">
        <is>
          <t>ÄLVDALEN</t>
        </is>
      </c>
      <c r="G1125" t="n">
        <v>1.5</v>
      </c>
      <c r="H1125" t="n">
        <v>0</v>
      </c>
      <c r="I1125" t="n">
        <v>0</v>
      </c>
      <c r="J1125" t="n">
        <v>0</v>
      </c>
      <c r="K1125" t="n">
        <v>0</v>
      </c>
      <c r="L1125" t="n">
        <v>0</v>
      </c>
      <c r="M1125" t="n">
        <v>0</v>
      </c>
      <c r="N1125" t="n">
        <v>0</v>
      </c>
      <c r="O1125" t="n">
        <v>0</v>
      </c>
      <c r="P1125" t="n">
        <v>0</v>
      </c>
      <c r="Q1125" t="n">
        <v>0</v>
      </c>
      <c r="R1125" s="2" t="inlineStr"/>
    </row>
    <row r="1126">
      <c r="A1126" t="inlineStr">
        <is>
          <t>A 32237-2025</t>
        </is>
      </c>
      <c r="B1126" s="1" t="n">
        <v>45835</v>
      </c>
      <c r="C1126" s="1" t="n">
        <v>45838</v>
      </c>
      <c r="D1126" t="inlineStr">
        <is>
          <t>DALARNAS LÄN</t>
        </is>
      </c>
      <c r="E1126" t="inlineStr">
        <is>
          <t>ÄLVDALEN</t>
        </is>
      </c>
      <c r="G1126" t="n">
        <v>4.6</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2025-06-30T19:31:11Z</dcterms:created>
  <dcterms:modified xmlns:dcterms="http://purl.org/dc/terms/" xmlns:xsi="http://www.w3.org/2001/XMLSchema-instance" xsi:type="dcterms:W3CDTF">2025-06-30T19:31:12Z</dcterms:modified>
</cp:coreProperties>
</file>