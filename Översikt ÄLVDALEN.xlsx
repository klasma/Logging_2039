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46294</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46294</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46294</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46294</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46294</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46294</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46294</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46294</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46294</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46294</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46294</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46294</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46294</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46294</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46294</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46294</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46294</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46294</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46294</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46294</v>
      </c>
      <c r="F21" t="inlineStr">
        <is>
          <t>DALARNAS LÄN</t>
        </is>
      </c>
      <c r="G21" t="inlineStr">
        <is>
          <t>ÄLVDALEN</t>
        </is>
      </c>
      <c r="I21" t="n">
        <v>48.8</v>
      </c>
      <c r="J21" t="n">
        <v>4</v>
      </c>
      <c r="K21" t="n">
        <v>2</v>
      </c>
      <c r="L21" t="n">
        <v>10</v>
      </c>
      <c r="M21" t="n">
        <v>5</v>
      </c>
      <c r="N21" t="n">
        <v>0</v>
      </c>
      <c r="O21" t="n">
        <v>0</v>
      </c>
      <c r="P21" t="n">
        <v>0</v>
      </c>
      <c r="Q21" t="n">
        <v>15</v>
      </c>
      <c r="R21" t="n">
        <v>5</v>
      </c>
      <c r="S21" t="n">
        <v>19</v>
      </c>
      <c r="T21" t="n">
        <v>108</v>
      </c>
      <c r="U21" t="n">
        <v>44</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50497-2025</t>
        </is>
      </c>
      <c r="B22" t="inlineStr">
        <is>
          <t>avverkningsanmälan</t>
        </is>
      </c>
      <c r="C22" t="inlineStr">
        <is>
          <t>Föryngringsavverkning</t>
        </is>
      </c>
      <c r="D22" s="1" t="n">
        <v>45945</v>
      </c>
      <c r="E22" s="1" t="n">
        <v>46294</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55981-2025</t>
        </is>
      </c>
      <c r="B23" t="inlineStr">
        <is>
          <t>avverkningsanmälan</t>
        </is>
      </c>
      <c r="C23" t="inlineStr">
        <is>
          <t>Föryngringsavverkning</t>
        </is>
      </c>
      <c r="D23" s="1" t="n">
        <v>45973</v>
      </c>
      <c r="E23" s="1" t="n">
        <v>46294</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63895-2023</t>
        </is>
      </c>
      <c r="B24" t="inlineStr">
        <is>
          <t>avverkningsanmälan</t>
        </is>
      </c>
      <c r="C24" t="inlineStr">
        <is>
          <t>Avverkning för annat ändamål</t>
        </is>
      </c>
      <c r="D24" s="1" t="n">
        <v>45278</v>
      </c>
      <c r="E24" s="1" t="n">
        <v>46294</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46294</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46294</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46294</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46294</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46294</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33548-2023</t>
        </is>
      </c>
      <c r="B30" t="inlineStr">
        <is>
          <t>avverkningsanmälan</t>
        </is>
      </c>
      <c r="C30" t="inlineStr">
        <is>
          <t>Föryngringsavverkning</t>
        </is>
      </c>
      <c r="D30" s="1" t="n">
        <v>45118</v>
      </c>
      <c r="E30" s="1" t="n">
        <v>46294</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26765-2025</t>
        </is>
      </c>
      <c r="B31" t="inlineStr">
        <is>
          <t>avverkningsanmälan</t>
        </is>
      </c>
      <c r="C31" t="inlineStr">
        <is>
          <t>Föryngringsavverkning</t>
        </is>
      </c>
      <c r="D31" s="1" t="n">
        <v>45810</v>
      </c>
      <c r="E31" s="1" t="n">
        <v>46294</v>
      </c>
      <c r="F31" t="inlineStr">
        <is>
          <t>DALARNAS LÄN</t>
        </is>
      </c>
      <c r="G31" t="inlineStr">
        <is>
          <t>ÄLVDALEN</t>
        </is>
      </c>
      <c r="H31" t="inlineStr">
        <is>
          <t>Allmännings- och besparingsskogar</t>
        </is>
      </c>
      <c r="I31" t="n">
        <v>17.5</v>
      </c>
      <c r="J31" t="n">
        <v>3</v>
      </c>
      <c r="K31" t="n">
        <v>0</v>
      </c>
      <c r="L31" t="n">
        <v>14</v>
      </c>
      <c r="M31" t="n">
        <v>1</v>
      </c>
      <c r="N31" t="n">
        <v>1</v>
      </c>
      <c r="O31" t="n">
        <v>0</v>
      </c>
      <c r="P31" t="n">
        <v>0</v>
      </c>
      <c r="Q31" t="n">
        <v>16</v>
      </c>
      <c r="R31" t="n">
        <v>2</v>
      </c>
      <c r="S31" t="n">
        <v>17</v>
      </c>
      <c r="T31" t="n">
        <v>64</v>
      </c>
      <c r="U31" t="n">
        <v>64</v>
      </c>
      <c r="V31" s="2" t="inlineStr">
        <is>
          <t>Urskogsporing
Garnlav
Blanksvart spiklav
Blågrå svartspik
Dropptaggsvamp
Knottrig blåslav
Kolflarnlav
Kortskaftad ärgspik
Lavskrika
Mörk kolflarnlav
Talltagel
Tretåig hackspett
Vaddporing
Vedflamlav
Vedskivlav
Violettgrå tagellav
Tjäder</t>
        </is>
      </c>
      <c r="W31">
        <f>HYPERLINK("https://klasma.github.io/Logging_2039/artfynd/A 26765-2025 artfynd.xlsx", "A 26765-2025")</f>
        <v/>
      </c>
      <c r="X31">
        <f>HYPERLINK("https://klasma.github.io/Logging_2039/kartor/A 26765-2025 karta.png", "A 26765-2025")</f>
        <v/>
      </c>
      <c r="Y31">
        <f>HYPERLINK("https://klasma.github.io/Logging_2039/kartor_geotiff/A 26765-2025 georefererad karta.tif", "A 26765-2025")</f>
        <v/>
      </c>
      <c r="AA31">
        <f>HYPERLINK("https://klasma.github.io/Logging_2039/klagomål/A 26765-2025 FSC-klagomål.docx", "A 26765-2025")</f>
        <v/>
      </c>
      <c r="AB31">
        <f>HYPERLINK("https://klasma.github.io/Logging_2039/klagomålsmail/A 26765-2025 FSC-klagomål mail.docx", "A 26765-2025")</f>
        <v/>
      </c>
      <c r="AC31">
        <f>HYPERLINK("https://klasma.github.io/Logging_2039/tillsyn/A 26765-2025 tillsynsbegäran.docx", "A 26765-2025")</f>
        <v/>
      </c>
      <c r="AD31">
        <f>HYPERLINK("https://klasma.github.io/Logging_2039/tillsynsmail/A 26765-2025 tillsynsbegäran mail.docx", "A 26765-2025")</f>
        <v/>
      </c>
      <c r="AE31">
        <f>HYPERLINK("https://klasma.github.io/Logging_2039/fåglar/A 26765-2025 prioriterade fågelarter.docx", "A 26765-2025")</f>
        <v/>
      </c>
    </row>
    <row r="32" ht="15" customHeight="1">
      <c r="A32" t="inlineStr">
        <is>
          <t>A 30105-2026</t>
        </is>
      </c>
      <c r="B32" t="inlineStr">
        <is>
          <t>avverkningsanmälan</t>
        </is>
      </c>
      <c r="C32" t="inlineStr">
        <is>
          <t>Föryngringsavverkning</t>
        </is>
      </c>
      <c r="D32" s="1" t="n">
        <v>46206</v>
      </c>
      <c r="E32" s="1" t="n">
        <v>46294</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46294</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46294</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46294</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50492-2025</t>
        </is>
      </c>
      <c r="B36" t="inlineStr">
        <is>
          <t>avverkningsanmälan</t>
        </is>
      </c>
      <c r="C36" t="inlineStr">
        <is>
          <t>Föryngringsavverkning</t>
        </is>
      </c>
      <c r="D36" s="1" t="n">
        <v>45945</v>
      </c>
      <c r="E36" s="1" t="n">
        <v>46294</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56939-2025</t>
        </is>
      </c>
      <c r="B37" t="inlineStr">
        <is>
          <t>avverkningsanmälan</t>
        </is>
      </c>
      <c r="C37" t="inlineStr">
        <is>
          <t>Föryngringsavverkning</t>
        </is>
      </c>
      <c r="D37" s="1" t="n">
        <v>45978</v>
      </c>
      <c r="E37" s="1" t="n">
        <v>46294</v>
      </c>
      <c r="F37" t="inlineStr">
        <is>
          <t>DALARNAS LÄN</t>
        </is>
      </c>
      <c r="G37" t="inlineStr">
        <is>
          <t>ÄLVDALEN</t>
        </is>
      </c>
      <c r="H37" t="inlineStr">
        <is>
          <t>Allmännings- och besparingsskogar</t>
        </is>
      </c>
      <c r="I37" t="n">
        <v>27.1</v>
      </c>
      <c r="J37" t="n">
        <v>7</v>
      </c>
      <c r="K37" t="n">
        <v>3</v>
      </c>
      <c r="L37" t="n">
        <v>6</v>
      </c>
      <c r="M37" t="n">
        <v>2</v>
      </c>
      <c r="N37" t="n">
        <v>0</v>
      </c>
      <c r="O37" t="n">
        <v>0</v>
      </c>
      <c r="P37" t="n">
        <v>0</v>
      </c>
      <c r="Q37" t="n">
        <v>8</v>
      </c>
      <c r="R37" t="n">
        <v>2</v>
      </c>
      <c r="S37" t="n">
        <v>15</v>
      </c>
      <c r="T37" t="n">
        <v>249</v>
      </c>
      <c r="U37" t="n">
        <v>249</v>
      </c>
      <c r="V37" s="2" t="inlineStr">
        <is>
          <t>Garnlav
Knärot
Kolflarnlav
Mörk kolflarnlav
Tretåig hackspett
Ullticka
Vedflamlav
Vedskivlav
Björksplintborre
Mindre märgborre
Plattlummer
Gråspett
Spillkråka
Tjäder
Revlummer</t>
        </is>
      </c>
      <c r="W37">
        <f>HYPERLINK("https://klasma.github.io/Logging_2039/artfynd/A 56939-2025 artfynd.xlsx", "A 56939-2025")</f>
        <v/>
      </c>
      <c r="X37">
        <f>HYPERLINK("https://klasma.github.io/Logging_2039/kartor/A 56939-2025 karta.png", "A 56939-2025")</f>
        <v/>
      </c>
      <c r="Y37">
        <f>HYPERLINK("https://klasma.github.io/Logging_2039/kartor_geotiff/A 56939-2025 georefererad karta.tif", "A 56939-2025")</f>
        <v/>
      </c>
      <c r="Z37">
        <f>HYPERLINK("https://klasma.github.io/Logging_2039/knärot/A 56939-2025 karta knärot.png", "A 56939-2025")</f>
        <v/>
      </c>
      <c r="AA37">
        <f>HYPERLINK("https://klasma.github.io/Logging_2039/klagomål/A 56939-2025 FSC-klagomål.docx", "A 56939-2025")</f>
        <v/>
      </c>
      <c r="AB37">
        <f>HYPERLINK("https://klasma.github.io/Logging_2039/klagomålsmail/A 56939-2025 FSC-klagomål mail.docx", "A 56939-2025")</f>
        <v/>
      </c>
      <c r="AC37">
        <f>HYPERLINK("https://klasma.github.io/Logging_2039/tillsyn/A 56939-2025 tillsynsbegäran.docx", "A 56939-2025")</f>
        <v/>
      </c>
      <c r="AD37">
        <f>HYPERLINK("https://klasma.github.io/Logging_2039/tillsynsmail/A 56939-2025 tillsynsbegäran mail.docx", "A 56939-2025")</f>
        <v/>
      </c>
      <c r="AE37">
        <f>HYPERLINK("https://klasma.github.io/Logging_2039/fåglar/A 56939-2025 prioriterade fågelarter.docx", "A 56939-2025")</f>
        <v/>
      </c>
    </row>
    <row r="38" ht="15" customHeight="1">
      <c r="A38" t="inlineStr">
        <is>
          <t>A 31037-2023</t>
        </is>
      </c>
      <c r="B38" t="inlineStr">
        <is>
          <t>avverkningsanmälan</t>
        </is>
      </c>
      <c r="C38" t="inlineStr">
        <is>
          <t>Föryngringsavverkning</t>
        </is>
      </c>
      <c r="D38" s="1" t="n">
        <v>45113</v>
      </c>
      <c r="E38" s="1" t="n">
        <v>46294</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46294</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46294</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46294</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69728-2021</t>
        </is>
      </c>
      <c r="B42" t="inlineStr">
        <is>
          <t>avverkningsanmälan</t>
        </is>
      </c>
      <c r="C42" t="inlineStr">
        <is>
          <t>Föryngringsavverkning</t>
        </is>
      </c>
      <c r="D42" s="1" t="n">
        <v>44532</v>
      </c>
      <c r="E42" s="1" t="n">
        <v>46294</v>
      </c>
      <c r="F42" t="inlineStr">
        <is>
          <t>DALARNAS LÄN</t>
        </is>
      </c>
      <c r="G42" t="inlineStr">
        <is>
          <t>ÄLVDALEN</t>
        </is>
      </c>
      <c r="I42" t="n">
        <v>19.1</v>
      </c>
      <c r="J42" t="n">
        <v>0</v>
      </c>
      <c r="K42" t="n">
        <v>0</v>
      </c>
      <c r="L42" t="n">
        <v>8</v>
      </c>
      <c r="M42" t="n">
        <v>5</v>
      </c>
      <c r="N42" t="n">
        <v>0</v>
      </c>
      <c r="O42" t="n">
        <v>0</v>
      </c>
      <c r="P42" t="n">
        <v>0</v>
      </c>
      <c r="Q42" t="n">
        <v>13</v>
      </c>
      <c r="R42" t="n">
        <v>5</v>
      </c>
      <c r="S42" t="n">
        <v>13</v>
      </c>
      <c r="T42" t="n">
        <v>41</v>
      </c>
      <c r="U42" t="n">
        <v>29</v>
      </c>
      <c r="V42" s="2" t="inlineStr">
        <is>
          <t>Barrgråtagging
Fläckporing
Gräddporing
Skrovlig taggsvamp
Smalfotad taggsvamp
Blanksvart spiklav
Dropptaggsvamp
Dvärgbägarlav
Kolflarnlav
Mörk kolflarnlav
Nordtagging
Orange taggsvamp
Vedskivlav</t>
        </is>
      </c>
      <c r="W42">
        <f>HYPERLINK("https://klasma.github.io/Logging_2039/artfynd/A 69728-2021 artfynd.xlsx", "A 69728-2021")</f>
        <v/>
      </c>
      <c r="X42">
        <f>HYPERLINK("https://klasma.github.io/Logging_2039/kartor/A 69728-2021 karta.png", "A 69728-2021")</f>
        <v/>
      </c>
      <c r="Y42">
        <f>HYPERLINK("https://klasma.github.io/Logging_2039/kartor_geotiff/A 69728-2021 georefererad karta.tif", "A 69728-2021")</f>
        <v/>
      </c>
      <c r="AA42">
        <f>HYPERLINK("https://klasma.github.io/Logging_2039/klagomål/A 69728-2021 FSC-klagomål.docx", "A 69728-2021")</f>
        <v/>
      </c>
      <c r="AB42">
        <f>HYPERLINK("https://klasma.github.io/Logging_2039/klagomålsmail/A 69728-2021 FSC-klagomål mail.docx", "A 69728-2021")</f>
        <v/>
      </c>
      <c r="AC42">
        <f>HYPERLINK("https://klasma.github.io/Logging_2039/tillsyn/A 69728-2021 tillsynsbegäran.docx", "A 69728-2021")</f>
        <v/>
      </c>
      <c r="AD42">
        <f>HYPERLINK("https://klasma.github.io/Logging_2039/tillsynsmail/A 69728-2021 tillsynsbegäran mail.docx", "A 69728-2021")</f>
        <v/>
      </c>
    </row>
    <row r="43" ht="15" customHeight="1">
      <c r="A43" t="inlineStr">
        <is>
          <t>A 7021-2026</t>
        </is>
      </c>
      <c r="B43" t="inlineStr">
        <is>
          <t>avverkningsanmälan</t>
        </is>
      </c>
      <c r="C43" t="inlineStr">
        <is>
          <t>Föryngringsavverkning</t>
        </is>
      </c>
      <c r="D43" s="1" t="n">
        <v>46057</v>
      </c>
      <c r="E43" s="1" t="n">
        <v>46294</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46294</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46294</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46294</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57095-2025</t>
        </is>
      </c>
      <c r="B47" t="inlineStr">
        <is>
          <t>avverkningsanmälan</t>
        </is>
      </c>
      <c r="C47" t="inlineStr">
        <is>
          <t>Föryngringsavverkning</t>
        </is>
      </c>
      <c r="D47" s="1" t="n">
        <v>45979</v>
      </c>
      <c r="E47" s="1" t="n">
        <v>46294</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33528-2026</t>
        </is>
      </c>
      <c r="B48" t="inlineStr">
        <is>
          <t>avverkningsanmälan</t>
        </is>
      </c>
      <c r="C48" t="inlineStr">
        <is>
          <t>Föryngringsavverkning</t>
        </is>
      </c>
      <c r="D48" s="1" t="n">
        <v>46248</v>
      </c>
      <c r="E48" s="1" t="n">
        <v>46294</v>
      </c>
      <c r="F48" t="inlineStr">
        <is>
          <t>DALARNAS LÄN</t>
        </is>
      </c>
      <c r="G48" t="inlineStr">
        <is>
          <t>ÄLVDALEN</t>
        </is>
      </c>
      <c r="I48" t="n">
        <v>10.4</v>
      </c>
      <c r="J48" t="n">
        <v>6</v>
      </c>
      <c r="K48" t="n">
        <v>1</v>
      </c>
      <c r="L48" t="n">
        <v>6</v>
      </c>
      <c r="M48" t="n">
        <v>1</v>
      </c>
      <c r="N48" t="n">
        <v>0</v>
      </c>
      <c r="O48" t="n">
        <v>0</v>
      </c>
      <c r="P48" t="n">
        <v>0</v>
      </c>
      <c r="Q48" t="n">
        <v>7</v>
      </c>
      <c r="R48" t="n">
        <v>1</v>
      </c>
      <c r="S48" t="n">
        <v>13</v>
      </c>
      <c r="T48" t="n">
        <v>167</v>
      </c>
      <c r="U48" t="n">
        <v>25</v>
      </c>
      <c r="V48" s="2" t="inlineStr">
        <is>
          <t>Garnlav
Dropptaggsvamp
Skogshare
Tallticka
Talltita
Vedskivlav
Violettgrå tagellav
Mindre märgborre
Bergfink
Spillkråka
Tjäder
Tofsmes
Kungsfågel</t>
        </is>
      </c>
      <c r="W48">
        <f>HYPERLINK("https://klasma.github.io/Logging_2039/artfynd/A 33528-2026 artfynd.xlsx", "A 33528-2026")</f>
        <v/>
      </c>
      <c r="X48">
        <f>HYPERLINK("https://klasma.github.io/Logging_2039/kartor/A 33528-2026 karta.png", "A 33528-2026")</f>
        <v/>
      </c>
      <c r="Y48">
        <f>HYPERLINK("https://klasma.github.io/Logging_2039/kartor_geotiff/A 33528-2026 georefererad karta.tif", "A 33528-2026")</f>
        <v/>
      </c>
      <c r="AA48">
        <f>HYPERLINK("https://klasma.github.io/Logging_2039/klagomål/A 33528-2026 FSC-klagomål.docx", "A 33528-2026")</f>
        <v/>
      </c>
      <c r="AB48">
        <f>HYPERLINK("https://klasma.github.io/Logging_2039/klagomålsmail/A 33528-2026 FSC-klagomål mail.docx", "A 33528-2026")</f>
        <v/>
      </c>
      <c r="AC48">
        <f>HYPERLINK("https://klasma.github.io/Logging_2039/tillsyn/A 33528-2026 tillsynsbegäran.docx", "A 33528-2026")</f>
        <v/>
      </c>
      <c r="AD48">
        <f>HYPERLINK("https://klasma.github.io/Logging_2039/tillsynsmail/A 33528-2026 tillsynsbegäran mail.docx", "A 33528-2026")</f>
        <v/>
      </c>
      <c r="AE48">
        <f>HYPERLINK("https://klasma.github.io/Logging_2039/fåglar/A 33528-2026 prioriterade fågelarter.docx", "A 33528-2026")</f>
        <v/>
      </c>
    </row>
    <row r="49" ht="15" customHeight="1">
      <c r="A49" t="inlineStr">
        <is>
          <t>A 47008-2025</t>
        </is>
      </c>
      <c r="B49" t="inlineStr">
        <is>
          <t>avverkningsanmälan</t>
        </is>
      </c>
      <c r="C49" t="inlineStr">
        <is>
          <t>Föryngringsavverkning</t>
        </is>
      </c>
      <c r="D49" s="1" t="n">
        <v>45929</v>
      </c>
      <c r="E49" s="1" t="n">
        <v>46294</v>
      </c>
      <c r="F49" t="inlineStr">
        <is>
          <t>DALARNAS LÄN</t>
        </is>
      </c>
      <c r="G49" t="inlineStr">
        <is>
          <t>ÄLVDALEN</t>
        </is>
      </c>
      <c r="H49" t="inlineStr">
        <is>
          <t>Allmännings- och besparingsskogar</t>
        </is>
      </c>
      <c r="I49" t="n">
        <v>4.6</v>
      </c>
      <c r="J49" t="n">
        <v>5</v>
      </c>
      <c r="K49" t="n">
        <v>0</v>
      </c>
      <c r="L49" t="n">
        <v>8</v>
      </c>
      <c r="M49" t="n">
        <v>1</v>
      </c>
      <c r="N49" t="n">
        <v>0</v>
      </c>
      <c r="O49" t="n">
        <v>0</v>
      </c>
      <c r="P49" t="n">
        <v>0</v>
      </c>
      <c r="Q49" t="n">
        <v>9</v>
      </c>
      <c r="R49" t="n">
        <v>1</v>
      </c>
      <c r="S49" t="n">
        <v>12</v>
      </c>
      <c r="T49" t="n">
        <v>103</v>
      </c>
      <c r="U49" t="n">
        <v>103</v>
      </c>
      <c r="V49" s="2" t="inlineStr">
        <is>
          <t>Garnlav
Dvärgbägarlav
Kolflarnlav
Mörk kolflarnlav
Tallticka
Talltita
Tretåig hackspett
Vedflamlav
Vedskivlav
Spillkråka
Tjäder
Orre</t>
        </is>
      </c>
      <c r="W49">
        <f>HYPERLINK("https://klasma.github.io/Logging_2039/artfynd/A 47008-2025 artfynd.xlsx", "A 47008-2025")</f>
        <v/>
      </c>
      <c r="X49">
        <f>HYPERLINK("https://klasma.github.io/Logging_2039/kartor/A 47008-2025 karta.png", "A 47008-2025")</f>
        <v/>
      </c>
      <c r="Y49">
        <f>HYPERLINK("https://klasma.github.io/Logging_2039/kartor_geotiff/A 47008-2025 georefererad karta.tif", "A 47008-2025")</f>
        <v/>
      </c>
      <c r="AA49">
        <f>HYPERLINK("https://klasma.github.io/Logging_2039/klagomål/A 47008-2025 FSC-klagomål.docx", "A 47008-2025")</f>
        <v/>
      </c>
      <c r="AB49">
        <f>HYPERLINK("https://klasma.github.io/Logging_2039/klagomålsmail/A 47008-2025 FSC-klagomål mail.docx", "A 47008-2025")</f>
        <v/>
      </c>
      <c r="AC49">
        <f>HYPERLINK("https://klasma.github.io/Logging_2039/tillsyn/A 47008-2025 tillsynsbegäran.docx", "A 47008-2025")</f>
        <v/>
      </c>
      <c r="AD49">
        <f>HYPERLINK("https://klasma.github.io/Logging_2039/tillsynsmail/A 47008-2025 tillsynsbegäran mail.docx", "A 47008-2025")</f>
        <v/>
      </c>
      <c r="AE49">
        <f>HYPERLINK("https://klasma.github.io/Logging_2039/fåglar/A 47008-2025 prioriterade fågelarter.docx", "A 47008-2025")</f>
        <v/>
      </c>
    </row>
    <row r="50" ht="15" customHeight="1">
      <c r="A50" t="inlineStr">
        <is>
          <t>A 31658-2025</t>
        </is>
      </c>
      <c r="B50" t="inlineStr">
        <is>
          <t>avverkningsanmälan</t>
        </is>
      </c>
      <c r="C50" t="inlineStr">
        <is>
          <t>Föryngringsavverkning</t>
        </is>
      </c>
      <c r="D50" s="1" t="n">
        <v>45834</v>
      </c>
      <c r="E50" s="1" t="n">
        <v>46294</v>
      </c>
      <c r="F50" t="inlineStr">
        <is>
          <t>DALARNAS LÄN</t>
        </is>
      </c>
      <c r="G50" t="inlineStr">
        <is>
          <t>ÄLVDALEN</t>
        </is>
      </c>
      <c r="H50" t="inlineStr">
        <is>
          <t>Allmännings- och besparingsskogar</t>
        </is>
      </c>
      <c r="I50" t="n">
        <v>0.7</v>
      </c>
      <c r="J50" t="n">
        <v>2</v>
      </c>
      <c r="K50" t="n">
        <v>1</v>
      </c>
      <c r="L50" t="n">
        <v>11</v>
      </c>
      <c r="M50" t="n">
        <v>0</v>
      </c>
      <c r="N50" t="n">
        <v>0</v>
      </c>
      <c r="O50" t="n">
        <v>0</v>
      </c>
      <c r="P50" t="n">
        <v>0</v>
      </c>
      <c r="Q50" t="n">
        <v>11</v>
      </c>
      <c r="R50" t="n">
        <v>0</v>
      </c>
      <c r="S50" t="n">
        <v>12</v>
      </c>
      <c r="T50" t="n">
        <v>27</v>
      </c>
      <c r="U50" t="n">
        <v>27</v>
      </c>
      <c r="V50" s="2" t="inlineStr">
        <is>
          <t>Blanksvart spiklav
Blågrå svartspik
Dvärgbägarlav
Kolflarnlav
Mörk kolflarnlav
Nordtagging
Skrovellav
Talltita
Tretåig hackspett
Vedflamlav
Vedskivlav
Vedticka</t>
        </is>
      </c>
      <c r="W50">
        <f>HYPERLINK("https://klasma.github.io/Logging_2039/artfynd/A 31658-2025 artfynd.xlsx", "A 31658-2025")</f>
        <v/>
      </c>
      <c r="X50">
        <f>HYPERLINK("https://klasma.github.io/Logging_2039/kartor/A 31658-2025 karta.png", "A 31658-2025")</f>
        <v/>
      </c>
      <c r="Y50">
        <f>HYPERLINK("https://klasma.github.io/Logging_2039/kartor_geotiff/A 31658-2025 georefererad karta.tif", "A 31658-2025")</f>
        <v/>
      </c>
      <c r="AA50">
        <f>HYPERLINK("https://klasma.github.io/Logging_2039/klagomål/A 31658-2025 FSC-klagomål.docx", "A 31658-2025")</f>
        <v/>
      </c>
      <c r="AB50">
        <f>HYPERLINK("https://klasma.github.io/Logging_2039/klagomålsmail/A 31658-2025 FSC-klagomål mail.docx", "A 31658-2025")</f>
        <v/>
      </c>
      <c r="AC50">
        <f>HYPERLINK("https://klasma.github.io/Logging_2039/tillsyn/A 31658-2025 tillsynsbegäran.docx", "A 31658-2025")</f>
        <v/>
      </c>
      <c r="AD50">
        <f>HYPERLINK("https://klasma.github.io/Logging_2039/tillsynsmail/A 31658-2025 tillsynsbegäran mail.docx", "A 31658-2025")</f>
        <v/>
      </c>
      <c r="AE50">
        <f>HYPERLINK("https://klasma.github.io/Logging_2039/fåglar/A 31658-2025 prioriterade fågelarter.docx", "A 31658-2025")</f>
        <v/>
      </c>
    </row>
    <row r="51" ht="15" customHeight="1">
      <c r="A51" t="inlineStr">
        <is>
          <t>A 16370-2024</t>
        </is>
      </c>
      <c r="B51" t="inlineStr">
        <is>
          <t>avverkningsanmälan</t>
        </is>
      </c>
      <c r="C51" t="inlineStr">
        <is>
          <t>Föryngringsavverkning</t>
        </is>
      </c>
      <c r="D51" s="1" t="n">
        <v>45407</v>
      </c>
      <c r="E51" s="1" t="n">
        <v>46294</v>
      </c>
      <c r="F51" t="inlineStr">
        <is>
          <t>DALARNAS LÄN</t>
        </is>
      </c>
      <c r="G51" t="inlineStr">
        <is>
          <t>ÄLVDALEN</t>
        </is>
      </c>
      <c r="H51" t="inlineStr">
        <is>
          <t>Sveaskog</t>
        </is>
      </c>
      <c r="I51" t="n">
        <v>11.8</v>
      </c>
      <c r="J51" t="n">
        <v>2</v>
      </c>
      <c r="K51" t="n">
        <v>1</v>
      </c>
      <c r="L51" t="n">
        <v>8</v>
      </c>
      <c r="M51" t="n">
        <v>3</v>
      </c>
      <c r="N51" t="n">
        <v>0</v>
      </c>
      <c r="O51" t="n">
        <v>0</v>
      </c>
      <c r="P51" t="n">
        <v>0</v>
      </c>
      <c r="Q51" t="n">
        <v>11</v>
      </c>
      <c r="R51" t="n">
        <v>3</v>
      </c>
      <c r="S51" t="n">
        <v>12</v>
      </c>
      <c r="T51" t="n">
        <v>32</v>
      </c>
      <c r="U51" t="n">
        <v>8</v>
      </c>
      <c r="V51" s="2" t="inlineStr">
        <is>
          <t>Fläckporing
Garnlav
Gräddporing
Bläsand
Dropptaggsvamp
Dvärgbägarlav
Knottrig blåslav
Lavskrika
Lunglav
Mörk kolflarnlav
Skrovellav
Stuplav</t>
        </is>
      </c>
      <c r="W51">
        <f>HYPERLINK("https://klasma.github.io/Logging_2039/artfynd/A 16370-2024 artfynd.xlsx", "A 16370-2024")</f>
        <v/>
      </c>
      <c r="X51">
        <f>HYPERLINK("https://klasma.github.io/Logging_2039/kartor/A 16370-2024 karta.png", "A 16370-2024")</f>
        <v/>
      </c>
      <c r="Y51">
        <f>HYPERLINK("https://klasma.github.io/Logging_2039/kartor_geotiff/A 16370-2024 georefererad karta.tif", "A 16370-2024")</f>
        <v/>
      </c>
      <c r="AA51">
        <f>HYPERLINK("https://klasma.github.io/Logging_2039/klagomål/A 16370-2024 FSC-klagomål.docx", "A 16370-2024")</f>
        <v/>
      </c>
      <c r="AB51">
        <f>HYPERLINK("https://klasma.github.io/Logging_2039/klagomålsmail/A 16370-2024 FSC-klagomål mail.docx", "A 16370-2024")</f>
        <v/>
      </c>
      <c r="AC51">
        <f>HYPERLINK("https://klasma.github.io/Logging_2039/tillsyn/A 16370-2024 tillsynsbegäran.docx", "A 16370-2024")</f>
        <v/>
      </c>
      <c r="AD51">
        <f>HYPERLINK("https://klasma.github.io/Logging_2039/tillsynsmail/A 16370-2024 tillsynsbegäran mail.docx", "A 16370-2024")</f>
        <v/>
      </c>
      <c r="AE51">
        <f>HYPERLINK("https://klasma.github.io/Logging_2039/fåglar/A 16370-2024 prioriterade fågelarter.docx", "A 16370-2024")</f>
        <v/>
      </c>
    </row>
    <row r="52" ht="15" customHeight="1">
      <c r="A52" t="inlineStr">
        <is>
          <t>A 6098-2026</t>
        </is>
      </c>
      <c r="B52" t="inlineStr">
        <is>
          <t>avverkningsanmälan</t>
        </is>
      </c>
      <c r="C52" t="inlineStr">
        <is>
          <t>Föryngringsavverkning</t>
        </is>
      </c>
      <c r="D52" s="1" t="n">
        <v>46052</v>
      </c>
      <c r="E52" s="1" t="n">
        <v>46294</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46294</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46294</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46294</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46294</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46294</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49247-2025</t>
        </is>
      </c>
      <c r="B58" t="inlineStr">
        <is>
          <t>avverkningsanmälan</t>
        </is>
      </c>
      <c r="C58" t="inlineStr">
        <is>
          <t>Föryngringsavverkning</t>
        </is>
      </c>
      <c r="D58" s="1" t="n">
        <v>45938</v>
      </c>
      <c r="E58" s="1" t="n">
        <v>46294</v>
      </c>
      <c r="F58" t="inlineStr">
        <is>
          <t>DALARNAS LÄN</t>
        </is>
      </c>
      <c r="G58" t="inlineStr">
        <is>
          <t>ÄLVDALEN</t>
        </is>
      </c>
      <c r="H58" t="inlineStr">
        <is>
          <t>Allmännings- och besparingsskogar</t>
        </is>
      </c>
      <c r="I58" t="n">
        <v>19</v>
      </c>
      <c r="J58" t="n">
        <v>3</v>
      </c>
      <c r="K58" t="n">
        <v>1</v>
      </c>
      <c r="L58" t="n">
        <v>8</v>
      </c>
      <c r="M58" t="n">
        <v>1</v>
      </c>
      <c r="N58" t="n">
        <v>0</v>
      </c>
      <c r="O58" t="n">
        <v>0</v>
      </c>
      <c r="P58" t="n">
        <v>0</v>
      </c>
      <c r="Q58" t="n">
        <v>9</v>
      </c>
      <c r="R58" t="n">
        <v>1</v>
      </c>
      <c r="S58" t="n">
        <v>12</v>
      </c>
      <c r="T58" t="n">
        <v>170</v>
      </c>
      <c r="U58" t="n">
        <v>170</v>
      </c>
      <c r="V58" s="2" t="inlineStr">
        <is>
          <t>Garnlav
Doftskinn
Kolflarnlav
Mörk kolflarnlav
Tallticka
Tretåig hackspett
Ullticka
Vedflamlav
Vedskivlav
Mindre märgborre
Spillkråka
Kungsfågel</t>
        </is>
      </c>
      <c r="W58">
        <f>HYPERLINK("https://klasma.github.io/Logging_2039/artfynd/A 49247-2025 artfynd.xlsx", "A 49247-2025")</f>
        <v/>
      </c>
      <c r="X58">
        <f>HYPERLINK("https://klasma.github.io/Logging_2039/kartor/A 49247-2025 karta.png", "A 49247-2025")</f>
        <v/>
      </c>
      <c r="Y58">
        <f>HYPERLINK("https://klasma.github.io/Logging_2039/kartor_geotiff/A 49247-2025 georefererad karta.tif", "A 49247-2025")</f>
        <v/>
      </c>
      <c r="AA58">
        <f>HYPERLINK("https://klasma.github.io/Logging_2039/klagomål/A 49247-2025 FSC-klagomål.docx", "A 49247-2025")</f>
        <v/>
      </c>
      <c r="AB58">
        <f>HYPERLINK("https://klasma.github.io/Logging_2039/klagomålsmail/A 49247-2025 FSC-klagomål mail.docx", "A 49247-2025")</f>
        <v/>
      </c>
      <c r="AC58">
        <f>HYPERLINK("https://klasma.github.io/Logging_2039/tillsyn/A 49247-2025 tillsynsbegäran.docx", "A 49247-2025")</f>
        <v/>
      </c>
      <c r="AD58">
        <f>HYPERLINK("https://klasma.github.io/Logging_2039/tillsynsmail/A 49247-2025 tillsynsbegäran mail.docx", "A 49247-2025")</f>
        <v/>
      </c>
      <c r="AE58">
        <f>HYPERLINK("https://klasma.github.io/Logging_2039/fåglar/A 49247-2025 prioriterade fågelarter.docx", "A 49247-2025")</f>
        <v/>
      </c>
    </row>
    <row r="59" ht="15" customHeight="1">
      <c r="A59" t="inlineStr">
        <is>
          <t>A 37730-2023</t>
        </is>
      </c>
      <c r="B59" t="inlineStr">
        <is>
          <t>avverkningsanmälan</t>
        </is>
      </c>
      <c r="C59" t="inlineStr">
        <is>
          <t>Föryngringsavverkning</t>
        </is>
      </c>
      <c r="D59" s="1" t="n">
        <v>45159</v>
      </c>
      <c r="E59" s="1" t="n">
        <v>46294</v>
      </c>
      <c r="F59" t="inlineStr">
        <is>
          <t>DALARNAS LÄN</t>
        </is>
      </c>
      <c r="G59" t="inlineStr">
        <is>
          <t>ÄLVDALEN</t>
        </is>
      </c>
      <c r="I59" t="n">
        <v>5.4</v>
      </c>
      <c r="J59" t="n">
        <v>4</v>
      </c>
      <c r="K59" t="n">
        <v>2</v>
      </c>
      <c r="L59" t="n">
        <v>6</v>
      </c>
      <c r="M59" t="n">
        <v>2</v>
      </c>
      <c r="N59" t="n">
        <v>0</v>
      </c>
      <c r="O59" t="n">
        <v>0</v>
      </c>
      <c r="P59" t="n">
        <v>0</v>
      </c>
      <c r="Q59" t="n">
        <v>8</v>
      </c>
      <c r="R59" t="n">
        <v>2</v>
      </c>
      <c r="S59" t="n">
        <v>12</v>
      </c>
      <c r="T59" t="n">
        <v>63</v>
      </c>
      <c r="U59" t="n">
        <v>63</v>
      </c>
      <c r="V59" s="2" t="inlineStr">
        <is>
          <t>Garnlav
Knärot
Dropptaggsvamp
Mörk kolflarnlav
Tallfingersvamp
Tretåig hackspett
Violettgrå tagellav
Vitgrynig nållav
Bronshjon
Luddlav
Spillkråka
Revlummer</t>
        </is>
      </c>
      <c r="W59">
        <f>HYPERLINK("https://klasma.github.io/Logging_2039/artfynd/A 37730-2023 artfynd.xlsx", "A 37730-2023")</f>
        <v/>
      </c>
      <c r="X59">
        <f>HYPERLINK("https://klasma.github.io/Logging_2039/kartor/A 37730-2023 karta.png", "A 37730-2023")</f>
        <v/>
      </c>
      <c r="Y59">
        <f>HYPERLINK("https://klasma.github.io/Logging_2039/kartor_geotiff/A 37730-2023 georefererad karta.tif", "A 37730-2023")</f>
        <v/>
      </c>
      <c r="Z59">
        <f>HYPERLINK("https://klasma.github.io/Logging_2039/knärot/A 37730-2023 karta knärot.png", "A 37730-2023")</f>
        <v/>
      </c>
      <c r="AA59">
        <f>HYPERLINK("https://klasma.github.io/Logging_2039/klagomål/A 37730-2023 FSC-klagomål.docx", "A 37730-2023")</f>
        <v/>
      </c>
      <c r="AB59">
        <f>HYPERLINK("https://klasma.github.io/Logging_2039/klagomålsmail/A 37730-2023 FSC-klagomål mail.docx", "A 37730-2023")</f>
        <v/>
      </c>
      <c r="AC59">
        <f>HYPERLINK("https://klasma.github.io/Logging_2039/tillsyn/A 37730-2023 tillsynsbegäran.docx", "A 37730-2023")</f>
        <v/>
      </c>
      <c r="AD59">
        <f>HYPERLINK("https://klasma.github.io/Logging_2039/tillsynsmail/A 37730-2023 tillsynsbegäran mail.docx", "A 37730-2023")</f>
        <v/>
      </c>
      <c r="AE59">
        <f>HYPERLINK("https://klasma.github.io/Logging_2039/fåglar/A 37730-2023 prioriterade fågelarter.docx", "A 37730-2023")</f>
        <v/>
      </c>
    </row>
    <row r="60" ht="15" customHeight="1">
      <c r="A60" t="inlineStr">
        <is>
          <t>A 43867-2025</t>
        </is>
      </c>
      <c r="B60" t="inlineStr">
        <is>
          <t>avverkningsanmälan</t>
        </is>
      </c>
      <c r="C60" t="inlineStr">
        <is>
          <t>Föryngringsavverkning</t>
        </is>
      </c>
      <c r="D60" s="1" t="n">
        <v>45912</v>
      </c>
      <c r="E60" s="1" t="n">
        <v>46294</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46294</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46294</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46294</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46294</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46294</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61999-2025</t>
        </is>
      </c>
      <c r="B66" t="inlineStr">
        <is>
          <t>avverkningsanmälan</t>
        </is>
      </c>
      <c r="C66" t="inlineStr">
        <is>
          <t>Föryngringsavverkning</t>
        </is>
      </c>
      <c r="D66" s="1" t="n">
        <v>46003</v>
      </c>
      <c r="E66" s="1" t="n">
        <v>46294</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41753-2025</t>
        </is>
      </c>
      <c r="B67" t="inlineStr">
        <is>
          <t>avverkningsanmälan</t>
        </is>
      </c>
      <c r="C67" t="inlineStr">
        <is>
          <t>Föryngringsavverkning</t>
        </is>
      </c>
      <c r="D67" s="1" t="n">
        <v>45902</v>
      </c>
      <c r="E67" s="1" t="n">
        <v>46294</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38582-2023</t>
        </is>
      </c>
      <c r="B68" t="inlineStr">
        <is>
          <t>avverkningsanmälan</t>
        </is>
      </c>
      <c r="C68" t="inlineStr">
        <is>
          <t>Föryngringsavverkning</t>
        </is>
      </c>
      <c r="D68" s="1" t="n">
        <v>45162</v>
      </c>
      <c r="E68" s="1" t="n">
        <v>46294</v>
      </c>
      <c r="F68" t="inlineStr">
        <is>
          <t>DALARNAS LÄN</t>
        </is>
      </c>
      <c r="G68" t="inlineStr">
        <is>
          <t>ÄLVDALEN</t>
        </is>
      </c>
      <c r="H68" t="inlineStr">
        <is>
          <t>Sveaskog</t>
        </is>
      </c>
      <c r="I68" t="n">
        <v>4.4</v>
      </c>
      <c r="J68" t="n">
        <v>2</v>
      </c>
      <c r="K68" t="n">
        <v>1</v>
      </c>
      <c r="L68" t="n">
        <v>8</v>
      </c>
      <c r="M68" t="n">
        <v>1</v>
      </c>
      <c r="N68" t="n">
        <v>0</v>
      </c>
      <c r="O68" t="n">
        <v>0</v>
      </c>
      <c r="P68" t="n">
        <v>0</v>
      </c>
      <c r="Q68" t="n">
        <v>9</v>
      </c>
      <c r="R68" t="n">
        <v>1</v>
      </c>
      <c r="S68" t="n">
        <v>10</v>
      </c>
      <c r="T68" t="n">
        <v>10</v>
      </c>
      <c r="U68" t="n">
        <v>6</v>
      </c>
      <c r="V68" s="2" t="inlineStr">
        <is>
          <t>Gräddporing
Blanksvart spiklav
Blå taggsvamp
Dropptaggsvamp
Kolflarnlav
Mörk kolflarnlav
Skarp dropptaggsvamp
Varglav
Vedskivlav
Plattlummer</t>
        </is>
      </c>
      <c r="W68">
        <f>HYPERLINK("https://klasma.github.io/Logging_2039/artfynd/A 38582-2023 artfynd.xlsx", "A 38582-2023")</f>
        <v/>
      </c>
      <c r="X68">
        <f>HYPERLINK("https://klasma.github.io/Logging_2039/kartor/A 38582-2023 karta.png", "A 38582-2023")</f>
        <v/>
      </c>
      <c r="Y68">
        <f>HYPERLINK("https://klasma.github.io/Logging_2039/kartor_geotiff/A 38582-2023 georefererad karta.tif", "A 38582-2023")</f>
        <v/>
      </c>
      <c r="AA68">
        <f>HYPERLINK("https://klasma.github.io/Logging_2039/klagomål/A 38582-2023 FSC-klagomål.docx", "A 38582-2023")</f>
        <v/>
      </c>
      <c r="AB68">
        <f>HYPERLINK("https://klasma.github.io/Logging_2039/klagomålsmail/A 38582-2023 FSC-klagomål mail.docx", "A 38582-2023")</f>
        <v/>
      </c>
      <c r="AC68">
        <f>HYPERLINK("https://klasma.github.io/Logging_2039/tillsyn/A 38582-2023 tillsynsbegäran.docx", "A 38582-2023")</f>
        <v/>
      </c>
      <c r="AD68">
        <f>HYPERLINK("https://klasma.github.io/Logging_2039/tillsynsmail/A 38582-2023 tillsynsbegäran mail.docx", "A 38582-2023")</f>
        <v/>
      </c>
    </row>
    <row r="69" ht="15" customHeight="1">
      <c r="A69" t="inlineStr">
        <is>
          <t>A 2221-2026</t>
        </is>
      </c>
      <c r="B69" t="inlineStr">
        <is>
          <t>avverkningsanmälan</t>
        </is>
      </c>
      <c r="C69" t="inlineStr">
        <is>
          <t>Föryngringsavverkning</t>
        </is>
      </c>
      <c r="D69" s="1" t="n">
        <v>46036</v>
      </c>
      <c r="E69" s="1" t="n">
        <v>46294</v>
      </c>
      <c r="F69" t="inlineStr">
        <is>
          <t>DALARNAS LÄN</t>
        </is>
      </c>
      <c r="G69" t="inlineStr">
        <is>
          <t>ÄLVDALEN</t>
        </is>
      </c>
      <c r="H69" t="inlineStr">
        <is>
          <t>Allmännings- och besparingsskogar</t>
        </is>
      </c>
      <c r="I69" t="n">
        <v>3</v>
      </c>
      <c r="J69" t="n">
        <v>3</v>
      </c>
      <c r="K69" t="n">
        <v>1</v>
      </c>
      <c r="L69" t="n">
        <v>7</v>
      </c>
      <c r="M69" t="n">
        <v>1</v>
      </c>
      <c r="N69" t="n">
        <v>0</v>
      </c>
      <c r="O69" t="n">
        <v>0</v>
      </c>
      <c r="P69" t="n">
        <v>0</v>
      </c>
      <c r="Q69" t="n">
        <v>8</v>
      </c>
      <c r="R69" t="n">
        <v>1</v>
      </c>
      <c r="S69" t="n">
        <v>10</v>
      </c>
      <c r="T69" t="n">
        <v>25</v>
      </c>
      <c r="U69" t="n">
        <v>0</v>
      </c>
      <c r="V69" s="2" t="inlineStr">
        <is>
          <t>Garnlav
Blanksvart spiklav
Kolflarnlav
Mörk kolflarnlav
Tretåig hackspett
Varglav
Vedflamlav
Vedskivlav
Vågbandad barkbock
Orre</t>
        </is>
      </c>
      <c r="W69">
        <f>HYPERLINK("https://klasma.github.io/Logging_2039/artfynd/A 2221-2026 artfynd.xlsx", "A 2221-2026")</f>
        <v/>
      </c>
      <c r="X69">
        <f>HYPERLINK("https://klasma.github.io/Logging_2039/kartor/A 2221-2026 karta.png", "A 2221-2026")</f>
        <v/>
      </c>
      <c r="Y69">
        <f>HYPERLINK("https://klasma.github.io/Logging_2039/kartor_geotiff/A 2221-2026 georefererad karta.tif", "A 2221-2026")</f>
        <v/>
      </c>
      <c r="AA69">
        <f>HYPERLINK("https://klasma.github.io/Logging_2039/klagomål/A 2221-2026 FSC-klagomål.docx", "A 2221-2026")</f>
        <v/>
      </c>
      <c r="AB69">
        <f>HYPERLINK("https://klasma.github.io/Logging_2039/klagomålsmail/A 2221-2026 FSC-klagomål mail.docx", "A 2221-2026")</f>
        <v/>
      </c>
      <c r="AC69">
        <f>HYPERLINK("https://klasma.github.io/Logging_2039/tillsyn/A 2221-2026 tillsynsbegäran.docx", "A 2221-2026")</f>
        <v/>
      </c>
      <c r="AD69">
        <f>HYPERLINK("https://klasma.github.io/Logging_2039/tillsynsmail/A 2221-2026 tillsynsbegäran mail.docx", "A 2221-2026")</f>
        <v/>
      </c>
      <c r="AE69">
        <f>HYPERLINK("https://klasma.github.io/Logging_2039/fåglar/A 2221-2026 prioriterade fågelarter.docx", "A 2221-2026")</f>
        <v/>
      </c>
    </row>
    <row r="70" ht="15" customHeight="1">
      <c r="A70" t="inlineStr">
        <is>
          <t>A 23427-2025</t>
        </is>
      </c>
      <c r="B70" t="inlineStr">
        <is>
          <t>avverkningsanmälan</t>
        </is>
      </c>
      <c r="C70" t="inlineStr">
        <is>
          <t>Föryngringsavverkning</t>
        </is>
      </c>
      <c r="D70" s="1" t="n">
        <v>45792</v>
      </c>
      <c r="E70" s="1" t="n">
        <v>46294</v>
      </c>
      <c r="F70" t="inlineStr">
        <is>
          <t>DALARNAS LÄN</t>
        </is>
      </c>
      <c r="G70" t="inlineStr">
        <is>
          <t>ÄLVDALEN</t>
        </is>
      </c>
      <c r="H70" t="inlineStr">
        <is>
          <t>Bergvik skog väst AB</t>
        </is>
      </c>
      <c r="I70" t="n">
        <v>11.7</v>
      </c>
      <c r="J70" t="n">
        <v>5</v>
      </c>
      <c r="K70" t="n">
        <v>1</v>
      </c>
      <c r="L70" t="n">
        <v>5</v>
      </c>
      <c r="M70" t="n">
        <v>1</v>
      </c>
      <c r="N70" t="n">
        <v>0</v>
      </c>
      <c r="O70" t="n">
        <v>0</v>
      </c>
      <c r="P70" t="n">
        <v>0</v>
      </c>
      <c r="Q70" t="n">
        <v>6</v>
      </c>
      <c r="R70" t="n">
        <v>1</v>
      </c>
      <c r="S70" t="n">
        <v>10</v>
      </c>
      <c r="T70" t="n">
        <v>18</v>
      </c>
      <c r="U70" t="n">
        <v>18</v>
      </c>
      <c r="V70" s="2" t="inlineStr">
        <is>
          <t>Garnlav
Blanksvart spiklav
Blågrå svartspik
Tretåig hackspett
Varglav
Vedflamlav
Bronshjon
Tjäder
Fläcknycklar
Revlummer</t>
        </is>
      </c>
      <c r="W70">
        <f>HYPERLINK("https://klasma.github.io/Logging_2039/artfynd/A 23427-2025 artfynd.xlsx", "A 23427-2025")</f>
        <v/>
      </c>
      <c r="X70">
        <f>HYPERLINK("https://klasma.github.io/Logging_2039/kartor/A 23427-2025 karta.png", "A 23427-2025")</f>
        <v/>
      </c>
      <c r="Y70">
        <f>HYPERLINK("https://klasma.github.io/Logging_2039/kartor_geotiff/A 23427-2025 georefererad karta.tif", "A 23427-2025")</f>
        <v/>
      </c>
      <c r="AA70">
        <f>HYPERLINK("https://klasma.github.io/Logging_2039/klagomål/A 23427-2025 FSC-klagomål.docx", "A 23427-2025")</f>
        <v/>
      </c>
      <c r="AB70">
        <f>HYPERLINK("https://klasma.github.io/Logging_2039/klagomålsmail/A 23427-2025 FSC-klagomål mail.docx", "A 23427-2025")</f>
        <v/>
      </c>
      <c r="AC70">
        <f>HYPERLINK("https://klasma.github.io/Logging_2039/tillsyn/A 23427-2025 tillsynsbegäran.docx", "A 23427-2025")</f>
        <v/>
      </c>
      <c r="AD70">
        <f>HYPERLINK("https://klasma.github.io/Logging_2039/tillsynsmail/A 23427-2025 tillsynsbegäran mail.docx", "A 23427-2025")</f>
        <v/>
      </c>
      <c r="AE70">
        <f>HYPERLINK("https://klasma.github.io/Logging_2039/fåglar/A 23427-2025 prioriterade fågelarter.docx", "A 23427-2025")</f>
        <v/>
      </c>
    </row>
    <row r="71" ht="15" customHeight="1">
      <c r="A71" t="inlineStr">
        <is>
          <t>A 6823-2026</t>
        </is>
      </c>
      <c r="B71" t="inlineStr">
        <is>
          <t>avverkningsanmälan</t>
        </is>
      </c>
      <c r="C71" t="inlineStr">
        <is>
          <t>Föryngringsavverkning</t>
        </is>
      </c>
      <c r="D71" s="1" t="n">
        <v>46057</v>
      </c>
      <c r="E71" s="1" t="n">
        <v>46294</v>
      </c>
      <c r="F71" t="inlineStr">
        <is>
          <t>DALARNAS LÄN</t>
        </is>
      </c>
      <c r="G71" t="inlineStr">
        <is>
          <t>ÄLVDALEN</t>
        </is>
      </c>
      <c r="I71" t="n">
        <v>3.9</v>
      </c>
      <c r="J71" t="n">
        <v>5</v>
      </c>
      <c r="K71" t="n">
        <v>1</v>
      </c>
      <c r="L71" t="n">
        <v>3</v>
      </c>
      <c r="M71" t="n">
        <v>1</v>
      </c>
      <c r="N71" t="n">
        <v>0</v>
      </c>
      <c r="O71" t="n">
        <v>0</v>
      </c>
      <c r="P71" t="n">
        <v>0</v>
      </c>
      <c r="Q71" t="n">
        <v>4</v>
      </c>
      <c r="R71" t="n">
        <v>1</v>
      </c>
      <c r="S71" t="n">
        <v>10</v>
      </c>
      <c r="T71" t="n">
        <v>29</v>
      </c>
      <c r="U71" t="n">
        <v>29</v>
      </c>
      <c r="V71" s="2" t="inlineStr">
        <is>
          <t>Garnlav
Tallticka
Tretåig hackspett
Ullticka
Mindre märgborre
Järpe
Linnea
Spillkråka
Tjäder
Fläcknycklar</t>
        </is>
      </c>
      <c r="W71">
        <f>HYPERLINK("https://klasma.github.io/Logging_2039/artfynd/A 6823-2026 artfynd.xlsx", "A 6823-2026")</f>
        <v/>
      </c>
      <c r="X71">
        <f>HYPERLINK("https://klasma.github.io/Logging_2039/kartor/A 6823-2026 karta.png", "A 6823-2026")</f>
        <v/>
      </c>
      <c r="Y71">
        <f>HYPERLINK("https://klasma.github.io/Logging_2039/kartor_geotiff/A 6823-2026 georefererad karta.tif", "A 6823-2026")</f>
        <v/>
      </c>
      <c r="AA71">
        <f>HYPERLINK("https://klasma.github.io/Logging_2039/klagomål/A 6823-2026 FSC-klagomål.docx", "A 6823-2026")</f>
        <v/>
      </c>
      <c r="AB71">
        <f>HYPERLINK("https://klasma.github.io/Logging_2039/klagomålsmail/A 6823-2026 FSC-klagomål mail.docx", "A 6823-2026")</f>
        <v/>
      </c>
      <c r="AC71">
        <f>HYPERLINK("https://klasma.github.io/Logging_2039/tillsyn/A 6823-2026 tillsynsbegäran.docx", "A 6823-2026")</f>
        <v/>
      </c>
      <c r="AD71">
        <f>HYPERLINK("https://klasma.github.io/Logging_2039/tillsynsmail/A 6823-2026 tillsynsbegäran mail.docx", "A 6823-2026")</f>
        <v/>
      </c>
      <c r="AE71">
        <f>HYPERLINK("https://klasma.github.io/Logging_2039/fåglar/A 6823-2026 prioriterade fågelarter.docx", "A 6823-2026")</f>
        <v/>
      </c>
    </row>
    <row r="72" ht="15" customHeight="1">
      <c r="A72" t="inlineStr">
        <is>
          <t>A 40444-2025</t>
        </is>
      </c>
      <c r="B72" t="inlineStr">
        <is>
          <t>avverkningsanmälan</t>
        </is>
      </c>
      <c r="C72" t="inlineStr">
        <is>
          <t>Föryngringsavverkning</t>
        </is>
      </c>
      <c r="D72" s="1" t="n">
        <v>45895</v>
      </c>
      <c r="E72" s="1" t="n">
        <v>46294</v>
      </c>
      <c r="F72" t="inlineStr">
        <is>
          <t>DALARNAS LÄN</t>
        </is>
      </c>
      <c r="G72" t="inlineStr">
        <is>
          <t>ÄLVDALEN</t>
        </is>
      </c>
      <c r="I72" t="n">
        <v>7.4</v>
      </c>
      <c r="J72" t="n">
        <v>2</v>
      </c>
      <c r="K72" t="n">
        <v>1</v>
      </c>
      <c r="L72" t="n">
        <v>8</v>
      </c>
      <c r="M72" t="n">
        <v>1</v>
      </c>
      <c r="N72" t="n">
        <v>0</v>
      </c>
      <c r="O72" t="n">
        <v>0</v>
      </c>
      <c r="P72" t="n">
        <v>0</v>
      </c>
      <c r="Q72" t="n">
        <v>9</v>
      </c>
      <c r="R72" t="n">
        <v>1</v>
      </c>
      <c r="S72" t="n">
        <v>10</v>
      </c>
      <c r="T72" t="n">
        <v>19</v>
      </c>
      <c r="U72" t="n">
        <v>19</v>
      </c>
      <c r="V72" s="2" t="inlineStr">
        <is>
          <t>Garnlav
Blanksvart spiklav
Blågrå svartspik
Dropptaggsvamp
Lavskrika
Mörk kolflarnlav
Talltita
Vedflamlav
Vedskivlav
Vedticka</t>
        </is>
      </c>
      <c r="W72">
        <f>HYPERLINK("https://klasma.github.io/Logging_2039/artfynd/A 40444-2025 artfynd.xlsx", "A 40444-2025")</f>
        <v/>
      </c>
      <c r="X72">
        <f>HYPERLINK("https://klasma.github.io/Logging_2039/kartor/A 40444-2025 karta.png", "A 40444-2025")</f>
        <v/>
      </c>
      <c r="Y72">
        <f>HYPERLINK("https://klasma.github.io/Logging_2039/kartor_geotiff/A 40444-2025 georefererad karta.tif", "A 40444-2025")</f>
        <v/>
      </c>
      <c r="AA72">
        <f>HYPERLINK("https://klasma.github.io/Logging_2039/klagomål/A 40444-2025 FSC-klagomål.docx", "A 40444-2025")</f>
        <v/>
      </c>
      <c r="AB72">
        <f>HYPERLINK("https://klasma.github.io/Logging_2039/klagomålsmail/A 40444-2025 FSC-klagomål mail.docx", "A 40444-2025")</f>
        <v/>
      </c>
      <c r="AC72">
        <f>HYPERLINK("https://klasma.github.io/Logging_2039/tillsyn/A 40444-2025 tillsynsbegäran.docx", "A 40444-2025")</f>
        <v/>
      </c>
      <c r="AD72">
        <f>HYPERLINK("https://klasma.github.io/Logging_2039/tillsynsmail/A 40444-2025 tillsynsbegäran mail.docx", "A 40444-2025")</f>
        <v/>
      </c>
      <c r="AE72">
        <f>HYPERLINK("https://klasma.github.io/Logging_2039/fåglar/A 40444-2025 prioriterade fågelarter.docx", "A 40444-2025")</f>
        <v/>
      </c>
    </row>
    <row r="73" ht="15" customHeight="1">
      <c r="A73" t="inlineStr">
        <is>
          <t>A 1159-2026</t>
        </is>
      </c>
      <c r="B73" t="inlineStr">
        <is>
          <t>avverkningsanmälan</t>
        </is>
      </c>
      <c r="C73" t="inlineStr">
        <is>
          <t>Föryngringsavverkning</t>
        </is>
      </c>
      <c r="D73" s="1" t="n">
        <v>46031</v>
      </c>
      <c r="E73" s="1" t="n">
        <v>46294</v>
      </c>
      <c r="F73" t="inlineStr">
        <is>
          <t>DALARNAS LÄN</t>
        </is>
      </c>
      <c r="G73" t="inlineStr">
        <is>
          <t>ÄLVDALEN</t>
        </is>
      </c>
      <c r="H73" t="inlineStr">
        <is>
          <t>Allmännings- och besparingsskogar</t>
        </is>
      </c>
      <c r="I73" t="n">
        <v>33.9</v>
      </c>
      <c r="J73" t="n">
        <v>3</v>
      </c>
      <c r="K73" t="n">
        <v>1</v>
      </c>
      <c r="L73" t="n">
        <v>5</v>
      </c>
      <c r="M73" t="n">
        <v>2</v>
      </c>
      <c r="N73" t="n">
        <v>0</v>
      </c>
      <c r="O73" t="n">
        <v>0</v>
      </c>
      <c r="P73" t="n">
        <v>0</v>
      </c>
      <c r="Q73" t="n">
        <v>7</v>
      </c>
      <c r="R73" t="n">
        <v>2</v>
      </c>
      <c r="S73" t="n">
        <v>10</v>
      </c>
      <c r="T73" t="n">
        <v>95</v>
      </c>
      <c r="U73" t="n">
        <v>95</v>
      </c>
      <c r="V73" s="2" t="inlineStr">
        <is>
          <t>Garnlav
Raggbock
Kolflarnlav
Mörk kolflarnlav
Tallticka
Tretåig hackspett
Vedflamlav
Mindre märgborre
Spillkråka
Kungsfågel</t>
        </is>
      </c>
      <c r="W73">
        <f>HYPERLINK("https://klasma.github.io/Logging_2039/artfynd/A 1159-2026 artfynd.xlsx", "A 1159-2026")</f>
        <v/>
      </c>
      <c r="X73">
        <f>HYPERLINK("https://klasma.github.io/Logging_2039/kartor/A 1159-2026 karta.png", "A 1159-2026")</f>
        <v/>
      </c>
      <c r="Y73">
        <f>HYPERLINK("https://klasma.github.io/Logging_2039/kartor_geotiff/A 1159-2026 georefererad karta.tif", "A 1159-2026")</f>
        <v/>
      </c>
      <c r="AA73">
        <f>HYPERLINK("https://klasma.github.io/Logging_2039/klagomål/A 1159-2026 FSC-klagomål.docx", "A 1159-2026")</f>
        <v/>
      </c>
      <c r="AB73">
        <f>HYPERLINK("https://klasma.github.io/Logging_2039/klagomålsmail/A 1159-2026 FSC-klagomål mail.docx", "A 1159-2026")</f>
        <v/>
      </c>
      <c r="AC73">
        <f>HYPERLINK("https://klasma.github.io/Logging_2039/tillsyn/A 1159-2026 tillsynsbegäran.docx", "A 1159-2026")</f>
        <v/>
      </c>
      <c r="AD73">
        <f>HYPERLINK("https://klasma.github.io/Logging_2039/tillsynsmail/A 1159-2026 tillsynsbegäran mail.docx", "A 1159-2026")</f>
        <v/>
      </c>
      <c r="AE73">
        <f>HYPERLINK("https://klasma.github.io/Logging_2039/fåglar/A 1159-2026 prioriterade fågelarter.docx", "A 1159-2026")</f>
        <v/>
      </c>
    </row>
    <row r="74" ht="15" customHeight="1">
      <c r="A74" t="inlineStr">
        <is>
          <t>A 15738-2025</t>
        </is>
      </c>
      <c r="B74" t="inlineStr">
        <is>
          <t>avverkningsanmälan</t>
        </is>
      </c>
      <c r="C74" t="inlineStr">
        <is>
          <t>Föryngringsavverkning</t>
        </is>
      </c>
      <c r="D74" s="1" t="n">
        <v>45748</v>
      </c>
      <c r="E74" s="1" t="n">
        <v>46294</v>
      </c>
      <c r="F74" t="inlineStr">
        <is>
          <t>DALARNAS LÄN</t>
        </is>
      </c>
      <c r="G74" t="inlineStr">
        <is>
          <t>ÄLVDALEN</t>
        </is>
      </c>
      <c r="I74" t="n">
        <v>4.5</v>
      </c>
      <c r="J74" t="n">
        <v>3</v>
      </c>
      <c r="K74" t="n">
        <v>2</v>
      </c>
      <c r="L74" t="n">
        <v>5</v>
      </c>
      <c r="M74" t="n">
        <v>1</v>
      </c>
      <c r="N74" t="n">
        <v>0</v>
      </c>
      <c r="O74" t="n">
        <v>0</v>
      </c>
      <c r="P74" t="n">
        <v>0</v>
      </c>
      <c r="Q74" t="n">
        <v>6</v>
      </c>
      <c r="R74" t="n">
        <v>1</v>
      </c>
      <c r="S74" t="n">
        <v>10</v>
      </c>
      <c r="T74" t="n">
        <v>38</v>
      </c>
      <c r="U74" t="n">
        <v>38</v>
      </c>
      <c r="V74" s="2" t="inlineStr">
        <is>
          <t>Garnlav
Doftskinn
Dropptaggsvamp
Talltita
Ullticka
Vedskivlav
Bronshjon
Mindre märgborre
Spillkråka
Tjäder</t>
        </is>
      </c>
      <c r="W74">
        <f>HYPERLINK("https://klasma.github.io/Logging_2039/artfynd/A 15738-2025 artfynd.xlsx", "A 15738-2025")</f>
        <v/>
      </c>
      <c r="X74">
        <f>HYPERLINK("https://klasma.github.io/Logging_2039/kartor/A 15738-2025 karta.png", "A 15738-2025")</f>
        <v/>
      </c>
      <c r="Y74">
        <f>HYPERLINK("https://klasma.github.io/Logging_2039/kartor_geotiff/A 15738-2025 georefererad karta.tif", "A 15738-2025")</f>
        <v/>
      </c>
      <c r="AA74">
        <f>HYPERLINK("https://klasma.github.io/Logging_2039/klagomål/A 15738-2025 FSC-klagomål.docx", "A 15738-2025")</f>
        <v/>
      </c>
      <c r="AB74">
        <f>HYPERLINK("https://klasma.github.io/Logging_2039/klagomålsmail/A 15738-2025 FSC-klagomål mail.docx", "A 15738-2025")</f>
        <v/>
      </c>
      <c r="AC74">
        <f>HYPERLINK("https://klasma.github.io/Logging_2039/tillsyn/A 15738-2025 tillsynsbegäran.docx", "A 15738-2025")</f>
        <v/>
      </c>
      <c r="AD74">
        <f>HYPERLINK("https://klasma.github.io/Logging_2039/tillsynsmail/A 15738-2025 tillsynsbegäran mail.docx", "A 15738-2025")</f>
        <v/>
      </c>
      <c r="AE74">
        <f>HYPERLINK("https://klasma.github.io/Logging_2039/fåglar/A 15738-2025 prioriterade fågelarter.docx", "A 15738-2025")</f>
        <v/>
      </c>
    </row>
    <row r="75" ht="15" customHeight="1">
      <c r="A75" t="inlineStr">
        <is>
          <t>A 17715-2024</t>
        </is>
      </c>
      <c r="B75" t="inlineStr">
        <is>
          <t>avverkningsanmälan</t>
        </is>
      </c>
      <c r="C75" t="inlineStr">
        <is>
          <t>Föryngringsavverkning</t>
        </is>
      </c>
      <c r="D75" s="1" t="n">
        <v>45415</v>
      </c>
      <c r="E75" s="1" t="n">
        <v>46294</v>
      </c>
      <c r="F75" t="inlineStr">
        <is>
          <t>DALARNAS LÄN</t>
        </is>
      </c>
      <c r="G75" t="inlineStr">
        <is>
          <t>ÄLVDALEN</t>
        </is>
      </c>
      <c r="H75" t="inlineStr">
        <is>
          <t>Övriga statliga verk och myndigheter</t>
        </is>
      </c>
      <c r="I75" t="n">
        <v>19.2</v>
      </c>
      <c r="J75" t="n">
        <v>1</v>
      </c>
      <c r="K75" t="n">
        <v>0</v>
      </c>
      <c r="L75" t="n">
        <v>9</v>
      </c>
      <c r="M75" t="n">
        <v>0</v>
      </c>
      <c r="N75" t="n">
        <v>0</v>
      </c>
      <c r="O75" t="n">
        <v>0</v>
      </c>
      <c r="P75" t="n">
        <v>0</v>
      </c>
      <c r="Q75" t="n">
        <v>9</v>
      </c>
      <c r="R75" t="n">
        <v>0</v>
      </c>
      <c r="S75" t="n">
        <v>10</v>
      </c>
      <c r="T75" t="n">
        <v>11</v>
      </c>
      <c r="U75" t="n">
        <v>11</v>
      </c>
      <c r="V75" s="2" t="inlineStr">
        <is>
          <t>Blanksvart spiklav
Blågrå svartspik
Dropptaggsvamp
Dvärgbägarlav
Kolflarnlav
Mörk kolflarnlav
Reliktbock
Vedflamlav
Vedskivlav
Tjäder</t>
        </is>
      </c>
      <c r="W75">
        <f>HYPERLINK("https://klasma.github.io/Logging_2039/artfynd/A 17715-2024 artfynd.xlsx", "A 17715-2024")</f>
        <v/>
      </c>
      <c r="X75">
        <f>HYPERLINK("https://klasma.github.io/Logging_2039/kartor/A 17715-2024 karta.png", "A 17715-2024")</f>
        <v/>
      </c>
      <c r="Y75">
        <f>HYPERLINK("https://klasma.github.io/Logging_2039/kartor_geotiff/A 17715-2024 georefererad karta.tif", "A 17715-2024")</f>
        <v/>
      </c>
      <c r="AA75">
        <f>HYPERLINK("https://klasma.github.io/Logging_2039/klagomål/A 17715-2024 FSC-klagomål.docx", "A 17715-2024")</f>
        <v/>
      </c>
      <c r="AB75">
        <f>HYPERLINK("https://klasma.github.io/Logging_2039/klagomålsmail/A 17715-2024 FSC-klagomål mail.docx", "A 17715-2024")</f>
        <v/>
      </c>
      <c r="AC75">
        <f>HYPERLINK("https://klasma.github.io/Logging_2039/tillsyn/A 17715-2024 tillsynsbegäran.docx", "A 17715-2024")</f>
        <v/>
      </c>
      <c r="AD75">
        <f>HYPERLINK("https://klasma.github.io/Logging_2039/tillsynsmail/A 17715-2024 tillsynsbegäran mail.docx", "A 17715-2024")</f>
        <v/>
      </c>
      <c r="AE75">
        <f>HYPERLINK("https://klasma.github.io/Logging_2039/fåglar/A 17715-2024 prioriterade fågelarter.docx", "A 17715-2024")</f>
        <v/>
      </c>
    </row>
    <row r="76" ht="15" customHeight="1">
      <c r="A76" t="inlineStr">
        <is>
          <t>A 39762-2025</t>
        </is>
      </c>
      <c r="B76" t="inlineStr">
        <is>
          <t>avverkningsanmälan</t>
        </is>
      </c>
      <c r="C76" t="inlineStr">
        <is>
          <t>Föryngringsavverkning</t>
        </is>
      </c>
      <c r="D76" s="1" t="n">
        <v>45891</v>
      </c>
      <c r="E76" s="1" t="n">
        <v>46294</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32048-2025</t>
        </is>
      </c>
      <c r="B77" t="inlineStr">
        <is>
          <t>avverkningsanmälan</t>
        </is>
      </c>
      <c r="C77" t="inlineStr">
        <is>
          <t>Föryngringsavverkning</t>
        </is>
      </c>
      <c r="D77" s="1" t="n">
        <v>45835</v>
      </c>
      <c r="E77" s="1" t="n">
        <v>46294</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54671-2021</t>
        </is>
      </c>
      <c r="B78" t="inlineStr">
        <is>
          <t>avverkningsanmälan</t>
        </is>
      </c>
      <c r="C78" t="inlineStr">
        <is>
          <t>Föryngringsavverkning</t>
        </is>
      </c>
      <c r="D78" s="1" t="n">
        <v>44473</v>
      </c>
      <c r="E78" s="1" t="n">
        <v>46294</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41755-2025</t>
        </is>
      </c>
      <c r="B79" t="inlineStr">
        <is>
          <t>avverkningsanmälan</t>
        </is>
      </c>
      <c r="C79" t="inlineStr">
        <is>
          <t>Föryngringsavverkning</t>
        </is>
      </c>
      <c r="D79" s="1" t="n">
        <v>45902</v>
      </c>
      <c r="E79" s="1" t="n">
        <v>46294</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46294</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39278-2022</t>
        </is>
      </c>
      <c r="B81" t="inlineStr">
        <is>
          <t>avverkningsanmälan</t>
        </is>
      </c>
      <c r="C81" t="inlineStr">
        <is>
          <t>Föryngringsavverkning</t>
        </is>
      </c>
      <c r="D81" s="1" t="n">
        <v>44817</v>
      </c>
      <c r="E81" s="1" t="n">
        <v>46294</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41913-2022</t>
        </is>
      </c>
      <c r="B82" t="inlineStr">
        <is>
          <t>avverkningsanmälan</t>
        </is>
      </c>
      <c r="C82" t="inlineStr">
        <is>
          <t>Föryngringsavverkning</t>
        </is>
      </c>
      <c r="D82" s="1" t="n">
        <v>44830</v>
      </c>
      <c r="E82" s="1" t="n">
        <v>46294</v>
      </c>
      <c r="F82" t="inlineStr">
        <is>
          <t>DALARNAS LÄN</t>
        </is>
      </c>
      <c r="G82" t="inlineStr">
        <is>
          <t>ÄLVDALEN</t>
        </is>
      </c>
      <c r="H82" t="inlineStr">
        <is>
          <t>Sveaskog</t>
        </is>
      </c>
      <c r="I82" t="n">
        <v>5.6</v>
      </c>
      <c r="J82" t="n">
        <v>1</v>
      </c>
      <c r="K82" t="n">
        <v>0</v>
      </c>
      <c r="L82" t="n">
        <v>7</v>
      </c>
      <c r="M82" t="n">
        <v>2</v>
      </c>
      <c r="N82" t="n">
        <v>0</v>
      </c>
      <c r="O82" t="n">
        <v>0</v>
      </c>
      <c r="P82" t="n">
        <v>0</v>
      </c>
      <c r="Q82" t="n">
        <v>9</v>
      </c>
      <c r="R82" t="n">
        <v>2</v>
      </c>
      <c r="S82" t="n">
        <v>9</v>
      </c>
      <c r="T82" t="n">
        <v>20</v>
      </c>
      <c r="U82" t="n">
        <v>19</v>
      </c>
      <c r="V82" s="2" t="inlineStr">
        <is>
          <t>Fläckporing
Tajgataggsvamp
Blanksvart spiklav
Dropptaggsvamp
Orange taggsvamp
Tretåig hackspett
Vaddporing
Vedflamlav
Vedskivlav</t>
        </is>
      </c>
      <c r="W82">
        <f>HYPERLINK("https://klasma.github.io/Logging_2039/artfynd/A 41913-2022 artfynd.xlsx", "A 41913-2022")</f>
        <v/>
      </c>
      <c r="X82">
        <f>HYPERLINK("https://klasma.github.io/Logging_2039/kartor/A 41913-2022 karta.png", "A 41913-2022")</f>
        <v/>
      </c>
      <c r="Y82">
        <f>HYPERLINK("https://klasma.github.io/Logging_2039/kartor_geotiff/A 41913-2022 georefererad karta.tif", "A 41913-2022")</f>
        <v/>
      </c>
      <c r="AA82">
        <f>HYPERLINK("https://klasma.github.io/Logging_2039/klagomål/A 41913-2022 FSC-klagomål.docx", "A 41913-2022")</f>
        <v/>
      </c>
      <c r="AB82">
        <f>HYPERLINK("https://klasma.github.io/Logging_2039/klagomålsmail/A 41913-2022 FSC-klagomål mail.docx", "A 41913-2022")</f>
        <v/>
      </c>
      <c r="AC82">
        <f>HYPERLINK("https://klasma.github.io/Logging_2039/tillsyn/A 41913-2022 tillsynsbegäran.docx", "A 41913-2022")</f>
        <v/>
      </c>
      <c r="AD82">
        <f>HYPERLINK("https://klasma.github.io/Logging_2039/tillsynsmail/A 41913-2022 tillsynsbegäran mail.docx", "A 41913-2022")</f>
        <v/>
      </c>
      <c r="AE82">
        <f>HYPERLINK("https://klasma.github.io/Logging_2039/fåglar/A 41913-2022 prioriterade fågelarter.docx", "A 41913-2022")</f>
        <v/>
      </c>
    </row>
    <row r="83" ht="15" customHeight="1">
      <c r="A83" t="inlineStr">
        <is>
          <t>A 9783-2024</t>
        </is>
      </c>
      <c r="B83" t="inlineStr">
        <is>
          <t>avverkningsanmälan</t>
        </is>
      </c>
      <c r="C83" t="inlineStr">
        <is>
          <t>Föryngringsavverkning</t>
        </is>
      </c>
      <c r="D83" s="1" t="n">
        <v>45362</v>
      </c>
      <c r="E83" s="1" t="n">
        <v>46294</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57505-2024</t>
        </is>
      </c>
      <c r="B84" t="inlineStr">
        <is>
          <t>avverkningsanmälan</t>
        </is>
      </c>
      <c r="C84" t="inlineStr">
        <is>
          <t>Avverkning för annat ändamål</t>
        </is>
      </c>
      <c r="D84" s="1" t="n">
        <v>45630</v>
      </c>
      <c r="E84" s="1" t="n">
        <v>46294</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66637-2021</t>
        </is>
      </c>
      <c r="B85" t="inlineStr">
        <is>
          <t>avverkningsanmälan</t>
        </is>
      </c>
      <c r="C85" t="inlineStr">
        <is>
          <t>Föryngringsavverkning</t>
        </is>
      </c>
      <c r="D85" s="1" t="n">
        <v>44519</v>
      </c>
      <c r="E85" s="1" t="n">
        <v>46294</v>
      </c>
      <c r="F85" t="inlineStr">
        <is>
          <t>DALARNAS LÄN</t>
        </is>
      </c>
      <c r="G85" t="inlineStr">
        <is>
          <t>ÄLVDALEN</t>
        </is>
      </c>
      <c r="H85" t="inlineStr">
        <is>
          <t>Sveaskog</t>
        </is>
      </c>
      <c r="I85" t="n">
        <v>4.7</v>
      </c>
      <c r="J85" t="n">
        <v>0</v>
      </c>
      <c r="K85" t="n">
        <v>2</v>
      </c>
      <c r="L85" t="n">
        <v>7</v>
      </c>
      <c r="M85" t="n">
        <v>0</v>
      </c>
      <c r="N85" t="n">
        <v>0</v>
      </c>
      <c r="O85" t="n">
        <v>0</v>
      </c>
      <c r="P85" t="n">
        <v>0</v>
      </c>
      <c r="Q85" t="n">
        <v>7</v>
      </c>
      <c r="R85" t="n">
        <v>0</v>
      </c>
      <c r="S85" t="n">
        <v>9</v>
      </c>
      <c r="T85" t="n">
        <v>12</v>
      </c>
      <c r="U85" t="n">
        <v>1</v>
      </c>
      <c r="V85" s="2" t="inlineStr">
        <is>
          <t>Dropptaggsvamp
Dvärgbägarlav
Kolflarnlav
Mörk kolflarnlav
Nordtagging
Vedskivlav
Vitplätt
Nästlav
Vedticka</t>
        </is>
      </c>
      <c r="W85">
        <f>HYPERLINK("https://klasma.github.io/Logging_2039/artfynd/A 66637-2021 artfynd.xlsx", "A 66637-2021")</f>
        <v/>
      </c>
      <c r="X85">
        <f>HYPERLINK("https://klasma.github.io/Logging_2039/kartor/A 66637-2021 karta.png", "A 66637-2021")</f>
        <v/>
      </c>
      <c r="Y85">
        <f>HYPERLINK("https://klasma.github.io/Logging_2039/kartor_geotiff/A 66637-2021 georefererad karta.tif", "A 66637-2021")</f>
        <v/>
      </c>
      <c r="AA85">
        <f>HYPERLINK("https://klasma.github.io/Logging_2039/klagomål/A 66637-2021 FSC-klagomål.docx", "A 66637-2021")</f>
        <v/>
      </c>
      <c r="AB85">
        <f>HYPERLINK("https://klasma.github.io/Logging_2039/klagomålsmail/A 66637-2021 FSC-klagomål mail.docx", "A 66637-2021")</f>
        <v/>
      </c>
      <c r="AC85">
        <f>HYPERLINK("https://klasma.github.io/Logging_2039/tillsyn/A 66637-2021 tillsynsbegäran.docx", "A 66637-2021")</f>
        <v/>
      </c>
      <c r="AD85">
        <f>HYPERLINK("https://klasma.github.io/Logging_2039/tillsynsmail/A 66637-2021 tillsynsbegäran mail.docx", "A 66637-2021")</f>
        <v/>
      </c>
    </row>
    <row r="86" ht="15" customHeight="1">
      <c r="A86" t="inlineStr">
        <is>
          <t>A 37289-2026</t>
        </is>
      </c>
      <c r="B86" t="inlineStr">
        <is>
          <t>avverkningsanmälan</t>
        </is>
      </c>
      <c r="C86" t="inlineStr">
        <is>
          <t>Föryngringsavverkning</t>
        </is>
      </c>
      <c r="D86" s="1" t="n">
        <v>46274</v>
      </c>
      <c r="E86" s="1" t="n">
        <v>46294</v>
      </c>
      <c r="F86" t="inlineStr">
        <is>
          <t>DALARNAS LÄN</t>
        </is>
      </c>
      <c r="G86" t="inlineStr">
        <is>
          <t>ÄLVDALEN</t>
        </is>
      </c>
      <c r="H86" t="inlineStr">
        <is>
          <t>Allmännings- och besparingsskogar</t>
        </is>
      </c>
      <c r="I86" t="n">
        <v>11.1</v>
      </c>
      <c r="J86" t="n">
        <v>4</v>
      </c>
      <c r="K86" t="n">
        <v>2</v>
      </c>
      <c r="L86" t="n">
        <v>3</v>
      </c>
      <c r="M86" t="n">
        <v>1</v>
      </c>
      <c r="N86" t="n">
        <v>0</v>
      </c>
      <c r="O86" t="n">
        <v>0</v>
      </c>
      <c r="P86" t="n">
        <v>0</v>
      </c>
      <c r="Q86" t="n">
        <v>4</v>
      </c>
      <c r="R86" t="n">
        <v>1</v>
      </c>
      <c r="S86" t="n">
        <v>9</v>
      </c>
      <c r="T86" t="n">
        <v>35</v>
      </c>
      <c r="U86" t="n">
        <v>35</v>
      </c>
      <c r="V86" s="2" t="inlineStr">
        <is>
          <t>Garnlav
Talltita
Vedskivlav
Violettgrå tagellav
Mindre märgborre
Spindelblomster
Spillkråka
Torta
Revlummer</t>
        </is>
      </c>
      <c r="W86">
        <f>HYPERLINK("https://klasma.github.io/Logging_2039/artfynd/A 37289-2026 artfynd.xlsx", "A 37289-2026")</f>
        <v/>
      </c>
      <c r="X86">
        <f>HYPERLINK("https://klasma.github.io/Logging_2039/kartor/A 37289-2026 karta.png", "A 37289-2026")</f>
        <v/>
      </c>
      <c r="Y86">
        <f>HYPERLINK("https://klasma.github.io/Logging_2039/kartor_geotiff/A 37289-2026 georefererad karta.tif", "A 37289-2026")</f>
        <v/>
      </c>
      <c r="AA86">
        <f>HYPERLINK("https://klasma.github.io/Logging_2039/klagomål/A 37289-2026 FSC-klagomål.docx", "A 37289-2026")</f>
        <v/>
      </c>
      <c r="AB86">
        <f>HYPERLINK("https://klasma.github.io/Logging_2039/klagomålsmail/A 37289-2026 FSC-klagomål mail.docx", "A 37289-2026")</f>
        <v/>
      </c>
      <c r="AC86">
        <f>HYPERLINK("https://klasma.github.io/Logging_2039/tillsyn/A 37289-2026 tillsynsbegäran.docx", "A 37289-2026")</f>
        <v/>
      </c>
      <c r="AD86">
        <f>HYPERLINK("https://klasma.github.io/Logging_2039/tillsynsmail/A 37289-2026 tillsynsbegäran mail.docx", "A 37289-2026")</f>
        <v/>
      </c>
      <c r="AE86">
        <f>HYPERLINK("https://klasma.github.io/Logging_2039/fåglar/A 37289-2026 prioriterade fågelarter.docx", "A 37289-2026")</f>
        <v/>
      </c>
    </row>
    <row r="87" ht="15" customHeight="1">
      <c r="A87" t="inlineStr">
        <is>
          <t>A 33882-2024</t>
        </is>
      </c>
      <c r="B87" t="inlineStr">
        <is>
          <t>avverkningsanmälan</t>
        </is>
      </c>
      <c r="C87" t="inlineStr">
        <is>
          <t>Föryngringsavverkning</t>
        </is>
      </c>
      <c r="D87" s="1" t="n">
        <v>45522</v>
      </c>
      <c r="E87" s="1" t="n">
        <v>46294</v>
      </c>
      <c r="F87" t="inlineStr">
        <is>
          <t>DALARNAS LÄN</t>
        </is>
      </c>
      <c r="G87" t="inlineStr">
        <is>
          <t>ÄLVDALEN</t>
        </is>
      </c>
      <c r="I87" t="n">
        <v>53.8</v>
      </c>
      <c r="J87" t="n">
        <v>4</v>
      </c>
      <c r="K87" t="n">
        <v>1</v>
      </c>
      <c r="L87" t="n">
        <v>5</v>
      </c>
      <c r="M87" t="n">
        <v>2</v>
      </c>
      <c r="N87" t="n">
        <v>0</v>
      </c>
      <c r="O87" t="n">
        <v>0</v>
      </c>
      <c r="P87" t="n">
        <v>0</v>
      </c>
      <c r="Q87" t="n">
        <v>7</v>
      </c>
      <c r="R87" t="n">
        <v>2</v>
      </c>
      <c r="S87" t="n">
        <v>9</v>
      </c>
      <c r="T87" t="n">
        <v>21</v>
      </c>
      <c r="U87" t="n">
        <v>18</v>
      </c>
      <c r="V87" s="2" t="inlineStr">
        <is>
          <t>Garnlav
Skuggnål
Knottrig blåslav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20947-2026</t>
        </is>
      </c>
      <c r="B88" t="inlineStr">
        <is>
          <t>avverkningsanmälan</t>
        </is>
      </c>
      <c r="C88" t="inlineStr">
        <is>
          <t>Föryngringsavverkning</t>
        </is>
      </c>
      <c r="D88" s="1" t="n">
        <v>46142</v>
      </c>
      <c r="E88" s="1" t="n">
        <v>46294</v>
      </c>
      <c r="F88" t="inlineStr">
        <is>
          <t>DALARNAS LÄN</t>
        </is>
      </c>
      <c r="G88" t="inlineStr">
        <is>
          <t>ÄLVDALEN</t>
        </is>
      </c>
      <c r="H88" t="inlineStr">
        <is>
          <t>Bergvik skog väst AB</t>
        </is>
      </c>
      <c r="I88" t="n">
        <v>3.7</v>
      </c>
      <c r="J88" t="n">
        <v>7</v>
      </c>
      <c r="K88" t="n">
        <v>2</v>
      </c>
      <c r="L88" t="n">
        <v>1</v>
      </c>
      <c r="M88" t="n">
        <v>1</v>
      </c>
      <c r="N88" t="n">
        <v>0</v>
      </c>
      <c r="O88" t="n">
        <v>0</v>
      </c>
      <c r="P88" t="n">
        <v>0</v>
      </c>
      <c r="Q88" t="n">
        <v>2</v>
      </c>
      <c r="R88" t="n">
        <v>1</v>
      </c>
      <c r="S88" t="n">
        <v>9</v>
      </c>
      <c r="T88" t="n">
        <v>22</v>
      </c>
      <c r="U88" t="n">
        <v>22</v>
      </c>
      <c r="V88" s="2" t="inlineStr">
        <is>
          <t>Garnlav
Järnsparv
Mindre märgborre
Plattlummer
Mattlummer
Spillkråka
Tjäder
Fläcknycklar
Revlummer</t>
        </is>
      </c>
      <c r="W88">
        <f>HYPERLINK("https://klasma.github.io/Logging_2039/artfynd/A 20947-2026 artfynd.xlsx", "A 20947-2026")</f>
        <v/>
      </c>
      <c r="X88">
        <f>HYPERLINK("https://klasma.github.io/Logging_2039/kartor/A 20947-2026 karta.png", "A 20947-2026")</f>
        <v/>
      </c>
      <c r="Y88">
        <f>HYPERLINK("https://klasma.github.io/Logging_2039/kartor_geotiff/A 20947-2026 georefererad karta.tif", "A 20947-2026")</f>
        <v/>
      </c>
      <c r="AA88">
        <f>HYPERLINK("https://klasma.github.io/Logging_2039/klagomål/A 20947-2026 FSC-klagomål.docx", "A 20947-2026")</f>
        <v/>
      </c>
      <c r="AB88">
        <f>HYPERLINK("https://klasma.github.io/Logging_2039/klagomålsmail/A 20947-2026 FSC-klagomål mail.docx", "A 20947-2026")</f>
        <v/>
      </c>
      <c r="AC88">
        <f>HYPERLINK("https://klasma.github.io/Logging_2039/tillsyn/A 20947-2026 tillsynsbegäran.docx", "A 20947-2026")</f>
        <v/>
      </c>
      <c r="AD88">
        <f>HYPERLINK("https://klasma.github.io/Logging_2039/tillsynsmail/A 20947-2026 tillsynsbegäran mail.docx", "A 20947-2026")</f>
        <v/>
      </c>
      <c r="AE88">
        <f>HYPERLINK("https://klasma.github.io/Logging_2039/fåglar/A 20947-2026 prioriterade fågelarter.docx", "A 20947-2026")</f>
        <v/>
      </c>
    </row>
    <row r="89" ht="15" customHeight="1">
      <c r="A89" t="inlineStr">
        <is>
          <t>A 38741-2026</t>
        </is>
      </c>
      <c r="B89" t="inlineStr">
        <is>
          <t>avverkningsanmälan</t>
        </is>
      </c>
      <c r="C89" t="inlineStr">
        <is>
          <t>Föryngringsavverkning</t>
        </is>
      </c>
      <c r="D89" s="1" t="n">
        <v>46286</v>
      </c>
      <c r="E89" s="1" t="n">
        <v>46294</v>
      </c>
      <c r="F89" t="inlineStr">
        <is>
          <t>DALARNAS LÄN</t>
        </is>
      </c>
      <c r="G89" t="inlineStr">
        <is>
          <t>ÄLVDALEN</t>
        </is>
      </c>
      <c r="H89" t="inlineStr">
        <is>
          <t>Sveaskog</t>
        </is>
      </c>
      <c r="I89" t="n">
        <v>10.1</v>
      </c>
      <c r="J89" t="n">
        <v>2</v>
      </c>
      <c r="K89" t="n">
        <v>0</v>
      </c>
      <c r="L89" t="n">
        <v>7</v>
      </c>
      <c r="M89" t="n">
        <v>0</v>
      </c>
      <c r="N89" t="n">
        <v>1</v>
      </c>
      <c r="O89" t="n">
        <v>0</v>
      </c>
      <c r="P89" t="n">
        <v>0</v>
      </c>
      <c r="Q89" t="n">
        <v>8</v>
      </c>
      <c r="R89" t="n">
        <v>1</v>
      </c>
      <c r="S89" t="n">
        <v>9</v>
      </c>
      <c r="T89" t="n">
        <v>10</v>
      </c>
      <c r="U89" t="n">
        <v>0</v>
      </c>
      <c r="V89" s="2" t="inlineStr">
        <is>
          <t>Mosippa
Dropptaggsvamp
Kolflarnlav
Lunglav
Mörk kolflarnlav
Skarp dropptaggsvamp
Skrovellav
Vedflamlav
Revlummer</t>
        </is>
      </c>
      <c r="W89">
        <f>HYPERLINK("https://klasma.github.io/Logging_2039/artfynd/A 38741-2026 artfynd.xlsx", "A 38741-2026")</f>
        <v/>
      </c>
      <c r="X89">
        <f>HYPERLINK("https://klasma.github.io/Logging_2039/kartor/A 38741-2026 karta.png", "A 38741-2026")</f>
        <v/>
      </c>
      <c r="Y89">
        <f>HYPERLINK("https://klasma.github.io/Logging_2039/kartor_geotiff/A 38741-2026 georefererad karta.tif", "A 38741-2026")</f>
        <v/>
      </c>
      <c r="AA89">
        <f>HYPERLINK("https://klasma.github.io/Logging_2039/klagomål/A 38741-2026 FSC-klagomål.docx", "A 38741-2026")</f>
        <v/>
      </c>
      <c r="AB89">
        <f>HYPERLINK("https://klasma.github.io/Logging_2039/klagomålsmail/A 38741-2026 FSC-klagomål mail.docx", "A 38741-2026")</f>
        <v/>
      </c>
      <c r="AC89">
        <f>HYPERLINK("https://klasma.github.io/Logging_2039/tillsyn/A 38741-2026 tillsynsbegäran.docx", "A 38741-2026")</f>
        <v/>
      </c>
      <c r="AD89">
        <f>HYPERLINK("https://klasma.github.io/Logging_2039/tillsynsmail/A 38741-2026 tillsynsbegäran mail.docx", "A 38741-2026")</f>
        <v/>
      </c>
    </row>
    <row r="90" ht="15" customHeight="1">
      <c r="A90" t="inlineStr">
        <is>
          <t>A 25754-2025</t>
        </is>
      </c>
      <c r="B90" t="inlineStr">
        <is>
          <t>avverkningsanmälan</t>
        </is>
      </c>
      <c r="C90" t="inlineStr">
        <is>
          <t>Föryngringsavverkning</t>
        </is>
      </c>
      <c r="D90" s="1" t="n">
        <v>45804</v>
      </c>
      <c r="E90" s="1" t="n">
        <v>46294</v>
      </c>
      <c r="F90" t="inlineStr">
        <is>
          <t>DALARNAS LÄN</t>
        </is>
      </c>
      <c r="G90" t="inlineStr">
        <is>
          <t>ÄLVDALEN</t>
        </is>
      </c>
      <c r="H90" t="inlineStr">
        <is>
          <t>Kommuner</t>
        </is>
      </c>
      <c r="I90" t="n">
        <v>2.2</v>
      </c>
      <c r="J90" t="n">
        <v>4</v>
      </c>
      <c r="K90" t="n">
        <v>1</v>
      </c>
      <c r="L90" t="n">
        <v>3</v>
      </c>
      <c r="M90" t="n">
        <v>1</v>
      </c>
      <c r="N90" t="n">
        <v>0</v>
      </c>
      <c r="O90" t="n">
        <v>0</v>
      </c>
      <c r="P90" t="n">
        <v>0</v>
      </c>
      <c r="Q90" t="n">
        <v>4</v>
      </c>
      <c r="R90" t="n">
        <v>1</v>
      </c>
      <c r="S90" t="n">
        <v>8</v>
      </c>
      <c r="T90" t="n">
        <v>15</v>
      </c>
      <c r="U90" t="n">
        <v>15</v>
      </c>
      <c r="V90" s="2" t="inlineStr">
        <is>
          <t>Garnlav
Dropptaggsvamp
Sotvaxskivling
Talltita
Mindre märgborre
Spillkråka
Kungsfågel
Revlummer</t>
        </is>
      </c>
      <c r="W90">
        <f>HYPERLINK("https://klasma.github.io/Logging_2039/artfynd/A 25754-2025 artfynd.xlsx", "A 25754-2025")</f>
        <v/>
      </c>
      <c r="X90">
        <f>HYPERLINK("https://klasma.github.io/Logging_2039/kartor/A 25754-2025 karta.png", "A 25754-2025")</f>
        <v/>
      </c>
      <c r="Y90">
        <f>HYPERLINK("https://klasma.github.io/Logging_2039/kartor_geotiff/A 25754-2025 georefererad karta.tif", "A 25754-2025")</f>
        <v/>
      </c>
      <c r="AA90">
        <f>HYPERLINK("https://klasma.github.io/Logging_2039/klagomål/A 25754-2025 FSC-klagomål.docx", "A 25754-2025")</f>
        <v/>
      </c>
      <c r="AB90">
        <f>HYPERLINK("https://klasma.github.io/Logging_2039/klagomålsmail/A 25754-2025 FSC-klagomål mail.docx", "A 25754-2025")</f>
        <v/>
      </c>
      <c r="AC90">
        <f>HYPERLINK("https://klasma.github.io/Logging_2039/tillsyn/A 25754-2025 tillsynsbegäran.docx", "A 25754-2025")</f>
        <v/>
      </c>
      <c r="AD90">
        <f>HYPERLINK("https://klasma.github.io/Logging_2039/tillsynsmail/A 25754-2025 tillsynsbegäran mail.docx", "A 25754-2025")</f>
        <v/>
      </c>
      <c r="AE90">
        <f>HYPERLINK("https://klasma.github.io/Logging_2039/fåglar/A 25754-2025 prioriterade fågelarter.docx", "A 25754-2025")</f>
        <v/>
      </c>
    </row>
    <row r="91" ht="15" customHeight="1">
      <c r="A91" t="inlineStr">
        <is>
          <t>A 41750-2025</t>
        </is>
      </c>
      <c r="B91" t="inlineStr">
        <is>
          <t>avverkningsanmälan</t>
        </is>
      </c>
      <c r="C91" t="inlineStr">
        <is>
          <t>Föryngringsavverkning</t>
        </is>
      </c>
      <c r="D91" s="1" t="n">
        <v>45902</v>
      </c>
      <c r="E91" s="1" t="n">
        <v>46294</v>
      </c>
      <c r="F91" t="inlineStr">
        <is>
          <t>DALARNAS LÄN</t>
        </is>
      </c>
      <c r="G91" t="inlineStr">
        <is>
          <t>ÄLVDALEN</t>
        </is>
      </c>
      <c r="I91" t="n">
        <v>1.2</v>
      </c>
      <c r="J91" t="n">
        <v>0</v>
      </c>
      <c r="K91" t="n">
        <v>0</v>
      </c>
      <c r="L91" t="n">
        <v>6</v>
      </c>
      <c r="M91" t="n">
        <v>2</v>
      </c>
      <c r="N91" t="n">
        <v>0</v>
      </c>
      <c r="O91" t="n">
        <v>0</v>
      </c>
      <c r="P91" t="n">
        <v>0</v>
      </c>
      <c r="Q91" t="n">
        <v>8</v>
      </c>
      <c r="R91" t="n">
        <v>2</v>
      </c>
      <c r="S91" t="n">
        <v>8</v>
      </c>
      <c r="T91" t="n">
        <v>13</v>
      </c>
      <c r="U91" t="n">
        <v>0</v>
      </c>
      <c r="V91" s="2" t="inlineStr">
        <is>
          <t>Gräddporing
Skrovlig taggsvamp
Blanksvart spiklav
Dropptaggsvamp
Dvärgbägarlav
Kolflarnlav
Mörk kolflarnlav
Vedflamlav</t>
        </is>
      </c>
      <c r="W91">
        <f>HYPERLINK("https://klasma.github.io/Logging_2039/artfynd/A 41750-2025 artfynd.xlsx", "A 41750-2025")</f>
        <v/>
      </c>
      <c r="X91">
        <f>HYPERLINK("https://klasma.github.io/Logging_2039/kartor/A 41750-2025 karta.png", "A 41750-2025")</f>
        <v/>
      </c>
      <c r="Y91">
        <f>HYPERLINK("https://klasma.github.io/Logging_2039/kartor_geotiff/A 41750-2025 georefererad karta.tif", "A 41750-2025")</f>
        <v/>
      </c>
      <c r="AA91">
        <f>HYPERLINK("https://klasma.github.io/Logging_2039/klagomål/A 41750-2025 FSC-klagomål.docx", "A 41750-2025")</f>
        <v/>
      </c>
      <c r="AB91">
        <f>HYPERLINK("https://klasma.github.io/Logging_2039/klagomålsmail/A 41750-2025 FSC-klagomål mail.docx", "A 41750-2025")</f>
        <v/>
      </c>
      <c r="AC91">
        <f>HYPERLINK("https://klasma.github.io/Logging_2039/tillsyn/A 41750-2025 tillsynsbegäran.docx", "A 41750-2025")</f>
        <v/>
      </c>
      <c r="AD91">
        <f>HYPERLINK("https://klasma.github.io/Logging_2039/tillsynsmail/A 41750-2025 tillsynsbegäran mail.docx", "A 41750-2025")</f>
        <v/>
      </c>
    </row>
    <row r="92" ht="15" customHeight="1">
      <c r="A92" t="inlineStr">
        <is>
          <t>A 48552-2024</t>
        </is>
      </c>
      <c r="B92" t="inlineStr">
        <is>
          <t>avverkningsanmälan</t>
        </is>
      </c>
      <c r="C92" t="inlineStr">
        <is>
          <t>Föryngringsavverkning</t>
        </is>
      </c>
      <c r="D92" s="1" t="n">
        <v>45593</v>
      </c>
      <c r="E92" s="1" t="n">
        <v>46294</v>
      </c>
      <c r="F92" t="inlineStr">
        <is>
          <t>DALARNAS LÄN</t>
        </is>
      </c>
      <c r="G92" t="inlineStr">
        <is>
          <t>ÄLVDALEN</t>
        </is>
      </c>
      <c r="I92" t="n">
        <v>4.1</v>
      </c>
      <c r="J92" t="n">
        <v>4</v>
      </c>
      <c r="K92" t="n">
        <v>1</v>
      </c>
      <c r="L92" t="n">
        <v>3</v>
      </c>
      <c r="M92" t="n">
        <v>2</v>
      </c>
      <c r="N92" t="n">
        <v>0</v>
      </c>
      <c r="O92" t="n">
        <v>0</v>
      </c>
      <c r="P92" t="n">
        <v>0</v>
      </c>
      <c r="Q92" t="n">
        <v>5</v>
      </c>
      <c r="R92" t="n">
        <v>2</v>
      </c>
      <c r="S92" t="n">
        <v>8</v>
      </c>
      <c r="T92" t="n">
        <v>15</v>
      </c>
      <c r="U92" t="n">
        <v>15</v>
      </c>
      <c r="V92" s="2" t="inlineStr">
        <is>
          <t>Garnlav
Knärot
Kortskaftad ärgspik
Tretåig hackspett
Ullticka
Källmossa
Tjäder
Revlummer</t>
        </is>
      </c>
      <c r="W92">
        <f>HYPERLINK("https://klasma.github.io/Logging_2039/artfynd/A 48552-2024 artfynd.xlsx", "A 48552-2024")</f>
        <v/>
      </c>
      <c r="X92">
        <f>HYPERLINK("https://klasma.github.io/Logging_2039/kartor/A 48552-2024 karta.png", "A 48552-2024")</f>
        <v/>
      </c>
      <c r="Y92">
        <f>HYPERLINK("https://klasma.github.io/Logging_2039/kartor_geotiff/A 48552-2024 georefererad karta.tif", "A 48552-2024")</f>
        <v/>
      </c>
      <c r="Z92">
        <f>HYPERLINK("https://klasma.github.io/Logging_2039/knärot/A 48552-2024 karta knärot.png", "A 48552-2024")</f>
        <v/>
      </c>
      <c r="AA92">
        <f>HYPERLINK("https://klasma.github.io/Logging_2039/klagomål/A 48552-2024 FSC-klagomål.docx", "A 48552-2024")</f>
        <v/>
      </c>
      <c r="AB92">
        <f>HYPERLINK("https://klasma.github.io/Logging_2039/klagomålsmail/A 48552-2024 FSC-klagomål mail.docx", "A 48552-2024")</f>
        <v/>
      </c>
      <c r="AC92">
        <f>HYPERLINK("https://klasma.github.io/Logging_2039/tillsyn/A 48552-2024 tillsynsbegäran.docx", "A 48552-2024")</f>
        <v/>
      </c>
      <c r="AD92">
        <f>HYPERLINK("https://klasma.github.io/Logging_2039/tillsynsmail/A 48552-2024 tillsynsbegäran mail.docx", "A 48552-2024")</f>
        <v/>
      </c>
      <c r="AE92">
        <f>HYPERLINK("https://klasma.github.io/Logging_2039/fåglar/A 48552-2024 prioriterade fågelarter.docx", "A 48552-2024")</f>
        <v/>
      </c>
    </row>
    <row r="93" ht="15" customHeight="1">
      <c r="A93" t="inlineStr">
        <is>
          <t>A 62684-2025</t>
        </is>
      </c>
      <c r="B93" t="inlineStr">
        <is>
          <t>avverkningsanmälan</t>
        </is>
      </c>
      <c r="C93" t="inlineStr">
        <is>
          <t>Föryngringsavverkning</t>
        </is>
      </c>
      <c r="D93" s="1" t="n">
        <v>46008</v>
      </c>
      <c r="E93" s="1" t="n">
        <v>46294</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54840-2025</t>
        </is>
      </c>
      <c r="B94" t="inlineStr">
        <is>
          <t>avverkningsanmälan</t>
        </is>
      </c>
      <c r="C94" t="inlineStr">
        <is>
          <t>Föryngringsavverkning</t>
        </is>
      </c>
      <c r="D94" s="1" t="n">
        <v>45966</v>
      </c>
      <c r="E94" s="1" t="n">
        <v>46294</v>
      </c>
      <c r="F94" t="inlineStr">
        <is>
          <t>DALARNAS LÄN</t>
        </is>
      </c>
      <c r="G94" t="inlineStr">
        <is>
          <t>ÄLVDALEN</t>
        </is>
      </c>
      <c r="I94" t="n">
        <v>16.3</v>
      </c>
      <c r="J94" t="n">
        <v>3</v>
      </c>
      <c r="K94" t="n">
        <v>2</v>
      </c>
      <c r="L94" t="n">
        <v>2</v>
      </c>
      <c r="M94" t="n">
        <v>1</v>
      </c>
      <c r="N94" t="n">
        <v>0</v>
      </c>
      <c r="O94" t="n">
        <v>0</v>
      </c>
      <c r="P94" t="n">
        <v>0</v>
      </c>
      <c r="Q94" t="n">
        <v>3</v>
      </c>
      <c r="R94" t="n">
        <v>1</v>
      </c>
      <c r="S94" t="n">
        <v>8</v>
      </c>
      <c r="T94" t="n">
        <v>61</v>
      </c>
      <c r="U94" t="n">
        <v>61</v>
      </c>
      <c r="V94" s="2" t="inlineStr">
        <is>
          <t>Garnlav
Kolflarnlav
Vedskivlav
Bronshjon
Mindre märgborre
Spillkråka
Kungsfågel
Revlummer</t>
        </is>
      </c>
      <c r="W94">
        <f>HYPERLINK("https://klasma.github.io/Logging_2039/artfynd/A 54840-2025 artfynd.xlsx", "A 54840-2025")</f>
        <v/>
      </c>
      <c r="X94">
        <f>HYPERLINK("https://klasma.github.io/Logging_2039/kartor/A 54840-2025 karta.png", "A 54840-2025")</f>
        <v/>
      </c>
      <c r="Y94">
        <f>HYPERLINK("https://klasma.github.io/Logging_2039/kartor_geotiff/A 54840-2025 georefererad karta.tif", "A 54840-2025")</f>
        <v/>
      </c>
      <c r="AA94">
        <f>HYPERLINK("https://klasma.github.io/Logging_2039/klagomål/A 54840-2025 FSC-klagomål.docx", "A 54840-2025")</f>
        <v/>
      </c>
      <c r="AB94">
        <f>HYPERLINK("https://klasma.github.io/Logging_2039/klagomålsmail/A 54840-2025 FSC-klagomål mail.docx", "A 54840-2025")</f>
        <v/>
      </c>
      <c r="AC94">
        <f>HYPERLINK("https://klasma.github.io/Logging_2039/tillsyn/A 54840-2025 tillsynsbegäran.docx", "A 54840-2025")</f>
        <v/>
      </c>
      <c r="AD94">
        <f>HYPERLINK("https://klasma.github.io/Logging_2039/tillsynsmail/A 54840-2025 tillsynsbegäran mail.docx", "A 54840-2025")</f>
        <v/>
      </c>
      <c r="AE94">
        <f>HYPERLINK("https://klasma.github.io/Logging_2039/fåglar/A 54840-2025 prioriterade fågelarter.docx", "A 54840-2025")</f>
        <v/>
      </c>
    </row>
    <row r="95" ht="15" customHeight="1">
      <c r="A95" t="inlineStr">
        <is>
          <t>A 66887-2021</t>
        </is>
      </c>
      <c r="B95" t="inlineStr">
        <is>
          <t>avverkningsanmälan</t>
        </is>
      </c>
      <c r="C95" t="inlineStr">
        <is>
          <t>Föryngringsavverkning</t>
        </is>
      </c>
      <c r="D95" s="1" t="n">
        <v>44522</v>
      </c>
      <c r="E95" s="1" t="n">
        <v>46294</v>
      </c>
      <c r="F95" t="inlineStr">
        <is>
          <t>DALARNAS LÄN</t>
        </is>
      </c>
      <c r="G95" t="inlineStr">
        <is>
          <t>ÄLVDALEN</t>
        </is>
      </c>
      <c r="I95" t="n">
        <v>1.8</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66887-2021 artfynd.xlsx", "A 66887-2021")</f>
        <v/>
      </c>
      <c r="X95">
        <f>HYPERLINK("https://klasma.github.io/Logging_2039/kartor/A 66887-2021 karta.png", "A 66887-2021")</f>
        <v/>
      </c>
      <c r="Y95">
        <f>HYPERLINK("https://klasma.github.io/Logging_2039/kartor_geotiff/A 66887-2021 georefererad karta.tif", "A 66887-2021")</f>
        <v/>
      </c>
      <c r="Z95">
        <f>HYPERLINK("https://klasma.github.io/Logging_2039/knärot/A 66887-2021 karta knärot.png", "A 66887-2021")</f>
        <v/>
      </c>
      <c r="AA95">
        <f>HYPERLINK("https://klasma.github.io/Logging_2039/klagomål/A 66887-2021 FSC-klagomål.docx", "A 66887-2021")</f>
        <v/>
      </c>
      <c r="AB95">
        <f>HYPERLINK("https://klasma.github.io/Logging_2039/klagomålsmail/A 66887-2021 FSC-klagomål mail.docx", "A 66887-2021")</f>
        <v/>
      </c>
      <c r="AC95">
        <f>HYPERLINK("https://klasma.github.io/Logging_2039/tillsyn/A 66887-2021 tillsynsbegäran.docx", "A 66887-2021")</f>
        <v/>
      </c>
      <c r="AD95">
        <f>HYPERLINK("https://klasma.github.io/Logging_2039/tillsynsmail/A 66887-2021 tillsynsbegäran mail.docx", "A 66887-2021")</f>
        <v/>
      </c>
      <c r="AE95">
        <f>HYPERLINK("https://klasma.github.io/Logging_2039/fåglar/A 66887-2021 prioriterade fågelarter.docx", "A 66887-2021")</f>
        <v/>
      </c>
    </row>
    <row r="96" ht="15" customHeight="1">
      <c r="A96" t="inlineStr">
        <is>
          <t>A 62355-2022</t>
        </is>
      </c>
      <c r="B96" t="inlineStr">
        <is>
          <t>avverkningsanmälan</t>
        </is>
      </c>
      <c r="C96" t="inlineStr">
        <is>
          <t>Föryngringsavverkning</t>
        </is>
      </c>
      <c r="D96" s="1" t="n">
        <v>44923</v>
      </c>
      <c r="E96" s="1" t="n">
        <v>46294</v>
      </c>
      <c r="F96" t="inlineStr">
        <is>
          <t>DALARNAS LÄN</t>
        </is>
      </c>
      <c r="G96" t="inlineStr">
        <is>
          <t>ÄLVDALEN</t>
        </is>
      </c>
      <c r="I96" t="n">
        <v>4.3</v>
      </c>
      <c r="J96" t="n">
        <v>4</v>
      </c>
      <c r="K96" t="n">
        <v>1</v>
      </c>
      <c r="L96" t="n">
        <v>3</v>
      </c>
      <c r="M96" t="n">
        <v>2</v>
      </c>
      <c r="N96" t="n">
        <v>0</v>
      </c>
      <c r="O96" t="n">
        <v>0</v>
      </c>
      <c r="P96" t="n">
        <v>0</v>
      </c>
      <c r="Q96" t="n">
        <v>5</v>
      </c>
      <c r="R96" t="n">
        <v>2</v>
      </c>
      <c r="S96" t="n">
        <v>8</v>
      </c>
      <c r="T96" t="n">
        <v>15</v>
      </c>
      <c r="U96" t="n">
        <v>15</v>
      </c>
      <c r="V96" s="2" t="inlineStr">
        <is>
          <t>Garnlav
Knärot
Kortskaftad ärgspik
Tretåig hackspett
Ullticka
Källmossa
Tjäder
Revlummer</t>
        </is>
      </c>
      <c r="W96">
        <f>HYPERLINK("https://klasma.github.io/Logging_2039/artfynd/A 62355-2022 artfynd.xlsx", "A 62355-2022")</f>
        <v/>
      </c>
      <c r="X96">
        <f>HYPERLINK("https://klasma.github.io/Logging_2039/kartor/A 62355-2022 karta.png", "A 62355-2022")</f>
        <v/>
      </c>
      <c r="Y96">
        <f>HYPERLINK("https://klasma.github.io/Logging_2039/kartor_geotiff/A 62355-2022 georefererad karta.tif", "A 62355-2022")</f>
        <v/>
      </c>
      <c r="Z96">
        <f>HYPERLINK("https://klasma.github.io/Logging_2039/knärot/A 62355-2022 karta knärot.png", "A 62355-2022")</f>
        <v/>
      </c>
      <c r="AA96">
        <f>HYPERLINK("https://klasma.github.io/Logging_2039/klagomål/A 62355-2022 FSC-klagomål.docx", "A 62355-2022")</f>
        <v/>
      </c>
      <c r="AB96">
        <f>HYPERLINK("https://klasma.github.io/Logging_2039/klagomålsmail/A 62355-2022 FSC-klagomål mail.docx", "A 62355-2022")</f>
        <v/>
      </c>
      <c r="AC96">
        <f>HYPERLINK("https://klasma.github.io/Logging_2039/tillsyn/A 62355-2022 tillsynsbegäran.docx", "A 62355-2022")</f>
        <v/>
      </c>
      <c r="AD96">
        <f>HYPERLINK("https://klasma.github.io/Logging_2039/tillsynsmail/A 62355-2022 tillsynsbegäran mail.docx", "A 62355-2022")</f>
        <v/>
      </c>
      <c r="AE96">
        <f>HYPERLINK("https://klasma.github.io/Logging_2039/fåglar/A 62355-2022 prioriterade fågelarter.docx", "A 62355-2022")</f>
        <v/>
      </c>
    </row>
    <row r="97" ht="15" customHeight="1">
      <c r="A97" t="inlineStr">
        <is>
          <t>A 24018-2026</t>
        </is>
      </c>
      <c r="B97" t="inlineStr">
        <is>
          <t>avverkningsanmälan</t>
        </is>
      </c>
      <c r="C97" t="inlineStr">
        <is>
          <t>Föryngringsavverkning</t>
        </is>
      </c>
      <c r="D97" s="1" t="n">
        <v>46167</v>
      </c>
      <c r="E97" s="1" t="n">
        <v>46294</v>
      </c>
      <c r="F97" t="inlineStr">
        <is>
          <t>DALARNAS LÄN</t>
        </is>
      </c>
      <c r="G97" t="inlineStr">
        <is>
          <t>ÄLVDALEN</t>
        </is>
      </c>
      <c r="I97" t="n">
        <v>1.1</v>
      </c>
      <c r="J97" t="n">
        <v>7</v>
      </c>
      <c r="K97" t="n">
        <v>0</v>
      </c>
      <c r="L97" t="n">
        <v>1</v>
      </c>
      <c r="M97" t="n">
        <v>1</v>
      </c>
      <c r="N97" t="n">
        <v>0</v>
      </c>
      <c r="O97" t="n">
        <v>0</v>
      </c>
      <c r="P97" t="n">
        <v>0</v>
      </c>
      <c r="Q97" t="n">
        <v>2</v>
      </c>
      <c r="R97" t="n">
        <v>1</v>
      </c>
      <c r="S97" t="n">
        <v>8</v>
      </c>
      <c r="T97" t="n">
        <v>10</v>
      </c>
      <c r="U97" t="n">
        <v>10</v>
      </c>
      <c r="V97" s="2" t="inlineStr">
        <is>
          <t>Knärot
Järnsparv
Ormbär
Spillkråka
Tjäder
Vanlig groda
Fläcknycklar
Revlummer</t>
        </is>
      </c>
      <c r="W97">
        <f>HYPERLINK("https://klasma.github.io/Logging_2039/artfynd/A 24018-2026 artfynd.xlsx", "A 24018-2026")</f>
        <v/>
      </c>
      <c r="X97">
        <f>HYPERLINK("https://klasma.github.io/Logging_2039/kartor/A 24018-2026 karta.png", "A 24018-2026")</f>
        <v/>
      </c>
      <c r="Y97">
        <f>HYPERLINK("https://klasma.github.io/Logging_2039/kartor_geotiff/A 24018-2026 georefererad karta.tif", "A 24018-2026")</f>
        <v/>
      </c>
      <c r="Z97">
        <f>HYPERLINK("https://klasma.github.io/Logging_2039/knärot/A 24018-2026 karta knärot.png", "A 24018-2026")</f>
        <v/>
      </c>
      <c r="AA97">
        <f>HYPERLINK("https://klasma.github.io/Logging_2039/klagomål/A 24018-2026 FSC-klagomål.docx", "A 24018-2026")</f>
        <v/>
      </c>
      <c r="AB97">
        <f>HYPERLINK("https://klasma.github.io/Logging_2039/klagomålsmail/A 24018-2026 FSC-klagomål mail.docx", "A 24018-2026")</f>
        <v/>
      </c>
      <c r="AC97">
        <f>HYPERLINK("https://klasma.github.io/Logging_2039/tillsyn/A 24018-2026 tillsynsbegäran.docx", "A 24018-2026")</f>
        <v/>
      </c>
      <c r="AD97">
        <f>HYPERLINK("https://klasma.github.io/Logging_2039/tillsynsmail/A 24018-2026 tillsynsbegäran mail.docx", "A 24018-2026")</f>
        <v/>
      </c>
      <c r="AE97">
        <f>HYPERLINK("https://klasma.github.io/Logging_2039/fåglar/A 24018-2026 prioriterade fågelarter.docx", "A 24018-2026")</f>
        <v/>
      </c>
    </row>
    <row r="98" ht="15" customHeight="1">
      <c r="A98" t="inlineStr">
        <is>
          <t>A 50385-2024</t>
        </is>
      </c>
      <c r="B98" t="inlineStr">
        <is>
          <t>avverkningsanmälan</t>
        </is>
      </c>
      <c r="C98" t="inlineStr">
        <is>
          <t>Föryngringsavverkning</t>
        </is>
      </c>
      <c r="D98" s="1" t="n">
        <v>45600</v>
      </c>
      <c r="E98" s="1" t="n">
        <v>46294</v>
      </c>
      <c r="F98" t="inlineStr">
        <is>
          <t>DALARNAS LÄN</t>
        </is>
      </c>
      <c r="G98" t="inlineStr">
        <is>
          <t>ÄLVDALEN</t>
        </is>
      </c>
      <c r="H98" t="inlineStr">
        <is>
          <t>Övriga statliga verk och myndigheter</t>
        </is>
      </c>
      <c r="I98" t="n">
        <v>13.9</v>
      </c>
      <c r="J98" t="n">
        <v>2</v>
      </c>
      <c r="K98" t="n">
        <v>2</v>
      </c>
      <c r="L98" t="n">
        <v>5</v>
      </c>
      <c r="M98" t="n">
        <v>1</v>
      </c>
      <c r="N98" t="n">
        <v>0</v>
      </c>
      <c r="O98" t="n">
        <v>0</v>
      </c>
      <c r="P98" t="n">
        <v>0</v>
      </c>
      <c r="Q98" t="n">
        <v>6</v>
      </c>
      <c r="R98" t="n">
        <v>1</v>
      </c>
      <c r="S98" t="n">
        <v>8</v>
      </c>
      <c r="T98" t="n">
        <v>9</v>
      </c>
      <c r="U98" t="n">
        <v>9</v>
      </c>
      <c r="V98" s="2" t="inlineStr">
        <is>
          <t>Garnlav
Duvhök
Gammelgransskål
Lavskrika
Liten svartspik
Violettgrå tagellav
Bronshjon
Vågbandad barkbock</t>
        </is>
      </c>
      <c r="W98">
        <f>HYPERLINK("https://klasma.github.io/Logging_2039/artfynd/A 50385-2024 artfynd.xlsx", "A 50385-2024")</f>
        <v/>
      </c>
      <c r="X98">
        <f>HYPERLINK("https://klasma.github.io/Logging_2039/kartor/A 50385-2024 karta.png", "A 50385-2024")</f>
        <v/>
      </c>
      <c r="Y98">
        <f>HYPERLINK("https://klasma.github.io/Logging_2039/kartor_geotiff/A 50385-2024 georefererad karta.tif", "A 50385-2024")</f>
        <v/>
      </c>
      <c r="AA98">
        <f>HYPERLINK("https://klasma.github.io/Logging_2039/klagomål/A 50385-2024 FSC-klagomål.docx", "A 50385-2024")</f>
        <v/>
      </c>
      <c r="AB98">
        <f>HYPERLINK("https://klasma.github.io/Logging_2039/klagomålsmail/A 50385-2024 FSC-klagomål mail.docx", "A 50385-2024")</f>
        <v/>
      </c>
      <c r="AC98">
        <f>HYPERLINK("https://klasma.github.io/Logging_2039/tillsyn/A 50385-2024 tillsynsbegäran.docx", "A 50385-2024")</f>
        <v/>
      </c>
      <c r="AD98">
        <f>HYPERLINK("https://klasma.github.io/Logging_2039/tillsynsmail/A 50385-2024 tillsynsbegäran mail.docx", "A 50385-2024")</f>
        <v/>
      </c>
      <c r="AE98">
        <f>HYPERLINK("https://klasma.github.io/Logging_2039/fåglar/A 50385-2024 prioriterade fågelarter.docx", "A 50385-2024")</f>
        <v/>
      </c>
    </row>
    <row r="99" ht="15" customHeight="1">
      <c r="A99" t="inlineStr">
        <is>
          <t>A 11125-2026</t>
        </is>
      </c>
      <c r="B99" t="inlineStr">
        <is>
          <t>avverkningsanmälan</t>
        </is>
      </c>
      <c r="C99" t="inlineStr">
        <is>
          <t>Föryngringsavverkning</t>
        </is>
      </c>
      <c r="D99" s="1" t="n">
        <v>46079</v>
      </c>
      <c r="E99" s="1" t="n">
        <v>46294</v>
      </c>
      <c r="F99" t="inlineStr">
        <is>
          <t>DALARNAS LÄN</t>
        </is>
      </c>
      <c r="G99" t="inlineStr">
        <is>
          <t>ÄLVDALEN</t>
        </is>
      </c>
      <c r="I99" t="n">
        <v>10.5</v>
      </c>
      <c r="J99" t="n">
        <v>2</v>
      </c>
      <c r="K99" t="n">
        <v>0</v>
      </c>
      <c r="L99" t="n">
        <v>6</v>
      </c>
      <c r="M99" t="n">
        <v>2</v>
      </c>
      <c r="N99" t="n">
        <v>0</v>
      </c>
      <c r="O99" t="n">
        <v>0</v>
      </c>
      <c r="P99" t="n">
        <v>0</v>
      </c>
      <c r="Q99" t="n">
        <v>8</v>
      </c>
      <c r="R99" t="n">
        <v>2</v>
      </c>
      <c r="S99" t="n">
        <v>8</v>
      </c>
      <c r="T99" t="n">
        <v>20</v>
      </c>
      <c r="U99" t="n">
        <v>20</v>
      </c>
      <c r="V99" s="2" t="inlineStr">
        <is>
          <t>Garnlav
Gräddporing
Kolflarnlav
Tretåig hackspett
Varglav
Vedflamlav
Vedskivlav
Violettgrå tagellav</t>
        </is>
      </c>
      <c r="W99">
        <f>HYPERLINK("https://klasma.github.io/Logging_2039/artfynd/A 11125-2026 artfynd.xlsx", "A 11125-2026")</f>
        <v/>
      </c>
      <c r="X99">
        <f>HYPERLINK("https://klasma.github.io/Logging_2039/kartor/A 11125-2026 karta.png", "A 11125-2026")</f>
        <v/>
      </c>
      <c r="Y99">
        <f>HYPERLINK("https://klasma.github.io/Logging_2039/kartor_geotiff/A 11125-2026 georefererad karta.tif", "A 11125-2026")</f>
        <v/>
      </c>
      <c r="AA99">
        <f>HYPERLINK("https://klasma.github.io/Logging_2039/klagomål/A 11125-2026 FSC-klagomål.docx", "A 11125-2026")</f>
        <v/>
      </c>
      <c r="AB99">
        <f>HYPERLINK("https://klasma.github.io/Logging_2039/klagomålsmail/A 11125-2026 FSC-klagomål mail.docx", "A 11125-2026")</f>
        <v/>
      </c>
      <c r="AC99">
        <f>HYPERLINK("https://klasma.github.io/Logging_2039/tillsyn/A 11125-2026 tillsynsbegäran.docx", "A 11125-2026")</f>
        <v/>
      </c>
      <c r="AD99">
        <f>HYPERLINK("https://klasma.github.io/Logging_2039/tillsynsmail/A 11125-2026 tillsynsbegäran mail.docx", "A 11125-2026")</f>
        <v/>
      </c>
      <c r="AE99">
        <f>HYPERLINK("https://klasma.github.io/Logging_2039/fåglar/A 11125-2026 prioriterade fågelarter.docx", "A 11125-2026")</f>
        <v/>
      </c>
    </row>
    <row r="100" ht="15" customHeight="1">
      <c r="A100" t="inlineStr">
        <is>
          <t>A 32345-2026</t>
        </is>
      </c>
      <c r="B100" t="inlineStr">
        <is>
          <t>avverkningsanmälan</t>
        </is>
      </c>
      <c r="C100" t="inlineStr">
        <is>
          <t>Föryngringsavverkning</t>
        </is>
      </c>
      <c r="D100" s="1" t="n">
        <v>46238</v>
      </c>
      <c r="E100" s="1" t="n">
        <v>46294</v>
      </c>
      <c r="F100" t="inlineStr">
        <is>
          <t>DALARNAS LÄN</t>
        </is>
      </c>
      <c r="G100" t="inlineStr">
        <is>
          <t>ÄLVDALEN</t>
        </is>
      </c>
      <c r="H100" t="inlineStr">
        <is>
          <t>Allmännings- och besparingsskogar</t>
        </is>
      </c>
      <c r="I100" t="n">
        <v>4.7</v>
      </c>
      <c r="J100" t="n">
        <v>3</v>
      </c>
      <c r="K100" t="n">
        <v>1</v>
      </c>
      <c r="L100" t="n">
        <v>3</v>
      </c>
      <c r="M100" t="n">
        <v>0</v>
      </c>
      <c r="N100" t="n">
        <v>0</v>
      </c>
      <c r="O100" t="n">
        <v>0</v>
      </c>
      <c r="P100" t="n">
        <v>0</v>
      </c>
      <c r="Q100" t="n">
        <v>3</v>
      </c>
      <c r="R100" t="n">
        <v>0</v>
      </c>
      <c r="S100" t="n">
        <v>8</v>
      </c>
      <c r="T100" t="n">
        <v>16</v>
      </c>
      <c r="U100" t="n">
        <v>16</v>
      </c>
      <c r="V100" s="2" t="inlineStr">
        <is>
          <t>Gullpudra
Harticka
Talltita
Norrlandslav
Brudborste
Ormbär
Spillkråka
Revlummer</t>
        </is>
      </c>
      <c r="W100">
        <f>HYPERLINK("https://klasma.github.io/Logging_2039/artfynd/A 32345-2026 artfynd.xlsx", "A 32345-2026")</f>
        <v/>
      </c>
      <c r="X100">
        <f>HYPERLINK("https://klasma.github.io/Logging_2039/kartor/A 32345-2026 karta.png", "A 32345-2026")</f>
        <v/>
      </c>
      <c r="Y100">
        <f>HYPERLINK("https://klasma.github.io/Logging_2039/kartor_geotiff/A 32345-2026 georefererad karta.tif", "A 32345-2026")</f>
        <v/>
      </c>
      <c r="AA100">
        <f>HYPERLINK("https://klasma.github.io/Logging_2039/klagomål/A 32345-2026 FSC-klagomål.docx", "A 32345-2026")</f>
        <v/>
      </c>
      <c r="AB100">
        <f>HYPERLINK("https://klasma.github.io/Logging_2039/klagomålsmail/A 32345-2026 FSC-klagomål mail.docx", "A 32345-2026")</f>
        <v/>
      </c>
      <c r="AC100">
        <f>HYPERLINK("https://klasma.github.io/Logging_2039/tillsyn/A 32345-2026 tillsynsbegäran.docx", "A 32345-2026")</f>
        <v/>
      </c>
      <c r="AD100">
        <f>HYPERLINK("https://klasma.github.io/Logging_2039/tillsynsmail/A 32345-2026 tillsynsbegäran mail.docx", "A 32345-2026")</f>
        <v/>
      </c>
      <c r="AE100">
        <f>HYPERLINK("https://klasma.github.io/Logging_2039/fåglar/A 32345-2026 prioriterade fågelarter.docx", "A 32345-2026")</f>
        <v/>
      </c>
    </row>
    <row r="101" ht="15" customHeight="1">
      <c r="A101" t="inlineStr">
        <is>
          <t>A 59303-2025</t>
        </is>
      </c>
      <c r="B101" t="inlineStr">
        <is>
          <t>avverkningsanmälan</t>
        </is>
      </c>
      <c r="C101" t="inlineStr">
        <is>
          <t>Föryngringsavverkning</t>
        </is>
      </c>
      <c r="D101" s="1" t="n">
        <v>45988</v>
      </c>
      <c r="E101" s="1" t="n">
        <v>46294</v>
      </c>
      <c r="F101" t="inlineStr">
        <is>
          <t>DALARNAS LÄN</t>
        </is>
      </c>
      <c r="G101" t="inlineStr">
        <is>
          <t>ÄLVDALEN</t>
        </is>
      </c>
      <c r="H101" t="inlineStr">
        <is>
          <t>Allmännings- och besparingsskogar</t>
        </is>
      </c>
      <c r="I101" t="n">
        <v>18.2</v>
      </c>
      <c r="J101" t="n">
        <v>1</v>
      </c>
      <c r="K101" t="n">
        <v>0</v>
      </c>
      <c r="L101" t="n">
        <v>7</v>
      </c>
      <c r="M101" t="n">
        <v>1</v>
      </c>
      <c r="N101" t="n">
        <v>0</v>
      </c>
      <c r="O101" t="n">
        <v>0</v>
      </c>
      <c r="P101" t="n">
        <v>0</v>
      </c>
      <c r="Q101" t="n">
        <v>8</v>
      </c>
      <c r="R101" t="n">
        <v>1</v>
      </c>
      <c r="S101" t="n">
        <v>8</v>
      </c>
      <c r="T101" t="n">
        <v>30</v>
      </c>
      <c r="U101" t="n">
        <v>30</v>
      </c>
      <c r="V101" s="2" t="inlineStr">
        <is>
          <t>Garnlav
Blanksvart spiklav
Blågrå svartspik
Liten svartspik
Tretåig hackspett
Vedflamlav
Violettgrå tagellav
Vitgrynig nållav</t>
        </is>
      </c>
      <c r="W101">
        <f>HYPERLINK("https://klasma.github.io/Logging_2039/artfynd/A 59303-2025 artfynd.xlsx", "A 59303-2025")</f>
        <v/>
      </c>
      <c r="X101">
        <f>HYPERLINK("https://klasma.github.io/Logging_2039/kartor/A 59303-2025 karta.png", "A 59303-2025")</f>
        <v/>
      </c>
      <c r="Y101">
        <f>HYPERLINK("https://klasma.github.io/Logging_2039/kartor_geotiff/A 59303-2025 georefererad karta.tif", "A 59303-2025")</f>
        <v/>
      </c>
      <c r="AA101">
        <f>HYPERLINK("https://klasma.github.io/Logging_2039/klagomål/A 59303-2025 FSC-klagomål.docx", "A 59303-2025")</f>
        <v/>
      </c>
      <c r="AB101">
        <f>HYPERLINK("https://klasma.github.io/Logging_2039/klagomålsmail/A 59303-2025 FSC-klagomål mail.docx", "A 59303-2025")</f>
        <v/>
      </c>
      <c r="AC101">
        <f>HYPERLINK("https://klasma.github.io/Logging_2039/tillsyn/A 59303-2025 tillsynsbegäran.docx", "A 59303-2025")</f>
        <v/>
      </c>
      <c r="AD101">
        <f>HYPERLINK("https://klasma.github.io/Logging_2039/tillsynsmail/A 59303-2025 tillsynsbegäran mail.docx", "A 59303-2025")</f>
        <v/>
      </c>
      <c r="AE101">
        <f>HYPERLINK("https://klasma.github.io/Logging_2039/fåglar/A 59303-2025 prioriterade fågelarter.docx", "A 59303-2025")</f>
        <v/>
      </c>
    </row>
    <row r="102" ht="15" customHeight="1">
      <c r="A102" t="inlineStr">
        <is>
          <t>A 50070-2025</t>
        </is>
      </c>
      <c r="B102" t="inlineStr">
        <is>
          <t>avverkningsanmälan</t>
        </is>
      </c>
      <c r="C102" t="inlineStr">
        <is>
          <t>Föryngringsavverkning</t>
        </is>
      </c>
      <c r="D102" s="1" t="n">
        <v>45943</v>
      </c>
      <c r="E102" s="1" t="n">
        <v>46294</v>
      </c>
      <c r="F102" t="inlineStr">
        <is>
          <t>DALARNAS LÄN</t>
        </is>
      </c>
      <c r="G102" t="inlineStr">
        <is>
          <t>ÄLVDALEN</t>
        </is>
      </c>
      <c r="H102" t="inlineStr">
        <is>
          <t>Allmännings- och besparingsskogar</t>
        </is>
      </c>
      <c r="I102" t="n">
        <v>2.6</v>
      </c>
      <c r="J102" t="n">
        <v>3</v>
      </c>
      <c r="K102" t="n">
        <v>0</v>
      </c>
      <c r="L102" t="n">
        <v>5</v>
      </c>
      <c r="M102" t="n">
        <v>1</v>
      </c>
      <c r="N102" t="n">
        <v>0</v>
      </c>
      <c r="O102" t="n">
        <v>0</v>
      </c>
      <c r="P102" t="n">
        <v>0</v>
      </c>
      <c r="Q102" t="n">
        <v>6</v>
      </c>
      <c r="R102" t="n">
        <v>1</v>
      </c>
      <c r="S102" t="n">
        <v>8</v>
      </c>
      <c r="T102" t="n">
        <v>20</v>
      </c>
      <c r="U102" t="n">
        <v>20</v>
      </c>
      <c r="V102" s="2" t="inlineStr">
        <is>
          <t>Garnlav
Kolflarnlav
Mörk kolflarnlav
Tallticka
Varglav
Vedskivlav
Spillkråka
Tjäder</t>
        </is>
      </c>
      <c r="W102">
        <f>HYPERLINK("https://klasma.github.io/Logging_2039/artfynd/A 50070-2025 artfynd.xlsx", "A 50070-2025")</f>
        <v/>
      </c>
      <c r="X102">
        <f>HYPERLINK("https://klasma.github.io/Logging_2039/kartor/A 50070-2025 karta.png", "A 50070-2025")</f>
        <v/>
      </c>
      <c r="Y102">
        <f>HYPERLINK("https://klasma.github.io/Logging_2039/kartor_geotiff/A 50070-2025 georefererad karta.tif", "A 50070-2025")</f>
        <v/>
      </c>
      <c r="AA102">
        <f>HYPERLINK("https://klasma.github.io/Logging_2039/klagomål/A 50070-2025 FSC-klagomål.docx", "A 50070-2025")</f>
        <v/>
      </c>
      <c r="AB102">
        <f>HYPERLINK("https://klasma.github.io/Logging_2039/klagomålsmail/A 50070-2025 FSC-klagomål mail.docx", "A 50070-2025")</f>
        <v/>
      </c>
      <c r="AC102">
        <f>HYPERLINK("https://klasma.github.io/Logging_2039/tillsyn/A 50070-2025 tillsynsbegäran.docx", "A 50070-2025")</f>
        <v/>
      </c>
      <c r="AD102">
        <f>HYPERLINK("https://klasma.github.io/Logging_2039/tillsynsmail/A 50070-2025 tillsynsbegäran mail.docx", "A 50070-2025")</f>
        <v/>
      </c>
      <c r="AE102">
        <f>HYPERLINK("https://klasma.github.io/Logging_2039/fåglar/A 50070-2025 prioriterade fågelarter.docx", "A 50070-2025")</f>
        <v/>
      </c>
    </row>
    <row r="103" ht="15" customHeight="1">
      <c r="A103" t="inlineStr">
        <is>
          <t>A 49052-2023</t>
        </is>
      </c>
      <c r="B103" t="inlineStr">
        <is>
          <t>avverkningsanmälan</t>
        </is>
      </c>
      <c r="C103" t="inlineStr">
        <is>
          <t>Föryngringsavverkning</t>
        </is>
      </c>
      <c r="D103" s="1" t="n">
        <v>45210</v>
      </c>
      <c r="E103" s="1" t="n">
        <v>46294</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63327-2025</t>
        </is>
      </c>
      <c r="B104" t="inlineStr">
        <is>
          <t>avverkningsanmälan</t>
        </is>
      </c>
      <c r="C104" t="inlineStr">
        <is>
          <t>Föryngringsavverkning</t>
        </is>
      </c>
      <c r="D104" s="1" t="n">
        <v>46010</v>
      </c>
      <c r="E104" s="1" t="n">
        <v>46294</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38585-2023</t>
        </is>
      </c>
      <c r="B105" t="inlineStr">
        <is>
          <t>avverkningsanmälan</t>
        </is>
      </c>
      <c r="C105" t="inlineStr">
        <is>
          <t>Föryngringsavverkning</t>
        </is>
      </c>
      <c r="D105" s="1" t="n">
        <v>45162</v>
      </c>
      <c r="E105" s="1" t="n">
        <v>46294</v>
      </c>
      <c r="F105" t="inlineStr">
        <is>
          <t>DALARNAS LÄN</t>
        </is>
      </c>
      <c r="G105" t="inlineStr">
        <is>
          <t>ÄLVDALEN</t>
        </is>
      </c>
      <c r="H105" t="inlineStr">
        <is>
          <t>Sveaskog</t>
        </is>
      </c>
      <c r="I105" t="n">
        <v>7.8</v>
      </c>
      <c r="J105" t="n">
        <v>1</v>
      </c>
      <c r="K105" t="n">
        <v>1</v>
      </c>
      <c r="L105" t="n">
        <v>6</v>
      </c>
      <c r="M105" t="n">
        <v>0</v>
      </c>
      <c r="N105" t="n">
        <v>0</v>
      </c>
      <c r="O105" t="n">
        <v>0</v>
      </c>
      <c r="P105" t="n">
        <v>0</v>
      </c>
      <c r="Q105" t="n">
        <v>6</v>
      </c>
      <c r="R105" t="n">
        <v>0</v>
      </c>
      <c r="S105" t="n">
        <v>7</v>
      </c>
      <c r="T105" t="n">
        <v>12</v>
      </c>
      <c r="U105" t="n">
        <v>11</v>
      </c>
      <c r="V105" s="2" t="inlineStr">
        <is>
          <t>Blanksvart spiklav
Blå taggsvamp
Dropptaggsvamp
Dvärgbägarlav
Kolflarnlav
Skarp dropptaggsvamp
Plattlummer</t>
        </is>
      </c>
      <c r="W105">
        <f>HYPERLINK("https://klasma.github.io/Logging_2039/artfynd/A 38585-2023 artfynd.xlsx", "A 38585-2023")</f>
        <v/>
      </c>
      <c r="X105">
        <f>HYPERLINK("https://klasma.github.io/Logging_2039/kartor/A 38585-2023 karta.png", "A 38585-2023")</f>
        <v/>
      </c>
      <c r="Y105">
        <f>HYPERLINK("https://klasma.github.io/Logging_2039/kartor_geotiff/A 38585-2023 georefererad karta.tif", "A 38585-2023")</f>
        <v/>
      </c>
      <c r="AA105">
        <f>HYPERLINK("https://klasma.github.io/Logging_2039/klagomål/A 38585-2023 FSC-klagomål.docx", "A 38585-2023")</f>
        <v/>
      </c>
      <c r="AB105">
        <f>HYPERLINK("https://klasma.github.io/Logging_2039/klagomålsmail/A 38585-2023 FSC-klagomål mail.docx", "A 38585-2023")</f>
        <v/>
      </c>
      <c r="AC105">
        <f>HYPERLINK("https://klasma.github.io/Logging_2039/tillsyn/A 38585-2023 tillsynsbegäran.docx", "A 38585-2023")</f>
        <v/>
      </c>
      <c r="AD105">
        <f>HYPERLINK("https://klasma.github.io/Logging_2039/tillsynsmail/A 38585-2023 tillsynsbegäran mail.docx", "A 38585-2023")</f>
        <v/>
      </c>
    </row>
    <row r="106" ht="15" customHeight="1">
      <c r="A106" t="inlineStr">
        <is>
          <t>A 31821-2025</t>
        </is>
      </c>
      <c r="B106" t="inlineStr">
        <is>
          <t>avverkningsanmälan</t>
        </is>
      </c>
      <c r="C106" t="inlineStr">
        <is>
          <t>Föryngringsavverkning</t>
        </is>
      </c>
      <c r="D106" s="1" t="n">
        <v>45834</v>
      </c>
      <c r="E106" s="1" t="n">
        <v>46294</v>
      </c>
      <c r="F106" t="inlineStr">
        <is>
          <t>DALARNAS LÄN</t>
        </is>
      </c>
      <c r="G106" t="inlineStr">
        <is>
          <t>ÄLVDALEN</t>
        </is>
      </c>
      <c r="H106" t="inlineStr">
        <is>
          <t>Allmännings- och besparingsskogar</t>
        </is>
      </c>
      <c r="I106" t="n">
        <v>1.2</v>
      </c>
      <c r="J106" t="n">
        <v>1</v>
      </c>
      <c r="K106" t="n">
        <v>1</v>
      </c>
      <c r="L106" t="n">
        <v>5</v>
      </c>
      <c r="M106" t="n">
        <v>1</v>
      </c>
      <c r="N106" t="n">
        <v>0</v>
      </c>
      <c r="O106" t="n">
        <v>0</v>
      </c>
      <c r="P106" t="n">
        <v>0</v>
      </c>
      <c r="Q106" t="n">
        <v>6</v>
      </c>
      <c r="R106" t="n">
        <v>1</v>
      </c>
      <c r="S106" t="n">
        <v>7</v>
      </c>
      <c r="T106" t="n">
        <v>16</v>
      </c>
      <c r="U106" t="n">
        <v>16</v>
      </c>
      <c r="V106" s="2" t="inlineStr">
        <is>
          <t>Fläckporing
Blanksvart spiklav
Kolflarnlav
Varglav
Vedflamlav
Vedskivlav
Mindre märgborre</t>
        </is>
      </c>
      <c r="W106">
        <f>HYPERLINK("https://klasma.github.io/Logging_2039/artfynd/A 31821-2025 artfynd.xlsx", "A 31821-2025")</f>
        <v/>
      </c>
      <c r="X106">
        <f>HYPERLINK("https://klasma.github.io/Logging_2039/kartor/A 31821-2025 karta.png", "A 31821-2025")</f>
        <v/>
      </c>
      <c r="Y106">
        <f>HYPERLINK("https://klasma.github.io/Logging_2039/kartor_geotiff/A 31821-2025 georefererad karta.tif", "A 31821-2025")</f>
        <v/>
      </c>
      <c r="AA106">
        <f>HYPERLINK("https://klasma.github.io/Logging_2039/klagomål/A 31821-2025 FSC-klagomål.docx", "A 31821-2025")</f>
        <v/>
      </c>
      <c r="AB106">
        <f>HYPERLINK("https://klasma.github.io/Logging_2039/klagomålsmail/A 31821-2025 FSC-klagomål mail.docx", "A 31821-2025")</f>
        <v/>
      </c>
      <c r="AC106">
        <f>HYPERLINK("https://klasma.github.io/Logging_2039/tillsyn/A 31821-2025 tillsynsbegäran.docx", "A 31821-2025")</f>
        <v/>
      </c>
      <c r="AD106">
        <f>HYPERLINK("https://klasma.github.io/Logging_2039/tillsynsmail/A 31821-2025 tillsynsbegäran mail.docx", "A 31821-2025")</f>
        <v/>
      </c>
    </row>
    <row r="107" ht="15" customHeight="1">
      <c r="A107" t="inlineStr">
        <is>
          <t>A 55222-2025</t>
        </is>
      </c>
      <c r="B107" t="inlineStr">
        <is>
          <t>avverkningsanmälan</t>
        </is>
      </c>
      <c r="C107" t="inlineStr">
        <is>
          <t>Föryngringsavverkning</t>
        </is>
      </c>
      <c r="D107" s="1" t="n">
        <v>45968</v>
      </c>
      <c r="E107" s="1" t="n">
        <v>46294</v>
      </c>
      <c r="F107" t="inlineStr">
        <is>
          <t>DALARNAS LÄN</t>
        </is>
      </c>
      <c r="G107" t="inlineStr">
        <is>
          <t>ÄLVDALEN</t>
        </is>
      </c>
      <c r="H107" t="inlineStr">
        <is>
          <t>Sveaskog</t>
        </is>
      </c>
      <c r="I107" t="n">
        <v>2.8</v>
      </c>
      <c r="J107" t="n">
        <v>0</v>
      </c>
      <c r="K107" t="n">
        <v>0</v>
      </c>
      <c r="L107" t="n">
        <v>5</v>
      </c>
      <c r="M107" t="n">
        <v>1</v>
      </c>
      <c r="N107" t="n">
        <v>1</v>
      </c>
      <c r="O107" t="n">
        <v>0</v>
      </c>
      <c r="P107" t="n">
        <v>0</v>
      </c>
      <c r="Q107" t="n">
        <v>7</v>
      </c>
      <c r="R107" t="n">
        <v>2</v>
      </c>
      <c r="S107" t="n">
        <v>7</v>
      </c>
      <c r="T107" t="n">
        <v>8</v>
      </c>
      <c r="U107" t="n">
        <v>0</v>
      </c>
      <c r="V107" s="2" t="inlineStr">
        <is>
          <t>Urskogsticka
Gräddporing
Dvärgbägarlav
Kolflarnlav
Mörk kolflarnlav
Nordtagging
Vedflamlav</t>
        </is>
      </c>
      <c r="W107">
        <f>HYPERLINK("https://klasma.github.io/Logging_2039/artfynd/A 55222-2025 artfynd.xlsx", "A 55222-2025")</f>
        <v/>
      </c>
      <c r="X107">
        <f>HYPERLINK("https://klasma.github.io/Logging_2039/kartor/A 55222-2025 karta.png", "A 55222-2025")</f>
        <v/>
      </c>
      <c r="Y107">
        <f>HYPERLINK("https://klasma.github.io/Logging_2039/kartor_geotiff/A 55222-2025 georefererad karta.tif", "A 55222-2025")</f>
        <v/>
      </c>
      <c r="AA107">
        <f>HYPERLINK("https://klasma.github.io/Logging_2039/klagomål/A 55222-2025 FSC-klagomål.docx", "A 55222-2025")</f>
        <v/>
      </c>
      <c r="AB107">
        <f>HYPERLINK("https://klasma.github.io/Logging_2039/klagomålsmail/A 55222-2025 FSC-klagomål mail.docx", "A 55222-2025")</f>
        <v/>
      </c>
      <c r="AC107">
        <f>HYPERLINK("https://klasma.github.io/Logging_2039/tillsyn/A 55222-2025 tillsynsbegäran.docx", "A 55222-2025")</f>
        <v/>
      </c>
      <c r="AD107">
        <f>HYPERLINK("https://klasma.github.io/Logging_2039/tillsynsmail/A 55222-2025 tillsynsbegäran mail.docx", "A 55222-2025")</f>
        <v/>
      </c>
    </row>
    <row r="108" ht="15" customHeight="1">
      <c r="A108" t="inlineStr">
        <is>
          <t>A 58889-2025</t>
        </is>
      </c>
      <c r="B108" t="inlineStr">
        <is>
          <t>avverkningsanmälan</t>
        </is>
      </c>
      <c r="C108" t="inlineStr">
        <is>
          <t>Föryngringsavverkning</t>
        </is>
      </c>
      <c r="D108" s="1" t="n">
        <v>45987</v>
      </c>
      <c r="E108" s="1" t="n">
        <v>46294</v>
      </c>
      <c r="F108" t="inlineStr">
        <is>
          <t>DALARNAS LÄN</t>
        </is>
      </c>
      <c r="G108" t="inlineStr">
        <is>
          <t>ÄLVDALEN</t>
        </is>
      </c>
      <c r="H108" t="inlineStr">
        <is>
          <t>Sveaskog</t>
        </is>
      </c>
      <c r="I108" t="n">
        <v>6.6</v>
      </c>
      <c r="J108" t="n">
        <v>1</v>
      </c>
      <c r="K108" t="n">
        <v>1</v>
      </c>
      <c r="L108" t="n">
        <v>6</v>
      </c>
      <c r="M108" t="n">
        <v>0</v>
      </c>
      <c r="N108" t="n">
        <v>0</v>
      </c>
      <c r="O108" t="n">
        <v>0</v>
      </c>
      <c r="P108" t="n">
        <v>0</v>
      </c>
      <c r="Q108" t="n">
        <v>6</v>
      </c>
      <c r="R108" t="n">
        <v>0</v>
      </c>
      <c r="S108" t="n">
        <v>7</v>
      </c>
      <c r="T108" t="n">
        <v>7</v>
      </c>
      <c r="U108" t="n">
        <v>0</v>
      </c>
      <c r="V108" s="2" t="inlineStr">
        <is>
          <t>Dropptaggsvamp
Dvärgbägarlav
Kolflarnlav
Lunglav
Mörk kolflarnlav
Vedflamlav
Plattlummer</t>
        </is>
      </c>
      <c r="W108">
        <f>HYPERLINK("https://klasma.github.io/Logging_2039/artfynd/A 58889-2025 artfynd.xlsx", "A 58889-2025")</f>
        <v/>
      </c>
      <c r="X108">
        <f>HYPERLINK("https://klasma.github.io/Logging_2039/kartor/A 58889-2025 karta.png", "A 58889-2025")</f>
        <v/>
      </c>
      <c r="Y108">
        <f>HYPERLINK("https://klasma.github.io/Logging_2039/kartor_geotiff/A 58889-2025 georefererad karta.tif", "A 58889-2025")</f>
        <v/>
      </c>
      <c r="AA108">
        <f>HYPERLINK("https://klasma.github.io/Logging_2039/klagomål/A 58889-2025 FSC-klagomål.docx", "A 58889-2025")</f>
        <v/>
      </c>
      <c r="AB108">
        <f>HYPERLINK("https://klasma.github.io/Logging_2039/klagomålsmail/A 58889-2025 FSC-klagomål mail.docx", "A 58889-2025")</f>
        <v/>
      </c>
      <c r="AC108">
        <f>HYPERLINK("https://klasma.github.io/Logging_2039/tillsyn/A 58889-2025 tillsynsbegäran.docx", "A 58889-2025")</f>
        <v/>
      </c>
      <c r="AD108">
        <f>HYPERLINK("https://klasma.github.io/Logging_2039/tillsynsmail/A 58889-2025 tillsynsbegäran mail.docx", "A 58889-2025")</f>
        <v/>
      </c>
    </row>
    <row r="109" ht="15" customHeight="1">
      <c r="A109" t="inlineStr">
        <is>
          <t>A 6847-2026</t>
        </is>
      </c>
      <c r="B109" t="inlineStr">
        <is>
          <t>avverkningsanmälan</t>
        </is>
      </c>
      <c r="C109" t="inlineStr">
        <is>
          <t>Föryngringsavverkning</t>
        </is>
      </c>
      <c r="D109" s="1" t="n">
        <v>46057</v>
      </c>
      <c r="E109" s="1" t="n">
        <v>46294</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40417-2025</t>
        </is>
      </c>
      <c r="B110" t="inlineStr">
        <is>
          <t>avverkningsanmälan</t>
        </is>
      </c>
      <c r="C110" t="inlineStr">
        <is>
          <t>Föryngringsavverkning</t>
        </is>
      </c>
      <c r="D110" s="1" t="n">
        <v>45895</v>
      </c>
      <c r="E110" s="1" t="n">
        <v>46294</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46294</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46294</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46294</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46294</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46294</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46294</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61591-2025</t>
        </is>
      </c>
      <c r="B117" t="inlineStr">
        <is>
          <t>avverkningsanmälan</t>
        </is>
      </c>
      <c r="C117" t="inlineStr">
        <is>
          <t>Föryngringsavverkning</t>
        </is>
      </c>
      <c r="D117" s="1" t="n">
        <v>46002</v>
      </c>
      <c r="E117" s="1" t="n">
        <v>46294</v>
      </c>
      <c r="F117" t="inlineStr">
        <is>
          <t>DALARNAS LÄN</t>
        </is>
      </c>
      <c r="G117" t="inlineStr">
        <is>
          <t>ÄLVDALEN</t>
        </is>
      </c>
      <c r="H117" t="inlineStr">
        <is>
          <t>Sveaskog</t>
        </is>
      </c>
      <c r="I117" t="n">
        <v>8.1</v>
      </c>
      <c r="J117" t="n">
        <v>1</v>
      </c>
      <c r="K117" t="n">
        <v>1</v>
      </c>
      <c r="L117" t="n">
        <v>5</v>
      </c>
      <c r="M117" t="n">
        <v>0</v>
      </c>
      <c r="N117" t="n">
        <v>0</v>
      </c>
      <c r="O117" t="n">
        <v>0</v>
      </c>
      <c r="P117" t="n">
        <v>0</v>
      </c>
      <c r="Q117" t="n">
        <v>5</v>
      </c>
      <c r="R117" t="n">
        <v>0</v>
      </c>
      <c r="S117" t="n">
        <v>6</v>
      </c>
      <c r="T117" t="n">
        <v>9</v>
      </c>
      <c r="U117" t="n">
        <v>0</v>
      </c>
      <c r="V117" s="2" t="inlineStr">
        <is>
          <t>Dropptaggsvamp
Dvärgbägarlav
Kolflarnlav
Mörk kolflarnlav
Vedflamlav
Plattlummer</t>
        </is>
      </c>
      <c r="W117">
        <f>HYPERLINK("https://klasma.github.io/Logging_2039/artfynd/A 61591-2025 artfynd.xlsx", "A 61591-2025")</f>
        <v/>
      </c>
      <c r="X117">
        <f>HYPERLINK("https://klasma.github.io/Logging_2039/kartor/A 61591-2025 karta.png", "A 61591-2025")</f>
        <v/>
      </c>
      <c r="Y117">
        <f>HYPERLINK("https://klasma.github.io/Logging_2039/kartor_geotiff/A 61591-2025 georefererad karta.tif", "A 61591-2025")</f>
        <v/>
      </c>
      <c r="AA117">
        <f>HYPERLINK("https://klasma.github.io/Logging_2039/klagomål/A 61591-2025 FSC-klagomål.docx", "A 61591-2025")</f>
        <v/>
      </c>
      <c r="AB117">
        <f>HYPERLINK("https://klasma.github.io/Logging_2039/klagomålsmail/A 61591-2025 FSC-klagomål mail.docx", "A 61591-2025")</f>
        <v/>
      </c>
      <c r="AC117">
        <f>HYPERLINK("https://klasma.github.io/Logging_2039/tillsyn/A 61591-2025 tillsynsbegäran.docx", "A 61591-2025")</f>
        <v/>
      </c>
      <c r="AD117">
        <f>HYPERLINK("https://klasma.github.io/Logging_2039/tillsynsmail/A 61591-2025 tillsynsbegäran mail.docx", "A 61591-2025")</f>
        <v/>
      </c>
    </row>
    <row r="118" ht="15" customHeight="1">
      <c r="A118" t="inlineStr">
        <is>
          <t>A 10282-2024</t>
        </is>
      </c>
      <c r="B118" t="inlineStr">
        <is>
          <t>avverkningsanmälan</t>
        </is>
      </c>
      <c r="C118" t="inlineStr">
        <is>
          <t>Föryngringsavverkning</t>
        </is>
      </c>
      <c r="D118" s="1" t="n">
        <v>45365</v>
      </c>
      <c r="E118" s="1" t="n">
        <v>46294</v>
      </c>
      <c r="F118" t="inlineStr">
        <is>
          <t>DALARNAS LÄN</t>
        </is>
      </c>
      <c r="G118" t="inlineStr">
        <is>
          <t>ÄLVDALEN</t>
        </is>
      </c>
      <c r="I118" t="n">
        <v>1.2</v>
      </c>
      <c r="J118" t="n">
        <v>2</v>
      </c>
      <c r="K118" t="n">
        <v>1</v>
      </c>
      <c r="L118" t="n">
        <v>3</v>
      </c>
      <c r="M118" t="n">
        <v>2</v>
      </c>
      <c r="N118" t="n">
        <v>0</v>
      </c>
      <c r="O118" t="n">
        <v>0</v>
      </c>
      <c r="P118" t="n">
        <v>0</v>
      </c>
      <c r="Q118" t="n">
        <v>5</v>
      </c>
      <c r="R118" t="n">
        <v>2</v>
      </c>
      <c r="S118" t="n">
        <v>6</v>
      </c>
      <c r="T118" t="n">
        <v>24</v>
      </c>
      <c r="U118" t="n">
        <v>24</v>
      </c>
      <c r="V118" s="2" t="inlineStr">
        <is>
          <t>Garnlav
Knärot
Tretåig hackspett
Ullticka
Violettgrå tagellav
Vedticka</t>
        </is>
      </c>
      <c r="W118">
        <f>HYPERLINK("https://klasma.github.io/Logging_2039/artfynd/A 10282-2024 artfynd.xlsx", "A 10282-2024")</f>
        <v/>
      </c>
      <c r="X118">
        <f>HYPERLINK("https://klasma.github.io/Logging_2039/kartor/A 10282-2024 karta.png", "A 10282-2024")</f>
        <v/>
      </c>
      <c r="Y118">
        <f>HYPERLINK("https://klasma.github.io/Logging_2039/kartor_geotiff/A 10282-2024 georefererad karta.tif", "A 10282-2024")</f>
        <v/>
      </c>
      <c r="Z118">
        <f>HYPERLINK("https://klasma.github.io/Logging_2039/knärot/A 10282-2024 karta knärot.png", "A 10282-2024")</f>
        <v/>
      </c>
      <c r="AA118">
        <f>HYPERLINK("https://klasma.github.io/Logging_2039/klagomål/A 10282-2024 FSC-klagomål.docx", "A 10282-2024")</f>
        <v/>
      </c>
      <c r="AB118">
        <f>HYPERLINK("https://klasma.github.io/Logging_2039/klagomålsmail/A 10282-2024 FSC-klagomål mail.docx", "A 10282-2024")</f>
        <v/>
      </c>
      <c r="AC118">
        <f>HYPERLINK("https://klasma.github.io/Logging_2039/tillsyn/A 10282-2024 tillsynsbegäran.docx", "A 10282-2024")</f>
        <v/>
      </c>
      <c r="AD118">
        <f>HYPERLINK("https://klasma.github.io/Logging_2039/tillsynsmail/A 10282-2024 tillsynsbegäran mail.docx", "A 10282-2024")</f>
        <v/>
      </c>
      <c r="AE118">
        <f>HYPERLINK("https://klasma.github.io/Logging_2039/fåglar/A 10282-2024 prioriterade fågelarter.docx", "A 10282-2024")</f>
        <v/>
      </c>
    </row>
    <row r="119" ht="15" customHeight="1">
      <c r="A119" t="inlineStr">
        <is>
          <t>A 25758-2025</t>
        </is>
      </c>
      <c r="B119" t="inlineStr">
        <is>
          <t>avverkningsanmälan</t>
        </is>
      </c>
      <c r="C119" t="inlineStr">
        <is>
          <t>Föryngringsavverkning</t>
        </is>
      </c>
      <c r="D119" s="1" t="n">
        <v>45804</v>
      </c>
      <c r="E119" s="1" t="n">
        <v>46294</v>
      </c>
      <c r="F119" t="inlineStr">
        <is>
          <t>DALARNAS LÄN</t>
        </is>
      </c>
      <c r="G119" t="inlineStr">
        <is>
          <t>ÄLVDALEN</t>
        </is>
      </c>
      <c r="H119" t="inlineStr">
        <is>
          <t>Kommuner</t>
        </is>
      </c>
      <c r="I119" t="n">
        <v>2.2</v>
      </c>
      <c r="J119" t="n">
        <v>2</v>
      </c>
      <c r="K119" t="n">
        <v>1</v>
      </c>
      <c r="L119" t="n">
        <v>3</v>
      </c>
      <c r="M119" t="n">
        <v>1</v>
      </c>
      <c r="N119" t="n">
        <v>0</v>
      </c>
      <c r="O119" t="n">
        <v>0</v>
      </c>
      <c r="P119" t="n">
        <v>0</v>
      </c>
      <c r="Q119" t="n">
        <v>4</v>
      </c>
      <c r="R119" t="n">
        <v>1</v>
      </c>
      <c r="S119" t="n">
        <v>6</v>
      </c>
      <c r="T119" t="n">
        <v>12</v>
      </c>
      <c r="U119" t="n">
        <v>12</v>
      </c>
      <c r="V119" s="2" t="inlineStr">
        <is>
          <t>Garnlav
Dropptaggsvamp
Rödvingetrast
Tallticka
Mindre märgborre
Spillkråka</t>
        </is>
      </c>
      <c r="W119">
        <f>HYPERLINK("https://klasma.github.io/Logging_2039/artfynd/A 25758-2025 artfynd.xlsx", "A 25758-2025")</f>
        <v/>
      </c>
      <c r="X119">
        <f>HYPERLINK("https://klasma.github.io/Logging_2039/kartor/A 25758-2025 karta.png", "A 25758-2025")</f>
        <v/>
      </c>
      <c r="Y119">
        <f>HYPERLINK("https://klasma.github.io/Logging_2039/kartor_geotiff/A 25758-2025 georefererad karta.tif", "A 25758-2025")</f>
        <v/>
      </c>
      <c r="AA119">
        <f>HYPERLINK("https://klasma.github.io/Logging_2039/klagomål/A 25758-2025 FSC-klagomål.docx", "A 25758-2025")</f>
        <v/>
      </c>
      <c r="AB119">
        <f>HYPERLINK("https://klasma.github.io/Logging_2039/klagomålsmail/A 25758-2025 FSC-klagomål mail.docx", "A 25758-2025")</f>
        <v/>
      </c>
      <c r="AC119">
        <f>HYPERLINK("https://klasma.github.io/Logging_2039/tillsyn/A 25758-2025 tillsynsbegäran.docx", "A 25758-2025")</f>
        <v/>
      </c>
      <c r="AD119">
        <f>HYPERLINK("https://klasma.github.io/Logging_2039/tillsynsmail/A 25758-2025 tillsynsbegäran mail.docx", "A 25758-2025")</f>
        <v/>
      </c>
      <c r="AE119">
        <f>HYPERLINK("https://klasma.github.io/Logging_2039/fåglar/A 25758-2025 prioriterade fågelarter.docx", "A 25758-2025")</f>
        <v/>
      </c>
    </row>
    <row r="120" ht="15" customHeight="1">
      <c r="A120" t="inlineStr">
        <is>
          <t>A 33638-2025</t>
        </is>
      </c>
      <c r="B120" t="inlineStr">
        <is>
          <t>avverkningsanmälan</t>
        </is>
      </c>
      <c r="C120" t="inlineStr">
        <is>
          <t>Föryngringsavverkning</t>
        </is>
      </c>
      <c r="D120" s="1" t="n">
        <v>45841</v>
      </c>
      <c r="E120" s="1" t="n">
        <v>46294</v>
      </c>
      <c r="F120" t="inlineStr">
        <is>
          <t>DALARNAS LÄN</t>
        </is>
      </c>
      <c r="G120" t="inlineStr">
        <is>
          <t>ÄLVDALEN</t>
        </is>
      </c>
      <c r="H120" t="inlineStr">
        <is>
          <t>Sveaskog</t>
        </is>
      </c>
      <c r="I120" t="n">
        <v>2.1</v>
      </c>
      <c r="J120" t="n">
        <v>0</v>
      </c>
      <c r="K120" t="n">
        <v>0</v>
      </c>
      <c r="L120" t="n">
        <v>5</v>
      </c>
      <c r="M120" t="n">
        <v>1</v>
      </c>
      <c r="N120" t="n">
        <v>0</v>
      </c>
      <c r="O120" t="n">
        <v>0</v>
      </c>
      <c r="P120" t="n">
        <v>0</v>
      </c>
      <c r="Q120" t="n">
        <v>6</v>
      </c>
      <c r="R120" t="n">
        <v>1</v>
      </c>
      <c r="S120" t="n">
        <v>6</v>
      </c>
      <c r="T120" t="n">
        <v>6</v>
      </c>
      <c r="U120" t="n">
        <v>1</v>
      </c>
      <c r="V120" s="2" t="inlineStr">
        <is>
          <t>Gräddporing
Blanksvart spiklav
Dropptaggsvamp
Dvärgbägarlav
Kolflarnlav
Mörk kolflarnlav</t>
        </is>
      </c>
      <c r="W120">
        <f>HYPERLINK("https://klasma.github.io/Logging_2039/artfynd/A 33638-2025 artfynd.xlsx", "A 33638-2025")</f>
        <v/>
      </c>
      <c r="X120">
        <f>HYPERLINK("https://klasma.github.io/Logging_2039/kartor/A 33638-2025 karta.png", "A 33638-2025")</f>
        <v/>
      </c>
      <c r="Y120">
        <f>HYPERLINK("https://klasma.github.io/Logging_2039/kartor_geotiff/A 33638-2025 georefererad karta.tif", "A 33638-2025")</f>
        <v/>
      </c>
      <c r="AA120">
        <f>HYPERLINK("https://klasma.github.io/Logging_2039/klagomål/A 33638-2025 FSC-klagomål.docx", "A 33638-2025")</f>
        <v/>
      </c>
      <c r="AB120">
        <f>HYPERLINK("https://klasma.github.io/Logging_2039/klagomålsmail/A 33638-2025 FSC-klagomål mail.docx", "A 33638-2025")</f>
        <v/>
      </c>
      <c r="AC120">
        <f>HYPERLINK("https://klasma.github.io/Logging_2039/tillsyn/A 33638-2025 tillsynsbegäran.docx", "A 33638-2025")</f>
        <v/>
      </c>
      <c r="AD120">
        <f>HYPERLINK("https://klasma.github.io/Logging_2039/tillsynsmail/A 33638-2025 tillsynsbegäran mail.docx", "A 33638-2025")</f>
        <v/>
      </c>
    </row>
    <row r="121" ht="15" customHeight="1">
      <c r="A121" t="inlineStr">
        <is>
          <t>A 19686-2026</t>
        </is>
      </c>
      <c r="B121" t="inlineStr">
        <is>
          <t>avverkningsanmälan</t>
        </is>
      </c>
      <c r="C121" t="inlineStr">
        <is>
          <t>Föryngringsavverkning</t>
        </is>
      </c>
      <c r="D121" s="1" t="n">
        <v>46134</v>
      </c>
      <c r="E121" s="1" t="n">
        <v>46294</v>
      </c>
      <c r="F121" t="inlineStr">
        <is>
          <t>DALARNAS LÄN</t>
        </is>
      </c>
      <c r="G121" t="inlineStr">
        <is>
          <t>ÄLVDALEN</t>
        </is>
      </c>
      <c r="I121" t="n">
        <v>5.1</v>
      </c>
      <c r="J121" t="n">
        <v>3</v>
      </c>
      <c r="K121" t="n">
        <v>1</v>
      </c>
      <c r="L121" t="n">
        <v>2</v>
      </c>
      <c r="M121" t="n">
        <v>1</v>
      </c>
      <c r="N121" t="n">
        <v>0</v>
      </c>
      <c r="O121" t="n">
        <v>0</v>
      </c>
      <c r="P121" t="n">
        <v>0</v>
      </c>
      <c r="Q121" t="n">
        <v>3</v>
      </c>
      <c r="R121" t="n">
        <v>1</v>
      </c>
      <c r="S121" t="n">
        <v>6</v>
      </c>
      <c r="T121" t="n">
        <v>11</v>
      </c>
      <c r="U121" t="n">
        <v>10</v>
      </c>
      <c r="V121" s="2" t="inlineStr">
        <is>
          <t>Garnlav
Talltita
Älg
Mindre märgborre
Spillkråka
Revlummer</t>
        </is>
      </c>
      <c r="W121">
        <f>HYPERLINK("https://klasma.github.io/Logging_2039/artfynd/A 19686-2026 artfynd.xlsx", "A 19686-2026")</f>
        <v/>
      </c>
      <c r="X121">
        <f>HYPERLINK("https://klasma.github.io/Logging_2039/kartor/A 19686-2026 karta.png", "A 19686-2026")</f>
        <v/>
      </c>
      <c r="Y121">
        <f>HYPERLINK("https://klasma.github.io/Logging_2039/kartor_geotiff/A 19686-2026 georefererad karta.tif", "A 19686-2026")</f>
        <v/>
      </c>
      <c r="AA121">
        <f>HYPERLINK("https://klasma.github.io/Logging_2039/klagomål/A 19686-2026 FSC-klagomål.docx", "A 19686-2026")</f>
        <v/>
      </c>
      <c r="AB121">
        <f>HYPERLINK("https://klasma.github.io/Logging_2039/klagomålsmail/A 19686-2026 FSC-klagomål mail.docx", "A 19686-2026")</f>
        <v/>
      </c>
      <c r="AC121">
        <f>HYPERLINK("https://klasma.github.io/Logging_2039/tillsyn/A 19686-2026 tillsynsbegäran.docx", "A 19686-2026")</f>
        <v/>
      </c>
      <c r="AD121">
        <f>HYPERLINK("https://klasma.github.io/Logging_2039/tillsynsmail/A 19686-2026 tillsynsbegäran mail.docx", "A 19686-2026")</f>
        <v/>
      </c>
      <c r="AE121">
        <f>HYPERLINK("https://klasma.github.io/Logging_2039/fåglar/A 19686-2026 prioriterade fågelarter.docx", "A 19686-2026")</f>
        <v/>
      </c>
    </row>
    <row r="122" ht="15" customHeight="1">
      <c r="A122" t="inlineStr">
        <is>
          <t>A 19262-2025</t>
        </is>
      </c>
      <c r="B122" t="inlineStr">
        <is>
          <t>avverkningsanmälan</t>
        </is>
      </c>
      <c r="C122" t="inlineStr">
        <is>
          <t>Föryngringsavverkning</t>
        </is>
      </c>
      <c r="D122" s="1" t="n">
        <v>45769</v>
      </c>
      <c r="E122" s="1" t="n">
        <v>46294</v>
      </c>
      <c r="F122" t="inlineStr">
        <is>
          <t>DALARNAS LÄN</t>
        </is>
      </c>
      <c r="G122" t="inlineStr">
        <is>
          <t>ÄLVDALEN</t>
        </is>
      </c>
      <c r="H122" t="inlineStr">
        <is>
          <t>Allmännings- och besparingsskogar</t>
        </is>
      </c>
      <c r="I122" t="n">
        <v>8.800000000000001</v>
      </c>
      <c r="J122" t="n">
        <v>0</v>
      </c>
      <c r="K122" t="n">
        <v>0</v>
      </c>
      <c r="L122" t="n">
        <v>3</v>
      </c>
      <c r="M122" t="n">
        <v>2</v>
      </c>
      <c r="N122" t="n">
        <v>1</v>
      </c>
      <c r="O122" t="n">
        <v>0</v>
      </c>
      <c r="P122" t="n">
        <v>0</v>
      </c>
      <c r="Q122" t="n">
        <v>6</v>
      </c>
      <c r="R122" t="n">
        <v>3</v>
      </c>
      <c r="S122" t="n">
        <v>6</v>
      </c>
      <c r="T122" t="n">
        <v>7</v>
      </c>
      <c r="U122" t="n">
        <v>3</v>
      </c>
      <c r="V122" s="2" t="inlineStr">
        <is>
          <t>Broktagel
Garnlav
Gräddporing
Dvärgbägarlav
Nordtagging
Skuggblåslav</t>
        </is>
      </c>
      <c r="W122">
        <f>HYPERLINK("https://klasma.github.io/Logging_2039/artfynd/A 19262-2025 artfynd.xlsx", "A 19262-2025")</f>
        <v/>
      </c>
      <c r="X122">
        <f>HYPERLINK("https://klasma.github.io/Logging_2039/kartor/A 19262-2025 karta.png", "A 19262-2025")</f>
        <v/>
      </c>
      <c r="Y122">
        <f>HYPERLINK("https://klasma.github.io/Logging_2039/kartor_geotiff/A 19262-2025 georefererad karta.tif", "A 19262-2025")</f>
        <v/>
      </c>
      <c r="AA122">
        <f>HYPERLINK("https://klasma.github.io/Logging_2039/klagomål/A 19262-2025 FSC-klagomål.docx", "A 19262-2025")</f>
        <v/>
      </c>
      <c r="AB122">
        <f>HYPERLINK("https://klasma.github.io/Logging_2039/klagomålsmail/A 19262-2025 FSC-klagomål mail.docx", "A 19262-2025")</f>
        <v/>
      </c>
      <c r="AC122">
        <f>HYPERLINK("https://klasma.github.io/Logging_2039/tillsyn/A 19262-2025 tillsynsbegäran.docx", "A 19262-2025")</f>
        <v/>
      </c>
      <c r="AD122">
        <f>HYPERLINK("https://klasma.github.io/Logging_2039/tillsynsmail/A 19262-2025 tillsynsbegäran mail.docx", "A 19262-2025")</f>
        <v/>
      </c>
    </row>
    <row r="123" ht="15" customHeight="1">
      <c r="A123" t="inlineStr">
        <is>
          <t>A 22701-2024</t>
        </is>
      </c>
      <c r="B123" t="inlineStr">
        <is>
          <t>avverkningsanmälan</t>
        </is>
      </c>
      <c r="C123" t="inlineStr">
        <is>
          <t>Föryngringsavverkning</t>
        </is>
      </c>
      <c r="D123" s="1" t="n">
        <v>45448</v>
      </c>
      <c r="E123" s="1" t="n">
        <v>46294</v>
      </c>
      <c r="F123" t="inlineStr">
        <is>
          <t>DALARNAS LÄN</t>
        </is>
      </c>
      <c r="G123" t="inlineStr">
        <is>
          <t>ÄLVDALEN</t>
        </is>
      </c>
      <c r="H123" t="inlineStr">
        <is>
          <t>Sveaskog</t>
        </is>
      </c>
      <c r="I123" t="n">
        <v>2.7</v>
      </c>
      <c r="J123" t="n">
        <v>0</v>
      </c>
      <c r="K123" t="n">
        <v>0</v>
      </c>
      <c r="L123" t="n">
        <v>3</v>
      </c>
      <c r="M123" t="n">
        <v>3</v>
      </c>
      <c r="N123" t="n">
        <v>0</v>
      </c>
      <c r="O123" t="n">
        <v>0</v>
      </c>
      <c r="P123" t="n">
        <v>0</v>
      </c>
      <c r="Q123" t="n">
        <v>6</v>
      </c>
      <c r="R123" t="n">
        <v>3</v>
      </c>
      <c r="S123" t="n">
        <v>6</v>
      </c>
      <c r="T123" t="n">
        <v>7</v>
      </c>
      <c r="U123" t="n">
        <v>0</v>
      </c>
      <c r="V123" s="2" t="inlineStr">
        <is>
          <t>Smalfotad taggsvamp
Tajgataggsvamp
Tallstocksticka
Dropptaggsvamp
Dvärgbägarlav
Skarp dropptaggsvamp</t>
        </is>
      </c>
      <c r="W123">
        <f>HYPERLINK("https://klasma.github.io/Logging_2039/artfynd/A 22701-2024 artfynd.xlsx", "A 22701-2024")</f>
        <v/>
      </c>
      <c r="X123">
        <f>HYPERLINK("https://klasma.github.io/Logging_2039/kartor/A 22701-2024 karta.png", "A 22701-2024")</f>
        <v/>
      </c>
      <c r="Y123">
        <f>HYPERLINK("https://klasma.github.io/Logging_2039/kartor_geotiff/A 22701-2024 georefererad karta.tif", "A 22701-2024")</f>
        <v/>
      </c>
      <c r="AA123">
        <f>HYPERLINK("https://klasma.github.io/Logging_2039/klagomål/A 22701-2024 FSC-klagomål.docx", "A 22701-2024")</f>
        <v/>
      </c>
      <c r="AB123">
        <f>HYPERLINK("https://klasma.github.io/Logging_2039/klagomålsmail/A 22701-2024 FSC-klagomål mail.docx", "A 22701-2024")</f>
        <v/>
      </c>
      <c r="AC123">
        <f>HYPERLINK("https://klasma.github.io/Logging_2039/tillsyn/A 22701-2024 tillsynsbegäran.docx", "A 22701-2024")</f>
        <v/>
      </c>
      <c r="AD123">
        <f>HYPERLINK("https://klasma.github.io/Logging_2039/tillsynsmail/A 22701-2024 tillsynsbegäran mail.docx", "A 22701-2024")</f>
        <v/>
      </c>
    </row>
    <row r="124" ht="15" customHeight="1">
      <c r="A124" t="inlineStr">
        <is>
          <t>A 49053-2023</t>
        </is>
      </c>
      <c r="B124" t="inlineStr">
        <is>
          <t>avverkningsanmälan</t>
        </is>
      </c>
      <c r="C124" t="inlineStr">
        <is>
          <t>Föryngringsavverkning</t>
        </is>
      </c>
      <c r="D124" s="1" t="n">
        <v>45210</v>
      </c>
      <c r="E124" s="1" t="n">
        <v>46294</v>
      </c>
      <c r="F124" t="inlineStr">
        <is>
          <t>DALARNAS LÄN</t>
        </is>
      </c>
      <c r="G124" t="inlineStr">
        <is>
          <t>ÄLVDALEN</t>
        </is>
      </c>
      <c r="H124" t="inlineStr">
        <is>
          <t>Sveaskog</t>
        </is>
      </c>
      <c r="I124" t="n">
        <v>3.6</v>
      </c>
      <c r="J124" t="n">
        <v>0</v>
      </c>
      <c r="K124" t="n">
        <v>0</v>
      </c>
      <c r="L124" t="n">
        <v>5</v>
      </c>
      <c r="M124" t="n">
        <v>1</v>
      </c>
      <c r="N124" t="n">
        <v>0</v>
      </c>
      <c r="O124" t="n">
        <v>0</v>
      </c>
      <c r="P124" t="n">
        <v>0</v>
      </c>
      <c r="Q124" t="n">
        <v>6</v>
      </c>
      <c r="R124" t="n">
        <v>1</v>
      </c>
      <c r="S124" t="n">
        <v>6</v>
      </c>
      <c r="T124" t="n">
        <v>7</v>
      </c>
      <c r="U124" t="n">
        <v>5</v>
      </c>
      <c r="V124" s="2" t="inlineStr">
        <is>
          <t>Gräddporing
Dropptaggsvamp
Kolflarnlav
Nordtagging
Skarp dropptaggsvamp
Vedflamlav</t>
        </is>
      </c>
      <c r="W124">
        <f>HYPERLINK("https://klasma.github.io/Logging_2039/artfynd/A 49053-2023 artfynd.xlsx", "A 49053-2023")</f>
        <v/>
      </c>
      <c r="X124">
        <f>HYPERLINK("https://klasma.github.io/Logging_2039/kartor/A 49053-2023 karta.png", "A 49053-2023")</f>
        <v/>
      </c>
      <c r="Y124">
        <f>HYPERLINK("https://klasma.github.io/Logging_2039/kartor_geotiff/A 49053-2023 georefererad karta.tif", "A 49053-2023")</f>
        <v/>
      </c>
      <c r="AA124">
        <f>HYPERLINK("https://klasma.github.io/Logging_2039/klagomål/A 49053-2023 FSC-klagomål.docx", "A 49053-2023")</f>
        <v/>
      </c>
      <c r="AB124">
        <f>HYPERLINK("https://klasma.github.io/Logging_2039/klagomålsmail/A 49053-2023 FSC-klagomål mail.docx", "A 49053-2023")</f>
        <v/>
      </c>
      <c r="AC124">
        <f>HYPERLINK("https://klasma.github.io/Logging_2039/tillsyn/A 49053-2023 tillsynsbegäran.docx", "A 49053-2023")</f>
        <v/>
      </c>
      <c r="AD124">
        <f>HYPERLINK("https://klasma.github.io/Logging_2039/tillsynsmail/A 49053-2023 tillsynsbegäran mail.docx", "A 49053-2023")</f>
        <v/>
      </c>
    </row>
    <row r="125" ht="15" customHeight="1">
      <c r="A125" t="inlineStr">
        <is>
          <t>A 24950-2025</t>
        </is>
      </c>
      <c r="B125" t="inlineStr">
        <is>
          <t>avverkningsanmälan</t>
        </is>
      </c>
      <c r="C125" t="inlineStr">
        <is>
          <t>Avverkning för annat ändamål</t>
        </is>
      </c>
      <c r="D125" s="1" t="n">
        <v>45799</v>
      </c>
      <c r="E125" s="1" t="n">
        <v>46294</v>
      </c>
      <c r="F125" t="inlineStr">
        <is>
          <t>DALARNAS LÄN</t>
        </is>
      </c>
      <c r="G125" t="inlineStr">
        <is>
          <t>ÄLVDALEN</t>
        </is>
      </c>
      <c r="H125" t="inlineStr">
        <is>
          <t>Sveaskog</t>
        </is>
      </c>
      <c r="I125" t="n">
        <v>0.4</v>
      </c>
      <c r="J125" t="n">
        <v>0</v>
      </c>
      <c r="K125" t="n">
        <v>0</v>
      </c>
      <c r="L125" t="n">
        <v>5</v>
      </c>
      <c r="M125" t="n">
        <v>0</v>
      </c>
      <c r="N125" t="n">
        <v>0</v>
      </c>
      <c r="O125" t="n">
        <v>0</v>
      </c>
      <c r="P125" t="n">
        <v>0</v>
      </c>
      <c r="Q125" t="n">
        <v>5</v>
      </c>
      <c r="R125" t="n">
        <v>0</v>
      </c>
      <c r="S125" t="n">
        <v>5</v>
      </c>
      <c r="T125" t="n">
        <v>13</v>
      </c>
      <c r="U125" t="n">
        <v>0</v>
      </c>
      <c r="V125" s="2" t="inlineStr">
        <is>
          <t>Blanksvart spiklav
Blå taggsvamp
Dropptaggsvamp
Kolflarnlav
Skarp dropptaggsvamp</t>
        </is>
      </c>
      <c r="W125">
        <f>HYPERLINK("https://klasma.github.io/Logging_2039/artfynd/A 24950-2025 artfynd.xlsx", "A 24950-2025")</f>
        <v/>
      </c>
      <c r="X125">
        <f>HYPERLINK("https://klasma.github.io/Logging_2039/kartor/A 24950-2025 karta.png", "A 24950-2025")</f>
        <v/>
      </c>
      <c r="Y125">
        <f>HYPERLINK("https://klasma.github.io/Logging_2039/kartor_geotiff/A 24950-2025 georefererad karta.tif", "A 24950-2025")</f>
        <v/>
      </c>
      <c r="AA125">
        <f>HYPERLINK("https://klasma.github.io/Logging_2039/klagomål/A 24950-2025 FSC-klagomål.docx", "A 24950-2025")</f>
        <v/>
      </c>
      <c r="AB125">
        <f>HYPERLINK("https://klasma.github.io/Logging_2039/klagomålsmail/A 24950-2025 FSC-klagomål mail.docx", "A 24950-2025")</f>
        <v/>
      </c>
      <c r="AC125">
        <f>HYPERLINK("https://klasma.github.io/Logging_2039/tillsyn/A 24950-2025 tillsynsbegäran.docx", "A 24950-2025")</f>
        <v/>
      </c>
      <c r="AD125">
        <f>HYPERLINK("https://klasma.github.io/Logging_2039/tillsynsmail/A 24950-2025 tillsynsbegäran mail.docx", "A 24950-2025")</f>
        <v/>
      </c>
    </row>
    <row r="126" ht="15" customHeight="1">
      <c r="A126" t="inlineStr">
        <is>
          <t>A 41782-2025</t>
        </is>
      </c>
      <c r="B126" t="inlineStr">
        <is>
          <t>avverkningsanmälan</t>
        </is>
      </c>
      <c r="C126" t="inlineStr">
        <is>
          <t>Föryngringsavverkning</t>
        </is>
      </c>
      <c r="D126" s="1" t="n">
        <v>45902</v>
      </c>
      <c r="E126" s="1" t="n">
        <v>46294</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32206-2024</t>
        </is>
      </c>
      <c r="B127" t="inlineStr">
        <is>
          <t>avverkningsanmälan</t>
        </is>
      </c>
      <c r="C127" t="inlineStr">
        <is>
          <t>Föryngringsavverkning</t>
        </is>
      </c>
      <c r="D127" s="1" t="n">
        <v>45511</v>
      </c>
      <c r="E127" s="1" t="n">
        <v>46294</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41004-2023</t>
        </is>
      </c>
      <c r="B128" t="inlineStr">
        <is>
          <t>avverkningsanmälan</t>
        </is>
      </c>
      <c r="C128" t="inlineStr">
        <is>
          <t>Föryngringsavverkning</t>
        </is>
      </c>
      <c r="D128" s="1" t="n">
        <v>45173</v>
      </c>
      <c r="E128" s="1" t="n">
        <v>46294</v>
      </c>
      <c r="F128" t="inlineStr">
        <is>
          <t>DALARNAS LÄN</t>
        </is>
      </c>
      <c r="G128" t="inlineStr">
        <is>
          <t>ÄLVDALEN</t>
        </is>
      </c>
      <c r="H128" t="inlineStr">
        <is>
          <t>Bergvik skog väst AB</t>
        </is>
      </c>
      <c r="I128" t="n">
        <v>2</v>
      </c>
      <c r="J128" t="n">
        <v>5</v>
      </c>
      <c r="K128" t="n">
        <v>0</v>
      </c>
      <c r="L128" t="n">
        <v>4</v>
      </c>
      <c r="M128" t="n">
        <v>1</v>
      </c>
      <c r="N128" t="n">
        <v>0</v>
      </c>
      <c r="O128" t="n">
        <v>0</v>
      </c>
      <c r="P128" t="n">
        <v>0</v>
      </c>
      <c r="Q128" t="n">
        <v>5</v>
      </c>
      <c r="R128" t="n">
        <v>1</v>
      </c>
      <c r="S128" t="n">
        <v>5</v>
      </c>
      <c r="T128" t="n">
        <v>5</v>
      </c>
      <c r="U128" t="n">
        <v>5</v>
      </c>
      <c r="V128" s="2" t="inlineStr">
        <is>
          <t>Stare
Björktrast
Ladusvala
Rödvingetrast
Talltita</t>
        </is>
      </c>
      <c r="W128">
        <f>HYPERLINK("https://klasma.github.io/Logging_2039/artfynd/A 41004-2023 artfynd.xlsx", "A 41004-2023")</f>
        <v/>
      </c>
      <c r="X128">
        <f>HYPERLINK("https://klasma.github.io/Logging_2039/kartor/A 41004-2023 karta.png", "A 41004-2023")</f>
        <v/>
      </c>
      <c r="Y128">
        <f>HYPERLINK("https://klasma.github.io/Logging_2039/kartor_geotiff/A 41004-2023 georefererad karta.tif", "A 41004-2023")</f>
        <v/>
      </c>
      <c r="AA128">
        <f>HYPERLINK("https://klasma.github.io/Logging_2039/klagomål/A 41004-2023 FSC-klagomål.docx", "A 41004-2023")</f>
        <v/>
      </c>
      <c r="AB128">
        <f>HYPERLINK("https://klasma.github.io/Logging_2039/klagomålsmail/A 41004-2023 FSC-klagomål mail.docx", "A 41004-2023")</f>
        <v/>
      </c>
      <c r="AC128">
        <f>HYPERLINK("https://klasma.github.io/Logging_2039/tillsyn/A 41004-2023 tillsynsbegäran.docx", "A 41004-2023")</f>
        <v/>
      </c>
      <c r="AD128">
        <f>HYPERLINK("https://klasma.github.io/Logging_2039/tillsynsmail/A 41004-2023 tillsynsbegäran mail.docx", "A 41004-2023")</f>
        <v/>
      </c>
      <c r="AE128">
        <f>HYPERLINK("https://klasma.github.io/Logging_2039/fåglar/A 41004-2023 prioriterade fågelarter.docx", "A 41004-2023")</f>
        <v/>
      </c>
    </row>
    <row r="129" ht="15" customHeight="1">
      <c r="A129" t="inlineStr">
        <is>
          <t>A 52483-2023</t>
        </is>
      </c>
      <c r="B129" t="inlineStr">
        <is>
          <t>avverkningsanmälan</t>
        </is>
      </c>
      <c r="C129" t="inlineStr">
        <is>
          <t>Föryngringsavverkning</t>
        </is>
      </c>
      <c r="D129" s="1" t="n">
        <v>45225</v>
      </c>
      <c r="E129" s="1" t="n">
        <v>46294</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46294</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16894-2025</t>
        </is>
      </c>
      <c r="B131" t="inlineStr">
        <is>
          <t>avverkningsanmälan</t>
        </is>
      </c>
      <c r="C131" t="inlineStr">
        <is>
          <t>Föryngringsavverkning</t>
        </is>
      </c>
      <c r="D131" s="1" t="n">
        <v>45755</v>
      </c>
      <c r="E131" s="1" t="n">
        <v>46294</v>
      </c>
      <c r="F131" t="inlineStr">
        <is>
          <t>DALARNAS LÄN</t>
        </is>
      </c>
      <c r="G131" t="inlineStr">
        <is>
          <t>ÄLVDALEN</t>
        </is>
      </c>
      <c r="H131" t="inlineStr">
        <is>
          <t>Sveaskog</t>
        </is>
      </c>
      <c r="I131" t="n">
        <v>17.3</v>
      </c>
      <c r="J131" t="n">
        <v>0</v>
      </c>
      <c r="K131" t="n">
        <v>0</v>
      </c>
      <c r="L131" t="n">
        <v>5</v>
      </c>
      <c r="M131" t="n">
        <v>0</v>
      </c>
      <c r="N131" t="n">
        <v>0</v>
      </c>
      <c r="O131" t="n">
        <v>0</v>
      </c>
      <c r="P131" t="n">
        <v>0</v>
      </c>
      <c r="Q131" t="n">
        <v>5</v>
      </c>
      <c r="R131" t="n">
        <v>0</v>
      </c>
      <c r="S131" t="n">
        <v>5</v>
      </c>
      <c r="T131" t="n">
        <v>5</v>
      </c>
      <c r="U131" t="n">
        <v>1</v>
      </c>
      <c r="V131" s="2" t="inlineStr">
        <is>
          <t>Dropptaggsvamp
Dvärgbägarlav
Kolflarnlav
Mörk kolflarnlav
Vedflamlav</t>
        </is>
      </c>
      <c r="W131">
        <f>HYPERLINK("https://klasma.github.io/Logging_2039/artfynd/A 16894-2025 artfynd.xlsx", "A 16894-2025")</f>
        <v/>
      </c>
      <c r="X131">
        <f>HYPERLINK("https://klasma.github.io/Logging_2039/kartor/A 16894-2025 karta.png", "A 16894-2025")</f>
        <v/>
      </c>
      <c r="Y131">
        <f>HYPERLINK("https://klasma.github.io/Logging_2039/kartor_geotiff/A 16894-2025 georefererad karta.tif", "A 16894-2025")</f>
        <v/>
      </c>
      <c r="AA131">
        <f>HYPERLINK("https://klasma.github.io/Logging_2039/klagomål/A 16894-2025 FSC-klagomål.docx", "A 16894-2025")</f>
        <v/>
      </c>
      <c r="AB131">
        <f>HYPERLINK("https://klasma.github.io/Logging_2039/klagomålsmail/A 16894-2025 FSC-klagomål mail.docx", "A 16894-2025")</f>
        <v/>
      </c>
      <c r="AC131">
        <f>HYPERLINK("https://klasma.github.io/Logging_2039/tillsyn/A 16894-2025 tillsynsbegäran.docx", "A 16894-2025")</f>
        <v/>
      </c>
      <c r="AD131">
        <f>HYPERLINK("https://klasma.github.io/Logging_2039/tillsynsmail/A 16894-2025 tillsynsbegäran mail.docx", "A 16894-2025")</f>
        <v/>
      </c>
    </row>
    <row r="132" ht="15" customHeight="1">
      <c r="A132" t="inlineStr">
        <is>
          <t>A 19616-2024</t>
        </is>
      </c>
      <c r="B132" t="inlineStr">
        <is>
          <t>avverkningsanmälan</t>
        </is>
      </c>
      <c r="C132" t="inlineStr">
        <is>
          <t>Föryngringsavverkning</t>
        </is>
      </c>
      <c r="D132" s="1" t="n">
        <v>45432</v>
      </c>
      <c r="E132" s="1" t="n">
        <v>46294</v>
      </c>
      <c r="F132" t="inlineStr">
        <is>
          <t>DALARNAS LÄN</t>
        </is>
      </c>
      <c r="G132" t="inlineStr">
        <is>
          <t>ÄLVDALEN</t>
        </is>
      </c>
      <c r="H132" t="inlineStr">
        <is>
          <t>Sveaskog</t>
        </is>
      </c>
      <c r="I132" t="n">
        <v>6.5</v>
      </c>
      <c r="J132" t="n">
        <v>1</v>
      </c>
      <c r="K132" t="n">
        <v>0</v>
      </c>
      <c r="L132" t="n">
        <v>5</v>
      </c>
      <c r="M132" t="n">
        <v>0</v>
      </c>
      <c r="N132" t="n">
        <v>0</v>
      </c>
      <c r="O132" t="n">
        <v>0</v>
      </c>
      <c r="P132" t="n">
        <v>0</v>
      </c>
      <c r="Q132" t="n">
        <v>5</v>
      </c>
      <c r="R132" t="n">
        <v>0</v>
      </c>
      <c r="S132" t="n">
        <v>5</v>
      </c>
      <c r="T132" t="n">
        <v>9</v>
      </c>
      <c r="U132" t="n">
        <v>9</v>
      </c>
      <c r="V132" s="2" t="inlineStr">
        <is>
          <t>Blanksvart spiklav
Kolflarnlav
Mörk kolflarnlav
Varglav
Vedflamlav</t>
        </is>
      </c>
      <c r="W132">
        <f>HYPERLINK("https://klasma.github.io/Logging_2039/artfynd/A 19616-2024 artfynd.xlsx", "A 19616-2024")</f>
        <v/>
      </c>
      <c r="X132">
        <f>HYPERLINK("https://klasma.github.io/Logging_2039/kartor/A 19616-2024 karta.png", "A 19616-2024")</f>
        <v/>
      </c>
      <c r="Y132">
        <f>HYPERLINK("https://klasma.github.io/Logging_2039/kartor_geotiff/A 19616-2024 georefererad karta.tif", "A 19616-2024")</f>
        <v/>
      </c>
      <c r="AA132">
        <f>HYPERLINK("https://klasma.github.io/Logging_2039/klagomål/A 19616-2024 FSC-klagomål.docx", "A 19616-2024")</f>
        <v/>
      </c>
      <c r="AB132">
        <f>HYPERLINK("https://klasma.github.io/Logging_2039/klagomålsmail/A 19616-2024 FSC-klagomål mail.docx", "A 19616-2024")</f>
        <v/>
      </c>
      <c r="AC132">
        <f>HYPERLINK("https://klasma.github.io/Logging_2039/tillsyn/A 19616-2024 tillsynsbegäran.docx", "A 19616-2024")</f>
        <v/>
      </c>
      <c r="AD132">
        <f>HYPERLINK("https://klasma.github.io/Logging_2039/tillsynsmail/A 19616-2024 tillsynsbegäran mail.docx", "A 19616-2024")</f>
        <v/>
      </c>
    </row>
    <row r="133" ht="15" customHeight="1">
      <c r="A133" t="inlineStr">
        <is>
          <t>A 25089-2024</t>
        </is>
      </c>
      <c r="B133" t="inlineStr">
        <is>
          <t>avverkningsanmälan</t>
        </is>
      </c>
      <c r="C133" t="inlineStr">
        <is>
          <t>Föryngringsavverkning</t>
        </is>
      </c>
      <c r="D133" s="1" t="n">
        <v>45462</v>
      </c>
      <c r="E133" s="1" t="n">
        <v>46294</v>
      </c>
      <c r="F133" t="inlineStr">
        <is>
          <t>DALARNAS LÄN</t>
        </is>
      </c>
      <c r="G133" t="inlineStr">
        <is>
          <t>ÄLVDALEN</t>
        </is>
      </c>
      <c r="H133" t="inlineStr">
        <is>
          <t>Sveaskog</t>
        </is>
      </c>
      <c r="I133" t="n">
        <v>3.9</v>
      </c>
      <c r="J133" t="n">
        <v>0</v>
      </c>
      <c r="K133" t="n">
        <v>0</v>
      </c>
      <c r="L133" t="n">
        <v>5</v>
      </c>
      <c r="M133" t="n">
        <v>0</v>
      </c>
      <c r="N133" t="n">
        <v>0</v>
      </c>
      <c r="O133" t="n">
        <v>0</v>
      </c>
      <c r="P133" t="n">
        <v>0</v>
      </c>
      <c r="Q133" t="n">
        <v>5</v>
      </c>
      <c r="R133" t="n">
        <v>0</v>
      </c>
      <c r="S133" t="n">
        <v>5</v>
      </c>
      <c r="T133" t="n">
        <v>5</v>
      </c>
      <c r="U133" t="n">
        <v>0</v>
      </c>
      <c r="V133" s="2" t="inlineStr">
        <is>
          <t>Blanksvart spiklav
Kolflarnlav
Mörk kolflarnlav
Skarp dropptaggsvamp
Vedflamlav</t>
        </is>
      </c>
      <c r="W133">
        <f>HYPERLINK("https://klasma.github.io/Logging_2039/artfynd/A 25089-2024 artfynd.xlsx", "A 25089-2024")</f>
        <v/>
      </c>
      <c r="X133">
        <f>HYPERLINK("https://klasma.github.io/Logging_2039/kartor/A 25089-2024 karta.png", "A 25089-2024")</f>
        <v/>
      </c>
      <c r="Y133">
        <f>HYPERLINK("https://klasma.github.io/Logging_2039/kartor_geotiff/A 25089-2024 georefererad karta.tif", "A 25089-2024")</f>
        <v/>
      </c>
      <c r="AA133">
        <f>HYPERLINK("https://klasma.github.io/Logging_2039/klagomål/A 25089-2024 FSC-klagomål.docx", "A 25089-2024")</f>
        <v/>
      </c>
      <c r="AB133">
        <f>HYPERLINK("https://klasma.github.io/Logging_2039/klagomålsmail/A 25089-2024 FSC-klagomål mail.docx", "A 25089-2024")</f>
        <v/>
      </c>
      <c r="AC133">
        <f>HYPERLINK("https://klasma.github.io/Logging_2039/tillsyn/A 25089-2024 tillsynsbegäran.docx", "A 25089-2024")</f>
        <v/>
      </c>
      <c r="AD133">
        <f>HYPERLINK("https://klasma.github.io/Logging_2039/tillsynsmail/A 25089-2024 tillsynsbegäran mail.docx", "A 25089-2024")</f>
        <v/>
      </c>
    </row>
    <row r="134" ht="15" customHeight="1">
      <c r="A134" t="inlineStr">
        <is>
          <t>A 38689-2026</t>
        </is>
      </c>
      <c r="B134" t="inlineStr">
        <is>
          <t>avverkningsanmälan</t>
        </is>
      </c>
      <c r="C134" t="inlineStr">
        <is>
          <t>Föryngringsavverkning</t>
        </is>
      </c>
      <c r="D134" s="1" t="n">
        <v>46283</v>
      </c>
      <c r="E134" s="1" t="n">
        <v>46294</v>
      </c>
      <c r="F134" t="inlineStr">
        <is>
          <t>DALARNAS LÄN</t>
        </is>
      </c>
      <c r="G134" t="inlineStr">
        <is>
          <t>ÄLVDALEN</t>
        </is>
      </c>
      <c r="H134" t="inlineStr">
        <is>
          <t>Allmännings- och besparingsskogar</t>
        </is>
      </c>
      <c r="I134" t="n">
        <v>35.6</v>
      </c>
      <c r="J134" t="n">
        <v>2</v>
      </c>
      <c r="K134" t="n">
        <v>1</v>
      </c>
      <c r="L134" t="n">
        <v>3</v>
      </c>
      <c r="M134" t="n">
        <v>0</v>
      </c>
      <c r="N134" t="n">
        <v>0</v>
      </c>
      <c r="O134" t="n">
        <v>0</v>
      </c>
      <c r="P134" t="n">
        <v>0</v>
      </c>
      <c r="Q134" t="n">
        <v>3</v>
      </c>
      <c r="R134" t="n">
        <v>0</v>
      </c>
      <c r="S134" t="n">
        <v>5</v>
      </c>
      <c r="T134" t="n">
        <v>6</v>
      </c>
      <c r="U134" t="n">
        <v>0</v>
      </c>
      <c r="V134" s="2" t="inlineStr">
        <is>
          <t>Kolflarnlav
Mörk kolflarnlav
Talltita
Vågbandad barkbock
Ljungpipare</t>
        </is>
      </c>
      <c r="W134">
        <f>HYPERLINK("https://klasma.github.io/Logging_2039/artfynd/A 38689-2026 artfynd.xlsx", "A 38689-2026")</f>
        <v/>
      </c>
      <c r="X134">
        <f>HYPERLINK("https://klasma.github.io/Logging_2039/kartor/A 38689-2026 karta.png", "A 38689-2026")</f>
        <v/>
      </c>
      <c r="Y134">
        <f>HYPERLINK("https://klasma.github.io/Logging_2039/kartor_geotiff/A 38689-2026 georefererad karta.tif", "A 38689-2026")</f>
        <v/>
      </c>
      <c r="AA134">
        <f>HYPERLINK("https://klasma.github.io/Logging_2039/klagomål/A 38689-2026 FSC-klagomål.docx", "A 38689-2026")</f>
        <v/>
      </c>
      <c r="AB134">
        <f>HYPERLINK("https://klasma.github.io/Logging_2039/klagomålsmail/A 38689-2026 FSC-klagomål mail.docx", "A 38689-2026")</f>
        <v/>
      </c>
      <c r="AC134">
        <f>HYPERLINK("https://klasma.github.io/Logging_2039/tillsyn/A 38689-2026 tillsynsbegäran.docx", "A 38689-2026")</f>
        <v/>
      </c>
      <c r="AD134">
        <f>HYPERLINK("https://klasma.github.io/Logging_2039/tillsynsmail/A 38689-2026 tillsynsbegäran mail.docx", "A 38689-2026")</f>
        <v/>
      </c>
      <c r="AE134">
        <f>HYPERLINK("https://klasma.github.io/Logging_2039/fåglar/A 38689-2026 prioriterade fågelarter.docx", "A 38689-2026")</f>
        <v/>
      </c>
    </row>
    <row r="135" ht="15" customHeight="1">
      <c r="A135" t="inlineStr">
        <is>
          <t>A 39058-2026</t>
        </is>
      </c>
      <c r="B135" t="inlineStr">
        <is>
          <t>avverkningsanmälan</t>
        </is>
      </c>
      <c r="C135" t="inlineStr">
        <is>
          <t>Avverkning för att bevara och utveckla /försöksver</t>
        </is>
      </c>
      <c r="D135" s="1" t="n">
        <v>46287</v>
      </c>
      <c r="E135" s="1" t="n">
        <v>46294</v>
      </c>
      <c r="F135" t="inlineStr">
        <is>
          <t>DALARNAS LÄN</t>
        </is>
      </c>
      <c r="G135" t="inlineStr">
        <is>
          <t>ÄLVDALEN</t>
        </is>
      </c>
      <c r="H135" t="inlineStr">
        <is>
          <t>Sveaskog</t>
        </is>
      </c>
      <c r="I135" t="n">
        <v>22.8</v>
      </c>
      <c r="J135" t="n">
        <v>0</v>
      </c>
      <c r="K135" t="n">
        <v>0</v>
      </c>
      <c r="L135" t="n">
        <v>4</v>
      </c>
      <c r="M135" t="n">
        <v>1</v>
      </c>
      <c r="N135" t="n">
        <v>0</v>
      </c>
      <c r="O135" t="n">
        <v>0</v>
      </c>
      <c r="P135" t="n">
        <v>0</v>
      </c>
      <c r="Q135" t="n">
        <v>5</v>
      </c>
      <c r="R135" t="n">
        <v>1</v>
      </c>
      <c r="S135" t="n">
        <v>5</v>
      </c>
      <c r="T135" t="n">
        <v>12</v>
      </c>
      <c r="U135" t="n">
        <v>0</v>
      </c>
      <c r="V135" s="2" t="inlineStr">
        <is>
          <t>Smalfotad taggsvamp
Blanksvart spiklav
Dropptaggsvamp
Kolflarnlav
Mörk kolflarnlav</t>
        </is>
      </c>
      <c r="W135">
        <f>HYPERLINK("https://klasma.github.io/Logging_2039/artfynd/A 39058-2026 artfynd.xlsx", "A 39058-2026")</f>
        <v/>
      </c>
      <c r="X135">
        <f>HYPERLINK("https://klasma.github.io/Logging_2039/kartor/A 39058-2026 karta.png", "A 39058-2026")</f>
        <v/>
      </c>
      <c r="Y135">
        <f>HYPERLINK("https://klasma.github.io/Logging_2039/kartor_geotiff/A 39058-2026 georefererad karta.tif", "A 39058-2026")</f>
        <v/>
      </c>
      <c r="AA135">
        <f>HYPERLINK("https://klasma.github.io/Logging_2039/klagomål/A 39058-2026 FSC-klagomål.docx", "A 39058-2026")</f>
        <v/>
      </c>
      <c r="AB135">
        <f>HYPERLINK("https://klasma.github.io/Logging_2039/klagomålsmail/A 39058-2026 FSC-klagomål mail.docx", "A 39058-2026")</f>
        <v/>
      </c>
      <c r="AC135">
        <f>HYPERLINK("https://klasma.github.io/Logging_2039/tillsyn/A 39058-2026 tillsynsbegäran.docx", "A 39058-2026")</f>
        <v/>
      </c>
      <c r="AD135">
        <f>HYPERLINK("https://klasma.github.io/Logging_2039/tillsynsmail/A 39058-2026 tillsynsbegäran mail.docx", "A 39058-2026")</f>
        <v/>
      </c>
    </row>
    <row r="136" ht="15" customHeight="1">
      <c r="A136" t="inlineStr">
        <is>
          <t>S 1014-2026</t>
        </is>
      </c>
      <c r="B136" t="inlineStr">
        <is>
          <t>samrådsanmälan</t>
        </is>
      </c>
      <c r="C136" t="inlineStr">
        <is>
          <t>Skogsgödsling</t>
        </is>
      </c>
      <c r="D136" s="1" t="n">
        <v>46121</v>
      </c>
      <c r="E136" s="1" t="n">
        <v>46294</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46294</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22291-2025</t>
        </is>
      </c>
      <c r="B138" t="inlineStr">
        <is>
          <t>avverkningsanmälan</t>
        </is>
      </c>
      <c r="C138" t="inlineStr">
        <is>
          <t>Föryngringsavverkning</t>
        </is>
      </c>
      <c r="D138" s="1" t="n">
        <v>45786</v>
      </c>
      <c r="E138" s="1" t="n">
        <v>46294</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23872-2023</t>
        </is>
      </c>
      <c r="B139" t="inlineStr">
        <is>
          <t>avverkningsanmälan</t>
        </is>
      </c>
      <c r="C139" t="inlineStr">
        <is>
          <t>Föryngringsavverkning</t>
        </is>
      </c>
      <c r="D139" s="1" t="n">
        <v>45078</v>
      </c>
      <c r="E139" s="1" t="n">
        <v>46294</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25090-2025</t>
        </is>
      </c>
      <c r="B140" t="inlineStr">
        <is>
          <t>avverkningsanmälan</t>
        </is>
      </c>
      <c r="C140" t="inlineStr">
        <is>
          <t>Föryngringsavverkning</t>
        </is>
      </c>
      <c r="D140" s="1" t="n">
        <v>45800</v>
      </c>
      <c r="E140" s="1" t="n">
        <v>46294</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46294</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42848-2023</t>
        </is>
      </c>
      <c r="B142" t="inlineStr">
        <is>
          <t>avverkningsanmälan</t>
        </is>
      </c>
      <c r="C142" t="inlineStr">
        <is>
          <t>Föryngringsavverkning</t>
        </is>
      </c>
      <c r="D142" s="1" t="n">
        <v>45182</v>
      </c>
      <c r="E142" s="1" t="n">
        <v>46294</v>
      </c>
      <c r="F142" t="inlineStr">
        <is>
          <t>DALARNAS LÄN</t>
        </is>
      </c>
      <c r="G142" t="inlineStr">
        <is>
          <t>ÄLVDALEN</t>
        </is>
      </c>
      <c r="H142" t="inlineStr">
        <is>
          <t>Allmännings- och besparingsskogar</t>
        </is>
      </c>
      <c r="I142" t="n">
        <v>1.9</v>
      </c>
      <c r="J142" t="n">
        <v>0</v>
      </c>
      <c r="K142" t="n">
        <v>0</v>
      </c>
      <c r="L142" t="n">
        <v>3</v>
      </c>
      <c r="M142" t="n">
        <v>1</v>
      </c>
      <c r="N142" t="n">
        <v>0</v>
      </c>
      <c r="O142" t="n">
        <v>0</v>
      </c>
      <c r="P142" t="n">
        <v>0</v>
      </c>
      <c r="Q142" t="n">
        <v>4</v>
      </c>
      <c r="R142" t="n">
        <v>1</v>
      </c>
      <c r="S142" t="n">
        <v>4</v>
      </c>
      <c r="T142" t="n">
        <v>7</v>
      </c>
      <c r="U142" t="n">
        <v>2</v>
      </c>
      <c r="V142" s="2" t="inlineStr">
        <is>
          <t>Goliatmusseron
Blå taggsvamp
Dropptaggsvamp
Skarp dropptaggsvamp</t>
        </is>
      </c>
      <c r="W142">
        <f>HYPERLINK("https://klasma.github.io/Logging_2039/artfynd/A 42848-2023 artfynd.xlsx", "A 42848-2023")</f>
        <v/>
      </c>
      <c r="X142">
        <f>HYPERLINK("https://klasma.github.io/Logging_2039/kartor/A 42848-2023 karta.png", "A 42848-2023")</f>
        <v/>
      </c>
      <c r="Y142">
        <f>HYPERLINK("https://klasma.github.io/Logging_2039/kartor_geotiff/A 42848-2023 georefererad karta.tif", "A 42848-2023")</f>
        <v/>
      </c>
      <c r="AA142">
        <f>HYPERLINK("https://klasma.github.io/Logging_2039/klagomål/A 42848-2023 FSC-klagomål.docx", "A 42848-2023")</f>
        <v/>
      </c>
      <c r="AB142">
        <f>HYPERLINK("https://klasma.github.io/Logging_2039/klagomålsmail/A 42848-2023 FSC-klagomål mail.docx", "A 42848-2023")</f>
        <v/>
      </c>
      <c r="AC142">
        <f>HYPERLINK("https://klasma.github.io/Logging_2039/tillsyn/A 42848-2023 tillsynsbegäran.docx", "A 42848-2023")</f>
        <v/>
      </c>
      <c r="AD142">
        <f>HYPERLINK("https://klasma.github.io/Logging_2039/tillsynsmail/A 42848-2023 tillsynsbegäran mail.docx", "A 42848-2023")</f>
        <v/>
      </c>
    </row>
    <row r="143" ht="15" customHeight="1">
      <c r="A143" t="inlineStr">
        <is>
          <t>A 36580-2024</t>
        </is>
      </c>
      <c r="B143" t="inlineStr">
        <is>
          <t>avverkningsanmälan</t>
        </is>
      </c>
      <c r="C143" t="inlineStr">
        <is>
          <t>Föryngringsavverkning</t>
        </is>
      </c>
      <c r="D143" s="1" t="n">
        <v>45537</v>
      </c>
      <c r="E143" s="1" t="n">
        <v>46294</v>
      </c>
      <c r="F143" t="inlineStr">
        <is>
          <t>DALARNAS LÄN</t>
        </is>
      </c>
      <c r="G143" t="inlineStr">
        <is>
          <t>ÄLVDALEN</t>
        </is>
      </c>
      <c r="H143" t="inlineStr">
        <is>
          <t>Sveaskog</t>
        </is>
      </c>
      <c r="I143" t="n">
        <v>4.2</v>
      </c>
      <c r="J143" t="n">
        <v>0</v>
      </c>
      <c r="K143" t="n">
        <v>0</v>
      </c>
      <c r="L143" t="n">
        <v>3</v>
      </c>
      <c r="M143" t="n">
        <v>1</v>
      </c>
      <c r="N143" t="n">
        <v>0</v>
      </c>
      <c r="O143" t="n">
        <v>0</v>
      </c>
      <c r="P143" t="n">
        <v>0</v>
      </c>
      <c r="Q143" t="n">
        <v>4</v>
      </c>
      <c r="R143" t="n">
        <v>1</v>
      </c>
      <c r="S143" t="n">
        <v>4</v>
      </c>
      <c r="T143" t="n">
        <v>4</v>
      </c>
      <c r="U143" t="n">
        <v>4</v>
      </c>
      <c r="V143" s="2" t="inlineStr">
        <is>
          <t>Garnlav
Kolflarnlav
Mörk kolflarnlav
Vedflamlav</t>
        </is>
      </c>
      <c r="W143">
        <f>HYPERLINK("https://klasma.github.io/Logging_2039/artfynd/A 36580-2024 artfynd.xlsx", "A 36580-2024")</f>
        <v/>
      </c>
      <c r="X143">
        <f>HYPERLINK("https://klasma.github.io/Logging_2039/kartor/A 36580-2024 karta.png", "A 36580-2024")</f>
        <v/>
      </c>
      <c r="Y143">
        <f>HYPERLINK("https://klasma.github.io/Logging_2039/kartor_geotiff/A 36580-2024 georefererad karta.tif", "A 36580-2024")</f>
        <v/>
      </c>
      <c r="AA143">
        <f>HYPERLINK("https://klasma.github.io/Logging_2039/klagomål/A 36580-2024 FSC-klagomål.docx", "A 36580-2024")</f>
        <v/>
      </c>
      <c r="AB143">
        <f>HYPERLINK("https://klasma.github.io/Logging_2039/klagomålsmail/A 36580-2024 FSC-klagomål mail.docx", "A 36580-2024")</f>
        <v/>
      </c>
      <c r="AC143">
        <f>HYPERLINK("https://klasma.github.io/Logging_2039/tillsyn/A 36580-2024 tillsynsbegäran.docx", "A 36580-2024")</f>
        <v/>
      </c>
      <c r="AD143">
        <f>HYPERLINK("https://klasma.github.io/Logging_2039/tillsynsmail/A 36580-2024 tillsynsbegäran mail.docx", "A 36580-2024")</f>
        <v/>
      </c>
    </row>
    <row r="144" ht="15" customHeight="1">
      <c r="A144" t="inlineStr">
        <is>
          <t>A 38819-2024</t>
        </is>
      </c>
      <c r="B144" t="inlineStr">
        <is>
          <t>avverkningsanmälan</t>
        </is>
      </c>
      <c r="C144" t="inlineStr">
        <is>
          <t>Föryngringsavverkning</t>
        </is>
      </c>
      <c r="D144" s="1" t="n">
        <v>45547</v>
      </c>
      <c r="E144" s="1" t="n">
        <v>46294</v>
      </c>
      <c r="F144" t="inlineStr">
        <is>
          <t>DALARNAS LÄN</t>
        </is>
      </c>
      <c r="G144" t="inlineStr">
        <is>
          <t>ÄLVDALEN</t>
        </is>
      </c>
      <c r="H144" t="inlineStr">
        <is>
          <t>Sveaskog</t>
        </is>
      </c>
      <c r="I144" t="n">
        <v>2.9</v>
      </c>
      <c r="J144" t="n">
        <v>0</v>
      </c>
      <c r="K144" t="n">
        <v>0</v>
      </c>
      <c r="L144" t="n">
        <v>4</v>
      </c>
      <c r="M144" t="n">
        <v>0</v>
      </c>
      <c r="N144" t="n">
        <v>0</v>
      </c>
      <c r="O144" t="n">
        <v>0</v>
      </c>
      <c r="P144" t="n">
        <v>0</v>
      </c>
      <c r="Q144" t="n">
        <v>4</v>
      </c>
      <c r="R144" t="n">
        <v>0</v>
      </c>
      <c r="S144" t="n">
        <v>4</v>
      </c>
      <c r="T144" t="n">
        <v>4</v>
      </c>
      <c r="U144" t="n">
        <v>4</v>
      </c>
      <c r="V144" s="2" t="inlineStr">
        <is>
          <t>Dvärgbägarlav
Kolflarnlav
Mörk kolflarnlav
Vedflamlav</t>
        </is>
      </c>
      <c r="W144">
        <f>HYPERLINK("https://klasma.github.io/Logging_2039/artfynd/A 38819-2024 artfynd.xlsx", "A 38819-2024")</f>
        <v/>
      </c>
      <c r="X144">
        <f>HYPERLINK("https://klasma.github.io/Logging_2039/kartor/A 38819-2024 karta.png", "A 38819-2024")</f>
        <v/>
      </c>
      <c r="Y144">
        <f>HYPERLINK("https://klasma.github.io/Logging_2039/kartor_geotiff/A 38819-2024 georefererad karta.tif", "A 38819-2024")</f>
        <v/>
      </c>
      <c r="AA144">
        <f>HYPERLINK("https://klasma.github.io/Logging_2039/klagomål/A 38819-2024 FSC-klagomål.docx", "A 38819-2024")</f>
        <v/>
      </c>
      <c r="AB144">
        <f>HYPERLINK("https://klasma.github.io/Logging_2039/klagomålsmail/A 38819-2024 FSC-klagomål mail.docx", "A 38819-2024")</f>
        <v/>
      </c>
      <c r="AC144">
        <f>HYPERLINK("https://klasma.github.io/Logging_2039/tillsyn/A 38819-2024 tillsynsbegäran.docx", "A 38819-2024")</f>
        <v/>
      </c>
      <c r="AD144">
        <f>HYPERLINK("https://klasma.github.io/Logging_2039/tillsynsmail/A 38819-2024 tillsynsbegäran mail.docx", "A 38819-2024")</f>
        <v/>
      </c>
    </row>
    <row r="145" ht="15" customHeight="1">
      <c r="A145" t="inlineStr">
        <is>
          <t>A 19870-2026</t>
        </is>
      </c>
      <c r="B145" t="inlineStr">
        <is>
          <t>avverkningsanmälan</t>
        </is>
      </c>
      <c r="C145" t="inlineStr">
        <is>
          <t>Föryngringsavverkning</t>
        </is>
      </c>
      <c r="D145" s="1" t="n">
        <v>46135</v>
      </c>
      <c r="E145" s="1" t="n">
        <v>46294</v>
      </c>
      <c r="F145" t="inlineStr">
        <is>
          <t>DALARNAS LÄN</t>
        </is>
      </c>
      <c r="G145" t="inlineStr">
        <is>
          <t>ÄLVDALEN</t>
        </is>
      </c>
      <c r="H145" t="inlineStr">
        <is>
          <t>Sveaskog</t>
        </is>
      </c>
      <c r="I145" t="n">
        <v>31.7</v>
      </c>
      <c r="J145" t="n">
        <v>0</v>
      </c>
      <c r="K145" t="n">
        <v>0</v>
      </c>
      <c r="L145" t="n">
        <v>4</v>
      </c>
      <c r="M145" t="n">
        <v>0</v>
      </c>
      <c r="N145" t="n">
        <v>0</v>
      </c>
      <c r="O145" t="n">
        <v>0</v>
      </c>
      <c r="P145" t="n">
        <v>0</v>
      </c>
      <c r="Q145" t="n">
        <v>4</v>
      </c>
      <c r="R145" t="n">
        <v>0</v>
      </c>
      <c r="S145" t="n">
        <v>4</v>
      </c>
      <c r="T145" t="n">
        <v>7</v>
      </c>
      <c r="U145" t="n">
        <v>1</v>
      </c>
      <c r="V145" s="2" t="inlineStr">
        <is>
          <t>Dropptaggsvamp
Kolflarnlav
Mörk kolflarnlav
Vedflamlav</t>
        </is>
      </c>
      <c r="W145">
        <f>HYPERLINK("https://klasma.github.io/Logging_2039/artfynd/A 19870-2026 artfynd.xlsx", "A 19870-2026")</f>
        <v/>
      </c>
      <c r="X145">
        <f>HYPERLINK("https://klasma.github.io/Logging_2039/kartor/A 19870-2026 karta.png", "A 19870-2026")</f>
        <v/>
      </c>
      <c r="Y145">
        <f>HYPERLINK("https://klasma.github.io/Logging_2039/kartor_geotiff/A 19870-2026 georefererad karta.tif", "A 19870-2026")</f>
        <v/>
      </c>
      <c r="AA145">
        <f>HYPERLINK("https://klasma.github.io/Logging_2039/klagomål/A 19870-2026 FSC-klagomål.docx", "A 19870-2026")</f>
        <v/>
      </c>
      <c r="AB145">
        <f>HYPERLINK("https://klasma.github.io/Logging_2039/klagomålsmail/A 19870-2026 FSC-klagomål mail.docx", "A 19870-2026")</f>
        <v/>
      </c>
      <c r="AC145">
        <f>HYPERLINK("https://klasma.github.io/Logging_2039/tillsyn/A 19870-2026 tillsynsbegäran.docx", "A 19870-2026")</f>
        <v/>
      </c>
      <c r="AD145">
        <f>HYPERLINK("https://klasma.github.io/Logging_2039/tillsynsmail/A 19870-2026 tillsynsbegäran mail.docx", "A 19870-2026")</f>
        <v/>
      </c>
    </row>
    <row r="146" ht="15" customHeight="1">
      <c r="A146" t="inlineStr">
        <is>
          <t>A 59429-2024</t>
        </is>
      </c>
      <c r="B146" t="inlineStr">
        <is>
          <t>avverkningsanmälan</t>
        </is>
      </c>
      <c r="C146" t="inlineStr">
        <is>
          <t>Föryngringsavverkning</t>
        </is>
      </c>
      <c r="D146" s="1" t="n">
        <v>45638</v>
      </c>
      <c r="E146" s="1" t="n">
        <v>46294</v>
      </c>
      <c r="F146" t="inlineStr">
        <is>
          <t>DALARNAS LÄN</t>
        </is>
      </c>
      <c r="G146" t="inlineStr">
        <is>
          <t>ÄLVDALEN</t>
        </is>
      </c>
      <c r="H146" t="inlineStr">
        <is>
          <t>Allmännings- och besparingsskogar</t>
        </is>
      </c>
      <c r="I146" t="n">
        <v>4.9</v>
      </c>
      <c r="J146" t="n">
        <v>0</v>
      </c>
      <c r="K146" t="n">
        <v>1</v>
      </c>
      <c r="L146" t="n">
        <v>2</v>
      </c>
      <c r="M146" t="n">
        <v>1</v>
      </c>
      <c r="N146" t="n">
        <v>0</v>
      </c>
      <c r="O146" t="n">
        <v>0</v>
      </c>
      <c r="P146" t="n">
        <v>0</v>
      </c>
      <c r="Q146" t="n">
        <v>3</v>
      </c>
      <c r="R146" t="n">
        <v>1</v>
      </c>
      <c r="S146" t="n">
        <v>4</v>
      </c>
      <c r="T146" t="n">
        <v>4</v>
      </c>
      <c r="U146" t="n">
        <v>0</v>
      </c>
      <c r="V146" s="2" t="inlineStr">
        <is>
          <t>Garnlav
Lunglav
Skrovellav
Platt fjädermossa</t>
        </is>
      </c>
      <c r="W146">
        <f>HYPERLINK("https://klasma.github.io/Logging_2039/artfynd/A 59429-2024 artfynd.xlsx", "A 59429-2024")</f>
        <v/>
      </c>
      <c r="X146">
        <f>HYPERLINK("https://klasma.github.io/Logging_2039/kartor/A 59429-2024 karta.png", "A 59429-2024")</f>
        <v/>
      </c>
      <c r="Y146">
        <f>HYPERLINK("https://klasma.github.io/Logging_2039/kartor_geotiff/A 59429-2024 georefererad karta.tif", "A 59429-2024")</f>
        <v/>
      </c>
      <c r="AA146">
        <f>HYPERLINK("https://klasma.github.io/Logging_2039/klagomål/A 59429-2024 FSC-klagomål.docx", "A 59429-2024")</f>
        <v/>
      </c>
      <c r="AB146">
        <f>HYPERLINK("https://klasma.github.io/Logging_2039/klagomålsmail/A 59429-2024 FSC-klagomål mail.docx", "A 59429-2024")</f>
        <v/>
      </c>
      <c r="AC146">
        <f>HYPERLINK("https://klasma.github.io/Logging_2039/tillsyn/A 59429-2024 tillsynsbegäran.docx", "A 59429-2024")</f>
        <v/>
      </c>
      <c r="AD146">
        <f>HYPERLINK("https://klasma.github.io/Logging_2039/tillsynsmail/A 59429-2024 tillsynsbegäran mail.docx", "A 59429-2024")</f>
        <v/>
      </c>
    </row>
    <row r="147" ht="15" customHeight="1">
      <c r="A147" t="inlineStr">
        <is>
          <t>A 41921-2022</t>
        </is>
      </c>
      <c r="B147" t="inlineStr">
        <is>
          <t>avverkningsanmälan</t>
        </is>
      </c>
      <c r="C147" t="inlineStr">
        <is>
          <t>Föryngringsavverkning</t>
        </is>
      </c>
      <c r="D147" s="1" t="n">
        <v>44830</v>
      </c>
      <c r="E147" s="1" t="n">
        <v>46294</v>
      </c>
      <c r="F147" t="inlineStr">
        <is>
          <t>DALARNAS LÄN</t>
        </is>
      </c>
      <c r="G147" t="inlineStr">
        <is>
          <t>ÄLVDALEN</t>
        </is>
      </c>
      <c r="H147" t="inlineStr">
        <is>
          <t>Sveaskog</t>
        </is>
      </c>
      <c r="I147" t="n">
        <v>5.4</v>
      </c>
      <c r="J147" t="n">
        <v>2</v>
      </c>
      <c r="K147" t="n">
        <v>0</v>
      </c>
      <c r="L147" t="n">
        <v>3</v>
      </c>
      <c r="M147" t="n">
        <v>0</v>
      </c>
      <c r="N147" t="n">
        <v>0</v>
      </c>
      <c r="O147" t="n">
        <v>0</v>
      </c>
      <c r="P147" t="n">
        <v>0</v>
      </c>
      <c r="Q147" t="n">
        <v>3</v>
      </c>
      <c r="R147" t="n">
        <v>0</v>
      </c>
      <c r="S147" t="n">
        <v>4</v>
      </c>
      <c r="T147" t="n">
        <v>4</v>
      </c>
      <c r="U147" t="n">
        <v>4</v>
      </c>
      <c r="V147" s="2" t="inlineStr">
        <is>
          <t>Blågrå svartspik
Tretåig hackspett
Vedskivlav
Tjäder</t>
        </is>
      </c>
      <c r="W147">
        <f>HYPERLINK("https://klasma.github.io/Logging_2039/artfynd/A 41921-2022 artfynd.xlsx", "A 41921-2022")</f>
        <v/>
      </c>
      <c r="X147">
        <f>HYPERLINK("https://klasma.github.io/Logging_2039/kartor/A 41921-2022 karta.png", "A 41921-2022")</f>
        <v/>
      </c>
      <c r="Y147">
        <f>HYPERLINK("https://klasma.github.io/Logging_2039/kartor_geotiff/A 41921-2022 georefererad karta.tif", "A 41921-2022")</f>
        <v/>
      </c>
      <c r="AA147">
        <f>HYPERLINK("https://klasma.github.io/Logging_2039/klagomål/A 41921-2022 FSC-klagomål.docx", "A 41921-2022")</f>
        <v/>
      </c>
      <c r="AB147">
        <f>HYPERLINK("https://klasma.github.io/Logging_2039/klagomålsmail/A 41921-2022 FSC-klagomål mail.docx", "A 41921-2022")</f>
        <v/>
      </c>
      <c r="AC147">
        <f>HYPERLINK("https://klasma.github.io/Logging_2039/tillsyn/A 41921-2022 tillsynsbegäran.docx", "A 41921-2022")</f>
        <v/>
      </c>
      <c r="AD147">
        <f>HYPERLINK("https://klasma.github.io/Logging_2039/tillsynsmail/A 41921-2022 tillsynsbegäran mail.docx", "A 41921-2022")</f>
        <v/>
      </c>
      <c r="AE147">
        <f>HYPERLINK("https://klasma.github.io/Logging_2039/fåglar/A 41921-2022 prioriterade fågelarter.docx", "A 41921-2022")</f>
        <v/>
      </c>
    </row>
    <row r="148" ht="15" customHeight="1">
      <c r="A148" t="inlineStr">
        <is>
          <t>A 32204-2024</t>
        </is>
      </c>
      <c r="B148" t="inlineStr">
        <is>
          <t>avverkningsanmälan</t>
        </is>
      </c>
      <c r="C148" t="inlineStr">
        <is>
          <t>Föryngringsavverkning</t>
        </is>
      </c>
      <c r="D148" s="1" t="n">
        <v>45511</v>
      </c>
      <c r="E148" s="1" t="n">
        <v>46294</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6820-2026</t>
        </is>
      </c>
      <c r="B149" t="inlineStr">
        <is>
          <t>avverkningsanmälan</t>
        </is>
      </c>
      <c r="C149" t="inlineStr">
        <is>
          <t>Föryngringsavverkning</t>
        </is>
      </c>
      <c r="D149" s="1" t="n">
        <v>46057</v>
      </c>
      <c r="E149" s="1" t="n">
        <v>46294</v>
      </c>
      <c r="F149" t="inlineStr">
        <is>
          <t>DALARNAS LÄN</t>
        </is>
      </c>
      <c r="G149" t="inlineStr">
        <is>
          <t>ÄLVDALEN</t>
        </is>
      </c>
      <c r="I149" t="n">
        <v>0.8</v>
      </c>
      <c r="J149" t="n">
        <v>2</v>
      </c>
      <c r="K149" t="n">
        <v>0</v>
      </c>
      <c r="L149" t="n">
        <v>0</v>
      </c>
      <c r="M149" t="n">
        <v>1</v>
      </c>
      <c r="N149" t="n">
        <v>0</v>
      </c>
      <c r="O149" t="n">
        <v>0</v>
      </c>
      <c r="P149" t="n">
        <v>0</v>
      </c>
      <c r="Q149" t="n">
        <v>1</v>
      </c>
      <c r="R149" t="n">
        <v>1</v>
      </c>
      <c r="S149" t="n">
        <v>4</v>
      </c>
      <c r="T149" t="n">
        <v>6</v>
      </c>
      <c r="U149" t="n">
        <v>6</v>
      </c>
      <c r="V149" s="2" t="inlineStr">
        <is>
          <t>Garnlav
Linnea
Spillkråka
Tofsmes</t>
        </is>
      </c>
      <c r="W149">
        <f>HYPERLINK("https://klasma.github.io/Logging_2039/artfynd/A 6820-2026 artfynd.xlsx", "A 6820-2026")</f>
        <v/>
      </c>
      <c r="X149">
        <f>HYPERLINK("https://klasma.github.io/Logging_2039/kartor/A 6820-2026 karta.png", "A 6820-2026")</f>
        <v/>
      </c>
      <c r="Y149">
        <f>HYPERLINK("https://klasma.github.io/Logging_2039/kartor_geotiff/A 6820-2026 georefererad karta.tif", "A 6820-2026")</f>
        <v/>
      </c>
      <c r="AA149">
        <f>HYPERLINK("https://klasma.github.io/Logging_2039/klagomål/A 6820-2026 FSC-klagomål.docx", "A 6820-2026")</f>
        <v/>
      </c>
      <c r="AB149">
        <f>HYPERLINK("https://klasma.github.io/Logging_2039/klagomålsmail/A 6820-2026 FSC-klagomål mail.docx", "A 6820-2026")</f>
        <v/>
      </c>
      <c r="AC149">
        <f>HYPERLINK("https://klasma.github.io/Logging_2039/tillsyn/A 6820-2026 tillsynsbegäran.docx", "A 6820-2026")</f>
        <v/>
      </c>
      <c r="AD149">
        <f>HYPERLINK("https://klasma.github.io/Logging_2039/tillsynsmail/A 6820-2026 tillsynsbegäran mail.docx", "A 6820-2026")</f>
        <v/>
      </c>
      <c r="AE149">
        <f>HYPERLINK("https://klasma.github.io/Logging_2039/fåglar/A 6820-2026 prioriterade fågelarter.docx", "A 6820-2026")</f>
        <v/>
      </c>
    </row>
    <row r="150" ht="15" customHeight="1">
      <c r="A150" t="inlineStr">
        <is>
          <t>A 27373-2026</t>
        </is>
      </c>
      <c r="B150" t="inlineStr">
        <is>
          <t>avverkningsanmälan</t>
        </is>
      </c>
      <c r="C150" t="inlineStr">
        <is>
          <t>Föryngringsavverkning</t>
        </is>
      </c>
      <c r="D150" s="1" t="n">
        <v>46189</v>
      </c>
      <c r="E150" s="1" t="n">
        <v>46294</v>
      </c>
      <c r="F150" t="inlineStr">
        <is>
          <t>DALARNAS LÄN</t>
        </is>
      </c>
      <c r="G150" t="inlineStr">
        <is>
          <t>ÄLVDALEN</t>
        </is>
      </c>
      <c r="H150" t="inlineStr">
        <is>
          <t>Sveaskog</t>
        </is>
      </c>
      <c r="I150" t="n">
        <v>17.6</v>
      </c>
      <c r="J150" t="n">
        <v>1</v>
      </c>
      <c r="K150" t="n">
        <v>1</v>
      </c>
      <c r="L150" t="n">
        <v>3</v>
      </c>
      <c r="M150" t="n">
        <v>0</v>
      </c>
      <c r="N150" t="n">
        <v>0</v>
      </c>
      <c r="O150" t="n">
        <v>0</v>
      </c>
      <c r="P150" t="n">
        <v>0</v>
      </c>
      <c r="Q150" t="n">
        <v>3</v>
      </c>
      <c r="R150" t="n">
        <v>0</v>
      </c>
      <c r="S150" t="n">
        <v>4</v>
      </c>
      <c r="T150" t="n">
        <v>4</v>
      </c>
      <c r="U150" t="n">
        <v>1</v>
      </c>
      <c r="V150" s="2" t="inlineStr">
        <is>
          <t>Blanksvart spiklav
Kolflarnlav
Mörk kolflarnlav
Plattlummer</t>
        </is>
      </c>
      <c r="W150">
        <f>HYPERLINK("https://klasma.github.io/Logging_2039/artfynd/A 27373-2026 artfynd.xlsx", "A 27373-2026")</f>
        <v/>
      </c>
      <c r="X150">
        <f>HYPERLINK("https://klasma.github.io/Logging_2039/kartor/A 27373-2026 karta.png", "A 27373-2026")</f>
        <v/>
      </c>
      <c r="Y150">
        <f>HYPERLINK("https://klasma.github.io/Logging_2039/kartor_geotiff/A 27373-2026 georefererad karta.tif", "A 27373-2026")</f>
        <v/>
      </c>
      <c r="AA150">
        <f>HYPERLINK("https://klasma.github.io/Logging_2039/klagomål/A 27373-2026 FSC-klagomål.docx", "A 27373-2026")</f>
        <v/>
      </c>
      <c r="AB150">
        <f>HYPERLINK("https://klasma.github.io/Logging_2039/klagomålsmail/A 27373-2026 FSC-klagomål mail.docx", "A 27373-2026")</f>
        <v/>
      </c>
      <c r="AC150">
        <f>HYPERLINK("https://klasma.github.io/Logging_2039/tillsyn/A 27373-2026 tillsynsbegäran.docx", "A 27373-2026")</f>
        <v/>
      </c>
      <c r="AD150">
        <f>HYPERLINK("https://klasma.github.io/Logging_2039/tillsynsmail/A 27373-2026 tillsynsbegäran mail.docx", "A 27373-2026")</f>
        <v/>
      </c>
    </row>
    <row r="151" ht="15" customHeight="1">
      <c r="A151" t="inlineStr">
        <is>
          <t>A 32207-2024</t>
        </is>
      </c>
      <c r="B151" t="inlineStr">
        <is>
          <t>avverkningsanmälan</t>
        </is>
      </c>
      <c r="C151" t="inlineStr">
        <is>
          <t>Föryngringsavverkning</t>
        </is>
      </c>
      <c r="D151" s="1" t="n">
        <v>45511</v>
      </c>
      <c r="E151" s="1" t="n">
        <v>46294</v>
      </c>
      <c r="F151" t="inlineStr">
        <is>
          <t>DALARNAS LÄN</t>
        </is>
      </c>
      <c r="G151" t="inlineStr">
        <is>
          <t>ÄLVDALEN</t>
        </is>
      </c>
      <c r="H151" t="inlineStr">
        <is>
          <t>Sveaskog</t>
        </is>
      </c>
      <c r="I151" t="n">
        <v>2.5</v>
      </c>
      <c r="J151" t="n">
        <v>0</v>
      </c>
      <c r="K151" t="n">
        <v>0</v>
      </c>
      <c r="L151" t="n">
        <v>4</v>
      </c>
      <c r="M151" t="n">
        <v>0</v>
      </c>
      <c r="N151" t="n">
        <v>0</v>
      </c>
      <c r="O151" t="n">
        <v>0</v>
      </c>
      <c r="P151" t="n">
        <v>0</v>
      </c>
      <c r="Q151" t="n">
        <v>4</v>
      </c>
      <c r="R151" t="n">
        <v>0</v>
      </c>
      <c r="S151" t="n">
        <v>4</v>
      </c>
      <c r="T151" t="n">
        <v>4</v>
      </c>
      <c r="U151" t="n">
        <v>4</v>
      </c>
      <c r="V151" s="2" t="inlineStr">
        <is>
          <t>Dvärgbägarlav
Kolflarnlav
Mörk kolflarnlav
Vedflamlav</t>
        </is>
      </c>
      <c r="W151">
        <f>HYPERLINK("https://klasma.github.io/Logging_2039/artfynd/A 32207-2024 artfynd.xlsx", "A 32207-2024")</f>
        <v/>
      </c>
      <c r="X151">
        <f>HYPERLINK("https://klasma.github.io/Logging_2039/kartor/A 32207-2024 karta.png", "A 32207-2024")</f>
        <v/>
      </c>
      <c r="Y151">
        <f>HYPERLINK("https://klasma.github.io/Logging_2039/kartor_geotiff/A 32207-2024 georefererad karta.tif", "A 32207-2024")</f>
        <v/>
      </c>
      <c r="AA151">
        <f>HYPERLINK("https://klasma.github.io/Logging_2039/klagomål/A 32207-2024 FSC-klagomål.docx", "A 32207-2024")</f>
        <v/>
      </c>
      <c r="AB151">
        <f>HYPERLINK("https://klasma.github.io/Logging_2039/klagomålsmail/A 32207-2024 FSC-klagomål mail.docx", "A 32207-2024")</f>
        <v/>
      </c>
      <c r="AC151">
        <f>HYPERLINK("https://klasma.github.io/Logging_2039/tillsyn/A 32207-2024 tillsynsbegäran.docx", "A 32207-2024")</f>
        <v/>
      </c>
      <c r="AD151">
        <f>HYPERLINK("https://klasma.github.io/Logging_2039/tillsynsmail/A 32207-2024 tillsynsbegäran mail.docx", "A 32207-2024")</f>
        <v/>
      </c>
    </row>
    <row r="152" ht="15" customHeight="1">
      <c r="A152" t="inlineStr">
        <is>
          <t>A 29339-2026</t>
        </is>
      </c>
      <c r="B152" t="inlineStr">
        <is>
          <t>avverkningsanmälan</t>
        </is>
      </c>
      <c r="C152" t="inlineStr">
        <is>
          <t>Föryngringsavverkning</t>
        </is>
      </c>
      <c r="D152" s="1" t="n">
        <v>46202</v>
      </c>
      <c r="E152" s="1" t="n">
        <v>46294</v>
      </c>
      <c r="F152" t="inlineStr">
        <is>
          <t>DALARNAS LÄN</t>
        </is>
      </c>
      <c r="G152" t="inlineStr">
        <is>
          <t>ÄLVDALEN</t>
        </is>
      </c>
      <c r="I152" t="n">
        <v>0.4</v>
      </c>
      <c r="J152" t="n">
        <v>2</v>
      </c>
      <c r="K152" t="n">
        <v>0</v>
      </c>
      <c r="L152" t="n">
        <v>1</v>
      </c>
      <c r="M152" t="n">
        <v>1</v>
      </c>
      <c r="N152" t="n">
        <v>0</v>
      </c>
      <c r="O152" t="n">
        <v>0</v>
      </c>
      <c r="P152" t="n">
        <v>0</v>
      </c>
      <c r="Q152" t="n">
        <v>2</v>
      </c>
      <c r="R152" t="n">
        <v>1</v>
      </c>
      <c r="S152" t="n">
        <v>4</v>
      </c>
      <c r="T152" t="n">
        <v>22</v>
      </c>
      <c r="U152" t="n">
        <v>22</v>
      </c>
      <c r="V152" s="2" t="inlineStr">
        <is>
          <t>Garnlav
Violettgrå tagellav
Spillkråka
Revlummer</t>
        </is>
      </c>
      <c r="W152">
        <f>HYPERLINK("https://klasma.github.io/Logging_2039/artfynd/A 29339-2026 artfynd.xlsx", "A 29339-2026")</f>
        <v/>
      </c>
      <c r="X152">
        <f>HYPERLINK("https://klasma.github.io/Logging_2039/kartor/A 29339-2026 karta.png", "A 29339-2026")</f>
        <v/>
      </c>
      <c r="Y152">
        <f>HYPERLINK("https://klasma.github.io/Logging_2039/kartor_geotiff/A 29339-2026 georefererad karta.tif", "A 29339-2026")</f>
        <v/>
      </c>
      <c r="AA152">
        <f>HYPERLINK("https://klasma.github.io/Logging_2039/klagomål/A 29339-2026 FSC-klagomål.docx", "A 29339-2026")</f>
        <v/>
      </c>
      <c r="AB152">
        <f>HYPERLINK("https://klasma.github.io/Logging_2039/klagomålsmail/A 29339-2026 FSC-klagomål mail.docx", "A 29339-2026")</f>
        <v/>
      </c>
      <c r="AC152">
        <f>HYPERLINK("https://klasma.github.io/Logging_2039/tillsyn/A 29339-2026 tillsynsbegäran.docx", "A 29339-2026")</f>
        <v/>
      </c>
      <c r="AD152">
        <f>HYPERLINK("https://klasma.github.io/Logging_2039/tillsynsmail/A 29339-2026 tillsynsbegäran mail.docx", "A 29339-2026")</f>
        <v/>
      </c>
      <c r="AE152">
        <f>HYPERLINK("https://klasma.github.io/Logging_2039/fåglar/A 29339-2026 prioriterade fågelarter.docx", "A 29339-2026")</f>
        <v/>
      </c>
    </row>
    <row r="153" ht="15" customHeight="1">
      <c r="A153" t="inlineStr">
        <is>
          <t>A 31341-2026</t>
        </is>
      </c>
      <c r="B153" t="inlineStr">
        <is>
          <t>avverkningsanmälan</t>
        </is>
      </c>
      <c r="C153" t="inlineStr">
        <is>
          <t>Föryngringsavverkning</t>
        </is>
      </c>
      <c r="D153" s="1" t="n">
        <v>46212</v>
      </c>
      <c r="E153" s="1" t="n">
        <v>46294</v>
      </c>
      <c r="F153" t="inlineStr">
        <is>
          <t>DALARNAS LÄN</t>
        </is>
      </c>
      <c r="G153" t="inlineStr">
        <is>
          <t>ÄLVDALEN</t>
        </is>
      </c>
      <c r="I153" t="n">
        <v>1.2</v>
      </c>
      <c r="J153" t="n">
        <v>0</v>
      </c>
      <c r="K153" t="n">
        <v>0</v>
      </c>
      <c r="L153" t="n">
        <v>4</v>
      </c>
      <c r="M153" t="n">
        <v>0</v>
      </c>
      <c r="N153" t="n">
        <v>0</v>
      </c>
      <c r="O153" t="n">
        <v>0</v>
      </c>
      <c r="P153" t="n">
        <v>0</v>
      </c>
      <c r="Q153" t="n">
        <v>4</v>
      </c>
      <c r="R153" t="n">
        <v>0</v>
      </c>
      <c r="S153" t="n">
        <v>4</v>
      </c>
      <c r="T153" t="n">
        <v>5</v>
      </c>
      <c r="U153" t="n">
        <v>5</v>
      </c>
      <c r="V153" s="2" t="inlineStr">
        <is>
          <t>Nordtagging
Talltaggsvamp
Vedflamlav
Vedskivlav</t>
        </is>
      </c>
      <c r="W153">
        <f>HYPERLINK("https://klasma.github.io/Logging_2039/artfynd/A 31341-2026 artfynd.xlsx", "A 31341-2026")</f>
        <v/>
      </c>
      <c r="X153">
        <f>HYPERLINK("https://klasma.github.io/Logging_2039/kartor/A 31341-2026 karta.png", "A 31341-2026")</f>
        <v/>
      </c>
      <c r="Y153">
        <f>HYPERLINK("https://klasma.github.io/Logging_2039/kartor_geotiff/A 31341-2026 georefererad karta.tif", "A 31341-2026")</f>
        <v/>
      </c>
      <c r="AA153">
        <f>HYPERLINK("https://klasma.github.io/Logging_2039/klagomål/A 31341-2026 FSC-klagomål.docx", "A 31341-2026")</f>
        <v/>
      </c>
      <c r="AB153">
        <f>HYPERLINK("https://klasma.github.io/Logging_2039/klagomålsmail/A 31341-2026 FSC-klagomål mail.docx", "A 31341-2026")</f>
        <v/>
      </c>
      <c r="AC153">
        <f>HYPERLINK("https://klasma.github.io/Logging_2039/tillsyn/A 31341-2026 tillsynsbegäran.docx", "A 31341-2026")</f>
        <v/>
      </c>
      <c r="AD153">
        <f>HYPERLINK("https://klasma.github.io/Logging_2039/tillsynsmail/A 31341-2026 tillsynsbegäran mail.docx", "A 31341-2026")</f>
        <v/>
      </c>
    </row>
    <row r="154" ht="15" customHeight="1">
      <c r="A154" t="inlineStr">
        <is>
          <t>A 34304-2026</t>
        </is>
      </c>
      <c r="B154" t="inlineStr">
        <is>
          <t>avverkningsanmälan</t>
        </is>
      </c>
      <c r="C154" t="inlineStr">
        <is>
          <t>Föryngringsavverkning</t>
        </is>
      </c>
      <c r="D154" s="1" t="n">
        <v>46254</v>
      </c>
      <c r="E154" s="1" t="n">
        <v>46294</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31339-2026</t>
        </is>
      </c>
      <c r="B155" t="inlineStr">
        <is>
          <t>avverkningsanmälan</t>
        </is>
      </c>
      <c r="C155" t="inlineStr">
        <is>
          <t>Föryngringsavverkning</t>
        </is>
      </c>
      <c r="D155" s="1" t="n">
        <v>46212</v>
      </c>
      <c r="E155" s="1" t="n">
        <v>46294</v>
      </c>
      <c r="F155" t="inlineStr">
        <is>
          <t>DALARNAS LÄN</t>
        </is>
      </c>
      <c r="G155" t="inlineStr">
        <is>
          <t>ÄLVDALEN</t>
        </is>
      </c>
      <c r="I155" t="n">
        <v>2.7</v>
      </c>
      <c r="J155" t="n">
        <v>0</v>
      </c>
      <c r="K155" t="n">
        <v>0</v>
      </c>
      <c r="L155" t="n">
        <v>4</v>
      </c>
      <c r="M155" t="n">
        <v>0</v>
      </c>
      <c r="N155" t="n">
        <v>0</v>
      </c>
      <c r="O155" t="n">
        <v>0</v>
      </c>
      <c r="P155" t="n">
        <v>0</v>
      </c>
      <c r="Q155" t="n">
        <v>4</v>
      </c>
      <c r="R155" t="n">
        <v>0</v>
      </c>
      <c r="S155" t="n">
        <v>4</v>
      </c>
      <c r="T155" t="n">
        <v>5</v>
      </c>
      <c r="U155" t="n">
        <v>5</v>
      </c>
      <c r="V155" s="2" t="inlineStr">
        <is>
          <t>Blanksvart spiklav
Nordtagging
Vedflamlav
Vedskivlav</t>
        </is>
      </c>
      <c r="W155">
        <f>HYPERLINK("https://klasma.github.io/Logging_2039/artfynd/A 31339-2026 artfynd.xlsx", "A 31339-2026")</f>
        <v/>
      </c>
      <c r="X155">
        <f>HYPERLINK("https://klasma.github.io/Logging_2039/kartor/A 31339-2026 karta.png", "A 31339-2026")</f>
        <v/>
      </c>
      <c r="Y155">
        <f>HYPERLINK("https://klasma.github.io/Logging_2039/kartor_geotiff/A 31339-2026 georefererad karta.tif", "A 31339-2026")</f>
        <v/>
      </c>
      <c r="AA155">
        <f>HYPERLINK("https://klasma.github.io/Logging_2039/klagomål/A 31339-2026 FSC-klagomål.docx", "A 31339-2026")</f>
        <v/>
      </c>
      <c r="AB155">
        <f>HYPERLINK("https://klasma.github.io/Logging_2039/klagomålsmail/A 31339-2026 FSC-klagomål mail.docx", "A 31339-2026")</f>
        <v/>
      </c>
      <c r="AC155">
        <f>HYPERLINK("https://klasma.github.io/Logging_2039/tillsyn/A 31339-2026 tillsynsbegäran.docx", "A 31339-2026")</f>
        <v/>
      </c>
      <c r="AD155">
        <f>HYPERLINK("https://klasma.github.io/Logging_2039/tillsynsmail/A 31339-2026 tillsynsbegäran mail.docx", "A 31339-2026")</f>
        <v/>
      </c>
    </row>
    <row r="156" ht="15" customHeight="1">
      <c r="A156" t="inlineStr">
        <is>
          <t>A 32154-2026</t>
        </is>
      </c>
      <c r="B156" t="inlineStr">
        <is>
          <t>avverkningsanmälan</t>
        </is>
      </c>
      <c r="C156" t="inlineStr">
        <is>
          <t>Föryngringsavverkning</t>
        </is>
      </c>
      <c r="D156" s="1" t="n">
        <v>46236</v>
      </c>
      <c r="E156" s="1" t="n">
        <v>46294</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7024-2024</t>
        </is>
      </c>
      <c r="B157" t="inlineStr">
        <is>
          <t>avverkningsanmälan</t>
        </is>
      </c>
      <c r="C157" t="inlineStr">
        <is>
          <t>Föryngringsavverkning</t>
        </is>
      </c>
      <c r="D157" s="1" t="n">
        <v>45343</v>
      </c>
      <c r="E157" s="1" t="n">
        <v>46294</v>
      </c>
      <c r="F157" t="inlineStr">
        <is>
          <t>DALARNAS LÄN</t>
        </is>
      </c>
      <c r="G157" t="inlineStr">
        <is>
          <t>ÄLVDALEN</t>
        </is>
      </c>
      <c r="H157" t="inlineStr">
        <is>
          <t>Sveaskog</t>
        </is>
      </c>
      <c r="I157" t="n">
        <v>30.1</v>
      </c>
      <c r="J157" t="n">
        <v>0</v>
      </c>
      <c r="K157" t="n">
        <v>0</v>
      </c>
      <c r="L157" t="n">
        <v>2</v>
      </c>
      <c r="M157" t="n">
        <v>1</v>
      </c>
      <c r="N157" t="n">
        <v>0</v>
      </c>
      <c r="O157" t="n">
        <v>0</v>
      </c>
      <c r="P157" t="n">
        <v>0</v>
      </c>
      <c r="Q157" t="n">
        <v>3</v>
      </c>
      <c r="R157" t="n">
        <v>1</v>
      </c>
      <c r="S157" t="n">
        <v>3</v>
      </c>
      <c r="T157" t="n">
        <v>3</v>
      </c>
      <c r="U157" t="n">
        <v>0</v>
      </c>
      <c r="V157" s="2" t="inlineStr">
        <is>
          <t>Gräddporing
Nordtagging
Vaddporing</t>
        </is>
      </c>
      <c r="W157">
        <f>HYPERLINK("https://klasma.github.io/Logging_2039/artfynd/A 7024-2024 artfynd.xlsx", "A 7024-2024")</f>
        <v/>
      </c>
      <c r="X157">
        <f>HYPERLINK("https://klasma.github.io/Logging_2039/kartor/A 7024-2024 karta.png", "A 7024-2024")</f>
        <v/>
      </c>
      <c r="Y157">
        <f>HYPERLINK("https://klasma.github.io/Logging_2039/kartor_geotiff/A 7024-2024 georefererad karta.tif", "A 7024-2024")</f>
        <v/>
      </c>
      <c r="AA157">
        <f>HYPERLINK("https://klasma.github.io/Logging_2039/klagomål/A 7024-2024 FSC-klagomål.docx", "A 7024-2024")</f>
        <v/>
      </c>
      <c r="AB157">
        <f>HYPERLINK("https://klasma.github.io/Logging_2039/klagomålsmail/A 7024-2024 FSC-klagomål mail.docx", "A 7024-2024")</f>
        <v/>
      </c>
      <c r="AC157">
        <f>HYPERLINK("https://klasma.github.io/Logging_2039/tillsyn/A 7024-2024 tillsynsbegäran.docx", "A 7024-2024")</f>
        <v/>
      </c>
      <c r="AD157">
        <f>HYPERLINK("https://klasma.github.io/Logging_2039/tillsynsmail/A 7024-2024 tillsynsbegäran mail.docx", "A 7024-2024")</f>
        <v/>
      </c>
    </row>
    <row r="158" ht="15" customHeight="1">
      <c r="A158" t="inlineStr">
        <is>
          <t>A 26751-2025</t>
        </is>
      </c>
      <c r="B158" t="inlineStr">
        <is>
          <t>avverkningsanmälan</t>
        </is>
      </c>
      <c r="C158" t="inlineStr">
        <is>
          <t>Föryngringsavverkning</t>
        </is>
      </c>
      <c r="D158" s="1" t="n">
        <v>45810</v>
      </c>
      <c r="E158" s="1" t="n">
        <v>46294</v>
      </c>
      <c r="F158" t="inlineStr">
        <is>
          <t>DALARNAS LÄN</t>
        </is>
      </c>
      <c r="G158" t="inlineStr">
        <is>
          <t>ÄLVDALEN</t>
        </is>
      </c>
      <c r="H158" t="inlineStr">
        <is>
          <t>Allmännings- och besparingsskogar</t>
        </is>
      </c>
      <c r="I158" t="n">
        <v>3.6</v>
      </c>
      <c r="J158" t="n">
        <v>1</v>
      </c>
      <c r="K158" t="n">
        <v>1</v>
      </c>
      <c r="L158" t="n">
        <v>1</v>
      </c>
      <c r="M158" t="n">
        <v>1</v>
      </c>
      <c r="N158" t="n">
        <v>0</v>
      </c>
      <c r="O158" t="n">
        <v>0</v>
      </c>
      <c r="P158" t="n">
        <v>0</v>
      </c>
      <c r="Q158" t="n">
        <v>2</v>
      </c>
      <c r="R158" t="n">
        <v>1</v>
      </c>
      <c r="S158" t="n">
        <v>3</v>
      </c>
      <c r="T158" t="n">
        <v>4</v>
      </c>
      <c r="U158" t="n">
        <v>4</v>
      </c>
      <c r="V158" s="2" t="inlineStr">
        <is>
          <t>Garnlav
Skrovellav
Spindelblomster</t>
        </is>
      </c>
      <c r="W158">
        <f>HYPERLINK("https://klasma.github.io/Logging_2039/artfynd/A 26751-2025 artfynd.xlsx", "A 26751-2025")</f>
        <v/>
      </c>
      <c r="X158">
        <f>HYPERLINK("https://klasma.github.io/Logging_2039/kartor/A 26751-2025 karta.png", "A 26751-2025")</f>
        <v/>
      </c>
      <c r="Y158">
        <f>HYPERLINK("https://klasma.github.io/Logging_2039/kartor_geotiff/A 26751-2025 georefererad karta.tif", "A 26751-2025")</f>
        <v/>
      </c>
      <c r="AA158">
        <f>HYPERLINK("https://klasma.github.io/Logging_2039/klagomål/A 26751-2025 FSC-klagomål.docx", "A 26751-2025")</f>
        <v/>
      </c>
      <c r="AB158">
        <f>HYPERLINK("https://klasma.github.io/Logging_2039/klagomålsmail/A 26751-2025 FSC-klagomål mail.docx", "A 26751-2025")</f>
        <v/>
      </c>
      <c r="AC158">
        <f>HYPERLINK("https://klasma.github.io/Logging_2039/tillsyn/A 26751-2025 tillsynsbegäran.docx", "A 26751-2025")</f>
        <v/>
      </c>
      <c r="AD158">
        <f>HYPERLINK("https://klasma.github.io/Logging_2039/tillsynsmail/A 26751-2025 tillsynsbegäran mail.docx", "A 26751-2025")</f>
        <v/>
      </c>
    </row>
    <row r="159" ht="15" customHeight="1">
      <c r="A159" t="inlineStr">
        <is>
          <t>A 27933-2025</t>
        </is>
      </c>
      <c r="B159" t="inlineStr">
        <is>
          <t>avverkningsanmälan</t>
        </is>
      </c>
      <c r="C159" t="inlineStr">
        <is>
          <t>Föryngringsavverkning</t>
        </is>
      </c>
      <c r="D159" s="1" t="n">
        <v>45817</v>
      </c>
      <c r="E159" s="1" t="n">
        <v>46294</v>
      </c>
      <c r="F159" t="inlineStr">
        <is>
          <t>DALARNAS LÄN</t>
        </is>
      </c>
      <c r="G159" t="inlineStr">
        <is>
          <t>ÄLVDALEN</t>
        </is>
      </c>
      <c r="H159" t="inlineStr">
        <is>
          <t>Sveaskog</t>
        </is>
      </c>
      <c r="I159" t="n">
        <v>2.5</v>
      </c>
      <c r="J159" t="n">
        <v>0</v>
      </c>
      <c r="K159" t="n">
        <v>0</v>
      </c>
      <c r="L159" t="n">
        <v>3</v>
      </c>
      <c r="M159" t="n">
        <v>0</v>
      </c>
      <c r="N159" t="n">
        <v>0</v>
      </c>
      <c r="O159" t="n">
        <v>0</v>
      </c>
      <c r="P159" t="n">
        <v>0</v>
      </c>
      <c r="Q159" t="n">
        <v>3</v>
      </c>
      <c r="R159" t="n">
        <v>0</v>
      </c>
      <c r="S159" t="n">
        <v>3</v>
      </c>
      <c r="T159" t="n">
        <v>3</v>
      </c>
      <c r="U159" t="n">
        <v>0</v>
      </c>
      <c r="V159" s="2" t="inlineStr">
        <is>
          <t>Kolflarnlav
Mörk kolflarnlav
Vedflamlav</t>
        </is>
      </c>
      <c r="W159">
        <f>HYPERLINK("https://klasma.github.io/Logging_2039/artfynd/A 27933-2025 artfynd.xlsx", "A 27933-2025")</f>
        <v/>
      </c>
      <c r="X159">
        <f>HYPERLINK("https://klasma.github.io/Logging_2039/kartor/A 27933-2025 karta.png", "A 27933-2025")</f>
        <v/>
      </c>
      <c r="Y159">
        <f>HYPERLINK("https://klasma.github.io/Logging_2039/kartor_geotiff/A 27933-2025 georefererad karta.tif", "A 27933-2025")</f>
        <v/>
      </c>
      <c r="AA159">
        <f>HYPERLINK("https://klasma.github.io/Logging_2039/klagomål/A 27933-2025 FSC-klagomål.docx", "A 27933-2025")</f>
        <v/>
      </c>
      <c r="AB159">
        <f>HYPERLINK("https://klasma.github.io/Logging_2039/klagomålsmail/A 27933-2025 FSC-klagomål mail.docx", "A 27933-2025")</f>
        <v/>
      </c>
      <c r="AC159">
        <f>HYPERLINK("https://klasma.github.io/Logging_2039/tillsyn/A 27933-2025 tillsynsbegäran.docx", "A 27933-2025")</f>
        <v/>
      </c>
      <c r="AD159">
        <f>HYPERLINK("https://klasma.github.io/Logging_2039/tillsynsmail/A 27933-2025 tillsynsbegäran mail.docx", "A 27933-2025")</f>
        <v/>
      </c>
    </row>
    <row r="160" ht="15" customHeight="1">
      <c r="A160" t="inlineStr">
        <is>
          <t>A 35141-2023</t>
        </is>
      </c>
      <c r="B160" t="inlineStr">
        <is>
          <t>avverkningsanmälan</t>
        </is>
      </c>
      <c r="C160" t="inlineStr">
        <is>
          <t>Föryngringsavverkning</t>
        </is>
      </c>
      <c r="D160" s="1" t="n">
        <v>45145</v>
      </c>
      <c r="E160" s="1" t="n">
        <v>46294</v>
      </c>
      <c r="F160" t="inlineStr">
        <is>
          <t>DALARNAS LÄN</t>
        </is>
      </c>
      <c r="G160" t="inlineStr">
        <is>
          <t>ÄLVDALEN</t>
        </is>
      </c>
      <c r="H160" t="inlineStr">
        <is>
          <t>Sveaskog</t>
        </is>
      </c>
      <c r="I160" t="n">
        <v>1.8</v>
      </c>
      <c r="J160" t="n">
        <v>1</v>
      </c>
      <c r="K160" t="n">
        <v>0</v>
      </c>
      <c r="L160" t="n">
        <v>2</v>
      </c>
      <c r="M160" t="n">
        <v>1</v>
      </c>
      <c r="N160" t="n">
        <v>0</v>
      </c>
      <c r="O160" t="n">
        <v>0</v>
      </c>
      <c r="P160" t="n">
        <v>0</v>
      </c>
      <c r="Q160" t="n">
        <v>3</v>
      </c>
      <c r="R160" t="n">
        <v>1</v>
      </c>
      <c r="S160" t="n">
        <v>3</v>
      </c>
      <c r="T160" t="n">
        <v>4</v>
      </c>
      <c r="U160" t="n">
        <v>4</v>
      </c>
      <c r="V160" s="2" t="inlineStr">
        <is>
          <t>Garnlav
Kolflarnlav
Varglav</t>
        </is>
      </c>
      <c r="W160">
        <f>HYPERLINK("https://klasma.github.io/Logging_2039/artfynd/A 35141-2023 artfynd.xlsx", "A 35141-2023")</f>
        <v/>
      </c>
      <c r="X160">
        <f>HYPERLINK("https://klasma.github.io/Logging_2039/kartor/A 35141-2023 karta.png", "A 35141-2023")</f>
        <v/>
      </c>
      <c r="Y160">
        <f>HYPERLINK("https://klasma.github.io/Logging_2039/kartor_geotiff/A 35141-2023 georefererad karta.tif", "A 35141-2023")</f>
        <v/>
      </c>
      <c r="AA160">
        <f>HYPERLINK("https://klasma.github.io/Logging_2039/klagomål/A 35141-2023 FSC-klagomål.docx", "A 35141-2023")</f>
        <v/>
      </c>
      <c r="AB160">
        <f>HYPERLINK("https://klasma.github.io/Logging_2039/klagomålsmail/A 35141-2023 FSC-klagomål mail.docx", "A 35141-2023")</f>
        <v/>
      </c>
      <c r="AC160">
        <f>HYPERLINK("https://klasma.github.io/Logging_2039/tillsyn/A 35141-2023 tillsynsbegäran.docx", "A 35141-2023")</f>
        <v/>
      </c>
      <c r="AD160">
        <f>HYPERLINK("https://klasma.github.io/Logging_2039/tillsynsmail/A 35141-2023 tillsynsbegäran mail.docx", "A 35141-2023")</f>
        <v/>
      </c>
    </row>
    <row r="161" ht="15" customHeight="1">
      <c r="A161" t="inlineStr">
        <is>
          <t>A 18839-2024</t>
        </is>
      </c>
      <c r="B161" t="inlineStr">
        <is>
          <t>avverkningsanmälan</t>
        </is>
      </c>
      <c r="C161" t="inlineStr">
        <is>
          <t>Föryngringsavverkning</t>
        </is>
      </c>
      <c r="D161" s="1" t="n">
        <v>45426</v>
      </c>
      <c r="E161" s="1" t="n">
        <v>46294</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33645-2025</t>
        </is>
      </c>
      <c r="B162" t="inlineStr">
        <is>
          <t>avverkningsanmälan</t>
        </is>
      </c>
      <c r="C162" t="inlineStr">
        <is>
          <t>Avverkning för att bevara och utveckla /försöksver</t>
        </is>
      </c>
      <c r="D162" s="1" t="n">
        <v>45841</v>
      </c>
      <c r="E162" s="1" t="n">
        <v>46294</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A 41909-2022</t>
        </is>
      </c>
      <c r="B163" t="inlineStr">
        <is>
          <t>avverkningsanmälan</t>
        </is>
      </c>
      <c r="C163" t="inlineStr">
        <is>
          <t>Föryngringsavverkning</t>
        </is>
      </c>
      <c r="D163" s="1" t="n">
        <v>44830</v>
      </c>
      <c r="E163" s="1" t="n">
        <v>46294</v>
      </c>
      <c r="F163" t="inlineStr">
        <is>
          <t>DALARNAS LÄN</t>
        </is>
      </c>
      <c r="G163" t="inlineStr">
        <is>
          <t>ÄLVDALEN</t>
        </is>
      </c>
      <c r="H163" t="inlineStr">
        <is>
          <t>Sveaskog</t>
        </is>
      </c>
      <c r="I163" t="n">
        <v>3.5</v>
      </c>
      <c r="J163" t="n">
        <v>1</v>
      </c>
      <c r="K163" t="n">
        <v>0</v>
      </c>
      <c r="L163" t="n">
        <v>2</v>
      </c>
      <c r="M163" t="n">
        <v>1</v>
      </c>
      <c r="N163" t="n">
        <v>0</v>
      </c>
      <c r="O163" t="n">
        <v>0</v>
      </c>
      <c r="P163" t="n">
        <v>0</v>
      </c>
      <c r="Q163" t="n">
        <v>3</v>
      </c>
      <c r="R163" t="n">
        <v>1</v>
      </c>
      <c r="S163" t="n">
        <v>3</v>
      </c>
      <c r="T163" t="n">
        <v>4</v>
      </c>
      <c r="U163" t="n">
        <v>4</v>
      </c>
      <c r="V163" s="2" t="inlineStr">
        <is>
          <t>Tajgataggsvamp
Blanksvart spiklav
Talltita</t>
        </is>
      </c>
      <c r="W163">
        <f>HYPERLINK("https://klasma.github.io/Logging_2039/artfynd/A 41909-2022 artfynd.xlsx", "A 41909-2022")</f>
        <v/>
      </c>
      <c r="X163">
        <f>HYPERLINK("https://klasma.github.io/Logging_2039/kartor/A 41909-2022 karta.png", "A 41909-2022")</f>
        <v/>
      </c>
      <c r="Y163">
        <f>HYPERLINK("https://klasma.github.io/Logging_2039/kartor_geotiff/A 41909-2022 georefererad karta.tif", "A 41909-2022")</f>
        <v/>
      </c>
      <c r="AA163">
        <f>HYPERLINK("https://klasma.github.io/Logging_2039/klagomål/A 41909-2022 FSC-klagomål.docx", "A 41909-2022")</f>
        <v/>
      </c>
      <c r="AB163">
        <f>HYPERLINK("https://klasma.github.io/Logging_2039/klagomålsmail/A 41909-2022 FSC-klagomål mail.docx", "A 41909-2022")</f>
        <v/>
      </c>
      <c r="AC163">
        <f>HYPERLINK("https://klasma.github.io/Logging_2039/tillsyn/A 41909-2022 tillsynsbegäran.docx", "A 41909-2022")</f>
        <v/>
      </c>
      <c r="AD163">
        <f>HYPERLINK("https://klasma.github.io/Logging_2039/tillsynsmail/A 41909-2022 tillsynsbegäran mail.docx", "A 41909-2022")</f>
        <v/>
      </c>
      <c r="AE163">
        <f>HYPERLINK("https://klasma.github.io/Logging_2039/fåglar/A 41909-2022 prioriterade fågelarter.docx", "A 41909-2022")</f>
        <v/>
      </c>
    </row>
    <row r="164" ht="15" customHeight="1">
      <c r="A164" t="inlineStr">
        <is>
          <t>A 58476-2025</t>
        </is>
      </c>
      <c r="B164" t="inlineStr">
        <is>
          <t>avverkningsanmälan</t>
        </is>
      </c>
      <c r="C164" t="inlineStr">
        <is>
          <t>Föryngringsavverkning</t>
        </is>
      </c>
      <c r="D164" s="1" t="n">
        <v>45985</v>
      </c>
      <c r="E164" s="1" t="n">
        <v>46294</v>
      </c>
      <c r="F164" t="inlineStr">
        <is>
          <t>DALARNAS LÄN</t>
        </is>
      </c>
      <c r="G164" t="inlineStr">
        <is>
          <t>ÄLVDALEN</t>
        </is>
      </c>
      <c r="H164" t="inlineStr">
        <is>
          <t>Allmännings- och besparingsskogar</t>
        </is>
      </c>
      <c r="I164" t="n">
        <v>17.9</v>
      </c>
      <c r="J164" t="n">
        <v>3</v>
      </c>
      <c r="K164" t="n">
        <v>0</v>
      </c>
      <c r="L164" t="n">
        <v>1</v>
      </c>
      <c r="M164" t="n">
        <v>0</v>
      </c>
      <c r="N164" t="n">
        <v>0</v>
      </c>
      <c r="O164" t="n">
        <v>0</v>
      </c>
      <c r="P164" t="n">
        <v>0</v>
      </c>
      <c r="Q164" t="n">
        <v>1</v>
      </c>
      <c r="R164" t="n">
        <v>0</v>
      </c>
      <c r="S164" t="n">
        <v>3</v>
      </c>
      <c r="T164" t="n">
        <v>3</v>
      </c>
      <c r="U164" t="n">
        <v>0</v>
      </c>
      <c r="V164" s="2" t="inlineStr">
        <is>
          <t>Lavskrika
Tjäder
Huggorm</t>
        </is>
      </c>
      <c r="W164">
        <f>HYPERLINK("https://klasma.github.io/Logging_2039/artfynd/A 58476-2025 artfynd.xlsx", "A 58476-2025")</f>
        <v/>
      </c>
      <c r="X164">
        <f>HYPERLINK("https://klasma.github.io/Logging_2039/kartor/A 58476-2025 karta.png", "A 58476-2025")</f>
        <v/>
      </c>
      <c r="Y164">
        <f>HYPERLINK("https://klasma.github.io/Logging_2039/kartor_geotiff/A 58476-2025 georefererad karta.tif", "A 58476-2025")</f>
        <v/>
      </c>
      <c r="AA164">
        <f>HYPERLINK("https://klasma.github.io/Logging_2039/klagomål/A 58476-2025 FSC-klagomål.docx", "A 58476-2025")</f>
        <v/>
      </c>
      <c r="AB164">
        <f>HYPERLINK("https://klasma.github.io/Logging_2039/klagomålsmail/A 58476-2025 FSC-klagomål mail.docx", "A 58476-2025")</f>
        <v/>
      </c>
      <c r="AC164">
        <f>HYPERLINK("https://klasma.github.io/Logging_2039/tillsyn/A 58476-2025 tillsynsbegäran.docx", "A 58476-2025")</f>
        <v/>
      </c>
      <c r="AD164">
        <f>HYPERLINK("https://klasma.github.io/Logging_2039/tillsynsmail/A 58476-2025 tillsynsbegäran mail.docx", "A 58476-2025")</f>
        <v/>
      </c>
      <c r="AE164">
        <f>HYPERLINK("https://klasma.github.io/Logging_2039/fåglar/A 58476-2025 prioriterade fågelarter.docx", "A 58476-2025")</f>
        <v/>
      </c>
    </row>
    <row r="165" ht="15" customHeight="1">
      <c r="A165" t="inlineStr">
        <is>
          <t>A 59587-2025</t>
        </is>
      </c>
      <c r="B165" t="inlineStr">
        <is>
          <t>avverkningsanmälan</t>
        </is>
      </c>
      <c r="C165" t="inlineStr">
        <is>
          <t>Föryngringsavverkning</t>
        </is>
      </c>
      <c r="D165" s="1" t="n">
        <v>45992</v>
      </c>
      <c r="E165" s="1" t="n">
        <v>46294</v>
      </c>
      <c r="F165" t="inlineStr">
        <is>
          <t>DALARNAS LÄN</t>
        </is>
      </c>
      <c r="G165" t="inlineStr">
        <is>
          <t>ÄLVDALEN</t>
        </is>
      </c>
      <c r="H165" t="inlineStr">
        <is>
          <t>Sveaskog</t>
        </is>
      </c>
      <c r="I165" t="n">
        <v>10.7</v>
      </c>
      <c r="J165" t="n">
        <v>0</v>
      </c>
      <c r="K165" t="n">
        <v>0</v>
      </c>
      <c r="L165" t="n">
        <v>3</v>
      </c>
      <c r="M165" t="n">
        <v>0</v>
      </c>
      <c r="N165" t="n">
        <v>0</v>
      </c>
      <c r="O165" t="n">
        <v>0</v>
      </c>
      <c r="P165" t="n">
        <v>0</v>
      </c>
      <c r="Q165" t="n">
        <v>3</v>
      </c>
      <c r="R165" t="n">
        <v>0</v>
      </c>
      <c r="S165" t="n">
        <v>3</v>
      </c>
      <c r="T165" t="n">
        <v>3</v>
      </c>
      <c r="U165" t="n">
        <v>0</v>
      </c>
      <c r="V165" s="2" t="inlineStr">
        <is>
          <t>Dropptaggsvamp
Kolflarnlav
Vedflamlav</t>
        </is>
      </c>
      <c r="W165">
        <f>HYPERLINK("https://klasma.github.io/Logging_2039/artfynd/A 59587-2025 artfynd.xlsx", "A 59587-2025")</f>
        <v/>
      </c>
      <c r="X165">
        <f>HYPERLINK("https://klasma.github.io/Logging_2039/kartor/A 59587-2025 karta.png", "A 59587-2025")</f>
        <v/>
      </c>
      <c r="Y165">
        <f>HYPERLINK("https://klasma.github.io/Logging_2039/kartor_geotiff/A 59587-2025 georefererad karta.tif", "A 59587-2025")</f>
        <v/>
      </c>
      <c r="AA165">
        <f>HYPERLINK("https://klasma.github.io/Logging_2039/klagomål/A 59587-2025 FSC-klagomål.docx", "A 59587-2025")</f>
        <v/>
      </c>
      <c r="AB165">
        <f>HYPERLINK("https://klasma.github.io/Logging_2039/klagomålsmail/A 59587-2025 FSC-klagomål mail.docx", "A 59587-2025")</f>
        <v/>
      </c>
      <c r="AC165">
        <f>HYPERLINK("https://klasma.github.io/Logging_2039/tillsyn/A 59587-2025 tillsynsbegäran.docx", "A 59587-2025")</f>
        <v/>
      </c>
      <c r="AD165">
        <f>HYPERLINK("https://klasma.github.io/Logging_2039/tillsynsmail/A 59587-2025 tillsynsbegäran mail.docx", "A 59587-2025")</f>
        <v/>
      </c>
    </row>
    <row r="166" ht="15" customHeight="1">
      <c r="A166" t="inlineStr">
        <is>
          <t>A 31057-2024</t>
        </is>
      </c>
      <c r="B166" t="inlineStr">
        <is>
          <t>avverkningsanmälan</t>
        </is>
      </c>
      <c r="C166" t="inlineStr">
        <is>
          <t>Föryngringsavverkning</t>
        </is>
      </c>
      <c r="D166" s="1" t="n">
        <v>45502</v>
      </c>
      <c r="E166" s="1" t="n">
        <v>46294</v>
      </c>
      <c r="F166" t="inlineStr">
        <is>
          <t>DALARNAS LÄN</t>
        </is>
      </c>
      <c r="G166" t="inlineStr">
        <is>
          <t>ÄLVDALEN</t>
        </is>
      </c>
      <c r="H166" t="inlineStr">
        <is>
          <t>Sveaskog</t>
        </is>
      </c>
      <c r="I166" t="n">
        <v>2.4</v>
      </c>
      <c r="J166" t="n">
        <v>0</v>
      </c>
      <c r="K166" t="n">
        <v>0</v>
      </c>
      <c r="L166" t="n">
        <v>3</v>
      </c>
      <c r="M166" t="n">
        <v>0</v>
      </c>
      <c r="N166" t="n">
        <v>0</v>
      </c>
      <c r="O166" t="n">
        <v>0</v>
      </c>
      <c r="P166" t="n">
        <v>0</v>
      </c>
      <c r="Q166" t="n">
        <v>3</v>
      </c>
      <c r="R166" t="n">
        <v>0</v>
      </c>
      <c r="S166" t="n">
        <v>3</v>
      </c>
      <c r="T166" t="n">
        <v>3</v>
      </c>
      <c r="U166" t="n">
        <v>1</v>
      </c>
      <c r="V166" s="2" t="inlineStr">
        <is>
          <t>Blå taggsvamp
Kolflarnlav
Skarp dropptaggsvamp</t>
        </is>
      </c>
      <c r="W166">
        <f>HYPERLINK("https://klasma.github.io/Logging_2039/artfynd/A 31057-2024 artfynd.xlsx", "A 31057-2024")</f>
        <v/>
      </c>
      <c r="X166">
        <f>HYPERLINK("https://klasma.github.io/Logging_2039/kartor/A 31057-2024 karta.png", "A 31057-2024")</f>
        <v/>
      </c>
      <c r="Y166">
        <f>HYPERLINK("https://klasma.github.io/Logging_2039/kartor_geotiff/A 31057-2024 georefererad karta.tif", "A 31057-2024")</f>
        <v/>
      </c>
      <c r="AA166">
        <f>HYPERLINK("https://klasma.github.io/Logging_2039/klagomål/A 31057-2024 FSC-klagomål.docx", "A 31057-2024")</f>
        <v/>
      </c>
      <c r="AB166">
        <f>HYPERLINK("https://klasma.github.io/Logging_2039/klagomålsmail/A 31057-2024 FSC-klagomål mail.docx", "A 31057-2024")</f>
        <v/>
      </c>
      <c r="AC166">
        <f>HYPERLINK("https://klasma.github.io/Logging_2039/tillsyn/A 31057-2024 tillsynsbegäran.docx", "A 31057-2024")</f>
        <v/>
      </c>
      <c r="AD166">
        <f>HYPERLINK("https://klasma.github.io/Logging_2039/tillsynsmail/A 31057-2024 tillsynsbegäran mail.docx", "A 31057-2024")</f>
        <v/>
      </c>
    </row>
    <row r="167" ht="15" customHeight="1">
      <c r="A167" t="inlineStr">
        <is>
          <t>A 18617-2026</t>
        </is>
      </c>
      <c r="B167" t="inlineStr">
        <is>
          <t>avverkningsanmälan</t>
        </is>
      </c>
      <c r="C167" t="inlineStr">
        <is>
          <t>Föryngringsavverkning</t>
        </is>
      </c>
      <c r="D167" s="1" t="n">
        <v>46127</v>
      </c>
      <c r="E167" s="1" t="n">
        <v>46294</v>
      </c>
      <c r="F167" t="inlineStr">
        <is>
          <t>DALARNAS LÄN</t>
        </is>
      </c>
      <c r="G167" t="inlineStr">
        <is>
          <t>ÄLVDALEN</t>
        </is>
      </c>
      <c r="I167" t="n">
        <v>1.3</v>
      </c>
      <c r="J167" t="n">
        <v>0</v>
      </c>
      <c r="K167" t="n">
        <v>1</v>
      </c>
      <c r="L167" t="n">
        <v>2</v>
      </c>
      <c r="M167" t="n">
        <v>0</v>
      </c>
      <c r="N167" t="n">
        <v>0</v>
      </c>
      <c r="O167" t="n">
        <v>0</v>
      </c>
      <c r="P167" t="n">
        <v>0</v>
      </c>
      <c r="Q167" t="n">
        <v>2</v>
      </c>
      <c r="R167" t="n">
        <v>0</v>
      </c>
      <c r="S167" t="n">
        <v>3</v>
      </c>
      <c r="T167" t="n">
        <v>6</v>
      </c>
      <c r="U167" t="n">
        <v>6</v>
      </c>
      <c r="V167" s="2" t="inlineStr">
        <is>
          <t>Kolflarnlav
Mörk kolflarnlav
Mindre märgborre</t>
        </is>
      </c>
      <c r="W167">
        <f>HYPERLINK("https://klasma.github.io/Logging_2039/artfynd/A 18617-2026 artfynd.xlsx", "A 18617-2026")</f>
        <v/>
      </c>
      <c r="X167">
        <f>HYPERLINK("https://klasma.github.io/Logging_2039/kartor/A 18617-2026 karta.png", "A 18617-2026")</f>
        <v/>
      </c>
      <c r="Y167">
        <f>HYPERLINK("https://klasma.github.io/Logging_2039/kartor_geotiff/A 18617-2026 georefererad karta.tif", "A 18617-2026")</f>
        <v/>
      </c>
      <c r="AA167">
        <f>HYPERLINK("https://klasma.github.io/Logging_2039/klagomål/A 18617-2026 FSC-klagomål.docx", "A 18617-2026")</f>
        <v/>
      </c>
      <c r="AB167">
        <f>HYPERLINK("https://klasma.github.io/Logging_2039/klagomålsmail/A 18617-2026 FSC-klagomål mail.docx", "A 18617-2026")</f>
        <v/>
      </c>
      <c r="AC167">
        <f>HYPERLINK("https://klasma.github.io/Logging_2039/tillsyn/A 18617-2026 tillsynsbegäran.docx", "A 18617-2026")</f>
        <v/>
      </c>
      <c r="AD167">
        <f>HYPERLINK("https://klasma.github.io/Logging_2039/tillsynsmail/A 18617-2026 tillsynsbegäran mail.docx", "A 18617-2026")</f>
        <v/>
      </c>
    </row>
    <row r="168" ht="15" customHeight="1">
      <c r="A168" t="inlineStr">
        <is>
          <t>A 28135-2026</t>
        </is>
      </c>
      <c r="B168" t="inlineStr">
        <is>
          <t>avverkningsanmälan</t>
        </is>
      </c>
      <c r="C168" t="inlineStr">
        <is>
          <t>Föryngringsavverkning</t>
        </is>
      </c>
      <c r="D168" s="1" t="n">
        <v>46195</v>
      </c>
      <c r="E168" s="1" t="n">
        <v>46294</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46294</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46294</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46294</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46294</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46294</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31264-2025</t>
        </is>
      </c>
      <c r="B174" t="inlineStr">
        <is>
          <t>avverkningsanmälan</t>
        </is>
      </c>
      <c r="C174" t="inlineStr">
        <is>
          <t>Avverkning för att bevara och utveckla /försöksver</t>
        </is>
      </c>
      <c r="D174" s="1" t="n">
        <v>45833</v>
      </c>
      <c r="E174" s="1" t="n">
        <v>46294</v>
      </c>
      <c r="F174" t="inlineStr">
        <is>
          <t>DALARNAS LÄN</t>
        </is>
      </c>
      <c r="G174" t="inlineStr">
        <is>
          <t>ÄLVDALEN</t>
        </is>
      </c>
      <c r="H174" t="inlineStr">
        <is>
          <t>Sveaskog</t>
        </is>
      </c>
      <c r="I174" t="n">
        <v>1.3</v>
      </c>
      <c r="J174" t="n">
        <v>2</v>
      </c>
      <c r="K174" t="n">
        <v>0</v>
      </c>
      <c r="L174" t="n">
        <v>1</v>
      </c>
      <c r="M174" t="n">
        <v>0</v>
      </c>
      <c r="N174" t="n">
        <v>1</v>
      </c>
      <c r="O174" t="n">
        <v>0</v>
      </c>
      <c r="P174" t="n">
        <v>0</v>
      </c>
      <c r="Q174" t="n">
        <v>2</v>
      </c>
      <c r="R174" t="n">
        <v>1</v>
      </c>
      <c r="S174" t="n">
        <v>2</v>
      </c>
      <c r="T174" t="n">
        <v>2</v>
      </c>
      <c r="U174" t="n">
        <v>0</v>
      </c>
      <c r="V174" s="2" t="inlineStr">
        <is>
          <t>Mosippa
Drillsnäppa</t>
        </is>
      </c>
      <c r="W174">
        <f>HYPERLINK("https://klasma.github.io/Logging_2039/artfynd/A 31264-2025 artfynd.xlsx", "A 31264-2025")</f>
        <v/>
      </c>
      <c r="X174">
        <f>HYPERLINK("https://klasma.github.io/Logging_2039/kartor/A 31264-2025 karta.png", "A 31264-2025")</f>
        <v/>
      </c>
      <c r="Y174">
        <f>HYPERLINK("https://klasma.github.io/Logging_2039/kartor_geotiff/A 31264-2025 georefererad karta.tif", "A 31264-2025")</f>
        <v/>
      </c>
      <c r="AA174">
        <f>HYPERLINK("https://klasma.github.io/Logging_2039/klagomål/A 31264-2025 FSC-klagomål.docx", "A 31264-2025")</f>
        <v/>
      </c>
      <c r="AB174">
        <f>HYPERLINK("https://klasma.github.io/Logging_2039/klagomålsmail/A 31264-2025 FSC-klagomål mail.docx", "A 31264-2025")</f>
        <v/>
      </c>
      <c r="AC174">
        <f>HYPERLINK("https://klasma.github.io/Logging_2039/tillsyn/A 31264-2025 tillsynsbegäran.docx", "A 31264-2025")</f>
        <v/>
      </c>
      <c r="AD174">
        <f>HYPERLINK("https://klasma.github.io/Logging_2039/tillsynsmail/A 31264-2025 tillsynsbegäran mail.docx", "A 31264-2025")</f>
        <v/>
      </c>
      <c r="AE174">
        <f>HYPERLINK("https://klasma.github.io/Logging_2039/fåglar/A 31264-2025 prioriterade fågelarter.docx", "A 31264-2025")</f>
        <v/>
      </c>
    </row>
    <row r="175" ht="15" customHeight="1">
      <c r="A175" t="inlineStr">
        <is>
          <t>A 55227-2025</t>
        </is>
      </c>
      <c r="B175" t="inlineStr">
        <is>
          <t>avverkningsanmälan</t>
        </is>
      </c>
      <c r="C175" t="inlineStr">
        <is>
          <t>Föryngringsavverkning</t>
        </is>
      </c>
      <c r="D175" s="1" t="n">
        <v>45968</v>
      </c>
      <c r="E175" s="1" t="n">
        <v>46294</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46294</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54632-2021</t>
        </is>
      </c>
      <c r="B177" t="inlineStr">
        <is>
          <t>avverkningsanmälan</t>
        </is>
      </c>
      <c r="C177" t="inlineStr">
        <is>
          <t>Föryngringsavverkning</t>
        </is>
      </c>
      <c r="D177" s="1" t="n">
        <v>44473</v>
      </c>
      <c r="E177" s="1" t="n">
        <v>46294</v>
      </c>
      <c r="F177" t="inlineStr">
        <is>
          <t>DALARNAS LÄN</t>
        </is>
      </c>
      <c r="G177" t="inlineStr">
        <is>
          <t>ÄLVDALEN</t>
        </is>
      </c>
      <c r="I177" t="n">
        <v>4.3</v>
      </c>
      <c r="J177" t="n">
        <v>1</v>
      </c>
      <c r="K177" t="n">
        <v>0</v>
      </c>
      <c r="L177" t="n">
        <v>2</v>
      </c>
      <c r="M177" t="n">
        <v>0</v>
      </c>
      <c r="N177" t="n">
        <v>0</v>
      </c>
      <c r="O177" t="n">
        <v>0</v>
      </c>
      <c r="P177" t="n">
        <v>0</v>
      </c>
      <c r="Q177" t="n">
        <v>2</v>
      </c>
      <c r="R177" t="n">
        <v>0</v>
      </c>
      <c r="S177" t="n">
        <v>2</v>
      </c>
      <c r="T177" t="n">
        <v>2</v>
      </c>
      <c r="U177" t="n">
        <v>0</v>
      </c>
      <c r="V177" s="2" t="inlineStr">
        <is>
          <t>Varglav
Vedflamlav</t>
        </is>
      </c>
      <c r="W177">
        <f>HYPERLINK("https://klasma.github.io/Logging_2039/artfynd/A 54632-2021 artfynd.xlsx", "A 54632-2021")</f>
        <v/>
      </c>
      <c r="X177">
        <f>HYPERLINK("https://klasma.github.io/Logging_2039/kartor/A 54632-2021 karta.png", "A 54632-2021")</f>
        <v/>
      </c>
      <c r="Y177">
        <f>HYPERLINK("https://klasma.github.io/Logging_2039/kartor_geotiff/A 54632-2021 georefererad karta.tif", "A 54632-2021")</f>
        <v/>
      </c>
      <c r="AA177">
        <f>HYPERLINK("https://klasma.github.io/Logging_2039/klagomål/A 54632-2021 FSC-klagomål.docx", "A 54632-2021")</f>
        <v/>
      </c>
      <c r="AB177">
        <f>HYPERLINK("https://klasma.github.io/Logging_2039/klagomålsmail/A 54632-2021 FSC-klagomål mail.docx", "A 54632-2021")</f>
        <v/>
      </c>
      <c r="AC177">
        <f>HYPERLINK("https://klasma.github.io/Logging_2039/tillsyn/A 54632-2021 tillsynsbegäran.docx", "A 54632-2021")</f>
        <v/>
      </c>
      <c r="AD177">
        <f>HYPERLINK("https://klasma.github.io/Logging_2039/tillsynsmail/A 54632-2021 tillsynsbegäran mail.docx", "A 54632-2021")</f>
        <v/>
      </c>
    </row>
    <row r="178" ht="15" customHeight="1">
      <c r="A178" t="inlineStr">
        <is>
          <t>A 17672-2026</t>
        </is>
      </c>
      <c r="B178" t="inlineStr">
        <is>
          <t>avverkningsanmälan</t>
        </is>
      </c>
      <c r="C178" t="inlineStr">
        <is>
          <t>Avverkning för annat ändamål</t>
        </is>
      </c>
      <c r="D178" s="1" t="n">
        <v>46121</v>
      </c>
      <c r="E178" s="1" t="n">
        <v>46294</v>
      </c>
      <c r="F178" t="inlineStr">
        <is>
          <t>DALARNAS LÄN</t>
        </is>
      </c>
      <c r="G178" t="inlineStr">
        <is>
          <t>ÄLVDALEN</t>
        </is>
      </c>
      <c r="H178" t="inlineStr">
        <is>
          <t>Allmännings- och besparingsskogar</t>
        </is>
      </c>
      <c r="I178" t="n">
        <v>0.2</v>
      </c>
      <c r="J178" t="n">
        <v>1</v>
      </c>
      <c r="K178" t="n">
        <v>0</v>
      </c>
      <c r="L178" t="n">
        <v>1</v>
      </c>
      <c r="M178" t="n">
        <v>0</v>
      </c>
      <c r="N178" t="n">
        <v>0</v>
      </c>
      <c r="O178" t="n">
        <v>0</v>
      </c>
      <c r="P178" t="n">
        <v>0</v>
      </c>
      <c r="Q178" t="n">
        <v>1</v>
      </c>
      <c r="R178" t="n">
        <v>0</v>
      </c>
      <c r="S178" t="n">
        <v>2</v>
      </c>
      <c r="T178" t="n">
        <v>2</v>
      </c>
      <c r="U178" t="n">
        <v>0</v>
      </c>
      <c r="V178" s="2" t="inlineStr">
        <is>
          <t>Vedskivlav
Orre</t>
        </is>
      </c>
      <c r="W178">
        <f>HYPERLINK("https://klasma.github.io/Logging_2039/artfynd/A 17672-2026 artfynd.xlsx", "A 17672-2026")</f>
        <v/>
      </c>
      <c r="X178">
        <f>HYPERLINK("https://klasma.github.io/Logging_2039/kartor/A 17672-2026 karta.png", "A 17672-2026")</f>
        <v/>
      </c>
      <c r="Y178">
        <f>HYPERLINK("https://klasma.github.io/Logging_2039/kartor_geotiff/A 17672-2026 georefererad karta.tif", "A 17672-2026")</f>
        <v/>
      </c>
      <c r="AA178">
        <f>HYPERLINK("https://klasma.github.io/Logging_2039/klagomål/A 17672-2026 FSC-klagomål.docx", "A 17672-2026")</f>
        <v/>
      </c>
      <c r="AB178">
        <f>HYPERLINK("https://klasma.github.io/Logging_2039/klagomålsmail/A 17672-2026 FSC-klagomål mail.docx", "A 17672-2026")</f>
        <v/>
      </c>
      <c r="AC178">
        <f>HYPERLINK("https://klasma.github.io/Logging_2039/tillsyn/A 17672-2026 tillsynsbegäran.docx", "A 17672-2026")</f>
        <v/>
      </c>
      <c r="AD178">
        <f>HYPERLINK("https://klasma.github.io/Logging_2039/tillsynsmail/A 17672-2026 tillsynsbegäran mail.docx", "A 17672-2026")</f>
        <v/>
      </c>
      <c r="AE178">
        <f>HYPERLINK("https://klasma.github.io/Logging_2039/fåglar/A 17672-2026 prioriterade fågelarter.docx", "A 17672-2026")</f>
        <v/>
      </c>
    </row>
    <row r="179" ht="15" customHeight="1">
      <c r="A179" t="inlineStr">
        <is>
          <t>A 15760-2024</t>
        </is>
      </c>
      <c r="B179" t="inlineStr">
        <is>
          <t>avverkningsanmälan</t>
        </is>
      </c>
      <c r="C179" t="inlineStr">
        <is>
          <t>Föryngringsavverkning</t>
        </is>
      </c>
      <c r="D179" s="1" t="n">
        <v>45404</v>
      </c>
      <c r="E179" s="1" t="n">
        <v>46294</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25520-2026</t>
        </is>
      </c>
      <c r="B180" t="inlineStr">
        <is>
          <t>avverkningsanmälan</t>
        </is>
      </c>
      <c r="C180" t="inlineStr">
        <is>
          <t>Föryngringsavverkning</t>
        </is>
      </c>
      <c r="D180" s="1" t="n">
        <v>46177</v>
      </c>
      <c r="E180" s="1" t="n">
        <v>46294</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46294</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46294</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46294</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52490-2022</t>
        </is>
      </c>
      <c r="B184" t="inlineStr">
        <is>
          <t>avverkningsanmälan</t>
        </is>
      </c>
      <c r="C184" t="inlineStr">
        <is>
          <t>Föryngringsavverkning</t>
        </is>
      </c>
      <c r="D184" s="1" t="n">
        <v>44874</v>
      </c>
      <c r="E184" s="1" t="n">
        <v>46294</v>
      </c>
      <c r="F184" t="inlineStr">
        <is>
          <t>DALARNAS LÄN</t>
        </is>
      </c>
      <c r="G184" t="inlineStr">
        <is>
          <t>ÄLVDALEN</t>
        </is>
      </c>
      <c r="I184" t="n">
        <v>4.3</v>
      </c>
      <c r="J184" t="n">
        <v>0</v>
      </c>
      <c r="K184" t="n">
        <v>0</v>
      </c>
      <c r="L184" t="n">
        <v>1</v>
      </c>
      <c r="M184" t="n">
        <v>1</v>
      </c>
      <c r="N184" t="n">
        <v>0</v>
      </c>
      <c r="O184" t="n">
        <v>0</v>
      </c>
      <c r="P184" t="n">
        <v>0</v>
      </c>
      <c r="Q184" t="n">
        <v>2</v>
      </c>
      <c r="R184" t="n">
        <v>1</v>
      </c>
      <c r="S184" t="n">
        <v>2</v>
      </c>
      <c r="T184" t="n">
        <v>2</v>
      </c>
      <c r="U184" t="n">
        <v>0</v>
      </c>
      <c r="V184" s="2" t="inlineStr">
        <is>
          <t>Garnlav
Dropptaggsvamp</t>
        </is>
      </c>
      <c r="W184">
        <f>HYPERLINK("https://klasma.github.io/Logging_2039/artfynd/A 52490-2022 artfynd.xlsx", "A 52490-2022")</f>
        <v/>
      </c>
      <c r="X184">
        <f>HYPERLINK("https://klasma.github.io/Logging_2039/kartor/A 52490-2022 karta.png", "A 52490-2022")</f>
        <v/>
      </c>
      <c r="Y184">
        <f>HYPERLINK("https://klasma.github.io/Logging_2039/kartor_geotiff/A 52490-2022 georefererad karta.tif", "A 52490-2022")</f>
        <v/>
      </c>
      <c r="AA184">
        <f>HYPERLINK("https://klasma.github.io/Logging_2039/klagomål/A 52490-2022 FSC-klagomål.docx", "A 52490-2022")</f>
        <v/>
      </c>
      <c r="AB184">
        <f>HYPERLINK("https://klasma.github.io/Logging_2039/klagomålsmail/A 52490-2022 FSC-klagomål mail.docx", "A 52490-2022")</f>
        <v/>
      </c>
      <c r="AC184">
        <f>HYPERLINK("https://klasma.github.io/Logging_2039/tillsyn/A 52490-2022 tillsynsbegäran.docx", "A 52490-2022")</f>
        <v/>
      </c>
      <c r="AD184">
        <f>HYPERLINK("https://klasma.github.io/Logging_2039/tillsynsmail/A 52490-2022 tillsynsbegäran mail.docx", "A 52490-2022")</f>
        <v/>
      </c>
    </row>
    <row r="185" ht="15" customHeight="1">
      <c r="A185" t="inlineStr">
        <is>
          <t>A 38742-2026</t>
        </is>
      </c>
      <c r="B185" t="inlineStr">
        <is>
          <t>avverkningsanmälan</t>
        </is>
      </c>
      <c r="C185" t="inlineStr">
        <is>
          <t>Föryngringsavverkning</t>
        </is>
      </c>
      <c r="D185" s="1" t="n">
        <v>46286</v>
      </c>
      <c r="E185" s="1" t="n">
        <v>46294</v>
      </c>
      <c r="F185" t="inlineStr">
        <is>
          <t>DALARNAS LÄN</t>
        </is>
      </c>
      <c r="G185" t="inlineStr">
        <is>
          <t>ÄLVDALEN</t>
        </is>
      </c>
      <c r="H185" t="inlineStr">
        <is>
          <t>Sveaskog</t>
        </is>
      </c>
      <c r="I185" t="n">
        <v>5.8</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38742-2026 artfynd.xlsx", "A 38742-2026")</f>
        <v/>
      </c>
      <c r="X185">
        <f>HYPERLINK("https://klasma.github.io/Logging_2039/kartor/A 38742-2026 karta.png", "A 38742-2026")</f>
        <v/>
      </c>
      <c r="Y185">
        <f>HYPERLINK("https://klasma.github.io/Logging_2039/kartor_geotiff/A 38742-2026 georefererad karta.tif", "A 38742-2026")</f>
        <v/>
      </c>
      <c r="AA185">
        <f>HYPERLINK("https://klasma.github.io/Logging_2039/klagomål/A 38742-2026 FSC-klagomål.docx", "A 38742-2026")</f>
        <v/>
      </c>
      <c r="AB185">
        <f>HYPERLINK("https://klasma.github.io/Logging_2039/klagomålsmail/A 38742-2026 FSC-klagomål mail.docx", "A 38742-2026")</f>
        <v/>
      </c>
      <c r="AC185">
        <f>HYPERLINK("https://klasma.github.io/Logging_2039/tillsyn/A 38742-2026 tillsynsbegäran.docx", "A 38742-2026")</f>
        <v/>
      </c>
      <c r="AD185">
        <f>HYPERLINK("https://klasma.github.io/Logging_2039/tillsynsmail/A 38742-2026 tillsynsbegäran mail.docx", "A 38742-2026")</f>
        <v/>
      </c>
    </row>
    <row r="186" ht="15" customHeight="1">
      <c r="A186" t="inlineStr">
        <is>
          <t>A 45201-2024</t>
        </is>
      </c>
      <c r="B186" t="inlineStr">
        <is>
          <t>avverkningsanmälan</t>
        </is>
      </c>
      <c r="C186" t="inlineStr">
        <is>
          <t>Föryngringsavverkning</t>
        </is>
      </c>
      <c r="D186" s="1" t="n">
        <v>45575</v>
      </c>
      <c r="E186" s="1" t="n">
        <v>46294</v>
      </c>
      <c r="F186" t="inlineStr">
        <is>
          <t>DALARNAS LÄN</t>
        </is>
      </c>
      <c r="G186" t="inlineStr">
        <is>
          <t>ÄLVDALEN</t>
        </is>
      </c>
      <c r="I186" t="n">
        <v>24.5</v>
      </c>
      <c r="J186" t="n">
        <v>2</v>
      </c>
      <c r="K186" t="n">
        <v>0</v>
      </c>
      <c r="L186" t="n">
        <v>1</v>
      </c>
      <c r="M186" t="n">
        <v>0</v>
      </c>
      <c r="N186" t="n">
        <v>0</v>
      </c>
      <c r="O186" t="n">
        <v>0</v>
      </c>
      <c r="P186" t="n">
        <v>0</v>
      </c>
      <c r="Q186" t="n">
        <v>1</v>
      </c>
      <c r="R186" t="n">
        <v>0</v>
      </c>
      <c r="S186" t="n">
        <v>2</v>
      </c>
      <c r="T186" t="n">
        <v>7</v>
      </c>
      <c r="U186" t="n">
        <v>0</v>
      </c>
      <c r="V186" s="2" t="inlineStr">
        <is>
          <t>Varglav
Tjäder</t>
        </is>
      </c>
      <c r="W186">
        <f>HYPERLINK("https://klasma.github.io/Logging_2039/artfynd/A 45201-2024 artfynd.xlsx", "A 45201-2024")</f>
        <v/>
      </c>
      <c r="X186">
        <f>HYPERLINK("https://klasma.github.io/Logging_2039/kartor/A 45201-2024 karta.png", "A 45201-2024")</f>
        <v/>
      </c>
      <c r="Y186">
        <f>HYPERLINK("https://klasma.github.io/Logging_2039/kartor_geotiff/A 45201-2024 georefererad karta.tif", "A 45201-2024")</f>
        <v/>
      </c>
      <c r="AA186">
        <f>HYPERLINK("https://klasma.github.io/Logging_2039/klagomål/A 45201-2024 FSC-klagomål.docx", "A 45201-2024")</f>
        <v/>
      </c>
      <c r="AB186">
        <f>HYPERLINK("https://klasma.github.io/Logging_2039/klagomålsmail/A 45201-2024 FSC-klagomål mail.docx", "A 45201-2024")</f>
        <v/>
      </c>
      <c r="AC186">
        <f>HYPERLINK("https://klasma.github.io/Logging_2039/tillsyn/A 45201-2024 tillsynsbegäran.docx", "A 45201-2024")</f>
        <v/>
      </c>
      <c r="AD186">
        <f>HYPERLINK("https://klasma.github.io/Logging_2039/tillsynsmail/A 45201-2024 tillsynsbegäran mail.docx", "A 45201-2024")</f>
        <v/>
      </c>
      <c r="AE186">
        <f>HYPERLINK("https://klasma.github.io/Logging_2039/fåglar/A 45201-2024 prioriterade fågelarter.docx", "A 45201-2024")</f>
        <v/>
      </c>
    </row>
    <row r="187" ht="15" customHeight="1">
      <c r="A187" t="inlineStr">
        <is>
          <t>A 45202-2024</t>
        </is>
      </c>
      <c r="B187" t="inlineStr">
        <is>
          <t>avverkningsanmälan</t>
        </is>
      </c>
      <c r="C187" t="inlineStr">
        <is>
          <t>Föryngringsavverkning</t>
        </is>
      </c>
      <c r="D187" s="1" t="n">
        <v>45575</v>
      </c>
      <c r="E187" s="1" t="n">
        <v>46294</v>
      </c>
      <c r="F187" t="inlineStr">
        <is>
          <t>DALARNAS LÄN</t>
        </is>
      </c>
      <c r="G187" t="inlineStr">
        <is>
          <t>ÄLVDALEN</t>
        </is>
      </c>
      <c r="I187" t="n">
        <v>121.5</v>
      </c>
      <c r="J187" t="n">
        <v>2</v>
      </c>
      <c r="K187" t="n">
        <v>0</v>
      </c>
      <c r="L187" t="n">
        <v>2</v>
      </c>
      <c r="M187" t="n">
        <v>0</v>
      </c>
      <c r="N187" t="n">
        <v>0</v>
      </c>
      <c r="O187" t="n">
        <v>0</v>
      </c>
      <c r="P187" t="n">
        <v>0</v>
      </c>
      <c r="Q187" t="n">
        <v>2</v>
      </c>
      <c r="R187" t="n">
        <v>0</v>
      </c>
      <c r="S187" t="n">
        <v>2</v>
      </c>
      <c r="T187" t="n">
        <v>2</v>
      </c>
      <c r="U187" t="n">
        <v>1</v>
      </c>
      <c r="V187" s="2" t="inlineStr">
        <is>
          <t>Lavskrika
Tretåig hackspett</t>
        </is>
      </c>
      <c r="W187">
        <f>HYPERLINK("https://klasma.github.io/Logging_2039/artfynd/A 45202-2024 artfynd.xlsx", "A 45202-2024")</f>
        <v/>
      </c>
      <c r="X187">
        <f>HYPERLINK("https://klasma.github.io/Logging_2039/kartor/A 45202-2024 karta.png", "A 45202-2024")</f>
        <v/>
      </c>
      <c r="Y187">
        <f>HYPERLINK("https://klasma.github.io/Logging_2039/kartor_geotiff/A 45202-2024 georefererad karta.tif", "A 45202-2024")</f>
        <v/>
      </c>
      <c r="AA187">
        <f>HYPERLINK("https://klasma.github.io/Logging_2039/klagomål/A 45202-2024 FSC-klagomål.docx", "A 45202-2024")</f>
        <v/>
      </c>
      <c r="AB187">
        <f>HYPERLINK("https://klasma.github.io/Logging_2039/klagomålsmail/A 45202-2024 FSC-klagomål mail.docx", "A 45202-2024")</f>
        <v/>
      </c>
      <c r="AC187">
        <f>HYPERLINK("https://klasma.github.io/Logging_2039/tillsyn/A 45202-2024 tillsynsbegäran.docx", "A 45202-2024")</f>
        <v/>
      </c>
      <c r="AD187">
        <f>HYPERLINK("https://klasma.github.io/Logging_2039/tillsynsmail/A 45202-2024 tillsynsbegäran mail.docx", "A 45202-2024")</f>
        <v/>
      </c>
      <c r="AE187">
        <f>HYPERLINK("https://klasma.github.io/Logging_2039/fåglar/A 45202-2024 prioriterade fågelarter.docx", "A 45202-2024")</f>
        <v/>
      </c>
    </row>
    <row r="188" ht="15" customHeight="1">
      <c r="A188" t="inlineStr">
        <is>
          <t>S 2470-2025</t>
        </is>
      </c>
      <c r="B188" t="inlineStr">
        <is>
          <t>samrådsanmälan</t>
        </is>
      </c>
      <c r="C188" t="inlineStr">
        <is>
          <t>Annan skogsbruksåtgärd</t>
        </is>
      </c>
      <c r="D188" s="1" t="n">
        <v>45902</v>
      </c>
      <c r="E188" s="1" t="n">
        <v>46294</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46294</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46294</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46294</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46294</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22286-2025</t>
        </is>
      </c>
      <c r="B193" t="inlineStr">
        <is>
          <t>avverkningsanmälan</t>
        </is>
      </c>
      <c r="C193" t="inlineStr">
        <is>
          <t>Föryngringsavverkning</t>
        </is>
      </c>
      <c r="D193" s="1" t="n">
        <v>45786</v>
      </c>
      <c r="E193" s="1" t="n">
        <v>46294</v>
      </c>
      <c r="F193" t="inlineStr">
        <is>
          <t>DALARNAS LÄN</t>
        </is>
      </c>
      <c r="G193" t="inlineStr">
        <is>
          <t>ÄLVDALEN</t>
        </is>
      </c>
      <c r="H193" t="inlineStr">
        <is>
          <t>Sveaskog</t>
        </is>
      </c>
      <c r="I193" t="n">
        <v>1.3</v>
      </c>
      <c r="J193" t="n">
        <v>0</v>
      </c>
      <c r="K193" t="n">
        <v>0</v>
      </c>
      <c r="L193" t="n">
        <v>1</v>
      </c>
      <c r="M193" t="n">
        <v>0</v>
      </c>
      <c r="N193" t="n">
        <v>0</v>
      </c>
      <c r="O193" t="n">
        <v>0</v>
      </c>
      <c r="P193" t="n">
        <v>0</v>
      </c>
      <c r="Q193" t="n">
        <v>1</v>
      </c>
      <c r="R193" t="n">
        <v>0</v>
      </c>
      <c r="S193" t="n">
        <v>1</v>
      </c>
      <c r="T193" t="n">
        <v>1</v>
      </c>
      <c r="U193" t="n">
        <v>1</v>
      </c>
      <c r="V193" s="2" t="inlineStr">
        <is>
          <t>Kolflarnlav</t>
        </is>
      </c>
      <c r="W193">
        <f>HYPERLINK("https://klasma.github.io/Logging_2039/artfynd/A 22286-2025 artfynd.xlsx", "A 22286-2025")</f>
        <v/>
      </c>
      <c r="X193">
        <f>HYPERLINK("https://klasma.github.io/Logging_2039/kartor/A 22286-2025 karta.png", "A 22286-2025")</f>
        <v/>
      </c>
      <c r="Y193">
        <f>HYPERLINK("https://klasma.github.io/Logging_2039/kartor_geotiff/A 22286-2025 georefererad karta.tif", "A 22286-2025")</f>
        <v/>
      </c>
      <c r="AA193">
        <f>HYPERLINK("https://klasma.github.io/Logging_2039/klagomål/A 22286-2025 FSC-klagomål.docx", "A 22286-2025")</f>
        <v/>
      </c>
      <c r="AB193">
        <f>HYPERLINK("https://klasma.github.io/Logging_2039/klagomålsmail/A 22286-2025 FSC-klagomål mail.docx", "A 22286-2025")</f>
        <v/>
      </c>
      <c r="AC193">
        <f>HYPERLINK("https://klasma.github.io/Logging_2039/tillsyn/A 22286-2025 tillsynsbegäran.docx", "A 22286-2025")</f>
        <v/>
      </c>
      <c r="AD193">
        <f>HYPERLINK("https://klasma.github.io/Logging_2039/tillsynsmail/A 22286-2025 tillsynsbegäran mail.docx", "A 22286-2025")</f>
        <v/>
      </c>
    </row>
    <row r="194" ht="15" customHeight="1">
      <c r="A194" t="inlineStr">
        <is>
          <t>A 61589-2025</t>
        </is>
      </c>
      <c r="B194" t="inlineStr">
        <is>
          <t>avverkningsanmälan</t>
        </is>
      </c>
      <c r="C194" t="inlineStr">
        <is>
          <t>Föryngringsavverkning</t>
        </is>
      </c>
      <c r="D194" s="1" t="n">
        <v>46002</v>
      </c>
      <c r="E194" s="1" t="n">
        <v>46294</v>
      </c>
      <c r="F194" t="inlineStr">
        <is>
          <t>DALARNAS LÄN</t>
        </is>
      </c>
      <c r="G194" t="inlineStr">
        <is>
          <t>ÄLVDALEN</t>
        </is>
      </c>
      <c r="H194" t="inlineStr">
        <is>
          <t>Sveaskog</t>
        </is>
      </c>
      <c r="I194" t="n">
        <v>2.4</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61589-2025 artfynd.xlsx", "A 61589-2025")</f>
        <v/>
      </c>
      <c r="X194">
        <f>HYPERLINK("https://klasma.github.io/Logging_2039/kartor/A 61589-2025 karta.png", "A 61589-2025")</f>
        <v/>
      </c>
      <c r="Y194">
        <f>HYPERLINK("https://klasma.github.io/Logging_2039/kartor_geotiff/A 61589-2025 georefererad karta.tif", "A 61589-2025")</f>
        <v/>
      </c>
      <c r="AA194">
        <f>HYPERLINK("https://klasma.github.io/Logging_2039/klagomål/A 61589-2025 FSC-klagomål.docx", "A 61589-2025")</f>
        <v/>
      </c>
      <c r="AB194">
        <f>HYPERLINK("https://klasma.github.io/Logging_2039/klagomålsmail/A 61589-2025 FSC-klagomål mail.docx", "A 61589-2025")</f>
        <v/>
      </c>
      <c r="AC194">
        <f>HYPERLINK("https://klasma.github.io/Logging_2039/tillsyn/A 61589-2025 tillsynsbegäran.docx", "A 61589-2025")</f>
        <v/>
      </c>
      <c r="AD194">
        <f>HYPERLINK("https://klasma.github.io/Logging_2039/tillsynsmail/A 61589-2025 tillsynsbegäran mail.docx", "A 61589-2025")</f>
        <v/>
      </c>
    </row>
    <row r="195" ht="15" customHeight="1">
      <c r="A195" t="inlineStr">
        <is>
          <t>A 19614-2024</t>
        </is>
      </c>
      <c r="B195" t="inlineStr">
        <is>
          <t>avverkningsanmälan</t>
        </is>
      </c>
      <c r="C195" t="inlineStr">
        <is>
          <t>Föryngringsavverkning</t>
        </is>
      </c>
      <c r="D195" s="1" t="n">
        <v>45432</v>
      </c>
      <c r="E195" s="1" t="n">
        <v>46294</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t="n">
        <v>1</v>
      </c>
      <c r="V195" s="2" t="inlineStr">
        <is>
          <t>Mörk kolflarnlav</t>
        </is>
      </c>
      <c r="W195">
        <f>HYPERLINK("https://klasma.github.io/Logging_2039/artfynd/A 19614-2024 artfynd.xlsx", "A 19614-2024")</f>
        <v/>
      </c>
      <c r="X195">
        <f>HYPERLINK("https://klasma.github.io/Logging_2039/kartor/A 19614-2024 karta.png", "A 19614-2024")</f>
        <v/>
      </c>
      <c r="Y195">
        <f>HYPERLINK("https://klasma.github.io/Logging_2039/kartor_geotiff/A 19614-2024 georefererad karta.tif", "A 19614-2024")</f>
        <v/>
      </c>
      <c r="AA195">
        <f>HYPERLINK("https://klasma.github.io/Logging_2039/klagomål/A 19614-2024 FSC-klagomål.docx", "A 19614-2024")</f>
        <v/>
      </c>
      <c r="AB195">
        <f>HYPERLINK("https://klasma.github.io/Logging_2039/klagomålsmail/A 19614-2024 FSC-klagomål mail.docx", "A 19614-2024")</f>
        <v/>
      </c>
      <c r="AC195">
        <f>HYPERLINK("https://klasma.github.io/Logging_2039/tillsyn/A 19614-2024 tillsynsbegäran.docx", "A 19614-2024")</f>
        <v/>
      </c>
      <c r="AD195">
        <f>HYPERLINK("https://klasma.github.io/Logging_2039/tillsynsmail/A 19614-2024 tillsynsbegäran mail.docx", "A 19614-2024")</f>
        <v/>
      </c>
    </row>
    <row r="196" ht="15" customHeight="1">
      <c r="A196" t="inlineStr">
        <is>
          <t>A 41932-2025</t>
        </is>
      </c>
      <c r="B196" t="inlineStr">
        <is>
          <t>avverkningsanmälan</t>
        </is>
      </c>
      <c r="C196" t="inlineStr">
        <is>
          <t>Avverkning för att bevara och utveckla /försöksver</t>
        </is>
      </c>
      <c r="D196" s="1" t="n">
        <v>45903</v>
      </c>
      <c r="E196" s="1" t="n">
        <v>46294</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27929-2025</t>
        </is>
      </c>
      <c r="B197" t="inlineStr">
        <is>
          <t>avverkningsanmälan</t>
        </is>
      </c>
      <c r="C197" t="inlineStr">
        <is>
          <t>Föryngringsavverkning</t>
        </is>
      </c>
      <c r="D197" s="1" t="n">
        <v>45817</v>
      </c>
      <c r="E197" s="1" t="n">
        <v>46294</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49141-2025</t>
        </is>
      </c>
      <c r="B198" t="inlineStr">
        <is>
          <t>avverkningsanmälan</t>
        </is>
      </c>
      <c r="C198" t="inlineStr">
        <is>
          <t>Föryngringsavverkning</t>
        </is>
      </c>
      <c r="D198" s="1" t="n">
        <v>45938</v>
      </c>
      <c r="E198" s="1" t="n">
        <v>46294</v>
      </c>
      <c r="F198" t="inlineStr">
        <is>
          <t>DALARNAS LÄN</t>
        </is>
      </c>
      <c r="G198" t="inlineStr">
        <is>
          <t>ÄLVDALEN</t>
        </is>
      </c>
      <c r="H198" t="inlineStr">
        <is>
          <t>Allmännings- och besparingsskogar</t>
        </is>
      </c>
      <c r="I198" t="n">
        <v>0.8</v>
      </c>
      <c r="J198" t="n">
        <v>0</v>
      </c>
      <c r="K198" t="n">
        <v>0</v>
      </c>
      <c r="L198" t="n">
        <v>0</v>
      </c>
      <c r="M198" t="n">
        <v>1</v>
      </c>
      <c r="N198" t="n">
        <v>0</v>
      </c>
      <c r="O198" t="n">
        <v>0</v>
      </c>
      <c r="P198" t="n">
        <v>0</v>
      </c>
      <c r="Q198" t="n">
        <v>1</v>
      </c>
      <c r="R198" t="n">
        <v>1</v>
      </c>
      <c r="S198" t="n">
        <v>1</v>
      </c>
      <c r="T198" t="n">
        <v>3</v>
      </c>
      <c r="U198" t="n">
        <v>3</v>
      </c>
      <c r="V198" s="2" t="inlineStr">
        <is>
          <t>Garnlav</t>
        </is>
      </c>
      <c r="W198">
        <f>HYPERLINK("https://klasma.github.io/Logging_2039/artfynd/A 49141-2025 artfynd.xlsx", "A 49141-2025")</f>
        <v/>
      </c>
      <c r="X198">
        <f>HYPERLINK("https://klasma.github.io/Logging_2039/kartor/A 49141-2025 karta.png", "A 49141-2025")</f>
        <v/>
      </c>
      <c r="Y198">
        <f>HYPERLINK("https://klasma.github.io/Logging_2039/kartor_geotiff/A 49141-2025 georefererad karta.tif", "A 49141-2025")</f>
        <v/>
      </c>
      <c r="AA198">
        <f>HYPERLINK("https://klasma.github.io/Logging_2039/klagomål/A 49141-2025 FSC-klagomål.docx", "A 49141-2025")</f>
        <v/>
      </c>
      <c r="AB198">
        <f>HYPERLINK("https://klasma.github.io/Logging_2039/klagomålsmail/A 49141-2025 FSC-klagomål mail.docx", "A 49141-2025")</f>
        <v/>
      </c>
      <c r="AC198">
        <f>HYPERLINK("https://klasma.github.io/Logging_2039/tillsyn/A 49141-2025 tillsynsbegäran.docx", "A 49141-2025")</f>
        <v/>
      </c>
      <c r="AD198">
        <f>HYPERLINK("https://klasma.github.io/Logging_2039/tillsynsmail/A 49141-2025 tillsynsbegäran mail.docx", "A 49141-2025")</f>
        <v/>
      </c>
    </row>
    <row r="199" ht="15" customHeight="1">
      <c r="A199" t="inlineStr">
        <is>
          <t>A 42649-2023</t>
        </is>
      </c>
      <c r="B199" t="inlineStr">
        <is>
          <t>avverkningsanmälan</t>
        </is>
      </c>
      <c r="C199" t="inlineStr">
        <is>
          <t>Föryngringsavverkning</t>
        </is>
      </c>
      <c r="D199" s="1" t="n">
        <v>45181</v>
      </c>
      <c r="E199" s="1" t="n">
        <v>46294</v>
      </c>
      <c r="F199" t="inlineStr">
        <is>
          <t>DALARNAS LÄN</t>
        </is>
      </c>
      <c r="G199" t="inlineStr">
        <is>
          <t>ÄLVDALEN</t>
        </is>
      </c>
      <c r="I199" t="n">
        <v>5.3</v>
      </c>
      <c r="J199" t="n">
        <v>0</v>
      </c>
      <c r="K199" t="n">
        <v>0</v>
      </c>
      <c r="L199" t="n">
        <v>1</v>
      </c>
      <c r="M199" t="n">
        <v>0</v>
      </c>
      <c r="N199" t="n">
        <v>0</v>
      </c>
      <c r="O199" t="n">
        <v>0</v>
      </c>
      <c r="P199" t="n">
        <v>0</v>
      </c>
      <c r="Q199" t="n">
        <v>1</v>
      </c>
      <c r="R199" t="n">
        <v>0</v>
      </c>
      <c r="S199" t="n">
        <v>1</v>
      </c>
      <c r="T199" t="n">
        <v>1</v>
      </c>
      <c r="U199" t="n">
        <v>1</v>
      </c>
      <c r="V199" s="2" t="inlineStr">
        <is>
          <t>Blå taggsvamp</t>
        </is>
      </c>
      <c r="W199">
        <f>HYPERLINK("https://klasma.github.io/Logging_2039/artfynd/A 42649-2023 artfynd.xlsx", "A 42649-2023")</f>
        <v/>
      </c>
      <c r="X199">
        <f>HYPERLINK("https://klasma.github.io/Logging_2039/kartor/A 42649-2023 karta.png", "A 42649-2023")</f>
        <v/>
      </c>
      <c r="Y199">
        <f>HYPERLINK("https://klasma.github.io/Logging_2039/kartor_geotiff/A 42649-2023 georefererad karta.tif", "A 42649-2023")</f>
        <v/>
      </c>
      <c r="AA199">
        <f>HYPERLINK("https://klasma.github.io/Logging_2039/klagomål/A 42649-2023 FSC-klagomål.docx", "A 42649-2023")</f>
        <v/>
      </c>
      <c r="AB199">
        <f>HYPERLINK("https://klasma.github.io/Logging_2039/klagomålsmail/A 42649-2023 FSC-klagomål mail.docx", "A 42649-2023")</f>
        <v/>
      </c>
      <c r="AC199">
        <f>HYPERLINK("https://klasma.github.io/Logging_2039/tillsyn/A 42649-2023 tillsynsbegäran.docx", "A 42649-2023")</f>
        <v/>
      </c>
      <c r="AD199">
        <f>HYPERLINK("https://klasma.github.io/Logging_2039/tillsynsmail/A 42649-2023 tillsynsbegäran mail.docx", "A 42649-2023")</f>
        <v/>
      </c>
    </row>
    <row r="200" ht="15" customHeight="1">
      <c r="A200" t="inlineStr">
        <is>
          <t>A 35352-2025</t>
        </is>
      </c>
      <c r="B200" t="inlineStr">
        <is>
          <t>avverkningsanmälan</t>
        </is>
      </c>
      <c r="C200" t="inlineStr">
        <is>
          <t>Avverkning för annat ändamål</t>
        </is>
      </c>
      <c r="D200" s="1" t="n">
        <v>45853</v>
      </c>
      <c r="E200" s="1" t="n">
        <v>46294</v>
      </c>
      <c r="F200" t="inlineStr">
        <is>
          <t>DALARNAS LÄN</t>
        </is>
      </c>
      <c r="G200" t="inlineStr">
        <is>
          <t>ÄLVDALEN</t>
        </is>
      </c>
      <c r="H200" t="inlineStr">
        <is>
          <t>Sveaskog</t>
        </is>
      </c>
      <c r="I200" t="n">
        <v>0.7</v>
      </c>
      <c r="J200" t="n">
        <v>0</v>
      </c>
      <c r="K200" t="n">
        <v>0</v>
      </c>
      <c r="L200" t="n">
        <v>0</v>
      </c>
      <c r="M200" t="n">
        <v>1</v>
      </c>
      <c r="N200" t="n">
        <v>0</v>
      </c>
      <c r="O200" t="n">
        <v>0</v>
      </c>
      <c r="P200" t="n">
        <v>0</v>
      </c>
      <c r="Q200" t="n">
        <v>1</v>
      </c>
      <c r="R200" t="n">
        <v>1</v>
      </c>
      <c r="S200" t="n">
        <v>1</v>
      </c>
      <c r="T200" t="n">
        <v>1</v>
      </c>
      <c r="U200" t="n">
        <v>0</v>
      </c>
      <c r="V200" s="2" t="inlineStr">
        <is>
          <t>Gräddporing</t>
        </is>
      </c>
      <c r="W200">
        <f>HYPERLINK("https://klasma.github.io/Logging_2039/artfynd/A 35352-2025 artfynd.xlsx", "A 35352-2025")</f>
        <v/>
      </c>
      <c r="X200">
        <f>HYPERLINK("https://klasma.github.io/Logging_2039/kartor/A 35352-2025 karta.png", "A 35352-2025")</f>
        <v/>
      </c>
      <c r="Y200">
        <f>HYPERLINK("https://klasma.github.io/Logging_2039/kartor_geotiff/A 35352-2025 georefererad karta.tif", "A 35352-2025")</f>
        <v/>
      </c>
      <c r="AA200">
        <f>HYPERLINK("https://klasma.github.io/Logging_2039/klagomål/A 35352-2025 FSC-klagomål.docx", "A 35352-2025")</f>
        <v/>
      </c>
      <c r="AB200">
        <f>HYPERLINK("https://klasma.github.io/Logging_2039/klagomålsmail/A 35352-2025 FSC-klagomål mail.docx", "A 35352-2025")</f>
        <v/>
      </c>
      <c r="AC200">
        <f>HYPERLINK("https://klasma.github.io/Logging_2039/tillsyn/A 35352-2025 tillsynsbegäran.docx", "A 35352-2025")</f>
        <v/>
      </c>
      <c r="AD200">
        <f>HYPERLINK("https://klasma.github.io/Logging_2039/tillsynsmail/A 35352-2025 tillsynsbegäran mail.docx", "A 35352-2025")</f>
        <v/>
      </c>
    </row>
    <row r="201" ht="15" customHeight="1">
      <c r="A201" t="inlineStr">
        <is>
          <t>A 19578-2025</t>
        </is>
      </c>
      <c r="B201" t="inlineStr">
        <is>
          <t>avverkningsanmälan</t>
        </is>
      </c>
      <c r="C201" t="inlineStr">
        <is>
          <t>Föryngringsavverkning</t>
        </is>
      </c>
      <c r="D201" s="1" t="n">
        <v>45770</v>
      </c>
      <c r="E201" s="1" t="n">
        <v>46294</v>
      </c>
      <c r="F201" t="inlineStr">
        <is>
          <t>DALARNAS LÄN</t>
        </is>
      </c>
      <c r="G201" t="inlineStr">
        <is>
          <t>ÄLVDALEN</t>
        </is>
      </c>
      <c r="H201" t="inlineStr">
        <is>
          <t>Sveaskog</t>
        </is>
      </c>
      <c r="I201" t="n">
        <v>15.2</v>
      </c>
      <c r="J201" t="n">
        <v>0</v>
      </c>
      <c r="K201" t="n">
        <v>0</v>
      </c>
      <c r="L201" t="n">
        <v>1</v>
      </c>
      <c r="M201" t="n">
        <v>0</v>
      </c>
      <c r="N201" t="n">
        <v>0</v>
      </c>
      <c r="O201" t="n">
        <v>0</v>
      </c>
      <c r="P201" t="n">
        <v>0</v>
      </c>
      <c r="Q201" t="n">
        <v>1</v>
      </c>
      <c r="R201" t="n">
        <v>0</v>
      </c>
      <c r="S201" t="n">
        <v>1</v>
      </c>
      <c r="T201" t="n">
        <v>1</v>
      </c>
      <c r="U201" t="n">
        <v>0</v>
      </c>
      <c r="V201" s="2" t="inlineStr">
        <is>
          <t>Orange taggsvamp</t>
        </is>
      </c>
      <c r="W201">
        <f>HYPERLINK("https://klasma.github.io/Logging_2039/artfynd/A 19578-2025 artfynd.xlsx", "A 19578-2025")</f>
        <v/>
      </c>
      <c r="X201">
        <f>HYPERLINK("https://klasma.github.io/Logging_2039/kartor/A 19578-2025 karta.png", "A 19578-2025")</f>
        <v/>
      </c>
      <c r="Y201">
        <f>HYPERLINK("https://klasma.github.io/Logging_2039/kartor_geotiff/A 19578-2025 georefererad karta.tif", "A 19578-2025")</f>
        <v/>
      </c>
      <c r="AA201">
        <f>HYPERLINK("https://klasma.github.io/Logging_2039/klagomål/A 19578-2025 FSC-klagomål.docx", "A 19578-2025")</f>
        <v/>
      </c>
      <c r="AB201">
        <f>HYPERLINK("https://klasma.github.io/Logging_2039/klagomålsmail/A 19578-2025 FSC-klagomål mail.docx", "A 19578-2025")</f>
        <v/>
      </c>
      <c r="AC201">
        <f>HYPERLINK("https://klasma.github.io/Logging_2039/tillsyn/A 19578-2025 tillsynsbegäran.docx", "A 19578-2025")</f>
        <v/>
      </c>
      <c r="AD201">
        <f>HYPERLINK("https://klasma.github.io/Logging_2039/tillsynsmail/A 19578-2025 tillsynsbegäran mail.docx", "A 19578-2025")</f>
        <v/>
      </c>
    </row>
    <row r="202" ht="15" customHeight="1">
      <c r="A202" t="inlineStr">
        <is>
          <t>A 43990-2024</t>
        </is>
      </c>
      <c r="B202" t="inlineStr">
        <is>
          <t>avverkningsanmälan</t>
        </is>
      </c>
      <c r="C202" t="inlineStr">
        <is>
          <t>Avverkning för annat ändamål</t>
        </is>
      </c>
      <c r="D202" s="1" t="n">
        <v>45572</v>
      </c>
      <c r="E202" s="1" t="n">
        <v>46294</v>
      </c>
      <c r="F202" t="inlineStr">
        <is>
          <t>DALARNAS LÄN</t>
        </is>
      </c>
      <c r="G202" t="inlineStr">
        <is>
          <t>ÄLVDALEN</t>
        </is>
      </c>
      <c r="H202" t="inlineStr">
        <is>
          <t>Kommuner</t>
        </is>
      </c>
      <c r="I202" t="n">
        <v>0</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HYPERLINK("https://klasma.github.io/Logging_2039/artfynd/A 43990-2024 artfynd.xlsx", "A 43990-2024")</f>
        <v/>
      </c>
      <c r="X202">
        <f>HYPERLINK("https://klasma.github.io/Logging_2039/kartor/A 43990-2024 karta.png", "A 43990-2024")</f>
        <v/>
      </c>
      <c r="Y202">
        <f>HYPERLINK("https://klasma.github.io/Logging_2039/kartor_geotiff/A 43990-2024 georefererad karta.tif", "A 43990-2024")</f>
        <v/>
      </c>
      <c r="AA202">
        <f>HYPERLINK("https://klasma.github.io/Logging_2039/klagomål/A 43990-2024 FSC-klagomål.docx", "A 43990-2024")</f>
        <v/>
      </c>
      <c r="AB202">
        <f>HYPERLINK("https://klasma.github.io/Logging_2039/klagomålsmail/A 43990-2024 FSC-klagomål mail.docx", "A 43990-2024")</f>
        <v/>
      </c>
      <c r="AC202">
        <f>HYPERLINK("https://klasma.github.io/Logging_2039/tillsyn/A 43990-2024 tillsynsbegäran.docx", "A 43990-2024")</f>
        <v/>
      </c>
      <c r="AD202">
        <f>HYPERLINK("https://klasma.github.io/Logging_2039/tillsynsmail/A 43990-2024 tillsynsbegäran mail.docx", "A 43990-2024")</f>
        <v/>
      </c>
      <c r="AE202">
        <f>HYPERLINK("https://klasma.github.io/Logging_2039/fåglar/A 43990-2024 prioriterade fågelarter.docx", "A 43990-2024")</f>
        <v/>
      </c>
    </row>
    <row r="203" ht="15" customHeight="1">
      <c r="A203" t="inlineStr">
        <is>
          <t>A 31145-2024</t>
        </is>
      </c>
      <c r="B203" t="inlineStr">
        <is>
          <t>avverkningsanmälan</t>
        </is>
      </c>
      <c r="C203" t="inlineStr">
        <is>
          <t>Föryngringsavverkning</t>
        </is>
      </c>
      <c r="D203" s="1" t="n">
        <v>45502</v>
      </c>
      <c r="E203" s="1" t="n">
        <v>46294</v>
      </c>
      <c r="F203" t="inlineStr">
        <is>
          <t>DALARNAS LÄN</t>
        </is>
      </c>
      <c r="G203" t="inlineStr">
        <is>
          <t>ÄLVDALEN</t>
        </is>
      </c>
      <c r="I203" t="n">
        <v>1.2</v>
      </c>
      <c r="J203" t="n">
        <v>1</v>
      </c>
      <c r="K203" t="n">
        <v>0</v>
      </c>
      <c r="L203" t="n">
        <v>1</v>
      </c>
      <c r="M203" t="n">
        <v>0</v>
      </c>
      <c r="N203" t="n">
        <v>0</v>
      </c>
      <c r="O203" t="n">
        <v>0</v>
      </c>
      <c r="P203" t="n">
        <v>0</v>
      </c>
      <c r="Q203" t="n">
        <v>1</v>
      </c>
      <c r="R203" t="n">
        <v>0</v>
      </c>
      <c r="S203" t="n">
        <v>1</v>
      </c>
      <c r="T203" t="n">
        <v>1</v>
      </c>
      <c r="U203" t="n">
        <v>1</v>
      </c>
      <c r="V203" s="2" t="inlineStr">
        <is>
          <t>Tretåig hackspett</t>
        </is>
      </c>
      <c r="W203">
        <f>HYPERLINK("https://klasma.github.io/Logging_2039/artfynd/A 31145-2024 artfynd.xlsx", "A 31145-2024")</f>
        <v/>
      </c>
      <c r="X203">
        <f>HYPERLINK("https://klasma.github.io/Logging_2039/kartor/A 31145-2024 karta.png", "A 31145-2024")</f>
        <v/>
      </c>
      <c r="Y203">
        <f>HYPERLINK("https://klasma.github.io/Logging_2039/kartor_geotiff/A 31145-2024 georefererad karta.tif", "A 31145-2024")</f>
        <v/>
      </c>
      <c r="AA203">
        <f>HYPERLINK("https://klasma.github.io/Logging_2039/klagomål/A 31145-2024 FSC-klagomål.docx", "A 31145-2024")</f>
        <v/>
      </c>
      <c r="AB203">
        <f>HYPERLINK("https://klasma.github.io/Logging_2039/klagomålsmail/A 31145-2024 FSC-klagomål mail.docx", "A 31145-2024")</f>
        <v/>
      </c>
      <c r="AC203">
        <f>HYPERLINK("https://klasma.github.io/Logging_2039/tillsyn/A 31145-2024 tillsynsbegäran.docx", "A 31145-2024")</f>
        <v/>
      </c>
      <c r="AD203">
        <f>HYPERLINK("https://klasma.github.io/Logging_2039/tillsynsmail/A 31145-2024 tillsynsbegäran mail.docx", "A 31145-2024")</f>
        <v/>
      </c>
      <c r="AE203">
        <f>HYPERLINK("https://klasma.github.io/Logging_2039/fåglar/A 31145-2024 prioriterade fågelarter.docx", "A 31145-2024")</f>
        <v/>
      </c>
    </row>
    <row r="204" ht="15" customHeight="1">
      <c r="A204" t="inlineStr">
        <is>
          <t>A 36593-2023</t>
        </is>
      </c>
      <c r="B204" t="inlineStr">
        <is>
          <t>avverkningsanmälan</t>
        </is>
      </c>
      <c r="C204" t="inlineStr">
        <is>
          <t>Föryngringsavverkning</t>
        </is>
      </c>
      <c r="D204" s="1" t="n">
        <v>45153</v>
      </c>
      <c r="E204" s="1" t="n">
        <v>46294</v>
      </c>
      <c r="F204" t="inlineStr">
        <is>
          <t>DALARNAS LÄN</t>
        </is>
      </c>
      <c r="G204" t="inlineStr">
        <is>
          <t>ÄLVDALEN</t>
        </is>
      </c>
      <c r="I204" t="n">
        <v>0.9</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HYPERLINK("https://klasma.github.io/Logging_2039/artfynd/A 36593-2023 artfynd.xlsx", "A 36593-2023")</f>
        <v/>
      </c>
      <c r="X204">
        <f>HYPERLINK("https://klasma.github.io/Logging_2039/kartor/A 36593-2023 karta.png", "A 36593-2023")</f>
        <v/>
      </c>
      <c r="Y204">
        <f>HYPERLINK("https://klasma.github.io/Logging_2039/kartor_geotiff/A 36593-2023 georefererad karta.tif", "A 36593-2023")</f>
        <v/>
      </c>
      <c r="Z204">
        <f>HYPERLINK("https://klasma.github.io/Logging_2039/knärot/A 36593-2023 karta knärot.png", "A 36593-2023")</f>
        <v/>
      </c>
      <c r="AA204">
        <f>HYPERLINK("https://klasma.github.io/Logging_2039/klagomål/A 36593-2023 FSC-klagomål.docx", "A 36593-2023")</f>
        <v/>
      </c>
      <c r="AB204">
        <f>HYPERLINK("https://klasma.github.io/Logging_2039/klagomålsmail/A 36593-2023 FSC-klagomål mail.docx", "A 36593-2023")</f>
        <v/>
      </c>
      <c r="AC204">
        <f>HYPERLINK("https://klasma.github.io/Logging_2039/tillsyn/A 36593-2023 tillsynsbegäran.docx", "A 36593-2023")</f>
        <v/>
      </c>
      <c r="AD204">
        <f>HYPERLINK("https://klasma.github.io/Logging_2039/tillsynsmail/A 36593-2023 tillsynsbegäran mail.docx", "A 36593-2023")</f>
        <v/>
      </c>
    </row>
    <row r="205" ht="15" customHeight="1">
      <c r="A205" t="inlineStr">
        <is>
          <t>A 59380-2025</t>
        </is>
      </c>
      <c r="B205" t="inlineStr">
        <is>
          <t>avverkningsanmälan</t>
        </is>
      </c>
      <c r="C205" t="inlineStr">
        <is>
          <t>Föryngringsavverkning</t>
        </is>
      </c>
      <c r="D205" s="1" t="n">
        <v>45989</v>
      </c>
      <c r="E205" s="1" t="n">
        <v>46294</v>
      </c>
      <c r="F205" t="inlineStr">
        <is>
          <t>DALARNAS LÄN</t>
        </is>
      </c>
      <c r="G205" t="inlineStr">
        <is>
          <t>ÄLVDALEN</t>
        </is>
      </c>
      <c r="H205" t="inlineStr">
        <is>
          <t>Sveaskog</t>
        </is>
      </c>
      <c r="I205" t="n">
        <v>1.1</v>
      </c>
      <c r="J205" t="n">
        <v>0</v>
      </c>
      <c r="K205" t="n">
        <v>0</v>
      </c>
      <c r="L205" t="n">
        <v>1</v>
      </c>
      <c r="M205" t="n">
        <v>0</v>
      </c>
      <c r="N205" t="n">
        <v>0</v>
      </c>
      <c r="O205" t="n">
        <v>0</v>
      </c>
      <c r="P205" t="n">
        <v>0</v>
      </c>
      <c r="Q205" t="n">
        <v>1</v>
      </c>
      <c r="R205" t="n">
        <v>0</v>
      </c>
      <c r="S205" t="n">
        <v>1</v>
      </c>
      <c r="T205" t="n">
        <v>2</v>
      </c>
      <c r="U205" t="n">
        <v>0</v>
      </c>
      <c r="V205" s="2" t="inlineStr">
        <is>
          <t>Lunglav</t>
        </is>
      </c>
      <c r="W205">
        <f>HYPERLINK("https://klasma.github.io/Logging_2039/artfynd/A 59380-2025 artfynd.xlsx", "A 59380-2025")</f>
        <v/>
      </c>
      <c r="X205">
        <f>HYPERLINK("https://klasma.github.io/Logging_2039/kartor/A 59380-2025 karta.png", "A 59380-2025")</f>
        <v/>
      </c>
      <c r="Y205">
        <f>HYPERLINK("https://klasma.github.io/Logging_2039/kartor_geotiff/A 59380-2025 georefererad karta.tif", "A 59380-2025")</f>
        <v/>
      </c>
      <c r="AA205">
        <f>HYPERLINK("https://klasma.github.io/Logging_2039/klagomål/A 59380-2025 FSC-klagomål.docx", "A 59380-2025")</f>
        <v/>
      </c>
      <c r="AB205">
        <f>HYPERLINK("https://klasma.github.io/Logging_2039/klagomålsmail/A 59380-2025 FSC-klagomål mail.docx", "A 59380-2025")</f>
        <v/>
      </c>
      <c r="AC205">
        <f>HYPERLINK("https://klasma.github.io/Logging_2039/tillsyn/A 59380-2025 tillsynsbegäran.docx", "A 59380-2025")</f>
        <v/>
      </c>
      <c r="AD205">
        <f>HYPERLINK("https://klasma.github.io/Logging_2039/tillsynsmail/A 59380-2025 tillsynsbegäran mail.docx", "A 59380-2025")</f>
        <v/>
      </c>
    </row>
    <row r="206" ht="15" customHeight="1">
      <c r="A206" t="inlineStr">
        <is>
          <t>A 60082-2025</t>
        </is>
      </c>
      <c r="B206" t="inlineStr">
        <is>
          <t>avverkningsanmälan</t>
        </is>
      </c>
      <c r="C206" t="inlineStr">
        <is>
          <t>Föryngringsavverkning</t>
        </is>
      </c>
      <c r="D206" s="1" t="n">
        <v>45993</v>
      </c>
      <c r="E206" s="1" t="n">
        <v>46294</v>
      </c>
      <c r="F206" t="inlineStr">
        <is>
          <t>DALARNAS LÄN</t>
        </is>
      </c>
      <c r="G206" t="inlineStr">
        <is>
          <t>ÄLVDALEN</t>
        </is>
      </c>
      <c r="I206" t="n">
        <v>7.5</v>
      </c>
      <c r="J206" t="n">
        <v>1</v>
      </c>
      <c r="K206" t="n">
        <v>0</v>
      </c>
      <c r="L206" t="n">
        <v>0</v>
      </c>
      <c r="M206" t="n">
        <v>0</v>
      </c>
      <c r="N206" t="n">
        <v>0</v>
      </c>
      <c r="O206" t="n">
        <v>0</v>
      </c>
      <c r="P206" t="n">
        <v>0</v>
      </c>
      <c r="Q206" t="n">
        <v>0</v>
      </c>
      <c r="R206" t="n">
        <v>0</v>
      </c>
      <c r="S206" t="n">
        <v>1</v>
      </c>
      <c r="T206" t="n">
        <v>1</v>
      </c>
      <c r="U206" t="n">
        <v>1</v>
      </c>
      <c r="V206" s="2" t="inlineStr">
        <is>
          <t>Revlummer</t>
        </is>
      </c>
      <c r="W206">
        <f>HYPERLINK("https://klasma.github.io/Logging_2039/artfynd/A 60082-2025 artfynd.xlsx", "A 60082-2025")</f>
        <v/>
      </c>
      <c r="X206">
        <f>HYPERLINK("https://klasma.github.io/Logging_2039/kartor/A 60082-2025 karta.png", "A 60082-2025")</f>
        <v/>
      </c>
      <c r="Y206">
        <f>HYPERLINK("https://klasma.github.io/Logging_2039/kartor_geotiff/A 60082-2025 georefererad karta.tif", "A 60082-2025")</f>
        <v/>
      </c>
      <c r="AA206">
        <f>HYPERLINK("https://klasma.github.io/Logging_2039/klagomål/A 60082-2025 FSC-klagomål.docx", "A 60082-2025")</f>
        <v/>
      </c>
      <c r="AB206">
        <f>HYPERLINK("https://klasma.github.io/Logging_2039/klagomålsmail/A 60082-2025 FSC-klagomål mail.docx", "A 60082-2025")</f>
        <v/>
      </c>
      <c r="AC206">
        <f>HYPERLINK("https://klasma.github.io/Logging_2039/tillsyn/A 60082-2025 tillsynsbegäran.docx", "A 60082-2025")</f>
        <v/>
      </c>
      <c r="AD206">
        <f>HYPERLINK("https://klasma.github.io/Logging_2039/tillsynsmail/A 60082-2025 tillsynsbegäran mail.docx", "A 60082-2025")</f>
        <v/>
      </c>
    </row>
    <row r="207" ht="15" customHeight="1">
      <c r="A207" t="inlineStr">
        <is>
          <t>A 7273-2026</t>
        </is>
      </c>
      <c r="B207" t="inlineStr">
        <is>
          <t>avverkningsanmälan</t>
        </is>
      </c>
      <c r="C207" t="inlineStr">
        <is>
          <t>Föryngringsavverkning</t>
        </is>
      </c>
      <c r="D207" s="1" t="n">
        <v>46058</v>
      </c>
      <c r="E207" s="1" t="n">
        <v>46294</v>
      </c>
      <c r="F207" t="inlineStr">
        <is>
          <t>DALARNAS LÄN</t>
        </is>
      </c>
      <c r="G207" t="inlineStr">
        <is>
          <t>ÄLVDALEN</t>
        </is>
      </c>
      <c r="I207" t="n">
        <v>0.9</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HYPERLINK("https://klasma.github.io/Logging_2039/artfynd/A 7273-2026 artfynd.xlsx", "A 7273-2026")</f>
        <v/>
      </c>
      <c r="X207">
        <f>HYPERLINK("https://klasma.github.io/Logging_2039/kartor/A 7273-2026 karta.png", "A 7273-2026")</f>
        <v/>
      </c>
      <c r="Y207">
        <f>HYPERLINK("https://klasma.github.io/Logging_2039/kartor_geotiff/A 7273-2026 georefererad karta.tif", "A 7273-2026")</f>
        <v/>
      </c>
      <c r="AA207">
        <f>HYPERLINK("https://klasma.github.io/Logging_2039/klagomål/A 7273-2026 FSC-klagomål.docx", "A 7273-2026")</f>
        <v/>
      </c>
      <c r="AB207">
        <f>HYPERLINK("https://klasma.github.io/Logging_2039/klagomålsmail/A 7273-2026 FSC-klagomål mail.docx", "A 7273-2026")</f>
        <v/>
      </c>
      <c r="AC207">
        <f>HYPERLINK("https://klasma.github.io/Logging_2039/tillsyn/A 7273-2026 tillsynsbegäran.docx", "A 7273-2026")</f>
        <v/>
      </c>
      <c r="AD207">
        <f>HYPERLINK("https://klasma.github.io/Logging_2039/tillsynsmail/A 7273-2026 tillsynsbegäran mail.docx", "A 7273-2026")</f>
        <v/>
      </c>
      <c r="AE207">
        <f>HYPERLINK("https://klasma.github.io/Logging_2039/fåglar/A 7273-2026 prioriterade fågelarter.docx", "A 7273-2026")</f>
        <v/>
      </c>
    </row>
    <row r="208" ht="15" customHeight="1">
      <c r="A208" t="inlineStr">
        <is>
          <t>A 32363-2024</t>
        </is>
      </c>
      <c r="B208" t="inlineStr">
        <is>
          <t>avverkningsanmälan</t>
        </is>
      </c>
      <c r="C208" t="inlineStr">
        <is>
          <t>Avverkning för annat ändamål</t>
        </is>
      </c>
      <c r="D208" s="1" t="n">
        <v>45512</v>
      </c>
      <c r="E208" s="1" t="n">
        <v>46294</v>
      </c>
      <c r="F208" t="inlineStr">
        <is>
          <t>DALARNAS LÄN</t>
        </is>
      </c>
      <c r="G208" t="inlineStr">
        <is>
          <t>ÄLVDALEN</t>
        </is>
      </c>
      <c r="H208" t="inlineStr">
        <is>
          <t>Sveaskog</t>
        </is>
      </c>
      <c r="I208" t="n">
        <v>0.6</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HYPERLINK("https://klasma.github.io/Logging_2039/artfynd/A 32363-2024 artfynd.xlsx", "A 32363-2024")</f>
        <v/>
      </c>
      <c r="X208">
        <f>HYPERLINK("https://klasma.github.io/Logging_2039/kartor/A 32363-2024 karta.png", "A 32363-2024")</f>
        <v/>
      </c>
      <c r="Y208">
        <f>HYPERLINK("https://klasma.github.io/Logging_2039/kartor_geotiff/A 32363-2024 georefererad karta.tif", "A 32363-2024")</f>
        <v/>
      </c>
      <c r="AA208">
        <f>HYPERLINK("https://klasma.github.io/Logging_2039/klagomål/A 32363-2024 FSC-klagomål.docx", "A 32363-2024")</f>
        <v/>
      </c>
      <c r="AB208">
        <f>HYPERLINK("https://klasma.github.io/Logging_2039/klagomålsmail/A 32363-2024 FSC-klagomål mail.docx", "A 32363-2024")</f>
        <v/>
      </c>
      <c r="AC208">
        <f>HYPERLINK("https://klasma.github.io/Logging_2039/tillsyn/A 32363-2024 tillsynsbegäran.docx", "A 32363-2024")</f>
        <v/>
      </c>
      <c r="AD208">
        <f>HYPERLINK("https://klasma.github.io/Logging_2039/tillsynsmail/A 32363-2024 tillsynsbegäran mail.docx", "A 32363-2024")</f>
        <v/>
      </c>
    </row>
    <row r="209" ht="15" customHeight="1">
      <c r="A209" t="inlineStr">
        <is>
          <t>A 55062-2022</t>
        </is>
      </c>
      <c r="B209" t="inlineStr">
        <is>
          <t>avverkningsanmälan</t>
        </is>
      </c>
      <c r="C209" t="inlineStr">
        <is>
          <t>Avverkning för annat ändamål</t>
        </is>
      </c>
      <c r="D209" s="1" t="n">
        <v>44881</v>
      </c>
      <c r="E209" s="1" t="n">
        <v>46294</v>
      </c>
      <c r="F209" t="inlineStr">
        <is>
          <t>DALARNAS LÄN</t>
        </is>
      </c>
      <c r="G209" t="inlineStr">
        <is>
          <t>ÄLVDALEN</t>
        </is>
      </c>
      <c r="H209" t="inlineStr">
        <is>
          <t>Övriga statliga verk och myndigheter</t>
        </is>
      </c>
      <c r="I209" t="n">
        <v>28.1</v>
      </c>
      <c r="J209" t="n">
        <v>1</v>
      </c>
      <c r="K209" t="n">
        <v>0</v>
      </c>
      <c r="L209" t="n">
        <v>0</v>
      </c>
      <c r="M209" t="n">
        <v>0</v>
      </c>
      <c r="N209" t="n">
        <v>0</v>
      </c>
      <c r="O209" t="n">
        <v>0</v>
      </c>
      <c r="P209" t="n">
        <v>0</v>
      </c>
      <c r="Q209" t="n">
        <v>0</v>
      </c>
      <c r="R209" t="n">
        <v>0</v>
      </c>
      <c r="S209" t="n">
        <v>1</v>
      </c>
      <c r="T209" t="n">
        <v>1</v>
      </c>
      <c r="U209" t="n">
        <v>0</v>
      </c>
      <c r="V209" s="2" t="inlineStr">
        <is>
          <t>Utter</t>
        </is>
      </c>
      <c r="W209">
        <f>HYPERLINK("https://klasma.github.io/Logging_2039/artfynd/A 55062-2022 artfynd.xlsx", "A 55062-2022")</f>
        <v/>
      </c>
      <c r="X209">
        <f>HYPERLINK("https://klasma.github.io/Logging_2039/kartor/A 55062-2022 karta.png", "A 55062-2022")</f>
        <v/>
      </c>
      <c r="Y209">
        <f>HYPERLINK("https://klasma.github.io/Logging_2039/kartor_geotiff/A 55062-2022 georefererad karta.tif", "A 55062-2022")</f>
        <v/>
      </c>
      <c r="AA209">
        <f>HYPERLINK("https://klasma.github.io/Logging_2039/klagomål/A 55062-2022 FSC-klagomål.docx", "A 55062-2022")</f>
        <v/>
      </c>
      <c r="AB209">
        <f>HYPERLINK("https://klasma.github.io/Logging_2039/klagomålsmail/A 55062-2022 FSC-klagomål mail.docx", "A 55062-2022")</f>
        <v/>
      </c>
      <c r="AC209">
        <f>HYPERLINK("https://klasma.github.io/Logging_2039/tillsyn/A 55062-2022 tillsynsbegäran.docx", "A 55062-2022")</f>
        <v/>
      </c>
      <c r="AD209">
        <f>HYPERLINK("https://klasma.github.io/Logging_2039/tillsynsmail/A 55062-2022 tillsynsbegäran mail.docx", "A 55062-2022")</f>
        <v/>
      </c>
    </row>
    <row r="210" ht="15" customHeight="1">
      <c r="A210" t="inlineStr">
        <is>
          <t>A 18584-2026</t>
        </is>
      </c>
      <c r="B210" t="inlineStr">
        <is>
          <t>avverkningsanmälan</t>
        </is>
      </c>
      <c r="C210" t="inlineStr">
        <is>
          <t>Föryngringsavverkning</t>
        </is>
      </c>
      <c r="D210" s="1" t="n">
        <v>46127</v>
      </c>
      <c r="E210" s="1" t="n">
        <v>46294</v>
      </c>
      <c r="F210" t="inlineStr">
        <is>
          <t>DALARNAS LÄN</t>
        </is>
      </c>
      <c r="G210" t="inlineStr">
        <is>
          <t>ÄLVDALEN</t>
        </is>
      </c>
      <c r="H210" t="inlineStr">
        <is>
          <t>Sveaskog</t>
        </is>
      </c>
      <c r="I210" t="n">
        <v>1.9</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HYPERLINK("https://klasma.github.io/Logging_2039/artfynd/A 18584-2026 artfynd.xlsx", "A 18584-2026")</f>
        <v/>
      </c>
      <c r="X210">
        <f>HYPERLINK("https://klasma.github.io/Logging_2039/kartor/A 18584-2026 karta.png", "A 18584-2026")</f>
        <v/>
      </c>
      <c r="Y210">
        <f>HYPERLINK("https://klasma.github.io/Logging_2039/kartor_geotiff/A 18584-2026 georefererad karta.tif", "A 18584-2026")</f>
        <v/>
      </c>
      <c r="AA210">
        <f>HYPERLINK("https://klasma.github.io/Logging_2039/klagomål/A 18584-2026 FSC-klagomål.docx", "A 18584-2026")</f>
        <v/>
      </c>
      <c r="AB210">
        <f>HYPERLINK("https://klasma.github.io/Logging_2039/klagomålsmail/A 18584-2026 FSC-klagomål mail.docx", "A 18584-2026")</f>
        <v/>
      </c>
      <c r="AC210">
        <f>HYPERLINK("https://klasma.github.io/Logging_2039/tillsyn/A 18584-2026 tillsynsbegäran.docx", "A 18584-2026")</f>
        <v/>
      </c>
      <c r="AD210">
        <f>HYPERLINK("https://klasma.github.io/Logging_2039/tillsynsmail/A 18584-2026 tillsynsbegäran mail.docx", "A 18584-2026")</f>
        <v/>
      </c>
    </row>
    <row r="211" ht="15" customHeight="1">
      <c r="A211" t="inlineStr">
        <is>
          <t>A 52249-2022</t>
        </is>
      </c>
      <c r="B211" t="inlineStr">
        <is>
          <t>avverkningsanmälan</t>
        </is>
      </c>
      <c r="C211" t="inlineStr">
        <is>
          <t>Avverkning för annat ändamål</t>
        </is>
      </c>
      <c r="D211" s="1" t="n">
        <v>44873</v>
      </c>
      <c r="E211" s="1" t="n">
        <v>46294</v>
      </c>
      <c r="F211" t="inlineStr">
        <is>
          <t>DALARNAS LÄN</t>
        </is>
      </c>
      <c r="G211" t="inlineStr">
        <is>
          <t>ÄLVDALEN</t>
        </is>
      </c>
      <c r="H211" t="inlineStr">
        <is>
          <t>Sveaskog</t>
        </is>
      </c>
      <c r="I211" t="n">
        <v>0.4</v>
      </c>
      <c r="J211" t="n">
        <v>0</v>
      </c>
      <c r="K211" t="n">
        <v>0</v>
      </c>
      <c r="L211" t="n">
        <v>1</v>
      </c>
      <c r="M211" t="n">
        <v>0</v>
      </c>
      <c r="N211" t="n">
        <v>0</v>
      </c>
      <c r="O211" t="n">
        <v>0</v>
      </c>
      <c r="P211" t="n">
        <v>0</v>
      </c>
      <c r="Q211" t="n">
        <v>1</v>
      </c>
      <c r="R211" t="n">
        <v>0</v>
      </c>
      <c r="S211" t="n">
        <v>1</v>
      </c>
      <c r="T211" t="n">
        <v>1</v>
      </c>
      <c r="U211" t="n">
        <v>0</v>
      </c>
      <c r="V211" s="2" t="inlineStr">
        <is>
          <t>Älg</t>
        </is>
      </c>
      <c r="W211">
        <f>HYPERLINK("https://klasma.github.io/Logging_2039/artfynd/A 52249-2022 artfynd.xlsx", "A 52249-2022")</f>
        <v/>
      </c>
      <c r="X211">
        <f>HYPERLINK("https://klasma.github.io/Logging_2039/kartor/A 52249-2022 karta.png", "A 52249-2022")</f>
        <v/>
      </c>
      <c r="Y211">
        <f>HYPERLINK("https://klasma.github.io/Logging_2039/kartor_geotiff/A 52249-2022 georefererad karta.tif", "A 52249-2022")</f>
        <v/>
      </c>
      <c r="AA211">
        <f>HYPERLINK("https://klasma.github.io/Logging_2039/klagomål/A 52249-2022 FSC-klagomål.docx", "A 52249-2022")</f>
        <v/>
      </c>
      <c r="AB211">
        <f>HYPERLINK("https://klasma.github.io/Logging_2039/klagomålsmail/A 52249-2022 FSC-klagomål mail.docx", "A 52249-2022")</f>
        <v/>
      </c>
      <c r="AC211">
        <f>HYPERLINK("https://klasma.github.io/Logging_2039/tillsyn/A 52249-2022 tillsynsbegäran.docx", "A 52249-2022")</f>
        <v/>
      </c>
      <c r="AD211">
        <f>HYPERLINK("https://klasma.github.io/Logging_2039/tillsynsmail/A 52249-2022 tillsynsbegäran mail.docx", "A 52249-2022")</f>
        <v/>
      </c>
    </row>
    <row r="212" ht="15" customHeight="1">
      <c r="A212" t="inlineStr">
        <is>
          <t>A 25526-2026</t>
        </is>
      </c>
      <c r="B212" t="inlineStr">
        <is>
          <t>avverkningsanmälan</t>
        </is>
      </c>
      <c r="C212" t="inlineStr">
        <is>
          <t>Föryngringsavverkning</t>
        </is>
      </c>
      <c r="D212" s="1" t="n">
        <v>46177</v>
      </c>
      <c r="E212" s="1" t="n">
        <v>46294</v>
      </c>
      <c r="F212" t="inlineStr">
        <is>
          <t>DALARNAS LÄN</t>
        </is>
      </c>
      <c r="G212" t="inlineStr">
        <is>
          <t>ÄLVDALEN</t>
        </is>
      </c>
      <c r="H212" t="inlineStr">
        <is>
          <t>Sveaskog</t>
        </is>
      </c>
      <c r="I212" t="n">
        <v>3.7</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HYPERLINK("https://klasma.github.io/Logging_2039/artfynd/A 25526-2026 artfynd.xlsx", "A 25526-2026")</f>
        <v/>
      </c>
      <c r="X212">
        <f>HYPERLINK("https://klasma.github.io/Logging_2039/kartor/A 25526-2026 karta.png", "A 25526-2026")</f>
        <v/>
      </c>
      <c r="Y212">
        <f>HYPERLINK("https://klasma.github.io/Logging_2039/kartor_geotiff/A 25526-2026 georefererad karta.tif", "A 25526-2026")</f>
        <v/>
      </c>
      <c r="AA212">
        <f>HYPERLINK("https://klasma.github.io/Logging_2039/klagomål/A 25526-2026 FSC-klagomål.docx", "A 25526-2026")</f>
        <v/>
      </c>
      <c r="AB212">
        <f>HYPERLINK("https://klasma.github.io/Logging_2039/klagomålsmail/A 25526-2026 FSC-klagomål mail.docx", "A 25526-2026")</f>
        <v/>
      </c>
      <c r="AC212">
        <f>HYPERLINK("https://klasma.github.io/Logging_2039/tillsyn/A 25526-2026 tillsynsbegäran.docx", "A 25526-2026")</f>
        <v/>
      </c>
      <c r="AD212">
        <f>HYPERLINK("https://klasma.github.io/Logging_2039/tillsynsmail/A 25526-2026 tillsynsbegäran mail.docx", "A 25526-2026")</f>
        <v/>
      </c>
    </row>
    <row r="213" ht="15" customHeight="1">
      <c r="A213" t="inlineStr">
        <is>
          <t>A 27734-2026</t>
        </is>
      </c>
      <c r="B213" t="inlineStr">
        <is>
          <t>avverkningsanmälan</t>
        </is>
      </c>
      <c r="C213" t="inlineStr">
        <is>
          <t>Föryngringsavverkning</t>
        </is>
      </c>
      <c r="D213" s="1" t="n">
        <v>46189</v>
      </c>
      <c r="E213" s="1" t="n">
        <v>46294</v>
      </c>
      <c r="F213" t="inlineStr">
        <is>
          <t>DALARNAS LÄN</t>
        </is>
      </c>
      <c r="G213" t="inlineStr">
        <is>
          <t>ÄLVDALEN</t>
        </is>
      </c>
      <c r="H213" t="inlineStr">
        <is>
          <t>Sveaskog</t>
        </is>
      </c>
      <c r="I213" t="n">
        <v>23.3</v>
      </c>
      <c r="J213" t="n">
        <v>0</v>
      </c>
      <c r="K213" t="n">
        <v>0</v>
      </c>
      <c r="L213" t="n">
        <v>1</v>
      </c>
      <c r="M213" t="n">
        <v>0</v>
      </c>
      <c r="N213" t="n">
        <v>0</v>
      </c>
      <c r="O213" t="n">
        <v>0</v>
      </c>
      <c r="P213" t="n">
        <v>0</v>
      </c>
      <c r="Q213" t="n">
        <v>1</v>
      </c>
      <c r="R213" t="n">
        <v>0</v>
      </c>
      <c r="S213" t="n">
        <v>1</v>
      </c>
      <c r="T213" t="n">
        <v>1</v>
      </c>
      <c r="U213" t="n">
        <v>0</v>
      </c>
      <c r="V213" s="2" t="inlineStr">
        <is>
          <t>Skrovellav</t>
        </is>
      </c>
      <c r="W213">
        <f>HYPERLINK("https://klasma.github.io/Logging_2039/artfynd/A 27734-2026 artfynd.xlsx", "A 27734-2026")</f>
        <v/>
      </c>
      <c r="X213">
        <f>HYPERLINK("https://klasma.github.io/Logging_2039/kartor/A 27734-2026 karta.png", "A 27734-2026")</f>
        <v/>
      </c>
      <c r="Y213">
        <f>HYPERLINK("https://klasma.github.io/Logging_2039/kartor_geotiff/A 27734-2026 georefererad karta.tif", "A 27734-2026")</f>
        <v/>
      </c>
      <c r="AA213">
        <f>HYPERLINK("https://klasma.github.io/Logging_2039/klagomål/A 27734-2026 FSC-klagomål.docx", "A 27734-2026")</f>
        <v/>
      </c>
      <c r="AB213">
        <f>HYPERLINK("https://klasma.github.io/Logging_2039/klagomålsmail/A 27734-2026 FSC-klagomål mail.docx", "A 27734-2026")</f>
        <v/>
      </c>
      <c r="AC213">
        <f>HYPERLINK("https://klasma.github.io/Logging_2039/tillsyn/A 27734-2026 tillsynsbegäran.docx", "A 27734-2026")</f>
        <v/>
      </c>
      <c r="AD213">
        <f>HYPERLINK("https://klasma.github.io/Logging_2039/tillsynsmail/A 27734-2026 tillsynsbegäran mail.docx", "A 27734-2026")</f>
        <v/>
      </c>
    </row>
    <row r="214" ht="15" customHeight="1">
      <c r="A214" t="inlineStr">
        <is>
          <t>A 23553-2025</t>
        </is>
      </c>
      <c r="B214" t="inlineStr">
        <is>
          <t>avverkningsanmälan</t>
        </is>
      </c>
      <c r="C214" t="inlineStr">
        <is>
          <t>Föryngringsavverkning</t>
        </is>
      </c>
      <c r="D214" s="1" t="n">
        <v>45792</v>
      </c>
      <c r="E214" s="1" t="n">
        <v>46294</v>
      </c>
      <c r="F214" t="inlineStr">
        <is>
          <t>DALARNAS LÄN</t>
        </is>
      </c>
      <c r="G214" t="inlineStr">
        <is>
          <t>ÄLVDALEN</t>
        </is>
      </c>
      <c r="I214" t="n">
        <v>41.4</v>
      </c>
      <c r="J214" t="n">
        <v>0</v>
      </c>
      <c r="K214" t="n">
        <v>0</v>
      </c>
      <c r="L214" t="n">
        <v>1</v>
      </c>
      <c r="M214" t="n">
        <v>0</v>
      </c>
      <c r="N214" t="n">
        <v>0</v>
      </c>
      <c r="O214" t="n">
        <v>0</v>
      </c>
      <c r="P214" t="n">
        <v>0</v>
      </c>
      <c r="Q214" t="n">
        <v>1</v>
      </c>
      <c r="R214" t="n">
        <v>0</v>
      </c>
      <c r="S214" t="n">
        <v>1</v>
      </c>
      <c r="T214" t="n">
        <v>1</v>
      </c>
      <c r="U214" t="n">
        <v>0</v>
      </c>
      <c r="V214" s="2" t="inlineStr">
        <is>
          <t>Motaggsvamp</t>
        </is>
      </c>
      <c r="W214">
        <f>HYPERLINK("https://klasma.github.io/Logging_2039/artfynd/A 23553-2025 artfynd.xlsx", "A 23553-2025")</f>
        <v/>
      </c>
      <c r="X214">
        <f>HYPERLINK("https://klasma.github.io/Logging_2039/kartor/A 23553-2025 karta.png", "A 23553-2025")</f>
        <v/>
      </c>
      <c r="Y214">
        <f>HYPERLINK("https://klasma.github.io/Logging_2039/kartor_geotiff/A 23553-2025 georefererad karta.tif", "A 23553-2025")</f>
        <v/>
      </c>
      <c r="AA214">
        <f>HYPERLINK("https://klasma.github.io/Logging_2039/klagomål/A 23553-2025 FSC-klagomål.docx", "A 23553-2025")</f>
        <v/>
      </c>
      <c r="AB214">
        <f>HYPERLINK("https://klasma.github.io/Logging_2039/klagomålsmail/A 23553-2025 FSC-klagomål mail.docx", "A 23553-2025")</f>
        <v/>
      </c>
      <c r="AC214">
        <f>HYPERLINK("https://klasma.github.io/Logging_2039/tillsyn/A 23553-2025 tillsynsbegäran.docx", "A 23553-2025")</f>
        <v/>
      </c>
      <c r="AD214">
        <f>HYPERLINK("https://klasma.github.io/Logging_2039/tillsynsmail/A 23553-2025 tillsynsbegäran mail.docx", "A 23553-2025")</f>
        <v/>
      </c>
    </row>
    <row r="215" ht="15" customHeight="1">
      <c r="A215" t="inlineStr">
        <is>
          <t>A 35278-2026</t>
        </is>
      </c>
      <c r="B215" t="inlineStr">
        <is>
          <t>avverkningsanmälan</t>
        </is>
      </c>
      <c r="C215" t="inlineStr">
        <is>
          <t>Föryngringsavverkning</t>
        </is>
      </c>
      <c r="D215" s="1" t="n">
        <v>46261</v>
      </c>
      <c r="E215" s="1" t="n">
        <v>46294</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31488-2026</t>
        </is>
      </c>
      <c r="B216" t="inlineStr">
        <is>
          <t>avverkningsanmälan</t>
        </is>
      </c>
      <c r="C216" t="inlineStr">
        <is>
          <t>Föryngringsavverkning</t>
        </is>
      </c>
      <c r="D216" s="1" t="n">
        <v>46223</v>
      </c>
      <c r="E216" s="1" t="n">
        <v>46294</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35930-2026</t>
        </is>
      </c>
      <c r="B217" t="inlineStr">
        <is>
          <t>avverkningsanmälan</t>
        </is>
      </c>
      <c r="C217" t="inlineStr">
        <is>
          <t>Föryngringsavverkning</t>
        </is>
      </c>
      <c r="D217" s="1" t="n">
        <v>46266</v>
      </c>
      <c r="E217" s="1" t="n">
        <v>46294</v>
      </c>
      <c r="F217" t="inlineStr">
        <is>
          <t>DALARNAS LÄN</t>
        </is>
      </c>
      <c r="G217" t="inlineStr">
        <is>
          <t>ÄLVDALEN</t>
        </is>
      </c>
      <c r="H217" t="inlineStr">
        <is>
          <t>Allmännings- och besparingsskogar</t>
        </is>
      </c>
      <c r="I217" t="n">
        <v>40.3</v>
      </c>
      <c r="J217" t="n">
        <v>1</v>
      </c>
      <c r="K217" t="n">
        <v>0</v>
      </c>
      <c r="L217" t="n">
        <v>0</v>
      </c>
      <c r="M217" t="n">
        <v>0</v>
      </c>
      <c r="N217" t="n">
        <v>0</v>
      </c>
      <c r="O217" t="n">
        <v>0</v>
      </c>
      <c r="P217" t="n">
        <v>0</v>
      </c>
      <c r="Q217" t="n">
        <v>0</v>
      </c>
      <c r="R217" t="n">
        <v>0</v>
      </c>
      <c r="S217" t="n">
        <v>1</v>
      </c>
      <c r="T217" t="n">
        <v>2</v>
      </c>
      <c r="U217" t="n">
        <v>0</v>
      </c>
      <c r="V217" s="2" t="inlineStr">
        <is>
          <t>Orre</t>
        </is>
      </c>
      <c r="W217">
        <f>HYPERLINK("https://klasma.github.io/Logging_2039/artfynd/A 35930-2026 artfynd.xlsx", "A 35930-2026")</f>
        <v/>
      </c>
      <c r="X217">
        <f>HYPERLINK("https://klasma.github.io/Logging_2039/kartor/A 35930-2026 karta.png", "A 35930-2026")</f>
        <v/>
      </c>
      <c r="Y217">
        <f>HYPERLINK("https://klasma.github.io/Logging_2039/kartor_geotiff/A 35930-2026 georefererad karta.tif", "A 35930-2026")</f>
        <v/>
      </c>
      <c r="AA217">
        <f>HYPERLINK("https://klasma.github.io/Logging_2039/klagomål/A 35930-2026 FSC-klagomål.docx", "A 35930-2026")</f>
        <v/>
      </c>
      <c r="AB217">
        <f>HYPERLINK("https://klasma.github.io/Logging_2039/klagomålsmail/A 35930-2026 FSC-klagomål mail.docx", "A 35930-2026")</f>
        <v/>
      </c>
      <c r="AC217">
        <f>HYPERLINK("https://klasma.github.io/Logging_2039/tillsyn/A 35930-2026 tillsynsbegäran.docx", "A 35930-2026")</f>
        <v/>
      </c>
      <c r="AD217">
        <f>HYPERLINK("https://klasma.github.io/Logging_2039/tillsynsmail/A 35930-2026 tillsynsbegäran mail.docx", "A 35930-2026")</f>
        <v/>
      </c>
      <c r="AE217">
        <f>HYPERLINK("https://klasma.github.io/Logging_2039/fåglar/A 35930-2026 prioriterade fågelarter.docx", "A 35930-2026")</f>
        <v/>
      </c>
    </row>
    <row r="218" ht="15" customHeight="1">
      <c r="A218" t="inlineStr">
        <is>
          <t>A 32199-2024</t>
        </is>
      </c>
      <c r="B218" t="inlineStr">
        <is>
          <t>avverkningsanmälan</t>
        </is>
      </c>
      <c r="C218" t="inlineStr">
        <is>
          <t>Föryngringsavverkning</t>
        </is>
      </c>
      <c r="D218" s="1" t="n">
        <v>45511</v>
      </c>
      <c r="E218" s="1" t="n">
        <v>46294</v>
      </c>
      <c r="F218" t="inlineStr">
        <is>
          <t>DALARNAS LÄN</t>
        </is>
      </c>
      <c r="G218" t="inlineStr">
        <is>
          <t>ÄLVDALEN</t>
        </is>
      </c>
      <c r="H218" t="inlineStr">
        <is>
          <t>Sveaskog</t>
        </is>
      </c>
      <c r="I218" t="n">
        <v>4.6</v>
      </c>
      <c r="J218" t="n">
        <v>1</v>
      </c>
      <c r="K218" t="n">
        <v>0</v>
      </c>
      <c r="L218" t="n">
        <v>1</v>
      </c>
      <c r="M218" t="n">
        <v>0</v>
      </c>
      <c r="N218" t="n">
        <v>0</v>
      </c>
      <c r="O218" t="n">
        <v>0</v>
      </c>
      <c r="P218" t="n">
        <v>0</v>
      </c>
      <c r="Q218" t="n">
        <v>1</v>
      </c>
      <c r="R218" t="n">
        <v>0</v>
      </c>
      <c r="S218" t="n">
        <v>1</v>
      </c>
      <c r="T218" t="n">
        <v>1</v>
      </c>
      <c r="U218" t="n">
        <v>0</v>
      </c>
      <c r="V218" s="2" t="inlineStr">
        <is>
          <t>Varglav</t>
        </is>
      </c>
      <c r="W218">
        <f>HYPERLINK("https://klasma.github.io/Logging_2039/artfynd/A 32199-2024 artfynd.xlsx", "A 32199-2024")</f>
        <v/>
      </c>
      <c r="X218">
        <f>HYPERLINK("https://klasma.github.io/Logging_2039/kartor/A 32199-2024 karta.png", "A 32199-2024")</f>
        <v/>
      </c>
      <c r="Y218">
        <f>HYPERLINK("https://klasma.github.io/Logging_2039/kartor_geotiff/A 32199-2024 georefererad karta.tif", "A 32199-2024")</f>
        <v/>
      </c>
      <c r="AA218">
        <f>HYPERLINK("https://klasma.github.io/Logging_2039/klagomål/A 32199-2024 FSC-klagomål.docx", "A 32199-2024")</f>
        <v/>
      </c>
      <c r="AB218">
        <f>HYPERLINK("https://klasma.github.io/Logging_2039/klagomålsmail/A 32199-2024 FSC-klagomål mail.docx", "A 32199-2024")</f>
        <v/>
      </c>
      <c r="AC218">
        <f>HYPERLINK("https://klasma.github.io/Logging_2039/tillsyn/A 32199-2024 tillsynsbegäran.docx", "A 32199-2024")</f>
        <v/>
      </c>
      <c r="AD218">
        <f>HYPERLINK("https://klasma.github.io/Logging_2039/tillsynsmail/A 32199-2024 tillsynsbegäran mail.docx", "A 32199-2024")</f>
        <v/>
      </c>
    </row>
    <row r="219" ht="15" customHeight="1">
      <c r="A219" t="inlineStr">
        <is>
          <t>A 31886-2026</t>
        </is>
      </c>
      <c r="B219" t="inlineStr">
        <is>
          <t>avverkningsanmälan</t>
        </is>
      </c>
      <c r="C219" t="inlineStr">
        <is>
          <t>Föryngringsavverkning</t>
        </is>
      </c>
      <c r="D219" s="1" t="n">
        <v>46231</v>
      </c>
      <c r="E219" s="1" t="n">
        <v>46294</v>
      </c>
      <c r="F219" t="inlineStr">
        <is>
          <t>DALARNAS LÄN</t>
        </is>
      </c>
      <c r="G219" t="inlineStr">
        <is>
          <t>ÄLVDALEN</t>
        </is>
      </c>
      <c r="H219" t="inlineStr">
        <is>
          <t>Bergvik skog väst AB</t>
        </is>
      </c>
      <c r="I219" t="n">
        <v>2.2</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HYPERLINK("https://klasma.github.io/Logging_2039/artfynd/A 31886-2026 artfynd.xlsx", "A 31886-2026")</f>
        <v/>
      </c>
      <c r="X219">
        <f>HYPERLINK("https://klasma.github.io/Logging_2039/kartor/A 31886-2026 karta.png", "A 31886-2026")</f>
        <v/>
      </c>
      <c r="Y219">
        <f>HYPERLINK("https://klasma.github.io/Logging_2039/kartor_geotiff/A 31886-2026 georefererad karta.tif", "A 31886-2026")</f>
        <v/>
      </c>
      <c r="AA219">
        <f>HYPERLINK("https://klasma.github.io/Logging_2039/klagomål/A 31886-2026 FSC-klagomål.docx", "A 31886-2026")</f>
        <v/>
      </c>
      <c r="AB219">
        <f>HYPERLINK("https://klasma.github.io/Logging_2039/klagomålsmail/A 31886-2026 FSC-klagomål mail.docx", "A 31886-2026")</f>
        <v/>
      </c>
      <c r="AC219">
        <f>HYPERLINK("https://klasma.github.io/Logging_2039/tillsyn/A 31886-2026 tillsynsbegäran.docx", "A 31886-2026")</f>
        <v/>
      </c>
      <c r="AD219">
        <f>HYPERLINK("https://klasma.github.io/Logging_2039/tillsynsmail/A 31886-2026 tillsynsbegäran mail.docx", "A 31886-2026")</f>
        <v/>
      </c>
    </row>
    <row r="220" ht="15" customHeight="1">
      <c r="A220" t="inlineStr">
        <is>
          <t>A 32033-2026</t>
        </is>
      </c>
      <c r="B220" t="inlineStr">
        <is>
          <t>avverkningsanmälan</t>
        </is>
      </c>
      <c r="C220" t="inlineStr">
        <is>
          <t>Föryngringsavverkning</t>
        </is>
      </c>
      <c r="D220" s="1" t="n">
        <v>46233</v>
      </c>
      <c r="E220" s="1" t="n">
        <v>46294</v>
      </c>
      <c r="F220" t="inlineStr">
        <is>
          <t>DALARNAS LÄN</t>
        </is>
      </c>
      <c r="G220" t="inlineStr">
        <is>
          <t>ÄLVDALEN</t>
        </is>
      </c>
      <c r="I220" t="n">
        <v>4.6</v>
      </c>
      <c r="J220" t="n">
        <v>0</v>
      </c>
      <c r="K220" t="n">
        <v>0</v>
      </c>
      <c r="L220" t="n">
        <v>0</v>
      </c>
      <c r="M220" t="n">
        <v>1</v>
      </c>
      <c r="N220" t="n">
        <v>0</v>
      </c>
      <c r="O220" t="n">
        <v>0</v>
      </c>
      <c r="P220" t="n">
        <v>0</v>
      </c>
      <c r="Q220" t="n">
        <v>1</v>
      </c>
      <c r="R220" t="n">
        <v>1</v>
      </c>
      <c r="S220" t="n">
        <v>1</v>
      </c>
      <c r="T220" t="n">
        <v>2</v>
      </c>
      <c r="U220" t="n">
        <v>0</v>
      </c>
      <c r="V220" s="2" t="inlineStr">
        <is>
          <t>Garnlav</t>
        </is>
      </c>
      <c r="W220">
        <f>HYPERLINK("https://klasma.github.io/Logging_2039/artfynd/A 32033-2026 artfynd.xlsx", "A 32033-2026")</f>
        <v/>
      </c>
      <c r="X220">
        <f>HYPERLINK("https://klasma.github.io/Logging_2039/kartor/A 32033-2026 karta.png", "A 32033-2026")</f>
        <v/>
      </c>
      <c r="Y220">
        <f>HYPERLINK("https://klasma.github.io/Logging_2039/kartor_geotiff/A 32033-2026 georefererad karta.tif", "A 32033-2026")</f>
        <v/>
      </c>
      <c r="AA220">
        <f>HYPERLINK("https://klasma.github.io/Logging_2039/klagomål/A 32033-2026 FSC-klagomål.docx", "A 32033-2026")</f>
        <v/>
      </c>
      <c r="AB220">
        <f>HYPERLINK("https://klasma.github.io/Logging_2039/klagomålsmail/A 32033-2026 FSC-klagomål mail.docx", "A 32033-2026")</f>
        <v/>
      </c>
      <c r="AC220">
        <f>HYPERLINK("https://klasma.github.io/Logging_2039/tillsyn/A 32033-2026 tillsynsbegäran.docx", "A 32033-2026")</f>
        <v/>
      </c>
      <c r="AD220">
        <f>HYPERLINK("https://klasma.github.io/Logging_2039/tillsynsmail/A 32033-2026 tillsynsbegäran mail.docx", "A 32033-2026")</f>
        <v/>
      </c>
    </row>
    <row r="221" ht="15" customHeight="1">
      <c r="A221" t="inlineStr">
        <is>
          <t>A 33320-2026</t>
        </is>
      </c>
      <c r="B221" t="inlineStr">
        <is>
          <t>avverkningsanmälan</t>
        </is>
      </c>
      <c r="C221" t="inlineStr">
        <is>
          <t>Avverkning för att bevara och utveckla /försöksver</t>
        </is>
      </c>
      <c r="D221" s="1" t="n">
        <v>46246</v>
      </c>
      <c r="E221" s="1" t="n">
        <v>46294</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33560-2026</t>
        </is>
      </c>
      <c r="B222" t="inlineStr">
        <is>
          <t>avverkningsanmälan</t>
        </is>
      </c>
      <c r="C222" t="inlineStr">
        <is>
          <t>Föryngringsavverkning</t>
        </is>
      </c>
      <c r="D222" s="1" t="n">
        <v>46248</v>
      </c>
      <c r="E222" s="1" t="n">
        <v>46294</v>
      </c>
      <c r="F222" t="inlineStr">
        <is>
          <t>DALARNAS LÄN</t>
        </is>
      </c>
      <c r="G222" t="inlineStr">
        <is>
          <t>ÄLVDALEN</t>
        </is>
      </c>
      <c r="H222" t="inlineStr">
        <is>
          <t>Bergvik skog väst AB</t>
        </is>
      </c>
      <c r="I222" t="n">
        <v>7.1</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HYPERLINK("https://klasma.github.io/Logging_2039/artfynd/A 33560-2026 artfynd.xlsx", "A 33560-2026")</f>
        <v/>
      </c>
      <c r="X222">
        <f>HYPERLINK("https://klasma.github.io/Logging_2039/kartor/A 33560-2026 karta.png", "A 33560-2026")</f>
        <v/>
      </c>
      <c r="Y222">
        <f>HYPERLINK("https://klasma.github.io/Logging_2039/kartor_geotiff/A 33560-2026 georefererad karta.tif", "A 33560-2026")</f>
        <v/>
      </c>
      <c r="AA222">
        <f>HYPERLINK("https://klasma.github.io/Logging_2039/klagomål/A 33560-2026 FSC-klagomål.docx", "A 33560-2026")</f>
        <v/>
      </c>
      <c r="AB222">
        <f>HYPERLINK("https://klasma.github.io/Logging_2039/klagomålsmail/A 33560-2026 FSC-klagomål mail.docx", "A 33560-2026")</f>
        <v/>
      </c>
      <c r="AC222">
        <f>HYPERLINK("https://klasma.github.io/Logging_2039/tillsyn/A 33560-2026 tillsynsbegäran.docx", "A 33560-2026")</f>
        <v/>
      </c>
      <c r="AD222">
        <f>HYPERLINK("https://klasma.github.io/Logging_2039/tillsynsmail/A 33560-2026 tillsynsbegäran mail.docx", "A 33560-2026")</f>
        <v/>
      </c>
    </row>
    <row r="223" ht="15" customHeight="1">
      <c r="A223" t="inlineStr">
        <is>
          <t>S 1344-2022</t>
        </is>
      </c>
      <c r="B223" t="inlineStr">
        <is>
          <t>samrådsanmälan</t>
        </is>
      </c>
      <c r="C223" t="inlineStr">
        <is>
          <t>Annan skogsbruksåtgärd</t>
        </is>
      </c>
      <c r="D223" s="1" t="n">
        <v>44629</v>
      </c>
      <c r="E223" s="1" t="n">
        <v>46294</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46294</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46294</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46294</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46294</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46294</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46294</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46294</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46294</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46294</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46294</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46294</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46294</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46294</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52064-2022</t>
        </is>
      </c>
      <c r="B237" t="inlineStr">
        <is>
          <t>avverkningsanmälan</t>
        </is>
      </c>
      <c r="C237" t="inlineStr">
        <is>
          <t>Föryngringsavverkning</t>
        </is>
      </c>
      <c r="D237" s="1" t="n">
        <v>44873</v>
      </c>
      <c r="E237" s="1" t="n">
        <v>46294</v>
      </c>
      <c r="F237" t="inlineStr">
        <is>
          <t>DALARNAS LÄN</t>
        </is>
      </c>
      <c r="G237" t="inlineStr">
        <is>
          <t>ÄLVDALEN</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39311-2022</t>
        </is>
      </c>
      <c r="B238" t="inlineStr">
        <is>
          <t>avverkningsanmälan</t>
        </is>
      </c>
      <c r="C238" t="inlineStr">
        <is>
          <t>Föryngringsavverkning</t>
        </is>
      </c>
      <c r="D238" s="1" t="n">
        <v>44817</v>
      </c>
      <c r="E238" s="1" t="n">
        <v>46294</v>
      </c>
      <c r="F238" t="inlineStr">
        <is>
          <t>DALARNAS LÄN</t>
        </is>
      </c>
      <c r="G238" t="inlineStr">
        <is>
          <t>ÄLVDALEN</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46294</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46294</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70990-2021</t>
        </is>
      </c>
      <c r="B241" t="inlineStr">
        <is>
          <t>avverkningsanmälan</t>
        </is>
      </c>
      <c r="C241" t="inlineStr">
        <is>
          <t>Föryngringsavverkning</t>
        </is>
      </c>
      <c r="D241" s="1" t="n">
        <v>44538</v>
      </c>
      <c r="E241" s="1" t="n">
        <v>46294</v>
      </c>
      <c r="F241" t="inlineStr">
        <is>
          <t>DALARNAS LÄN</t>
        </is>
      </c>
      <c r="G241" t="inlineStr">
        <is>
          <t>ÄLVDALEN</t>
        </is>
      </c>
      <c r="H241" t="inlineStr">
        <is>
          <t>Kyrkan</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50209-2022</t>
        </is>
      </c>
      <c r="B242" t="inlineStr">
        <is>
          <t>avverkningsanmälan</t>
        </is>
      </c>
      <c r="C242" t="inlineStr">
        <is>
          <t>Föryngringsavverkning</t>
        </is>
      </c>
      <c r="D242" s="1" t="n">
        <v>44865</v>
      </c>
      <c r="E242" s="1" t="n">
        <v>46294</v>
      </c>
      <c r="F242" t="inlineStr">
        <is>
          <t>DALARNAS LÄN</t>
        </is>
      </c>
      <c r="G242" t="inlineStr">
        <is>
          <t>ÄLVDALEN</t>
        </is>
      </c>
      <c r="H242" t="inlineStr">
        <is>
          <t>Sveaskog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19939-2022</t>
        </is>
      </c>
      <c r="B243" t="inlineStr">
        <is>
          <t>avverkningsanmälan</t>
        </is>
      </c>
      <c r="C243" t="inlineStr">
        <is>
          <t>Avverkning för annat ändamål</t>
        </is>
      </c>
      <c r="D243" s="1" t="n">
        <v>44697</v>
      </c>
      <c r="E243" s="1" t="n">
        <v>46294</v>
      </c>
      <c r="F243" t="inlineStr">
        <is>
          <t>DALARNAS LÄN</t>
        </is>
      </c>
      <c r="G243" t="inlineStr">
        <is>
          <t>ÄLVDALEN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56047-2021</t>
        </is>
      </c>
      <c r="B244" t="inlineStr">
        <is>
          <t>avverkningsanmälan</t>
        </is>
      </c>
      <c r="C244" t="inlineStr">
        <is>
          <t>Föryngringsavverkning</t>
        </is>
      </c>
      <c r="D244" s="1" t="n">
        <v>44477</v>
      </c>
      <c r="E244" s="1" t="n">
        <v>46294</v>
      </c>
      <c r="F244" t="inlineStr">
        <is>
          <t>DALARNAS LÄN</t>
        </is>
      </c>
      <c r="G244" t="inlineStr">
        <is>
          <t>ÄLVDALEN</t>
        </is>
      </c>
      <c r="H244" t="inlineStr">
        <is>
          <t>Sveaskog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46294</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46294</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46294</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46294</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46294</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46294</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46294</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46294</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46294</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17627-2022</t>
        </is>
      </c>
      <c r="B254" t="inlineStr">
        <is>
          <t>avverkningsanmälan</t>
        </is>
      </c>
      <c r="C254" t="inlineStr">
        <is>
          <t>Avverkning för annat ändamål</t>
        </is>
      </c>
      <c r="D254" s="1" t="n">
        <v>44680</v>
      </c>
      <c r="E254" s="1" t="n">
        <v>46294</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46294</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46294</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46294</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46294</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46294</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46294</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46294</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46294</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46294</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68219-2021</t>
        </is>
      </c>
      <c r="B264" t="inlineStr">
        <is>
          <t>avverkningsanmälan</t>
        </is>
      </c>
      <c r="C264" t="inlineStr">
        <is>
          <t>Föryngringsavverkning</t>
        </is>
      </c>
      <c r="D264" s="1" t="n">
        <v>44526</v>
      </c>
      <c r="E264" s="1" t="n">
        <v>46294</v>
      </c>
      <c r="F264" t="inlineStr">
        <is>
          <t>DALARNAS LÄN</t>
        </is>
      </c>
      <c r="G264" t="inlineStr">
        <is>
          <t>ÄLVDALEN</t>
        </is>
      </c>
      <c r="H264" t="inlineStr">
        <is>
          <t>Kyrkan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46294</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1804-2024</t>
        </is>
      </c>
      <c r="B266" t="inlineStr">
        <is>
          <t>avverkningsanmälan</t>
        </is>
      </c>
      <c r="C266" t="inlineStr">
        <is>
          <t>Föryngringsavverkning</t>
        </is>
      </c>
      <c r="D266" s="1" t="n">
        <v>45307</v>
      </c>
      <c r="E266" s="1" t="n">
        <v>46294</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46294</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61477-2025</t>
        </is>
      </c>
      <c r="B268" t="inlineStr">
        <is>
          <t>avverkningsanmälan</t>
        </is>
      </c>
      <c r="C268" t="inlineStr">
        <is>
          <t>Föryngringsavverkning</t>
        </is>
      </c>
      <c r="D268" s="1" t="n">
        <v>46001</v>
      </c>
      <c r="E268" s="1" t="n">
        <v>46294</v>
      </c>
      <c r="F268" t="inlineStr">
        <is>
          <t>DALARNAS LÄN</t>
        </is>
      </c>
      <c r="G268" t="inlineStr">
        <is>
          <t>ÄLVDALEN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38754-2025</t>
        </is>
      </c>
      <c r="B269" t="inlineStr">
        <is>
          <t>avverkningsanmälan</t>
        </is>
      </c>
      <c r="C269" t="inlineStr">
        <is>
          <t>Föryngringsavverkning</t>
        </is>
      </c>
      <c r="D269" s="1" t="n">
        <v>45887</v>
      </c>
      <c r="E269" s="1" t="n">
        <v>46294</v>
      </c>
      <c r="F269" t="inlineStr">
        <is>
          <t>DALARNAS LÄN</t>
        </is>
      </c>
      <c r="G269" t="inlineStr">
        <is>
          <t>ÄLVDALEN</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61973-2025</t>
        </is>
      </c>
      <c r="B270" t="inlineStr">
        <is>
          <t>avverkningsanmälan</t>
        </is>
      </c>
      <c r="C270" t="inlineStr">
        <is>
          <t>Föryngringsavverkning</t>
        </is>
      </c>
      <c r="D270" s="1" t="n">
        <v>46003</v>
      </c>
      <c r="E270" s="1" t="n">
        <v>46294</v>
      </c>
      <c r="F270" t="inlineStr">
        <is>
          <t>DALARNAS LÄN</t>
        </is>
      </c>
      <c r="G270" t="inlineStr">
        <is>
          <t>ÄLVDALEN</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68204-2021</t>
        </is>
      </c>
      <c r="B271" t="inlineStr">
        <is>
          <t>avverkningsanmälan</t>
        </is>
      </c>
      <c r="C271" t="inlineStr">
        <is>
          <t>Föryngringsavverkning</t>
        </is>
      </c>
      <c r="D271" s="1" t="n">
        <v>44526</v>
      </c>
      <c r="E271" s="1" t="n">
        <v>46294</v>
      </c>
      <c r="F271" t="inlineStr">
        <is>
          <t>DALARNAS LÄN</t>
        </is>
      </c>
      <c r="G271" t="inlineStr">
        <is>
          <t>ÄLVDALEN</t>
        </is>
      </c>
      <c r="H271" t="inlineStr">
        <is>
          <t>Kyrkan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51967-2023</t>
        </is>
      </c>
      <c r="B272" t="inlineStr">
        <is>
          <t>avverkningsanmälan</t>
        </is>
      </c>
      <c r="C272" t="inlineStr">
        <is>
          <t>Föryngringsavverkning</t>
        </is>
      </c>
      <c r="D272" s="1" t="n">
        <v>45223</v>
      </c>
      <c r="E272" s="1" t="n">
        <v>46294</v>
      </c>
      <c r="F272" t="inlineStr">
        <is>
          <t>DALARNAS LÄN</t>
        </is>
      </c>
      <c r="G272" t="inlineStr">
        <is>
          <t>ÄLVDALEN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62106-2025</t>
        </is>
      </c>
      <c r="B273" t="inlineStr">
        <is>
          <t>avverkningsanmälan</t>
        </is>
      </c>
      <c r="C273" t="inlineStr">
        <is>
          <t>Föryngringsavverkning</t>
        </is>
      </c>
      <c r="D273" s="1" t="n">
        <v>46006</v>
      </c>
      <c r="E273" s="1" t="n">
        <v>46294</v>
      </c>
      <c r="F273" t="inlineStr">
        <is>
          <t>DALARNAS LÄN</t>
        </is>
      </c>
      <c r="G273" t="inlineStr">
        <is>
          <t>ÄLVDALEN</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57470-2023</t>
        </is>
      </c>
      <c r="B274" t="inlineStr">
        <is>
          <t>avverkningsanmälan</t>
        </is>
      </c>
      <c r="C274" t="inlineStr">
        <is>
          <t>Föryngringsavverkning</t>
        </is>
      </c>
      <c r="D274" s="1" t="n">
        <v>45246</v>
      </c>
      <c r="E274" s="1" t="n">
        <v>46294</v>
      </c>
      <c r="F274" t="inlineStr">
        <is>
          <t>DALARNAS LÄN</t>
        </is>
      </c>
      <c r="G274" t="inlineStr">
        <is>
          <t>ÄLVDALEN</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9108-2024</t>
        </is>
      </c>
      <c r="B275" t="inlineStr">
        <is>
          <t>avverkningsanmälan</t>
        </is>
      </c>
      <c r="C275" t="inlineStr">
        <is>
          <t>Föryngringsavverkning</t>
        </is>
      </c>
      <c r="D275" s="1" t="n">
        <v>45357</v>
      </c>
      <c r="E275" s="1" t="n">
        <v>46294</v>
      </c>
      <c r="F275" t="inlineStr">
        <is>
          <t>DALARNAS LÄN</t>
        </is>
      </c>
      <c r="G275" t="inlineStr">
        <is>
          <t>ÄLVDALEN</t>
        </is>
      </c>
      <c r="H275" t="inlineStr">
        <is>
          <t>Övriga Aktiebolag</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63107-2025</t>
        </is>
      </c>
      <c r="B276" t="inlineStr">
        <is>
          <t>avverkningsanmälan</t>
        </is>
      </c>
      <c r="C276" t="inlineStr">
        <is>
          <t>Föryngringsavverkning</t>
        </is>
      </c>
      <c r="D276" s="1" t="n">
        <v>46009</v>
      </c>
      <c r="E276" s="1" t="n">
        <v>46294</v>
      </c>
      <c r="F276" t="inlineStr">
        <is>
          <t>DALARNAS LÄN</t>
        </is>
      </c>
      <c r="G276" t="inlineStr">
        <is>
          <t>ÄLVDALEN</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30411-2024</t>
        </is>
      </c>
      <c r="B277" t="inlineStr">
        <is>
          <t>avverkningsanmälan</t>
        </is>
      </c>
      <c r="C277" t="inlineStr">
        <is>
          <t>Föryngringsavverkning</t>
        </is>
      </c>
      <c r="D277" s="1" t="n">
        <v>45491</v>
      </c>
      <c r="E277" s="1" t="n">
        <v>46294</v>
      </c>
      <c r="F277" t="inlineStr">
        <is>
          <t>DALARNAS LÄN</t>
        </is>
      </c>
      <c r="G277" t="inlineStr">
        <is>
          <t>ÄLVDALEN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47645-2024</t>
        </is>
      </c>
      <c r="B278" t="inlineStr">
        <is>
          <t>avverkningsanmälan</t>
        </is>
      </c>
      <c r="C278" t="inlineStr">
        <is>
          <t>Föryngringsavverkning</t>
        </is>
      </c>
      <c r="D278" s="1" t="n">
        <v>45588</v>
      </c>
      <c r="E278" s="1" t="n">
        <v>46294</v>
      </c>
      <c r="F278" t="inlineStr">
        <is>
          <t>DALARNAS LÄN</t>
        </is>
      </c>
      <c r="G278" t="inlineStr">
        <is>
          <t>ÄLVDALEN</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23328-2024</t>
        </is>
      </c>
      <c r="B279" t="inlineStr">
        <is>
          <t>avverkningsanmälan</t>
        </is>
      </c>
      <c r="C279" t="inlineStr">
        <is>
          <t>Föryngringsavverkning</t>
        </is>
      </c>
      <c r="D279" s="1" t="n">
        <v>45453</v>
      </c>
      <c r="E279" s="1" t="n">
        <v>46294</v>
      </c>
      <c r="F279" t="inlineStr">
        <is>
          <t>DALARNAS LÄN</t>
        </is>
      </c>
      <c r="G279" t="inlineStr">
        <is>
          <t>ÄLVDALEN</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57817-2023</t>
        </is>
      </c>
      <c r="B280" t="inlineStr">
        <is>
          <t>avverkningsanmälan</t>
        </is>
      </c>
      <c r="C280" t="inlineStr">
        <is>
          <t>Föryngringsavverkning</t>
        </is>
      </c>
      <c r="D280" s="1" t="n">
        <v>45247</v>
      </c>
      <c r="E280" s="1" t="n">
        <v>46294</v>
      </c>
      <c r="F280" t="inlineStr">
        <is>
          <t>DALARNAS LÄN</t>
        </is>
      </c>
      <c r="G280" t="inlineStr">
        <is>
          <t>ÄLVDALEN</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63525-2025</t>
        </is>
      </c>
      <c r="B281" t="inlineStr">
        <is>
          <t>avverkningsanmälan</t>
        </is>
      </c>
      <c r="C281" t="inlineStr">
        <is>
          <t>Föryngringsavverkning</t>
        </is>
      </c>
      <c r="D281" s="1" t="n">
        <v>46013</v>
      </c>
      <c r="E281" s="1" t="n">
        <v>46294</v>
      </c>
      <c r="F281" t="inlineStr">
        <is>
          <t>DALARNAS LÄN</t>
        </is>
      </c>
      <c r="G281" t="inlineStr">
        <is>
          <t>ÄLVDALEN</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24637-2025</t>
        </is>
      </c>
      <c r="B282" t="inlineStr">
        <is>
          <t>avverkningsanmälan</t>
        </is>
      </c>
      <c r="C282" t="inlineStr">
        <is>
          <t>Föryngringsavverkning</t>
        </is>
      </c>
      <c r="D282" s="1" t="n">
        <v>45798</v>
      </c>
      <c r="E282" s="1" t="n">
        <v>46294</v>
      </c>
      <c r="F282" t="inlineStr">
        <is>
          <t>DALARNAS LÄN</t>
        </is>
      </c>
      <c r="G282" t="inlineStr">
        <is>
          <t>ÄLVDALEN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28473-2024</t>
        </is>
      </c>
      <c r="B283" t="inlineStr">
        <is>
          <t>avverkningsanmälan</t>
        </is>
      </c>
      <c r="C283" t="inlineStr">
        <is>
          <t>Föryngringsavverkning</t>
        </is>
      </c>
      <c r="D283" s="1" t="n">
        <v>45477</v>
      </c>
      <c r="E283" s="1" t="n">
        <v>46294</v>
      </c>
      <c r="F283" t="inlineStr">
        <is>
          <t>DALARNAS LÄN</t>
        </is>
      </c>
      <c r="G283" t="inlineStr">
        <is>
          <t>ÄLVDALEN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28479-2024</t>
        </is>
      </c>
      <c r="B284" t="inlineStr">
        <is>
          <t>avverkningsanmälan</t>
        </is>
      </c>
      <c r="C284" t="inlineStr">
        <is>
          <t>Föryngringsavverkning</t>
        </is>
      </c>
      <c r="D284" s="1" t="n">
        <v>45477</v>
      </c>
      <c r="E284" s="1" t="n">
        <v>46294</v>
      </c>
      <c r="F284" t="inlineStr">
        <is>
          <t>DALARNAS LÄN</t>
        </is>
      </c>
      <c r="G284" t="inlineStr">
        <is>
          <t>ÄLVDALEN</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25086-2025</t>
        </is>
      </c>
      <c r="B285" t="inlineStr">
        <is>
          <t>avverkningsanmälan</t>
        </is>
      </c>
      <c r="C285" t="inlineStr">
        <is>
          <t>Föryngringsavverkning</t>
        </is>
      </c>
      <c r="D285" s="1" t="n">
        <v>45800</v>
      </c>
      <c r="E285" s="1" t="n">
        <v>46294</v>
      </c>
      <c r="F285" t="inlineStr">
        <is>
          <t>DALARNAS LÄN</t>
        </is>
      </c>
      <c r="G285" t="inlineStr">
        <is>
          <t>ÄLVDALEN</t>
        </is>
      </c>
      <c r="H285" t="inlineStr">
        <is>
          <t>Sveaskog</t>
        </is>
      </c>
      <c r="I285" t="n">
        <v>10.7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713-2022</t>
        </is>
      </c>
      <c r="B286" t="inlineStr">
        <is>
          <t>avverkningsanmälan</t>
        </is>
      </c>
      <c r="C286" t="inlineStr">
        <is>
          <t>Avverkning för annat ändamål</t>
        </is>
      </c>
      <c r="D286" s="1" t="n">
        <v>44568</v>
      </c>
      <c r="E286" s="1" t="n">
        <v>46294</v>
      </c>
      <c r="F286" t="inlineStr">
        <is>
          <t>DALARNAS LÄN</t>
        </is>
      </c>
      <c r="G286" t="inlineStr">
        <is>
          <t>ÄLVDALEN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41115-2025</t>
        </is>
      </c>
      <c r="B287" t="inlineStr">
        <is>
          <t>avverkningsanmälan</t>
        </is>
      </c>
      <c r="C287" t="inlineStr">
        <is>
          <t>Föryngringsavverkning</t>
        </is>
      </c>
      <c r="D287" s="1" t="n">
        <v>45898</v>
      </c>
      <c r="E287" s="1" t="n">
        <v>46294</v>
      </c>
      <c r="F287" t="inlineStr">
        <is>
          <t>DALARNAS LÄN</t>
        </is>
      </c>
      <c r="G287" t="inlineStr">
        <is>
          <t>ÄLVDALEN</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49203-2023</t>
        </is>
      </c>
      <c r="B288" t="inlineStr">
        <is>
          <t>avverkningsanmälan</t>
        </is>
      </c>
      <c r="C288" t="inlineStr">
        <is>
          <t>Föryngringsavverkning</t>
        </is>
      </c>
      <c r="D288" s="1" t="n">
        <v>45210</v>
      </c>
      <c r="E288" s="1" t="n">
        <v>46294</v>
      </c>
      <c r="F288" t="inlineStr">
        <is>
          <t>DALARNAS LÄN</t>
        </is>
      </c>
      <c r="G288" t="inlineStr">
        <is>
          <t>ÄLVDALEN</t>
        </is>
      </c>
      <c r="H288" t="inlineStr">
        <is>
          <t>Bergvik skog väst AB</t>
        </is>
      </c>
      <c r="I288" t="n">
        <v>18.2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50037-2022</t>
        </is>
      </c>
      <c r="B289" t="inlineStr">
        <is>
          <t>avverkningsanmälan</t>
        </is>
      </c>
      <c r="C289" t="inlineStr">
        <is>
          <t>Föryngringsavverkning</t>
        </is>
      </c>
      <c r="D289" s="1" t="n">
        <v>44865</v>
      </c>
      <c r="E289" s="1" t="n">
        <v>46294</v>
      </c>
      <c r="F289" t="inlineStr">
        <is>
          <t>DALARNAS LÄN</t>
        </is>
      </c>
      <c r="G289" t="inlineStr">
        <is>
          <t>ÄLVDALEN</t>
        </is>
      </c>
      <c r="H289" t="inlineStr">
        <is>
          <t>Allmännings- och besparingsskogar</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25879-2025</t>
        </is>
      </c>
      <c r="B290" t="inlineStr">
        <is>
          <t>avverkningsanmälan</t>
        </is>
      </c>
      <c r="C290" t="inlineStr">
        <is>
          <t>Avverkning för annat ändamål</t>
        </is>
      </c>
      <c r="D290" s="1" t="n">
        <v>45804</v>
      </c>
      <c r="E290" s="1" t="n">
        <v>46294</v>
      </c>
      <c r="F290" t="inlineStr">
        <is>
          <t>DALARNAS LÄN</t>
        </is>
      </c>
      <c r="G290" t="inlineStr">
        <is>
          <t>ÄLVDALEN</t>
        </is>
      </c>
      <c r="H290" t="inlineStr">
        <is>
          <t>Allmännings- och besparingsskogar</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2546-2025</t>
        </is>
      </c>
      <c r="B291" t="inlineStr">
        <is>
          <t>avverkningsanmälan</t>
        </is>
      </c>
      <c r="C291" t="inlineStr">
        <is>
          <t>Föryngringsavverkning</t>
        </is>
      </c>
      <c r="D291" s="1" t="n">
        <v>45674</v>
      </c>
      <c r="E291" s="1" t="n">
        <v>46294</v>
      </c>
      <c r="F291" t="inlineStr">
        <is>
          <t>DALARNAS LÄN</t>
        </is>
      </c>
      <c r="G291" t="inlineStr">
        <is>
          <t>ÄLVDALEN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30147-2024</t>
        </is>
      </c>
      <c r="B292" t="inlineStr">
        <is>
          <t>avverkningsanmälan</t>
        </is>
      </c>
      <c r="C292" t="inlineStr">
        <is>
          <t>Föryngringsavverkning</t>
        </is>
      </c>
      <c r="D292" s="1" t="n">
        <v>45488</v>
      </c>
      <c r="E292" s="1" t="n">
        <v>46294</v>
      </c>
      <c r="F292" t="inlineStr">
        <is>
          <t>DALARNAS LÄN</t>
        </is>
      </c>
      <c r="G292" t="inlineStr">
        <is>
          <t>ÄLVDALEN</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43602-2025</t>
        </is>
      </c>
      <c r="B293" t="inlineStr">
        <is>
          <t>avverkningsanmälan</t>
        </is>
      </c>
      <c r="C293" t="inlineStr">
        <is>
          <t>Föryngringsavverkning</t>
        </is>
      </c>
      <c r="D293" s="1" t="n">
        <v>45911</v>
      </c>
      <c r="E293" s="1" t="n">
        <v>46294</v>
      </c>
      <c r="F293" t="inlineStr">
        <is>
          <t>DALARNAS LÄN</t>
        </is>
      </c>
      <c r="G293" t="inlineStr">
        <is>
          <t>ÄLVDALEN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43514-2025</t>
        </is>
      </c>
      <c r="B294" t="inlineStr">
        <is>
          <t>avverkningsanmälan</t>
        </is>
      </c>
      <c r="C294" t="inlineStr">
        <is>
          <t>Föryngringsavverkning</t>
        </is>
      </c>
      <c r="D294" s="1" t="n">
        <v>45911</v>
      </c>
      <c r="E294" s="1" t="n">
        <v>46294</v>
      </c>
      <c r="F294" t="inlineStr">
        <is>
          <t>DALARNAS LÄN</t>
        </is>
      </c>
      <c r="G294" t="inlineStr">
        <is>
          <t>ÄLVDALEN</t>
        </is>
      </c>
      <c r="H294" t="inlineStr">
        <is>
          <t>Allmännings- och besparingsskogar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27261-2025</t>
        </is>
      </c>
      <c r="B295" t="inlineStr">
        <is>
          <t>avverkningsanmälan</t>
        </is>
      </c>
      <c r="C295" t="inlineStr">
        <is>
          <t>Föryngringsavverkning</t>
        </is>
      </c>
      <c r="D295" s="1" t="n">
        <v>45812</v>
      </c>
      <c r="E295" s="1" t="n">
        <v>46294</v>
      </c>
      <c r="F295" t="inlineStr">
        <is>
          <t>DALARNAS LÄN</t>
        </is>
      </c>
      <c r="G295" t="inlineStr">
        <is>
          <t>ÄLVDALEN</t>
        </is>
      </c>
      <c r="H295" t="inlineStr">
        <is>
          <t>Bergvik skog väst AB</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43585-2025</t>
        </is>
      </c>
      <c r="B296" t="inlineStr">
        <is>
          <t>avverkningsanmälan</t>
        </is>
      </c>
      <c r="C296" t="inlineStr">
        <is>
          <t>Föryngringsavverkning</t>
        </is>
      </c>
      <c r="D296" s="1" t="n">
        <v>45911</v>
      </c>
      <c r="E296" s="1" t="n">
        <v>46294</v>
      </c>
      <c r="F296" t="inlineStr">
        <is>
          <t>DALARNAS LÄN</t>
        </is>
      </c>
      <c r="G296" t="inlineStr">
        <is>
          <t>ÄLVDALEN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7998-2024</t>
        </is>
      </c>
      <c r="B297" t="inlineStr">
        <is>
          <t>avverkningsanmälan</t>
        </is>
      </c>
      <c r="C297" t="inlineStr">
        <is>
          <t>Föryngringsavverkning</t>
        </is>
      </c>
      <c r="D297" s="1" t="n">
        <v>45350</v>
      </c>
      <c r="E297" s="1" t="n">
        <v>46294</v>
      </c>
      <c r="F297" t="inlineStr">
        <is>
          <t>DALARNAS LÄN</t>
        </is>
      </c>
      <c r="G297" t="inlineStr">
        <is>
          <t>ÄLVDALEN</t>
        </is>
      </c>
      <c r="H297" t="inlineStr">
        <is>
          <t>Kommuner</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3904-2024</t>
        </is>
      </c>
      <c r="B298" t="inlineStr">
        <is>
          <t>avverkningsanmälan</t>
        </is>
      </c>
      <c r="C298" t="inlineStr">
        <is>
          <t>Föryngringsavverkning</t>
        </is>
      </c>
      <c r="D298" s="1" t="n">
        <v>45322</v>
      </c>
      <c r="E298" s="1" t="n">
        <v>46294</v>
      </c>
      <c r="F298" t="inlineStr">
        <is>
          <t>DALARNAS LÄN</t>
        </is>
      </c>
      <c r="G298" t="inlineStr">
        <is>
          <t>ÄLVDALEN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38277-2024</t>
        </is>
      </c>
      <c r="B299" t="inlineStr">
        <is>
          <t>avverkningsanmälan</t>
        </is>
      </c>
      <c r="C299" t="inlineStr">
        <is>
          <t>Föryngringsavverkning</t>
        </is>
      </c>
      <c r="D299" s="1" t="n">
        <v>45545</v>
      </c>
      <c r="E299" s="1" t="n">
        <v>46294</v>
      </c>
      <c r="F299" t="inlineStr">
        <is>
          <t>DALARNAS LÄN</t>
        </is>
      </c>
      <c r="G299" t="inlineStr">
        <is>
          <t>ÄLVDALEN</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5883-2024</t>
        </is>
      </c>
      <c r="B300" t="inlineStr">
        <is>
          <t>avverkningsanmälan</t>
        </is>
      </c>
      <c r="C300" t="inlineStr">
        <is>
          <t>Föryngringsavverkning</t>
        </is>
      </c>
      <c r="D300" s="1" t="n">
        <v>45335</v>
      </c>
      <c r="E300" s="1" t="n">
        <v>46294</v>
      </c>
      <c r="F300" t="inlineStr">
        <is>
          <t>DALARNAS LÄN</t>
        </is>
      </c>
      <c r="G300" t="inlineStr">
        <is>
          <t>ÄLVDALEN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45156-2025</t>
        </is>
      </c>
      <c r="B301" t="inlineStr">
        <is>
          <t>avverkningsanmälan</t>
        </is>
      </c>
      <c r="C301" t="inlineStr">
        <is>
          <t>Föryngringsavverkning</t>
        </is>
      </c>
      <c r="D301" s="1" t="n">
        <v>45919</v>
      </c>
      <c r="E301" s="1" t="n">
        <v>46294</v>
      </c>
      <c r="F301" t="inlineStr">
        <is>
          <t>DALARNAS LÄN</t>
        </is>
      </c>
      <c r="G301" t="inlineStr">
        <is>
          <t>ÄLVDALEN</t>
        </is>
      </c>
      <c r="H301" t="inlineStr">
        <is>
          <t>Allmännings- och besparingsskogar</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63601-2025</t>
        </is>
      </c>
      <c r="B302" t="inlineStr">
        <is>
          <t>avverkningsanmälan</t>
        </is>
      </c>
      <c r="C302" t="inlineStr">
        <is>
          <t>Föryngringsavverkning</t>
        </is>
      </c>
      <c r="D302" s="1" t="n">
        <v>46014</v>
      </c>
      <c r="E302" s="1" t="n">
        <v>46294</v>
      </c>
      <c r="F302" t="inlineStr">
        <is>
          <t>DALARNAS LÄN</t>
        </is>
      </c>
      <c r="G302" t="inlineStr">
        <is>
          <t>ÄLVDALEN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59177-2023</t>
        </is>
      </c>
      <c r="B303" t="inlineStr">
        <is>
          <t>avverkningsanmälan</t>
        </is>
      </c>
      <c r="C303" t="inlineStr">
        <is>
          <t>Föryngringsavverkning</t>
        </is>
      </c>
      <c r="D303" s="1" t="n">
        <v>45253</v>
      </c>
      <c r="E303" s="1" t="n">
        <v>46294</v>
      </c>
      <c r="F303" t="inlineStr">
        <is>
          <t>DALARNAS LÄN</t>
        </is>
      </c>
      <c r="G303" t="inlineStr">
        <is>
          <t>ÄLVDALEN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29710-2022</t>
        </is>
      </c>
      <c r="B304" t="inlineStr">
        <is>
          <t>avverkningsanmälan</t>
        </is>
      </c>
      <c r="C304" t="inlineStr">
        <is>
          <t>Föryngringsavverkning</t>
        </is>
      </c>
      <c r="D304" s="1" t="n">
        <v>44755</v>
      </c>
      <c r="E304" s="1" t="n">
        <v>46294</v>
      </c>
      <c r="F304" t="inlineStr">
        <is>
          <t>DALARNAS LÄN</t>
        </is>
      </c>
      <c r="G304" t="inlineStr">
        <is>
          <t>ÄLVDALEN</t>
        </is>
      </c>
      <c r="H304" t="inlineStr">
        <is>
          <t>Sveaskog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43903-2024</t>
        </is>
      </c>
      <c r="B305" t="inlineStr">
        <is>
          <t>avverkningsanmälan</t>
        </is>
      </c>
      <c r="C305" t="inlineStr">
        <is>
          <t>Föryngringsavverkning</t>
        </is>
      </c>
      <c r="D305" s="1" t="n">
        <v>45572</v>
      </c>
      <c r="E305" s="1" t="n">
        <v>46294</v>
      </c>
      <c r="F305" t="inlineStr">
        <is>
          <t>DALARNAS LÄN</t>
        </is>
      </c>
      <c r="G305" t="inlineStr">
        <is>
          <t>ÄLVDALEN</t>
        </is>
      </c>
      <c r="H305" t="inlineStr">
        <is>
          <t>Bergvik skog väst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47018-2025</t>
        </is>
      </c>
      <c r="B306" t="inlineStr">
        <is>
          <t>avverkningsanmälan</t>
        </is>
      </c>
      <c r="C306" t="inlineStr">
        <is>
          <t>Föryngringsavverkning</t>
        </is>
      </c>
      <c r="D306" s="1" t="n">
        <v>45929</v>
      </c>
      <c r="E306" s="1" t="n">
        <v>46294</v>
      </c>
      <c r="F306" t="inlineStr">
        <is>
          <t>DALARNAS LÄN</t>
        </is>
      </c>
      <c r="G306" t="inlineStr">
        <is>
          <t>ÄLVDALEN</t>
        </is>
      </c>
      <c r="H306" t="inlineStr">
        <is>
          <t>Allmännings- och besparingsskogar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46582-2025</t>
        </is>
      </c>
      <c r="B307" t="inlineStr">
        <is>
          <t>avverkningsanmälan</t>
        </is>
      </c>
      <c r="C307" t="inlineStr">
        <is>
          <t>Föryngringsavverkning</t>
        </is>
      </c>
      <c r="D307" s="1" t="n">
        <v>45926</v>
      </c>
      <c r="E307" s="1" t="n">
        <v>46294</v>
      </c>
      <c r="F307" t="inlineStr">
        <is>
          <t>DALARNAS LÄN</t>
        </is>
      </c>
      <c r="G307" t="inlineStr">
        <is>
          <t>ÄLVDALEN</t>
        </is>
      </c>
      <c r="H307" t="inlineStr">
        <is>
          <t>Allmännings- och besparingsskogar</t>
        </is>
      </c>
      <c r="I307" t="n">
        <v>20.7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30502-2025</t>
        </is>
      </c>
      <c r="B308" t="inlineStr">
        <is>
          <t>avverkningsanmälan</t>
        </is>
      </c>
      <c r="C308" t="inlineStr">
        <is>
          <t>Föryngringsavverkning</t>
        </is>
      </c>
      <c r="D308" s="1" t="n">
        <v>45830</v>
      </c>
      <c r="E308" s="1" t="n">
        <v>46294</v>
      </c>
      <c r="F308" t="inlineStr">
        <is>
          <t>DALARNAS LÄN</t>
        </is>
      </c>
      <c r="G308" t="inlineStr">
        <is>
          <t>ÄLVDALEN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46882-2025</t>
        </is>
      </c>
      <c r="B309" t="inlineStr">
        <is>
          <t>avverkningsanmälan</t>
        </is>
      </c>
      <c r="C309" t="inlineStr">
        <is>
          <t>Föryngringsavverkning</t>
        </is>
      </c>
      <c r="D309" s="1" t="n">
        <v>45929</v>
      </c>
      <c r="E309" s="1" t="n">
        <v>46294</v>
      </c>
      <c r="F309" t="inlineStr">
        <is>
          <t>DALARNAS LÄN</t>
        </is>
      </c>
      <c r="G309" t="inlineStr">
        <is>
          <t>ÄLVDALEN</t>
        </is>
      </c>
      <c r="H309" t="inlineStr">
        <is>
          <t>Allmännings- och besparingsskogar</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5583-2025</t>
        </is>
      </c>
      <c r="B310" t="inlineStr">
        <is>
          <t>avverkningsanmälan</t>
        </is>
      </c>
      <c r="C310" t="inlineStr">
        <is>
          <t>Föryngringsavverkning</t>
        </is>
      </c>
      <c r="D310" s="1" t="n">
        <v>45693</v>
      </c>
      <c r="E310" s="1" t="n">
        <v>46294</v>
      </c>
      <c r="F310" t="inlineStr">
        <is>
          <t>DALARNAS LÄN</t>
        </is>
      </c>
      <c r="G310" t="inlineStr">
        <is>
          <t>ÄLVDALEN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47707-2025</t>
        </is>
      </c>
      <c r="B311" t="inlineStr">
        <is>
          <t>avverkningsanmälan</t>
        </is>
      </c>
      <c r="C311" t="inlineStr">
        <is>
          <t>Föryngringsavverkning</t>
        </is>
      </c>
      <c r="D311" s="1" t="n">
        <v>45931</v>
      </c>
      <c r="E311" s="1" t="n">
        <v>46294</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47692-2025</t>
        </is>
      </c>
      <c r="B312" t="inlineStr">
        <is>
          <t>avverkningsanmälan</t>
        </is>
      </c>
      <c r="C312" t="inlineStr">
        <is>
          <t>Föryngringsavverkning</t>
        </is>
      </c>
      <c r="D312" s="1" t="n">
        <v>45931</v>
      </c>
      <c r="E312" s="1" t="n">
        <v>46294</v>
      </c>
      <c r="F312" t="inlineStr">
        <is>
          <t>DALARNAS LÄN</t>
        </is>
      </c>
      <c r="G312" t="inlineStr">
        <is>
          <t>ÄLVDALEN</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44119-2022</t>
        </is>
      </c>
      <c r="B313" t="inlineStr">
        <is>
          <t>avverkningsanmälan</t>
        </is>
      </c>
      <c r="C313" t="inlineStr">
        <is>
          <t>Föryngringsavverkning</t>
        </is>
      </c>
      <c r="D313" s="1" t="n">
        <v>44839</v>
      </c>
      <c r="E313" s="1" t="n">
        <v>46294</v>
      </c>
      <c r="F313" t="inlineStr">
        <is>
          <t>DALARNAS LÄN</t>
        </is>
      </c>
      <c r="G313" t="inlineStr">
        <is>
          <t>ÄLVDALEN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48135-2025</t>
        </is>
      </c>
      <c r="B314" t="inlineStr">
        <is>
          <t>avverkningsanmälan</t>
        </is>
      </c>
      <c r="C314" t="inlineStr">
        <is>
          <t>Föryngringsavverkning</t>
        </is>
      </c>
      <c r="D314" s="1" t="n">
        <v>45933</v>
      </c>
      <c r="E314" s="1" t="n">
        <v>46294</v>
      </c>
      <c r="F314" t="inlineStr">
        <is>
          <t>DALARNAS LÄN</t>
        </is>
      </c>
      <c r="G314" t="inlineStr">
        <is>
          <t>ÄLVDALEN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39006-2024</t>
        </is>
      </c>
      <c r="B315" t="inlineStr">
        <is>
          <t>avverkningsanmälan</t>
        </is>
      </c>
      <c r="C315" t="inlineStr">
        <is>
          <t>Föryngringsavverkning</t>
        </is>
      </c>
      <c r="D315" s="1" t="n">
        <v>45548</v>
      </c>
      <c r="E315" s="1" t="n">
        <v>46294</v>
      </c>
      <c r="F315" t="inlineStr">
        <is>
          <t>DALARNAS LÄN</t>
        </is>
      </c>
      <c r="G315" t="inlineStr">
        <is>
          <t>ÄLVDALEN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3900-2024</t>
        </is>
      </c>
      <c r="B316" t="inlineStr">
        <is>
          <t>avverkningsanmälan</t>
        </is>
      </c>
      <c r="C316" t="inlineStr">
        <is>
          <t>Föryngringsavverkning</t>
        </is>
      </c>
      <c r="D316" s="1" t="n">
        <v>45322</v>
      </c>
      <c r="E316" s="1" t="n">
        <v>46294</v>
      </c>
      <c r="F316" t="inlineStr">
        <is>
          <t>DALARNAS LÄN</t>
        </is>
      </c>
      <c r="G316" t="inlineStr">
        <is>
          <t>ÄLVDALEN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3903-2024</t>
        </is>
      </c>
      <c r="B317" t="inlineStr">
        <is>
          <t>avverkningsanmälan</t>
        </is>
      </c>
      <c r="C317" t="inlineStr">
        <is>
          <t>Föryngringsavverkning</t>
        </is>
      </c>
      <c r="D317" s="1" t="n">
        <v>45322</v>
      </c>
      <c r="E317" s="1" t="n">
        <v>46294</v>
      </c>
      <c r="F317" t="inlineStr">
        <is>
          <t>DALARNAS LÄN</t>
        </is>
      </c>
      <c r="G317" t="inlineStr">
        <is>
          <t>ÄLVDALEN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3914-2024</t>
        </is>
      </c>
      <c r="B318" t="inlineStr">
        <is>
          <t>avverkningsanmälan</t>
        </is>
      </c>
      <c r="C318" t="inlineStr">
        <is>
          <t>Föryngringsavverkning</t>
        </is>
      </c>
      <c r="D318" s="1" t="n">
        <v>45322</v>
      </c>
      <c r="E318" s="1" t="n">
        <v>46294</v>
      </c>
      <c r="F318" t="inlineStr">
        <is>
          <t>DALARNAS LÄN</t>
        </is>
      </c>
      <c r="G318" t="inlineStr">
        <is>
          <t>ÄLVDALEN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30414-2024</t>
        </is>
      </c>
      <c r="B319" t="inlineStr">
        <is>
          <t>avverkningsanmälan</t>
        </is>
      </c>
      <c r="C319" t="inlineStr">
        <is>
          <t>Föryngringsavverkning</t>
        </is>
      </c>
      <c r="D319" s="1" t="n">
        <v>45491</v>
      </c>
      <c r="E319" s="1" t="n">
        <v>46294</v>
      </c>
      <c r="F319" t="inlineStr">
        <is>
          <t>DALARNAS LÄN</t>
        </is>
      </c>
      <c r="G319" t="inlineStr">
        <is>
          <t>ÄLVDALEN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59108-2022</t>
        </is>
      </c>
      <c r="B320" t="inlineStr">
        <is>
          <t>avverkningsanmälan</t>
        </is>
      </c>
      <c r="C320" t="inlineStr">
        <is>
          <t>Föryngringsavverkning</t>
        </is>
      </c>
      <c r="D320" s="1" t="n">
        <v>44904</v>
      </c>
      <c r="E320" s="1" t="n">
        <v>46294</v>
      </c>
      <c r="F320" t="inlineStr">
        <is>
          <t>DALARNAS LÄN</t>
        </is>
      </c>
      <c r="G320" t="inlineStr">
        <is>
          <t>ÄLVDALEN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3196-2025</t>
        </is>
      </c>
      <c r="B321" t="inlineStr">
        <is>
          <t>avverkningsanmälan</t>
        </is>
      </c>
      <c r="C321" t="inlineStr">
        <is>
          <t>Föryngringsavverkning</t>
        </is>
      </c>
      <c r="D321" s="1" t="n">
        <v>45679</v>
      </c>
      <c r="E321" s="1" t="n">
        <v>46294</v>
      </c>
      <c r="F321" t="inlineStr">
        <is>
          <t>DALARNAS LÄN</t>
        </is>
      </c>
      <c r="G321" t="inlineStr">
        <is>
          <t>ÄLVDALEN</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34778-2025</t>
        </is>
      </c>
      <c r="B322" t="inlineStr">
        <is>
          <t>avverkningsanmälan</t>
        </is>
      </c>
      <c r="C322" t="inlineStr">
        <is>
          <t>Föryngringsavverkning</t>
        </is>
      </c>
      <c r="D322" s="1" t="n">
        <v>45848</v>
      </c>
      <c r="E322" s="1" t="n">
        <v>46294</v>
      </c>
      <c r="F322" t="inlineStr">
        <is>
          <t>DALARNAS LÄN</t>
        </is>
      </c>
      <c r="G322" t="inlineStr">
        <is>
          <t>ÄLVDALEN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14938-2023</t>
        </is>
      </c>
      <c r="B323" t="inlineStr">
        <is>
          <t>avverkningsanmälan</t>
        </is>
      </c>
      <c r="C323" t="inlineStr">
        <is>
          <t>Föryngringsavverkning</t>
        </is>
      </c>
      <c r="D323" s="1" t="n">
        <v>45015</v>
      </c>
      <c r="E323" s="1" t="n">
        <v>46294</v>
      </c>
      <c r="F323" t="inlineStr">
        <is>
          <t>DALARNAS LÄN</t>
        </is>
      </c>
      <c r="G323" t="inlineStr">
        <is>
          <t>ÄLVDALEN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34739-2025</t>
        </is>
      </c>
      <c r="B324" t="inlineStr">
        <is>
          <t>avverkningsanmälan</t>
        </is>
      </c>
      <c r="C324" t="inlineStr">
        <is>
          <t>Föryngringsavverkning</t>
        </is>
      </c>
      <c r="D324" s="1" t="n">
        <v>45848</v>
      </c>
      <c r="E324" s="1" t="n">
        <v>46294</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51442-2025</t>
        </is>
      </c>
      <c r="B325" t="inlineStr">
        <is>
          <t>avverkningsanmälan</t>
        </is>
      </c>
      <c r="C325" t="inlineStr">
        <is>
          <t>Föryngringsavverkning</t>
        </is>
      </c>
      <c r="D325" s="1" t="n">
        <v>45950</v>
      </c>
      <c r="E325" s="1" t="n">
        <v>46294</v>
      </c>
      <c r="F325" t="inlineStr">
        <is>
          <t>DALARNAS LÄN</t>
        </is>
      </c>
      <c r="G325" t="inlineStr">
        <is>
          <t>ÄLVDALEN</t>
        </is>
      </c>
      <c r="H325" t="inlineStr">
        <is>
          <t>Bergvik skog väst AB</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51381-2025</t>
        </is>
      </c>
      <c r="B326" t="inlineStr">
        <is>
          <t>avverkningsanmälan</t>
        </is>
      </c>
      <c r="C326" t="inlineStr">
        <is>
          <t>Föryngringsavverkning</t>
        </is>
      </c>
      <c r="D326" s="1" t="n">
        <v>45950</v>
      </c>
      <c r="E326" s="1" t="n">
        <v>46294</v>
      </c>
      <c r="F326" t="inlineStr">
        <is>
          <t>DALARNAS LÄN</t>
        </is>
      </c>
      <c r="G326" t="inlineStr">
        <is>
          <t>ÄLVDALEN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51392-2025</t>
        </is>
      </c>
      <c r="B327" t="inlineStr">
        <is>
          <t>avverkningsanmälan</t>
        </is>
      </c>
      <c r="C327" t="inlineStr">
        <is>
          <t>Föryngringsavverkning</t>
        </is>
      </c>
      <c r="D327" s="1" t="n">
        <v>45950</v>
      </c>
      <c r="E327" s="1" t="n">
        <v>46294</v>
      </c>
      <c r="F327" t="inlineStr">
        <is>
          <t>DALARNAS LÄN</t>
        </is>
      </c>
      <c r="G327" t="inlineStr">
        <is>
          <t>ÄLVDALEN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51461-2025</t>
        </is>
      </c>
      <c r="B328" t="inlineStr">
        <is>
          <t>avverkningsanmälan</t>
        </is>
      </c>
      <c r="C328" t="inlineStr">
        <is>
          <t>Föryngringsavverkning</t>
        </is>
      </c>
      <c r="D328" s="1" t="n">
        <v>45950</v>
      </c>
      <c r="E328" s="1" t="n">
        <v>46294</v>
      </c>
      <c r="F328" t="inlineStr">
        <is>
          <t>DALARNAS LÄN</t>
        </is>
      </c>
      <c r="G328" t="inlineStr">
        <is>
          <t>ÄLVDALEN</t>
        </is>
      </c>
      <c r="H328" t="inlineStr">
        <is>
          <t>Allmännings- och besparingsskogar</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52152-2025</t>
        </is>
      </c>
      <c r="B329" t="inlineStr">
        <is>
          <t>avverkningsanmälan</t>
        </is>
      </c>
      <c r="C329" t="inlineStr">
        <is>
          <t>Föryngringsavverkning</t>
        </is>
      </c>
      <c r="D329" s="1" t="n">
        <v>45953</v>
      </c>
      <c r="E329" s="1" t="n">
        <v>46294</v>
      </c>
      <c r="F329" t="inlineStr">
        <is>
          <t>DALARNAS LÄN</t>
        </is>
      </c>
      <c r="G329" t="inlineStr">
        <is>
          <t>ÄLVDALEN</t>
        </is>
      </c>
      <c r="H329" t="inlineStr">
        <is>
          <t>Allmännings- och besparingsskogar</t>
        </is>
      </c>
      <c r="I329" t="n">
        <v>22.3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588-2026</t>
        </is>
      </c>
      <c r="B330" t="inlineStr">
        <is>
          <t>avverkningsanmälan</t>
        </is>
      </c>
      <c r="C330" t="inlineStr">
        <is>
          <t>Föryngringsavverkning</t>
        </is>
      </c>
      <c r="D330" s="1" t="n">
        <v>46029</v>
      </c>
      <c r="E330" s="1" t="n">
        <v>46294</v>
      </c>
      <c r="F330" t="inlineStr">
        <is>
          <t>DALARNAS LÄN</t>
        </is>
      </c>
      <c r="G330" t="inlineStr">
        <is>
          <t>ÄLVDALEN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52072-2025</t>
        </is>
      </c>
      <c r="B331" t="inlineStr">
        <is>
          <t>avverkningsanmälan</t>
        </is>
      </c>
      <c r="C331" t="inlineStr">
        <is>
          <t>Föryngringsavverkning</t>
        </is>
      </c>
      <c r="D331" s="1" t="n">
        <v>45952</v>
      </c>
      <c r="E331" s="1" t="n">
        <v>46294</v>
      </c>
      <c r="F331" t="inlineStr">
        <is>
          <t>DALARNAS LÄN</t>
        </is>
      </c>
      <c r="G331" t="inlineStr">
        <is>
          <t>ÄLVDALEN</t>
        </is>
      </c>
      <c r="H331" t="inlineStr">
        <is>
          <t>Allmännings- och besparingsskogar</t>
        </is>
      </c>
      <c r="I331" t="n">
        <v>54.2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49906-2024</t>
        </is>
      </c>
      <c r="B332" t="inlineStr">
        <is>
          <t>avverkningsanmälan</t>
        </is>
      </c>
      <c r="C332" t="inlineStr">
        <is>
          <t>Föryngringsavverkning</t>
        </is>
      </c>
      <c r="D332" s="1" t="n">
        <v>45597</v>
      </c>
      <c r="E332" s="1" t="n">
        <v>46294</v>
      </c>
      <c r="F332" t="inlineStr">
        <is>
          <t>DALARNAS LÄN</t>
        </is>
      </c>
      <c r="G332" t="inlineStr">
        <is>
          <t>ÄLVDALEN</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51915-2025</t>
        </is>
      </c>
      <c r="B333" t="inlineStr">
        <is>
          <t>avverkningsanmälan</t>
        </is>
      </c>
      <c r="C333" t="inlineStr">
        <is>
          <t>Föryngringsavverkning</t>
        </is>
      </c>
      <c r="D333" s="1" t="n">
        <v>45952</v>
      </c>
      <c r="E333" s="1" t="n">
        <v>46294</v>
      </c>
      <c r="F333" t="inlineStr">
        <is>
          <t>DALARNAS LÄN</t>
        </is>
      </c>
      <c r="G333" t="inlineStr">
        <is>
          <t>ÄLVDALEN</t>
        </is>
      </c>
      <c r="H333" t="inlineStr">
        <is>
          <t>Allmännings- och besparingsskogar</t>
        </is>
      </c>
      <c r="I333" t="n">
        <v>66.7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51975-2025</t>
        </is>
      </c>
      <c r="B334" t="inlineStr">
        <is>
          <t>avverkningsanmälan</t>
        </is>
      </c>
      <c r="C334" t="inlineStr">
        <is>
          <t>Föryngringsavverkning</t>
        </is>
      </c>
      <c r="D334" s="1" t="n">
        <v>45952</v>
      </c>
      <c r="E334" s="1" t="n">
        <v>46294</v>
      </c>
      <c r="F334" t="inlineStr">
        <is>
          <t>DALARNAS LÄN</t>
        </is>
      </c>
      <c r="G334" t="inlineStr">
        <is>
          <t>ÄLVDALEN</t>
        </is>
      </c>
      <c r="H334" t="inlineStr">
        <is>
          <t>Allmännings- och besparingsskogar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52033-2025</t>
        </is>
      </c>
      <c r="B335" t="inlineStr">
        <is>
          <t>avverkningsanmälan</t>
        </is>
      </c>
      <c r="C335" t="inlineStr">
        <is>
          <t>Föryngringsavverkning</t>
        </is>
      </c>
      <c r="D335" s="1" t="n">
        <v>45952</v>
      </c>
      <c r="E335" s="1" t="n">
        <v>46294</v>
      </c>
      <c r="F335" t="inlineStr">
        <is>
          <t>DALARNAS LÄN</t>
        </is>
      </c>
      <c r="G335" t="inlineStr">
        <is>
          <t>ÄLVDALEN</t>
        </is>
      </c>
      <c r="H335" t="inlineStr">
        <is>
          <t>Allmännings- och besparingsskogar</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583-2026</t>
        </is>
      </c>
      <c r="B336" t="inlineStr">
        <is>
          <t>avverkningsanmälan</t>
        </is>
      </c>
      <c r="C336" t="inlineStr">
        <is>
          <t>Föryngringsavverkning</t>
        </is>
      </c>
      <c r="D336" s="1" t="n">
        <v>46029</v>
      </c>
      <c r="E336" s="1" t="n">
        <v>46294</v>
      </c>
      <c r="F336" t="inlineStr">
        <is>
          <t>DALARNAS LÄN</t>
        </is>
      </c>
      <c r="G336" t="inlineStr">
        <is>
          <t>ÄLVDALEN</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575-2026</t>
        </is>
      </c>
      <c r="B337" t="inlineStr">
        <is>
          <t>avverkningsanmälan</t>
        </is>
      </c>
      <c r="C337" t="inlineStr">
        <is>
          <t>Föryngringsavverkning</t>
        </is>
      </c>
      <c r="D337" s="1" t="n">
        <v>46029</v>
      </c>
      <c r="E337" s="1" t="n">
        <v>46294</v>
      </c>
      <c r="F337" t="inlineStr">
        <is>
          <t>DALARNAS LÄN</t>
        </is>
      </c>
      <c r="G337" t="inlineStr">
        <is>
          <t>ÄLVDALEN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35993-2025</t>
        </is>
      </c>
      <c r="B338" t="inlineStr">
        <is>
          <t>avverkningsanmälan</t>
        </is>
      </c>
      <c r="C338" t="inlineStr">
        <is>
          <t>Föryngringsavverkning</t>
        </is>
      </c>
      <c r="D338" s="1" t="n">
        <v>45863</v>
      </c>
      <c r="E338" s="1" t="n">
        <v>46294</v>
      </c>
      <c r="F338" t="inlineStr">
        <is>
          <t>DALARNAS LÄN</t>
        </is>
      </c>
      <c r="G338" t="inlineStr">
        <is>
          <t>ÄLVDALEN</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5885-2024</t>
        </is>
      </c>
      <c r="B339" t="inlineStr">
        <is>
          <t>avverkningsanmälan</t>
        </is>
      </c>
      <c r="C339" t="inlineStr">
        <is>
          <t>Föryngringsavverkning</t>
        </is>
      </c>
      <c r="D339" s="1" t="n">
        <v>45335</v>
      </c>
      <c r="E339" s="1" t="n">
        <v>46294</v>
      </c>
      <c r="F339" t="inlineStr">
        <is>
          <t>DALARNAS LÄN</t>
        </is>
      </c>
      <c r="G339" t="inlineStr">
        <is>
          <t>ÄLVDALEN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17558-2024</t>
        </is>
      </c>
      <c r="B340" t="inlineStr">
        <is>
          <t>avverkningsanmälan</t>
        </is>
      </c>
      <c r="C340" t="inlineStr">
        <is>
          <t>Föryngringsavverkning</t>
        </is>
      </c>
      <c r="D340" s="1" t="n">
        <v>45415</v>
      </c>
      <c r="E340" s="1" t="n">
        <v>46294</v>
      </c>
      <c r="F340" t="inlineStr">
        <is>
          <t>DALARNAS LÄN</t>
        </is>
      </c>
      <c r="G340" t="inlineStr">
        <is>
          <t>ÄLVDALEN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1011-2026</t>
        </is>
      </c>
      <c r="B341" t="inlineStr">
        <is>
          <t>avverkningsanmälan</t>
        </is>
      </c>
      <c r="C341" t="inlineStr">
        <is>
          <t>Föryngringsavverkning</t>
        </is>
      </c>
      <c r="D341" s="1" t="n">
        <v>46030</v>
      </c>
      <c r="E341" s="1" t="n">
        <v>46294</v>
      </c>
      <c r="F341" t="inlineStr">
        <is>
          <t>DALARNAS LÄN</t>
        </is>
      </c>
      <c r="G341" t="inlineStr">
        <is>
          <t>ÄLVDALEN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52060-2022</t>
        </is>
      </c>
      <c r="B342" t="inlineStr">
        <is>
          <t>avverkningsanmälan</t>
        </is>
      </c>
      <c r="C342" t="inlineStr">
        <is>
          <t>Föryngringsavverkning</t>
        </is>
      </c>
      <c r="D342" s="1" t="n">
        <v>44873</v>
      </c>
      <c r="E342" s="1" t="n">
        <v>46294</v>
      </c>
      <c r="F342" t="inlineStr">
        <is>
          <t>DALARNAS LÄN</t>
        </is>
      </c>
      <c r="G342" t="inlineStr">
        <is>
          <t>ÄLVDALEN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36830-2025</t>
        </is>
      </c>
      <c r="B343" t="inlineStr">
        <is>
          <t>avverkningsanmälan</t>
        </is>
      </c>
      <c r="C343" t="inlineStr">
        <is>
          <t>Föryngringsavverkning</t>
        </is>
      </c>
      <c r="D343" s="1" t="n">
        <v>45874</v>
      </c>
      <c r="E343" s="1" t="n">
        <v>46294</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37186-2025</t>
        </is>
      </c>
      <c r="B344" t="inlineStr">
        <is>
          <t>avverkningsanmälan</t>
        </is>
      </c>
      <c r="C344" t="inlineStr">
        <is>
          <t>Avverkning för annat ändamål</t>
        </is>
      </c>
      <c r="D344" s="1" t="n">
        <v>45875</v>
      </c>
      <c r="E344" s="1" t="n">
        <v>46294</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54114-2025</t>
        </is>
      </c>
      <c r="B345" t="inlineStr">
        <is>
          <t>avverkningsanmälan</t>
        </is>
      </c>
      <c r="C345" t="inlineStr">
        <is>
          <t>Föryngringsavverkning</t>
        </is>
      </c>
      <c r="D345" s="1" t="n">
        <v>45964</v>
      </c>
      <c r="E345" s="1" t="n">
        <v>46294</v>
      </c>
      <c r="F345" t="inlineStr">
        <is>
          <t>DALARNAS LÄN</t>
        </is>
      </c>
      <c r="G345" t="inlineStr">
        <is>
          <t>ÄLVDALEN</t>
        </is>
      </c>
      <c r="H345" t="inlineStr">
        <is>
          <t>Bergvik skog väst AB</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1934-2026</t>
        </is>
      </c>
      <c r="B346" t="inlineStr">
        <is>
          <t>avverkningsanmälan</t>
        </is>
      </c>
      <c r="C346" t="inlineStr">
        <is>
          <t>Föryngringsavverkning</t>
        </is>
      </c>
      <c r="D346" s="1" t="n">
        <v>46035</v>
      </c>
      <c r="E346" s="1" t="n">
        <v>46294</v>
      </c>
      <c r="F346" t="inlineStr">
        <is>
          <t>DALARNAS LÄN</t>
        </is>
      </c>
      <c r="G346" t="inlineStr">
        <is>
          <t>ÄLVDALEN</t>
        </is>
      </c>
      <c r="H346" t="inlineStr">
        <is>
          <t>Övriga statliga verk och myndigheter</t>
        </is>
      </c>
      <c r="I346" t="n">
        <v>22.9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33099-2023</t>
        </is>
      </c>
      <c r="B347" t="inlineStr">
        <is>
          <t>avverkningsanmälan</t>
        </is>
      </c>
      <c r="C347" t="inlineStr">
        <is>
          <t>Föryngringsavverkning</t>
        </is>
      </c>
      <c r="D347" s="1" t="n">
        <v>45114</v>
      </c>
      <c r="E347" s="1" t="n">
        <v>46294</v>
      </c>
      <c r="F347" t="inlineStr">
        <is>
          <t>DALARNAS LÄN</t>
        </is>
      </c>
      <c r="G347" t="inlineStr">
        <is>
          <t>ÄLVDALEN</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2042-2026</t>
        </is>
      </c>
      <c r="B348" t="inlineStr">
        <is>
          <t>avverkningsanmälan</t>
        </is>
      </c>
      <c r="C348" t="inlineStr">
        <is>
          <t>Föryngringsavverkning</t>
        </is>
      </c>
      <c r="D348" s="1" t="n">
        <v>46031</v>
      </c>
      <c r="E348" s="1" t="n">
        <v>46294</v>
      </c>
      <c r="F348" t="inlineStr">
        <is>
          <t>DALARNAS LÄN</t>
        </is>
      </c>
      <c r="G348" t="inlineStr">
        <is>
          <t>ÄLVDALEN</t>
        </is>
      </c>
      <c r="H348" t="inlineStr">
        <is>
          <t>Sveaskog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55176-2025</t>
        </is>
      </c>
      <c r="B349" t="inlineStr">
        <is>
          <t>avverkningsanmälan</t>
        </is>
      </c>
      <c r="C349" t="inlineStr">
        <is>
          <t>Föryngringsavverkning</t>
        </is>
      </c>
      <c r="D349" s="1" t="n">
        <v>45968</v>
      </c>
      <c r="E349" s="1" t="n">
        <v>46294</v>
      </c>
      <c r="F349" t="inlineStr">
        <is>
          <t>DALARNAS LÄN</t>
        </is>
      </c>
      <c r="G349" t="inlineStr">
        <is>
          <t>ÄLVDALEN</t>
        </is>
      </c>
      <c r="H349" t="inlineStr">
        <is>
          <t>Bergvik skog väst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55924-2025</t>
        </is>
      </c>
      <c r="B350" t="inlineStr">
        <is>
          <t>avverkningsanmälan</t>
        </is>
      </c>
      <c r="C350" t="inlineStr">
        <is>
          <t>Föryngringsavverkning</t>
        </is>
      </c>
      <c r="D350" s="1" t="n">
        <v>45973</v>
      </c>
      <c r="E350" s="1" t="n">
        <v>46294</v>
      </c>
      <c r="F350" t="inlineStr">
        <is>
          <t>DALARNAS LÄN</t>
        </is>
      </c>
      <c r="G350" t="inlineStr">
        <is>
          <t>ÄLVDALEN</t>
        </is>
      </c>
      <c r="H350" t="inlineStr">
        <is>
          <t>Övriga statliga verk och myndigheter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55919-2025</t>
        </is>
      </c>
      <c r="B351" t="inlineStr">
        <is>
          <t>avverkningsanmälan</t>
        </is>
      </c>
      <c r="C351" t="inlineStr">
        <is>
          <t>Föryngringsavverkning</t>
        </is>
      </c>
      <c r="D351" s="1" t="n">
        <v>45973</v>
      </c>
      <c r="E351" s="1" t="n">
        <v>46294</v>
      </c>
      <c r="F351" t="inlineStr">
        <is>
          <t>DALARNAS LÄN</t>
        </is>
      </c>
      <c r="G351" t="inlineStr">
        <is>
          <t>ÄLVDALEN</t>
        </is>
      </c>
      <c r="H351" t="inlineStr">
        <is>
          <t>Övriga statliga verk och myndigheter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3120-2026</t>
        </is>
      </c>
      <c r="B352" t="inlineStr">
        <is>
          <t>avverkningsanmälan</t>
        </is>
      </c>
      <c r="C352" t="inlineStr">
        <is>
          <t>Föryngringsavverkning</t>
        </is>
      </c>
      <c r="D352" s="1" t="n">
        <v>46041</v>
      </c>
      <c r="E352" s="1" t="n">
        <v>46294</v>
      </c>
      <c r="F352" t="inlineStr">
        <is>
          <t>DALARNAS LÄN</t>
        </is>
      </c>
      <c r="G352" t="inlineStr">
        <is>
          <t>ÄLVDALEN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3124-2026</t>
        </is>
      </c>
      <c r="B353" t="inlineStr">
        <is>
          <t>avverkningsanmälan</t>
        </is>
      </c>
      <c r="C353" t="inlineStr">
        <is>
          <t>Föryngringsavverkning</t>
        </is>
      </c>
      <c r="D353" s="1" t="n">
        <v>46041</v>
      </c>
      <c r="E353" s="1" t="n">
        <v>46294</v>
      </c>
      <c r="F353" t="inlineStr">
        <is>
          <t>DALARNAS LÄN</t>
        </is>
      </c>
      <c r="G353" t="inlineStr">
        <is>
          <t>ÄLVDALEN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2932-2026</t>
        </is>
      </c>
      <c r="B354" t="inlineStr">
        <is>
          <t>avverkningsanmälan</t>
        </is>
      </c>
      <c r="C354" t="inlineStr">
        <is>
          <t>Föryngringsavverkning</t>
        </is>
      </c>
      <c r="D354" s="1" t="n">
        <v>46038</v>
      </c>
      <c r="E354" s="1" t="n">
        <v>46294</v>
      </c>
      <c r="F354" t="inlineStr">
        <is>
          <t>DALARNAS LÄN</t>
        </is>
      </c>
      <c r="G354" t="inlineStr">
        <is>
          <t>ÄLVDALEN</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2921-2026</t>
        </is>
      </c>
      <c r="B355" t="inlineStr">
        <is>
          <t>avverkningsanmälan</t>
        </is>
      </c>
      <c r="C355" t="inlineStr">
        <is>
          <t>Föryngringsavverkning</t>
        </is>
      </c>
      <c r="D355" s="1" t="n">
        <v>46038</v>
      </c>
      <c r="E355" s="1" t="n">
        <v>46294</v>
      </c>
      <c r="F355" t="inlineStr">
        <is>
          <t>DALARNAS LÄN</t>
        </is>
      </c>
      <c r="G355" t="inlineStr">
        <is>
          <t>ÄLVDALEN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2788-2026</t>
        </is>
      </c>
      <c r="B356" t="inlineStr">
        <is>
          <t>avverkningsanmälan</t>
        </is>
      </c>
      <c r="C356" t="inlineStr">
        <is>
          <t>Föryngringsavverkning</t>
        </is>
      </c>
      <c r="D356" s="1" t="n">
        <v>46038</v>
      </c>
      <c r="E356" s="1" t="n">
        <v>46294</v>
      </c>
      <c r="F356" t="inlineStr">
        <is>
          <t>DALARNAS LÄN</t>
        </is>
      </c>
      <c r="G356" t="inlineStr">
        <is>
          <t>ÄLVDALEN</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56252-2025</t>
        </is>
      </c>
      <c r="B357" t="inlineStr">
        <is>
          <t>avverkningsanmälan</t>
        </is>
      </c>
      <c r="C357" t="inlineStr">
        <is>
          <t>Föryngringsavverkning</t>
        </is>
      </c>
      <c r="D357" s="1" t="n">
        <v>45974</v>
      </c>
      <c r="E357" s="1" t="n">
        <v>46294</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40003-2022</t>
        </is>
      </c>
      <c r="B358" t="inlineStr">
        <is>
          <t>avverkningsanmälan</t>
        </is>
      </c>
      <c r="C358" t="inlineStr">
        <is>
          <t>Föryngringsavverkning</t>
        </is>
      </c>
      <c r="D358" s="1" t="n">
        <v>44820</v>
      </c>
      <c r="E358" s="1" t="n">
        <v>46294</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2897-2026</t>
        </is>
      </c>
      <c r="B359" t="inlineStr">
        <is>
          <t>avverkningsanmälan</t>
        </is>
      </c>
      <c r="C359" t="inlineStr">
        <is>
          <t>Föryngringsavverkning</t>
        </is>
      </c>
      <c r="D359" s="1" t="n">
        <v>46038</v>
      </c>
      <c r="E359" s="1" t="n">
        <v>46294</v>
      </c>
      <c r="F359" t="inlineStr">
        <is>
          <t>DALARNAS LÄN</t>
        </is>
      </c>
      <c r="G359" t="inlineStr">
        <is>
          <t>ÄLVDALEN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2914-2026</t>
        </is>
      </c>
      <c r="B360" t="inlineStr">
        <is>
          <t>avverkningsanmälan</t>
        </is>
      </c>
      <c r="C360" t="inlineStr">
        <is>
          <t>Föryngringsavverkning</t>
        </is>
      </c>
      <c r="D360" s="1" t="n">
        <v>46038</v>
      </c>
      <c r="E360" s="1" t="n">
        <v>46294</v>
      </c>
      <c r="F360" t="inlineStr">
        <is>
          <t>DALARNAS LÄN</t>
        </is>
      </c>
      <c r="G360" t="inlineStr">
        <is>
          <t>ÄLVDALEN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2906-2026</t>
        </is>
      </c>
      <c r="B361" t="inlineStr">
        <is>
          <t>avverkningsanmälan</t>
        </is>
      </c>
      <c r="C361" t="inlineStr">
        <is>
          <t>Föryngringsavverkning</t>
        </is>
      </c>
      <c r="D361" s="1" t="n">
        <v>46038</v>
      </c>
      <c r="E361" s="1" t="n">
        <v>46294</v>
      </c>
      <c r="F361" t="inlineStr">
        <is>
          <t>DALARNAS LÄN</t>
        </is>
      </c>
      <c r="G361" t="inlineStr">
        <is>
          <t>ÄLVDALEN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2927-2026</t>
        </is>
      </c>
      <c r="B362" t="inlineStr">
        <is>
          <t>avverkningsanmälan</t>
        </is>
      </c>
      <c r="C362" t="inlineStr">
        <is>
          <t>Föryngringsavverkning</t>
        </is>
      </c>
      <c r="D362" s="1" t="n">
        <v>46038</v>
      </c>
      <c r="E362" s="1" t="n">
        <v>46294</v>
      </c>
      <c r="F362" t="inlineStr">
        <is>
          <t>DALARNAS LÄN</t>
        </is>
      </c>
      <c r="G362" t="inlineStr">
        <is>
          <t>ÄLVDALEN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42679-2024</t>
        </is>
      </c>
      <c r="B363" t="inlineStr">
        <is>
          <t>avverkningsanmälan</t>
        </is>
      </c>
      <c r="C363" t="inlineStr">
        <is>
          <t>Föryngringsavverkning</t>
        </is>
      </c>
      <c r="D363" s="1" t="n">
        <v>45566</v>
      </c>
      <c r="E363" s="1" t="n">
        <v>46294</v>
      </c>
      <c r="F363" t="inlineStr">
        <is>
          <t>DALARNAS LÄN</t>
        </is>
      </c>
      <c r="G363" t="inlineStr">
        <is>
          <t>ÄLVDALEN</t>
        </is>
      </c>
      <c r="H363" t="inlineStr">
        <is>
          <t>Bergvik skog väst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2939-2026</t>
        </is>
      </c>
      <c r="B364" t="inlineStr">
        <is>
          <t>avverkningsanmälan</t>
        </is>
      </c>
      <c r="C364" t="inlineStr">
        <is>
          <t>Föryngringsavverkning</t>
        </is>
      </c>
      <c r="D364" s="1" t="n">
        <v>46038</v>
      </c>
      <c r="E364" s="1" t="n">
        <v>46294</v>
      </c>
      <c r="F364" t="inlineStr">
        <is>
          <t>DALARNAS LÄN</t>
        </is>
      </c>
      <c r="G364" t="inlineStr">
        <is>
          <t>ÄLVDALEN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63079-2021</t>
        </is>
      </c>
      <c r="B365" t="inlineStr">
        <is>
          <t>avverkningsanmälan</t>
        </is>
      </c>
      <c r="C365" t="inlineStr">
        <is>
          <t>Föryngringsavverkning</t>
        </is>
      </c>
      <c r="D365" s="1" t="n">
        <v>44505</v>
      </c>
      <c r="E365" s="1" t="n">
        <v>46294</v>
      </c>
      <c r="F365" t="inlineStr">
        <is>
          <t>DALARNAS LÄN</t>
        </is>
      </c>
      <c r="G365" t="inlineStr">
        <is>
          <t>ÄLVDALEN</t>
        </is>
      </c>
      <c r="H365" t="inlineStr">
        <is>
          <t>Bergvik skog väst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3645-2026</t>
        </is>
      </c>
      <c r="B366" t="inlineStr">
        <is>
          <t>avverkningsanmälan</t>
        </is>
      </c>
      <c r="C366" t="inlineStr">
        <is>
          <t>Föryngringsavverkning</t>
        </is>
      </c>
      <c r="D366" s="1" t="n">
        <v>46043</v>
      </c>
      <c r="E366" s="1" t="n">
        <v>46294</v>
      </c>
      <c r="F366" t="inlineStr">
        <is>
          <t>DALARNAS LÄN</t>
        </is>
      </c>
      <c r="G366" t="inlineStr">
        <is>
          <t>ÄLVDALEN</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3654-2026</t>
        </is>
      </c>
      <c r="B367" t="inlineStr">
        <is>
          <t>avverkningsanmälan</t>
        </is>
      </c>
      <c r="C367" t="inlineStr">
        <is>
          <t>Föryngringsavverkning</t>
        </is>
      </c>
      <c r="D367" s="1" t="n">
        <v>46043</v>
      </c>
      <c r="E367" s="1" t="n">
        <v>46294</v>
      </c>
      <c r="F367" t="inlineStr">
        <is>
          <t>DALARNAS LÄN</t>
        </is>
      </c>
      <c r="G367" t="inlineStr">
        <is>
          <t>ÄLVDALEN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510-2024</t>
        </is>
      </c>
      <c r="B368" t="inlineStr">
        <is>
          <t>avverkningsanmälan</t>
        </is>
      </c>
      <c r="C368" t="inlineStr">
        <is>
          <t>Föryngringsavverkning</t>
        </is>
      </c>
      <c r="D368" s="1" t="n">
        <v>45299</v>
      </c>
      <c r="E368" s="1" t="n">
        <v>46294</v>
      </c>
      <c r="F368" t="inlineStr">
        <is>
          <t>DALARNAS LÄN</t>
        </is>
      </c>
      <c r="G368" t="inlineStr">
        <is>
          <t>ÄLVDALEN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3649-2026</t>
        </is>
      </c>
      <c r="B369" t="inlineStr">
        <is>
          <t>avverkningsanmälan</t>
        </is>
      </c>
      <c r="C369" t="inlineStr">
        <is>
          <t>Föryngringsavverkning</t>
        </is>
      </c>
      <c r="D369" s="1" t="n">
        <v>46043</v>
      </c>
      <c r="E369" s="1" t="n">
        <v>46294</v>
      </c>
      <c r="F369" t="inlineStr">
        <is>
          <t>DALARNAS LÄN</t>
        </is>
      </c>
      <c r="G369" t="inlineStr">
        <is>
          <t>ÄLVDALEN</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54632-2021</t>
        </is>
      </c>
      <c r="B370" t="inlineStr">
        <is>
          <t>avverkningsanmälan</t>
        </is>
      </c>
      <c r="C370" t="inlineStr">
        <is>
          <t>Föryngringsavverkning</t>
        </is>
      </c>
      <c r="D370" s="1" t="n">
        <v>44473</v>
      </c>
      <c r="E370" s="1" t="n">
        <v>46294</v>
      </c>
      <c r="F370" t="inlineStr">
        <is>
          <t>DALARNAS LÄN</t>
        </is>
      </c>
      <c r="G370" t="inlineStr">
        <is>
          <t>ÄLVDALEN</t>
        </is>
      </c>
      <c r="I370" t="n">
        <v>0.5</v>
      </c>
      <c r="J370" t="n">
        <v>0</v>
      </c>
      <c r="K370" t="n">
        <v>0</v>
      </c>
      <c r="L370" t="n">
        <v>0</v>
      </c>
      <c r="M370" t="n">
        <v>0</v>
      </c>
      <c r="N370" t="n">
        <v>0</v>
      </c>
      <c r="O370" t="n">
        <v>0</v>
      </c>
      <c r="P370" t="n">
        <v>0</v>
      </c>
      <c r="Q370" t="n">
        <v>0</v>
      </c>
      <c r="R370" t="n">
        <v>0</v>
      </c>
      <c r="S370" t="n">
        <v>0</v>
      </c>
      <c r="T370" t="n">
        <v>0</v>
      </c>
      <c r="U370" t="n">
        <v>0</v>
      </c>
      <c r="V370" s="2" t="inlineStr"/>
      <c r="X370">
        <f>HYPERLINK("https://klasma.github.io/Logging_2039/kartor/A 54632-2021 karta.png", "A 54632-2021")</f>
        <v/>
      </c>
      <c r="Y370">
        <f>HYPERLINK("https://klasma.github.io/Logging_2039/kartor_geotiff/A 54632-2021 georefererad karta.tif", "A 54632-2021")</f>
        <v/>
      </c>
      <c r="AA370">
        <f>HYPERLINK("https://klasma.github.io/Logging_2039/klagomål/A 54632-2021 FSC-klagomål.docx", "A 54632-2021")</f>
        <v/>
      </c>
      <c r="AB370">
        <f>HYPERLINK("https://klasma.github.io/Logging_2039/klagomålsmail/A 54632-2021 FSC-klagomål mail.docx", "A 54632-2021")</f>
        <v/>
      </c>
      <c r="AC370">
        <f>HYPERLINK("https://klasma.github.io/Logging_2039/tillsyn/A 54632-2021 tillsynsbegäran.docx", "A 54632-2021")</f>
        <v/>
      </c>
      <c r="AD370">
        <f>HYPERLINK("https://klasma.github.io/Logging_2039/tillsynsmail/A 54632-2021 tillsynsbegäran mail.docx", "A 54632-2021")</f>
        <v/>
      </c>
    </row>
    <row r="371" ht="15" customHeight="1">
      <c r="A371" t="inlineStr">
        <is>
          <t>A 3887-2026</t>
        </is>
      </c>
      <c r="B371" t="inlineStr">
        <is>
          <t>avverkningsanmälan</t>
        </is>
      </c>
      <c r="C371" t="inlineStr">
        <is>
          <t>Föryngringsavverkning</t>
        </is>
      </c>
      <c r="D371" s="1" t="n">
        <v>46043</v>
      </c>
      <c r="E371" s="1" t="n">
        <v>46294</v>
      </c>
      <c r="F371" t="inlineStr">
        <is>
          <t>DALARNAS LÄN</t>
        </is>
      </c>
      <c r="G371" t="inlineStr">
        <is>
          <t>ÄLVDALEN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2377-2024</t>
        </is>
      </c>
      <c r="B372" t="inlineStr">
        <is>
          <t>avverkningsanmälan</t>
        </is>
      </c>
      <c r="C372" t="inlineStr">
        <is>
          <t>Föryngringsavverkning</t>
        </is>
      </c>
      <c r="D372" s="1" t="n">
        <v>45310</v>
      </c>
      <c r="E372" s="1" t="n">
        <v>46294</v>
      </c>
      <c r="F372" t="inlineStr">
        <is>
          <t>DALARNAS LÄN</t>
        </is>
      </c>
      <c r="G372" t="inlineStr">
        <is>
          <t>ÄLVDALEN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2384-2024</t>
        </is>
      </c>
      <c r="B373" t="inlineStr">
        <is>
          <t>avverkningsanmälan</t>
        </is>
      </c>
      <c r="C373" t="inlineStr">
        <is>
          <t>Föryngringsavverkning</t>
        </is>
      </c>
      <c r="D373" s="1" t="n">
        <v>45310</v>
      </c>
      <c r="E373" s="1" t="n">
        <v>46294</v>
      </c>
      <c r="F373" t="inlineStr">
        <is>
          <t>DALARNAS LÄN</t>
        </is>
      </c>
      <c r="G373" t="inlineStr">
        <is>
          <t>ÄLVDALEN</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3390-2026</t>
        </is>
      </c>
      <c r="B374" t="inlineStr">
        <is>
          <t>avverkningsanmälan</t>
        </is>
      </c>
      <c r="C374" t="inlineStr">
        <is>
          <t>Föryngringsavverkning</t>
        </is>
      </c>
      <c r="D374" s="1" t="n">
        <v>46042</v>
      </c>
      <c r="E374" s="1" t="n">
        <v>46294</v>
      </c>
      <c r="F374" t="inlineStr">
        <is>
          <t>DALARNAS LÄN</t>
        </is>
      </c>
      <c r="G374" t="inlineStr">
        <is>
          <t>ÄLVDALEN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42426-2023</t>
        </is>
      </c>
      <c r="B375" t="inlineStr">
        <is>
          <t>avverkningsanmälan</t>
        </is>
      </c>
      <c r="C375" t="inlineStr">
        <is>
          <t>Föryngringsavverkning</t>
        </is>
      </c>
      <c r="D375" s="1" t="n">
        <v>45175</v>
      </c>
      <c r="E375" s="1" t="n">
        <v>46294</v>
      </c>
      <c r="F375" t="inlineStr">
        <is>
          <t>DALARNAS LÄN</t>
        </is>
      </c>
      <c r="G375" t="inlineStr">
        <is>
          <t>ÄLVDALEN</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57510-2025</t>
        </is>
      </c>
      <c r="B376" t="inlineStr">
        <is>
          <t>avverkningsanmälan</t>
        </is>
      </c>
      <c r="C376" t="inlineStr">
        <is>
          <t>Föryngringsavverkning</t>
        </is>
      </c>
      <c r="D376" s="1" t="n">
        <v>45980</v>
      </c>
      <c r="E376" s="1" t="n">
        <v>46294</v>
      </c>
      <c r="F376" t="inlineStr">
        <is>
          <t>DALARNAS LÄN</t>
        </is>
      </c>
      <c r="G376" t="inlineStr">
        <is>
          <t>ÄLVDALEN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760-2025</t>
        </is>
      </c>
      <c r="B377" t="inlineStr">
        <is>
          <t>avverkningsanmälan</t>
        </is>
      </c>
      <c r="C377" t="inlineStr">
        <is>
          <t>Föryngringsavverkning</t>
        </is>
      </c>
      <c r="D377" s="1" t="n">
        <v>45665</v>
      </c>
      <c r="E377" s="1" t="n">
        <v>46294</v>
      </c>
      <c r="F377" t="inlineStr">
        <is>
          <t>DALARNAS LÄN</t>
        </is>
      </c>
      <c r="G377" t="inlineStr">
        <is>
          <t>ÄLVDALEN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19583-2025</t>
        </is>
      </c>
      <c r="B378" t="inlineStr">
        <is>
          <t>avverkningsanmälan</t>
        </is>
      </c>
      <c r="C378" t="inlineStr">
        <is>
          <t>Föryngringsavverkning</t>
        </is>
      </c>
      <c r="D378" s="1" t="n">
        <v>45770</v>
      </c>
      <c r="E378" s="1" t="n">
        <v>46294</v>
      </c>
      <c r="F378" t="inlineStr">
        <is>
          <t>DALARNAS LÄN</t>
        </is>
      </c>
      <c r="G378" t="inlineStr">
        <is>
          <t>ÄLVDALEN</t>
        </is>
      </c>
      <c r="H378" t="inlineStr">
        <is>
          <t>Sveaskog</t>
        </is>
      </c>
      <c r="I378" t="n">
        <v>24.1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55589-2022</t>
        </is>
      </c>
      <c r="B379" t="inlineStr">
        <is>
          <t>avverkningsanmälan</t>
        </is>
      </c>
      <c r="C379" t="inlineStr">
        <is>
          <t>Föryngringsavverkning</t>
        </is>
      </c>
      <c r="D379" s="1" t="n">
        <v>44888</v>
      </c>
      <c r="E379" s="1" t="n">
        <v>46294</v>
      </c>
      <c r="F379" t="inlineStr">
        <is>
          <t>DALARNAS LÄN</t>
        </is>
      </c>
      <c r="G379" t="inlineStr">
        <is>
          <t>ÄLVDALEN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4023-2026</t>
        </is>
      </c>
      <c r="B380" t="inlineStr">
        <is>
          <t>avverkningsanmälan</t>
        </is>
      </c>
      <c r="C380" t="inlineStr">
        <is>
          <t>Avverkning för att bevara och utveckla /försöksver</t>
        </is>
      </c>
      <c r="D380" s="1" t="n">
        <v>46044</v>
      </c>
      <c r="E380" s="1" t="n">
        <v>46294</v>
      </c>
      <c r="F380" t="inlineStr">
        <is>
          <t>DALARNAS LÄN</t>
        </is>
      </c>
      <c r="G380" t="inlineStr">
        <is>
          <t>ÄLVDALEN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58739-2025</t>
        </is>
      </c>
      <c r="B381" t="inlineStr">
        <is>
          <t>avverkningsanmälan</t>
        </is>
      </c>
      <c r="C381" t="inlineStr">
        <is>
          <t>Föryngringsavverkning</t>
        </is>
      </c>
      <c r="D381" s="1" t="n">
        <v>45986</v>
      </c>
      <c r="E381" s="1" t="n">
        <v>46294</v>
      </c>
      <c r="F381" t="inlineStr">
        <is>
          <t>DALARNAS LÄN</t>
        </is>
      </c>
      <c r="G381" t="inlineStr">
        <is>
          <t>ÄLVDALEN</t>
        </is>
      </c>
      <c r="H381" t="inlineStr">
        <is>
          <t>Övriga statliga verk och myndigheter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47071-2023</t>
        </is>
      </c>
      <c r="B382" t="inlineStr">
        <is>
          <t>avverkningsanmälan</t>
        </is>
      </c>
      <c r="C382" t="inlineStr">
        <is>
          <t>Föryngringsavverkning</t>
        </is>
      </c>
      <c r="D382" s="1" t="n">
        <v>45201</v>
      </c>
      <c r="E382" s="1" t="n">
        <v>46294</v>
      </c>
      <c r="F382" t="inlineStr">
        <is>
          <t>DALARNAS LÄN</t>
        </is>
      </c>
      <c r="G382" t="inlineStr">
        <is>
          <t>ÄLVDALEN</t>
        </is>
      </c>
      <c r="H382" t="inlineStr">
        <is>
          <t>Bergvik skog väst AB</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61575-2024</t>
        </is>
      </c>
      <c r="B383" t="inlineStr">
        <is>
          <t>avverkningsanmälan</t>
        </is>
      </c>
      <c r="C383" t="inlineStr">
        <is>
          <t>Föryngringsavverkning</t>
        </is>
      </c>
      <c r="D383" s="1" t="n">
        <v>45646</v>
      </c>
      <c r="E383" s="1" t="n">
        <v>46294</v>
      </c>
      <c r="F383" t="inlineStr">
        <is>
          <t>DALARNAS LÄN</t>
        </is>
      </c>
      <c r="G383" t="inlineStr">
        <is>
          <t>ÄLVDALEN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59250-2025</t>
        </is>
      </c>
      <c r="B384" t="inlineStr">
        <is>
          <t>avverkningsanmälan</t>
        </is>
      </c>
      <c r="C384" t="inlineStr">
        <is>
          <t>Föryngringsavverkning</t>
        </is>
      </c>
      <c r="D384" s="1" t="n">
        <v>45988</v>
      </c>
      <c r="E384" s="1" t="n">
        <v>46294</v>
      </c>
      <c r="F384" t="inlineStr">
        <is>
          <t>DALARNAS LÄN</t>
        </is>
      </c>
      <c r="G384" t="inlineStr">
        <is>
          <t>ÄLVDALEN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59234-2025</t>
        </is>
      </c>
      <c r="B385" t="inlineStr">
        <is>
          <t>avverkningsanmälan</t>
        </is>
      </c>
      <c r="C385" t="inlineStr">
        <is>
          <t>Föryngringsavverkning</t>
        </is>
      </c>
      <c r="D385" s="1" t="n">
        <v>45988</v>
      </c>
      <c r="E385" s="1" t="n">
        <v>46294</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59256-2025</t>
        </is>
      </c>
      <c r="B386" t="inlineStr">
        <is>
          <t>avverkningsanmälan</t>
        </is>
      </c>
      <c r="C386" t="inlineStr">
        <is>
          <t>Föryngringsavverkning</t>
        </is>
      </c>
      <c r="D386" s="1" t="n">
        <v>45988</v>
      </c>
      <c r="E386" s="1" t="n">
        <v>46294</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6001-2024</t>
        </is>
      </c>
      <c r="B387" t="inlineStr">
        <is>
          <t>avverkningsanmälan</t>
        </is>
      </c>
      <c r="C387" t="inlineStr">
        <is>
          <t>Föryngringsavverkning</t>
        </is>
      </c>
      <c r="D387" s="1" t="n">
        <v>45336</v>
      </c>
      <c r="E387" s="1" t="n">
        <v>46294</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505-2024</t>
        </is>
      </c>
      <c r="B388" t="inlineStr">
        <is>
          <t>avverkningsanmälan</t>
        </is>
      </c>
      <c r="C388" t="inlineStr">
        <is>
          <t>Föryngringsavverkning</t>
        </is>
      </c>
      <c r="D388" s="1" t="n">
        <v>45299</v>
      </c>
      <c r="E388" s="1" t="n">
        <v>46294</v>
      </c>
      <c r="F388" t="inlineStr">
        <is>
          <t>DALARNAS LÄN</t>
        </is>
      </c>
      <c r="G388" t="inlineStr">
        <is>
          <t>ÄLVDALEN</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54493-2023</t>
        </is>
      </c>
      <c r="B389" t="inlineStr">
        <is>
          <t>avverkningsanmälan</t>
        </is>
      </c>
      <c r="C389" t="inlineStr">
        <is>
          <t>Föryngringsavverkning</t>
        </is>
      </c>
      <c r="D389" s="1" t="n">
        <v>45233</v>
      </c>
      <c r="E389" s="1" t="n">
        <v>46294</v>
      </c>
      <c r="F389" t="inlineStr">
        <is>
          <t>DALARNAS LÄN</t>
        </is>
      </c>
      <c r="G389" t="inlineStr">
        <is>
          <t>ÄLVDALEN</t>
        </is>
      </c>
      <c r="H389" t="inlineStr">
        <is>
          <t>Allmännings- och besparingsskogar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2375-2024</t>
        </is>
      </c>
      <c r="B390" t="inlineStr">
        <is>
          <t>avverkningsanmälan</t>
        </is>
      </c>
      <c r="C390" t="inlineStr">
        <is>
          <t>Föryngringsavverkning</t>
        </is>
      </c>
      <c r="D390" s="1" t="n">
        <v>45310</v>
      </c>
      <c r="E390" s="1" t="n">
        <v>46294</v>
      </c>
      <c r="F390" t="inlineStr">
        <is>
          <t>DALARNAS LÄN</t>
        </is>
      </c>
      <c r="G390" t="inlineStr">
        <is>
          <t>ÄLVDALEN</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59590-2025</t>
        </is>
      </c>
      <c r="B391" t="inlineStr">
        <is>
          <t>avverkningsanmälan</t>
        </is>
      </c>
      <c r="C391" t="inlineStr">
        <is>
          <t>Föryngringsavverkning</t>
        </is>
      </c>
      <c r="D391" s="1" t="n">
        <v>45992</v>
      </c>
      <c r="E391" s="1" t="n">
        <v>46294</v>
      </c>
      <c r="F391" t="inlineStr">
        <is>
          <t>DALARNAS LÄN</t>
        </is>
      </c>
      <c r="G391" t="inlineStr">
        <is>
          <t>ÄLVDALEN</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59588-2025</t>
        </is>
      </c>
      <c r="B392" t="inlineStr">
        <is>
          <t>avverkningsanmälan</t>
        </is>
      </c>
      <c r="C392" t="inlineStr">
        <is>
          <t>Föryngringsavverkning</t>
        </is>
      </c>
      <c r="D392" s="1" t="n">
        <v>45992</v>
      </c>
      <c r="E392" s="1" t="n">
        <v>46294</v>
      </c>
      <c r="F392" t="inlineStr">
        <is>
          <t>DALARNAS LÄN</t>
        </is>
      </c>
      <c r="G392" t="inlineStr">
        <is>
          <t>ÄLVDALEN</t>
        </is>
      </c>
      <c r="H392" t="inlineStr">
        <is>
          <t>Sveaskog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59591-2025</t>
        </is>
      </c>
      <c r="B393" t="inlineStr">
        <is>
          <t>avverkningsanmälan</t>
        </is>
      </c>
      <c r="C393" t="inlineStr">
        <is>
          <t>Föryngringsavverkning</t>
        </is>
      </c>
      <c r="D393" s="1" t="n">
        <v>45992</v>
      </c>
      <c r="E393" s="1" t="n">
        <v>46294</v>
      </c>
      <c r="F393" t="inlineStr">
        <is>
          <t>DALARNAS LÄN</t>
        </is>
      </c>
      <c r="G393" t="inlineStr">
        <is>
          <t>ÄLVDALEN</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60292-2025</t>
        </is>
      </c>
      <c r="B394" t="inlineStr">
        <is>
          <t>avverkningsanmälan</t>
        </is>
      </c>
      <c r="C394" t="inlineStr">
        <is>
          <t>Föryngringsavverkning</t>
        </is>
      </c>
      <c r="D394" s="1" t="n">
        <v>45994</v>
      </c>
      <c r="E394" s="1" t="n">
        <v>46294</v>
      </c>
      <c r="F394" t="inlineStr">
        <is>
          <t>DALARNAS LÄN</t>
        </is>
      </c>
      <c r="G394" t="inlineStr">
        <is>
          <t>ÄLVDALEN</t>
        </is>
      </c>
      <c r="H394" t="inlineStr">
        <is>
          <t>Allmännings- och besparingsskogar</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60672-2025</t>
        </is>
      </c>
      <c r="B395" t="inlineStr">
        <is>
          <t>avverkningsanmälan</t>
        </is>
      </c>
      <c r="C395" t="inlineStr">
        <is>
          <t>Föryngringsavverkning</t>
        </is>
      </c>
      <c r="D395" s="1" t="n">
        <v>45996</v>
      </c>
      <c r="E395" s="1" t="n">
        <v>46294</v>
      </c>
      <c r="F395" t="inlineStr">
        <is>
          <t>DALARNAS LÄN</t>
        </is>
      </c>
      <c r="G395" t="inlineStr">
        <is>
          <t>ÄLVDALEN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6675-2025</t>
        </is>
      </c>
      <c r="B396" t="inlineStr">
        <is>
          <t>avverkningsanmälan</t>
        </is>
      </c>
      <c r="C396" t="inlineStr">
        <is>
          <t>Föryngringsavverkning</t>
        </is>
      </c>
      <c r="D396" s="1" t="n">
        <v>45700</v>
      </c>
      <c r="E396" s="1" t="n">
        <v>46294</v>
      </c>
      <c r="F396" t="inlineStr">
        <is>
          <t>DALARNAS LÄN</t>
        </is>
      </c>
      <c r="G396" t="inlineStr">
        <is>
          <t>ÄLVDALEN</t>
        </is>
      </c>
      <c r="H396" t="inlineStr">
        <is>
          <t>Allmännings- och besparingsskogar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10817-2025</t>
        </is>
      </c>
      <c r="B397" t="inlineStr">
        <is>
          <t>avverkningsanmälan</t>
        </is>
      </c>
      <c r="C397" t="inlineStr">
        <is>
          <t>Föryngringsavverkning</t>
        </is>
      </c>
      <c r="D397" s="1" t="n">
        <v>45722</v>
      </c>
      <c r="E397" s="1" t="n">
        <v>46294</v>
      </c>
      <c r="F397" t="inlineStr">
        <is>
          <t>DALARNAS LÄN</t>
        </is>
      </c>
      <c r="G397" t="inlineStr">
        <is>
          <t>ÄLVDALEN</t>
        </is>
      </c>
      <c r="H397" t="inlineStr">
        <is>
          <t>Kommuner</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10831-2025</t>
        </is>
      </c>
      <c r="B398" t="inlineStr">
        <is>
          <t>avverkningsanmälan</t>
        </is>
      </c>
      <c r="C398" t="inlineStr">
        <is>
          <t>Föryngringsavverkning</t>
        </is>
      </c>
      <c r="D398" s="1" t="n">
        <v>45722</v>
      </c>
      <c r="E398" s="1" t="n">
        <v>46294</v>
      </c>
      <c r="F398" t="inlineStr">
        <is>
          <t>DALARNAS LÄN</t>
        </is>
      </c>
      <c r="G398" t="inlineStr">
        <is>
          <t>ÄLVDALEN</t>
        </is>
      </c>
      <c r="H398" t="inlineStr">
        <is>
          <t>Kommuner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6936-2026</t>
        </is>
      </c>
      <c r="B399" t="inlineStr">
        <is>
          <t>avverkningsanmälan</t>
        </is>
      </c>
      <c r="C399" t="inlineStr">
        <is>
          <t>Föryngringsavverkning</t>
        </is>
      </c>
      <c r="D399" s="1" t="n">
        <v>46057</v>
      </c>
      <c r="E399" s="1" t="n">
        <v>46294</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41446-2024</t>
        </is>
      </c>
      <c r="B400" t="inlineStr">
        <is>
          <t>avverkningsanmälan</t>
        </is>
      </c>
      <c r="C400" t="inlineStr">
        <is>
          <t>Avverkning för annat ändamål</t>
        </is>
      </c>
      <c r="D400" s="1" t="n">
        <v>45560</v>
      </c>
      <c r="E400" s="1" t="n">
        <v>46294</v>
      </c>
      <c r="F400" t="inlineStr">
        <is>
          <t>DALARNAS LÄN</t>
        </is>
      </c>
      <c r="G400" t="inlineStr">
        <is>
          <t>ÄLVDALEN</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60793-2022</t>
        </is>
      </c>
      <c r="B401" t="inlineStr">
        <is>
          <t>avverkningsanmälan</t>
        </is>
      </c>
      <c r="C401" t="inlineStr">
        <is>
          <t>Föryngringsavverkning</t>
        </is>
      </c>
      <c r="D401" s="1" t="n">
        <v>44911</v>
      </c>
      <c r="E401" s="1" t="n">
        <v>46294</v>
      </c>
      <c r="F401" t="inlineStr">
        <is>
          <t>DALARNAS LÄN</t>
        </is>
      </c>
      <c r="G401" t="inlineStr">
        <is>
          <t>ÄLVDALEN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7784-2026</t>
        </is>
      </c>
      <c r="B402" t="inlineStr">
        <is>
          <t>avverkningsanmälan</t>
        </is>
      </c>
      <c r="C402" t="inlineStr">
        <is>
          <t>Föryngringsavverkning</t>
        </is>
      </c>
      <c r="D402" s="1" t="n">
        <v>46062</v>
      </c>
      <c r="E402" s="1" t="n">
        <v>46294</v>
      </c>
      <c r="F402" t="inlineStr">
        <is>
          <t>DALARNAS LÄN</t>
        </is>
      </c>
      <c r="G402" t="inlineStr">
        <is>
          <t>ÄLVDALEN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7782-2026</t>
        </is>
      </c>
      <c r="B403" t="inlineStr">
        <is>
          <t>avverkningsanmälan</t>
        </is>
      </c>
      <c r="C403" t="inlineStr">
        <is>
          <t>Föryngringsavverkning</t>
        </is>
      </c>
      <c r="D403" s="1" t="n">
        <v>46062</v>
      </c>
      <c r="E403" s="1" t="n">
        <v>46294</v>
      </c>
      <c r="F403" t="inlineStr">
        <is>
          <t>DALARNAS LÄN</t>
        </is>
      </c>
      <c r="G403" t="inlineStr">
        <is>
          <t>ÄLVDALEN</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7795-2026</t>
        </is>
      </c>
      <c r="B404" t="inlineStr">
        <is>
          <t>avverkningsanmälan</t>
        </is>
      </c>
      <c r="C404" t="inlineStr">
        <is>
          <t>Föryngringsavverkning</t>
        </is>
      </c>
      <c r="D404" s="1" t="n">
        <v>46062</v>
      </c>
      <c r="E404" s="1" t="n">
        <v>46294</v>
      </c>
      <c r="F404" t="inlineStr">
        <is>
          <t>DALARNAS LÄN</t>
        </is>
      </c>
      <c r="G404" t="inlineStr">
        <is>
          <t>ÄLVDALEN</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7802-2026</t>
        </is>
      </c>
      <c r="B405" t="inlineStr">
        <is>
          <t>avverkningsanmälan</t>
        </is>
      </c>
      <c r="C405" t="inlineStr">
        <is>
          <t>Föryngringsavverkning</t>
        </is>
      </c>
      <c r="D405" s="1" t="n">
        <v>46062</v>
      </c>
      <c r="E405" s="1" t="n">
        <v>46294</v>
      </c>
      <c r="F405" t="inlineStr">
        <is>
          <t>DALARNAS LÄN</t>
        </is>
      </c>
      <c r="G405" t="inlineStr">
        <is>
          <t>ÄLVDALEN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32361-2024</t>
        </is>
      </c>
      <c r="B406" t="inlineStr">
        <is>
          <t>avverkningsanmälan</t>
        </is>
      </c>
      <c r="C406" t="inlineStr">
        <is>
          <t>Avverkning för annat ändamål</t>
        </is>
      </c>
      <c r="D406" s="1" t="n">
        <v>45512</v>
      </c>
      <c r="E406" s="1" t="n">
        <v>46294</v>
      </c>
      <c r="F406" t="inlineStr">
        <is>
          <t>DALARNAS LÄN</t>
        </is>
      </c>
      <c r="G406" t="inlineStr">
        <is>
          <t>ÄLVDALEN</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7788-2026</t>
        </is>
      </c>
      <c r="B407" t="inlineStr">
        <is>
          <t>avverkningsanmälan</t>
        </is>
      </c>
      <c r="C407" t="inlineStr">
        <is>
          <t>Föryngringsavverkning</t>
        </is>
      </c>
      <c r="D407" s="1" t="n">
        <v>46062</v>
      </c>
      <c r="E407" s="1" t="n">
        <v>46294</v>
      </c>
      <c r="F407" t="inlineStr">
        <is>
          <t>DALARNAS LÄN</t>
        </is>
      </c>
      <c r="G407" t="inlineStr">
        <is>
          <t>ÄLVDALEN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37665-2023</t>
        </is>
      </c>
      <c r="B408" t="inlineStr">
        <is>
          <t>avverkningsanmälan</t>
        </is>
      </c>
      <c r="C408" t="inlineStr">
        <is>
          <t>Föryngringsavverkning</t>
        </is>
      </c>
      <c r="D408" s="1" t="n">
        <v>45159</v>
      </c>
      <c r="E408" s="1" t="n">
        <v>46294</v>
      </c>
      <c r="F408" t="inlineStr">
        <is>
          <t>DALARNAS LÄN</t>
        </is>
      </c>
      <c r="G408" t="inlineStr">
        <is>
          <t>ÄLVDALEN</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8644-2026</t>
        </is>
      </c>
      <c r="B409" t="inlineStr">
        <is>
          <t>avverkningsanmälan</t>
        </is>
      </c>
      <c r="C409" t="inlineStr">
        <is>
          <t>Föryngringsavverkning</t>
        </is>
      </c>
      <c r="D409" s="1" t="n">
        <v>46066</v>
      </c>
      <c r="E409" s="1" t="n">
        <v>46294</v>
      </c>
      <c r="F409" t="inlineStr">
        <is>
          <t>DALARNAS LÄN</t>
        </is>
      </c>
      <c r="G409" t="inlineStr">
        <is>
          <t>ÄLVDALEN</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9492-2026</t>
        </is>
      </c>
      <c r="B410" t="inlineStr">
        <is>
          <t>avverkningsanmälan</t>
        </is>
      </c>
      <c r="C410" t="inlineStr">
        <is>
          <t>Föryngringsavverkning</t>
        </is>
      </c>
      <c r="D410" s="1" t="n">
        <v>46071</v>
      </c>
      <c r="E410" s="1" t="n">
        <v>46294</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9498-2026</t>
        </is>
      </c>
      <c r="B411" t="inlineStr">
        <is>
          <t>avverkningsanmälan</t>
        </is>
      </c>
      <c r="C411" t="inlineStr">
        <is>
          <t>Föryngringsavverkning</t>
        </is>
      </c>
      <c r="D411" s="1" t="n">
        <v>46071</v>
      </c>
      <c r="E411" s="1" t="n">
        <v>46294</v>
      </c>
      <c r="F411" t="inlineStr">
        <is>
          <t>DALARNAS LÄN</t>
        </is>
      </c>
      <c r="G411" t="inlineStr">
        <is>
          <t>ÄLVDALEN</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9915-2026</t>
        </is>
      </c>
      <c r="B412" t="inlineStr">
        <is>
          <t>avverkningsanmälan</t>
        </is>
      </c>
      <c r="C412" t="inlineStr">
        <is>
          <t>Föryngringsavverkning</t>
        </is>
      </c>
      <c r="D412" s="1" t="n">
        <v>46073</v>
      </c>
      <c r="E412" s="1" t="n">
        <v>46294</v>
      </c>
      <c r="F412" t="inlineStr">
        <is>
          <t>DALARNAS LÄN</t>
        </is>
      </c>
      <c r="G412" t="inlineStr">
        <is>
          <t>ÄLVDALEN</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63329-2023</t>
        </is>
      </c>
      <c r="B413" t="inlineStr">
        <is>
          <t>avverkningsanmälan</t>
        </is>
      </c>
      <c r="C413" t="inlineStr">
        <is>
          <t>Föryngringsavverkning</t>
        </is>
      </c>
      <c r="D413" s="1" t="n">
        <v>45274</v>
      </c>
      <c r="E413" s="1" t="n">
        <v>46294</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29610-2024</t>
        </is>
      </c>
      <c r="B414" t="inlineStr">
        <is>
          <t>avverkningsanmälan</t>
        </is>
      </c>
      <c r="C414" t="inlineStr">
        <is>
          <t>Föryngringsavverkning</t>
        </is>
      </c>
      <c r="D414" s="1" t="n">
        <v>45484</v>
      </c>
      <c r="E414" s="1" t="n">
        <v>46294</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28467-2024</t>
        </is>
      </c>
      <c r="B415" t="inlineStr">
        <is>
          <t>avverkningsanmälan</t>
        </is>
      </c>
      <c r="C415" t="inlineStr">
        <is>
          <t>Föryngringsavverkning</t>
        </is>
      </c>
      <c r="D415" s="1" t="n">
        <v>45477</v>
      </c>
      <c r="E415" s="1" t="n">
        <v>46294</v>
      </c>
      <c r="F415" t="inlineStr">
        <is>
          <t>DALARNAS LÄN</t>
        </is>
      </c>
      <c r="G415" t="inlineStr">
        <is>
          <t>ÄLVDALEN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10704-2026</t>
        </is>
      </c>
      <c r="B416" t="inlineStr">
        <is>
          <t>avverkningsanmälan</t>
        </is>
      </c>
      <c r="C416" t="inlineStr">
        <is>
          <t>Föryngringsavverkning</t>
        </is>
      </c>
      <c r="D416" s="1" t="n">
        <v>46078</v>
      </c>
      <c r="E416" s="1" t="n">
        <v>46294</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3893-2024</t>
        </is>
      </c>
      <c r="B417" t="inlineStr">
        <is>
          <t>avverkningsanmälan</t>
        </is>
      </c>
      <c r="C417" t="inlineStr">
        <is>
          <t>Föryngringsavverkning</t>
        </is>
      </c>
      <c r="D417" s="1" t="n">
        <v>45322</v>
      </c>
      <c r="E417" s="1" t="n">
        <v>46294</v>
      </c>
      <c r="F417" t="inlineStr">
        <is>
          <t>DALARNAS LÄN</t>
        </is>
      </c>
      <c r="G417" t="inlineStr">
        <is>
          <t>ÄLVDALEN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11801-2026</t>
        </is>
      </c>
      <c r="B418" t="inlineStr">
        <is>
          <t>avverkningsanmälan</t>
        </is>
      </c>
      <c r="C418" t="inlineStr">
        <is>
          <t>Föryngringsavverkning</t>
        </is>
      </c>
      <c r="D418" s="1" t="n">
        <v>46085</v>
      </c>
      <c r="E418" s="1" t="n">
        <v>46294</v>
      </c>
      <c r="F418" t="inlineStr">
        <is>
          <t>DALARNAS LÄN</t>
        </is>
      </c>
      <c r="G418" t="inlineStr">
        <is>
          <t>ÄLVDALEN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5063-2025</t>
        </is>
      </c>
      <c r="B419" t="inlineStr">
        <is>
          <t>avverkningsanmälan</t>
        </is>
      </c>
      <c r="C419" t="inlineStr">
        <is>
          <t>Avverkning för att bevara och utveckla /försöksver</t>
        </is>
      </c>
      <c r="D419" s="1" t="n">
        <v>45691</v>
      </c>
      <c r="E419" s="1" t="n">
        <v>46294</v>
      </c>
      <c r="F419" t="inlineStr">
        <is>
          <t>DALARNAS LÄN</t>
        </is>
      </c>
      <c r="G419" t="inlineStr">
        <is>
          <t>ÄLVDALEN</t>
        </is>
      </c>
      <c r="H419" t="inlineStr">
        <is>
          <t>Bergvik skog väst AB</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777-2025</t>
        </is>
      </c>
      <c r="B420" t="inlineStr">
        <is>
          <t>avverkningsanmälan</t>
        </is>
      </c>
      <c r="C420" t="inlineStr">
        <is>
          <t>Föryngringsavverkning</t>
        </is>
      </c>
      <c r="D420" s="1" t="n">
        <v>45665</v>
      </c>
      <c r="E420" s="1" t="n">
        <v>46294</v>
      </c>
      <c r="F420" t="inlineStr">
        <is>
          <t>DALARNAS LÄN</t>
        </is>
      </c>
      <c r="G420" t="inlineStr">
        <is>
          <t>ÄLVDALEN</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18075-2024</t>
        </is>
      </c>
      <c r="B421" t="inlineStr">
        <is>
          <t>avverkningsanmälan</t>
        </is>
      </c>
      <c r="C421" t="inlineStr">
        <is>
          <t>Föryngringsavverkning</t>
        </is>
      </c>
      <c r="D421" s="1" t="n">
        <v>45420</v>
      </c>
      <c r="E421" s="1" t="n">
        <v>46294</v>
      </c>
      <c r="F421" t="inlineStr">
        <is>
          <t>DALARNAS LÄN</t>
        </is>
      </c>
      <c r="G421" t="inlineStr">
        <is>
          <t>ÄLVDALEN</t>
        </is>
      </c>
      <c r="H421" t="inlineStr">
        <is>
          <t>Bergvik skog väst AB</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14358-2026</t>
        </is>
      </c>
      <c r="B422" t="inlineStr">
        <is>
          <t>avverkningsanmälan</t>
        </is>
      </c>
      <c r="C422" t="inlineStr">
        <is>
          <t>Föryngringsavverkning</t>
        </is>
      </c>
      <c r="D422" s="1" t="n">
        <v>46100</v>
      </c>
      <c r="E422" s="1" t="n">
        <v>46294</v>
      </c>
      <c r="F422" t="inlineStr">
        <is>
          <t>DALARNAS LÄN</t>
        </is>
      </c>
      <c r="G422" t="inlineStr">
        <is>
          <t>ÄLVDALEN</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15841-2026</t>
        </is>
      </c>
      <c r="B423" t="inlineStr">
        <is>
          <t>avverkningsanmälan</t>
        </is>
      </c>
      <c r="C423" t="inlineStr">
        <is>
          <t>Avverkning för annat ändamål</t>
        </is>
      </c>
      <c r="D423" s="1" t="n">
        <v>46107</v>
      </c>
      <c r="E423" s="1" t="n">
        <v>46294</v>
      </c>
      <c r="F423" t="inlineStr">
        <is>
          <t>DALARNAS LÄN</t>
        </is>
      </c>
      <c r="G423" t="inlineStr">
        <is>
          <t>ÄLVDALEN</t>
        </is>
      </c>
      <c r="H423" t="inlineStr">
        <is>
          <t>Allmännings- och besparingsskogar</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16488-2026</t>
        </is>
      </c>
      <c r="B424" t="inlineStr">
        <is>
          <t>avverkningsanmälan</t>
        </is>
      </c>
      <c r="C424" t="inlineStr">
        <is>
          <t>Föryngringsavverkning</t>
        </is>
      </c>
      <c r="D424" s="1" t="n">
        <v>46112</v>
      </c>
      <c r="E424" s="1" t="n">
        <v>46294</v>
      </c>
      <c r="F424" t="inlineStr">
        <is>
          <t>DALARNAS LÄN</t>
        </is>
      </c>
      <c r="G424" t="inlineStr">
        <is>
          <t>ÄLVDALEN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16489-2026</t>
        </is>
      </c>
      <c r="B425" t="inlineStr">
        <is>
          <t>avverkningsanmälan</t>
        </is>
      </c>
      <c r="C425" t="inlineStr">
        <is>
          <t>Avverkning för annat ändamål</t>
        </is>
      </c>
      <c r="D425" s="1" t="n">
        <v>46112</v>
      </c>
      <c r="E425" s="1" t="n">
        <v>46294</v>
      </c>
      <c r="F425" t="inlineStr">
        <is>
          <t>DALARNAS LÄN</t>
        </is>
      </c>
      <c r="G425" t="inlineStr">
        <is>
          <t>ÄLVDALEN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59483-2024</t>
        </is>
      </c>
      <c r="B426" t="inlineStr">
        <is>
          <t>avverkningsanmälan</t>
        </is>
      </c>
      <c r="C426" t="inlineStr">
        <is>
          <t>Föryngringsavverkning</t>
        </is>
      </c>
      <c r="D426" s="1" t="n">
        <v>45638</v>
      </c>
      <c r="E426" s="1" t="n">
        <v>46294</v>
      </c>
      <c r="F426" t="inlineStr">
        <is>
          <t>DALARNAS LÄN</t>
        </is>
      </c>
      <c r="G426" t="inlineStr">
        <is>
          <t>ÄLVDALEN</t>
        </is>
      </c>
      <c r="H426" t="inlineStr">
        <is>
          <t>Allmännings- och besparingsskogar</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59547-2023</t>
        </is>
      </c>
      <c r="B427" t="inlineStr">
        <is>
          <t>avverkningsanmälan</t>
        </is>
      </c>
      <c r="C427" t="inlineStr">
        <is>
          <t>Föryngringsavverkning</t>
        </is>
      </c>
      <c r="D427" s="1" t="n">
        <v>45254</v>
      </c>
      <c r="E427" s="1" t="n">
        <v>46294</v>
      </c>
      <c r="F427" t="inlineStr">
        <is>
          <t>DALARNAS LÄN</t>
        </is>
      </c>
      <c r="G427" t="inlineStr">
        <is>
          <t>ÄLVDALEN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8538-2025</t>
        </is>
      </c>
      <c r="B428" t="inlineStr">
        <is>
          <t>avverkningsanmälan</t>
        </is>
      </c>
      <c r="C428" t="inlineStr">
        <is>
          <t>Föryngringsavverkning</t>
        </is>
      </c>
      <c r="D428" s="1" t="n">
        <v>45709</v>
      </c>
      <c r="E428" s="1" t="n">
        <v>46294</v>
      </c>
      <c r="F428" t="inlineStr">
        <is>
          <t>DALARNAS LÄN</t>
        </is>
      </c>
      <c r="G428" t="inlineStr">
        <is>
          <t>ÄLVDALEN</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8784-2024</t>
        </is>
      </c>
      <c r="B429" t="inlineStr">
        <is>
          <t>avverkningsanmälan</t>
        </is>
      </c>
      <c r="C429" t="inlineStr">
        <is>
          <t>Föryngringsavverkning</t>
        </is>
      </c>
      <c r="D429" s="1" t="n">
        <v>45356</v>
      </c>
      <c r="E429" s="1" t="n">
        <v>46294</v>
      </c>
      <c r="F429" t="inlineStr">
        <is>
          <t>DALARNAS LÄN</t>
        </is>
      </c>
      <c r="G429" t="inlineStr">
        <is>
          <t>ÄLVDALEN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59207-2022</t>
        </is>
      </c>
      <c r="B430" t="inlineStr">
        <is>
          <t>avverkningsanmälan</t>
        </is>
      </c>
      <c r="C430" t="inlineStr">
        <is>
          <t>Föryngringsavverkning</t>
        </is>
      </c>
      <c r="D430" s="1" t="n">
        <v>44904</v>
      </c>
      <c r="E430" s="1" t="n">
        <v>46294</v>
      </c>
      <c r="F430" t="inlineStr">
        <is>
          <t>DALARNAS LÄN</t>
        </is>
      </c>
      <c r="G430" t="inlineStr">
        <is>
          <t>ÄLVDALEN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49723-2023</t>
        </is>
      </c>
      <c r="B431" t="inlineStr">
        <is>
          <t>avverkningsanmälan</t>
        </is>
      </c>
      <c r="C431" t="inlineStr">
        <is>
          <t>Föryngringsavverkning</t>
        </is>
      </c>
      <c r="D431" s="1" t="n">
        <v>45212</v>
      </c>
      <c r="E431" s="1" t="n">
        <v>46294</v>
      </c>
      <c r="F431" t="inlineStr">
        <is>
          <t>DALARNAS LÄN</t>
        </is>
      </c>
      <c r="G431" t="inlineStr">
        <is>
          <t>ÄLVDALEN</t>
        </is>
      </c>
      <c r="H431" t="inlineStr">
        <is>
          <t>Bergvik skog väst AB</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18614-2026</t>
        </is>
      </c>
      <c r="B432" t="inlineStr">
        <is>
          <t>avverkningsanmälan</t>
        </is>
      </c>
      <c r="C432" t="inlineStr">
        <is>
          <t>Föryngringsavverkning</t>
        </is>
      </c>
      <c r="D432" s="1" t="n">
        <v>46127</v>
      </c>
      <c r="E432" s="1" t="n">
        <v>46294</v>
      </c>
      <c r="F432" t="inlineStr">
        <is>
          <t>DALARNAS LÄN</t>
        </is>
      </c>
      <c r="G432" t="inlineStr">
        <is>
          <t>ÄLVDALEN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48954-2023</t>
        </is>
      </c>
      <c r="B433" t="inlineStr">
        <is>
          <t>avverkningsanmälan</t>
        </is>
      </c>
      <c r="C433" t="inlineStr">
        <is>
          <t>Föryngringsavverkning</t>
        </is>
      </c>
      <c r="D433" s="1" t="n">
        <v>45209</v>
      </c>
      <c r="E433" s="1" t="n">
        <v>46294</v>
      </c>
      <c r="F433" t="inlineStr">
        <is>
          <t>DALARNAS LÄN</t>
        </is>
      </c>
      <c r="G433" t="inlineStr">
        <is>
          <t>ÄLVDALEN</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18619-2026</t>
        </is>
      </c>
      <c r="B434" t="inlineStr">
        <is>
          <t>avverkningsanmälan</t>
        </is>
      </c>
      <c r="C434" t="inlineStr">
        <is>
          <t>Föryngringsavverkning</t>
        </is>
      </c>
      <c r="D434" s="1" t="n">
        <v>46127</v>
      </c>
      <c r="E434" s="1" t="n">
        <v>46294</v>
      </c>
      <c r="F434" t="inlineStr">
        <is>
          <t>DALARNAS LÄN</t>
        </is>
      </c>
      <c r="G434" t="inlineStr">
        <is>
          <t>ÄLVDALEN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34835-2023</t>
        </is>
      </c>
      <c r="B435" t="inlineStr">
        <is>
          <t>avverkningsanmälan</t>
        </is>
      </c>
      <c r="C435" t="inlineStr">
        <is>
          <t>Föryngringsavverkning</t>
        </is>
      </c>
      <c r="D435" s="1" t="n">
        <v>45141</v>
      </c>
      <c r="E435" s="1" t="n">
        <v>46294</v>
      </c>
      <c r="F435" t="inlineStr">
        <is>
          <t>DALARNAS LÄN</t>
        </is>
      </c>
      <c r="G435" t="inlineStr">
        <is>
          <t>ÄLVDALEN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45245-2022</t>
        </is>
      </c>
      <c r="B436" t="inlineStr">
        <is>
          <t>avverkningsanmälan</t>
        </is>
      </c>
      <c r="C436" t="inlineStr">
        <is>
          <t>Föryngringsavverkning</t>
        </is>
      </c>
      <c r="D436" s="1" t="n">
        <v>44844</v>
      </c>
      <c r="E436" s="1" t="n">
        <v>46294</v>
      </c>
      <c r="F436" t="inlineStr">
        <is>
          <t>DALARNAS LÄN</t>
        </is>
      </c>
      <c r="G436" t="inlineStr">
        <is>
          <t>ÄLVDALEN</t>
        </is>
      </c>
      <c r="H436" t="inlineStr">
        <is>
          <t>Bergvik skog väst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31857-2023</t>
        </is>
      </c>
      <c r="B437" t="inlineStr">
        <is>
          <t>avverkningsanmälan</t>
        </is>
      </c>
      <c r="C437" t="inlineStr">
        <is>
          <t>Föryngringsavverkning</t>
        </is>
      </c>
      <c r="D437" s="1" t="n">
        <v>45106</v>
      </c>
      <c r="E437" s="1" t="n">
        <v>46294</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58848-2022</t>
        </is>
      </c>
      <c r="B438" t="inlineStr">
        <is>
          <t>avverkningsanmälan</t>
        </is>
      </c>
      <c r="C438" t="inlineStr">
        <is>
          <t>Avverkning för annat ändamål</t>
        </is>
      </c>
      <c r="D438" s="1" t="n">
        <v>44896</v>
      </c>
      <c r="E438" s="1" t="n">
        <v>46294</v>
      </c>
      <c r="F438" t="inlineStr">
        <is>
          <t>DALARNAS LÄN</t>
        </is>
      </c>
      <c r="G438" t="inlineStr">
        <is>
          <t>ÄLVDALEN</t>
        </is>
      </c>
      <c r="H438" t="inlineStr">
        <is>
          <t>Övriga statliga verk och myndigheter</t>
        </is>
      </c>
      <c r="I438" t="n">
        <v>18.1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23570-2023</t>
        </is>
      </c>
      <c r="B439" t="inlineStr">
        <is>
          <t>avverkningsanmälan</t>
        </is>
      </c>
      <c r="C439" t="inlineStr">
        <is>
          <t>Föryngringsavverkning</t>
        </is>
      </c>
      <c r="D439" s="1" t="n">
        <v>45077</v>
      </c>
      <c r="E439" s="1" t="n">
        <v>46294</v>
      </c>
      <c r="F439" t="inlineStr">
        <is>
          <t>DALARNAS LÄN</t>
        </is>
      </c>
      <c r="G439" t="inlineStr">
        <is>
          <t>ÄLVDALEN</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41566-2025</t>
        </is>
      </c>
      <c r="B440" t="inlineStr">
        <is>
          <t>avverkningsanmälan</t>
        </is>
      </c>
      <c r="C440" t="inlineStr">
        <is>
          <t>Föryngringsavverkning</t>
        </is>
      </c>
      <c r="D440" s="1" t="n">
        <v>45901</v>
      </c>
      <c r="E440" s="1" t="n">
        <v>46294</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17346-2022</t>
        </is>
      </c>
      <c r="B441" t="inlineStr">
        <is>
          <t>avverkningsanmälan</t>
        </is>
      </c>
      <c r="C441" t="inlineStr">
        <is>
          <t>Föryngringsavverkning</t>
        </is>
      </c>
      <c r="D441" s="1" t="n">
        <v>44678</v>
      </c>
      <c r="E441" s="1" t="n">
        <v>46294</v>
      </c>
      <c r="F441" t="inlineStr">
        <is>
          <t>DALARNAS LÄN</t>
        </is>
      </c>
      <c r="G441" t="inlineStr">
        <is>
          <t>ÄLVDALEN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57560-2024</t>
        </is>
      </c>
      <c r="B442" t="inlineStr">
        <is>
          <t>avverkningsanmälan</t>
        </is>
      </c>
      <c r="C442" t="inlineStr">
        <is>
          <t>Föryngringsavverkning</t>
        </is>
      </c>
      <c r="D442" s="1" t="n">
        <v>45630</v>
      </c>
      <c r="E442" s="1" t="n">
        <v>46294</v>
      </c>
      <c r="F442" t="inlineStr">
        <is>
          <t>DALARNAS LÄN</t>
        </is>
      </c>
      <c r="G442" t="inlineStr">
        <is>
          <t>ÄLVDALEN</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23369-2023</t>
        </is>
      </c>
      <c r="B443" t="inlineStr">
        <is>
          <t>avverkningsanmälan</t>
        </is>
      </c>
      <c r="C443" t="inlineStr">
        <is>
          <t>Avverkning för annat ändamål</t>
        </is>
      </c>
      <c r="D443" s="1" t="n">
        <v>45076</v>
      </c>
      <c r="E443" s="1" t="n">
        <v>46294</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29819-2024</t>
        </is>
      </c>
      <c r="B444" t="inlineStr">
        <is>
          <t>avverkningsanmälan</t>
        </is>
      </c>
      <c r="C444" t="inlineStr">
        <is>
          <t>Föryngringsavverkning</t>
        </is>
      </c>
      <c r="D444" s="1" t="n">
        <v>45485</v>
      </c>
      <c r="E444" s="1" t="n">
        <v>46294</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2674-2026</t>
        </is>
      </c>
      <c r="B445" t="inlineStr">
        <is>
          <t>avverkningsanmälan</t>
        </is>
      </c>
      <c r="C445" t="inlineStr">
        <is>
          <t>Föryngringsavverkning</t>
        </is>
      </c>
      <c r="D445" s="1" t="n">
        <v>46037</v>
      </c>
      <c r="E445" s="1" t="n">
        <v>46294</v>
      </c>
      <c r="F445" t="inlineStr">
        <is>
          <t>DALARNAS LÄN</t>
        </is>
      </c>
      <c r="G445" t="inlineStr">
        <is>
          <t>ÄLVDALEN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57467-2023</t>
        </is>
      </c>
      <c r="B446" t="inlineStr">
        <is>
          <t>avverkningsanmälan</t>
        </is>
      </c>
      <c r="C446" t="inlineStr">
        <is>
          <t>Föryngringsavverkning</t>
        </is>
      </c>
      <c r="D446" s="1" t="n">
        <v>45246</v>
      </c>
      <c r="E446" s="1" t="n">
        <v>46294</v>
      </c>
      <c r="F446" t="inlineStr">
        <is>
          <t>DALARNAS LÄN</t>
        </is>
      </c>
      <c r="G446" t="inlineStr">
        <is>
          <t>ÄLVDALEN</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32838-2023</t>
        </is>
      </c>
      <c r="B447" t="inlineStr">
        <is>
          <t>avverkningsanmälan</t>
        </is>
      </c>
      <c r="C447" t="inlineStr">
        <is>
          <t>Föryngringsavverkning</t>
        </is>
      </c>
      <c r="D447" s="1" t="n">
        <v>45124</v>
      </c>
      <c r="E447" s="1" t="n">
        <v>46294</v>
      </c>
      <c r="F447" t="inlineStr">
        <is>
          <t>DALARNAS LÄN</t>
        </is>
      </c>
      <c r="G447" t="inlineStr">
        <is>
          <t>ÄLVDALEN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48849-2022</t>
        </is>
      </c>
      <c r="B448" t="inlineStr">
        <is>
          <t>avverkningsanmälan</t>
        </is>
      </c>
      <c r="C448" t="inlineStr">
        <is>
          <t>Avverkning för annat ändamål</t>
        </is>
      </c>
      <c r="D448" s="1" t="n">
        <v>44859</v>
      </c>
      <c r="E448" s="1" t="n">
        <v>46294</v>
      </c>
      <c r="F448" t="inlineStr">
        <is>
          <t>DALARNAS LÄN</t>
        </is>
      </c>
      <c r="G448" t="inlineStr">
        <is>
          <t>ÄLVDALEN</t>
        </is>
      </c>
      <c r="H448" t="inlineStr">
        <is>
          <t>Allmännings- och besparingsskogar</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47936-2024</t>
        </is>
      </c>
      <c r="B449" t="inlineStr">
        <is>
          <t>avverkningsanmälan</t>
        </is>
      </c>
      <c r="C449" t="inlineStr">
        <is>
          <t>Föryngringsavverkning</t>
        </is>
      </c>
      <c r="D449" s="1" t="n">
        <v>45589</v>
      </c>
      <c r="E449" s="1" t="n">
        <v>46294</v>
      </c>
      <c r="F449" t="inlineStr">
        <is>
          <t>DALARNAS LÄN</t>
        </is>
      </c>
      <c r="G449" t="inlineStr">
        <is>
          <t>ÄLVDALEN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39227-2024</t>
        </is>
      </c>
      <c r="B450" t="inlineStr">
        <is>
          <t>avverkningsanmälan</t>
        </is>
      </c>
      <c r="C450" t="inlineStr">
        <is>
          <t>Avverkning för annat ändamål</t>
        </is>
      </c>
      <c r="D450" s="1" t="n">
        <v>45550</v>
      </c>
      <c r="E450" s="1" t="n">
        <v>46294</v>
      </c>
      <c r="F450" t="inlineStr">
        <is>
          <t>DALARNAS LÄN</t>
        </is>
      </c>
      <c r="G450" t="inlineStr">
        <is>
          <t>ÄLVDALEN</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11084-2026</t>
        </is>
      </c>
      <c r="B451" t="inlineStr">
        <is>
          <t>avverkningsanmälan</t>
        </is>
      </c>
      <c r="C451" t="inlineStr">
        <is>
          <t>Föryngringsavverkning</t>
        </is>
      </c>
      <c r="D451" s="1" t="n">
        <v>46079</v>
      </c>
      <c r="E451" s="1" t="n">
        <v>46294</v>
      </c>
      <c r="F451" t="inlineStr">
        <is>
          <t>DALARNAS LÄN</t>
        </is>
      </c>
      <c r="G451" t="inlineStr">
        <is>
          <t>ÄLVDALEN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3859-2026</t>
        </is>
      </c>
      <c r="B452" t="inlineStr">
        <is>
          <t>avverkningsanmälan</t>
        </is>
      </c>
      <c r="C452" t="inlineStr">
        <is>
          <t>Föryngringsavverkning</t>
        </is>
      </c>
      <c r="D452" s="1" t="n">
        <v>46043</v>
      </c>
      <c r="E452" s="1" t="n">
        <v>46294</v>
      </c>
      <c r="F452" t="inlineStr">
        <is>
          <t>DALARNAS LÄN</t>
        </is>
      </c>
      <c r="G452" t="inlineStr">
        <is>
          <t>ÄLVDALEN</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74322-2021</t>
        </is>
      </c>
      <c r="B453" t="inlineStr">
        <is>
          <t>avverkningsanmälan</t>
        </is>
      </c>
      <c r="C453" t="inlineStr">
        <is>
          <t>Föryngringsavverkning</t>
        </is>
      </c>
      <c r="D453" s="1" t="n">
        <v>44558</v>
      </c>
      <c r="E453" s="1" t="n">
        <v>46294</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60265-2021</t>
        </is>
      </c>
      <c r="B454" t="inlineStr">
        <is>
          <t>avverkningsanmälan</t>
        </is>
      </c>
      <c r="C454" t="inlineStr">
        <is>
          <t>Föryngringsavverkning</t>
        </is>
      </c>
      <c r="D454" s="1" t="n">
        <v>44495</v>
      </c>
      <c r="E454" s="1" t="n">
        <v>46294</v>
      </c>
      <c r="F454" t="inlineStr">
        <is>
          <t>DALARNAS LÄN</t>
        </is>
      </c>
      <c r="G454" t="inlineStr">
        <is>
          <t>ÄLVDALEN</t>
        </is>
      </c>
      <c r="H454" t="inlineStr">
        <is>
          <t>Allmännings- och besparingsskogar</t>
        </is>
      </c>
      <c r="I454" t="n">
        <v>10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14089-2022</t>
        </is>
      </c>
      <c r="B455" t="inlineStr">
        <is>
          <t>avverkningsanmälan</t>
        </is>
      </c>
      <c r="C455" t="inlineStr">
        <is>
          <t>Avverkning för annat ändamål</t>
        </is>
      </c>
      <c r="D455" s="1" t="n">
        <v>44651</v>
      </c>
      <c r="E455" s="1" t="n">
        <v>46294</v>
      </c>
      <c r="F455" t="inlineStr">
        <is>
          <t>DALARNAS LÄN</t>
        </is>
      </c>
      <c r="G455" t="inlineStr">
        <is>
          <t>ÄLVDALEN</t>
        </is>
      </c>
      <c r="H455" t="inlineStr">
        <is>
          <t>Kommuner</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21433-2026</t>
        </is>
      </c>
      <c r="B456" t="inlineStr">
        <is>
          <t>avverkningsanmälan</t>
        </is>
      </c>
      <c r="C456" t="inlineStr">
        <is>
          <t>Föryngringsavverkning</t>
        </is>
      </c>
      <c r="D456" s="1" t="n">
        <v>46148</v>
      </c>
      <c r="E456" s="1" t="n">
        <v>46294</v>
      </c>
      <c r="F456" t="inlineStr">
        <is>
          <t>DALARNAS LÄN</t>
        </is>
      </c>
      <c r="G456" t="inlineStr">
        <is>
          <t>ÄLVDALEN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23999-2024</t>
        </is>
      </c>
      <c r="B457" t="inlineStr">
        <is>
          <t>avverkningsanmälan</t>
        </is>
      </c>
      <c r="C457" t="inlineStr">
        <is>
          <t>Föryngringsavverkning</t>
        </is>
      </c>
      <c r="D457" s="1" t="n">
        <v>45456</v>
      </c>
      <c r="E457" s="1" t="n">
        <v>46294</v>
      </c>
      <c r="F457" t="inlineStr">
        <is>
          <t>DALARNAS LÄN</t>
        </is>
      </c>
      <c r="G457" t="inlineStr">
        <is>
          <t>ÄLVDALEN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24002-2024</t>
        </is>
      </c>
      <c r="B458" t="inlineStr">
        <is>
          <t>avverkningsanmälan</t>
        </is>
      </c>
      <c r="C458" t="inlineStr">
        <is>
          <t>Föryngringsavverkning</t>
        </is>
      </c>
      <c r="D458" s="1" t="n">
        <v>45456</v>
      </c>
      <c r="E458" s="1" t="n">
        <v>46294</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21716-2026</t>
        </is>
      </c>
      <c r="B459" t="inlineStr">
        <is>
          <t>avverkningsanmälan</t>
        </is>
      </c>
      <c r="C459" t="inlineStr">
        <is>
          <t>Föryngringsavverkning</t>
        </is>
      </c>
      <c r="D459" s="1" t="n">
        <v>46149</v>
      </c>
      <c r="E459" s="1" t="n">
        <v>46294</v>
      </c>
      <c r="F459" t="inlineStr">
        <is>
          <t>DALARNAS LÄN</t>
        </is>
      </c>
      <c r="G459" t="inlineStr">
        <is>
          <t>ÄLVDALEN</t>
        </is>
      </c>
      <c r="H459" t="inlineStr">
        <is>
          <t>Bergvik skog väst AB</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4380-2024</t>
        </is>
      </c>
      <c r="B460" t="inlineStr">
        <is>
          <t>avverkningsanmälan</t>
        </is>
      </c>
      <c r="C460" t="inlineStr">
        <is>
          <t>Föryngringsavverkning</t>
        </is>
      </c>
      <c r="D460" s="1" t="n">
        <v>45327</v>
      </c>
      <c r="E460" s="1" t="n">
        <v>46294</v>
      </c>
      <c r="F460" t="inlineStr">
        <is>
          <t>DALARNAS LÄN</t>
        </is>
      </c>
      <c r="G460" t="inlineStr">
        <is>
          <t>ÄLVDALEN</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21713-2026</t>
        </is>
      </c>
      <c r="B461" t="inlineStr">
        <is>
          <t>avverkningsanmälan</t>
        </is>
      </c>
      <c r="C461" t="inlineStr">
        <is>
          <t>Föryngringsavverkning</t>
        </is>
      </c>
      <c r="D461" s="1" t="n">
        <v>46149</v>
      </c>
      <c r="E461" s="1" t="n">
        <v>46294</v>
      </c>
      <c r="F461" t="inlineStr">
        <is>
          <t>DALARNAS LÄN</t>
        </is>
      </c>
      <c r="G461" t="inlineStr">
        <is>
          <t>ÄLVDALEN</t>
        </is>
      </c>
      <c r="H461" t="inlineStr">
        <is>
          <t>Bergvik skog väst AB</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21412-2026</t>
        </is>
      </c>
      <c r="B462" t="inlineStr">
        <is>
          <t>avverkningsanmälan</t>
        </is>
      </c>
      <c r="C462" t="inlineStr">
        <is>
          <t>Föryngringsavverkning</t>
        </is>
      </c>
      <c r="D462" s="1" t="n">
        <v>46148</v>
      </c>
      <c r="E462" s="1" t="n">
        <v>46294</v>
      </c>
      <c r="F462" t="inlineStr">
        <is>
          <t>DALARNAS LÄN</t>
        </is>
      </c>
      <c r="G462" t="inlineStr">
        <is>
          <t>ÄLVDALEN</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30225-2023</t>
        </is>
      </c>
      <c r="B463" t="inlineStr">
        <is>
          <t>avverkningsanmälan</t>
        </is>
      </c>
      <c r="C463" t="inlineStr">
        <is>
          <t>Föryngringsavverkning</t>
        </is>
      </c>
      <c r="D463" s="1" t="n">
        <v>45110</v>
      </c>
      <c r="E463" s="1" t="n">
        <v>46294</v>
      </c>
      <c r="F463" t="inlineStr">
        <is>
          <t>DALARNAS LÄN</t>
        </is>
      </c>
      <c r="G463" t="inlineStr">
        <is>
          <t>ÄLVDALEN</t>
        </is>
      </c>
      <c r="H463" t="inlineStr">
        <is>
          <t>Allmännings- och besparingsskogar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21456-2026</t>
        </is>
      </c>
      <c r="B464" t="inlineStr">
        <is>
          <t>avverkningsanmälan</t>
        </is>
      </c>
      <c r="C464" t="inlineStr">
        <is>
          <t>Föryngringsavverkning</t>
        </is>
      </c>
      <c r="D464" s="1" t="n">
        <v>46148</v>
      </c>
      <c r="E464" s="1" t="n">
        <v>46294</v>
      </c>
      <c r="F464" t="inlineStr">
        <is>
          <t>DALARNAS LÄN</t>
        </is>
      </c>
      <c r="G464" t="inlineStr">
        <is>
          <t>ÄLVDALEN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21724-2026</t>
        </is>
      </c>
      <c r="B465" t="inlineStr">
        <is>
          <t>avverkningsanmälan</t>
        </is>
      </c>
      <c r="C465" t="inlineStr">
        <is>
          <t>Föryngringsavverkning</t>
        </is>
      </c>
      <c r="D465" s="1" t="n">
        <v>46149</v>
      </c>
      <c r="E465" s="1" t="n">
        <v>46294</v>
      </c>
      <c r="F465" t="inlineStr">
        <is>
          <t>DALARNAS LÄN</t>
        </is>
      </c>
      <c r="G465" t="inlineStr">
        <is>
          <t>ÄLVDALEN</t>
        </is>
      </c>
      <c r="H465" t="inlineStr">
        <is>
          <t>Bergvik skog väst AB</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22225-2026</t>
        </is>
      </c>
      <c r="B466" t="inlineStr">
        <is>
          <t>avverkningsanmälan</t>
        </is>
      </c>
      <c r="C466" t="inlineStr">
        <is>
          <t>Föryngringsavverkning</t>
        </is>
      </c>
      <c r="D466" s="1" t="n">
        <v>46153</v>
      </c>
      <c r="E466" s="1" t="n">
        <v>46294</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22306-2026</t>
        </is>
      </c>
      <c r="B467" t="inlineStr">
        <is>
          <t>avverkningsanmälan</t>
        </is>
      </c>
      <c r="C467" t="inlineStr">
        <is>
          <t>Föryngringsavverkning</t>
        </is>
      </c>
      <c r="D467" s="1" t="n">
        <v>46154</v>
      </c>
      <c r="E467" s="1" t="n">
        <v>46294</v>
      </c>
      <c r="F467" t="inlineStr">
        <is>
          <t>DALARNAS LÄN</t>
        </is>
      </c>
      <c r="G467" t="inlineStr">
        <is>
          <t>ÄLVDALEN</t>
        </is>
      </c>
      <c r="I467" t="n">
        <v>8.6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22847-2023</t>
        </is>
      </c>
      <c r="B468" t="inlineStr">
        <is>
          <t>avverkningsanmälan</t>
        </is>
      </c>
      <c r="C468" t="inlineStr">
        <is>
          <t>Föryngringsavverkning</t>
        </is>
      </c>
      <c r="D468" s="1" t="n">
        <v>45072</v>
      </c>
      <c r="E468" s="1" t="n">
        <v>46294</v>
      </c>
      <c r="F468" t="inlineStr">
        <is>
          <t>DALARNAS LÄN</t>
        </is>
      </c>
      <c r="G468" t="inlineStr">
        <is>
          <t>ÄLVDALEN</t>
        </is>
      </c>
      <c r="H468" t="inlineStr">
        <is>
          <t>Bergvik skog väst AB</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29565-2022</t>
        </is>
      </c>
      <c r="B469" t="inlineStr">
        <is>
          <t>avverkningsanmälan</t>
        </is>
      </c>
      <c r="C469" t="inlineStr">
        <is>
          <t>Föryngringsavverkning</t>
        </is>
      </c>
      <c r="D469" s="1" t="n">
        <v>44754</v>
      </c>
      <c r="E469" s="1" t="n">
        <v>46294</v>
      </c>
      <c r="F469" t="inlineStr">
        <is>
          <t>DALARNAS LÄN</t>
        </is>
      </c>
      <c r="G469" t="inlineStr">
        <is>
          <t>ÄLVDALEN</t>
        </is>
      </c>
      <c r="I469" t="n">
        <v>8.300000000000001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59478-2024</t>
        </is>
      </c>
      <c r="B470" t="inlineStr">
        <is>
          <t>avverkningsanmälan</t>
        </is>
      </c>
      <c r="C470" t="inlineStr">
        <is>
          <t>Föryngringsavverkning</t>
        </is>
      </c>
      <c r="D470" s="1" t="n">
        <v>45638</v>
      </c>
      <c r="E470" s="1" t="n">
        <v>46294</v>
      </c>
      <c r="F470" t="inlineStr">
        <is>
          <t>DALARNAS LÄN</t>
        </is>
      </c>
      <c r="G470" t="inlineStr">
        <is>
          <t>ÄLVDALEN</t>
        </is>
      </c>
      <c r="H470" t="inlineStr">
        <is>
          <t>Allmännings- och besparingsskogar</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771-2025</t>
        </is>
      </c>
      <c r="B471" t="inlineStr">
        <is>
          <t>avverkningsanmälan</t>
        </is>
      </c>
      <c r="C471" t="inlineStr">
        <is>
          <t>Föryngringsavverkning</t>
        </is>
      </c>
      <c r="D471" s="1" t="n">
        <v>45665</v>
      </c>
      <c r="E471" s="1" t="n">
        <v>46294</v>
      </c>
      <c r="F471" t="inlineStr">
        <is>
          <t>DALARNAS LÄN</t>
        </is>
      </c>
      <c r="G471" t="inlineStr">
        <is>
          <t>ÄLVDALEN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6791-2025</t>
        </is>
      </c>
      <c r="B472" t="inlineStr">
        <is>
          <t>avverkningsanmälan</t>
        </is>
      </c>
      <c r="C472" t="inlineStr">
        <is>
          <t>Föryngringsavverkning</t>
        </is>
      </c>
      <c r="D472" s="1" t="n">
        <v>45700</v>
      </c>
      <c r="E472" s="1" t="n">
        <v>46294</v>
      </c>
      <c r="F472" t="inlineStr">
        <is>
          <t>DALARNAS LÄN</t>
        </is>
      </c>
      <c r="G472" t="inlineStr">
        <is>
          <t>ÄLVDALEN</t>
        </is>
      </c>
      <c r="I472" t="n">
        <v>30.2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46927-2024</t>
        </is>
      </c>
      <c r="B473" t="inlineStr">
        <is>
          <t>avverkningsanmälan</t>
        </is>
      </c>
      <c r="C473" t="inlineStr">
        <is>
          <t>Föryngringsavverkning</t>
        </is>
      </c>
      <c r="D473" s="1" t="n">
        <v>45584</v>
      </c>
      <c r="E473" s="1" t="n">
        <v>46294</v>
      </c>
      <c r="F473" t="inlineStr">
        <is>
          <t>DALARNAS LÄN</t>
        </is>
      </c>
      <c r="G473" t="inlineStr">
        <is>
          <t>ÄLVDALEN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29713-2022</t>
        </is>
      </c>
      <c r="B474" t="inlineStr">
        <is>
          <t>avverkningsanmälan</t>
        </is>
      </c>
      <c r="C474" t="inlineStr">
        <is>
          <t>Föryngringsavverkning</t>
        </is>
      </c>
      <c r="D474" s="1" t="n">
        <v>44755</v>
      </c>
      <c r="E474" s="1" t="n">
        <v>46294</v>
      </c>
      <c r="F474" t="inlineStr">
        <is>
          <t>DALARNAS LÄN</t>
        </is>
      </c>
      <c r="G474" t="inlineStr">
        <is>
          <t>ÄLVDALEN</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52107-2022</t>
        </is>
      </c>
      <c r="B475" t="inlineStr">
        <is>
          <t>avverkningsanmälan</t>
        </is>
      </c>
      <c r="C475" t="inlineStr">
        <is>
          <t>Föryngringsavverkning</t>
        </is>
      </c>
      <c r="D475" s="1" t="n">
        <v>44873</v>
      </c>
      <c r="E475" s="1" t="n">
        <v>46294</v>
      </c>
      <c r="F475" t="inlineStr">
        <is>
          <t>DALARNAS LÄN</t>
        </is>
      </c>
      <c r="G475" t="inlineStr">
        <is>
          <t>ÄLVDALEN</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56222-2023</t>
        </is>
      </c>
      <c r="B476" t="inlineStr">
        <is>
          <t>avverkningsanmälan</t>
        </is>
      </c>
      <c r="C476" t="inlineStr">
        <is>
          <t>Föryngringsavverkning</t>
        </is>
      </c>
      <c r="D476" s="1" t="n">
        <v>45240</v>
      </c>
      <c r="E476" s="1" t="n">
        <v>46294</v>
      </c>
      <c r="F476" t="inlineStr">
        <is>
          <t>DALARNAS LÄN</t>
        </is>
      </c>
      <c r="G476" t="inlineStr">
        <is>
          <t>ÄLVDALEN</t>
        </is>
      </c>
      <c r="H476" t="inlineStr">
        <is>
          <t>Övriga Aktiebolag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56224-2023</t>
        </is>
      </c>
      <c r="B477" t="inlineStr">
        <is>
          <t>avverkningsanmälan</t>
        </is>
      </c>
      <c r="C477" t="inlineStr">
        <is>
          <t>Föryngringsavverkning</t>
        </is>
      </c>
      <c r="D477" s="1" t="n">
        <v>45240</v>
      </c>
      <c r="E477" s="1" t="n">
        <v>46294</v>
      </c>
      <c r="F477" t="inlineStr">
        <is>
          <t>DALARNAS LÄN</t>
        </is>
      </c>
      <c r="G477" t="inlineStr">
        <is>
          <t>ÄLVDALEN</t>
        </is>
      </c>
      <c r="H477" t="inlineStr">
        <is>
          <t>Övriga Aktiebolag</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57821-2023</t>
        </is>
      </c>
      <c r="B478" t="inlineStr">
        <is>
          <t>avverkningsanmälan</t>
        </is>
      </c>
      <c r="C478" t="inlineStr">
        <is>
          <t>Föryngringsavverkning</t>
        </is>
      </c>
      <c r="D478" s="1" t="n">
        <v>45247</v>
      </c>
      <c r="E478" s="1" t="n">
        <v>46294</v>
      </c>
      <c r="F478" t="inlineStr">
        <is>
          <t>DALARNAS LÄN</t>
        </is>
      </c>
      <c r="G478" t="inlineStr">
        <is>
          <t>ÄLVDALEN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24203-2026</t>
        </is>
      </c>
      <c r="B479" t="inlineStr">
        <is>
          <t>avverkningsanmälan</t>
        </is>
      </c>
      <c r="C479" t="inlineStr">
        <is>
          <t>Föryngringsavverkning</t>
        </is>
      </c>
      <c r="D479" s="1" t="n">
        <v>46168</v>
      </c>
      <c r="E479" s="1" t="n">
        <v>46294</v>
      </c>
      <c r="F479" t="inlineStr">
        <is>
          <t>DALARNAS LÄN</t>
        </is>
      </c>
      <c r="G479" t="inlineStr">
        <is>
          <t>ÄLVDALEN</t>
        </is>
      </c>
      <c r="H479" t="inlineStr">
        <is>
          <t>Bergvik skog väst AB</t>
        </is>
      </c>
      <c r="I479" t="n">
        <v>22.4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45167-2022</t>
        </is>
      </c>
      <c r="B480" t="inlineStr">
        <is>
          <t>avverkningsanmälan</t>
        </is>
      </c>
      <c r="C480" t="inlineStr">
        <is>
          <t>Föryngringsavverkning</t>
        </is>
      </c>
      <c r="D480" s="1" t="n">
        <v>44844</v>
      </c>
      <c r="E480" s="1" t="n">
        <v>46294</v>
      </c>
      <c r="F480" t="inlineStr">
        <is>
          <t>DALARNAS LÄN</t>
        </is>
      </c>
      <c r="G480" t="inlineStr">
        <is>
          <t>ÄLVDALEN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5925-2026</t>
        </is>
      </c>
      <c r="B481" t="inlineStr">
        <is>
          <t>avverkningsanmälan</t>
        </is>
      </c>
      <c r="C481" t="inlineStr">
        <is>
          <t>Föryngringsavverkning</t>
        </is>
      </c>
      <c r="D481" s="1" t="n">
        <v>46052</v>
      </c>
      <c r="E481" s="1" t="n">
        <v>46294</v>
      </c>
      <c r="F481" t="inlineStr">
        <is>
          <t>DALARNAS LÄN</t>
        </is>
      </c>
      <c r="G481" t="inlineStr">
        <is>
          <t>ÄLVDALEN</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25053-2026</t>
        </is>
      </c>
      <c r="B482" t="inlineStr">
        <is>
          <t>avverkningsanmälan</t>
        </is>
      </c>
      <c r="C482" t="inlineStr">
        <is>
          <t>Föryngringsavverkning</t>
        </is>
      </c>
      <c r="D482" s="1" t="n">
        <v>46174</v>
      </c>
      <c r="E482" s="1" t="n">
        <v>46294</v>
      </c>
      <c r="F482" t="inlineStr">
        <is>
          <t>DALARNAS LÄN</t>
        </is>
      </c>
      <c r="G482" t="inlineStr">
        <is>
          <t>ÄLVDALEN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25056-2026</t>
        </is>
      </c>
      <c r="B483" t="inlineStr">
        <is>
          <t>avverkningsanmälan</t>
        </is>
      </c>
      <c r="C483" t="inlineStr">
        <is>
          <t>Föryngringsavverkning</t>
        </is>
      </c>
      <c r="D483" s="1" t="n">
        <v>46174</v>
      </c>
      <c r="E483" s="1" t="n">
        <v>46294</v>
      </c>
      <c r="F483" t="inlineStr">
        <is>
          <t>DALARNAS LÄN</t>
        </is>
      </c>
      <c r="G483" t="inlineStr">
        <is>
          <t>ÄLVDALEN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24971-2026</t>
        </is>
      </c>
      <c r="B484" t="inlineStr">
        <is>
          <t>avverkningsanmälan</t>
        </is>
      </c>
      <c r="C484" t="inlineStr">
        <is>
          <t>Föryngringsavverkning</t>
        </is>
      </c>
      <c r="D484" s="1" t="n">
        <v>46174</v>
      </c>
      <c r="E484" s="1" t="n">
        <v>46294</v>
      </c>
      <c r="F484" t="inlineStr">
        <is>
          <t>DALARNAS LÄN</t>
        </is>
      </c>
      <c r="G484" t="inlineStr">
        <is>
          <t>ÄLVDALEN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47751-2024</t>
        </is>
      </c>
      <c r="B485" t="inlineStr">
        <is>
          <t>avverkningsanmälan</t>
        </is>
      </c>
      <c r="C485" t="inlineStr">
        <is>
          <t>Föryngringsavverkning</t>
        </is>
      </c>
      <c r="D485" s="1" t="n">
        <v>45588</v>
      </c>
      <c r="E485" s="1" t="n">
        <v>46294</v>
      </c>
      <c r="F485" t="inlineStr">
        <is>
          <t>DALARNAS LÄN</t>
        </is>
      </c>
      <c r="G485" t="inlineStr">
        <is>
          <t>ÄLVDALEN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47873-2023</t>
        </is>
      </c>
      <c r="B486" t="inlineStr">
        <is>
          <t>avverkningsanmälan</t>
        </is>
      </c>
      <c r="C486" t="inlineStr">
        <is>
          <t>Föryngringsavverkning</t>
        </is>
      </c>
      <c r="D486" s="1" t="n">
        <v>45204</v>
      </c>
      <c r="E486" s="1" t="n">
        <v>46294</v>
      </c>
      <c r="F486" t="inlineStr">
        <is>
          <t>DALARNAS LÄN</t>
        </is>
      </c>
      <c r="G486" t="inlineStr">
        <is>
          <t>ÄLVDALEN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24988-2026</t>
        </is>
      </c>
      <c r="B487" t="inlineStr">
        <is>
          <t>avverkningsanmälan</t>
        </is>
      </c>
      <c r="C487" t="inlineStr">
        <is>
          <t>Föryngringsavverkning</t>
        </is>
      </c>
      <c r="D487" s="1" t="n">
        <v>46174</v>
      </c>
      <c r="E487" s="1" t="n">
        <v>46294</v>
      </c>
      <c r="F487" t="inlineStr">
        <is>
          <t>DALARNAS LÄN</t>
        </is>
      </c>
      <c r="G487" t="inlineStr">
        <is>
          <t>ÄLVDALEN</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46409-2025</t>
        </is>
      </c>
      <c r="B488" t="inlineStr">
        <is>
          <t>avverkningsanmälan</t>
        </is>
      </c>
      <c r="C488" t="inlineStr">
        <is>
          <t>Föryngringsavverkning</t>
        </is>
      </c>
      <c r="D488" s="1" t="n">
        <v>45925</v>
      </c>
      <c r="E488" s="1" t="n">
        <v>46294</v>
      </c>
      <c r="F488" t="inlineStr">
        <is>
          <t>DALARNAS LÄN</t>
        </is>
      </c>
      <c r="G488" t="inlineStr">
        <is>
          <t>ÄLVDALEN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31690-2024</t>
        </is>
      </c>
      <c r="B489" t="inlineStr">
        <is>
          <t>avverkningsanmälan</t>
        </is>
      </c>
      <c r="C489" t="inlineStr">
        <is>
          <t>Föryngringsavverkning</t>
        </is>
      </c>
      <c r="D489" s="1" t="n">
        <v>45507</v>
      </c>
      <c r="E489" s="1" t="n">
        <v>46294</v>
      </c>
      <c r="F489" t="inlineStr">
        <is>
          <t>DALARNAS LÄN</t>
        </is>
      </c>
      <c r="G489" t="inlineStr">
        <is>
          <t>ÄLVDALEN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46294</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9719-2023</t>
        </is>
      </c>
      <c r="B491" t="inlineStr">
        <is>
          <t>avverkningsanmälan</t>
        </is>
      </c>
      <c r="C491" t="inlineStr">
        <is>
          <t>Föryngringsavverkning</t>
        </is>
      </c>
      <c r="D491" s="1" t="n">
        <v>44978</v>
      </c>
      <c r="E491" s="1" t="n">
        <v>46294</v>
      </c>
      <c r="F491" t="inlineStr">
        <is>
          <t>DALARNAS LÄN</t>
        </is>
      </c>
      <c r="G491" t="inlineStr">
        <is>
          <t>ÄLVDALEN</t>
        </is>
      </c>
      <c r="I491" t="n">
        <v>20.2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1138-2026</t>
        </is>
      </c>
      <c r="B492" t="inlineStr">
        <is>
          <t>avverkningsanmälan</t>
        </is>
      </c>
      <c r="C492" t="inlineStr">
        <is>
          <t>Föryngringsavverkning</t>
        </is>
      </c>
      <c r="D492" s="1" t="n">
        <v>46030</v>
      </c>
      <c r="E492" s="1" t="n">
        <v>46294</v>
      </c>
      <c r="F492" t="inlineStr">
        <is>
          <t>DALARNAS LÄN</t>
        </is>
      </c>
      <c r="G492" t="inlineStr">
        <is>
          <t>ÄLVDALEN</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25606-2026</t>
        </is>
      </c>
      <c r="B493" t="inlineStr">
        <is>
          <t>avverkningsanmälan</t>
        </is>
      </c>
      <c r="C493" t="inlineStr">
        <is>
          <t>Föryngringsavverkning</t>
        </is>
      </c>
      <c r="D493" s="1" t="n">
        <v>46177</v>
      </c>
      <c r="E493" s="1" t="n">
        <v>46294</v>
      </c>
      <c r="F493" t="inlineStr">
        <is>
          <t>DALARNAS LÄN</t>
        </is>
      </c>
      <c r="G493" t="inlineStr">
        <is>
          <t>ÄLVDALEN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52469-2022</t>
        </is>
      </c>
      <c r="B494" t="inlineStr">
        <is>
          <t>avverkningsanmälan</t>
        </is>
      </c>
      <c r="C494" t="inlineStr">
        <is>
          <t>Föryngringsavverkning</t>
        </is>
      </c>
      <c r="D494" s="1" t="n">
        <v>44874</v>
      </c>
      <c r="E494" s="1" t="n">
        <v>46294</v>
      </c>
      <c r="F494" t="inlineStr">
        <is>
          <t>DALARNAS LÄN</t>
        </is>
      </c>
      <c r="G494" t="inlineStr">
        <is>
          <t>ÄLVDALEN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28884-2023</t>
        </is>
      </c>
      <c r="B495" t="inlineStr">
        <is>
          <t>avverkningsanmälan</t>
        </is>
      </c>
      <c r="C495" t="inlineStr">
        <is>
          <t>Föryngringsavverkning</t>
        </is>
      </c>
      <c r="D495" s="1" t="n">
        <v>45104</v>
      </c>
      <c r="E495" s="1" t="n">
        <v>46294</v>
      </c>
      <c r="F495" t="inlineStr">
        <is>
          <t>DALARNAS LÄN</t>
        </is>
      </c>
      <c r="G495" t="inlineStr">
        <is>
          <t>ÄLVDALEN</t>
        </is>
      </c>
      <c r="H495" t="inlineStr">
        <is>
          <t>Allmännings- och besparingsskogar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30987-2023</t>
        </is>
      </c>
      <c r="B496" t="inlineStr">
        <is>
          <t>avverkningsanmälan</t>
        </is>
      </c>
      <c r="C496" t="inlineStr">
        <is>
          <t>Föryngringsavverkning</t>
        </is>
      </c>
      <c r="D496" s="1" t="n">
        <v>45113</v>
      </c>
      <c r="E496" s="1" t="n">
        <v>46294</v>
      </c>
      <c r="F496" t="inlineStr">
        <is>
          <t>DALARNAS LÄN</t>
        </is>
      </c>
      <c r="G496" t="inlineStr">
        <is>
          <t>ÄLVDALEN</t>
        </is>
      </c>
      <c r="H496" t="inlineStr">
        <is>
          <t>Allmännings- och besparingsskogar</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33107-2023</t>
        </is>
      </c>
      <c r="B497" t="inlineStr">
        <is>
          <t>avverkningsanmälan</t>
        </is>
      </c>
      <c r="C497" t="inlineStr">
        <is>
          <t>Föryngringsavverkning</t>
        </is>
      </c>
      <c r="D497" s="1" t="n">
        <v>45114</v>
      </c>
      <c r="E497" s="1" t="n">
        <v>46294</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30985-2023</t>
        </is>
      </c>
      <c r="B498" t="inlineStr">
        <is>
          <t>avverkningsanmälan</t>
        </is>
      </c>
      <c r="C498" t="inlineStr">
        <is>
          <t>Föryngringsavverkning</t>
        </is>
      </c>
      <c r="D498" s="1" t="n">
        <v>45113</v>
      </c>
      <c r="E498" s="1" t="n">
        <v>46294</v>
      </c>
      <c r="F498" t="inlineStr">
        <is>
          <t>DALARNAS LÄN</t>
        </is>
      </c>
      <c r="G498" t="inlineStr">
        <is>
          <t>ÄLVDALEN</t>
        </is>
      </c>
      <c r="H498" t="inlineStr">
        <is>
          <t>Allmännings- och besparingsskogar</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33100-2023</t>
        </is>
      </c>
      <c r="B499" t="inlineStr">
        <is>
          <t>avverkningsanmälan</t>
        </is>
      </c>
      <c r="C499" t="inlineStr">
        <is>
          <t>Föryngringsavverkning</t>
        </is>
      </c>
      <c r="D499" s="1" t="n">
        <v>45114</v>
      </c>
      <c r="E499" s="1" t="n">
        <v>46294</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37438-2024</t>
        </is>
      </c>
      <c r="B500" t="inlineStr">
        <is>
          <t>avverkningsanmälan</t>
        </is>
      </c>
      <c r="C500" t="inlineStr">
        <is>
          <t>Föryngringsavverkning</t>
        </is>
      </c>
      <c r="D500" s="1" t="n">
        <v>45540</v>
      </c>
      <c r="E500" s="1" t="n">
        <v>46294</v>
      </c>
      <c r="F500" t="inlineStr">
        <is>
          <t>DALARNAS LÄN</t>
        </is>
      </c>
      <c r="G500" t="inlineStr">
        <is>
          <t>ÄLVDALEN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15759-2024</t>
        </is>
      </c>
      <c r="B501" t="inlineStr">
        <is>
          <t>avverkningsanmälan</t>
        </is>
      </c>
      <c r="C501" t="inlineStr">
        <is>
          <t>Föryngringsavverkning</t>
        </is>
      </c>
      <c r="D501" s="1" t="n">
        <v>45404</v>
      </c>
      <c r="E501" s="1" t="n">
        <v>46294</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627-2025</t>
        </is>
      </c>
      <c r="B502" t="inlineStr">
        <is>
          <t>avverkningsanmälan</t>
        </is>
      </c>
      <c r="C502" t="inlineStr">
        <is>
          <t>Föryngringsavverkning</t>
        </is>
      </c>
      <c r="D502" s="1" t="n">
        <v>45660</v>
      </c>
      <c r="E502" s="1" t="n">
        <v>46294</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46294</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47081-2023</t>
        </is>
      </c>
      <c r="B504" t="inlineStr">
        <is>
          <t>avverkningsanmälan</t>
        </is>
      </c>
      <c r="C504" t="inlineStr">
        <is>
          <t>Föryngringsavverkning</t>
        </is>
      </c>
      <c r="D504" s="1" t="n">
        <v>45201</v>
      </c>
      <c r="E504" s="1" t="n">
        <v>46294</v>
      </c>
      <c r="F504" t="inlineStr">
        <is>
          <t>DALARNAS LÄN</t>
        </is>
      </c>
      <c r="G504" t="inlineStr">
        <is>
          <t>ÄLVDALEN</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59209-2022</t>
        </is>
      </c>
      <c r="B505" t="inlineStr">
        <is>
          <t>avverkningsanmälan</t>
        </is>
      </c>
      <c r="C505" t="inlineStr">
        <is>
          <t>Föryngringsavverkning</t>
        </is>
      </c>
      <c r="D505" s="1" t="n">
        <v>44904</v>
      </c>
      <c r="E505" s="1" t="n">
        <v>46294</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59138-2023</t>
        </is>
      </c>
      <c r="B506" t="inlineStr">
        <is>
          <t>avverkningsanmälan</t>
        </is>
      </c>
      <c r="C506" t="inlineStr">
        <is>
          <t>Föryngringsavverkning</t>
        </is>
      </c>
      <c r="D506" s="1" t="n">
        <v>45253</v>
      </c>
      <c r="E506" s="1" t="n">
        <v>46294</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33102-2023</t>
        </is>
      </c>
      <c r="B507" t="inlineStr">
        <is>
          <t>avverkningsanmälan</t>
        </is>
      </c>
      <c r="C507" t="inlineStr">
        <is>
          <t>Föryngringsavverkning</t>
        </is>
      </c>
      <c r="D507" s="1" t="n">
        <v>45114</v>
      </c>
      <c r="E507" s="1" t="n">
        <v>46294</v>
      </c>
      <c r="F507" t="inlineStr">
        <is>
          <t>DALARNAS LÄN</t>
        </is>
      </c>
      <c r="G507" t="inlineStr">
        <is>
          <t>ÄLVDALEN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62315-2022</t>
        </is>
      </c>
      <c r="B508" t="inlineStr">
        <is>
          <t>avverkningsanmälan</t>
        </is>
      </c>
      <c r="C508" t="inlineStr">
        <is>
          <t>Föryngringsavverkning</t>
        </is>
      </c>
      <c r="D508" s="1" t="n">
        <v>44916</v>
      </c>
      <c r="E508" s="1" t="n">
        <v>46294</v>
      </c>
      <c r="F508" t="inlineStr">
        <is>
          <t>DALARNAS LÄN</t>
        </is>
      </c>
      <c r="G508" t="inlineStr">
        <is>
          <t>ÄLVDALEN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53168-2024</t>
        </is>
      </c>
      <c r="B509" t="inlineStr">
        <is>
          <t>avverkningsanmälan</t>
        </is>
      </c>
      <c r="C509" t="inlineStr">
        <is>
          <t>Föryngringsavverkning</t>
        </is>
      </c>
      <c r="D509" s="1" t="n">
        <v>45611</v>
      </c>
      <c r="E509" s="1" t="n">
        <v>46294</v>
      </c>
      <c r="F509" t="inlineStr">
        <is>
          <t>DALARNAS LÄN</t>
        </is>
      </c>
      <c r="G509" t="inlineStr">
        <is>
          <t>ÄLVDALEN</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34103-2026</t>
        </is>
      </c>
      <c r="B510" t="inlineStr">
        <is>
          <t>avverkningsanmälan</t>
        </is>
      </c>
      <c r="C510" t="inlineStr">
        <is>
          <t>Föryngringsavverkning</t>
        </is>
      </c>
      <c r="D510" s="1" t="n">
        <v>46252</v>
      </c>
      <c r="E510" s="1" t="n">
        <v>46294</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31281-2026</t>
        </is>
      </c>
      <c r="B511" t="inlineStr">
        <is>
          <t>avverkningsanmälan</t>
        </is>
      </c>
      <c r="C511" t="inlineStr">
        <is>
          <t>Föryngringsavverkning</t>
        </is>
      </c>
      <c r="D511" s="1" t="n">
        <v>46211</v>
      </c>
      <c r="E511" s="1" t="n">
        <v>46294</v>
      </c>
      <c r="F511" t="inlineStr">
        <is>
          <t>DALARNAS LÄN</t>
        </is>
      </c>
      <c r="G511" t="inlineStr">
        <is>
          <t>ÄLVDALEN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6230-2024</t>
        </is>
      </c>
      <c r="B512" t="inlineStr">
        <is>
          <t>avverkningsanmälan</t>
        </is>
      </c>
      <c r="C512" t="inlineStr">
        <is>
          <t>Föryngringsavverkning</t>
        </is>
      </c>
      <c r="D512" s="1" t="n">
        <v>45337</v>
      </c>
      <c r="E512" s="1" t="n">
        <v>46294</v>
      </c>
      <c r="F512" t="inlineStr">
        <is>
          <t>DALARNAS LÄN</t>
        </is>
      </c>
      <c r="G512" t="inlineStr">
        <is>
          <t>ÄLVDALEN</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56882-2022</t>
        </is>
      </c>
      <c r="B513" t="inlineStr">
        <is>
          <t>avverkningsanmälan</t>
        </is>
      </c>
      <c r="C513" t="inlineStr">
        <is>
          <t>Föryngringsavverkning</t>
        </is>
      </c>
      <c r="D513" s="1" t="n">
        <v>44894</v>
      </c>
      <c r="E513" s="1" t="n">
        <v>46294</v>
      </c>
      <c r="F513" t="inlineStr">
        <is>
          <t>DALARNAS LÄN</t>
        </is>
      </c>
      <c r="G513" t="inlineStr">
        <is>
          <t>ÄLVDALEN</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47877-2023</t>
        </is>
      </c>
      <c r="B514" t="inlineStr">
        <is>
          <t>avverkningsanmälan</t>
        </is>
      </c>
      <c r="C514" t="inlineStr">
        <is>
          <t>Föryngringsavverkning</t>
        </is>
      </c>
      <c r="D514" s="1" t="n">
        <v>45204</v>
      </c>
      <c r="E514" s="1" t="n">
        <v>46294</v>
      </c>
      <c r="F514" t="inlineStr">
        <is>
          <t>DALARNAS LÄN</t>
        </is>
      </c>
      <c r="G514" t="inlineStr">
        <is>
          <t>ÄLVDALEN</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5826-2023</t>
        </is>
      </c>
      <c r="B515" t="inlineStr">
        <is>
          <t>avverkningsanmälan</t>
        </is>
      </c>
      <c r="C515" t="inlineStr">
        <is>
          <t>Föryngringsavverkning</t>
        </is>
      </c>
      <c r="D515" s="1" t="n">
        <v>44963</v>
      </c>
      <c r="E515" s="1" t="n">
        <v>46294</v>
      </c>
      <c r="F515" t="inlineStr">
        <is>
          <t>DALARNAS LÄN</t>
        </is>
      </c>
      <c r="G515" t="inlineStr">
        <is>
          <t>ÄLVDALEN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34714-2026</t>
        </is>
      </c>
      <c r="B516" t="inlineStr">
        <is>
          <t>avverkningsanmälan</t>
        </is>
      </c>
      <c r="C516" t="inlineStr">
        <is>
          <t>Föryngringsavverkning</t>
        </is>
      </c>
      <c r="D516" s="1" t="n">
        <v>46258</v>
      </c>
      <c r="E516" s="1" t="n">
        <v>46294</v>
      </c>
      <c r="F516" t="inlineStr">
        <is>
          <t>DALARNAS LÄN</t>
        </is>
      </c>
      <c r="G516" t="inlineStr">
        <is>
          <t>ÄLVDALEN</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34724-2026</t>
        </is>
      </c>
      <c r="B517" t="inlineStr">
        <is>
          <t>avverkningsanmälan</t>
        </is>
      </c>
      <c r="C517" t="inlineStr">
        <is>
          <t>Föryngringsavverkning</t>
        </is>
      </c>
      <c r="D517" s="1" t="n">
        <v>46258</v>
      </c>
      <c r="E517" s="1" t="n">
        <v>46294</v>
      </c>
      <c r="F517" t="inlineStr">
        <is>
          <t>DALARNAS LÄN</t>
        </is>
      </c>
      <c r="G517" t="inlineStr">
        <is>
          <t>ÄLVDALEN</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11506-2026</t>
        </is>
      </c>
      <c r="B518" t="inlineStr">
        <is>
          <t>avverkningsanmälan</t>
        </is>
      </c>
      <c r="C518" t="inlineStr">
        <is>
          <t>Föryngringsavverkning</t>
        </is>
      </c>
      <c r="D518" s="1" t="n">
        <v>46083</v>
      </c>
      <c r="E518" s="1" t="n">
        <v>46294</v>
      </c>
      <c r="F518" t="inlineStr">
        <is>
          <t>DALARNAS LÄN</t>
        </is>
      </c>
      <c r="G518" t="inlineStr">
        <is>
          <t>ÄLVDALEN</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35030-2026</t>
        </is>
      </c>
      <c r="B519" t="inlineStr">
        <is>
          <t>avverkningsanmälan</t>
        </is>
      </c>
      <c r="C519" t="inlineStr">
        <is>
          <t>Föryngringsavverkning</t>
        </is>
      </c>
      <c r="D519" s="1" t="n">
        <v>46259</v>
      </c>
      <c r="E519" s="1" t="n">
        <v>46294</v>
      </c>
      <c r="F519" t="inlineStr">
        <is>
          <t>DALARNAS LÄN</t>
        </is>
      </c>
      <c r="G519" t="inlineStr">
        <is>
          <t>ÄLVDALEN</t>
        </is>
      </c>
      <c r="H519" t="inlineStr">
        <is>
          <t>Bergvik skog öst AB</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34729-2026</t>
        </is>
      </c>
      <c r="B520" t="inlineStr">
        <is>
          <t>avverkningsanmälan</t>
        </is>
      </c>
      <c r="C520" t="inlineStr">
        <is>
          <t>Föryngringsavverkning</t>
        </is>
      </c>
      <c r="D520" s="1" t="n">
        <v>46258</v>
      </c>
      <c r="E520" s="1" t="n">
        <v>46294</v>
      </c>
      <c r="F520" t="inlineStr">
        <is>
          <t>DALARNAS LÄN</t>
        </is>
      </c>
      <c r="G520" t="inlineStr">
        <is>
          <t>ÄLVDALEN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34732-2026</t>
        </is>
      </c>
      <c r="B521" t="inlineStr">
        <is>
          <t>avverkningsanmälan</t>
        </is>
      </c>
      <c r="C521" t="inlineStr">
        <is>
          <t>Föryngringsavverkning</t>
        </is>
      </c>
      <c r="D521" s="1" t="n">
        <v>46258</v>
      </c>
      <c r="E521" s="1" t="n">
        <v>46294</v>
      </c>
      <c r="F521" t="inlineStr">
        <is>
          <t>DALARNAS LÄN</t>
        </is>
      </c>
      <c r="G521" t="inlineStr">
        <is>
          <t>ÄLVDALEN</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35400-2026</t>
        </is>
      </c>
      <c r="B522" t="inlineStr">
        <is>
          <t>avverkningsanmälan</t>
        </is>
      </c>
      <c r="C522" t="inlineStr">
        <is>
          <t>Föryngringsavverkning</t>
        </is>
      </c>
      <c r="D522" s="1" t="n">
        <v>46261</v>
      </c>
      <c r="E522" s="1" t="n">
        <v>46294</v>
      </c>
      <c r="F522" t="inlineStr">
        <is>
          <t>DALARNAS LÄN</t>
        </is>
      </c>
      <c r="G522" t="inlineStr">
        <is>
          <t>ÄLVDALEN</t>
        </is>
      </c>
      <c r="H522" t="inlineStr">
        <is>
          <t>Allmännings- och besparingsskogar</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35096-2026</t>
        </is>
      </c>
      <c r="B523" t="inlineStr">
        <is>
          <t>avverkningsanmälan</t>
        </is>
      </c>
      <c r="C523" t="inlineStr">
        <is>
          <t>Föryngringsavverkning</t>
        </is>
      </c>
      <c r="D523" s="1" t="n">
        <v>46260</v>
      </c>
      <c r="E523" s="1" t="n">
        <v>46294</v>
      </c>
      <c r="F523" t="inlineStr">
        <is>
          <t>DALARNAS LÄN</t>
        </is>
      </c>
      <c r="G523" t="inlineStr">
        <is>
          <t>ÄLVDALEN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35285-2026</t>
        </is>
      </c>
      <c r="B524" t="inlineStr">
        <is>
          <t>avverkningsanmälan</t>
        </is>
      </c>
      <c r="C524" t="inlineStr">
        <is>
          <t>Föryngringsavverkning</t>
        </is>
      </c>
      <c r="D524" s="1" t="n">
        <v>46261</v>
      </c>
      <c r="E524" s="1" t="n">
        <v>46294</v>
      </c>
      <c r="F524" t="inlineStr">
        <is>
          <t>DALARNAS LÄN</t>
        </is>
      </c>
      <c r="G524" t="inlineStr">
        <is>
          <t>ÄLVDALEN</t>
        </is>
      </c>
      <c r="I524" t="n">
        <v>75.2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35332-2026</t>
        </is>
      </c>
      <c r="B525" t="inlineStr">
        <is>
          <t>avverkningsanmälan</t>
        </is>
      </c>
      <c r="C525" t="inlineStr">
        <is>
          <t>Föryngringsavverkning</t>
        </is>
      </c>
      <c r="D525" s="1" t="n">
        <v>46261</v>
      </c>
      <c r="E525" s="1" t="n">
        <v>46294</v>
      </c>
      <c r="F525" t="inlineStr">
        <is>
          <t>DALARNAS LÄN</t>
        </is>
      </c>
      <c r="G525" t="inlineStr">
        <is>
          <t>ÄLVDALEN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53408-2023</t>
        </is>
      </c>
      <c r="B526" t="inlineStr">
        <is>
          <t>avverkningsanmälan</t>
        </is>
      </c>
      <c r="C526" t="inlineStr">
        <is>
          <t>Föryngringsavverkning</t>
        </is>
      </c>
      <c r="D526" s="1" t="n">
        <v>45229</v>
      </c>
      <c r="E526" s="1" t="n">
        <v>46294</v>
      </c>
      <c r="F526" t="inlineStr">
        <is>
          <t>DALARNAS LÄN</t>
        </is>
      </c>
      <c r="G526" t="inlineStr">
        <is>
          <t>ÄLVDALEN</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70140-2021</t>
        </is>
      </c>
      <c r="B527" t="inlineStr">
        <is>
          <t>avverkningsanmälan</t>
        </is>
      </c>
      <c r="C527" t="inlineStr">
        <is>
          <t>Föryngringsavverkning</t>
        </is>
      </c>
      <c r="D527" s="1" t="n">
        <v>44533</v>
      </c>
      <c r="E527" s="1" t="n">
        <v>46294</v>
      </c>
      <c r="F527" t="inlineStr">
        <is>
          <t>DALARNAS LÄN</t>
        </is>
      </c>
      <c r="G527" t="inlineStr">
        <is>
          <t>ÄLVDALEN</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35552-2026</t>
        </is>
      </c>
      <c r="B528" t="inlineStr">
        <is>
          <t>avverkningsanmälan</t>
        </is>
      </c>
      <c r="C528" t="inlineStr">
        <is>
          <t>Föryngringsavverkning</t>
        </is>
      </c>
      <c r="D528" s="1" t="n">
        <v>46262</v>
      </c>
      <c r="E528" s="1" t="n">
        <v>46294</v>
      </c>
      <c r="F528" t="inlineStr">
        <is>
          <t>DALARNAS LÄN</t>
        </is>
      </c>
      <c r="G528" t="inlineStr">
        <is>
          <t>ÄLVDALEN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35555-2026</t>
        </is>
      </c>
      <c r="B529" t="inlineStr">
        <is>
          <t>avverkningsanmälan</t>
        </is>
      </c>
      <c r="C529" t="inlineStr">
        <is>
          <t>Föryngringsavverkning</t>
        </is>
      </c>
      <c r="D529" s="1" t="n">
        <v>46262</v>
      </c>
      <c r="E529" s="1" t="n">
        <v>46294</v>
      </c>
      <c r="F529" t="inlineStr">
        <is>
          <t>DALARNAS LÄN</t>
        </is>
      </c>
      <c r="G529" t="inlineStr">
        <is>
          <t>ÄLVDALEN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35557-2026</t>
        </is>
      </c>
      <c r="B530" t="inlineStr">
        <is>
          <t>avverkningsanmälan</t>
        </is>
      </c>
      <c r="C530" t="inlineStr">
        <is>
          <t>Föryngringsavverkning</t>
        </is>
      </c>
      <c r="D530" s="1" t="n">
        <v>46262</v>
      </c>
      <c r="E530" s="1" t="n">
        <v>46294</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31332-2023</t>
        </is>
      </c>
      <c r="B531" t="inlineStr">
        <is>
          <t>avverkningsanmälan</t>
        </is>
      </c>
      <c r="C531" t="inlineStr">
        <is>
          <t>Föryngringsavverkning</t>
        </is>
      </c>
      <c r="D531" s="1" t="n">
        <v>45114</v>
      </c>
      <c r="E531" s="1" t="n">
        <v>46294</v>
      </c>
      <c r="F531" t="inlineStr">
        <is>
          <t>DALARNAS LÄN</t>
        </is>
      </c>
      <c r="G531" t="inlineStr">
        <is>
          <t>ÄLVDALEN</t>
        </is>
      </c>
      <c r="H531" t="inlineStr">
        <is>
          <t>Övriga statliga verk och myndigheter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36462-2024</t>
        </is>
      </c>
      <c r="B532" t="inlineStr">
        <is>
          <t>avverkningsanmälan</t>
        </is>
      </c>
      <c r="C532" t="inlineStr">
        <is>
          <t>Föryngringsavverkning</t>
        </is>
      </c>
      <c r="D532" s="1" t="n">
        <v>45537</v>
      </c>
      <c r="E532" s="1" t="n">
        <v>46294</v>
      </c>
      <c r="F532" t="inlineStr">
        <is>
          <t>DALARNAS LÄN</t>
        </is>
      </c>
      <c r="G532" t="inlineStr">
        <is>
          <t>ÄLVDALEN</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35562-2026</t>
        </is>
      </c>
      <c r="B533" t="inlineStr">
        <is>
          <t>avverkningsanmälan</t>
        </is>
      </c>
      <c r="C533" t="inlineStr">
        <is>
          <t>Föryngringsavverkning</t>
        </is>
      </c>
      <c r="D533" s="1" t="n">
        <v>46262</v>
      </c>
      <c r="E533" s="1" t="n">
        <v>46294</v>
      </c>
      <c r="F533" t="inlineStr">
        <is>
          <t>DALARNAS LÄN</t>
        </is>
      </c>
      <c r="G533" t="inlineStr">
        <is>
          <t>ÄLVDALEN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1310-2024</t>
        </is>
      </c>
      <c r="B534" t="inlineStr">
        <is>
          <t>avverkningsanmälan</t>
        </is>
      </c>
      <c r="C534" t="inlineStr">
        <is>
          <t>Föryngringsavverkning</t>
        </is>
      </c>
      <c r="D534" s="1" t="n">
        <v>45303</v>
      </c>
      <c r="E534" s="1" t="n">
        <v>46294</v>
      </c>
      <c r="F534" t="inlineStr">
        <is>
          <t>DALARNAS LÄN</t>
        </is>
      </c>
      <c r="G534" t="inlineStr">
        <is>
          <t>ÄLVDALEN</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62314-2022</t>
        </is>
      </c>
      <c r="B535" t="inlineStr">
        <is>
          <t>avverkningsanmälan</t>
        </is>
      </c>
      <c r="C535" t="inlineStr">
        <is>
          <t>Föryngringsavverkning</t>
        </is>
      </c>
      <c r="D535" s="1" t="n">
        <v>44916</v>
      </c>
      <c r="E535" s="1" t="n">
        <v>46294</v>
      </c>
      <c r="F535" t="inlineStr">
        <is>
          <t>DALARNAS LÄN</t>
        </is>
      </c>
      <c r="G535" t="inlineStr">
        <is>
          <t>ÄLVDALEN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47869-2023</t>
        </is>
      </c>
      <c r="B536" t="inlineStr">
        <is>
          <t>avverkningsanmälan</t>
        </is>
      </c>
      <c r="C536" t="inlineStr">
        <is>
          <t>Föryngringsavverkning</t>
        </is>
      </c>
      <c r="D536" s="1" t="n">
        <v>45204</v>
      </c>
      <c r="E536" s="1" t="n">
        <v>46294</v>
      </c>
      <c r="F536" t="inlineStr">
        <is>
          <t>DALARNAS LÄN</t>
        </is>
      </c>
      <c r="G536" t="inlineStr">
        <is>
          <t>ÄLVDALEN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5170-2024</t>
        </is>
      </c>
      <c r="B537" t="inlineStr">
        <is>
          <t>avverkningsanmälan</t>
        </is>
      </c>
      <c r="C537" t="inlineStr">
        <is>
          <t>Föryngringsavverkning</t>
        </is>
      </c>
      <c r="D537" s="1" t="n">
        <v>45330</v>
      </c>
      <c r="E537" s="1" t="n">
        <v>46294</v>
      </c>
      <c r="F537" t="inlineStr">
        <is>
          <t>DALARNAS LÄN</t>
        </is>
      </c>
      <c r="G537" t="inlineStr">
        <is>
          <t>ÄLVDALEN</t>
        </is>
      </c>
      <c r="I537" t="n">
        <v>15.8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36468-2026</t>
        </is>
      </c>
      <c r="B538" t="inlineStr">
        <is>
          <t>avverkningsanmälan</t>
        </is>
      </c>
      <c r="C538" t="inlineStr">
        <is>
          <t>Föryngringsavverkning</t>
        </is>
      </c>
      <c r="D538" s="1" t="n">
        <v>46269</v>
      </c>
      <c r="E538" s="1" t="n">
        <v>46294</v>
      </c>
      <c r="F538" t="inlineStr">
        <is>
          <t>DALARNAS LÄN</t>
        </is>
      </c>
      <c r="G538" t="inlineStr">
        <is>
          <t>ÄLVDALEN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7232-2025</t>
        </is>
      </c>
      <c r="B539" t="inlineStr">
        <is>
          <t>avverkningsanmälan</t>
        </is>
      </c>
      <c r="C539" t="inlineStr">
        <is>
          <t>Avverkning för annat ändamål</t>
        </is>
      </c>
      <c r="D539" s="1" t="n">
        <v>45702</v>
      </c>
      <c r="E539" s="1" t="n">
        <v>46294</v>
      </c>
      <c r="F539" t="inlineStr">
        <is>
          <t>DALARNAS LÄN</t>
        </is>
      </c>
      <c r="G539" t="inlineStr">
        <is>
          <t>ÄLVDALEN</t>
        </is>
      </c>
      <c r="H539" t="inlineStr">
        <is>
          <t>Allmännings- och besparingsskogar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36471-2026</t>
        </is>
      </c>
      <c r="B540" t="inlineStr">
        <is>
          <t>avverkningsanmälan</t>
        </is>
      </c>
      <c r="C540" t="inlineStr">
        <is>
          <t>Föryngringsavverkning</t>
        </is>
      </c>
      <c r="D540" s="1" t="n">
        <v>46269</v>
      </c>
      <c r="E540" s="1" t="n">
        <v>46294</v>
      </c>
      <c r="F540" t="inlineStr">
        <is>
          <t>DALARNAS LÄN</t>
        </is>
      </c>
      <c r="G540" t="inlineStr">
        <is>
          <t>ÄLVDALEN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36397-2026</t>
        </is>
      </c>
      <c r="B541" t="inlineStr">
        <is>
          <t>avverkningsanmälan</t>
        </is>
      </c>
      <c r="C541" t="inlineStr">
        <is>
          <t>Föryngringsavverkning</t>
        </is>
      </c>
      <c r="D541" s="1" t="n">
        <v>46268</v>
      </c>
      <c r="E541" s="1" t="n">
        <v>46294</v>
      </c>
      <c r="F541" t="inlineStr">
        <is>
          <t>DALARNAS LÄN</t>
        </is>
      </c>
      <c r="G541" t="inlineStr">
        <is>
          <t>ÄLVDALEN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32740-2024</t>
        </is>
      </c>
      <c r="B542" t="inlineStr">
        <is>
          <t>avverkningsanmälan</t>
        </is>
      </c>
      <c r="C542" t="inlineStr">
        <is>
          <t>Föryngringsavverkning</t>
        </is>
      </c>
      <c r="D542" s="1" t="n">
        <v>45516</v>
      </c>
      <c r="E542" s="1" t="n">
        <v>46294</v>
      </c>
      <c r="F542" t="inlineStr">
        <is>
          <t>DALARNAS LÄN</t>
        </is>
      </c>
      <c r="G542" t="inlineStr">
        <is>
          <t>ÄLVDALEN</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46926-2024</t>
        </is>
      </c>
      <c r="B543" t="inlineStr">
        <is>
          <t>avverkningsanmälan</t>
        </is>
      </c>
      <c r="C543" t="inlineStr">
        <is>
          <t>Föryngringsavverkning</t>
        </is>
      </c>
      <c r="D543" s="1" t="n">
        <v>45584</v>
      </c>
      <c r="E543" s="1" t="n">
        <v>46294</v>
      </c>
      <c r="F543" t="inlineStr">
        <is>
          <t>DALARNAS LÄN</t>
        </is>
      </c>
      <c r="G543" t="inlineStr">
        <is>
          <t>ÄLVDALEN</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3191-2026</t>
        </is>
      </c>
      <c r="B544" t="inlineStr">
        <is>
          <t>avverkningsanmälan</t>
        </is>
      </c>
      <c r="C544" t="inlineStr">
        <is>
          <t>Föryngringsavverkning</t>
        </is>
      </c>
      <c r="D544" s="1" t="n">
        <v>46041</v>
      </c>
      <c r="E544" s="1" t="n">
        <v>46294</v>
      </c>
      <c r="F544" t="inlineStr">
        <is>
          <t>DALARNAS LÄN</t>
        </is>
      </c>
      <c r="G544" t="inlineStr">
        <is>
          <t>ÄLVDALEN</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31862-2026</t>
        </is>
      </c>
      <c r="B545" t="inlineStr">
        <is>
          <t>avverkningsanmälan</t>
        </is>
      </c>
      <c r="C545" t="inlineStr">
        <is>
          <t>Föryngringsavverkning</t>
        </is>
      </c>
      <c r="D545" s="1" t="n">
        <v>46231</v>
      </c>
      <c r="E545" s="1" t="n">
        <v>46294</v>
      </c>
      <c r="F545" t="inlineStr">
        <is>
          <t>DALARNAS LÄN</t>
        </is>
      </c>
      <c r="G545" t="inlineStr">
        <is>
          <t>ÄLVDALEN</t>
        </is>
      </c>
      <c r="H545" t="inlineStr">
        <is>
          <t>Bergvik skog väst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30143-2024</t>
        </is>
      </c>
      <c r="B546" t="inlineStr">
        <is>
          <t>avverkningsanmälan</t>
        </is>
      </c>
      <c r="C546" t="inlineStr">
        <is>
          <t>Föryngringsavverkning</t>
        </is>
      </c>
      <c r="D546" s="1" t="n">
        <v>45488</v>
      </c>
      <c r="E546" s="1" t="n">
        <v>46294</v>
      </c>
      <c r="F546" t="inlineStr">
        <is>
          <t>DALARNAS LÄN</t>
        </is>
      </c>
      <c r="G546" t="inlineStr">
        <is>
          <t>ÄLVDALEN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42332-2023</t>
        </is>
      </c>
      <c r="B547" t="inlineStr">
        <is>
          <t>avverkningsanmälan</t>
        </is>
      </c>
      <c r="C547" t="inlineStr">
        <is>
          <t>Föryngringsavverkning</t>
        </is>
      </c>
      <c r="D547" s="1" t="n">
        <v>45175</v>
      </c>
      <c r="E547" s="1" t="n">
        <v>46294</v>
      </c>
      <c r="F547" t="inlineStr">
        <is>
          <t>DALARNAS LÄN</t>
        </is>
      </c>
      <c r="G547" t="inlineStr">
        <is>
          <t>ÄLVDALEN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46294</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36640-2023</t>
        </is>
      </c>
      <c r="B549" t="inlineStr">
        <is>
          <t>avverkningsanmälan</t>
        </is>
      </c>
      <c r="C549" t="inlineStr">
        <is>
          <t>Föryngringsavverkning</t>
        </is>
      </c>
      <c r="D549" s="1" t="n">
        <v>45153</v>
      </c>
      <c r="E549" s="1" t="n">
        <v>46294</v>
      </c>
      <c r="F549" t="inlineStr">
        <is>
          <t>DALARNAS LÄN</t>
        </is>
      </c>
      <c r="G549" t="inlineStr">
        <is>
          <t>ÄLVDALEN</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19182-2023</t>
        </is>
      </c>
      <c r="B550" t="inlineStr">
        <is>
          <t>avverkningsanmälan</t>
        </is>
      </c>
      <c r="C550" t="inlineStr">
        <is>
          <t>Föryngringsavverkning</t>
        </is>
      </c>
      <c r="D550" s="1" t="n">
        <v>45048</v>
      </c>
      <c r="E550" s="1" t="n">
        <v>46294</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37601-2026</t>
        </is>
      </c>
      <c r="B551" t="inlineStr">
        <is>
          <t>avverkningsanmälan</t>
        </is>
      </c>
      <c r="C551" t="inlineStr">
        <is>
          <t>Föryngringsavverkning</t>
        </is>
      </c>
      <c r="D551" s="1" t="n">
        <v>46276</v>
      </c>
      <c r="E551" s="1" t="n">
        <v>46294</v>
      </c>
      <c r="F551" t="inlineStr">
        <is>
          <t>DALARNAS LÄN</t>
        </is>
      </c>
      <c r="G551" t="inlineStr">
        <is>
          <t>ÄLVDALEN</t>
        </is>
      </c>
      <c r="H551" t="inlineStr">
        <is>
          <t>Allmännings- och besparingsskogar</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46294</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43900-2024</t>
        </is>
      </c>
      <c r="B553" t="inlineStr">
        <is>
          <t>avverkningsanmälan</t>
        </is>
      </c>
      <c r="C553" t="inlineStr">
        <is>
          <t>Föryngringsavverkning</t>
        </is>
      </c>
      <c r="D553" s="1" t="n">
        <v>45572</v>
      </c>
      <c r="E553" s="1" t="n">
        <v>46294</v>
      </c>
      <c r="F553" t="inlineStr">
        <is>
          <t>DALARNAS LÄN</t>
        </is>
      </c>
      <c r="G553" t="inlineStr">
        <is>
          <t>ÄLVDALEN</t>
        </is>
      </c>
      <c r="H553" t="inlineStr">
        <is>
          <t>Bergvik skog väst AB</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32040-2026</t>
        </is>
      </c>
      <c r="B554" t="inlineStr">
        <is>
          <t>avverkningsanmälan</t>
        </is>
      </c>
      <c r="C554" t="inlineStr">
        <is>
          <t>Föryngringsavverkning</t>
        </is>
      </c>
      <c r="D554" s="1" t="n">
        <v>46233</v>
      </c>
      <c r="E554" s="1" t="n">
        <v>46294</v>
      </c>
      <c r="F554" t="inlineStr">
        <is>
          <t>DALARNAS LÄN</t>
        </is>
      </c>
      <c r="G554" t="inlineStr">
        <is>
          <t>ÄLVDALEN</t>
        </is>
      </c>
      <c r="H554" t="inlineStr">
        <is>
          <t>Bergvik skog väst AB</t>
        </is>
      </c>
      <c r="I554" t="n">
        <v>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32037-2026</t>
        </is>
      </c>
      <c r="B555" t="inlineStr">
        <is>
          <t>avverkningsanmälan</t>
        </is>
      </c>
      <c r="C555" t="inlineStr">
        <is>
          <t>Föryngringsavverkning</t>
        </is>
      </c>
      <c r="D555" s="1" t="n">
        <v>46233</v>
      </c>
      <c r="E555" s="1" t="n">
        <v>46294</v>
      </c>
      <c r="F555" t="inlineStr">
        <is>
          <t>DALARNAS LÄN</t>
        </is>
      </c>
      <c r="G555" t="inlineStr">
        <is>
          <t>ÄLVDALEN</t>
        </is>
      </c>
      <c r="H555" t="inlineStr">
        <is>
          <t>Bergvik skog väst AB</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32153-2026</t>
        </is>
      </c>
      <c r="B556" t="inlineStr">
        <is>
          <t>avverkningsanmälan</t>
        </is>
      </c>
      <c r="C556" t="inlineStr">
        <is>
          <t>Föryngringsavverkning</t>
        </is>
      </c>
      <c r="D556" s="1" t="n">
        <v>46236</v>
      </c>
      <c r="E556" s="1" t="n">
        <v>46294</v>
      </c>
      <c r="F556" t="inlineStr">
        <is>
          <t>DALARNAS LÄN</t>
        </is>
      </c>
      <c r="G556" t="inlineStr">
        <is>
          <t>ÄLVDALEN</t>
        </is>
      </c>
      <c r="H556" t="inlineStr">
        <is>
          <t>Naturvårdsverket</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32030-2026</t>
        </is>
      </c>
      <c r="B557" t="inlineStr">
        <is>
          <t>avverkningsanmälan</t>
        </is>
      </c>
      <c r="C557" t="inlineStr">
        <is>
          <t>Föryngringsavverkning</t>
        </is>
      </c>
      <c r="D557" s="1" t="n">
        <v>46233</v>
      </c>
      <c r="E557" s="1" t="n">
        <v>46294</v>
      </c>
      <c r="F557" t="inlineStr">
        <is>
          <t>DALARNAS LÄN</t>
        </is>
      </c>
      <c r="G557" t="inlineStr">
        <is>
          <t>ÄLVDALEN</t>
        </is>
      </c>
      <c r="H557" t="inlineStr">
        <is>
          <t>Bergvik skog väst AB</t>
        </is>
      </c>
      <c r="I557" t="n">
        <v>8.199999999999999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61450-2022</t>
        </is>
      </c>
      <c r="B558" t="inlineStr">
        <is>
          <t>avverkningsanmälan</t>
        </is>
      </c>
      <c r="C558" t="inlineStr">
        <is>
          <t>Föryngringsavverkning</t>
        </is>
      </c>
      <c r="D558" s="1" t="n">
        <v>44910</v>
      </c>
      <c r="E558" s="1" t="n">
        <v>46294</v>
      </c>
      <c r="F558" t="inlineStr">
        <is>
          <t>DALARNAS LÄN</t>
        </is>
      </c>
      <c r="G558" t="inlineStr">
        <is>
          <t>ÄLVDALEN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8492-2025</t>
        </is>
      </c>
      <c r="B559" t="inlineStr">
        <is>
          <t>avverkningsanmälan</t>
        </is>
      </c>
      <c r="C559" t="inlineStr">
        <is>
          <t>Föryngringsavverkning</t>
        </is>
      </c>
      <c r="D559" s="1" t="n">
        <v>45709</v>
      </c>
      <c r="E559" s="1" t="n">
        <v>46294</v>
      </c>
      <c r="F559" t="inlineStr">
        <is>
          <t>DALARNAS LÄN</t>
        </is>
      </c>
      <c r="G559" t="inlineStr">
        <is>
          <t>ÄLVDALEN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8496-2025</t>
        </is>
      </c>
      <c r="B560" t="inlineStr">
        <is>
          <t>avverkningsanmälan</t>
        </is>
      </c>
      <c r="C560" t="inlineStr">
        <is>
          <t>Föryngringsavverkning</t>
        </is>
      </c>
      <c r="D560" s="1" t="n">
        <v>45709</v>
      </c>
      <c r="E560" s="1" t="n">
        <v>46294</v>
      </c>
      <c r="F560" t="inlineStr">
        <is>
          <t>DALARNAS LÄN</t>
        </is>
      </c>
      <c r="G560" t="inlineStr">
        <is>
          <t>ÄLVDALEN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27480-2022</t>
        </is>
      </c>
      <c r="B561" t="inlineStr">
        <is>
          <t>avverkningsanmälan</t>
        </is>
      </c>
      <c r="C561" t="inlineStr">
        <is>
          <t>Föryngringsavverkning</t>
        </is>
      </c>
      <c r="D561" s="1" t="n">
        <v>44742</v>
      </c>
      <c r="E561" s="1" t="n">
        <v>46294</v>
      </c>
      <c r="F561" t="inlineStr">
        <is>
          <t>DALARNAS LÄN</t>
        </is>
      </c>
      <c r="G561" t="inlineStr">
        <is>
          <t>ÄLVDALEN</t>
        </is>
      </c>
      <c r="H561" t="inlineStr">
        <is>
          <t>Bergvik skog väst AB</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32031-2023</t>
        </is>
      </c>
      <c r="B562" t="inlineStr">
        <is>
          <t>avverkningsanmälan</t>
        </is>
      </c>
      <c r="C562" t="inlineStr">
        <is>
          <t>Avverkning för annat ändamål</t>
        </is>
      </c>
      <c r="D562" s="1" t="n">
        <v>45107</v>
      </c>
      <c r="E562" s="1" t="n">
        <v>46294</v>
      </c>
      <c r="F562" t="inlineStr">
        <is>
          <t>DALARNAS LÄN</t>
        </is>
      </c>
      <c r="G562" t="inlineStr">
        <is>
          <t>ÄLVDALEN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17051-2023</t>
        </is>
      </c>
      <c r="B563" t="inlineStr">
        <is>
          <t>avverkningsanmälan</t>
        </is>
      </c>
      <c r="C563" t="inlineStr">
        <is>
          <t>Föryngringsavverkning</t>
        </is>
      </c>
      <c r="D563" s="1" t="n">
        <v>45034</v>
      </c>
      <c r="E563" s="1" t="n">
        <v>46294</v>
      </c>
      <c r="F563" t="inlineStr">
        <is>
          <t>DALARNAS LÄN</t>
        </is>
      </c>
      <c r="G563" t="inlineStr">
        <is>
          <t>ÄLVDALEN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7576-2024</t>
        </is>
      </c>
      <c r="B564" t="inlineStr">
        <is>
          <t>avverkningsanmälan</t>
        </is>
      </c>
      <c r="C564" t="inlineStr">
        <is>
          <t>Föryngringsavverkning</t>
        </is>
      </c>
      <c r="D564" s="1" t="n">
        <v>45348</v>
      </c>
      <c r="E564" s="1" t="n">
        <v>46294</v>
      </c>
      <c r="F564" t="inlineStr">
        <is>
          <t>DALARNAS LÄN</t>
        </is>
      </c>
      <c r="G564" t="inlineStr">
        <is>
          <t>ÄLVDALEN</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2381-2024</t>
        </is>
      </c>
      <c r="B565" t="inlineStr">
        <is>
          <t>avverkningsanmälan</t>
        </is>
      </c>
      <c r="C565" t="inlineStr">
        <is>
          <t>Föryngringsavverkning</t>
        </is>
      </c>
      <c r="D565" s="1" t="n">
        <v>45310</v>
      </c>
      <c r="E565" s="1" t="n">
        <v>46294</v>
      </c>
      <c r="F565" t="inlineStr">
        <is>
          <t>DALARNAS LÄN</t>
        </is>
      </c>
      <c r="G565" t="inlineStr">
        <is>
          <t>ÄLVDALEN</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60642-2021</t>
        </is>
      </c>
      <c r="B566" t="inlineStr">
        <is>
          <t>avverkningsanmälan</t>
        </is>
      </c>
      <c r="C566" t="inlineStr">
        <is>
          <t>Föryngringsavverkning</t>
        </is>
      </c>
      <c r="D566" s="1" t="n">
        <v>44496</v>
      </c>
      <c r="E566" s="1" t="n">
        <v>46294</v>
      </c>
      <c r="F566" t="inlineStr">
        <is>
          <t>DALARNAS LÄN</t>
        </is>
      </c>
      <c r="G566" t="inlineStr">
        <is>
          <t>ÄLVDALEN</t>
        </is>
      </c>
      <c r="H566" t="inlineStr">
        <is>
          <t>Allmännings- och besparingsskogar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54219-2025</t>
        </is>
      </c>
      <c r="B567" t="inlineStr">
        <is>
          <t>avverkningsanmälan</t>
        </is>
      </c>
      <c r="C567" t="inlineStr">
        <is>
          <t>Föryngringsavverkning</t>
        </is>
      </c>
      <c r="D567" s="1" t="n">
        <v>45964</v>
      </c>
      <c r="E567" s="1" t="n">
        <v>46294</v>
      </c>
      <c r="F567" t="inlineStr">
        <is>
          <t>DALARNAS LÄN</t>
        </is>
      </c>
      <c r="G567" t="inlineStr">
        <is>
          <t>ÄLVDALEN</t>
        </is>
      </c>
      <c r="I567" t="n">
        <v>11.5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21613-2025</t>
        </is>
      </c>
      <c r="B568" t="inlineStr">
        <is>
          <t>avverkningsanmälan</t>
        </is>
      </c>
      <c r="C568" t="inlineStr">
        <is>
          <t>Föryngringsavverkning</t>
        </is>
      </c>
      <c r="D568" s="1" t="n">
        <v>45783</v>
      </c>
      <c r="E568" s="1" t="n">
        <v>46294</v>
      </c>
      <c r="F568" t="inlineStr">
        <is>
          <t>DALARNAS LÄN</t>
        </is>
      </c>
      <c r="G568" t="inlineStr">
        <is>
          <t>ÄLVDALEN</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21629-2025</t>
        </is>
      </c>
      <c r="B569" t="inlineStr">
        <is>
          <t>avverkningsanmälan</t>
        </is>
      </c>
      <c r="C569" t="inlineStr">
        <is>
          <t>Föryngringsavverkning</t>
        </is>
      </c>
      <c r="D569" s="1" t="n">
        <v>45783</v>
      </c>
      <c r="E569" s="1" t="n">
        <v>46294</v>
      </c>
      <c r="F569" t="inlineStr">
        <is>
          <t>DALARNAS LÄN</t>
        </is>
      </c>
      <c r="G569" t="inlineStr">
        <is>
          <t>ÄLVDALEN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32431-2026</t>
        </is>
      </c>
      <c r="B570" t="inlineStr">
        <is>
          <t>avverkningsanmälan</t>
        </is>
      </c>
      <c r="C570" t="inlineStr">
        <is>
          <t>Föryngringsavverkning</t>
        </is>
      </c>
      <c r="D570" s="1" t="n">
        <v>46239</v>
      </c>
      <c r="E570" s="1" t="n">
        <v>46294</v>
      </c>
      <c r="F570" t="inlineStr">
        <is>
          <t>DALARNAS LÄN</t>
        </is>
      </c>
      <c r="G570" t="inlineStr">
        <is>
          <t>ÄLVDALEN</t>
        </is>
      </c>
      <c r="H570" t="inlineStr">
        <is>
          <t>Bergvik skog väst AB</t>
        </is>
      </c>
      <c r="I570" t="n">
        <v>19.7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37061-2024</t>
        </is>
      </c>
      <c r="B571" t="inlineStr">
        <is>
          <t>avverkningsanmälan</t>
        </is>
      </c>
      <c r="C571" t="inlineStr">
        <is>
          <t>Föryngringsavverkning</t>
        </is>
      </c>
      <c r="D571" s="1" t="n">
        <v>45539</v>
      </c>
      <c r="E571" s="1" t="n">
        <v>46294</v>
      </c>
      <c r="F571" t="inlineStr">
        <is>
          <t>DALARNAS LÄN</t>
        </is>
      </c>
      <c r="G571" t="inlineStr">
        <is>
          <t>ÄLVDALEN</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22189-2025</t>
        </is>
      </c>
      <c r="B572" t="inlineStr">
        <is>
          <t>avverkningsanmälan</t>
        </is>
      </c>
      <c r="C572" t="inlineStr">
        <is>
          <t>Föryngringsavverkning</t>
        </is>
      </c>
      <c r="D572" s="1" t="n">
        <v>45785</v>
      </c>
      <c r="E572" s="1" t="n">
        <v>46294</v>
      </c>
      <c r="F572" t="inlineStr">
        <is>
          <t>DALARNAS LÄN</t>
        </is>
      </c>
      <c r="G572" t="inlineStr">
        <is>
          <t>ÄLVDALEN</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19708-2024</t>
        </is>
      </c>
      <c r="B573" t="inlineStr">
        <is>
          <t>avverkningsanmälan</t>
        </is>
      </c>
      <c r="C573" t="inlineStr">
        <is>
          <t>Föryngringsavverkning</t>
        </is>
      </c>
      <c r="D573" s="1" t="n">
        <v>45432</v>
      </c>
      <c r="E573" s="1" t="n">
        <v>46294</v>
      </c>
      <c r="F573" t="inlineStr">
        <is>
          <t>DALARNAS LÄN</t>
        </is>
      </c>
      <c r="G573" t="inlineStr">
        <is>
          <t>ÄLVDALEN</t>
        </is>
      </c>
      <c r="I573" t="n">
        <v>12.4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21469-2024</t>
        </is>
      </c>
      <c r="B574" t="inlineStr">
        <is>
          <t>avverkningsanmälan</t>
        </is>
      </c>
      <c r="C574" t="inlineStr">
        <is>
          <t>Föryngringsavverkning</t>
        </is>
      </c>
      <c r="D574" s="1" t="n">
        <v>45441</v>
      </c>
      <c r="E574" s="1" t="n">
        <v>46294</v>
      </c>
      <c r="F574" t="inlineStr">
        <is>
          <t>DALARNAS LÄN</t>
        </is>
      </c>
      <c r="G574" t="inlineStr">
        <is>
          <t>ÄLVDALEN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32594-2023</t>
        </is>
      </c>
      <c r="B575" t="inlineStr">
        <is>
          <t>avverkningsanmälan</t>
        </is>
      </c>
      <c r="C575" t="inlineStr">
        <is>
          <t>Föryngringsavverkning</t>
        </is>
      </c>
      <c r="D575" s="1" t="n">
        <v>45121</v>
      </c>
      <c r="E575" s="1" t="n">
        <v>46294</v>
      </c>
      <c r="F575" t="inlineStr">
        <is>
          <t>DALARNAS LÄN</t>
        </is>
      </c>
      <c r="G575" t="inlineStr">
        <is>
          <t>ÄLVDALEN</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7581-2024</t>
        </is>
      </c>
      <c r="B576" t="inlineStr">
        <is>
          <t>avverkningsanmälan</t>
        </is>
      </c>
      <c r="C576" t="inlineStr">
        <is>
          <t>Föryngringsavverkning</t>
        </is>
      </c>
      <c r="D576" s="1" t="n">
        <v>45348</v>
      </c>
      <c r="E576" s="1" t="n">
        <v>46294</v>
      </c>
      <c r="F576" t="inlineStr">
        <is>
          <t>DALARNAS LÄN</t>
        </is>
      </c>
      <c r="G576" t="inlineStr">
        <is>
          <t>ÄLVDALEN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38837-2026</t>
        </is>
      </c>
      <c r="B577" t="inlineStr">
        <is>
          <t>avverkningsanmälan</t>
        </is>
      </c>
      <c r="C577" t="inlineStr">
        <is>
          <t>Föryngringsavverkning</t>
        </is>
      </c>
      <c r="D577" s="1" t="n">
        <v>46286</v>
      </c>
      <c r="E577" s="1" t="n">
        <v>46294</v>
      </c>
      <c r="F577" t="inlineStr">
        <is>
          <t>DALARNAS LÄN</t>
        </is>
      </c>
      <c r="G577" t="inlineStr">
        <is>
          <t>ÄLVDALEN</t>
        </is>
      </c>
      <c r="H577" t="inlineStr">
        <is>
          <t>Bergvik skog väst AB</t>
        </is>
      </c>
      <c r="I577" t="n">
        <v>18.9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33351-2026</t>
        </is>
      </c>
      <c r="B578" t="inlineStr">
        <is>
          <t>avverkningsanmälan</t>
        </is>
      </c>
      <c r="C578" t="inlineStr">
        <is>
          <t>Föryngringsavverkning</t>
        </is>
      </c>
      <c r="D578" s="1" t="n">
        <v>46246</v>
      </c>
      <c r="E578" s="1" t="n">
        <v>46294</v>
      </c>
      <c r="F578" t="inlineStr">
        <is>
          <t>DALARNAS LÄN</t>
        </is>
      </c>
      <c r="G578" t="inlineStr">
        <is>
          <t>ÄLVDALEN</t>
        </is>
      </c>
      <c r="I578" t="n">
        <v>42.1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33204-2026</t>
        </is>
      </c>
      <c r="B579" t="inlineStr">
        <is>
          <t>avverkningsanmälan</t>
        </is>
      </c>
      <c r="C579" t="inlineStr">
        <is>
          <t>Föryngringsavverkning</t>
        </is>
      </c>
      <c r="D579" s="1" t="n">
        <v>46246</v>
      </c>
      <c r="E579" s="1" t="n">
        <v>46294</v>
      </c>
      <c r="F579" t="inlineStr">
        <is>
          <t>DALARNAS LÄN</t>
        </is>
      </c>
      <c r="G579" t="inlineStr">
        <is>
          <t>ÄLVDALEN</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33207-2026</t>
        </is>
      </c>
      <c r="B580" t="inlineStr">
        <is>
          <t>avverkningsanmälan</t>
        </is>
      </c>
      <c r="C580" t="inlineStr">
        <is>
          <t>Föryngringsavverkning</t>
        </is>
      </c>
      <c r="D580" s="1" t="n">
        <v>46246</v>
      </c>
      <c r="E580" s="1" t="n">
        <v>46294</v>
      </c>
      <c r="F580" t="inlineStr">
        <is>
          <t>DALARNAS LÄN</t>
        </is>
      </c>
      <c r="G580" t="inlineStr">
        <is>
          <t>ÄLVDALEN</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16552-2026</t>
        </is>
      </c>
      <c r="B581" t="inlineStr">
        <is>
          <t>avverkningsanmälan</t>
        </is>
      </c>
      <c r="C581" t="inlineStr">
        <is>
          <t>Föryngringsavverkning</t>
        </is>
      </c>
      <c r="D581" s="1" t="n">
        <v>46112</v>
      </c>
      <c r="E581" s="1" t="n">
        <v>46294</v>
      </c>
      <c r="F581" t="inlineStr">
        <is>
          <t>DALARNAS LÄN</t>
        </is>
      </c>
      <c r="G581" t="inlineStr">
        <is>
          <t>ÄLVDALEN</t>
        </is>
      </c>
      <c r="I581" t="n">
        <v>17.2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33213-2026</t>
        </is>
      </c>
      <c r="B582" t="inlineStr">
        <is>
          <t>avverkningsanmälan</t>
        </is>
      </c>
      <c r="C582" t="inlineStr">
        <is>
          <t>Föryngringsavverkning</t>
        </is>
      </c>
      <c r="D582" s="1" t="n">
        <v>46246</v>
      </c>
      <c r="E582" s="1" t="n">
        <v>46294</v>
      </c>
      <c r="F582" t="inlineStr">
        <is>
          <t>DALARNAS LÄN</t>
        </is>
      </c>
      <c r="G582" t="inlineStr">
        <is>
          <t>ÄLVDALEN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39458-2026</t>
        </is>
      </c>
      <c r="B583" t="inlineStr">
        <is>
          <t>avverkningsanmälan</t>
        </is>
      </c>
      <c r="C583" t="inlineStr">
        <is>
          <t>Föryngringsavverkning</t>
        </is>
      </c>
      <c r="D583" s="1" t="n">
        <v>46288</v>
      </c>
      <c r="E583" s="1" t="n">
        <v>46294</v>
      </c>
      <c r="F583" t="inlineStr">
        <is>
          <t>DALARNAS LÄN</t>
        </is>
      </c>
      <c r="G583" t="inlineStr">
        <is>
          <t>ÄLVDALEN</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39459-2026</t>
        </is>
      </c>
      <c r="B584" t="inlineStr">
        <is>
          <t>avverkningsanmälan</t>
        </is>
      </c>
      <c r="C584" t="inlineStr">
        <is>
          <t>Föryngringsavverkning</t>
        </is>
      </c>
      <c r="D584" s="1" t="n">
        <v>46288</v>
      </c>
      <c r="E584" s="1" t="n">
        <v>46294</v>
      </c>
      <c r="F584" t="inlineStr">
        <is>
          <t>DALARNAS LÄN</t>
        </is>
      </c>
      <c r="G584" t="inlineStr">
        <is>
          <t>ÄLVDALEN</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46800-2025</t>
        </is>
      </c>
      <c r="B585" t="inlineStr">
        <is>
          <t>avverkningsanmälan</t>
        </is>
      </c>
      <c r="C585" t="inlineStr">
        <is>
          <t>Föryngringsavverkning</t>
        </is>
      </c>
      <c r="D585" s="1" t="n">
        <v>45926</v>
      </c>
      <c r="E585" s="1" t="n">
        <v>46294</v>
      </c>
      <c r="F585" t="inlineStr">
        <is>
          <t>DALARNAS LÄN</t>
        </is>
      </c>
      <c r="G585" t="inlineStr">
        <is>
          <t>ÄLVDALEN</t>
        </is>
      </c>
      <c r="H585" t="inlineStr">
        <is>
          <t>Allmännings- och besparingsskogar</t>
        </is>
      </c>
      <c r="I585" t="n">
        <v>0.8</v>
      </c>
      <c r="J585" t="n">
        <v>0</v>
      </c>
      <c r="K585" t="n">
        <v>0</v>
      </c>
      <c r="L585" t="n">
        <v>0</v>
      </c>
      <c r="M585" t="n">
        <v>0</v>
      </c>
      <c r="N585" t="n">
        <v>0</v>
      </c>
      <c r="O585" t="n">
        <v>0</v>
      </c>
      <c r="P585" t="n">
        <v>0</v>
      </c>
      <c r="Q585" t="n">
        <v>0</v>
      </c>
      <c r="R585" t="n">
        <v>0</v>
      </c>
      <c r="S585" t="n">
        <v>0</v>
      </c>
      <c r="T585" t="n">
        <v>0</v>
      </c>
      <c r="U585" t="n">
        <v>0</v>
      </c>
      <c r="V585" s="2" t="inlineStr"/>
      <c r="X585">
        <f>HYPERLINK("https://klasma.github.io/Logging_2039/kartor/A 46800-2025 karta.png", "A 46800-2025")</f>
        <v/>
      </c>
      <c r="Y585">
        <f>HYPERLINK("https://klasma.github.io/Logging_2039/kartor_geotiff/A 46800-2025 georefererad karta.tif", "A 46800-2025")</f>
        <v/>
      </c>
      <c r="AA585">
        <f>HYPERLINK("https://klasma.github.io/Logging_2039/klagomål/A 46800-2025 FSC-klagomål.docx", "A 46800-2025")</f>
        <v/>
      </c>
      <c r="AB585">
        <f>HYPERLINK("https://klasma.github.io/Logging_2039/klagomålsmail/A 46800-2025 FSC-klagomål mail.docx", "A 46800-2025")</f>
        <v/>
      </c>
      <c r="AC585">
        <f>HYPERLINK("https://klasma.github.io/Logging_2039/tillsyn/A 46800-2025 tillsynsbegäran.docx", "A 46800-2025")</f>
        <v/>
      </c>
      <c r="AD585">
        <f>HYPERLINK("https://klasma.github.io/Logging_2039/tillsynsmail/A 46800-2025 tillsynsbegäran mail.docx", "A 46800-2025")</f>
        <v/>
      </c>
      <c r="AE585">
        <f>HYPERLINK("https://klasma.github.io/Logging_2039/fåglar/A 46800-2025 prioriterade fågelarter.docx", "A 46800-2025")</f>
        <v/>
      </c>
    </row>
    <row r="586" ht="15" customHeight="1">
      <c r="A586" t="inlineStr">
        <is>
          <t>A 45203-2024</t>
        </is>
      </c>
      <c r="B586" t="inlineStr">
        <is>
          <t>avverkningsanmälan</t>
        </is>
      </c>
      <c r="C586" t="inlineStr">
        <is>
          <t>Föryngringsavverkning</t>
        </is>
      </c>
      <c r="D586" s="1" t="n">
        <v>45575</v>
      </c>
      <c r="E586" s="1" t="n">
        <v>46294</v>
      </c>
      <c r="F586" t="inlineStr">
        <is>
          <t>DALARNAS LÄN</t>
        </is>
      </c>
      <c r="G586" t="inlineStr">
        <is>
          <t>ÄLVDALEN</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1787-2022</t>
        </is>
      </c>
      <c r="B587" t="inlineStr">
        <is>
          <t>samrådsanmälan</t>
        </is>
      </c>
      <c r="C587" t="inlineStr">
        <is>
          <t>Annan skogsbruksåtgärd</t>
        </is>
      </c>
      <c r="D587" s="1" t="n">
        <v>44637</v>
      </c>
      <c r="E587" s="1" t="n">
        <v>46294</v>
      </c>
      <c r="F587" t="inlineStr">
        <is>
          <t>DALARNAS LÄN</t>
        </is>
      </c>
      <c r="G587" t="inlineStr">
        <is>
          <t>ÄLVDALEN</t>
        </is>
      </c>
      <c r="H587" t="inlineStr">
        <is>
          <t>Övriga statliga verk och myndigheter</t>
        </is>
      </c>
      <c r="I587" t="n">
        <v>85.8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46294</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675-2024</t>
        </is>
      </c>
      <c r="B589" t="inlineStr">
        <is>
          <t>samrådsanmälan</t>
        </is>
      </c>
      <c r="C589" t="inlineStr">
        <is>
          <t>Skogsgödsling</t>
        </is>
      </c>
      <c r="D589" s="1" t="n">
        <v>45357</v>
      </c>
      <c r="E589" s="1" t="n">
        <v>46294</v>
      </c>
      <c r="F589" t="inlineStr">
        <is>
          <t>DALARNAS LÄN</t>
        </is>
      </c>
      <c r="G589" t="inlineStr">
        <is>
          <t>ÄLVDALEN</t>
        </is>
      </c>
      <c r="H589" t="inlineStr">
        <is>
          <t>Allmännings- och besparingsskogar</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46294</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46294</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629-2024</t>
        </is>
      </c>
      <c r="B592" t="inlineStr">
        <is>
          <t>samrådsanmälan</t>
        </is>
      </c>
      <c r="C592" t="inlineStr">
        <is>
          <t>Skogsgödsling</t>
        </is>
      </c>
      <c r="D592" s="1" t="n">
        <v>45355</v>
      </c>
      <c r="E592" s="1" t="n">
        <v>46294</v>
      </c>
      <c r="F592" t="inlineStr">
        <is>
          <t>DALARNAS LÄN</t>
        </is>
      </c>
      <c r="G592" t="inlineStr">
        <is>
          <t>ÄLVDALEN</t>
        </is>
      </c>
      <c r="H592" t="inlineStr">
        <is>
          <t>Allmännings- och besparingsskogar</t>
        </is>
      </c>
      <c r="I592" t="n">
        <v>36.7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653-2024</t>
        </is>
      </c>
      <c r="B593" t="inlineStr">
        <is>
          <t>samrådsanmälan</t>
        </is>
      </c>
      <c r="C593" t="inlineStr">
        <is>
          <t>Skogsgödsling</t>
        </is>
      </c>
      <c r="D593" s="1" t="n">
        <v>45356</v>
      </c>
      <c r="E593" s="1" t="n">
        <v>46294</v>
      </c>
      <c r="F593" t="inlineStr">
        <is>
          <t>DALARNAS LÄN</t>
        </is>
      </c>
      <c r="G593" t="inlineStr">
        <is>
          <t>ÄLVDALEN</t>
        </is>
      </c>
      <c r="H593" t="inlineStr">
        <is>
          <t>Allmännings- och besparingsskogar</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264-2025</t>
        </is>
      </c>
      <c r="B594" t="inlineStr">
        <is>
          <t>samrådsanmälan</t>
        </is>
      </c>
      <c r="C594" t="inlineStr">
        <is>
          <t>Skogsgödsling</t>
        </is>
      </c>
      <c r="D594" s="1" t="n">
        <v>45684</v>
      </c>
      <c r="E594" s="1" t="n">
        <v>46294</v>
      </c>
      <c r="F594" t="inlineStr">
        <is>
          <t>DALARNAS LÄN</t>
        </is>
      </c>
      <c r="G594" t="inlineStr">
        <is>
          <t>ÄLVDALEN</t>
        </is>
      </c>
      <c r="H594" t="inlineStr">
        <is>
          <t>Bergvik skog väst AB</t>
        </is>
      </c>
      <c r="I594" t="n">
        <v>53.3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2475-2022</t>
        </is>
      </c>
      <c r="B595" t="inlineStr">
        <is>
          <t>samrådsanmälan</t>
        </is>
      </c>
      <c r="C595" t="inlineStr">
        <is>
          <t>Skogsgödsling</t>
        </is>
      </c>
      <c r="D595" s="1" t="n">
        <v>44692</v>
      </c>
      <c r="E595" s="1" t="n">
        <v>46294</v>
      </c>
      <c r="F595" t="inlineStr">
        <is>
          <t>DALARNAS LÄN</t>
        </is>
      </c>
      <c r="G595" t="inlineStr">
        <is>
          <t>ÄLVDALEN</t>
        </is>
      </c>
      <c r="H595" t="inlineStr">
        <is>
          <t>Allmännings- och besparingsskogar</t>
        </is>
      </c>
      <c r="I595" t="n">
        <v>79.8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3034-2022</t>
        </is>
      </c>
      <c r="B596" t="inlineStr">
        <is>
          <t>samrådsanmälan</t>
        </is>
      </c>
      <c r="C596" t="inlineStr">
        <is>
          <t>Skogsgödsling</t>
        </is>
      </c>
      <c r="D596" s="1" t="n">
        <v>44715</v>
      </c>
      <c r="E596" s="1" t="n">
        <v>46294</v>
      </c>
      <c r="F596" t="inlineStr">
        <is>
          <t>DALARNAS LÄN</t>
        </is>
      </c>
      <c r="G596" t="inlineStr">
        <is>
          <t>ÄLVDALEN</t>
        </is>
      </c>
      <c r="H596" t="inlineStr">
        <is>
          <t>Allmännings- och besparingsskogar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655-2024</t>
        </is>
      </c>
      <c r="B597" t="inlineStr">
        <is>
          <t>samrådsanmälan</t>
        </is>
      </c>
      <c r="C597" t="inlineStr">
        <is>
          <t>Skogsgödsling</t>
        </is>
      </c>
      <c r="D597" s="1" t="n">
        <v>45356</v>
      </c>
      <c r="E597" s="1" t="n">
        <v>46294</v>
      </c>
      <c r="F597" t="inlineStr">
        <is>
          <t>DALARNAS LÄN</t>
        </is>
      </c>
      <c r="G597" t="inlineStr">
        <is>
          <t>ÄLVDALEN</t>
        </is>
      </c>
      <c r="H597" t="inlineStr">
        <is>
          <t>Allmännings- och besparingsskogar</t>
        </is>
      </c>
      <c r="I597" t="n">
        <v>15.6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685-2024</t>
        </is>
      </c>
      <c r="B598" t="inlineStr">
        <is>
          <t>samrådsanmälan</t>
        </is>
      </c>
      <c r="C598" t="inlineStr">
        <is>
          <t>Skogsgödsling</t>
        </is>
      </c>
      <c r="D598" s="1" t="n">
        <v>45359</v>
      </c>
      <c r="E598" s="1" t="n">
        <v>46294</v>
      </c>
      <c r="F598" t="inlineStr">
        <is>
          <t>DALARNAS LÄN</t>
        </is>
      </c>
      <c r="G598" t="inlineStr">
        <is>
          <t>ÄLVDALEN</t>
        </is>
      </c>
      <c r="H598" t="inlineStr">
        <is>
          <t>Allmännings- och besparingsskogar</t>
        </is>
      </c>
      <c r="I598" t="n">
        <v>26.5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686-2024</t>
        </is>
      </c>
      <c r="B599" t="inlineStr">
        <is>
          <t>samrådsanmälan</t>
        </is>
      </c>
      <c r="C599" t="inlineStr">
        <is>
          <t>Skogsgödsling</t>
        </is>
      </c>
      <c r="D599" s="1" t="n">
        <v>45359</v>
      </c>
      <c r="E599" s="1" t="n">
        <v>46294</v>
      </c>
      <c r="F599" t="inlineStr">
        <is>
          <t>DALARNAS LÄN</t>
        </is>
      </c>
      <c r="G599" t="inlineStr">
        <is>
          <t>ÄLVDALEN</t>
        </is>
      </c>
      <c r="H599" t="inlineStr">
        <is>
          <t>Allmännings- och besparingsskogar</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2585-2022</t>
        </is>
      </c>
      <c r="B600" t="inlineStr">
        <is>
          <t>samrådsanmälan</t>
        </is>
      </c>
      <c r="C600" t="inlineStr">
        <is>
          <t>Skogsgödsling</t>
        </is>
      </c>
      <c r="D600" s="1" t="n">
        <v>44698</v>
      </c>
      <c r="E600" s="1" t="n">
        <v>46294</v>
      </c>
      <c r="F600" t="inlineStr">
        <is>
          <t>DALARNAS LÄN</t>
        </is>
      </c>
      <c r="G600" t="inlineStr">
        <is>
          <t>ÄLVDALEN</t>
        </is>
      </c>
      <c r="H600" t="inlineStr">
        <is>
          <t>Allmännings- och besparingsskogar</t>
        </is>
      </c>
      <c r="I600" t="n">
        <v>43.1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624-2024</t>
        </is>
      </c>
      <c r="B601" t="inlineStr">
        <is>
          <t>samrådsanmälan</t>
        </is>
      </c>
      <c r="C601" t="inlineStr">
        <is>
          <t>Skogsgödsling</t>
        </is>
      </c>
      <c r="D601" s="1" t="n">
        <v>45355</v>
      </c>
      <c r="E601" s="1" t="n">
        <v>46294</v>
      </c>
      <c r="F601" t="inlineStr">
        <is>
          <t>DALARNAS LÄN</t>
        </is>
      </c>
      <c r="G601" t="inlineStr">
        <is>
          <t>ÄLVDALEN</t>
        </is>
      </c>
      <c r="H601" t="inlineStr">
        <is>
          <t>Allmännings- och besparingsskogar</t>
        </is>
      </c>
      <c r="I601" t="n">
        <v>24.3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826-2022</t>
        </is>
      </c>
      <c r="B602" t="inlineStr">
        <is>
          <t>samrådsanmälan</t>
        </is>
      </c>
      <c r="C602" t="inlineStr">
        <is>
          <t>Skogsgödsling</t>
        </is>
      </c>
      <c r="D602" s="1" t="n">
        <v>44602</v>
      </c>
      <c r="E602" s="1" t="n">
        <v>46294</v>
      </c>
      <c r="F602" t="inlineStr">
        <is>
          <t>DALARNAS LÄN</t>
        </is>
      </c>
      <c r="G602" t="inlineStr">
        <is>
          <t>ÄLVDALEN</t>
        </is>
      </c>
      <c r="H602" t="inlineStr">
        <is>
          <t>Bergvik skog väst AB</t>
        </is>
      </c>
      <c r="I602" t="n">
        <v>61.8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632-2024</t>
        </is>
      </c>
      <c r="B603" t="inlineStr">
        <is>
          <t>samrådsanmälan</t>
        </is>
      </c>
      <c r="C603" t="inlineStr">
        <is>
          <t>Skogsgödsling</t>
        </is>
      </c>
      <c r="D603" s="1" t="n">
        <v>45355</v>
      </c>
      <c r="E603" s="1" t="n">
        <v>46294</v>
      </c>
      <c r="F603" t="inlineStr">
        <is>
          <t>DALARNAS LÄN</t>
        </is>
      </c>
      <c r="G603" t="inlineStr">
        <is>
          <t>ÄLVDALEN</t>
        </is>
      </c>
      <c r="H603" t="inlineStr">
        <is>
          <t>Allmännings- och besparingsskogar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261-2025</t>
        </is>
      </c>
      <c r="B604" t="inlineStr">
        <is>
          <t>samrådsanmälan</t>
        </is>
      </c>
      <c r="C604" t="inlineStr">
        <is>
          <t>Skogsgödsling</t>
        </is>
      </c>
      <c r="D604" s="1" t="n">
        <v>45684</v>
      </c>
      <c r="E604" s="1" t="n">
        <v>46294</v>
      </c>
      <c r="F604" t="inlineStr">
        <is>
          <t>DALARNAS LÄN</t>
        </is>
      </c>
      <c r="G604" t="inlineStr">
        <is>
          <t>ÄLVDALEN</t>
        </is>
      </c>
      <c r="H604" t="inlineStr">
        <is>
          <t>Bergvik skog väst AB</t>
        </is>
      </c>
      <c r="I604" t="n">
        <v>23.5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4879-2022</t>
        </is>
      </c>
      <c r="B605" t="inlineStr">
        <is>
          <t>samrådsanmälan</t>
        </is>
      </c>
      <c r="C605" t="inlineStr">
        <is>
          <t>Annan skogsbruksåtgärd</t>
        </is>
      </c>
      <c r="D605" s="1" t="n">
        <v>44806</v>
      </c>
      <c r="E605" s="1" t="n">
        <v>46294</v>
      </c>
      <c r="F605" t="inlineStr">
        <is>
          <t>DALARNAS LÄN</t>
        </is>
      </c>
      <c r="G605" t="inlineStr">
        <is>
          <t>ÄLVDALEN</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652-2024</t>
        </is>
      </c>
      <c r="B606" t="inlineStr">
        <is>
          <t>samrådsanmälan</t>
        </is>
      </c>
      <c r="C606" t="inlineStr">
        <is>
          <t>Skogsgödsling</t>
        </is>
      </c>
      <c r="D606" s="1" t="n">
        <v>45356</v>
      </c>
      <c r="E606" s="1" t="n">
        <v>46294</v>
      </c>
      <c r="F606" t="inlineStr">
        <is>
          <t>DALARNAS LÄN</t>
        </is>
      </c>
      <c r="G606" t="inlineStr">
        <is>
          <t>ÄLVDALEN</t>
        </is>
      </c>
      <c r="H606" t="inlineStr">
        <is>
          <t>Allmännings- och besparingsskogar</t>
        </is>
      </c>
      <c r="I606" t="n">
        <v>44.8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688-2024</t>
        </is>
      </c>
      <c r="B607" t="inlineStr">
        <is>
          <t>samrådsanmälan</t>
        </is>
      </c>
      <c r="C607" t="inlineStr">
        <is>
          <t>Skogsgödsling</t>
        </is>
      </c>
      <c r="D607" s="1" t="n">
        <v>45359</v>
      </c>
      <c r="E607" s="1" t="n">
        <v>46294</v>
      </c>
      <c r="F607" t="inlineStr">
        <is>
          <t>DALARNAS LÄN</t>
        </is>
      </c>
      <c r="G607" t="inlineStr">
        <is>
          <t>ÄLVDALEN</t>
        </is>
      </c>
      <c r="H607" t="inlineStr">
        <is>
          <t>Allmännings- och besparingsskogar</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817-2022</t>
        </is>
      </c>
      <c r="B608" t="inlineStr">
        <is>
          <t>samrådsanmälan</t>
        </is>
      </c>
      <c r="C608" t="inlineStr">
        <is>
          <t>Skogsgödsling</t>
        </is>
      </c>
      <c r="D608" s="1" t="n">
        <v>44602</v>
      </c>
      <c r="E608" s="1" t="n">
        <v>46294</v>
      </c>
      <c r="F608" t="inlineStr">
        <is>
          <t>DALARNAS LÄN</t>
        </is>
      </c>
      <c r="G608" t="inlineStr">
        <is>
          <t>ÄLVDALEN</t>
        </is>
      </c>
      <c r="H608" t="inlineStr">
        <is>
          <t>Bergvik skog väst AB</t>
        </is>
      </c>
      <c r="I608" t="n">
        <v>252.3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46294</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46294</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825-2022</t>
        </is>
      </c>
      <c r="B611" t="inlineStr">
        <is>
          <t>samrådsanmälan</t>
        </is>
      </c>
      <c r="C611" t="inlineStr">
        <is>
          <t>Skogsgödsling</t>
        </is>
      </c>
      <c r="D611" s="1" t="n">
        <v>44602</v>
      </c>
      <c r="E611" s="1" t="n">
        <v>46294</v>
      </c>
      <c r="F611" t="inlineStr">
        <is>
          <t>DALARNAS LÄN</t>
        </is>
      </c>
      <c r="G611" t="inlineStr">
        <is>
          <t>ÄLVDALEN</t>
        </is>
      </c>
      <c r="H611" t="inlineStr">
        <is>
          <t>Bergvik skog väst AB</t>
        </is>
      </c>
      <c r="I611" t="n">
        <v>50</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650-2024</t>
        </is>
      </c>
      <c r="B612" t="inlineStr">
        <is>
          <t>samrådsanmälan</t>
        </is>
      </c>
      <c r="C612" t="inlineStr">
        <is>
          <t>Skogsgödsling</t>
        </is>
      </c>
      <c r="D612" s="1" t="n">
        <v>45356</v>
      </c>
      <c r="E612" s="1" t="n">
        <v>46294</v>
      </c>
      <c r="F612" t="inlineStr">
        <is>
          <t>DALARNAS LÄN</t>
        </is>
      </c>
      <c r="G612" t="inlineStr">
        <is>
          <t>ÄLVDALEN</t>
        </is>
      </c>
      <c r="H612" t="inlineStr">
        <is>
          <t>Allmännings- och besparingsskogar</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654-2024</t>
        </is>
      </c>
      <c r="B613" t="inlineStr">
        <is>
          <t>samrådsanmälan</t>
        </is>
      </c>
      <c r="C613" t="inlineStr">
        <is>
          <t>Skogsgödsling</t>
        </is>
      </c>
      <c r="D613" s="1" t="n">
        <v>45356</v>
      </c>
      <c r="E613" s="1" t="n">
        <v>46294</v>
      </c>
      <c r="F613" t="inlineStr">
        <is>
          <t>DALARNAS LÄN</t>
        </is>
      </c>
      <c r="G613" t="inlineStr">
        <is>
          <t>ÄLVDALEN</t>
        </is>
      </c>
      <c r="H613" t="inlineStr">
        <is>
          <t>Allmännings- och besparingsskogar</t>
        </is>
      </c>
      <c r="I613" t="n">
        <v>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1885-2022</t>
        </is>
      </c>
      <c r="B614" t="inlineStr">
        <is>
          <t>samrådsanmälan</t>
        </is>
      </c>
      <c r="C614" t="inlineStr">
        <is>
          <t>Dikesrensning</t>
        </is>
      </c>
      <c r="D614" s="1" t="n">
        <v>44662</v>
      </c>
      <c r="E614" s="1" t="n">
        <v>46294</v>
      </c>
      <c r="F614" t="inlineStr">
        <is>
          <t>DALARNAS LÄN</t>
        </is>
      </c>
      <c r="G614" t="inlineStr">
        <is>
          <t>ÄLVDALEN</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633-2024</t>
        </is>
      </c>
      <c r="B615" t="inlineStr">
        <is>
          <t>samrådsanmälan</t>
        </is>
      </c>
      <c r="C615" t="inlineStr">
        <is>
          <t>Skogsgödsling</t>
        </is>
      </c>
      <c r="D615" s="1" t="n">
        <v>45355</v>
      </c>
      <c r="E615" s="1" t="n">
        <v>46294</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2878-2022</t>
        </is>
      </c>
      <c r="B616" t="inlineStr">
        <is>
          <t>samrådsanmälan</t>
        </is>
      </c>
      <c r="C616" t="inlineStr">
        <is>
          <t>Skogsgödsling</t>
        </is>
      </c>
      <c r="D616" s="1" t="n">
        <v>44708</v>
      </c>
      <c r="E616" s="1" t="n">
        <v>46294</v>
      </c>
      <c r="F616" t="inlineStr">
        <is>
          <t>DALARNAS LÄN</t>
        </is>
      </c>
      <c r="G616" t="inlineStr">
        <is>
          <t>ÄLVDALEN</t>
        </is>
      </c>
      <c r="H616" t="inlineStr">
        <is>
          <t>Allmännings- och besparingsskogar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246-2025</t>
        </is>
      </c>
      <c r="B617" t="inlineStr">
        <is>
          <t>samrådsanmälan</t>
        </is>
      </c>
      <c r="C617" t="inlineStr">
        <is>
          <t>Skogsgödsling</t>
        </is>
      </c>
      <c r="D617" s="1" t="n">
        <v>45684</v>
      </c>
      <c r="E617" s="1" t="n">
        <v>46294</v>
      </c>
      <c r="F617" t="inlineStr">
        <is>
          <t>DALARNAS LÄN</t>
        </is>
      </c>
      <c r="G617" t="inlineStr">
        <is>
          <t>ÄLVDALEN</t>
        </is>
      </c>
      <c r="H617" t="inlineStr">
        <is>
          <t>Bergvik skog väst AB</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651-2025</t>
        </is>
      </c>
      <c r="B618" t="inlineStr">
        <is>
          <t>samrådsanmälan</t>
        </is>
      </c>
      <c r="C618" t="inlineStr">
        <is>
          <t>Skogsgödsling</t>
        </is>
      </c>
      <c r="D618" s="1" t="n">
        <v>45715</v>
      </c>
      <c r="E618" s="1" t="n">
        <v>46294</v>
      </c>
      <c r="F618" t="inlineStr">
        <is>
          <t>DALARNAS LÄN</t>
        </is>
      </c>
      <c r="G618" t="inlineStr">
        <is>
          <t>ÄLVDALEN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256-2025</t>
        </is>
      </c>
      <c r="B619" t="inlineStr">
        <is>
          <t>samrådsanmälan</t>
        </is>
      </c>
      <c r="C619" t="inlineStr">
        <is>
          <t>Skogsgödsling</t>
        </is>
      </c>
      <c r="D619" s="1" t="n">
        <v>45684</v>
      </c>
      <c r="E619" s="1" t="n">
        <v>46294</v>
      </c>
      <c r="F619" t="inlineStr">
        <is>
          <t>DALARNAS LÄN</t>
        </is>
      </c>
      <c r="G619" t="inlineStr">
        <is>
          <t>ÄLVDALEN</t>
        </is>
      </c>
      <c r="H619" t="inlineStr">
        <is>
          <t>Bergvik skog väst AB</t>
        </is>
      </c>
      <c r="I619" t="n">
        <v>40.6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612-2025</t>
        </is>
      </c>
      <c r="B620" t="inlineStr">
        <is>
          <t>samrådsanmälan</t>
        </is>
      </c>
      <c r="C620" t="inlineStr">
        <is>
          <t>Skogsgödsling</t>
        </is>
      </c>
      <c r="D620" s="1" t="n">
        <v>45713</v>
      </c>
      <c r="E620" s="1" t="n">
        <v>46294</v>
      </c>
      <c r="F620" t="inlineStr">
        <is>
          <t>DALARNAS LÄN</t>
        </is>
      </c>
      <c r="G620" t="inlineStr">
        <is>
          <t>ÄLVDALEN</t>
        </is>
      </c>
      <c r="H620" t="inlineStr">
        <is>
          <t>Allmännings- och besparingsskogar</t>
        </is>
      </c>
      <c r="I620" t="n">
        <v>55.8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636-2025</t>
        </is>
      </c>
      <c r="B621" t="inlineStr">
        <is>
          <t>samrådsanmälan</t>
        </is>
      </c>
      <c r="C621" t="inlineStr">
        <is>
          <t>Skogsgödsling</t>
        </is>
      </c>
      <c r="D621" s="1" t="n">
        <v>45714</v>
      </c>
      <c r="E621" s="1" t="n">
        <v>46294</v>
      </c>
      <c r="F621" t="inlineStr">
        <is>
          <t>DALARNAS LÄN</t>
        </is>
      </c>
      <c r="G621" t="inlineStr">
        <is>
          <t>ÄLVDALEN</t>
        </is>
      </c>
      <c r="H621" t="inlineStr">
        <is>
          <t>Allmännings- och besparingsskogar</t>
        </is>
      </c>
      <c r="I621" t="n">
        <v>66.8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46294</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46294</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46294</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46294</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1199-2025</t>
        </is>
      </c>
      <c r="B626" t="inlineStr">
        <is>
          <t>samrådsanmälan</t>
        </is>
      </c>
      <c r="C626" t="inlineStr">
        <is>
          <t>Skogsgödsling</t>
        </is>
      </c>
      <c r="D626" s="1" t="n">
        <v>45758</v>
      </c>
      <c r="E626" s="1" t="n">
        <v>46294</v>
      </c>
      <c r="F626" t="inlineStr">
        <is>
          <t>DALARNAS LÄN</t>
        </is>
      </c>
      <c r="G626" t="inlineStr">
        <is>
          <t>ÄLVDALEN</t>
        </is>
      </c>
      <c r="H626" t="inlineStr">
        <is>
          <t>Allmännings- och besparingsskogar</t>
        </is>
      </c>
      <c r="I626" t="n">
        <v>50.7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4145-2024</t>
        </is>
      </c>
      <c r="B627" t="inlineStr">
        <is>
          <t>samrådsanmälan</t>
        </is>
      </c>
      <c r="C627" t="inlineStr">
        <is>
          <t>Annan skogsbruksåtgärd</t>
        </is>
      </c>
      <c r="D627" s="1" t="n">
        <v>45575</v>
      </c>
      <c r="E627" s="1" t="n">
        <v>46294</v>
      </c>
      <c r="F627" t="inlineStr">
        <is>
          <t>DALARNAS LÄN</t>
        </is>
      </c>
      <c r="G627" t="inlineStr">
        <is>
          <t>ÄLVDALEN</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257-2025</t>
        </is>
      </c>
      <c r="B628" t="inlineStr">
        <is>
          <t>samrådsanmälan</t>
        </is>
      </c>
      <c r="C628" t="inlineStr">
        <is>
          <t>Skogsgödsling</t>
        </is>
      </c>
      <c r="D628" s="1" t="n">
        <v>45684</v>
      </c>
      <c r="E628" s="1" t="n">
        <v>46294</v>
      </c>
      <c r="F628" t="inlineStr">
        <is>
          <t>DALARNAS LÄN</t>
        </is>
      </c>
      <c r="G628" t="inlineStr">
        <is>
          <t>ÄLVDALEN</t>
        </is>
      </c>
      <c r="H628" t="inlineStr">
        <is>
          <t>Bergvik skog väst AB</t>
        </is>
      </c>
      <c r="I628" t="n">
        <v>296.1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748-2026</t>
        </is>
      </c>
      <c r="B629" t="inlineStr">
        <is>
          <t>samrådsanmälan</t>
        </is>
      </c>
      <c r="C629" t="inlineStr">
        <is>
          <t>Skogsgödsling</t>
        </is>
      </c>
      <c r="D629" s="1" t="n">
        <v>46089</v>
      </c>
      <c r="E629" s="1" t="n">
        <v>46294</v>
      </c>
      <c r="F629" t="inlineStr">
        <is>
          <t>DALARNAS LÄN</t>
        </is>
      </c>
      <c r="G629" t="inlineStr">
        <is>
          <t>ÄLVDALEN</t>
        </is>
      </c>
      <c r="H629" t="inlineStr">
        <is>
          <t>Naturvårdsverket</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749-2026</t>
        </is>
      </c>
      <c r="B630" t="inlineStr">
        <is>
          <t>samrådsanmälan</t>
        </is>
      </c>
      <c r="C630" t="inlineStr">
        <is>
          <t>Skogsgödsling</t>
        </is>
      </c>
      <c r="D630" s="1" t="n">
        <v>46089</v>
      </c>
      <c r="E630" s="1" t="n">
        <v>46294</v>
      </c>
      <c r="F630" t="inlineStr">
        <is>
          <t>DALARNAS LÄN</t>
        </is>
      </c>
      <c r="G630" t="inlineStr">
        <is>
          <t>ÄLVDALEN</t>
        </is>
      </c>
      <c r="H630" t="inlineStr">
        <is>
          <t>Naturvårdsverket</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827-2026</t>
        </is>
      </c>
      <c r="B631" t="inlineStr">
        <is>
          <t>samrådsanmälan</t>
        </is>
      </c>
      <c r="C631" t="inlineStr">
        <is>
          <t>Skogsgödsling</t>
        </is>
      </c>
      <c r="D631" s="1" t="n">
        <v>46104</v>
      </c>
      <c r="E631" s="1" t="n">
        <v>46294</v>
      </c>
      <c r="F631" t="inlineStr">
        <is>
          <t>DALARNAS LÄN</t>
        </is>
      </c>
      <c r="G631" t="inlineStr">
        <is>
          <t>ÄLVDALEN</t>
        </is>
      </c>
      <c r="H631" t="inlineStr">
        <is>
          <t>Allmännings- och besparingsskogar</t>
        </is>
      </c>
      <c r="I631" t="n">
        <v>16.9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824-2026</t>
        </is>
      </c>
      <c r="B632" t="inlineStr">
        <is>
          <t>samrådsanmälan</t>
        </is>
      </c>
      <c r="C632" t="inlineStr">
        <is>
          <t>Skogsgödsling</t>
        </is>
      </c>
      <c r="D632" s="1" t="n">
        <v>46104</v>
      </c>
      <c r="E632" s="1" t="n">
        <v>46294</v>
      </c>
      <c r="F632" t="inlineStr">
        <is>
          <t>DALARNAS LÄN</t>
        </is>
      </c>
      <c r="G632" t="inlineStr">
        <is>
          <t>ÄLVDALEN</t>
        </is>
      </c>
      <c r="H632" t="inlineStr">
        <is>
          <t>Allmännings- och besparingsskogar</t>
        </is>
      </c>
      <c r="I632" t="n">
        <v>13.1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46294</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46294</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46294</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844-2026</t>
        </is>
      </c>
      <c r="B636" t="inlineStr">
        <is>
          <t>samrådsanmälan</t>
        </is>
      </c>
      <c r="C636" t="inlineStr">
        <is>
          <t>Skogsgödsling</t>
        </is>
      </c>
      <c r="D636" s="1" t="n">
        <v>46105</v>
      </c>
      <c r="E636" s="1" t="n">
        <v>46294</v>
      </c>
      <c r="F636" t="inlineStr">
        <is>
          <t>DALARNAS LÄN</t>
        </is>
      </c>
      <c r="G636" t="inlineStr">
        <is>
          <t>ÄLVDALEN</t>
        </is>
      </c>
      <c r="H636" t="inlineStr">
        <is>
          <t>Allmännings- och besparingsskogar</t>
        </is>
      </c>
      <c r="I636" t="n">
        <v>66.40000000000001</v>
      </c>
      <c r="J636" t="n">
        <v>0</v>
      </c>
      <c r="K636" t="n">
        <v>0</v>
      </c>
      <c r="L636" t="n">
        <v>0</v>
      </c>
      <c r="M636" t="n">
        <v>0</v>
      </c>
      <c r="N636" t="n">
        <v>0</v>
      </c>
      <c r="O636" t="n">
        <v>0</v>
      </c>
      <c r="P636" t="n">
        <v>0</v>
      </c>
      <c r="Q636" t="n">
        <v>0</v>
      </c>
      <c r="R636" t="n">
        <v>0</v>
      </c>
      <c r="S636" t="n">
        <v>0</v>
      </c>
      <c r="T636" t="n">
        <v>0</v>
      </c>
      <c r="U636" t="n">
        <v>0</v>
      </c>
      <c r="V636" s="2" t="inlineStr"/>
    </row>
    <row r="637">
      <c r="A637" t="inlineStr">
        <is>
          <t>S 1365-2026</t>
        </is>
      </c>
      <c r="B637" t="inlineStr">
        <is>
          <t>samrådsanmälan</t>
        </is>
      </c>
      <c r="C637" t="inlineStr">
        <is>
          <t>Annan skogsbruksåtgärd</t>
        </is>
      </c>
      <c r="D637" s="1" t="n">
        <v>46150</v>
      </c>
      <c r="E637" s="1" t="n">
        <v>46294</v>
      </c>
      <c r="F637" t="inlineStr">
        <is>
          <t>DALARNAS LÄN</t>
        </is>
      </c>
      <c r="G637" t="inlineStr">
        <is>
          <t>ÄLVDALEN</t>
        </is>
      </c>
      <c r="I637" t="n">
        <v>1.5</v>
      </c>
      <c r="J637" t="n">
        <v>0</v>
      </c>
      <c r="K637" t="n">
        <v>0</v>
      </c>
      <c r="L637" t="n">
        <v>0</v>
      </c>
      <c r="M637" t="n">
        <v>0</v>
      </c>
      <c r="N637" t="n">
        <v>0</v>
      </c>
      <c r="O637" t="n">
        <v>0</v>
      </c>
      <c r="P637" t="n">
        <v>0</v>
      </c>
      <c r="Q637" t="n">
        <v>0</v>
      </c>
      <c r="R637" t="n">
        <v>0</v>
      </c>
      <c r="S637" t="n">
        <v>0</v>
      </c>
      <c r="T637" t="n">
        <v>0</v>
      </c>
      <c r="U637" t="n">
        <v>0</v>
      </c>
      <c r="V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2026-09-29T02:02:24Z</dcterms:created>
  <dcterms:modified xmlns:dcterms="http://purl.org/dc/terms/" xmlns:xsi="http://www.w3.org/2001/XMLSchema-instance" xsi:type="dcterms:W3CDTF">2026-09-29T02:02:24Z</dcterms:modified>
</cp:coreProperties>
</file>