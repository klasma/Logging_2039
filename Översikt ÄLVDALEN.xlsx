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46040</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46040</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46040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46040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46040</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46040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46040</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46040</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46040</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46040</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46040</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46040</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46040</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46040</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46040</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33285-2025</t>
        </is>
      </c>
      <c r="B20" s="1" t="n">
        <v>45840</v>
      </c>
      <c r="C20" s="1" t="n">
        <v>46040</v>
      </c>
      <c r="D20" t="inlineStr">
        <is>
          <t>DALARNAS LÄN</t>
        </is>
      </c>
      <c r="E20" t="inlineStr">
        <is>
          <t>ÄLVDALEN</t>
        </is>
      </c>
      <c r="G20" t="n">
        <v>48.8</v>
      </c>
      <c r="H20" t="n">
        <v>3</v>
      </c>
      <c r="I20" t="n">
        <v>1</v>
      </c>
      <c r="J20" t="n">
        <v>9</v>
      </c>
      <c r="K20" t="n">
        <v>3</v>
      </c>
      <c r="L20" t="n">
        <v>0</v>
      </c>
      <c r="M20" t="n">
        <v>0</v>
      </c>
      <c r="N20" t="n">
        <v>0</v>
      </c>
      <c r="O20" t="n">
        <v>12</v>
      </c>
      <c r="P20" t="n">
        <v>3</v>
      </c>
      <c r="Q20" t="n">
        <v>15</v>
      </c>
      <c r="R20" s="2" t="inlineStr">
        <is>
          <t>Gräddporing
Rynkskinn
Skuggnål
Doftskinn
Gammelgransskål
Garnlav
Granticka
Gränsticka
Knottrig blåslav
Tretåig hackspett
Vedskivlav
Vitplätt
Trådticka
Lavskrika
Revlummer</t>
        </is>
      </c>
      <c r="S20">
        <f>HYPERLINK("https://klasma.github.io/Logging_2039/artfynd/A 33285-2025 artfynd.xlsx", "A 33285-2025")</f>
        <v/>
      </c>
      <c r="T20">
        <f>HYPERLINK("https://klasma.github.io/Logging_2039/kartor/A 33285-2025 karta.png", "A 33285-2025")</f>
        <v/>
      </c>
      <c r="V20">
        <f>HYPERLINK("https://klasma.github.io/Logging_2039/klagomål/A 33285-2025 FSC-klagomål.docx", "A 33285-2025")</f>
        <v/>
      </c>
      <c r="W20">
        <f>HYPERLINK("https://klasma.github.io/Logging_2039/klagomålsmail/A 33285-2025 FSC-klagomål mail.docx", "A 33285-2025")</f>
        <v/>
      </c>
      <c r="X20">
        <f>HYPERLINK("https://klasma.github.io/Logging_2039/tillsyn/A 33285-2025 tillsynsbegäran.docx", "A 33285-2025")</f>
        <v/>
      </c>
      <c r="Y20">
        <f>HYPERLINK("https://klasma.github.io/Logging_2039/tillsynsmail/A 33285-2025 tillsynsbegäran mail.docx", "A 33285-2025")</f>
        <v/>
      </c>
      <c r="Z20">
        <f>HYPERLINK("https://klasma.github.io/Logging_2039/fåglar/A 33285-2025 prioriterade fågelarter.docx", "A 33285-2025")</f>
        <v/>
      </c>
    </row>
    <row r="21" ht="15" customHeight="1">
      <c r="A21" t="inlineStr">
        <is>
          <t>A 19109-2023</t>
        </is>
      </c>
      <c r="B21" s="1" t="n">
        <v>45044</v>
      </c>
      <c r="C21" s="1" t="n">
        <v>46040</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46040</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46040</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46040</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46040</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46040</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46040</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46040</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46040</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57095-2025</t>
        </is>
      </c>
      <c r="B30" s="1" t="n">
        <v>45979.43158564815</v>
      </c>
      <c r="C30" s="1" t="n">
        <v>46040</v>
      </c>
      <c r="D30" t="inlineStr">
        <is>
          <t>DALARNAS LÄN</t>
        </is>
      </c>
      <c r="E30" t="inlineStr">
        <is>
          <t>ÄLVDALEN</t>
        </is>
      </c>
      <c r="F30" t="inlineStr">
        <is>
          <t>Allmännings- och besparingsskogar</t>
        </is>
      </c>
      <c r="G30" t="n">
        <v>6.8</v>
      </c>
      <c r="H30" t="n">
        <v>7</v>
      </c>
      <c r="I30" t="n">
        <v>1</v>
      </c>
      <c r="J30" t="n">
        <v>7</v>
      </c>
      <c r="K30" t="n">
        <v>0</v>
      </c>
      <c r="L30" t="n">
        <v>0</v>
      </c>
      <c r="M30" t="n">
        <v>0</v>
      </c>
      <c r="N30" t="n">
        <v>0</v>
      </c>
      <c r="O30" t="n">
        <v>7</v>
      </c>
      <c r="P30" t="n">
        <v>0</v>
      </c>
      <c r="Q30" t="n">
        <v>12</v>
      </c>
      <c r="R30" s="2" t="inlineStr">
        <is>
          <t>Garnlav
Kolflarnlav
Mörk kolflarnlav
Spillkråka
Talltita
Tretåig hackspett
Vedskivlav
Vedticka
Orre
Sparvuggla
Tjäder
Nattviol</t>
        </is>
      </c>
      <c r="S30">
        <f>HYPERLINK("https://klasma.github.io/Logging_2039/artfynd/A 57095-2025 artfynd.xlsx", "A 57095-2025")</f>
        <v/>
      </c>
      <c r="T30">
        <f>HYPERLINK("https://klasma.github.io/Logging_2039/kartor/A 57095-2025 karta.png", "A 57095-2025")</f>
        <v/>
      </c>
      <c r="V30">
        <f>HYPERLINK("https://klasma.github.io/Logging_2039/klagomål/A 57095-2025 FSC-klagomål.docx", "A 57095-2025")</f>
        <v/>
      </c>
      <c r="W30">
        <f>HYPERLINK("https://klasma.github.io/Logging_2039/klagomålsmail/A 57095-2025 FSC-klagomål mail.docx", "A 57095-2025")</f>
        <v/>
      </c>
      <c r="X30">
        <f>HYPERLINK("https://klasma.github.io/Logging_2039/tillsyn/A 57095-2025 tillsynsbegäran.docx", "A 57095-2025")</f>
        <v/>
      </c>
      <c r="Y30">
        <f>HYPERLINK("https://klasma.github.io/Logging_2039/tillsynsmail/A 57095-2025 tillsynsbegäran mail.docx", "A 57095-2025")</f>
        <v/>
      </c>
      <c r="Z30">
        <f>HYPERLINK("https://klasma.github.io/Logging_2039/fåglar/A 57095-2025 prioriterade fågelarter.docx", "A 57095-2025")</f>
        <v/>
      </c>
    </row>
    <row r="31" ht="15" customHeight="1">
      <c r="A31" t="inlineStr">
        <is>
          <t>A 49247-2025</t>
        </is>
      </c>
      <c r="B31" s="1" t="n">
        <v>45938.48887731481</v>
      </c>
      <c r="C31" s="1" t="n">
        <v>46040</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45113-2025</t>
        </is>
      </c>
      <c r="B32" s="1" t="n">
        <v>45919.42304398148</v>
      </c>
      <c r="C32" s="1" t="n">
        <v>46040</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55982-2025</t>
        </is>
      </c>
      <c r="B33" s="1" t="n">
        <v>45973.54251157407</v>
      </c>
      <c r="C33" s="1" t="n">
        <v>46040</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37730-2023</t>
        </is>
      </c>
      <c r="B34" s="1" t="n">
        <v>45159</v>
      </c>
      <c r="C34" s="1" t="n">
        <v>46040</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46306-2025</t>
        </is>
      </c>
      <c r="B35" s="1" t="n">
        <v>45925.42225694445</v>
      </c>
      <c r="C35" s="1" t="n">
        <v>46040</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5813-2025</t>
        </is>
      </c>
      <c r="B36" s="1" t="n">
        <v>45694</v>
      </c>
      <c r="C36" s="1" t="n">
        <v>46040</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41638-2025</t>
        </is>
      </c>
      <c r="B37" s="1" t="n">
        <v>45901</v>
      </c>
      <c r="C37" s="1" t="n">
        <v>46040</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30214-2023</t>
        </is>
      </c>
      <c r="B38" s="1" t="n">
        <v>45110</v>
      </c>
      <c r="C38" s="1" t="n">
        <v>46040</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32048-2025</t>
        </is>
      </c>
      <c r="B39" s="1" t="n">
        <v>45835</v>
      </c>
      <c r="C39" s="1" t="n">
        <v>46040</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39759-2025</t>
        </is>
      </c>
      <c r="B40" s="1" t="n">
        <v>45891.43167824074</v>
      </c>
      <c r="C40" s="1" t="n">
        <v>46040</v>
      </c>
      <c r="D40" t="inlineStr">
        <is>
          <t>DALARNAS LÄN</t>
        </is>
      </c>
      <c r="E40" t="inlineStr">
        <is>
          <t>ÄLVDALEN</t>
        </is>
      </c>
      <c r="G40" t="n">
        <v>6.6</v>
      </c>
      <c r="H40" t="n">
        <v>4</v>
      </c>
      <c r="I40" t="n">
        <v>3</v>
      </c>
      <c r="J40" t="n">
        <v>6</v>
      </c>
      <c r="K40" t="n">
        <v>0</v>
      </c>
      <c r="L40" t="n">
        <v>0</v>
      </c>
      <c r="M40" t="n">
        <v>0</v>
      </c>
      <c r="N40" t="n">
        <v>0</v>
      </c>
      <c r="O40" t="n">
        <v>6</v>
      </c>
      <c r="P40" t="n">
        <v>0</v>
      </c>
      <c r="Q40" t="n">
        <v>11</v>
      </c>
      <c r="R40" s="2" t="inlineStr">
        <is>
          <t>Garnlav
Kolflarnlav
Mörk kolflarnlav
Spillkråka
Talltita
Violettgrå tagellav
Dropptaggsvamp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43867-2025</t>
        </is>
      </c>
      <c r="B41" s="1" t="n">
        <v>45912</v>
      </c>
      <c r="C41" s="1" t="n">
        <v>46040</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46040</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47008-2025</t>
        </is>
      </c>
      <c r="B43" s="1" t="n">
        <v>45929.56971064815</v>
      </c>
      <c r="C43" s="1" t="n">
        <v>46040</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36371-2025</t>
        </is>
      </c>
      <c r="B44" s="1" t="n">
        <v>45868</v>
      </c>
      <c r="C44" s="1" t="n">
        <v>46040</v>
      </c>
      <c r="D44" t="inlineStr">
        <is>
          <t>DALARNAS LÄN</t>
        </is>
      </c>
      <c r="E44" t="inlineStr">
        <is>
          <t>ÄLVDALEN</t>
        </is>
      </c>
      <c r="F44" t="inlineStr">
        <is>
          <t>Allmännings- och besparingsskogar</t>
        </is>
      </c>
      <c r="G44" t="n">
        <v>30.8</v>
      </c>
      <c r="H44" t="n">
        <v>3</v>
      </c>
      <c r="I44" t="n">
        <v>2</v>
      </c>
      <c r="J44" t="n">
        <v>8</v>
      </c>
      <c r="K44" t="n">
        <v>0</v>
      </c>
      <c r="L44" t="n">
        <v>0</v>
      </c>
      <c r="M44" t="n">
        <v>0</v>
      </c>
      <c r="N44" t="n">
        <v>0</v>
      </c>
      <c r="O44" t="n">
        <v>8</v>
      </c>
      <c r="P44" t="n">
        <v>0</v>
      </c>
      <c r="Q44" t="n">
        <v>11</v>
      </c>
      <c r="R44" s="2" t="inlineStr">
        <is>
          <t>Duvhök
Garnlav
Kolflarnlav
Mörk kolflarnlav
Spillkråka
Tallticka
Vedflamlav
Vedskivlav
Gräsull
Mindre märgborre
Tjäder</t>
        </is>
      </c>
      <c r="S44">
        <f>HYPERLINK("https://klasma.github.io/Logging_2039/artfynd/A 36371-2025 artfynd.xlsx", "A 36371-2025")</f>
        <v/>
      </c>
      <c r="T44">
        <f>HYPERLINK("https://klasma.github.io/Logging_2039/kartor/A 36371-2025 karta.png", "A 36371-2025")</f>
        <v/>
      </c>
      <c r="V44">
        <f>HYPERLINK("https://klasma.github.io/Logging_2039/klagomål/A 36371-2025 FSC-klagomål.docx", "A 36371-2025")</f>
        <v/>
      </c>
      <c r="W44">
        <f>HYPERLINK("https://klasma.github.io/Logging_2039/klagomålsmail/A 36371-2025 FSC-klagomål mail.docx", "A 36371-2025")</f>
        <v/>
      </c>
      <c r="X44">
        <f>HYPERLINK("https://klasma.github.io/Logging_2039/tillsyn/A 36371-2025 tillsynsbegäran.docx", "A 36371-2025")</f>
        <v/>
      </c>
      <c r="Y44">
        <f>HYPERLINK("https://klasma.github.io/Logging_2039/tillsynsmail/A 36371-2025 tillsynsbegäran mail.docx", "A 36371-2025")</f>
        <v/>
      </c>
      <c r="Z44">
        <f>HYPERLINK("https://klasma.github.io/Logging_2039/fåglar/A 36371-2025 prioriterade fågelarter.docx", "A 36371-2025")</f>
        <v/>
      </c>
    </row>
    <row r="45" ht="15" customHeight="1">
      <c r="A45" t="inlineStr">
        <is>
          <t>A 44936-2025</t>
        </is>
      </c>
      <c r="B45" s="1" t="n">
        <v>45918.57844907408</v>
      </c>
      <c r="C45" s="1" t="n">
        <v>46040</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29154-2025</t>
        </is>
      </c>
      <c r="B46" s="1" t="n">
        <v>45821.65135416666</v>
      </c>
      <c r="C46" s="1" t="n">
        <v>46040</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38364-2021</t>
        </is>
      </c>
      <c r="B47" s="1" t="n">
        <v>44406</v>
      </c>
      <c r="C47" s="1" t="n">
        <v>46040</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46040</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55981-2025</t>
        </is>
      </c>
      <c r="B49" s="1" t="n">
        <v>45973.53064814815</v>
      </c>
      <c r="C49" s="1" t="n">
        <v>46040</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30220-2023</t>
        </is>
      </c>
      <c r="B50" s="1" t="n">
        <v>45110.64706018518</v>
      </c>
      <c r="C50" s="1" t="n">
        <v>46040</v>
      </c>
      <c r="D50" t="inlineStr">
        <is>
          <t>DALARNAS LÄN</t>
        </is>
      </c>
      <c r="E50" t="inlineStr">
        <is>
          <t>ÄLVDALEN</t>
        </is>
      </c>
      <c r="F50" t="inlineStr">
        <is>
          <t>Allmännings- och besparingsskogar</t>
        </is>
      </c>
      <c r="G50" t="n">
        <v>13</v>
      </c>
      <c r="H50" t="n">
        <v>0</v>
      </c>
      <c r="I50" t="n">
        <v>2</v>
      </c>
      <c r="J50" t="n">
        <v>6</v>
      </c>
      <c r="K50" t="n">
        <v>2</v>
      </c>
      <c r="L50" t="n">
        <v>0</v>
      </c>
      <c r="M50" t="n">
        <v>0</v>
      </c>
      <c r="N50" t="n">
        <v>0</v>
      </c>
      <c r="O50" t="n">
        <v>8</v>
      </c>
      <c r="P50" t="n">
        <v>2</v>
      </c>
      <c r="Q50" t="n">
        <v>10</v>
      </c>
      <c r="R50" s="2" t="inlineStr">
        <is>
          <t>Goliatmusseron
Smalfotad taggsvamp
Blå taggsvamp
Kolflarnlav
Orange taggsvamp
Talltaggsvamp
Vedskivlav
Vitplätt
Dropptaggsvamp
Skarp dropptaggsvamp</t>
        </is>
      </c>
      <c r="S50">
        <f>HYPERLINK("https://klasma.github.io/Logging_2039/artfynd/A 30220-2023 artfynd.xlsx", "A 30220-2023")</f>
        <v/>
      </c>
      <c r="T50">
        <f>HYPERLINK("https://klasma.github.io/Logging_2039/kartor/A 30220-2023 karta.png", "A 30220-2023")</f>
        <v/>
      </c>
      <c r="V50">
        <f>HYPERLINK("https://klasma.github.io/Logging_2039/klagomål/A 30220-2023 FSC-klagomål.docx", "A 30220-2023")</f>
        <v/>
      </c>
      <c r="W50">
        <f>HYPERLINK("https://klasma.github.io/Logging_2039/klagomålsmail/A 30220-2023 FSC-klagomål mail.docx", "A 30220-2023")</f>
        <v/>
      </c>
      <c r="X50">
        <f>HYPERLINK("https://klasma.github.io/Logging_2039/tillsyn/A 30220-2023 tillsynsbegäran.docx", "A 30220-2023")</f>
        <v/>
      </c>
      <c r="Y50">
        <f>HYPERLINK("https://klasma.github.io/Logging_2039/tillsynsmail/A 30220-2023 tillsynsbegäran mail.docx", "A 30220-2023")</f>
        <v/>
      </c>
    </row>
    <row r="51" ht="15" customHeight="1">
      <c r="A51" t="inlineStr">
        <is>
          <t>A 34765-2025</t>
        </is>
      </c>
      <c r="B51" s="1" t="n">
        <v>45848</v>
      </c>
      <c r="C51" s="1" t="n">
        <v>46040</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46040</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46040</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31658-2025</t>
        </is>
      </c>
      <c r="B54" s="1" t="n">
        <v>45834.34892361111</v>
      </c>
      <c r="C54" s="1" t="n">
        <v>46040</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41753-2025</t>
        </is>
      </c>
      <c r="B55" s="1" t="n">
        <v>45902.49891203704</v>
      </c>
      <c r="C55" s="1" t="n">
        <v>46040</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66637-2021</t>
        </is>
      </c>
      <c r="B56" s="1" t="n">
        <v>44519</v>
      </c>
      <c r="C56" s="1" t="n">
        <v>46040</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38582-2023</t>
        </is>
      </c>
      <c r="B57" s="1" t="n">
        <v>45162</v>
      </c>
      <c r="C57" s="1" t="n">
        <v>46040</v>
      </c>
      <c r="D57" t="inlineStr">
        <is>
          <t>DALARNAS LÄN</t>
        </is>
      </c>
      <c r="E57" t="inlineStr">
        <is>
          <t>ÄLVDALEN</t>
        </is>
      </c>
      <c r="F57" t="inlineStr">
        <is>
          <t>Sveaskog</t>
        </is>
      </c>
      <c r="G57" t="n">
        <v>4.4</v>
      </c>
      <c r="H57" t="n">
        <v>1</v>
      </c>
      <c r="I57" t="n">
        <v>3</v>
      </c>
      <c r="J57" t="n">
        <v>5</v>
      </c>
      <c r="K57" t="n">
        <v>1</v>
      </c>
      <c r="L57" t="n">
        <v>0</v>
      </c>
      <c r="M57" t="n">
        <v>0</v>
      </c>
      <c r="N57" t="n">
        <v>0</v>
      </c>
      <c r="O57" t="n">
        <v>6</v>
      </c>
      <c r="P57" t="n">
        <v>1</v>
      </c>
      <c r="Q57" t="n">
        <v>9</v>
      </c>
      <c r="R57" s="2" t="inlineStr">
        <is>
          <t>Gräddporing
Blanksvart spiklav
Blå taggsvamp
Kolflarnlav
Mörk kolflarnlav
Vedskivlav
Dropptaggsvamp
Plattlummer
Skarp dropptaggsvamp</t>
        </is>
      </c>
      <c r="S57">
        <f>HYPERLINK("https://klasma.github.io/Logging_2039/artfynd/A 38582-2023 artfynd.xlsx", "A 38582-2023")</f>
        <v/>
      </c>
      <c r="T57">
        <f>HYPERLINK("https://klasma.github.io/Logging_2039/kartor/A 38582-2023 karta.png", "A 38582-2023")</f>
        <v/>
      </c>
      <c r="V57">
        <f>HYPERLINK("https://klasma.github.io/Logging_2039/klagomål/A 38582-2023 FSC-klagomål.docx", "A 38582-2023")</f>
        <v/>
      </c>
      <c r="W57">
        <f>HYPERLINK("https://klasma.github.io/Logging_2039/klagomålsmail/A 38582-2023 FSC-klagomål mail.docx", "A 38582-2023")</f>
        <v/>
      </c>
      <c r="X57">
        <f>HYPERLINK("https://klasma.github.io/Logging_2039/tillsyn/A 38582-2023 tillsynsbegäran.docx", "A 38582-2023")</f>
        <v/>
      </c>
      <c r="Y57">
        <f>HYPERLINK("https://klasma.github.io/Logging_2039/tillsynsmail/A 38582-2023 tillsynsbegäran mail.docx", "A 38582-2023")</f>
        <v/>
      </c>
    </row>
    <row r="58" ht="15" customHeight="1">
      <c r="A58" t="inlineStr">
        <is>
          <t>A 41913-2022</t>
        </is>
      </c>
      <c r="B58" s="1" t="n">
        <v>44830</v>
      </c>
      <c r="C58" s="1" t="n">
        <v>46040</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46040</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33487-2025</t>
        </is>
      </c>
      <c r="B60" s="1" t="n">
        <v>45841.50515046297</v>
      </c>
      <c r="C60" s="1" t="n">
        <v>46040</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41755-2025</t>
        </is>
      </c>
      <c r="B61" s="1" t="n">
        <v>45902.50262731482</v>
      </c>
      <c r="C61" s="1" t="n">
        <v>46040</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17715-2024</t>
        </is>
      </c>
      <c r="B62" s="1" t="n">
        <v>45415</v>
      </c>
      <c r="C62" s="1" t="n">
        <v>46040</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43051-2025</t>
        </is>
      </c>
      <c r="B63" s="1" t="n">
        <v>45909.56883101852</v>
      </c>
      <c r="C63" s="1" t="n">
        <v>46040</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23427-2025</t>
        </is>
      </c>
      <c r="B64" s="1" t="n">
        <v>45792</v>
      </c>
      <c r="C64" s="1" t="n">
        <v>46040</v>
      </c>
      <c r="D64" t="inlineStr">
        <is>
          <t>DALARNAS LÄN</t>
        </is>
      </c>
      <c r="E64" t="inlineStr">
        <is>
          <t>ÄLVDALEN</t>
        </is>
      </c>
      <c r="F64" t="inlineStr">
        <is>
          <t>Bergvik skog väst AB</t>
        </is>
      </c>
      <c r="G64" t="n">
        <v>11.7</v>
      </c>
      <c r="H64" t="n">
        <v>4</v>
      </c>
      <c r="I64" t="n">
        <v>1</v>
      </c>
      <c r="J64" t="n">
        <v>5</v>
      </c>
      <c r="K64" t="n">
        <v>0</v>
      </c>
      <c r="L64" t="n">
        <v>0</v>
      </c>
      <c r="M64" t="n">
        <v>0</v>
      </c>
      <c r="N64" t="n">
        <v>0</v>
      </c>
      <c r="O64" t="n">
        <v>5</v>
      </c>
      <c r="P64" t="n">
        <v>0</v>
      </c>
      <c r="Q64" t="n">
        <v>8</v>
      </c>
      <c r="R64" s="2" t="inlineStr">
        <is>
          <t>Blågrå svartspik
Garnlav
Tretåig hackspett
Varglav
Vedflamlav
Bronshjon
Fläcknycklar
Revlummer</t>
        </is>
      </c>
      <c r="S64">
        <f>HYPERLINK("https://klasma.github.io/Logging_2039/artfynd/A 23427-2025 artfynd.xlsx", "A 23427-2025")</f>
        <v/>
      </c>
      <c r="T64">
        <f>HYPERLINK("https://klasma.github.io/Logging_2039/kartor/A 23427-2025 karta.png", "A 23427-2025")</f>
        <v/>
      </c>
      <c r="V64">
        <f>HYPERLINK("https://klasma.github.io/Logging_2039/klagomål/A 23427-2025 FSC-klagomål.docx", "A 23427-2025")</f>
        <v/>
      </c>
      <c r="W64">
        <f>HYPERLINK("https://klasma.github.io/Logging_2039/klagomålsmail/A 23427-2025 FSC-klagomål mail.docx", "A 23427-2025")</f>
        <v/>
      </c>
      <c r="X64">
        <f>HYPERLINK("https://klasma.github.io/Logging_2039/tillsyn/A 23427-2025 tillsynsbegäran.docx", "A 23427-2025")</f>
        <v/>
      </c>
      <c r="Y64">
        <f>HYPERLINK("https://klasma.github.io/Logging_2039/tillsynsmail/A 23427-2025 tillsynsbegäran mail.docx", "A 23427-2025")</f>
        <v/>
      </c>
      <c r="Z64">
        <f>HYPERLINK("https://klasma.github.io/Logging_2039/fåglar/A 23427-2025 prioriterade fågelarter.docx", "A 23427-2025")</f>
        <v/>
      </c>
    </row>
    <row r="65" ht="15" customHeight="1">
      <c r="A65" t="inlineStr">
        <is>
          <t>A 44785-2025</t>
        </is>
      </c>
      <c r="B65" s="1" t="n">
        <v>45917.96543981481</v>
      </c>
      <c r="C65" s="1" t="n">
        <v>46040</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51041-2025</t>
        </is>
      </c>
      <c r="B66" s="1" t="n">
        <v>45947.41690972223</v>
      </c>
      <c r="C66" s="1" t="n">
        <v>46040</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71652-2021</t>
        </is>
      </c>
      <c r="B67" s="1" t="n">
        <v>44543</v>
      </c>
      <c r="C67" s="1" t="n">
        <v>46040</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54840-2025</t>
        </is>
      </c>
      <c r="B68" s="1" t="n">
        <v>45966.68414351852</v>
      </c>
      <c r="C68" s="1" t="n">
        <v>46040</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46040</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14277-2024</t>
        </is>
      </c>
      <c r="B70" s="1" t="n">
        <v>45393</v>
      </c>
      <c r="C70" s="1" t="n">
        <v>46040</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46305-2025</t>
        </is>
      </c>
      <c r="B71" s="1" t="n">
        <v>45925.4190625</v>
      </c>
      <c r="C71" s="1" t="n">
        <v>46040</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33882-2024</t>
        </is>
      </c>
      <c r="B72" s="1" t="n">
        <v>45522</v>
      </c>
      <c r="C72" s="1" t="n">
        <v>46040</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9783-2024</t>
        </is>
      </c>
      <c r="B73" s="1" t="n">
        <v>45362</v>
      </c>
      <c r="C73" s="1" t="n">
        <v>46040</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25754-2025</t>
        </is>
      </c>
      <c r="B74" s="1" t="n">
        <v>45804.32020833333</v>
      </c>
      <c r="C74" s="1" t="n">
        <v>46040</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46040</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46040</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19534-2025</t>
        </is>
      </c>
      <c r="B77" s="1" t="n">
        <v>45770.47667824074</v>
      </c>
      <c r="C77" s="1" t="n">
        <v>46040</v>
      </c>
      <c r="D77" t="inlineStr">
        <is>
          <t>DALARNAS LÄN</t>
        </is>
      </c>
      <c r="E77" t="inlineStr">
        <is>
          <t>ÄLVDALEN</t>
        </is>
      </c>
      <c r="F77" t="inlineStr">
        <is>
          <t>Sveaskog</t>
        </is>
      </c>
      <c r="G77" t="n">
        <v>34</v>
      </c>
      <c r="H77" t="n">
        <v>1</v>
      </c>
      <c r="I77" t="n">
        <v>1</v>
      </c>
      <c r="J77" t="n">
        <v>5</v>
      </c>
      <c r="K77" t="n">
        <v>0</v>
      </c>
      <c r="L77" t="n">
        <v>0</v>
      </c>
      <c r="M77" t="n">
        <v>0</v>
      </c>
      <c r="N77" t="n">
        <v>0</v>
      </c>
      <c r="O77" t="n">
        <v>5</v>
      </c>
      <c r="P77" t="n">
        <v>0</v>
      </c>
      <c r="Q77" t="n">
        <v>6</v>
      </c>
      <c r="R77" s="2" t="inlineStr">
        <is>
          <t>Dvärgbägarlav
Kolflarnlav
Mörk kolflarnlav
Varglav
Vedflamlav
Dropptaggsvamp</t>
        </is>
      </c>
      <c r="S77">
        <f>HYPERLINK("https://klasma.github.io/Logging_2039/artfynd/A 19534-2025 artfynd.xlsx", "A 19534-2025")</f>
        <v/>
      </c>
      <c r="T77">
        <f>HYPERLINK("https://klasma.github.io/Logging_2039/kartor/A 19534-2025 karta.png", "A 19534-2025")</f>
        <v/>
      </c>
      <c r="V77">
        <f>HYPERLINK("https://klasma.github.io/Logging_2039/klagomål/A 19534-2025 FSC-klagomål.docx", "A 19534-2025")</f>
        <v/>
      </c>
      <c r="W77">
        <f>HYPERLINK("https://klasma.github.io/Logging_2039/klagomålsmail/A 19534-2025 FSC-klagomål mail.docx", "A 19534-2025")</f>
        <v/>
      </c>
      <c r="X77">
        <f>HYPERLINK("https://klasma.github.io/Logging_2039/tillsyn/A 19534-2025 tillsynsbegäran.docx", "A 19534-2025")</f>
        <v/>
      </c>
      <c r="Y77">
        <f>HYPERLINK("https://klasma.github.io/Logging_2039/tillsynsmail/A 19534-2025 tillsynsbegäran mail.docx", "A 19534-2025")</f>
        <v/>
      </c>
    </row>
    <row r="78" ht="15" customHeight="1">
      <c r="A78" t="inlineStr">
        <is>
          <t>A 41750-2025</t>
        </is>
      </c>
      <c r="B78" s="1" t="n">
        <v>45902.49466435185</v>
      </c>
      <c r="C78" s="1" t="n">
        <v>46040</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58889-2025</t>
        </is>
      </c>
      <c r="B79" s="1" t="n">
        <v>45987.48891203704</v>
      </c>
      <c r="C79" s="1" t="n">
        <v>46040</v>
      </c>
      <c r="D79" t="inlineStr">
        <is>
          <t>DALARNAS LÄN</t>
        </is>
      </c>
      <c r="E79" t="inlineStr">
        <is>
          <t>ÄLVDALEN</t>
        </is>
      </c>
      <c r="F79" t="inlineStr">
        <is>
          <t>Sveaskog</t>
        </is>
      </c>
      <c r="G79" t="n">
        <v>6.6</v>
      </c>
      <c r="H79" t="n">
        <v>1</v>
      </c>
      <c r="I79" t="n">
        <v>2</v>
      </c>
      <c r="J79" t="n">
        <v>4</v>
      </c>
      <c r="K79" t="n">
        <v>0</v>
      </c>
      <c r="L79" t="n">
        <v>0</v>
      </c>
      <c r="M79" t="n">
        <v>0</v>
      </c>
      <c r="N79" t="n">
        <v>0</v>
      </c>
      <c r="O79" t="n">
        <v>4</v>
      </c>
      <c r="P79" t="n">
        <v>0</v>
      </c>
      <c r="Q79" t="n">
        <v>6</v>
      </c>
      <c r="R79" s="2" t="inlineStr">
        <is>
          <t>Dvärgbägarlav
Kolflarnlav
Mörk kolflarnlav
Vedflamlav
Dropptaggsvamp
Plattlummer</t>
        </is>
      </c>
      <c r="S79">
        <f>HYPERLINK("https://klasma.github.io/Logging_2039/artfynd/A 58889-2025 artfynd.xlsx", "A 58889-2025")</f>
        <v/>
      </c>
      <c r="T79">
        <f>HYPERLINK("https://klasma.github.io/Logging_2039/kartor/A 58889-2025 karta.png", "A 58889-2025")</f>
        <v/>
      </c>
      <c r="V79">
        <f>HYPERLINK("https://klasma.github.io/Logging_2039/klagomål/A 58889-2025 FSC-klagomål.docx", "A 58889-2025")</f>
        <v/>
      </c>
      <c r="W79">
        <f>HYPERLINK("https://klasma.github.io/Logging_2039/klagomålsmail/A 58889-2025 FSC-klagomål mail.docx", "A 58889-2025")</f>
        <v/>
      </c>
      <c r="X79">
        <f>HYPERLINK("https://klasma.github.io/Logging_2039/tillsyn/A 58889-2025 tillsynsbegäran.docx", "A 58889-2025")</f>
        <v/>
      </c>
      <c r="Y79">
        <f>HYPERLINK("https://klasma.github.io/Logging_2039/tillsynsmail/A 58889-2025 tillsynsbegäran mail.docx", "A 58889-2025")</f>
        <v/>
      </c>
    </row>
    <row r="80" ht="15" customHeight="1">
      <c r="A80" t="inlineStr">
        <is>
          <t>A 54671-2021</t>
        </is>
      </c>
      <c r="B80" s="1" t="n">
        <v>44473</v>
      </c>
      <c r="C80" s="1" t="n">
        <v>46040</v>
      </c>
      <c r="D80" t="inlineStr">
        <is>
          <t>DALARNAS LÄN</t>
        </is>
      </c>
      <c r="E80" t="inlineStr">
        <is>
          <t>ÄLVDALEN</t>
        </is>
      </c>
      <c r="G80" t="n">
        <v>26.4</v>
      </c>
      <c r="H80" t="n">
        <v>0</v>
      </c>
      <c r="I80" t="n">
        <v>0</v>
      </c>
      <c r="J80" t="n">
        <v>4</v>
      </c>
      <c r="K80" t="n">
        <v>1</v>
      </c>
      <c r="L80" t="n">
        <v>1</v>
      </c>
      <c r="M80" t="n">
        <v>0</v>
      </c>
      <c r="N80" t="n">
        <v>0</v>
      </c>
      <c r="O80" t="n">
        <v>6</v>
      </c>
      <c r="P80" t="n">
        <v>2</v>
      </c>
      <c r="Q80" t="n">
        <v>6</v>
      </c>
      <c r="R80" s="2" t="inlineStr">
        <is>
          <t>Timmerskapania
Fläckporing
Granticka
Kolflarnlav
Mörk kolflarnlav
Ullticka</t>
        </is>
      </c>
      <c r="S80">
        <f>HYPERLINK("https://klasma.github.io/Logging_2039/artfynd/A 54671-2021 artfynd.xlsx", "A 54671-2021")</f>
        <v/>
      </c>
      <c r="T80">
        <f>HYPERLINK("https://klasma.github.io/Logging_2039/kartor/A 54671-2021 karta.png", "A 54671-2021")</f>
        <v/>
      </c>
      <c r="V80">
        <f>HYPERLINK("https://klasma.github.io/Logging_2039/klagomål/A 54671-2021 FSC-klagomål.docx", "A 54671-2021")</f>
        <v/>
      </c>
      <c r="W80">
        <f>HYPERLINK("https://klasma.github.io/Logging_2039/klagomålsmail/A 54671-2021 FSC-klagomål mail.docx", "A 54671-2021")</f>
        <v/>
      </c>
      <c r="X80">
        <f>HYPERLINK("https://klasma.github.io/Logging_2039/tillsyn/A 54671-2021 tillsynsbegäran.docx", "A 54671-2021")</f>
        <v/>
      </c>
      <c r="Y80">
        <f>HYPERLINK("https://klasma.github.io/Logging_2039/tillsynsmail/A 54671-2021 tillsynsbegäran mail.docx", "A 54671-2021")</f>
        <v/>
      </c>
    </row>
    <row r="81" ht="15" customHeight="1">
      <c r="A81" t="inlineStr">
        <is>
          <t>A 19262-2025</t>
        </is>
      </c>
      <c r="B81" s="1" t="n">
        <v>45769.51054398148</v>
      </c>
      <c r="C81" s="1" t="n">
        <v>46040</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40417-2025</t>
        </is>
      </c>
      <c r="B82" s="1" t="n">
        <v>45895</v>
      </c>
      <c r="C82" s="1" t="n">
        <v>46040</v>
      </c>
      <c r="D82" t="inlineStr">
        <is>
          <t>DALARNAS LÄN</t>
        </is>
      </c>
      <c r="E82" t="inlineStr">
        <is>
          <t>ÄLVDALEN</t>
        </is>
      </c>
      <c r="G82" t="n">
        <v>14.2</v>
      </c>
      <c r="H82" t="n">
        <v>2</v>
      </c>
      <c r="I82" t="n">
        <v>1</v>
      </c>
      <c r="J82" t="n">
        <v>4</v>
      </c>
      <c r="K82" t="n">
        <v>0</v>
      </c>
      <c r="L82" t="n">
        <v>0</v>
      </c>
      <c r="M82" t="n">
        <v>0</v>
      </c>
      <c r="N82" t="n">
        <v>0</v>
      </c>
      <c r="O82" t="n">
        <v>4</v>
      </c>
      <c r="P82" t="n">
        <v>0</v>
      </c>
      <c r="Q82" t="n">
        <v>6</v>
      </c>
      <c r="R82" s="2" t="inlineStr">
        <is>
          <t>Garnlav
Kolflarnlav
Mörk kolflarnlav
Vedskivlav
Plattlummer
Tjäder</t>
        </is>
      </c>
      <c r="S82">
        <f>HYPERLINK("https://klasma.github.io/Logging_2039/artfynd/A 40417-2025 artfynd.xlsx", "A 40417-2025")</f>
        <v/>
      </c>
      <c r="T82">
        <f>HYPERLINK("https://klasma.github.io/Logging_2039/kartor/A 40417-2025 karta.png", "A 40417-2025")</f>
        <v/>
      </c>
      <c r="V82">
        <f>HYPERLINK("https://klasma.github.io/Logging_2039/klagomål/A 40417-2025 FSC-klagomål.docx", "A 40417-2025")</f>
        <v/>
      </c>
      <c r="W82">
        <f>HYPERLINK("https://klasma.github.io/Logging_2039/klagomålsmail/A 40417-2025 FSC-klagomål mail.docx", "A 40417-2025")</f>
        <v/>
      </c>
      <c r="X82">
        <f>HYPERLINK("https://klasma.github.io/Logging_2039/tillsyn/A 40417-2025 tillsynsbegäran.docx", "A 40417-2025")</f>
        <v/>
      </c>
      <c r="Y82">
        <f>HYPERLINK("https://klasma.github.io/Logging_2039/tillsynsmail/A 40417-2025 tillsynsbegäran mail.docx", "A 40417-2025")</f>
        <v/>
      </c>
      <c r="Z82">
        <f>HYPERLINK("https://klasma.github.io/Logging_2039/fåglar/A 40417-2025 prioriterade fågelarter.docx", "A 40417-2025")</f>
        <v/>
      </c>
    </row>
    <row r="83" ht="15" customHeight="1">
      <c r="A83" t="inlineStr">
        <is>
          <t>A 49052-2023</t>
        </is>
      </c>
      <c r="B83" s="1" t="n">
        <v>45210</v>
      </c>
      <c r="C83" s="1" t="n">
        <v>46040</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39278-2022</t>
        </is>
      </c>
      <c r="B84" s="1" t="n">
        <v>44817</v>
      </c>
      <c r="C84" s="1" t="n">
        <v>46040</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22701-2024</t>
        </is>
      </c>
      <c r="B85" s="1" t="n">
        <v>45448</v>
      </c>
      <c r="C85" s="1" t="n">
        <v>46040</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31821-2025</t>
        </is>
      </c>
      <c r="B86" s="1" t="n">
        <v>45834.57958333333</v>
      </c>
      <c r="C86" s="1" t="n">
        <v>46040</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31631-2025</t>
        </is>
      </c>
      <c r="B87" s="1" t="n">
        <v>45834</v>
      </c>
      <c r="C87" s="1" t="n">
        <v>46040</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33638-2025</t>
        </is>
      </c>
      <c r="B88" s="1" t="n">
        <v>45841.64807870371</v>
      </c>
      <c r="C88" s="1" t="n">
        <v>46040</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46040</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41782-2025</t>
        </is>
      </c>
      <c r="B90" s="1" t="n">
        <v>45902.58693287037</v>
      </c>
      <c r="C90" s="1" t="n">
        <v>46040</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38585-2023</t>
        </is>
      </c>
      <c r="B91" s="1" t="n">
        <v>45162</v>
      </c>
      <c r="C91" s="1" t="n">
        <v>46040</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2221-2026</t>
        </is>
      </c>
      <c r="B92" s="1" t="n">
        <v>46036.50204861111</v>
      </c>
      <c r="C92" s="1" t="n">
        <v>46040</v>
      </c>
      <c r="D92" t="inlineStr">
        <is>
          <t>DALARNAS LÄN</t>
        </is>
      </c>
      <c r="E92" t="inlineStr">
        <is>
          <t>ÄLVDALEN</t>
        </is>
      </c>
      <c r="F92" t="inlineStr">
        <is>
          <t>Allmännings- och besparingsskogar</t>
        </is>
      </c>
      <c r="G92" t="n">
        <v>3</v>
      </c>
      <c r="H92" t="n">
        <v>1</v>
      </c>
      <c r="I92" t="n">
        <v>0</v>
      </c>
      <c r="J92" t="n">
        <v>4</v>
      </c>
      <c r="K92" t="n">
        <v>0</v>
      </c>
      <c r="L92" t="n">
        <v>0</v>
      </c>
      <c r="M92" t="n">
        <v>0</v>
      </c>
      <c r="N92" t="n">
        <v>0</v>
      </c>
      <c r="O92" t="n">
        <v>4</v>
      </c>
      <c r="P92" t="n">
        <v>0</v>
      </c>
      <c r="Q92" t="n">
        <v>5</v>
      </c>
      <c r="R92" s="2" t="inlineStr">
        <is>
          <t>Garnlav
Kolflarnlav
Vedflamlav
Vedskivlav
Orre</t>
        </is>
      </c>
      <c r="S92">
        <f>HYPERLINK("https://klasma.github.io/Logging_2039/artfynd/A 2221-2026 artfynd.xlsx", "A 2221-2026")</f>
        <v/>
      </c>
      <c r="T92">
        <f>HYPERLINK("https://klasma.github.io/Logging_2039/kartor/A 2221-2026 karta.png", "A 2221-2026")</f>
        <v/>
      </c>
      <c r="V92">
        <f>HYPERLINK("https://klasma.github.io/Logging_2039/klagomål/A 2221-2026 FSC-klagomål.docx", "A 2221-2026")</f>
        <v/>
      </c>
      <c r="W92">
        <f>HYPERLINK("https://klasma.github.io/Logging_2039/klagomålsmail/A 2221-2026 FSC-klagomål mail.docx", "A 2221-2026")</f>
        <v/>
      </c>
      <c r="X92">
        <f>HYPERLINK("https://klasma.github.io/Logging_2039/tillsyn/A 2221-2026 tillsynsbegäran.docx", "A 2221-2026")</f>
        <v/>
      </c>
      <c r="Y92">
        <f>HYPERLINK("https://klasma.github.io/Logging_2039/tillsynsmail/A 2221-2026 tillsynsbegäran mail.docx", "A 2221-2026")</f>
        <v/>
      </c>
      <c r="Z92">
        <f>HYPERLINK("https://klasma.github.io/Logging_2039/fåglar/A 2221-2026 prioriterade fågelarter.docx", "A 2221-2026")</f>
        <v/>
      </c>
    </row>
    <row r="93" ht="15" customHeight="1">
      <c r="A93" t="inlineStr">
        <is>
          <t>A 49053-2023</t>
        </is>
      </c>
      <c r="B93" s="1" t="n">
        <v>45210</v>
      </c>
      <c r="C93" s="1" t="n">
        <v>46040</v>
      </c>
      <c r="D93" t="inlineStr">
        <is>
          <t>DALARNAS LÄN</t>
        </is>
      </c>
      <c r="E93" t="inlineStr">
        <is>
          <t>ÄLVDALEN</t>
        </is>
      </c>
      <c r="F93" t="inlineStr">
        <is>
          <t>Sveaskog</t>
        </is>
      </c>
      <c r="G93" t="n">
        <v>3.6</v>
      </c>
      <c r="H93" t="n">
        <v>0</v>
      </c>
      <c r="I93" t="n">
        <v>2</v>
      </c>
      <c r="J93" t="n">
        <v>3</v>
      </c>
      <c r="K93" t="n">
        <v>0</v>
      </c>
      <c r="L93" t="n">
        <v>0</v>
      </c>
      <c r="M93" t="n">
        <v>0</v>
      </c>
      <c r="N93" t="n">
        <v>0</v>
      </c>
      <c r="O93" t="n">
        <v>3</v>
      </c>
      <c r="P93" t="n">
        <v>0</v>
      </c>
      <c r="Q93" t="n">
        <v>5</v>
      </c>
      <c r="R93" s="2" t="inlineStr">
        <is>
          <t>Kolflarnlav
Nordtagging
Vedflamlav
Dropptaggsvamp
Skarp dropptaggsvamp</t>
        </is>
      </c>
      <c r="S93">
        <f>HYPERLINK("https://klasma.github.io/Logging_2039/artfynd/A 49053-2023 artfynd.xlsx", "A 49053-2023")</f>
        <v/>
      </c>
      <c r="T93">
        <f>HYPERLINK("https://klasma.github.io/Logging_2039/kartor/A 49053-2023 karta.png", "A 49053-2023")</f>
        <v/>
      </c>
      <c r="V93">
        <f>HYPERLINK("https://klasma.github.io/Logging_2039/klagomål/A 49053-2023 FSC-klagomål.docx", "A 49053-2023")</f>
        <v/>
      </c>
      <c r="W93">
        <f>HYPERLINK("https://klasma.github.io/Logging_2039/klagomålsmail/A 49053-2023 FSC-klagomål mail.docx", "A 49053-2023")</f>
        <v/>
      </c>
      <c r="X93">
        <f>HYPERLINK("https://klasma.github.io/Logging_2039/tillsyn/A 49053-2023 tillsynsbegäran.docx", "A 49053-2023")</f>
        <v/>
      </c>
      <c r="Y93">
        <f>HYPERLINK("https://klasma.github.io/Logging_2039/tillsynsmail/A 49053-2023 tillsynsbegäran mail.docx", "A 49053-2023")</f>
        <v/>
      </c>
    </row>
    <row r="94" ht="15" customHeight="1">
      <c r="A94" t="inlineStr">
        <is>
          <t>A 61591-2025</t>
        </is>
      </c>
      <c r="B94" s="1" t="n">
        <v>46002.34777777778</v>
      </c>
      <c r="C94" s="1" t="n">
        <v>46040</v>
      </c>
      <c r="D94" t="inlineStr">
        <is>
          <t>DALARNAS LÄN</t>
        </is>
      </c>
      <c r="E94" t="inlineStr">
        <is>
          <t>ÄLVDALEN</t>
        </is>
      </c>
      <c r="F94" t="inlineStr">
        <is>
          <t>Sveaskog</t>
        </is>
      </c>
      <c r="G94" t="n">
        <v>8.1</v>
      </c>
      <c r="H94" t="n">
        <v>1</v>
      </c>
      <c r="I94" t="n">
        <v>2</v>
      </c>
      <c r="J94" t="n">
        <v>3</v>
      </c>
      <c r="K94" t="n">
        <v>0</v>
      </c>
      <c r="L94" t="n">
        <v>0</v>
      </c>
      <c r="M94" t="n">
        <v>0</v>
      </c>
      <c r="N94" t="n">
        <v>0</v>
      </c>
      <c r="O94" t="n">
        <v>3</v>
      </c>
      <c r="P94" t="n">
        <v>0</v>
      </c>
      <c r="Q94" t="n">
        <v>5</v>
      </c>
      <c r="R94" s="2" t="inlineStr">
        <is>
          <t>Dvärgbägarlav
Kolflarnlav
Mörk kolflarnlav
Dropptaggsvamp
Plattlummer</t>
        </is>
      </c>
      <c r="S94">
        <f>HYPERLINK("https://klasma.github.io/Logging_2039/artfynd/A 61591-2025 artfynd.xlsx", "A 61591-2025")</f>
        <v/>
      </c>
      <c r="T94">
        <f>HYPERLINK("https://klasma.github.io/Logging_2039/kartor/A 61591-2025 karta.png", "A 61591-2025")</f>
        <v/>
      </c>
      <c r="V94">
        <f>HYPERLINK("https://klasma.github.io/Logging_2039/klagomål/A 61591-2025 FSC-klagomål.docx", "A 61591-2025")</f>
        <v/>
      </c>
      <c r="W94">
        <f>HYPERLINK("https://klasma.github.io/Logging_2039/klagomålsmail/A 61591-2025 FSC-klagomål mail.docx", "A 61591-2025")</f>
        <v/>
      </c>
      <c r="X94">
        <f>HYPERLINK("https://klasma.github.io/Logging_2039/tillsyn/A 61591-2025 tillsynsbegäran.docx", "A 61591-2025")</f>
        <v/>
      </c>
      <c r="Y94">
        <f>HYPERLINK("https://klasma.github.io/Logging_2039/tillsynsmail/A 61591-2025 tillsynsbegäran mail.docx", "A 61591-2025")</f>
        <v/>
      </c>
    </row>
    <row r="95" ht="15" customHeight="1">
      <c r="A95" t="inlineStr">
        <is>
          <t>A 62684-2025</t>
        </is>
      </c>
      <c r="B95" s="1" t="n">
        <v>46008.45831018518</v>
      </c>
      <c r="C95" s="1" t="n">
        <v>46040</v>
      </c>
      <c r="D95" t="inlineStr">
        <is>
          <t>DALARNAS LÄN</t>
        </is>
      </c>
      <c r="E95" t="inlineStr">
        <is>
          <t>ÄLVDALEN</t>
        </is>
      </c>
      <c r="G95" t="n">
        <v>20.3</v>
      </c>
      <c r="H95" t="n">
        <v>2</v>
      </c>
      <c r="I95" t="n">
        <v>2</v>
      </c>
      <c r="J95" t="n">
        <v>3</v>
      </c>
      <c r="K95" t="n">
        <v>0</v>
      </c>
      <c r="L95" t="n">
        <v>0</v>
      </c>
      <c r="M95" t="n">
        <v>0</v>
      </c>
      <c r="N95" t="n">
        <v>0</v>
      </c>
      <c r="O95" t="n">
        <v>3</v>
      </c>
      <c r="P95" t="n">
        <v>0</v>
      </c>
      <c r="Q95" t="n">
        <v>5</v>
      </c>
      <c r="R95" s="2" t="inlineStr">
        <is>
          <t>Garnlav
Spillkråka
Talltita
Grovticka
Mindre märgborre</t>
        </is>
      </c>
      <c r="S95">
        <f>HYPERLINK("https://klasma.github.io/Logging_2039/artfynd/A 62684-2025 artfynd.xlsx", "A 62684-2025")</f>
        <v/>
      </c>
      <c r="T95">
        <f>HYPERLINK("https://klasma.github.io/Logging_2039/kartor/A 62684-2025 karta.png", "A 62684-2025")</f>
        <v/>
      </c>
      <c r="V95">
        <f>HYPERLINK("https://klasma.github.io/Logging_2039/klagomål/A 62684-2025 FSC-klagomål.docx", "A 62684-2025")</f>
        <v/>
      </c>
      <c r="W95">
        <f>HYPERLINK("https://klasma.github.io/Logging_2039/klagomålsmail/A 62684-2025 FSC-klagomål mail.docx", "A 62684-2025")</f>
        <v/>
      </c>
      <c r="X95">
        <f>HYPERLINK("https://klasma.github.io/Logging_2039/tillsyn/A 62684-2025 tillsynsbegäran.docx", "A 62684-2025")</f>
        <v/>
      </c>
      <c r="Y95">
        <f>HYPERLINK("https://klasma.github.io/Logging_2039/tillsynsmail/A 62684-2025 tillsynsbegäran mail.docx", "A 62684-2025")</f>
        <v/>
      </c>
      <c r="Z95">
        <f>HYPERLINK("https://klasma.github.io/Logging_2039/fåglar/A 62684-2025 prioriterade fågelarter.docx", "A 62684-2025")</f>
        <v/>
      </c>
    </row>
    <row r="96" ht="15" customHeight="1">
      <c r="A96" t="inlineStr">
        <is>
          <t>A 19616-2024</t>
        </is>
      </c>
      <c r="B96" s="1" t="n">
        <v>45432.31541666666</v>
      </c>
      <c r="C96" s="1" t="n">
        <v>46040</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16894-2025</t>
        </is>
      </c>
      <c r="B97" s="1" t="n">
        <v>45755.33045138889</v>
      </c>
      <c r="C97" s="1" t="n">
        <v>46040</v>
      </c>
      <c r="D97" t="inlineStr">
        <is>
          <t>DALARNAS LÄN</t>
        </is>
      </c>
      <c r="E97" t="inlineStr">
        <is>
          <t>ÄLVDALEN</t>
        </is>
      </c>
      <c r="F97" t="inlineStr">
        <is>
          <t>Sveaskog</t>
        </is>
      </c>
      <c r="G97" t="n">
        <v>17.3</v>
      </c>
      <c r="H97" t="n">
        <v>0</v>
      </c>
      <c r="I97" t="n">
        <v>1</v>
      </c>
      <c r="J97" t="n">
        <v>4</v>
      </c>
      <c r="K97" t="n">
        <v>0</v>
      </c>
      <c r="L97" t="n">
        <v>0</v>
      </c>
      <c r="M97" t="n">
        <v>0</v>
      </c>
      <c r="N97" t="n">
        <v>0</v>
      </c>
      <c r="O97" t="n">
        <v>4</v>
      </c>
      <c r="P97" t="n">
        <v>0</v>
      </c>
      <c r="Q97" t="n">
        <v>5</v>
      </c>
      <c r="R97" s="2" t="inlineStr">
        <is>
          <t>Dvärgbägarlav
Kolflarnlav
Mörk kolflarnlav
Vedflamlav
Dropptaggsvamp</t>
        </is>
      </c>
      <c r="S97">
        <f>HYPERLINK("https://klasma.github.io/Logging_2039/artfynd/A 16894-2025 artfynd.xlsx", "A 16894-2025")</f>
        <v/>
      </c>
      <c r="T97">
        <f>HYPERLINK("https://klasma.github.io/Logging_2039/kartor/A 16894-2025 karta.png", "A 16894-2025")</f>
        <v/>
      </c>
      <c r="V97">
        <f>HYPERLINK("https://klasma.github.io/Logging_2039/klagomål/A 16894-2025 FSC-klagomål.docx", "A 16894-2025")</f>
        <v/>
      </c>
      <c r="W97">
        <f>HYPERLINK("https://klasma.github.io/Logging_2039/klagomålsmail/A 16894-2025 FSC-klagomål mail.docx", "A 16894-2025")</f>
        <v/>
      </c>
      <c r="X97">
        <f>HYPERLINK("https://klasma.github.io/Logging_2039/tillsyn/A 16894-2025 tillsynsbegäran.docx", "A 16894-2025")</f>
        <v/>
      </c>
      <c r="Y97">
        <f>HYPERLINK("https://klasma.github.io/Logging_2039/tillsynsmail/A 16894-2025 tillsynsbegäran mail.docx", "A 16894-2025")</f>
        <v/>
      </c>
    </row>
    <row r="98" ht="15" customHeight="1">
      <c r="A98" t="inlineStr">
        <is>
          <t>A 25089-2024</t>
        </is>
      </c>
      <c r="B98" s="1" t="n">
        <v>45462.39879629629</v>
      </c>
      <c r="C98" s="1" t="n">
        <v>46040</v>
      </c>
      <c r="D98" t="inlineStr">
        <is>
          <t>DALARNAS LÄN</t>
        </is>
      </c>
      <c r="E98" t="inlineStr">
        <is>
          <t>ÄLVDALEN</t>
        </is>
      </c>
      <c r="F98" t="inlineStr">
        <is>
          <t>Sveaskog</t>
        </is>
      </c>
      <c r="G98" t="n">
        <v>3.9</v>
      </c>
      <c r="H98" t="n">
        <v>0</v>
      </c>
      <c r="I98" t="n">
        <v>1</v>
      </c>
      <c r="J98" t="n">
        <v>4</v>
      </c>
      <c r="K98" t="n">
        <v>0</v>
      </c>
      <c r="L98" t="n">
        <v>0</v>
      </c>
      <c r="M98" t="n">
        <v>0</v>
      </c>
      <c r="N98" t="n">
        <v>0</v>
      </c>
      <c r="O98" t="n">
        <v>4</v>
      </c>
      <c r="P98" t="n">
        <v>0</v>
      </c>
      <c r="Q98" t="n">
        <v>5</v>
      </c>
      <c r="R98" s="2" t="inlineStr">
        <is>
          <t>Blanksvart spiklav
Kolflarnlav
Mörk kolflarnlav
Vedflamlav
Skarp dropptaggsvamp</t>
        </is>
      </c>
      <c r="S98">
        <f>HYPERLINK("https://klasma.github.io/Logging_2039/artfynd/A 25089-2024 artfynd.xlsx", "A 25089-2024")</f>
        <v/>
      </c>
      <c r="T98">
        <f>HYPERLINK("https://klasma.github.io/Logging_2039/kartor/A 25089-2024 karta.png", "A 25089-2024")</f>
        <v/>
      </c>
      <c r="V98">
        <f>HYPERLINK("https://klasma.github.io/Logging_2039/klagomål/A 25089-2024 FSC-klagomål.docx", "A 25089-2024")</f>
        <v/>
      </c>
      <c r="W98">
        <f>HYPERLINK("https://klasma.github.io/Logging_2039/klagomålsmail/A 25089-2024 FSC-klagomål mail.docx", "A 25089-2024")</f>
        <v/>
      </c>
      <c r="X98">
        <f>HYPERLINK("https://klasma.github.io/Logging_2039/tillsyn/A 25089-2024 tillsynsbegäran.docx", "A 25089-2024")</f>
        <v/>
      </c>
      <c r="Y98">
        <f>HYPERLINK("https://klasma.github.io/Logging_2039/tillsynsmail/A 25089-2024 tillsynsbegäran mail.docx", "A 25089-2024")</f>
        <v/>
      </c>
    </row>
    <row r="99" ht="15" customHeight="1">
      <c r="A99" t="inlineStr">
        <is>
          <t>A 10282-2024</t>
        </is>
      </c>
      <c r="B99" s="1" t="n">
        <v>45365</v>
      </c>
      <c r="C99" s="1" t="n">
        <v>46040</v>
      </c>
      <c r="D99" t="inlineStr">
        <is>
          <t>DALARNAS LÄN</t>
        </is>
      </c>
      <c r="E99" t="inlineStr">
        <is>
          <t>ÄLVDALEN</t>
        </is>
      </c>
      <c r="G99" t="n">
        <v>1.2</v>
      </c>
      <c r="H99" t="n">
        <v>1</v>
      </c>
      <c r="I99" t="n">
        <v>1</v>
      </c>
      <c r="J99" t="n">
        <v>3</v>
      </c>
      <c r="K99" t="n">
        <v>1</v>
      </c>
      <c r="L99" t="n">
        <v>0</v>
      </c>
      <c r="M99" t="n">
        <v>0</v>
      </c>
      <c r="N99" t="n">
        <v>0</v>
      </c>
      <c r="O99" t="n">
        <v>4</v>
      </c>
      <c r="P99" t="n">
        <v>1</v>
      </c>
      <c r="Q99" t="n">
        <v>5</v>
      </c>
      <c r="R99" s="2" t="inlineStr">
        <is>
          <t>Knärot
Garnlav
Ullticka
Violettgrå tagellav
Vedticka</t>
        </is>
      </c>
      <c r="S99">
        <f>HYPERLINK("https://klasma.github.io/Logging_2039/artfynd/A 10282-2024 artfynd.xlsx", "A 10282-2024")</f>
        <v/>
      </c>
      <c r="T99">
        <f>HYPERLINK("https://klasma.github.io/Logging_2039/kartor/A 10282-2024 karta.png", "A 10282-2024")</f>
        <v/>
      </c>
      <c r="U99">
        <f>HYPERLINK("https://klasma.github.io/Logging_2039/knärot/A 10282-2024 karta knärot.png", "A 10282-2024")</f>
        <v/>
      </c>
      <c r="V99">
        <f>HYPERLINK("https://klasma.github.io/Logging_2039/klagomål/A 10282-2024 FSC-klagomål.docx", "A 10282-2024")</f>
        <v/>
      </c>
      <c r="W99">
        <f>HYPERLINK("https://klasma.github.io/Logging_2039/klagomålsmail/A 10282-2024 FSC-klagomål mail.docx", "A 10282-2024")</f>
        <v/>
      </c>
      <c r="X99">
        <f>HYPERLINK("https://klasma.github.io/Logging_2039/tillsyn/A 10282-2024 tillsynsbegäran.docx", "A 10282-2024")</f>
        <v/>
      </c>
      <c r="Y99">
        <f>HYPERLINK("https://klasma.github.io/Logging_2039/tillsynsmail/A 10282-2024 tillsynsbegäran mail.docx", "A 10282-2024")</f>
        <v/>
      </c>
    </row>
    <row r="100" ht="15" customHeight="1">
      <c r="A100" t="inlineStr">
        <is>
          <t>A 32207-2024</t>
        </is>
      </c>
      <c r="B100" s="1" t="n">
        <v>45511.67440972223</v>
      </c>
      <c r="C100" s="1" t="n">
        <v>46040</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29252-2023</t>
        </is>
      </c>
      <c r="B101" s="1" t="n">
        <v>45105</v>
      </c>
      <c r="C101" s="1" t="n">
        <v>46040</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43344-2025</t>
        </is>
      </c>
      <c r="B102" s="1" t="n">
        <v>45910.76924768519</v>
      </c>
      <c r="C102" s="1" t="n">
        <v>46040</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32204-2024</t>
        </is>
      </c>
      <c r="B103" s="1" t="n">
        <v>45511.67277777778</v>
      </c>
      <c r="C103" s="1" t="n">
        <v>46040</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51896-2025</t>
        </is>
      </c>
      <c r="B104" s="1" t="n">
        <v>45952.43372685185</v>
      </c>
      <c r="C104" s="1" t="n">
        <v>46040</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61583-2025</t>
        </is>
      </c>
      <c r="B105" s="1" t="n">
        <v>46002.34027777778</v>
      </c>
      <c r="C105" s="1" t="n">
        <v>46040</v>
      </c>
      <c r="D105" t="inlineStr">
        <is>
          <t>DALARNAS LÄN</t>
        </is>
      </c>
      <c r="E105" t="inlineStr">
        <is>
          <t>ÄLVDALEN</t>
        </is>
      </c>
      <c r="F105" t="inlineStr">
        <is>
          <t>Sveaskog</t>
        </is>
      </c>
      <c r="G105" t="n">
        <v>6.7</v>
      </c>
      <c r="H105" t="n">
        <v>2</v>
      </c>
      <c r="I105" t="n">
        <v>1</v>
      </c>
      <c r="J105" t="n">
        <v>3</v>
      </c>
      <c r="K105" t="n">
        <v>0</v>
      </c>
      <c r="L105" t="n">
        <v>0</v>
      </c>
      <c r="M105" t="n">
        <v>0</v>
      </c>
      <c r="N105" t="n">
        <v>0</v>
      </c>
      <c r="O105" t="n">
        <v>3</v>
      </c>
      <c r="P105" t="n">
        <v>0</v>
      </c>
      <c r="Q105" t="n">
        <v>4</v>
      </c>
      <c r="R105" s="2" t="inlineStr">
        <is>
          <t>Kolflarnlav
Mörk kolflarnlav
Varglav
Plattlummer</t>
        </is>
      </c>
      <c r="S105">
        <f>HYPERLINK("https://klasma.github.io/Logging_2039/artfynd/A 61583-2025 artfynd.xlsx", "A 61583-2025")</f>
        <v/>
      </c>
      <c r="T105">
        <f>HYPERLINK("https://klasma.github.io/Logging_2039/kartor/A 61583-2025 karta.png", "A 61583-2025")</f>
        <v/>
      </c>
      <c r="V105">
        <f>HYPERLINK("https://klasma.github.io/Logging_2039/klagomål/A 61583-2025 FSC-klagomål.docx", "A 61583-2025")</f>
        <v/>
      </c>
      <c r="W105">
        <f>HYPERLINK("https://klasma.github.io/Logging_2039/klagomålsmail/A 61583-2025 FSC-klagomål mail.docx", "A 61583-2025")</f>
        <v/>
      </c>
      <c r="X105">
        <f>HYPERLINK("https://klasma.github.io/Logging_2039/tillsyn/A 61583-2025 tillsynsbegäran.docx", "A 61583-2025")</f>
        <v/>
      </c>
      <c r="Y105">
        <f>HYPERLINK("https://klasma.github.io/Logging_2039/tillsynsmail/A 61583-2025 tillsynsbegäran mail.docx", "A 61583-2025")</f>
        <v/>
      </c>
    </row>
    <row r="106" ht="15" customHeight="1">
      <c r="A106" t="inlineStr">
        <is>
          <t>A 61585-2025</t>
        </is>
      </c>
      <c r="B106" s="1" t="n">
        <v>46002.34267361111</v>
      </c>
      <c r="C106" s="1" t="n">
        <v>46040</v>
      </c>
      <c r="D106" t="inlineStr">
        <is>
          <t>DALARNAS LÄN</t>
        </is>
      </c>
      <c r="E106" t="inlineStr">
        <is>
          <t>ÄLVDALEN</t>
        </is>
      </c>
      <c r="F106" t="inlineStr">
        <is>
          <t>Sveaskog</t>
        </is>
      </c>
      <c r="G106" t="n">
        <v>11.2</v>
      </c>
      <c r="H106" t="n">
        <v>0</v>
      </c>
      <c r="I106" t="n">
        <v>0</v>
      </c>
      <c r="J106" t="n">
        <v>4</v>
      </c>
      <c r="K106" t="n">
        <v>0</v>
      </c>
      <c r="L106" t="n">
        <v>0</v>
      </c>
      <c r="M106" t="n">
        <v>0</v>
      </c>
      <c r="N106" t="n">
        <v>0</v>
      </c>
      <c r="O106" t="n">
        <v>4</v>
      </c>
      <c r="P106" t="n">
        <v>0</v>
      </c>
      <c r="Q106" t="n">
        <v>4</v>
      </c>
      <c r="R106" s="2" t="inlineStr">
        <is>
          <t>Dvärgbägarlav
Kolflarnlav
Skrovellav
Vedflamlav</t>
        </is>
      </c>
      <c r="S106">
        <f>HYPERLINK("https://klasma.github.io/Logging_2039/artfynd/A 61585-2025 artfynd.xlsx", "A 61585-2025")</f>
        <v/>
      </c>
      <c r="T106">
        <f>HYPERLINK("https://klasma.github.io/Logging_2039/kartor/A 61585-2025 karta.png", "A 61585-2025")</f>
        <v/>
      </c>
      <c r="V106">
        <f>HYPERLINK("https://klasma.github.io/Logging_2039/klagomål/A 61585-2025 FSC-klagomål.docx", "A 61585-2025")</f>
        <v/>
      </c>
      <c r="W106">
        <f>HYPERLINK("https://klasma.github.io/Logging_2039/klagomålsmail/A 61585-2025 FSC-klagomål mail.docx", "A 61585-2025")</f>
        <v/>
      </c>
      <c r="X106">
        <f>HYPERLINK("https://klasma.github.io/Logging_2039/tillsyn/A 61585-2025 tillsynsbegäran.docx", "A 61585-2025")</f>
        <v/>
      </c>
      <c r="Y106">
        <f>HYPERLINK("https://klasma.github.io/Logging_2039/tillsynsmail/A 61585-2025 tillsynsbegäran mail.docx", "A 61585-2025")</f>
        <v/>
      </c>
    </row>
    <row r="107" ht="15" customHeight="1">
      <c r="A107" t="inlineStr">
        <is>
          <t>A 36580-2024</t>
        </is>
      </c>
      <c r="B107" s="1" t="n">
        <v>45537.50400462963</v>
      </c>
      <c r="C107" s="1" t="n">
        <v>46040</v>
      </c>
      <c r="D107" t="inlineStr">
        <is>
          <t>DALARNAS LÄN</t>
        </is>
      </c>
      <c r="E107" t="inlineStr">
        <is>
          <t>ÄLVDALEN</t>
        </is>
      </c>
      <c r="F107" t="inlineStr">
        <is>
          <t>Sveaskog</t>
        </is>
      </c>
      <c r="G107" t="n">
        <v>4.2</v>
      </c>
      <c r="H107" t="n">
        <v>0</v>
      </c>
      <c r="I107" t="n">
        <v>0</v>
      </c>
      <c r="J107" t="n">
        <v>4</v>
      </c>
      <c r="K107" t="n">
        <v>0</v>
      </c>
      <c r="L107" t="n">
        <v>0</v>
      </c>
      <c r="M107" t="n">
        <v>0</v>
      </c>
      <c r="N107" t="n">
        <v>0</v>
      </c>
      <c r="O107" t="n">
        <v>4</v>
      </c>
      <c r="P107" t="n">
        <v>0</v>
      </c>
      <c r="Q107" t="n">
        <v>4</v>
      </c>
      <c r="R107" s="2" t="inlineStr">
        <is>
          <t>Garnlav
Kolflarnlav
Mörk kolflarnlav
Vedflamlav</t>
        </is>
      </c>
      <c r="S107">
        <f>HYPERLINK("https://klasma.github.io/Logging_2039/artfynd/A 36580-2024 artfynd.xlsx", "A 36580-2024")</f>
        <v/>
      </c>
      <c r="T107">
        <f>HYPERLINK("https://klasma.github.io/Logging_2039/kartor/A 36580-2024 karta.png", "A 36580-2024")</f>
        <v/>
      </c>
      <c r="V107">
        <f>HYPERLINK("https://klasma.github.io/Logging_2039/klagomål/A 36580-2024 FSC-klagomål.docx", "A 36580-2024")</f>
        <v/>
      </c>
      <c r="W107">
        <f>HYPERLINK("https://klasma.github.io/Logging_2039/klagomålsmail/A 36580-2024 FSC-klagomål mail.docx", "A 36580-2024")</f>
        <v/>
      </c>
      <c r="X107">
        <f>HYPERLINK("https://klasma.github.io/Logging_2039/tillsyn/A 36580-2024 tillsynsbegäran.docx", "A 36580-2024")</f>
        <v/>
      </c>
      <c r="Y107">
        <f>HYPERLINK("https://klasma.github.io/Logging_2039/tillsynsmail/A 36580-2024 tillsynsbegäran mail.docx", "A 36580-2024")</f>
        <v/>
      </c>
    </row>
    <row r="108" ht="15" customHeight="1">
      <c r="A108" t="inlineStr">
        <is>
          <t>A 55222-2025</t>
        </is>
      </c>
      <c r="B108" s="1" t="n">
        <v>45968.59255787037</v>
      </c>
      <c r="C108" s="1" t="n">
        <v>46040</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38819-2024</t>
        </is>
      </c>
      <c r="B109" s="1" t="n">
        <v>45547.5541087963</v>
      </c>
      <c r="C109" s="1" t="n">
        <v>46040</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57505-2024</t>
        </is>
      </c>
      <c r="B110" s="1" t="n">
        <v>45630</v>
      </c>
      <c r="C110" s="1" t="n">
        <v>46040</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22291-2025</t>
        </is>
      </c>
      <c r="B111" s="1" t="n">
        <v>45786.34568287037</v>
      </c>
      <c r="C111" s="1" t="n">
        <v>46040</v>
      </c>
      <c r="D111" t="inlineStr">
        <is>
          <t>DALARNAS LÄN</t>
        </is>
      </c>
      <c r="E111" t="inlineStr">
        <is>
          <t>ÄLVDALEN</t>
        </is>
      </c>
      <c r="F111" t="inlineStr">
        <is>
          <t>Sveaskog</t>
        </is>
      </c>
      <c r="G111" t="n">
        <v>3.7</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HYPERLINK("https://klasma.github.io/Logging_2039/artfynd/A 22291-2025 artfynd.xlsx", "A 22291-2025")</f>
        <v/>
      </c>
      <c r="T111">
        <f>HYPERLINK("https://klasma.github.io/Logging_2039/kartor/A 22291-2025 karta.png", "A 22291-2025")</f>
        <v/>
      </c>
      <c r="V111">
        <f>HYPERLINK("https://klasma.github.io/Logging_2039/klagomål/A 22291-2025 FSC-klagomål.docx", "A 22291-2025")</f>
        <v/>
      </c>
      <c r="W111">
        <f>HYPERLINK("https://klasma.github.io/Logging_2039/klagomålsmail/A 22291-2025 FSC-klagomål mail.docx", "A 22291-2025")</f>
        <v/>
      </c>
      <c r="X111">
        <f>HYPERLINK("https://klasma.github.io/Logging_2039/tillsyn/A 22291-2025 tillsynsbegäran.docx", "A 22291-2025")</f>
        <v/>
      </c>
      <c r="Y111">
        <f>HYPERLINK("https://klasma.github.io/Logging_2039/tillsynsmail/A 22291-2025 tillsynsbegäran mail.docx", "A 22291-2025")</f>
        <v/>
      </c>
    </row>
    <row r="112" ht="15" customHeight="1">
      <c r="A112" t="inlineStr">
        <is>
          <t>A 25090-2025</t>
        </is>
      </c>
      <c r="B112" s="1" t="n">
        <v>45800.31733796297</v>
      </c>
      <c r="C112" s="1" t="n">
        <v>46040</v>
      </c>
      <c r="D112" t="inlineStr">
        <is>
          <t>DALARNAS LÄN</t>
        </is>
      </c>
      <c r="E112" t="inlineStr">
        <is>
          <t>ÄLVDALEN</t>
        </is>
      </c>
      <c r="F112" t="inlineStr">
        <is>
          <t>Sveaskog</t>
        </is>
      </c>
      <c r="G112" t="n">
        <v>12.5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25090-2025 artfynd.xlsx", "A 25090-2025")</f>
        <v/>
      </c>
      <c r="T112">
        <f>HYPERLINK("https://klasma.github.io/Logging_2039/kartor/A 25090-2025 karta.png", "A 25090-2025")</f>
        <v/>
      </c>
      <c r="V112">
        <f>HYPERLINK("https://klasma.github.io/Logging_2039/klagomål/A 25090-2025 FSC-klagomål.docx", "A 25090-2025")</f>
        <v/>
      </c>
      <c r="W112">
        <f>HYPERLINK("https://klasma.github.io/Logging_2039/klagomålsmail/A 25090-2025 FSC-klagomål mail.docx", "A 25090-2025")</f>
        <v/>
      </c>
      <c r="X112">
        <f>HYPERLINK("https://klasma.github.io/Logging_2039/tillsyn/A 25090-2025 tillsynsbegäran.docx", "A 25090-2025")</f>
        <v/>
      </c>
      <c r="Y112">
        <f>HYPERLINK("https://klasma.github.io/Logging_2039/tillsynsmail/A 25090-2025 tillsynsbegäran mail.docx", "A 25090-2025")</f>
        <v/>
      </c>
    </row>
    <row r="113" ht="15" customHeight="1">
      <c r="A113" t="inlineStr">
        <is>
          <t>A 41921-2022</t>
        </is>
      </c>
      <c r="B113" s="1" t="n">
        <v>44830</v>
      </c>
      <c r="C113" s="1" t="n">
        <v>46040</v>
      </c>
      <c r="D113" t="inlineStr">
        <is>
          <t>DALARNAS LÄN</t>
        </is>
      </c>
      <c r="E113" t="inlineStr">
        <is>
          <t>ÄLVDALEN</t>
        </is>
      </c>
      <c r="F113" t="inlineStr">
        <is>
          <t>Sveaskog</t>
        </is>
      </c>
      <c r="G113" t="n">
        <v>5.4</v>
      </c>
      <c r="H113" t="n">
        <v>1</v>
      </c>
      <c r="I113" t="n">
        <v>0</v>
      </c>
      <c r="J113" t="n">
        <v>3</v>
      </c>
      <c r="K113" t="n">
        <v>0</v>
      </c>
      <c r="L113" t="n">
        <v>0</v>
      </c>
      <c r="M113" t="n">
        <v>0</v>
      </c>
      <c r="N113" t="n">
        <v>0</v>
      </c>
      <c r="O113" t="n">
        <v>3</v>
      </c>
      <c r="P113" t="n">
        <v>0</v>
      </c>
      <c r="Q113" t="n">
        <v>3</v>
      </c>
      <c r="R113" s="2" t="inlineStr">
        <is>
          <t>Blågrå svartspik
Tretåig hackspett
Vedskivlav</t>
        </is>
      </c>
      <c r="S113">
        <f>HYPERLINK("https://klasma.github.io/Logging_2039/artfynd/A 41921-2022 artfynd.xlsx", "A 41921-2022")</f>
        <v/>
      </c>
      <c r="T113">
        <f>HYPERLINK("https://klasma.github.io/Logging_2039/kartor/A 41921-2022 karta.png", "A 41921-2022")</f>
        <v/>
      </c>
      <c r="V113">
        <f>HYPERLINK("https://klasma.github.io/Logging_2039/klagomål/A 41921-2022 FSC-klagomål.docx", "A 41921-2022")</f>
        <v/>
      </c>
      <c r="W113">
        <f>HYPERLINK("https://klasma.github.io/Logging_2039/klagomålsmail/A 41921-2022 FSC-klagomål mail.docx", "A 41921-2022")</f>
        <v/>
      </c>
      <c r="X113">
        <f>HYPERLINK("https://klasma.github.io/Logging_2039/tillsyn/A 41921-2022 tillsynsbegäran.docx", "A 41921-2022")</f>
        <v/>
      </c>
      <c r="Y113">
        <f>HYPERLINK("https://klasma.github.io/Logging_2039/tillsynsmail/A 41921-2022 tillsynsbegäran mail.docx", "A 41921-2022")</f>
        <v/>
      </c>
      <c r="Z113">
        <f>HYPERLINK("https://klasma.github.io/Logging_2039/fåglar/A 41921-2022 prioriterade fågelarter.docx", "A 41921-2022")</f>
        <v/>
      </c>
    </row>
    <row r="114" ht="15" customHeight="1">
      <c r="A114" t="inlineStr">
        <is>
          <t>A 35141-2023</t>
        </is>
      </c>
      <c r="B114" s="1" t="n">
        <v>45145</v>
      </c>
      <c r="C114" s="1" t="n">
        <v>46040</v>
      </c>
      <c r="D114" t="inlineStr">
        <is>
          <t>DALARNAS LÄN</t>
        </is>
      </c>
      <c r="E114" t="inlineStr">
        <is>
          <t>ÄLVDALEN</t>
        </is>
      </c>
      <c r="F114" t="inlineStr">
        <is>
          <t>Sveaskog</t>
        </is>
      </c>
      <c r="G114" t="n">
        <v>1.8</v>
      </c>
      <c r="H114" t="n">
        <v>1</v>
      </c>
      <c r="I114" t="n">
        <v>0</v>
      </c>
      <c r="J114" t="n">
        <v>3</v>
      </c>
      <c r="K114" t="n">
        <v>0</v>
      </c>
      <c r="L114" t="n">
        <v>0</v>
      </c>
      <c r="M114" t="n">
        <v>0</v>
      </c>
      <c r="N114" t="n">
        <v>0</v>
      </c>
      <c r="O114" t="n">
        <v>3</v>
      </c>
      <c r="P114" t="n">
        <v>0</v>
      </c>
      <c r="Q114" t="n">
        <v>3</v>
      </c>
      <c r="R114" s="2" t="inlineStr">
        <is>
          <t>Garnlav
Kolflarnlav
Varglav</t>
        </is>
      </c>
      <c r="S114">
        <f>HYPERLINK("https://klasma.github.io/Logging_2039/artfynd/A 35141-2023 artfynd.xlsx", "A 35141-2023")</f>
        <v/>
      </c>
      <c r="T114">
        <f>HYPERLINK("https://klasma.github.io/Logging_2039/kartor/A 35141-2023 karta.png", "A 35141-2023")</f>
        <v/>
      </c>
      <c r="V114">
        <f>HYPERLINK("https://klasma.github.io/Logging_2039/klagomål/A 35141-2023 FSC-klagomål.docx", "A 35141-2023")</f>
        <v/>
      </c>
      <c r="W114">
        <f>HYPERLINK("https://klasma.github.io/Logging_2039/klagomålsmail/A 35141-2023 FSC-klagomål mail.docx", "A 35141-2023")</f>
        <v/>
      </c>
      <c r="X114">
        <f>HYPERLINK("https://klasma.github.io/Logging_2039/tillsyn/A 35141-2023 tillsynsbegäran.docx", "A 35141-2023")</f>
        <v/>
      </c>
      <c r="Y114">
        <f>HYPERLINK("https://klasma.github.io/Logging_2039/tillsynsmail/A 35141-2023 tillsynsbegäran mail.docx", "A 35141-2023")</f>
        <v/>
      </c>
    </row>
    <row r="115" ht="15" customHeight="1">
      <c r="A115" t="inlineStr">
        <is>
          <t>A 59587-2025</t>
        </is>
      </c>
      <c r="B115" s="1" t="n">
        <v>45992.33722222222</v>
      </c>
      <c r="C115" s="1" t="n">
        <v>46040</v>
      </c>
      <c r="D115" t="inlineStr">
        <is>
          <t>DALARNAS LÄN</t>
        </is>
      </c>
      <c r="E115" t="inlineStr">
        <is>
          <t>ÄLVDALEN</t>
        </is>
      </c>
      <c r="F115" t="inlineStr">
        <is>
          <t>Sveaskog</t>
        </is>
      </c>
      <c r="G115" t="n">
        <v>10.7</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59587-2025 artfynd.xlsx", "A 59587-2025")</f>
        <v/>
      </c>
      <c r="T115">
        <f>HYPERLINK("https://klasma.github.io/Logging_2039/kartor/A 59587-2025 karta.png", "A 59587-2025")</f>
        <v/>
      </c>
      <c r="V115">
        <f>HYPERLINK("https://klasma.github.io/Logging_2039/klagomål/A 59587-2025 FSC-klagomål.docx", "A 59587-2025")</f>
        <v/>
      </c>
      <c r="W115">
        <f>HYPERLINK("https://klasma.github.io/Logging_2039/klagomålsmail/A 59587-2025 FSC-klagomål mail.docx", "A 59587-2025")</f>
        <v/>
      </c>
      <c r="X115">
        <f>HYPERLINK("https://klasma.github.io/Logging_2039/tillsyn/A 59587-2025 tillsynsbegäran.docx", "A 59587-2025")</f>
        <v/>
      </c>
      <c r="Y115">
        <f>HYPERLINK("https://klasma.github.io/Logging_2039/tillsynsmail/A 59587-2025 tillsynsbegäran mail.docx", "A 59587-2025")</f>
        <v/>
      </c>
    </row>
    <row r="116" ht="15" customHeight="1">
      <c r="A116" t="inlineStr">
        <is>
          <t>A 49125-2025</t>
        </is>
      </c>
      <c r="B116" s="1" t="n">
        <v>45937.86962962963</v>
      </c>
      <c r="C116" s="1" t="n">
        <v>46040</v>
      </c>
      <c r="D116" t="inlineStr">
        <is>
          <t>DALARNAS LÄN</t>
        </is>
      </c>
      <c r="E116" t="inlineStr">
        <is>
          <t>ÄLVDALEN</t>
        </is>
      </c>
      <c r="F116" t="inlineStr">
        <is>
          <t>Sveaskog</t>
        </is>
      </c>
      <c r="G116" t="n">
        <v>1.8</v>
      </c>
      <c r="H116" t="n">
        <v>0</v>
      </c>
      <c r="I116" t="n">
        <v>0</v>
      </c>
      <c r="J116" t="n">
        <v>3</v>
      </c>
      <c r="K116" t="n">
        <v>0</v>
      </c>
      <c r="L116" t="n">
        <v>0</v>
      </c>
      <c r="M116" t="n">
        <v>0</v>
      </c>
      <c r="N116" t="n">
        <v>0</v>
      </c>
      <c r="O116" t="n">
        <v>3</v>
      </c>
      <c r="P116" t="n">
        <v>0</v>
      </c>
      <c r="Q116" t="n">
        <v>3</v>
      </c>
      <c r="R116" s="2" t="inlineStr">
        <is>
          <t>Blanksvart spiklav
Kolflarnlav
Mörk kolflarnlav</t>
        </is>
      </c>
      <c r="S116">
        <f>HYPERLINK("https://klasma.github.io/Logging_2039/artfynd/A 49125-2025 artfynd.xlsx", "A 49125-2025")</f>
        <v/>
      </c>
      <c r="T116">
        <f>HYPERLINK("https://klasma.github.io/Logging_2039/kartor/A 49125-2025 karta.png", "A 49125-2025")</f>
        <v/>
      </c>
      <c r="V116">
        <f>HYPERLINK("https://klasma.github.io/Logging_2039/klagomål/A 49125-2025 FSC-klagomål.docx", "A 49125-2025")</f>
        <v/>
      </c>
      <c r="W116">
        <f>HYPERLINK("https://klasma.github.io/Logging_2039/klagomålsmail/A 49125-2025 FSC-klagomål mail.docx", "A 49125-2025")</f>
        <v/>
      </c>
      <c r="X116">
        <f>HYPERLINK("https://klasma.github.io/Logging_2039/tillsyn/A 49125-2025 tillsynsbegäran.docx", "A 49125-2025")</f>
        <v/>
      </c>
      <c r="Y116">
        <f>HYPERLINK("https://klasma.github.io/Logging_2039/tillsynsmail/A 49125-2025 tillsynsbegäran mail.docx", "A 49125-2025")</f>
        <v/>
      </c>
    </row>
    <row r="117" ht="15" customHeight="1">
      <c r="A117" t="inlineStr">
        <is>
          <t>A 41909-2022</t>
        </is>
      </c>
      <c r="B117" s="1" t="n">
        <v>44830</v>
      </c>
      <c r="C117" s="1" t="n">
        <v>46040</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55218-2025</t>
        </is>
      </c>
      <c r="B118" s="1" t="n">
        <v>45968.58936342593</v>
      </c>
      <c r="C118" s="1" t="n">
        <v>46040</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31057-2024</t>
        </is>
      </c>
      <c r="B119" s="1" t="n">
        <v>45502.37813657407</v>
      </c>
      <c r="C119" s="1" t="n">
        <v>46040</v>
      </c>
      <c r="D119" t="inlineStr">
        <is>
          <t>DALARNAS LÄN</t>
        </is>
      </c>
      <c r="E119" t="inlineStr">
        <is>
          <t>ÄLVDALEN</t>
        </is>
      </c>
      <c r="F119" t="inlineStr">
        <is>
          <t>Sveaskog</t>
        </is>
      </c>
      <c r="G119" t="n">
        <v>2.4</v>
      </c>
      <c r="H119" t="n">
        <v>0</v>
      </c>
      <c r="I119" t="n">
        <v>1</v>
      </c>
      <c r="J119" t="n">
        <v>2</v>
      </c>
      <c r="K119" t="n">
        <v>0</v>
      </c>
      <c r="L119" t="n">
        <v>0</v>
      </c>
      <c r="M119" t="n">
        <v>0</v>
      </c>
      <c r="N119" t="n">
        <v>0</v>
      </c>
      <c r="O119" t="n">
        <v>2</v>
      </c>
      <c r="P119" t="n">
        <v>0</v>
      </c>
      <c r="Q119" t="n">
        <v>3</v>
      </c>
      <c r="R119" s="2" t="inlineStr">
        <is>
          <t>Blå taggsvamp
Kolflarnlav
Skarp dropptaggsvamp</t>
        </is>
      </c>
      <c r="S119">
        <f>HYPERLINK("https://klasma.github.io/Logging_2039/artfynd/A 31057-2024 artfynd.xlsx", "A 31057-2024")</f>
        <v/>
      </c>
      <c r="T119">
        <f>HYPERLINK("https://klasma.github.io/Logging_2039/kartor/A 31057-2024 karta.png", "A 31057-2024")</f>
        <v/>
      </c>
      <c r="V119">
        <f>HYPERLINK("https://klasma.github.io/Logging_2039/klagomål/A 31057-2024 FSC-klagomål.docx", "A 31057-2024")</f>
        <v/>
      </c>
      <c r="W119">
        <f>HYPERLINK("https://klasma.github.io/Logging_2039/klagomålsmail/A 31057-2024 FSC-klagomål mail.docx", "A 31057-2024")</f>
        <v/>
      </c>
      <c r="X119">
        <f>HYPERLINK("https://klasma.github.io/Logging_2039/tillsyn/A 31057-2024 tillsynsbegäran.docx", "A 31057-2024")</f>
        <v/>
      </c>
      <c r="Y119">
        <f>HYPERLINK("https://klasma.github.io/Logging_2039/tillsynsmail/A 31057-2024 tillsynsbegäran mail.docx", "A 31057-2024")</f>
        <v/>
      </c>
    </row>
    <row r="120" ht="15" customHeight="1">
      <c r="A120" t="inlineStr">
        <is>
          <t>A 44128-2023</t>
        </is>
      </c>
      <c r="B120" s="1" t="n">
        <v>45188.45712962963</v>
      </c>
      <c r="C120" s="1" t="n">
        <v>46040</v>
      </c>
      <c r="D120" t="inlineStr">
        <is>
          <t>DALARNAS LÄN</t>
        </is>
      </c>
      <c r="E120" t="inlineStr">
        <is>
          <t>ÄLVDALEN</t>
        </is>
      </c>
      <c r="F120" t="inlineStr">
        <is>
          <t>Sveaskog</t>
        </is>
      </c>
      <c r="G120" t="n">
        <v>1.8</v>
      </c>
      <c r="H120" t="n">
        <v>0</v>
      </c>
      <c r="I120" t="n">
        <v>1</v>
      </c>
      <c r="J120" t="n">
        <v>2</v>
      </c>
      <c r="K120" t="n">
        <v>0</v>
      </c>
      <c r="L120" t="n">
        <v>0</v>
      </c>
      <c r="M120" t="n">
        <v>0</v>
      </c>
      <c r="N120" t="n">
        <v>0</v>
      </c>
      <c r="O120" t="n">
        <v>2</v>
      </c>
      <c r="P120" t="n">
        <v>0</v>
      </c>
      <c r="Q120" t="n">
        <v>3</v>
      </c>
      <c r="R120" s="2" t="inlineStr">
        <is>
          <t>Blanksvart spiklav
Talltaggsvamp
Skarp dropptaggsvamp</t>
        </is>
      </c>
      <c r="S120">
        <f>HYPERLINK("https://klasma.github.io/Logging_2039/artfynd/A 44128-2023 artfynd.xlsx", "A 44128-2023")</f>
        <v/>
      </c>
      <c r="T120">
        <f>HYPERLINK("https://klasma.github.io/Logging_2039/kartor/A 44128-2023 karta.png", "A 44128-2023")</f>
        <v/>
      </c>
      <c r="V120">
        <f>HYPERLINK("https://klasma.github.io/Logging_2039/klagomål/A 44128-2023 FSC-klagomål.docx", "A 44128-2023")</f>
        <v/>
      </c>
      <c r="W120">
        <f>HYPERLINK("https://klasma.github.io/Logging_2039/klagomålsmail/A 44128-2023 FSC-klagomål mail.docx", "A 44128-2023")</f>
        <v/>
      </c>
      <c r="X120">
        <f>HYPERLINK("https://klasma.github.io/Logging_2039/tillsyn/A 44128-2023 tillsynsbegäran.docx", "A 44128-2023")</f>
        <v/>
      </c>
      <c r="Y120">
        <f>HYPERLINK("https://klasma.github.io/Logging_2039/tillsynsmail/A 44128-2023 tillsynsbegäran mail.docx", "A 44128-2023")</f>
        <v/>
      </c>
    </row>
    <row r="121" ht="15" customHeight="1">
      <c r="A121" t="inlineStr">
        <is>
          <t>A 32403-2023</t>
        </is>
      </c>
      <c r="B121" s="1" t="n">
        <v>45120</v>
      </c>
      <c r="C121" s="1" t="n">
        <v>46040</v>
      </c>
      <c r="D121" t="inlineStr">
        <is>
          <t>DALARNAS LÄN</t>
        </is>
      </c>
      <c r="E121" t="inlineStr">
        <is>
          <t>ÄLVDALEN</t>
        </is>
      </c>
      <c r="F121" t="inlineStr">
        <is>
          <t>Sveaskog</t>
        </is>
      </c>
      <c r="G121" t="n">
        <v>3</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HYPERLINK("https://klasma.github.io/Logging_2039/artfynd/A 32403-2023 artfynd.xlsx", "A 32403-2023")</f>
        <v/>
      </c>
      <c r="T121">
        <f>HYPERLINK("https://klasma.github.io/Logging_2039/kartor/A 32403-2023 karta.png", "A 32403-2023")</f>
        <v/>
      </c>
      <c r="V121">
        <f>HYPERLINK("https://klasma.github.io/Logging_2039/klagomål/A 32403-2023 FSC-klagomål.docx", "A 32403-2023")</f>
        <v/>
      </c>
      <c r="W121">
        <f>HYPERLINK("https://klasma.github.io/Logging_2039/klagomålsmail/A 32403-2023 FSC-klagomål mail.docx", "A 32403-2023")</f>
        <v/>
      </c>
      <c r="X121">
        <f>HYPERLINK("https://klasma.github.io/Logging_2039/tillsyn/A 32403-2023 tillsynsbegäran.docx", "A 32403-2023")</f>
        <v/>
      </c>
      <c r="Y121">
        <f>HYPERLINK("https://klasma.github.io/Logging_2039/tillsynsmail/A 32403-2023 tillsynsbegäran mail.docx", "A 32403-2023")</f>
        <v/>
      </c>
    </row>
    <row r="122" ht="15" customHeight="1">
      <c r="A122" t="inlineStr">
        <is>
          <t>A 51732-2021</t>
        </is>
      </c>
      <c r="B122" s="1" t="n">
        <v>44461</v>
      </c>
      <c r="C122" s="1" t="n">
        <v>46040</v>
      </c>
      <c r="D122" t="inlineStr">
        <is>
          <t>DALARNAS LÄN</t>
        </is>
      </c>
      <c r="E122" t="inlineStr">
        <is>
          <t>ÄLVDALEN</t>
        </is>
      </c>
      <c r="F122" t="inlineStr">
        <is>
          <t>Övriga statliga verk och myndigheter</t>
        </is>
      </c>
      <c r="G122" t="n">
        <v>5</v>
      </c>
      <c r="H122" t="n">
        <v>0</v>
      </c>
      <c r="I122" t="n">
        <v>2</v>
      </c>
      <c r="J122" t="n">
        <v>1</v>
      </c>
      <c r="K122" t="n">
        <v>0</v>
      </c>
      <c r="L122" t="n">
        <v>0</v>
      </c>
      <c r="M122" t="n">
        <v>0</v>
      </c>
      <c r="N122" t="n">
        <v>0</v>
      </c>
      <c r="O122" t="n">
        <v>1</v>
      </c>
      <c r="P122" t="n">
        <v>0</v>
      </c>
      <c r="Q122" t="n">
        <v>3</v>
      </c>
      <c r="R122" s="2" t="inlineStr">
        <is>
          <t>Garnlav
Svavelriska
Vedticka</t>
        </is>
      </c>
      <c r="S122">
        <f>HYPERLINK("https://klasma.github.io/Logging_2039/artfynd/A 51732-2021 artfynd.xlsx", "A 51732-2021")</f>
        <v/>
      </c>
      <c r="T122">
        <f>HYPERLINK("https://klasma.github.io/Logging_2039/kartor/A 51732-2021 karta.png", "A 51732-2021")</f>
        <v/>
      </c>
      <c r="V122">
        <f>HYPERLINK("https://klasma.github.io/Logging_2039/klagomål/A 51732-2021 FSC-klagomål.docx", "A 51732-2021")</f>
        <v/>
      </c>
      <c r="W122">
        <f>HYPERLINK("https://klasma.github.io/Logging_2039/klagomålsmail/A 51732-2021 FSC-klagomål mail.docx", "A 51732-2021")</f>
        <v/>
      </c>
      <c r="X122">
        <f>HYPERLINK("https://klasma.github.io/Logging_2039/tillsyn/A 51732-2021 tillsynsbegäran.docx", "A 51732-2021")</f>
        <v/>
      </c>
      <c r="Y122">
        <f>HYPERLINK("https://klasma.github.io/Logging_2039/tillsynsmail/A 51732-2021 tillsynsbegäran mail.docx", "A 51732-2021")</f>
        <v/>
      </c>
    </row>
    <row r="123" ht="15" customHeight="1">
      <c r="A123" t="inlineStr">
        <is>
          <t>A 18839-2024</t>
        </is>
      </c>
      <c r="B123" s="1" t="n">
        <v>45426</v>
      </c>
      <c r="C123" s="1" t="n">
        <v>46040</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43740-2024</t>
        </is>
      </c>
      <c r="B124" s="1" t="n">
        <v>45569.65748842592</v>
      </c>
      <c r="C124" s="1" t="n">
        <v>46040</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7024-2024</t>
        </is>
      </c>
      <c r="B125" s="1" t="n">
        <v>45343.57924768519</v>
      </c>
      <c r="C125" s="1" t="n">
        <v>46040</v>
      </c>
      <c r="D125" t="inlineStr">
        <is>
          <t>DALARNAS LÄN</t>
        </is>
      </c>
      <c r="E125" t="inlineStr">
        <is>
          <t>ÄLVDALEN</t>
        </is>
      </c>
      <c r="F125" t="inlineStr">
        <is>
          <t>Sveaskog</t>
        </is>
      </c>
      <c r="G125" t="n">
        <v>30.1</v>
      </c>
      <c r="H125" t="n">
        <v>0</v>
      </c>
      <c r="I125" t="n">
        <v>0</v>
      </c>
      <c r="J125" t="n">
        <v>2</v>
      </c>
      <c r="K125" t="n">
        <v>1</v>
      </c>
      <c r="L125" t="n">
        <v>0</v>
      </c>
      <c r="M125" t="n">
        <v>0</v>
      </c>
      <c r="N125" t="n">
        <v>0</v>
      </c>
      <c r="O125" t="n">
        <v>3</v>
      </c>
      <c r="P125" t="n">
        <v>1</v>
      </c>
      <c r="Q125" t="n">
        <v>3</v>
      </c>
      <c r="R125" s="2" t="inlineStr">
        <is>
          <t>Gräddporing
Nordtagging
Vaddporing</t>
        </is>
      </c>
      <c r="S125">
        <f>HYPERLINK("https://klasma.github.io/Logging_2039/artfynd/A 7024-2024 artfynd.xlsx", "A 7024-2024")</f>
        <v/>
      </c>
      <c r="T125">
        <f>HYPERLINK("https://klasma.github.io/Logging_2039/kartor/A 7024-2024 karta.png", "A 7024-2024")</f>
        <v/>
      </c>
      <c r="V125">
        <f>HYPERLINK("https://klasma.github.io/Logging_2039/klagomål/A 7024-2024 FSC-klagomål.docx", "A 7024-2024")</f>
        <v/>
      </c>
      <c r="W125">
        <f>HYPERLINK("https://klasma.github.io/Logging_2039/klagomålsmail/A 7024-2024 FSC-klagomål mail.docx", "A 7024-2024")</f>
        <v/>
      </c>
      <c r="X125">
        <f>HYPERLINK("https://klasma.github.io/Logging_2039/tillsyn/A 7024-2024 tillsynsbegäran.docx", "A 7024-2024")</f>
        <v/>
      </c>
      <c r="Y125">
        <f>HYPERLINK("https://klasma.github.io/Logging_2039/tillsynsmail/A 7024-2024 tillsynsbegäran mail.docx", "A 7024-2024")</f>
        <v/>
      </c>
    </row>
    <row r="126" ht="15" customHeight="1">
      <c r="A126" t="inlineStr">
        <is>
          <t>A 25758-2025</t>
        </is>
      </c>
      <c r="B126" s="1" t="n">
        <v>45804.33314814815</v>
      </c>
      <c r="C126" s="1" t="n">
        <v>46040</v>
      </c>
      <c r="D126" t="inlineStr">
        <is>
          <t>DALARNAS LÄN</t>
        </is>
      </c>
      <c r="E126" t="inlineStr">
        <is>
          <t>ÄLVDALEN</t>
        </is>
      </c>
      <c r="F126" t="inlineStr">
        <is>
          <t>Kommuner</t>
        </is>
      </c>
      <c r="G126" t="n">
        <v>2.2</v>
      </c>
      <c r="H126" t="n">
        <v>1</v>
      </c>
      <c r="I126" t="n">
        <v>1</v>
      </c>
      <c r="J126" t="n">
        <v>2</v>
      </c>
      <c r="K126" t="n">
        <v>0</v>
      </c>
      <c r="L126" t="n">
        <v>0</v>
      </c>
      <c r="M126" t="n">
        <v>0</v>
      </c>
      <c r="N126" t="n">
        <v>0</v>
      </c>
      <c r="O126" t="n">
        <v>2</v>
      </c>
      <c r="P126" t="n">
        <v>0</v>
      </c>
      <c r="Q126" t="n">
        <v>3</v>
      </c>
      <c r="R126" s="2" t="inlineStr">
        <is>
          <t>Garnlav
Spillkråka
Dropptaggsvamp</t>
        </is>
      </c>
      <c r="S126">
        <f>HYPERLINK("https://klasma.github.io/Logging_2039/artfynd/A 25758-2025 artfynd.xlsx", "A 25758-2025")</f>
        <v/>
      </c>
      <c r="T126">
        <f>HYPERLINK("https://klasma.github.io/Logging_2039/kartor/A 25758-2025 karta.png", "A 25758-2025")</f>
        <v/>
      </c>
      <c r="V126">
        <f>HYPERLINK("https://klasma.github.io/Logging_2039/klagomål/A 25758-2025 FSC-klagomål.docx", "A 25758-2025")</f>
        <v/>
      </c>
      <c r="W126">
        <f>HYPERLINK("https://klasma.github.io/Logging_2039/klagomålsmail/A 25758-2025 FSC-klagomål mail.docx", "A 25758-2025")</f>
        <v/>
      </c>
      <c r="X126">
        <f>HYPERLINK("https://klasma.github.io/Logging_2039/tillsyn/A 25758-2025 tillsynsbegäran.docx", "A 25758-2025")</f>
        <v/>
      </c>
      <c r="Y126">
        <f>HYPERLINK("https://klasma.github.io/Logging_2039/tillsynsmail/A 25758-2025 tillsynsbegäran mail.docx", "A 25758-2025")</f>
        <v/>
      </c>
      <c r="Z126">
        <f>HYPERLINK("https://klasma.github.io/Logging_2039/fåglar/A 25758-2025 prioriterade fågelarter.docx", "A 25758-2025")</f>
        <v/>
      </c>
    </row>
    <row r="127" ht="15" customHeight="1">
      <c r="A127" t="inlineStr">
        <is>
          <t>A 26751-2025</t>
        </is>
      </c>
      <c r="B127" s="1" t="n">
        <v>45810.55134259259</v>
      </c>
      <c r="C127" s="1" t="n">
        <v>46040</v>
      </c>
      <c r="D127" t="inlineStr">
        <is>
          <t>DALARNAS LÄN</t>
        </is>
      </c>
      <c r="E127" t="inlineStr">
        <is>
          <t>ÄLVDALEN</t>
        </is>
      </c>
      <c r="F127" t="inlineStr">
        <is>
          <t>Allmännings- och besparingsskogar</t>
        </is>
      </c>
      <c r="G127" t="n">
        <v>3.6</v>
      </c>
      <c r="H127" t="n">
        <v>1</v>
      </c>
      <c r="I127" t="n">
        <v>1</v>
      </c>
      <c r="J127" t="n">
        <v>2</v>
      </c>
      <c r="K127" t="n">
        <v>0</v>
      </c>
      <c r="L127" t="n">
        <v>0</v>
      </c>
      <c r="M127" t="n">
        <v>0</v>
      </c>
      <c r="N127" t="n">
        <v>0</v>
      </c>
      <c r="O127" t="n">
        <v>2</v>
      </c>
      <c r="P127" t="n">
        <v>0</v>
      </c>
      <c r="Q127" t="n">
        <v>3</v>
      </c>
      <c r="R127" s="2" t="inlineStr">
        <is>
          <t>Garnlav
Skrovellav
Spindelblomster</t>
        </is>
      </c>
      <c r="S127">
        <f>HYPERLINK("https://klasma.github.io/Logging_2039/artfynd/A 26751-2025 artfynd.xlsx", "A 26751-2025")</f>
        <v/>
      </c>
      <c r="T127">
        <f>HYPERLINK("https://klasma.github.io/Logging_2039/kartor/A 26751-2025 karta.png", "A 26751-2025")</f>
        <v/>
      </c>
      <c r="V127">
        <f>HYPERLINK("https://klasma.github.io/Logging_2039/klagomål/A 26751-2025 FSC-klagomål.docx", "A 26751-2025")</f>
        <v/>
      </c>
      <c r="W127">
        <f>HYPERLINK("https://klasma.github.io/Logging_2039/klagomålsmail/A 26751-2025 FSC-klagomål mail.docx", "A 26751-2025")</f>
        <v/>
      </c>
      <c r="X127">
        <f>HYPERLINK("https://klasma.github.io/Logging_2039/tillsyn/A 26751-2025 tillsynsbegäran.docx", "A 26751-2025")</f>
        <v/>
      </c>
      <c r="Y127">
        <f>HYPERLINK("https://klasma.github.io/Logging_2039/tillsynsmail/A 26751-2025 tillsynsbegäran mail.docx", "A 26751-2025")</f>
        <v/>
      </c>
    </row>
    <row r="128" ht="15" customHeight="1">
      <c r="A128" t="inlineStr">
        <is>
          <t>A 27933-2025</t>
        </is>
      </c>
      <c r="B128" s="1" t="n">
        <v>45817.49630787037</v>
      </c>
      <c r="C128" s="1" t="n">
        <v>46040</v>
      </c>
      <c r="D128" t="inlineStr">
        <is>
          <t>DALARNAS LÄN</t>
        </is>
      </c>
      <c r="E128" t="inlineStr">
        <is>
          <t>ÄLVDALEN</t>
        </is>
      </c>
      <c r="F128" t="inlineStr">
        <is>
          <t>Sveaskog</t>
        </is>
      </c>
      <c r="G128" t="n">
        <v>2.5</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27933-2025 artfynd.xlsx", "A 27933-2025")</f>
        <v/>
      </c>
      <c r="T128">
        <f>HYPERLINK("https://klasma.github.io/Logging_2039/kartor/A 27933-2025 karta.png", "A 27933-2025")</f>
        <v/>
      </c>
      <c r="V128">
        <f>HYPERLINK("https://klasma.github.io/Logging_2039/klagomål/A 27933-2025 FSC-klagomål.docx", "A 27933-2025")</f>
        <v/>
      </c>
      <c r="W128">
        <f>HYPERLINK("https://klasma.github.io/Logging_2039/klagomålsmail/A 27933-2025 FSC-klagomål mail.docx", "A 27933-2025")</f>
        <v/>
      </c>
      <c r="X128">
        <f>HYPERLINK("https://klasma.github.io/Logging_2039/tillsyn/A 27933-2025 tillsynsbegäran.docx", "A 27933-2025")</f>
        <v/>
      </c>
      <c r="Y128">
        <f>HYPERLINK("https://klasma.github.io/Logging_2039/tillsynsmail/A 27933-2025 tillsynsbegäran mail.docx", "A 27933-2025")</f>
        <v/>
      </c>
    </row>
    <row r="129" ht="15" customHeight="1">
      <c r="A129" t="inlineStr">
        <is>
          <t>A 33645-2025</t>
        </is>
      </c>
      <c r="B129" s="1" t="n">
        <v>45841.65282407407</v>
      </c>
      <c r="C129" s="1" t="n">
        <v>46040</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67709-2021</t>
        </is>
      </c>
      <c r="B130" s="1" t="n">
        <v>44525</v>
      </c>
      <c r="C130" s="1" t="n">
        <v>46040</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46040</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46040</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46040</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27967-2023</t>
        </is>
      </c>
      <c r="B134" s="1" t="n">
        <v>45098.70354166667</v>
      </c>
      <c r="C134" s="1" t="n">
        <v>46040</v>
      </c>
      <c r="D134" t="inlineStr">
        <is>
          <t>DALARNAS LÄN</t>
        </is>
      </c>
      <c r="E134" t="inlineStr">
        <is>
          <t>ÄLVDALEN</t>
        </is>
      </c>
      <c r="F134" t="inlineStr">
        <is>
          <t>Sveaskog</t>
        </is>
      </c>
      <c r="G134" t="n">
        <v>1.9</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HYPERLINK("https://klasma.github.io/Logging_2039/artfynd/A 27967-2023 artfynd.xlsx", "A 27967-2023")</f>
        <v/>
      </c>
      <c r="T134">
        <f>HYPERLINK("https://klasma.github.io/Logging_2039/kartor/A 27967-2023 karta.png", "A 27967-2023")</f>
        <v/>
      </c>
      <c r="V134">
        <f>HYPERLINK("https://klasma.github.io/Logging_2039/klagomål/A 27967-2023 FSC-klagomål.docx", "A 27967-2023")</f>
        <v/>
      </c>
      <c r="W134">
        <f>HYPERLINK("https://klasma.github.io/Logging_2039/klagomålsmail/A 27967-2023 FSC-klagomål mail.docx", "A 27967-2023")</f>
        <v/>
      </c>
      <c r="X134">
        <f>HYPERLINK("https://klasma.github.io/Logging_2039/tillsyn/A 27967-2023 tillsynsbegäran.docx", "A 27967-2023")</f>
        <v/>
      </c>
      <c r="Y134">
        <f>HYPERLINK("https://klasma.github.io/Logging_2039/tillsynsmail/A 27967-2023 tillsynsbegäran mail.docx", "A 27967-2023")</f>
        <v/>
      </c>
    </row>
    <row r="135" ht="15" customHeight="1">
      <c r="A135" t="inlineStr">
        <is>
          <t>A 16638-2021</t>
        </is>
      </c>
      <c r="B135" s="1" t="n">
        <v>44284</v>
      </c>
      <c r="C135" s="1" t="n">
        <v>46040</v>
      </c>
      <c r="D135" t="inlineStr">
        <is>
          <t>DALARNAS LÄN</t>
        </is>
      </c>
      <c r="E135" t="inlineStr">
        <is>
          <t>ÄLVDALEN</t>
        </is>
      </c>
      <c r="G135" t="n">
        <v>11.5</v>
      </c>
      <c r="H135" t="n">
        <v>0</v>
      </c>
      <c r="I135" t="n">
        <v>0</v>
      </c>
      <c r="J135" t="n">
        <v>1</v>
      </c>
      <c r="K135" t="n">
        <v>1</v>
      </c>
      <c r="L135" t="n">
        <v>0</v>
      </c>
      <c r="M135" t="n">
        <v>0</v>
      </c>
      <c r="N135" t="n">
        <v>0</v>
      </c>
      <c r="O135" t="n">
        <v>2</v>
      </c>
      <c r="P135" t="n">
        <v>1</v>
      </c>
      <c r="Q135" t="n">
        <v>2</v>
      </c>
      <c r="R135" s="2" t="inlineStr">
        <is>
          <t>Sprickporing
Garnlav</t>
        </is>
      </c>
      <c r="S135">
        <f>HYPERLINK("https://klasma.github.io/Logging_2039/artfynd/A 16638-2021 artfynd.xlsx", "A 16638-2021")</f>
        <v/>
      </c>
      <c r="T135">
        <f>HYPERLINK("https://klasma.github.io/Logging_2039/kartor/A 16638-2021 karta.png", "A 16638-2021")</f>
        <v/>
      </c>
      <c r="V135">
        <f>HYPERLINK("https://klasma.github.io/Logging_2039/klagomål/A 16638-2021 FSC-klagomål.docx", "A 16638-2021")</f>
        <v/>
      </c>
      <c r="W135">
        <f>HYPERLINK("https://klasma.github.io/Logging_2039/klagomålsmail/A 16638-2021 FSC-klagomål mail.docx", "A 16638-2021")</f>
        <v/>
      </c>
      <c r="X135">
        <f>HYPERLINK("https://klasma.github.io/Logging_2039/tillsyn/A 16638-2021 tillsynsbegäran.docx", "A 16638-2021")</f>
        <v/>
      </c>
      <c r="Y135">
        <f>HYPERLINK("https://klasma.github.io/Logging_2039/tillsynsmail/A 16638-2021 tillsynsbegäran mail.docx", "A 16638-2021")</f>
        <v/>
      </c>
    </row>
    <row r="136" ht="15" customHeight="1">
      <c r="A136" t="inlineStr">
        <is>
          <t>A 58476-2025</t>
        </is>
      </c>
      <c r="B136" s="1" t="n">
        <v>45985.64229166666</v>
      </c>
      <c r="C136" s="1" t="n">
        <v>46040</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59951-2025</t>
        </is>
      </c>
      <c r="B137" s="1" t="n">
        <v>45993.45759259259</v>
      </c>
      <c r="C137" s="1" t="n">
        <v>46040</v>
      </c>
      <c r="D137" t="inlineStr">
        <is>
          <t>DALARNAS LÄN</t>
        </is>
      </c>
      <c r="E137" t="inlineStr">
        <is>
          <t>ÄLVDALEN</t>
        </is>
      </c>
      <c r="F137" t="inlineStr">
        <is>
          <t>Bergvik skog väst AB</t>
        </is>
      </c>
      <c r="G137" t="n">
        <v>13</v>
      </c>
      <c r="H137" t="n">
        <v>0</v>
      </c>
      <c r="I137" t="n">
        <v>0</v>
      </c>
      <c r="J137" t="n">
        <v>2</v>
      </c>
      <c r="K137" t="n">
        <v>0</v>
      </c>
      <c r="L137" t="n">
        <v>0</v>
      </c>
      <c r="M137" t="n">
        <v>0</v>
      </c>
      <c r="N137" t="n">
        <v>0</v>
      </c>
      <c r="O137" t="n">
        <v>2</v>
      </c>
      <c r="P137" t="n">
        <v>0</v>
      </c>
      <c r="Q137" t="n">
        <v>2</v>
      </c>
      <c r="R137" s="2" t="inlineStr">
        <is>
          <t>Garnlav
Mörk kolflarnlav</t>
        </is>
      </c>
      <c r="S137">
        <f>HYPERLINK("https://klasma.github.io/Logging_2039/artfynd/A 59951-2025 artfynd.xlsx", "A 59951-2025")</f>
        <v/>
      </c>
      <c r="T137">
        <f>HYPERLINK("https://klasma.github.io/Logging_2039/kartor/A 59951-2025 karta.png", "A 59951-2025")</f>
        <v/>
      </c>
      <c r="V137">
        <f>HYPERLINK("https://klasma.github.io/Logging_2039/klagomål/A 59951-2025 FSC-klagomål.docx", "A 59951-2025")</f>
        <v/>
      </c>
      <c r="W137">
        <f>HYPERLINK("https://klasma.github.io/Logging_2039/klagomålsmail/A 59951-2025 FSC-klagomål mail.docx", "A 59951-2025")</f>
        <v/>
      </c>
      <c r="X137">
        <f>HYPERLINK("https://klasma.github.io/Logging_2039/tillsyn/A 59951-2025 tillsynsbegäran.docx", "A 59951-2025")</f>
        <v/>
      </c>
      <c r="Y137">
        <f>HYPERLINK("https://klasma.github.io/Logging_2039/tillsynsmail/A 59951-2025 tillsynsbegäran mail.docx", "A 59951-2025")</f>
        <v/>
      </c>
    </row>
    <row r="138" ht="15" customHeight="1">
      <c r="A138" t="inlineStr">
        <is>
          <t>A 21629-2022</t>
        </is>
      </c>
      <c r="B138" s="1" t="n">
        <v>44706</v>
      </c>
      <c r="C138" s="1" t="n">
        <v>46040</v>
      </c>
      <c r="D138" t="inlineStr">
        <is>
          <t>DALARNAS LÄN</t>
        </is>
      </c>
      <c r="E138" t="inlineStr">
        <is>
          <t>ÄLVDALEN</t>
        </is>
      </c>
      <c r="F138" t="inlineStr">
        <is>
          <t>Övriga statliga verk och myndigheter</t>
        </is>
      </c>
      <c r="G138" t="n">
        <v>19.2</v>
      </c>
      <c r="H138" t="n">
        <v>0</v>
      </c>
      <c r="I138" t="n">
        <v>1</v>
      </c>
      <c r="J138" t="n">
        <v>1</v>
      </c>
      <c r="K138" t="n">
        <v>0</v>
      </c>
      <c r="L138" t="n">
        <v>0</v>
      </c>
      <c r="M138" t="n">
        <v>0</v>
      </c>
      <c r="N138" t="n">
        <v>0</v>
      </c>
      <c r="O138" t="n">
        <v>1</v>
      </c>
      <c r="P138" t="n">
        <v>0</v>
      </c>
      <c r="Q138" t="n">
        <v>2</v>
      </c>
      <c r="R138" s="2" t="inlineStr">
        <is>
          <t>Vitgrynig nållav
Kransrams</t>
        </is>
      </c>
      <c r="S138">
        <f>HYPERLINK("https://klasma.github.io/Logging_2039/artfynd/A 21629-2022 artfynd.xlsx", "A 21629-2022")</f>
        <v/>
      </c>
      <c r="T138">
        <f>HYPERLINK("https://klasma.github.io/Logging_2039/kartor/A 21629-2022 karta.png", "A 21629-2022")</f>
        <v/>
      </c>
      <c r="V138">
        <f>HYPERLINK("https://klasma.github.io/Logging_2039/klagomål/A 21629-2022 FSC-klagomål.docx", "A 21629-2022")</f>
        <v/>
      </c>
      <c r="W138">
        <f>HYPERLINK("https://klasma.github.io/Logging_2039/klagomålsmail/A 21629-2022 FSC-klagomål mail.docx", "A 21629-2022")</f>
        <v/>
      </c>
      <c r="X138">
        <f>HYPERLINK("https://klasma.github.io/Logging_2039/tillsyn/A 21629-2022 tillsynsbegäran.docx", "A 21629-2022")</f>
        <v/>
      </c>
      <c r="Y138">
        <f>HYPERLINK("https://klasma.github.io/Logging_2039/tillsynsmail/A 21629-2022 tillsynsbegäran mail.docx", "A 21629-2022")</f>
        <v/>
      </c>
    </row>
    <row r="139" ht="15" customHeight="1">
      <c r="A139" t="inlineStr">
        <is>
          <t>A 32206-2024</t>
        </is>
      </c>
      <c r="B139" s="1" t="n">
        <v>45511.67366898148</v>
      </c>
      <c r="C139" s="1" t="n">
        <v>46040</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52490-2022</t>
        </is>
      </c>
      <c r="B140" s="1" t="n">
        <v>44874</v>
      </c>
      <c r="C140" s="1" t="n">
        <v>46040</v>
      </c>
      <c r="D140" t="inlineStr">
        <is>
          <t>DALARNAS LÄN</t>
        </is>
      </c>
      <c r="E140" t="inlineStr">
        <is>
          <t>ÄLVDALEN</t>
        </is>
      </c>
      <c r="G140" t="n">
        <v>4.3</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52490-2022 artfynd.xlsx", "A 52490-2022")</f>
        <v/>
      </c>
      <c r="T140">
        <f>HYPERLINK("https://klasma.github.io/Logging_2039/kartor/A 52490-2022 karta.png", "A 52490-2022")</f>
        <v/>
      </c>
      <c r="V140">
        <f>HYPERLINK("https://klasma.github.io/Logging_2039/klagomål/A 52490-2022 FSC-klagomål.docx", "A 52490-2022")</f>
        <v/>
      </c>
      <c r="W140">
        <f>HYPERLINK("https://klasma.github.io/Logging_2039/klagomålsmail/A 52490-2022 FSC-klagomål mail.docx", "A 52490-2022")</f>
        <v/>
      </c>
      <c r="X140">
        <f>HYPERLINK("https://klasma.github.io/Logging_2039/tillsyn/A 52490-2022 tillsynsbegäran.docx", "A 52490-2022")</f>
        <v/>
      </c>
      <c r="Y140">
        <f>HYPERLINK("https://klasma.github.io/Logging_2039/tillsynsmail/A 52490-2022 tillsynsbegäran mail.docx", "A 52490-2022")</f>
        <v/>
      </c>
    </row>
    <row r="141" ht="15" customHeight="1">
      <c r="A141" t="inlineStr">
        <is>
          <t>A 40461-2025</t>
        </is>
      </c>
      <c r="B141" s="1" t="n">
        <v>45895</v>
      </c>
      <c r="C141" s="1" t="n">
        <v>46040</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46040</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46040</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59429-2024</t>
        </is>
      </c>
      <c r="B144" s="1" t="n">
        <v>45638.42091435185</v>
      </c>
      <c r="C144" s="1" t="n">
        <v>46040</v>
      </c>
      <c r="D144" t="inlineStr">
        <is>
          <t>DALARNAS LÄN</t>
        </is>
      </c>
      <c r="E144" t="inlineStr">
        <is>
          <t>ÄLVDALEN</t>
        </is>
      </c>
      <c r="F144" t="inlineStr">
        <is>
          <t>Allmännings- och besparingsskogar</t>
        </is>
      </c>
      <c r="G144" t="n">
        <v>4.9</v>
      </c>
      <c r="H144" t="n">
        <v>0</v>
      </c>
      <c r="I144" t="n">
        <v>0</v>
      </c>
      <c r="J144" t="n">
        <v>2</v>
      </c>
      <c r="K144" t="n">
        <v>0</v>
      </c>
      <c r="L144" t="n">
        <v>0</v>
      </c>
      <c r="M144" t="n">
        <v>0</v>
      </c>
      <c r="N144" t="n">
        <v>0</v>
      </c>
      <c r="O144" t="n">
        <v>2</v>
      </c>
      <c r="P144" t="n">
        <v>0</v>
      </c>
      <c r="Q144" t="n">
        <v>2</v>
      </c>
      <c r="R144" s="2" t="inlineStr">
        <is>
          <t>Garnlav
Skrovellav</t>
        </is>
      </c>
      <c r="S144">
        <f>HYPERLINK("https://klasma.github.io/Logging_2039/artfynd/A 59429-2024 artfynd.xlsx", "A 59429-2024")</f>
        <v/>
      </c>
      <c r="T144">
        <f>HYPERLINK("https://klasma.github.io/Logging_2039/kartor/A 59429-2024 karta.png", "A 59429-2024")</f>
        <v/>
      </c>
      <c r="V144">
        <f>HYPERLINK("https://klasma.github.io/Logging_2039/klagomål/A 59429-2024 FSC-klagomål.docx", "A 59429-2024")</f>
        <v/>
      </c>
      <c r="W144">
        <f>HYPERLINK("https://klasma.github.io/Logging_2039/klagomålsmail/A 59429-2024 FSC-klagomål mail.docx", "A 59429-2024")</f>
        <v/>
      </c>
      <c r="X144">
        <f>HYPERLINK("https://klasma.github.io/Logging_2039/tillsyn/A 59429-2024 tillsynsbegäran.docx", "A 59429-2024")</f>
        <v/>
      </c>
      <c r="Y144">
        <f>HYPERLINK("https://klasma.github.io/Logging_2039/tillsynsmail/A 59429-2024 tillsynsbegäran mail.docx", "A 59429-2024")</f>
        <v/>
      </c>
    </row>
    <row r="145" ht="15" customHeight="1">
      <c r="A145" t="inlineStr">
        <is>
          <t>A 40231-2021</t>
        </is>
      </c>
      <c r="B145" s="1" t="n">
        <v>44419.31553240741</v>
      </c>
      <c r="C145" s="1" t="n">
        <v>46040</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42848-2023</t>
        </is>
      </c>
      <c r="B146" s="1" t="n">
        <v>45182</v>
      </c>
      <c r="C146" s="1" t="n">
        <v>46040</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54632-2021</t>
        </is>
      </c>
      <c r="B147" s="1" t="n">
        <v>44473</v>
      </c>
      <c r="C147" s="1" t="n">
        <v>46040</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30727-2024</t>
        </is>
      </c>
      <c r="B148" s="1" t="n">
        <v>45496.55789351852</v>
      </c>
      <c r="C148" s="1" t="n">
        <v>46040</v>
      </c>
      <c r="D148" t="inlineStr">
        <is>
          <t>DALARNAS LÄN</t>
        </is>
      </c>
      <c r="E148" t="inlineStr">
        <is>
          <t>ÄLVDALEN</t>
        </is>
      </c>
      <c r="F148" t="inlineStr">
        <is>
          <t>Allmännings- och besparingsskogar</t>
        </is>
      </c>
      <c r="G148" t="n">
        <v>35.7</v>
      </c>
      <c r="H148" t="n">
        <v>1</v>
      </c>
      <c r="I148" t="n">
        <v>0</v>
      </c>
      <c r="J148" t="n">
        <v>2</v>
      </c>
      <c r="K148" t="n">
        <v>0</v>
      </c>
      <c r="L148" t="n">
        <v>0</v>
      </c>
      <c r="M148" t="n">
        <v>0</v>
      </c>
      <c r="N148" t="n">
        <v>0</v>
      </c>
      <c r="O148" t="n">
        <v>2</v>
      </c>
      <c r="P148" t="n">
        <v>0</v>
      </c>
      <c r="Q148" t="n">
        <v>2</v>
      </c>
      <c r="R148" s="2" t="inlineStr">
        <is>
          <t>Garnlav
Spillkråka</t>
        </is>
      </c>
      <c r="S148">
        <f>HYPERLINK("https://klasma.github.io/Logging_2039/artfynd/A 30727-2024 artfynd.xlsx", "A 30727-2024")</f>
        <v/>
      </c>
      <c r="T148">
        <f>HYPERLINK("https://klasma.github.io/Logging_2039/kartor/A 30727-2024 karta.png", "A 30727-2024")</f>
        <v/>
      </c>
      <c r="V148">
        <f>HYPERLINK("https://klasma.github.io/Logging_2039/klagomål/A 30727-2024 FSC-klagomål.docx", "A 30727-2024")</f>
        <v/>
      </c>
      <c r="W148">
        <f>HYPERLINK("https://klasma.github.io/Logging_2039/klagomålsmail/A 30727-2024 FSC-klagomål mail.docx", "A 30727-2024")</f>
        <v/>
      </c>
      <c r="X148">
        <f>HYPERLINK("https://klasma.github.io/Logging_2039/tillsyn/A 30727-2024 tillsynsbegäran.docx", "A 30727-2024")</f>
        <v/>
      </c>
      <c r="Y148">
        <f>HYPERLINK("https://klasma.github.io/Logging_2039/tillsynsmail/A 30727-2024 tillsynsbegäran mail.docx", "A 30727-2024")</f>
        <v/>
      </c>
      <c r="Z148">
        <f>HYPERLINK("https://klasma.github.io/Logging_2039/fåglar/A 30727-2024 prioriterade fågelarter.docx", "A 30727-2024")</f>
        <v/>
      </c>
    </row>
    <row r="149" ht="15" customHeight="1">
      <c r="A149" t="inlineStr">
        <is>
          <t>A 27937-2025</t>
        </is>
      </c>
      <c r="B149" s="1" t="n">
        <v>45817.50025462963</v>
      </c>
      <c r="C149" s="1" t="n">
        <v>46040</v>
      </c>
      <c r="D149" t="inlineStr">
        <is>
          <t>DALARNAS LÄN</t>
        </is>
      </c>
      <c r="E149" t="inlineStr">
        <is>
          <t>ÄLVDALEN</t>
        </is>
      </c>
      <c r="F149" t="inlineStr">
        <is>
          <t>Sveaskog</t>
        </is>
      </c>
      <c r="G149" t="n">
        <v>0.9</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27937-2025 artfynd.xlsx", "A 27937-2025")</f>
        <v/>
      </c>
      <c r="T149">
        <f>HYPERLINK("https://klasma.github.io/Logging_2039/kartor/A 27937-2025 karta.png", "A 27937-2025")</f>
        <v/>
      </c>
      <c r="V149">
        <f>HYPERLINK("https://klasma.github.io/Logging_2039/klagomål/A 27937-2025 FSC-klagomål.docx", "A 27937-2025")</f>
        <v/>
      </c>
      <c r="W149">
        <f>HYPERLINK("https://klasma.github.io/Logging_2039/klagomålsmail/A 27937-2025 FSC-klagomål mail.docx", "A 27937-2025")</f>
        <v/>
      </c>
      <c r="X149">
        <f>HYPERLINK("https://klasma.github.io/Logging_2039/tillsyn/A 27937-2025 tillsynsbegäran.docx", "A 27937-2025")</f>
        <v/>
      </c>
      <c r="Y149">
        <f>HYPERLINK("https://klasma.github.io/Logging_2039/tillsynsmail/A 27937-2025 tillsynsbegäran mail.docx", "A 27937-2025")</f>
        <v/>
      </c>
    </row>
    <row r="150" ht="15" customHeight="1">
      <c r="A150" t="inlineStr">
        <is>
          <t>A 31264-2025</t>
        </is>
      </c>
      <c r="B150" s="1" t="n">
        <v>45833.3283912037</v>
      </c>
      <c r="C150" s="1" t="n">
        <v>46040</v>
      </c>
      <c r="D150" t="inlineStr">
        <is>
          <t>DALARNAS LÄN</t>
        </is>
      </c>
      <c r="E150" t="inlineStr">
        <is>
          <t>ÄLVDALEN</t>
        </is>
      </c>
      <c r="F150" t="inlineStr">
        <is>
          <t>Sveaskog</t>
        </is>
      </c>
      <c r="G150" t="n">
        <v>1.3</v>
      </c>
      <c r="H150" t="n">
        <v>2</v>
      </c>
      <c r="I150" t="n">
        <v>0</v>
      </c>
      <c r="J150" t="n">
        <v>1</v>
      </c>
      <c r="K150" t="n">
        <v>0</v>
      </c>
      <c r="L150" t="n">
        <v>1</v>
      </c>
      <c r="M150" t="n">
        <v>0</v>
      </c>
      <c r="N150" t="n">
        <v>0</v>
      </c>
      <c r="O150" t="n">
        <v>2</v>
      </c>
      <c r="P150" t="n">
        <v>1</v>
      </c>
      <c r="Q150" t="n">
        <v>2</v>
      </c>
      <c r="R150" s="2" t="inlineStr">
        <is>
          <t>Mosippa
Drillsnäppa</t>
        </is>
      </c>
      <c r="S150">
        <f>HYPERLINK("https://klasma.github.io/Logging_2039/artfynd/A 31264-2025 artfynd.xlsx", "A 31264-2025")</f>
        <v/>
      </c>
      <c r="T150">
        <f>HYPERLINK("https://klasma.github.io/Logging_2039/kartor/A 31264-2025 karta.png", "A 31264-2025")</f>
        <v/>
      </c>
      <c r="V150">
        <f>HYPERLINK("https://klasma.github.io/Logging_2039/klagomål/A 31264-2025 FSC-klagomål.docx", "A 31264-2025")</f>
        <v/>
      </c>
      <c r="W150">
        <f>HYPERLINK("https://klasma.github.io/Logging_2039/klagomålsmail/A 31264-2025 FSC-klagomål mail.docx", "A 31264-2025")</f>
        <v/>
      </c>
      <c r="X150">
        <f>HYPERLINK("https://klasma.github.io/Logging_2039/tillsyn/A 31264-2025 tillsynsbegäran.docx", "A 31264-2025")</f>
        <v/>
      </c>
      <c r="Y150">
        <f>HYPERLINK("https://klasma.github.io/Logging_2039/tillsynsmail/A 31264-2025 tillsynsbegäran mail.docx", "A 31264-2025")</f>
        <v/>
      </c>
    </row>
    <row r="151" ht="15" customHeight="1">
      <c r="A151" t="inlineStr">
        <is>
          <t>A 31761-2021</t>
        </is>
      </c>
      <c r="B151" s="1" t="n">
        <v>44370</v>
      </c>
      <c r="C151" s="1" t="n">
        <v>46040</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46040</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46040</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46040</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46040</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46040</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46040</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24847-2021</t>
        </is>
      </c>
      <c r="B158" s="1" t="n">
        <v>44340</v>
      </c>
      <c r="C158" s="1" t="n">
        <v>46040</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22407-2021</t>
        </is>
      </c>
      <c r="B159" s="1" t="n">
        <v>44326.61526620371</v>
      </c>
      <c r="C159" s="1" t="n">
        <v>46040</v>
      </c>
      <c r="D159" t="inlineStr">
        <is>
          <t>DALARNAS LÄN</t>
        </is>
      </c>
      <c r="E159" t="inlineStr">
        <is>
          <t>ÄLVDALEN</t>
        </is>
      </c>
      <c r="F159" t="inlineStr">
        <is>
          <t>Sveaskog</t>
        </is>
      </c>
      <c r="G159" t="n">
        <v>4.2</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22407-2021 artfynd.xlsx", "A 22407-2021")</f>
        <v/>
      </c>
      <c r="T159">
        <f>HYPERLINK("https://klasma.github.io/Logging_2039/kartor/A 22407-2021 karta.png", "A 22407-2021")</f>
        <v/>
      </c>
      <c r="V159">
        <f>HYPERLINK("https://klasma.github.io/Logging_2039/klagomål/A 22407-2021 FSC-klagomål.docx", "A 22407-2021")</f>
        <v/>
      </c>
      <c r="W159">
        <f>HYPERLINK("https://klasma.github.io/Logging_2039/klagomålsmail/A 22407-2021 FSC-klagomål mail.docx", "A 22407-2021")</f>
        <v/>
      </c>
      <c r="X159">
        <f>HYPERLINK("https://klasma.github.io/Logging_2039/tillsyn/A 22407-2021 tillsynsbegäran.docx", "A 22407-2021")</f>
        <v/>
      </c>
      <c r="Y159">
        <f>HYPERLINK("https://klasma.github.io/Logging_2039/tillsynsmail/A 22407-2021 tillsynsbegäran mail.docx", "A 22407-2021")</f>
        <v/>
      </c>
    </row>
    <row r="160" ht="15" customHeight="1">
      <c r="A160" t="inlineStr">
        <is>
          <t>A 51477-2022</t>
        </is>
      </c>
      <c r="B160" s="1" t="n">
        <v>44869</v>
      </c>
      <c r="C160" s="1" t="n">
        <v>46040</v>
      </c>
      <c r="D160" t="inlineStr">
        <is>
          <t>DALARNAS LÄN</t>
        </is>
      </c>
      <c r="E160" t="inlineStr">
        <is>
          <t>ÄLVDALEN</t>
        </is>
      </c>
      <c r="F160" t="inlineStr">
        <is>
          <t>Sveaskog</t>
        </is>
      </c>
      <c r="G160" t="n">
        <v>3.8</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51477-2022 artfynd.xlsx", "A 51477-2022")</f>
        <v/>
      </c>
      <c r="T160">
        <f>HYPERLINK("https://klasma.github.io/Logging_2039/kartor/A 51477-2022 karta.png", "A 51477-2022")</f>
        <v/>
      </c>
      <c r="V160">
        <f>HYPERLINK("https://klasma.github.io/Logging_2039/klagomål/A 51477-2022 FSC-klagomål.docx", "A 51477-2022")</f>
        <v/>
      </c>
      <c r="W160">
        <f>HYPERLINK("https://klasma.github.io/Logging_2039/klagomålsmail/A 51477-2022 FSC-klagomål mail.docx", "A 51477-2022")</f>
        <v/>
      </c>
      <c r="X160">
        <f>HYPERLINK("https://klasma.github.io/Logging_2039/tillsyn/A 51477-2022 tillsynsbegäran.docx", "A 51477-2022")</f>
        <v/>
      </c>
      <c r="Y160">
        <f>HYPERLINK("https://klasma.github.io/Logging_2039/tillsynsmail/A 51477-2022 tillsynsbegäran mail.docx", "A 51477-2022")</f>
        <v/>
      </c>
    </row>
    <row r="161" ht="15" customHeight="1">
      <c r="A161" t="inlineStr">
        <is>
          <t>A 60419-2021</t>
        </is>
      </c>
      <c r="B161" s="1" t="n">
        <v>44496.40606481482</v>
      </c>
      <c r="C161" s="1" t="n">
        <v>46040</v>
      </c>
      <c r="D161" t="inlineStr">
        <is>
          <t>DALARNAS LÄN</t>
        </is>
      </c>
      <c r="E161" t="inlineStr">
        <is>
          <t>ÄLVDALEN</t>
        </is>
      </c>
      <c r="F161" t="inlineStr">
        <is>
          <t>Sveaskog</t>
        </is>
      </c>
      <c r="G161" t="n">
        <v>9.1</v>
      </c>
      <c r="H161" t="n">
        <v>0</v>
      </c>
      <c r="I161" t="n">
        <v>1</v>
      </c>
      <c r="J161" t="n">
        <v>0</v>
      </c>
      <c r="K161" t="n">
        <v>0</v>
      </c>
      <c r="L161" t="n">
        <v>0</v>
      </c>
      <c r="M161" t="n">
        <v>0</v>
      </c>
      <c r="N161" t="n">
        <v>0</v>
      </c>
      <c r="O161" t="n">
        <v>0</v>
      </c>
      <c r="P161" t="n">
        <v>0</v>
      </c>
      <c r="Q161" t="n">
        <v>1</v>
      </c>
      <c r="R161" s="2" t="inlineStr">
        <is>
          <t>Dropptaggsvamp</t>
        </is>
      </c>
      <c r="S161">
        <f>HYPERLINK("https://klasma.github.io/Logging_2039/artfynd/A 60419-2021 artfynd.xlsx", "A 60419-2021")</f>
        <v/>
      </c>
      <c r="T161">
        <f>HYPERLINK("https://klasma.github.io/Logging_2039/kartor/A 60419-2021 karta.png", "A 60419-2021")</f>
        <v/>
      </c>
      <c r="V161">
        <f>HYPERLINK("https://klasma.github.io/Logging_2039/klagomål/A 60419-2021 FSC-klagomål.docx", "A 60419-2021")</f>
        <v/>
      </c>
      <c r="W161">
        <f>HYPERLINK("https://klasma.github.io/Logging_2039/klagomålsmail/A 60419-2021 FSC-klagomål mail.docx", "A 60419-2021")</f>
        <v/>
      </c>
      <c r="X161">
        <f>HYPERLINK("https://klasma.github.io/Logging_2039/tillsyn/A 60419-2021 tillsynsbegäran.docx", "A 60419-2021")</f>
        <v/>
      </c>
      <c r="Y161">
        <f>HYPERLINK("https://klasma.github.io/Logging_2039/tillsynsmail/A 60419-2021 tillsynsbegäran mail.docx", "A 60419-2021")</f>
        <v/>
      </c>
    </row>
    <row r="162" ht="15" customHeight="1">
      <c r="A162" t="inlineStr">
        <is>
          <t>A 26736-2021</t>
        </is>
      </c>
      <c r="B162" s="1" t="n">
        <v>44349</v>
      </c>
      <c r="C162" s="1" t="n">
        <v>46040</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26736-2021 artfynd.xlsx", "A 26736-2021")</f>
        <v/>
      </c>
      <c r="T162">
        <f>HYPERLINK("https://klasma.github.io/Logging_2039/kartor/A 26736-2021 karta.png", "A 26736-2021")</f>
        <v/>
      </c>
      <c r="V162">
        <f>HYPERLINK("https://klasma.github.io/Logging_2039/klagomål/A 26736-2021 FSC-klagomål.docx", "A 26736-2021")</f>
        <v/>
      </c>
      <c r="W162">
        <f>HYPERLINK("https://klasma.github.io/Logging_2039/klagomålsmail/A 26736-2021 FSC-klagomål mail.docx", "A 26736-2021")</f>
        <v/>
      </c>
      <c r="X162">
        <f>HYPERLINK("https://klasma.github.io/Logging_2039/tillsyn/A 26736-2021 tillsynsbegäran.docx", "A 26736-2021")</f>
        <v/>
      </c>
      <c r="Y162">
        <f>HYPERLINK("https://klasma.github.io/Logging_2039/tillsynsmail/A 26736-2021 tillsynsbegäran mail.docx", "A 26736-2021")</f>
        <v/>
      </c>
    </row>
    <row r="163" ht="15" customHeight="1">
      <c r="A163" t="inlineStr">
        <is>
          <t>A 23872-2023</t>
        </is>
      </c>
      <c r="B163" s="1" t="n">
        <v>45078</v>
      </c>
      <c r="C163" s="1" t="n">
        <v>46040</v>
      </c>
      <c r="D163" t="inlineStr">
        <is>
          <t>DALARNAS LÄN</t>
        </is>
      </c>
      <c r="E163" t="inlineStr">
        <is>
          <t>ÄLVDALEN</t>
        </is>
      </c>
      <c r="F163" t="inlineStr">
        <is>
          <t>Allmännings- och besparingsskogar</t>
        </is>
      </c>
      <c r="G163" t="n">
        <v>79.5</v>
      </c>
      <c r="H163" t="n">
        <v>1</v>
      </c>
      <c r="I163" t="n">
        <v>0</v>
      </c>
      <c r="J163" t="n">
        <v>0</v>
      </c>
      <c r="K163" t="n">
        <v>0</v>
      </c>
      <c r="L163" t="n">
        <v>0</v>
      </c>
      <c r="M163" t="n">
        <v>0</v>
      </c>
      <c r="N163" t="n">
        <v>0</v>
      </c>
      <c r="O163" t="n">
        <v>0</v>
      </c>
      <c r="P163" t="n">
        <v>0</v>
      </c>
      <c r="Q163" t="n">
        <v>1</v>
      </c>
      <c r="R163" s="2" t="inlineStr">
        <is>
          <t>Vanlig groda</t>
        </is>
      </c>
      <c r="S163">
        <f>HYPERLINK("https://klasma.github.io/Logging_2039/artfynd/A 23872-2023 artfynd.xlsx", "A 23872-2023")</f>
        <v/>
      </c>
      <c r="T163">
        <f>HYPERLINK("https://klasma.github.io/Logging_2039/kartor/A 23872-2023 karta.png", "A 23872-2023")</f>
        <v/>
      </c>
      <c r="V163">
        <f>HYPERLINK("https://klasma.github.io/Logging_2039/klagomål/A 23872-2023 FSC-klagomål.docx", "A 23872-2023")</f>
        <v/>
      </c>
      <c r="W163">
        <f>HYPERLINK("https://klasma.github.io/Logging_2039/klagomålsmail/A 23872-2023 FSC-klagomål mail.docx", "A 23872-2023")</f>
        <v/>
      </c>
      <c r="X163">
        <f>HYPERLINK("https://klasma.github.io/Logging_2039/tillsyn/A 23872-2023 tillsynsbegäran.docx", "A 23872-2023")</f>
        <v/>
      </c>
      <c r="Y163">
        <f>HYPERLINK("https://klasma.github.io/Logging_2039/tillsynsmail/A 23872-2023 tillsynsbegäran mail.docx", "A 23872-2023")</f>
        <v/>
      </c>
    </row>
    <row r="164" ht="15" customHeight="1">
      <c r="A164" t="inlineStr">
        <is>
          <t>A 41728-2025</t>
        </is>
      </c>
      <c r="B164" s="1" t="n">
        <v>45902.45748842593</v>
      </c>
      <c r="C164" s="1" t="n">
        <v>46040</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41932-2025</t>
        </is>
      </c>
      <c r="B165" s="1" t="n">
        <v>45903.43458333334</v>
      </c>
      <c r="C165" s="1" t="n">
        <v>46040</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59380-2025</t>
        </is>
      </c>
      <c r="B166" s="1" t="n">
        <v>45989.4540625</v>
      </c>
      <c r="C166" s="1" t="n">
        <v>46040</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60082-2025</t>
        </is>
      </c>
      <c r="B167" s="1" t="n">
        <v>45993</v>
      </c>
      <c r="C167" s="1" t="n">
        <v>46040</v>
      </c>
      <c r="D167" t="inlineStr">
        <is>
          <t>DALARNAS LÄN</t>
        </is>
      </c>
      <c r="E167" t="inlineStr">
        <is>
          <t>ÄLVDALEN</t>
        </is>
      </c>
      <c r="G167" t="n">
        <v>7.5</v>
      </c>
      <c r="H167" t="n">
        <v>1</v>
      </c>
      <c r="I167" t="n">
        <v>0</v>
      </c>
      <c r="J167" t="n">
        <v>0</v>
      </c>
      <c r="K167" t="n">
        <v>0</v>
      </c>
      <c r="L167" t="n">
        <v>0</v>
      </c>
      <c r="M167" t="n">
        <v>0</v>
      </c>
      <c r="N167" t="n">
        <v>0</v>
      </c>
      <c r="O167" t="n">
        <v>0</v>
      </c>
      <c r="P167" t="n">
        <v>0</v>
      </c>
      <c r="Q167" t="n">
        <v>1</v>
      </c>
      <c r="R167" s="2" t="inlineStr">
        <is>
          <t>Revlummer</t>
        </is>
      </c>
      <c r="S167">
        <f>HYPERLINK("https://klasma.github.io/Logging_2039/artfynd/A 60082-2025 artfynd.xlsx", "A 60082-2025")</f>
        <v/>
      </c>
      <c r="T167">
        <f>HYPERLINK("https://klasma.github.io/Logging_2039/kartor/A 60082-2025 karta.png", "A 60082-2025")</f>
        <v/>
      </c>
      <c r="V167">
        <f>HYPERLINK("https://klasma.github.io/Logging_2039/klagomål/A 60082-2025 FSC-klagomål.docx", "A 60082-2025")</f>
        <v/>
      </c>
      <c r="W167">
        <f>HYPERLINK("https://klasma.github.io/Logging_2039/klagomålsmail/A 60082-2025 FSC-klagomål mail.docx", "A 60082-2025")</f>
        <v/>
      </c>
      <c r="X167">
        <f>HYPERLINK("https://klasma.github.io/Logging_2039/tillsyn/A 60082-2025 tillsynsbegäran.docx", "A 60082-2025")</f>
        <v/>
      </c>
      <c r="Y167">
        <f>HYPERLINK("https://klasma.github.io/Logging_2039/tillsynsmail/A 60082-2025 tillsynsbegäran mail.docx", "A 60082-2025")</f>
        <v/>
      </c>
    </row>
    <row r="168" ht="15" customHeight="1">
      <c r="A168" t="inlineStr">
        <is>
          <t>A 45202-2024</t>
        </is>
      </c>
      <c r="B168" s="1" t="n">
        <v>45575</v>
      </c>
      <c r="C168" s="1" t="n">
        <v>46040</v>
      </c>
      <c r="D168" t="inlineStr">
        <is>
          <t>DALARNAS LÄN</t>
        </is>
      </c>
      <c r="E168" t="inlineStr">
        <is>
          <t>ÄLVDALEN</t>
        </is>
      </c>
      <c r="G168" t="n">
        <v>182.1</v>
      </c>
      <c r="H168" t="n">
        <v>1</v>
      </c>
      <c r="I168" t="n">
        <v>0</v>
      </c>
      <c r="J168" t="n">
        <v>0</v>
      </c>
      <c r="K168" t="n">
        <v>0</v>
      </c>
      <c r="L168" t="n">
        <v>0</v>
      </c>
      <c r="M168" t="n">
        <v>0</v>
      </c>
      <c r="N168" t="n">
        <v>0</v>
      </c>
      <c r="O168" t="n">
        <v>0</v>
      </c>
      <c r="P168" t="n">
        <v>0</v>
      </c>
      <c r="Q168" t="n">
        <v>1</v>
      </c>
      <c r="R168" s="2" t="inlineStr">
        <is>
          <t>Lavskrika</t>
        </is>
      </c>
      <c r="S168">
        <f>HYPERLINK("https://klasma.github.io/Logging_2039/artfynd/A 45202-2024 artfynd.xlsx", "A 45202-2024")</f>
        <v/>
      </c>
      <c r="T168">
        <f>HYPERLINK("https://klasma.github.io/Logging_2039/kartor/A 45202-2024 karta.png", "A 45202-2024")</f>
        <v/>
      </c>
      <c r="V168">
        <f>HYPERLINK("https://klasma.github.io/Logging_2039/klagomål/A 45202-2024 FSC-klagomål.docx", "A 45202-2024")</f>
        <v/>
      </c>
      <c r="W168">
        <f>HYPERLINK("https://klasma.github.io/Logging_2039/klagomålsmail/A 45202-2024 FSC-klagomål mail.docx", "A 45202-2024")</f>
        <v/>
      </c>
      <c r="X168">
        <f>HYPERLINK("https://klasma.github.io/Logging_2039/tillsyn/A 45202-2024 tillsynsbegäran.docx", "A 45202-2024")</f>
        <v/>
      </c>
      <c r="Y168">
        <f>HYPERLINK("https://klasma.github.io/Logging_2039/tillsynsmail/A 45202-2024 tillsynsbegäran mail.docx", "A 45202-2024")</f>
        <v/>
      </c>
      <c r="Z168">
        <f>HYPERLINK("https://klasma.github.io/Logging_2039/fåglar/A 45202-2024 prioriterade fågelarter.docx", "A 45202-2024")</f>
        <v/>
      </c>
    </row>
    <row r="169" ht="15" customHeight="1">
      <c r="A169" t="inlineStr">
        <is>
          <t>A 50981-2024</t>
        </is>
      </c>
      <c r="B169" s="1" t="n">
        <v>45603.36233796296</v>
      </c>
      <c r="C169" s="1" t="n">
        <v>46040</v>
      </c>
      <c r="D169" t="inlineStr">
        <is>
          <t>DALARNAS LÄN</t>
        </is>
      </c>
      <c r="E169" t="inlineStr">
        <is>
          <t>ÄLVDALEN</t>
        </is>
      </c>
      <c r="G169" t="n">
        <v>5.1</v>
      </c>
      <c r="H169" t="n">
        <v>0</v>
      </c>
      <c r="I169" t="n">
        <v>0</v>
      </c>
      <c r="J169" t="n">
        <v>1</v>
      </c>
      <c r="K169" t="n">
        <v>0</v>
      </c>
      <c r="L169" t="n">
        <v>0</v>
      </c>
      <c r="M169" t="n">
        <v>0</v>
      </c>
      <c r="N169" t="n">
        <v>0</v>
      </c>
      <c r="O169" t="n">
        <v>1</v>
      </c>
      <c r="P169" t="n">
        <v>0</v>
      </c>
      <c r="Q169" t="n">
        <v>1</v>
      </c>
      <c r="R169" s="2" t="inlineStr">
        <is>
          <t>Vedskivlav</t>
        </is>
      </c>
      <c r="S169">
        <f>HYPERLINK("https://klasma.github.io/Logging_2039/artfynd/A 50981-2024 artfynd.xlsx", "A 50981-2024")</f>
        <v/>
      </c>
      <c r="T169">
        <f>HYPERLINK("https://klasma.github.io/Logging_2039/kartor/A 50981-2024 karta.png", "A 50981-2024")</f>
        <v/>
      </c>
      <c r="V169">
        <f>HYPERLINK("https://klasma.github.io/Logging_2039/klagomål/A 50981-2024 FSC-klagomål.docx", "A 50981-2024")</f>
        <v/>
      </c>
      <c r="W169">
        <f>HYPERLINK("https://klasma.github.io/Logging_2039/klagomålsmail/A 50981-2024 FSC-klagomål mail.docx", "A 50981-2024")</f>
        <v/>
      </c>
      <c r="X169">
        <f>HYPERLINK("https://klasma.github.io/Logging_2039/tillsyn/A 50981-2024 tillsynsbegäran.docx", "A 50981-2024")</f>
        <v/>
      </c>
      <c r="Y169">
        <f>HYPERLINK("https://klasma.github.io/Logging_2039/tillsynsmail/A 50981-2024 tillsynsbegäran mail.docx", "A 50981-2024")</f>
        <v/>
      </c>
    </row>
    <row r="170" ht="15" customHeight="1">
      <c r="A170" t="inlineStr">
        <is>
          <t>A 49141-2025</t>
        </is>
      </c>
      <c r="B170" s="1" t="n">
        <v>45938.31905092593</v>
      </c>
      <c r="C170" s="1" t="n">
        <v>46040</v>
      </c>
      <c r="D170" t="inlineStr">
        <is>
          <t>DALARNAS LÄN</t>
        </is>
      </c>
      <c r="E170" t="inlineStr">
        <is>
          <t>ÄLVDALEN</t>
        </is>
      </c>
      <c r="F170" t="inlineStr">
        <is>
          <t>Allmännings- och besparingsskogar</t>
        </is>
      </c>
      <c r="G170" t="n">
        <v>0.8</v>
      </c>
      <c r="H170" t="n">
        <v>0</v>
      </c>
      <c r="I170" t="n">
        <v>0</v>
      </c>
      <c r="J170" t="n">
        <v>1</v>
      </c>
      <c r="K170" t="n">
        <v>0</v>
      </c>
      <c r="L170" t="n">
        <v>0</v>
      </c>
      <c r="M170" t="n">
        <v>0</v>
      </c>
      <c r="N170" t="n">
        <v>0</v>
      </c>
      <c r="O170" t="n">
        <v>1</v>
      </c>
      <c r="P170" t="n">
        <v>0</v>
      </c>
      <c r="Q170" t="n">
        <v>1</v>
      </c>
      <c r="R170" s="2" t="inlineStr">
        <is>
          <t>Garnlav</t>
        </is>
      </c>
      <c r="S170">
        <f>HYPERLINK("https://klasma.github.io/Logging_2039/artfynd/A 49141-2025 artfynd.xlsx", "A 49141-2025")</f>
        <v/>
      </c>
      <c r="T170">
        <f>HYPERLINK("https://klasma.github.io/Logging_2039/kartor/A 49141-2025 karta.png", "A 49141-2025")</f>
        <v/>
      </c>
      <c r="V170">
        <f>HYPERLINK("https://klasma.github.io/Logging_2039/klagomål/A 49141-2025 FSC-klagomål.docx", "A 49141-2025")</f>
        <v/>
      </c>
      <c r="W170">
        <f>HYPERLINK("https://klasma.github.io/Logging_2039/klagomålsmail/A 49141-2025 FSC-klagomål mail.docx", "A 49141-2025")</f>
        <v/>
      </c>
      <c r="X170">
        <f>HYPERLINK("https://klasma.github.io/Logging_2039/tillsyn/A 49141-2025 tillsynsbegäran.docx", "A 49141-2025")</f>
        <v/>
      </c>
      <c r="Y170">
        <f>HYPERLINK("https://klasma.github.io/Logging_2039/tillsynsmail/A 49141-2025 tillsynsbegäran mail.docx", "A 49141-2025")</f>
        <v/>
      </c>
    </row>
    <row r="171" ht="15" customHeight="1">
      <c r="A171" t="inlineStr">
        <is>
          <t>A 55062-2022</t>
        </is>
      </c>
      <c r="B171" s="1" t="n">
        <v>44881</v>
      </c>
      <c r="C171" s="1" t="n">
        <v>46040</v>
      </c>
      <c r="D171" t="inlineStr">
        <is>
          <t>DALARNAS LÄN</t>
        </is>
      </c>
      <c r="E171" t="inlineStr">
        <is>
          <t>ÄLVDALEN</t>
        </is>
      </c>
      <c r="F171" t="inlineStr">
        <is>
          <t>Övriga statliga verk och myndigheter</t>
        </is>
      </c>
      <c r="G171" t="n">
        <v>28.1</v>
      </c>
      <c r="H171" t="n">
        <v>1</v>
      </c>
      <c r="I171" t="n">
        <v>0</v>
      </c>
      <c r="J171" t="n">
        <v>1</v>
      </c>
      <c r="K171" t="n">
        <v>0</v>
      </c>
      <c r="L171" t="n">
        <v>0</v>
      </c>
      <c r="M171" t="n">
        <v>0</v>
      </c>
      <c r="N171" t="n">
        <v>0</v>
      </c>
      <c r="O171" t="n">
        <v>1</v>
      </c>
      <c r="P171" t="n">
        <v>0</v>
      </c>
      <c r="Q171" t="n">
        <v>1</v>
      </c>
      <c r="R171" s="2" t="inlineStr">
        <is>
          <t>Utter</t>
        </is>
      </c>
      <c r="S171">
        <f>HYPERLINK("https://klasma.github.io/Logging_2039/artfynd/A 55062-2022 artfynd.xlsx", "A 55062-2022")</f>
        <v/>
      </c>
      <c r="T171">
        <f>HYPERLINK("https://klasma.github.io/Logging_2039/kartor/A 55062-2022 karta.png", "A 55062-2022")</f>
        <v/>
      </c>
      <c r="V171">
        <f>HYPERLINK("https://klasma.github.io/Logging_2039/klagomål/A 55062-2022 FSC-klagomål.docx", "A 55062-2022")</f>
        <v/>
      </c>
      <c r="W171">
        <f>HYPERLINK("https://klasma.github.io/Logging_2039/klagomålsmail/A 55062-2022 FSC-klagomål mail.docx", "A 55062-2022")</f>
        <v/>
      </c>
      <c r="X171">
        <f>HYPERLINK("https://klasma.github.io/Logging_2039/tillsyn/A 55062-2022 tillsynsbegäran.docx", "A 55062-2022")</f>
        <v/>
      </c>
      <c r="Y171">
        <f>HYPERLINK("https://klasma.github.io/Logging_2039/tillsynsmail/A 55062-2022 tillsynsbegäran mail.docx", "A 55062-2022")</f>
        <v/>
      </c>
    </row>
    <row r="172" ht="15" customHeight="1">
      <c r="A172" t="inlineStr">
        <is>
          <t>A 19614-2024</t>
        </is>
      </c>
      <c r="B172" s="1" t="n">
        <v>45432.30798611111</v>
      </c>
      <c r="C172" s="1" t="n">
        <v>46040</v>
      </c>
      <c r="D172" t="inlineStr">
        <is>
          <t>DALARNAS LÄN</t>
        </is>
      </c>
      <c r="E172" t="inlineStr">
        <is>
          <t>ÄLVDALEN</t>
        </is>
      </c>
      <c r="F172" t="inlineStr">
        <is>
          <t>Sveaskog</t>
        </is>
      </c>
      <c r="G172" t="n">
        <v>2.9</v>
      </c>
      <c r="H172" t="n">
        <v>0</v>
      </c>
      <c r="I172" t="n">
        <v>0</v>
      </c>
      <c r="J172" t="n">
        <v>1</v>
      </c>
      <c r="K172" t="n">
        <v>0</v>
      </c>
      <c r="L172" t="n">
        <v>0</v>
      </c>
      <c r="M172" t="n">
        <v>0</v>
      </c>
      <c r="N172" t="n">
        <v>0</v>
      </c>
      <c r="O172" t="n">
        <v>1</v>
      </c>
      <c r="P172" t="n">
        <v>0</v>
      </c>
      <c r="Q172" t="n">
        <v>1</v>
      </c>
      <c r="R172" s="2" t="inlineStr">
        <is>
          <t>Mörk kolflarnlav</t>
        </is>
      </c>
      <c r="S172">
        <f>HYPERLINK("https://klasma.github.io/Logging_2039/artfynd/A 19614-2024 artfynd.xlsx", "A 19614-2024")</f>
        <v/>
      </c>
      <c r="T172">
        <f>HYPERLINK("https://klasma.github.io/Logging_2039/kartor/A 19614-2024 karta.png", "A 19614-2024")</f>
        <v/>
      </c>
      <c r="V172">
        <f>HYPERLINK("https://klasma.github.io/Logging_2039/klagomål/A 19614-2024 FSC-klagomål.docx", "A 19614-2024")</f>
        <v/>
      </c>
      <c r="W172">
        <f>HYPERLINK("https://klasma.github.io/Logging_2039/klagomålsmail/A 19614-2024 FSC-klagomål mail.docx", "A 19614-2024")</f>
        <v/>
      </c>
      <c r="X172">
        <f>HYPERLINK("https://klasma.github.io/Logging_2039/tillsyn/A 19614-2024 tillsynsbegäran.docx", "A 19614-2024")</f>
        <v/>
      </c>
      <c r="Y172">
        <f>HYPERLINK("https://klasma.github.io/Logging_2039/tillsynsmail/A 19614-2024 tillsynsbegäran mail.docx", "A 19614-2024")</f>
        <v/>
      </c>
    </row>
    <row r="173" ht="15" customHeight="1">
      <c r="A173" t="inlineStr">
        <is>
          <t>A 31145-2024</t>
        </is>
      </c>
      <c r="B173" s="1" t="n">
        <v>45502.85956018518</v>
      </c>
      <c r="C173" s="1" t="n">
        <v>46040</v>
      </c>
      <c r="D173" t="inlineStr">
        <is>
          <t>DALARNAS LÄN</t>
        </is>
      </c>
      <c r="E173" t="inlineStr">
        <is>
          <t>ÄLVDALEN</t>
        </is>
      </c>
      <c r="G173" t="n">
        <v>1.2</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31145-2024 artfynd.xlsx", "A 31145-2024")</f>
        <v/>
      </c>
      <c r="T173">
        <f>HYPERLINK("https://klasma.github.io/Logging_2039/kartor/A 31145-2024 karta.png", "A 31145-2024")</f>
        <v/>
      </c>
      <c r="V173">
        <f>HYPERLINK("https://klasma.github.io/Logging_2039/klagomål/A 31145-2024 FSC-klagomål.docx", "A 31145-2024")</f>
        <v/>
      </c>
      <c r="W173">
        <f>HYPERLINK("https://klasma.github.io/Logging_2039/klagomålsmail/A 31145-2024 FSC-klagomål mail.docx", "A 31145-2024")</f>
        <v/>
      </c>
      <c r="X173">
        <f>HYPERLINK("https://klasma.github.io/Logging_2039/tillsyn/A 31145-2024 tillsynsbegäran.docx", "A 31145-2024")</f>
        <v/>
      </c>
      <c r="Y173">
        <f>HYPERLINK("https://klasma.github.io/Logging_2039/tillsynsmail/A 31145-2024 tillsynsbegäran mail.docx", "A 31145-2024")</f>
        <v/>
      </c>
      <c r="Z173">
        <f>HYPERLINK("https://klasma.github.io/Logging_2039/fåglar/A 31145-2024 prioriterade fågelarter.docx", "A 31145-2024")</f>
        <v/>
      </c>
    </row>
    <row r="174" ht="15" customHeight="1">
      <c r="A174" t="inlineStr">
        <is>
          <t>A 45201-2024</t>
        </is>
      </c>
      <c r="B174" s="1" t="n">
        <v>45575</v>
      </c>
      <c r="C174" s="1" t="n">
        <v>46040</v>
      </c>
      <c r="D174" t="inlineStr">
        <is>
          <t>DALARNAS LÄN</t>
        </is>
      </c>
      <c r="E174" t="inlineStr">
        <is>
          <t>ÄLVDALEN</t>
        </is>
      </c>
      <c r="G174" t="n">
        <v>24.5</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32199-2024</t>
        </is>
      </c>
      <c r="B175" s="1" t="n">
        <v>45511.66325231481</v>
      </c>
      <c r="C175" s="1" t="n">
        <v>46040</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11061-2021</t>
        </is>
      </c>
      <c r="B176" s="1" t="n">
        <v>44260</v>
      </c>
      <c r="C176" s="1" t="n">
        <v>46040</v>
      </c>
      <c r="D176" t="inlineStr">
        <is>
          <t>DALARNAS LÄN</t>
        </is>
      </c>
      <c r="E176" t="inlineStr">
        <is>
          <t>ÄLVDALEN</t>
        </is>
      </c>
      <c r="F176" t="inlineStr">
        <is>
          <t>Övriga statliga verk och myndigheter</t>
        </is>
      </c>
      <c r="G176" t="n">
        <v>43.7</v>
      </c>
      <c r="H176" t="n">
        <v>1</v>
      </c>
      <c r="I176" t="n">
        <v>0</v>
      </c>
      <c r="J176" t="n">
        <v>0</v>
      </c>
      <c r="K176" t="n">
        <v>0</v>
      </c>
      <c r="L176" t="n">
        <v>0</v>
      </c>
      <c r="M176" t="n">
        <v>0</v>
      </c>
      <c r="N176" t="n">
        <v>0</v>
      </c>
      <c r="O176" t="n">
        <v>0</v>
      </c>
      <c r="P176" t="n">
        <v>0</v>
      </c>
      <c r="Q176" t="n">
        <v>1</v>
      </c>
      <c r="R176" s="2" t="inlineStr">
        <is>
          <t>Större vattensalamander</t>
        </is>
      </c>
      <c r="S176">
        <f>HYPERLINK("https://klasma.github.io/Logging_2039/artfynd/A 11061-2021 artfynd.xlsx", "A 11061-2021")</f>
        <v/>
      </c>
      <c r="T176">
        <f>HYPERLINK("https://klasma.github.io/Logging_2039/kartor/A 11061-2021 karta.png", "A 11061-2021")</f>
        <v/>
      </c>
      <c r="V176">
        <f>HYPERLINK("https://klasma.github.io/Logging_2039/klagomål/A 11061-2021 FSC-klagomål.docx", "A 11061-2021")</f>
        <v/>
      </c>
      <c r="W176">
        <f>HYPERLINK("https://klasma.github.io/Logging_2039/klagomålsmail/A 11061-2021 FSC-klagomål mail.docx", "A 11061-2021")</f>
        <v/>
      </c>
      <c r="X176">
        <f>HYPERLINK("https://klasma.github.io/Logging_2039/tillsyn/A 11061-2021 tillsynsbegäran.docx", "A 11061-2021")</f>
        <v/>
      </c>
      <c r="Y176">
        <f>HYPERLINK("https://klasma.github.io/Logging_2039/tillsynsmail/A 11061-2021 tillsynsbegäran mail.docx", "A 11061-2021")</f>
        <v/>
      </c>
    </row>
    <row r="177" ht="15" customHeight="1">
      <c r="A177" t="inlineStr">
        <is>
          <t>A 662-2025</t>
        </is>
      </c>
      <c r="B177" s="1" t="n">
        <v>45664</v>
      </c>
      <c r="C177" s="1" t="n">
        <v>46040</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30691-2024</t>
        </is>
      </c>
      <c r="B178" s="1" t="n">
        <v>45496.26998842593</v>
      </c>
      <c r="C178" s="1" t="n">
        <v>46040</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36574-2021</t>
        </is>
      </c>
      <c r="B179" s="1" t="n">
        <v>44391</v>
      </c>
      <c r="C179" s="1" t="n">
        <v>46040</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22286-2025</t>
        </is>
      </c>
      <c r="B180" s="1" t="n">
        <v>45786.34402777778</v>
      </c>
      <c r="C180" s="1" t="n">
        <v>46040</v>
      </c>
      <c r="D180" t="inlineStr">
        <is>
          <t>DALARNAS LÄN</t>
        </is>
      </c>
      <c r="E180" t="inlineStr">
        <is>
          <t>ÄLVDALEN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HYPERLINK("https://klasma.github.io/Logging_2039/artfynd/A 22286-2025 artfynd.xlsx", "A 22286-2025")</f>
        <v/>
      </c>
      <c r="T180">
        <f>HYPERLINK("https://klasma.github.io/Logging_2039/kartor/A 22286-2025 karta.png", "A 22286-2025")</f>
        <v/>
      </c>
      <c r="V180">
        <f>HYPERLINK("https://klasma.github.io/Logging_2039/klagomål/A 22286-2025 FSC-klagomål.docx", "A 22286-2025")</f>
        <v/>
      </c>
      <c r="W180">
        <f>HYPERLINK("https://klasma.github.io/Logging_2039/klagomålsmail/A 22286-2025 FSC-klagomål mail.docx", "A 22286-2025")</f>
        <v/>
      </c>
      <c r="X180">
        <f>HYPERLINK("https://klasma.github.io/Logging_2039/tillsyn/A 22286-2025 tillsynsbegäran.docx", "A 22286-2025")</f>
        <v/>
      </c>
      <c r="Y180">
        <f>HYPERLINK("https://klasma.github.io/Logging_2039/tillsynsmail/A 22286-2025 tillsynsbegäran mail.docx", "A 22286-2025")</f>
        <v/>
      </c>
    </row>
    <row r="181" ht="15" customHeight="1">
      <c r="A181" t="inlineStr">
        <is>
          <t>A 27923-2025</t>
        </is>
      </c>
      <c r="B181" s="1" t="n">
        <v>45817.48814814815</v>
      </c>
      <c r="C181" s="1" t="n">
        <v>46040</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46040</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46040</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35352-2025</t>
        </is>
      </c>
      <c r="B184" s="1" t="n">
        <v>45853</v>
      </c>
      <c r="C184" s="1" t="n">
        <v>46040</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19313-2021</t>
        </is>
      </c>
      <c r="B185" s="1" t="n">
        <v>44309</v>
      </c>
      <c r="C185" s="1" t="n">
        <v>46040</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46040</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46040</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46040</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29558-2022</t>
        </is>
      </c>
      <c r="B189" s="1" t="n">
        <v>44754.35296296296</v>
      </c>
      <c r="C189" s="1" t="n">
        <v>46040</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46040</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46040</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46040</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46040</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46040</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46040</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46040</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46040</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46040</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46040</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46040</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46040</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46040</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46040</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46040</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46040</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46040</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46040</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46040</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29565-2022</t>
        </is>
      </c>
      <c r="B209" s="1" t="n">
        <v>44754.36063657407</v>
      </c>
      <c r="C209" s="1" t="n">
        <v>46040</v>
      </c>
      <c r="D209" t="inlineStr">
        <is>
          <t>DALARNAS LÄN</t>
        </is>
      </c>
      <c r="E209" t="inlineStr">
        <is>
          <t>ÄLVDALEN</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73691-2021</t>
        </is>
      </c>
      <c r="B210" s="1" t="n">
        <v>44552</v>
      </c>
      <c r="C210" s="1" t="n">
        <v>46040</v>
      </c>
      <c r="D210" t="inlineStr">
        <is>
          <t>DALARNAS LÄN</t>
        </is>
      </c>
      <c r="E210" t="inlineStr">
        <is>
          <t>ÄLVDALEN</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46040</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46040</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46040</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46040</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46040</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46040</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46040</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46040</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46040</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2746-2021</t>
        </is>
      </c>
      <c r="B220" s="1" t="n">
        <v>44215</v>
      </c>
      <c r="C220" s="1" t="n">
        <v>46040</v>
      </c>
      <c r="D220" t="inlineStr">
        <is>
          <t>DALARNAS LÄN</t>
        </is>
      </c>
      <c r="E220" t="inlineStr">
        <is>
          <t>ÄLVDALEN</t>
        </is>
      </c>
      <c r="F220" t="inlineStr">
        <is>
          <t>Kommuner</t>
        </is>
      </c>
      <c r="G220" t="n">
        <v>14.7</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46040</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46040</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46040</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46040</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46040</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46040</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46040</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46040</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46040</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46040</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36824-2021</t>
        </is>
      </c>
      <c r="B231" s="1" t="n">
        <v>44393</v>
      </c>
      <c r="C231" s="1" t="n">
        <v>46040</v>
      </c>
      <c r="D231" t="inlineStr">
        <is>
          <t>DALARNAS LÄN</t>
        </is>
      </c>
      <c r="E231" t="inlineStr">
        <is>
          <t>ÄLVDALEN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51844-2021</t>
        </is>
      </c>
      <c r="B232" s="1" t="n">
        <v>44462.68480324074</v>
      </c>
      <c r="C232" s="1" t="n">
        <v>46040</v>
      </c>
      <c r="D232" t="inlineStr">
        <is>
          <t>DALARNAS LÄN</t>
        </is>
      </c>
      <c r="E232" t="inlineStr">
        <is>
          <t>ÄLVDALEN</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46040</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50708-2021</t>
        </is>
      </c>
      <c r="B234" s="1" t="n">
        <v>44459</v>
      </c>
      <c r="C234" s="1" t="n">
        <v>46040</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46040</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46040</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46040</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46040</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46040</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30249-2021</t>
        </is>
      </c>
      <c r="B240" s="1" t="n">
        <v>44363</v>
      </c>
      <c r="C240" s="1" t="n">
        <v>46040</v>
      </c>
      <c r="D240" t="inlineStr">
        <is>
          <t>DALARNAS LÄN</t>
        </is>
      </c>
      <c r="E240" t="inlineStr">
        <is>
          <t>ÄLVDALEN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46040</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46040</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36825-2021</t>
        </is>
      </c>
      <c r="B243" s="1" t="n">
        <v>44393</v>
      </c>
      <c r="C243" s="1" t="n">
        <v>46040</v>
      </c>
      <c r="D243" t="inlineStr">
        <is>
          <t>DALARNAS LÄN</t>
        </is>
      </c>
      <c r="E243" t="inlineStr">
        <is>
          <t>ÄLVDALEN</t>
        </is>
      </c>
      <c r="F243" t="inlineStr">
        <is>
          <t>Sveaskog</t>
        </is>
      </c>
      <c r="G243" t="n">
        <v>12.2</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46040</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46040</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46040</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20050-2021</t>
        </is>
      </c>
      <c r="B247" s="1" t="n">
        <v>44314</v>
      </c>
      <c r="C247" s="1" t="n">
        <v>46040</v>
      </c>
      <c r="D247" t="inlineStr">
        <is>
          <t>DALARNAS LÄN</t>
        </is>
      </c>
      <c r="E247" t="inlineStr">
        <is>
          <t>ÄLVDALEN</t>
        </is>
      </c>
      <c r="G247" t="n">
        <v>1.6</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46040</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46040</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46040</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46040</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25602-2022</t>
        </is>
      </c>
      <c r="B252" s="1" t="n">
        <v>44732.6975</v>
      </c>
      <c r="C252" s="1" t="n">
        <v>46040</v>
      </c>
      <c r="D252" t="inlineStr">
        <is>
          <t>DALARNAS LÄN</t>
        </is>
      </c>
      <c r="E252" t="inlineStr">
        <is>
          <t>ÄLVDALEN</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46040</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19759-2021</t>
        </is>
      </c>
      <c r="B254" s="1" t="n">
        <v>44309</v>
      </c>
      <c r="C254" s="1" t="n">
        <v>46040</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46040</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46040</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46040</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46040</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46040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46040</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30255-2021</t>
        </is>
      </c>
      <c r="B261" s="1" t="n">
        <v>44363</v>
      </c>
      <c r="C261" s="1" t="n">
        <v>46040</v>
      </c>
      <c r="D261" t="inlineStr">
        <is>
          <t>DALARNAS LÄN</t>
        </is>
      </c>
      <c r="E261" t="inlineStr">
        <is>
          <t>ÄLVDALEN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7530-2022</t>
        </is>
      </c>
      <c r="B262" s="1" t="n">
        <v>44607</v>
      </c>
      <c r="C262" s="1" t="n">
        <v>46040</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46040</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17627-2022</t>
        </is>
      </c>
      <c r="B264" s="1" t="n">
        <v>44680</v>
      </c>
      <c r="C264" s="1" t="n">
        <v>46040</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46040</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54407-2022</t>
        </is>
      </c>
      <c r="B266" s="1" t="n">
        <v>44882.54866898148</v>
      </c>
      <c r="C266" s="1" t="n">
        <v>46040</v>
      </c>
      <c r="D266" t="inlineStr">
        <is>
          <t>DALARNAS LÄN</t>
        </is>
      </c>
      <c r="E266" t="inlineStr">
        <is>
          <t>ÄLVDALEN</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28011-2021</t>
        </is>
      </c>
      <c r="B267" s="1" t="n">
        <v>44355.35329861111</v>
      </c>
      <c r="C267" s="1" t="n">
        <v>46040</v>
      </c>
      <c r="D267" t="inlineStr">
        <is>
          <t>DALARNAS LÄN</t>
        </is>
      </c>
      <c r="E267" t="inlineStr">
        <is>
          <t>ÄLVDALEN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30225-2023</t>
        </is>
      </c>
      <c r="B268" s="1" t="n">
        <v>45110.64971064815</v>
      </c>
      <c r="C268" s="1" t="n">
        <v>46040</v>
      </c>
      <c r="D268" t="inlineStr">
        <is>
          <t>DALARNAS LÄN</t>
        </is>
      </c>
      <c r="E268" t="inlineStr">
        <is>
          <t>ÄLVDALEN</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19578-2025</t>
        </is>
      </c>
      <c r="B269" s="1" t="n">
        <v>45770</v>
      </c>
      <c r="C269" s="1" t="n">
        <v>46040</v>
      </c>
      <c r="D269" t="inlineStr">
        <is>
          <t>DALARNAS LÄN</t>
        </is>
      </c>
      <c r="E269" t="inlineStr">
        <is>
          <t>ÄLVDALEN</t>
        </is>
      </c>
      <c r="F269" t="inlineStr">
        <is>
          <t>Sveaskog</t>
        </is>
      </c>
      <c r="G269" t="n">
        <v>15.2</v>
      </c>
      <c r="H269" t="n">
        <v>0</v>
      </c>
      <c r="I269" t="n">
        <v>0</v>
      </c>
      <c r="J269" t="n">
        <v>0</v>
      </c>
      <c r="K269" t="n">
        <v>0</v>
      </c>
      <c r="L269" t="n">
        <v>0</v>
      </c>
      <c r="M269" t="n">
        <v>0</v>
      </c>
      <c r="N269" t="n">
        <v>0</v>
      </c>
      <c r="O269" t="n">
        <v>0</v>
      </c>
      <c r="P269" t="n">
        <v>0</v>
      </c>
      <c r="Q269" t="n">
        <v>0</v>
      </c>
      <c r="R269" s="2" t="inlineStr"/>
    </row>
    <row r="270" ht="15" customHeight="1">
      <c r="A270" t="inlineStr">
        <is>
          <t>A 19583-2025</t>
        </is>
      </c>
      <c r="B270" s="1" t="n">
        <v>45770</v>
      </c>
      <c r="C270" s="1" t="n">
        <v>46040</v>
      </c>
      <c r="D270" t="inlineStr">
        <is>
          <t>DALARNAS LÄN</t>
        </is>
      </c>
      <c r="E270" t="inlineStr">
        <is>
          <t>ÄLVDALEN</t>
        </is>
      </c>
      <c r="F270" t="inlineStr">
        <is>
          <t>Sveaskog</t>
        </is>
      </c>
      <c r="G270" t="n">
        <v>24.1</v>
      </c>
      <c r="H270" t="n">
        <v>0</v>
      </c>
      <c r="I270" t="n">
        <v>0</v>
      </c>
      <c r="J270" t="n">
        <v>0</v>
      </c>
      <c r="K270" t="n">
        <v>0</v>
      </c>
      <c r="L270" t="n">
        <v>0</v>
      </c>
      <c r="M270" t="n">
        <v>0</v>
      </c>
      <c r="N270" t="n">
        <v>0</v>
      </c>
      <c r="O270" t="n">
        <v>0</v>
      </c>
      <c r="P270" t="n">
        <v>0</v>
      </c>
      <c r="Q270" t="n">
        <v>0</v>
      </c>
      <c r="R270" s="2" t="inlineStr"/>
    </row>
    <row r="271" ht="15" customHeight="1">
      <c r="A271" t="inlineStr">
        <is>
          <t>A 12066-2022</t>
        </is>
      </c>
      <c r="B271" s="1" t="n">
        <v>44636</v>
      </c>
      <c r="C271" s="1" t="n">
        <v>46040</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38957-2022</t>
        </is>
      </c>
      <c r="B272" s="1" t="n">
        <v>44816</v>
      </c>
      <c r="C272" s="1" t="n">
        <v>46040</v>
      </c>
      <c r="D272" t="inlineStr">
        <is>
          <t>DALARNAS LÄN</t>
        </is>
      </c>
      <c r="E272" t="inlineStr">
        <is>
          <t>ÄLVDALEN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36257-2025</t>
        </is>
      </c>
      <c r="B273" s="1" t="n">
        <v>45867.591875</v>
      </c>
      <c r="C273" s="1" t="n">
        <v>46040</v>
      </c>
      <c r="D273" t="inlineStr">
        <is>
          <t>DALARNAS LÄN</t>
        </is>
      </c>
      <c r="E273" t="inlineStr">
        <is>
          <t>ÄLVDALEN</t>
        </is>
      </c>
      <c r="F273" t="inlineStr">
        <is>
          <t>Allmännings- och besparingsskogar</t>
        </is>
      </c>
      <c r="G273" t="n">
        <v>1.9</v>
      </c>
      <c r="H273" t="n">
        <v>0</v>
      </c>
      <c r="I273" t="n">
        <v>0</v>
      </c>
      <c r="J273" t="n">
        <v>0</v>
      </c>
      <c r="K273" t="n">
        <v>0</v>
      </c>
      <c r="L273" t="n">
        <v>0</v>
      </c>
      <c r="M273" t="n">
        <v>0</v>
      </c>
      <c r="N273" t="n">
        <v>0</v>
      </c>
      <c r="O273" t="n">
        <v>0</v>
      </c>
      <c r="P273" t="n">
        <v>0</v>
      </c>
      <c r="Q273" t="n">
        <v>0</v>
      </c>
      <c r="R273" s="2" t="inlineStr"/>
    </row>
    <row r="274" ht="15" customHeight="1">
      <c r="A274" t="inlineStr">
        <is>
          <t>A 19567-2025</t>
        </is>
      </c>
      <c r="B274" s="1" t="n">
        <v>45770.5349537037</v>
      </c>
      <c r="C274" s="1" t="n">
        <v>46040</v>
      </c>
      <c r="D274" t="inlineStr">
        <is>
          <t>DALARNAS LÄN</t>
        </is>
      </c>
      <c r="E274" t="inlineStr">
        <is>
          <t>ÄLVDALEN</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17558-2024</t>
        </is>
      </c>
      <c r="B275" s="1" t="n">
        <v>45415.66295138889</v>
      </c>
      <c r="C275" s="1" t="n">
        <v>46040</v>
      </c>
      <c r="D275" t="inlineStr">
        <is>
          <t>DALARNAS LÄN</t>
        </is>
      </c>
      <c r="E275" t="inlineStr">
        <is>
          <t>ÄLVDALEN</t>
        </is>
      </c>
      <c r="G275" t="n">
        <v>2.2</v>
      </c>
      <c r="H275" t="n">
        <v>0</v>
      </c>
      <c r="I275" t="n">
        <v>0</v>
      </c>
      <c r="J275" t="n">
        <v>0</v>
      </c>
      <c r="K275" t="n">
        <v>0</v>
      </c>
      <c r="L275" t="n">
        <v>0</v>
      </c>
      <c r="M275" t="n">
        <v>0</v>
      </c>
      <c r="N275" t="n">
        <v>0</v>
      </c>
      <c r="O275" t="n">
        <v>0</v>
      </c>
      <c r="P275" t="n">
        <v>0</v>
      </c>
      <c r="Q275" t="n">
        <v>0</v>
      </c>
      <c r="R275" s="2" t="inlineStr"/>
    </row>
    <row r="276" ht="15" customHeight="1">
      <c r="A276" t="inlineStr">
        <is>
          <t>A 70140-2021</t>
        </is>
      </c>
      <c r="B276" s="1" t="n">
        <v>44533</v>
      </c>
      <c r="C276" s="1" t="n">
        <v>46040</v>
      </c>
      <c r="D276" t="inlineStr">
        <is>
          <t>DALARNAS LÄN</t>
        </is>
      </c>
      <c r="E276" t="inlineStr">
        <is>
          <t>ÄLVDALEN</t>
        </is>
      </c>
      <c r="G276" t="n">
        <v>2.5</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46040</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14489-2025</t>
        </is>
      </c>
      <c r="B278" s="1" t="n">
        <v>45741.60680555556</v>
      </c>
      <c r="C278" s="1" t="n">
        <v>46040</v>
      </c>
      <c r="D278" t="inlineStr">
        <is>
          <t>DALARNAS LÄN</t>
        </is>
      </c>
      <c r="E278" t="inlineStr">
        <is>
          <t>ÄLVDALEN</t>
        </is>
      </c>
      <c r="G278" t="n">
        <v>7.9</v>
      </c>
      <c r="H278" t="n">
        <v>0</v>
      </c>
      <c r="I278" t="n">
        <v>0</v>
      </c>
      <c r="J278" t="n">
        <v>0</v>
      </c>
      <c r="K278" t="n">
        <v>0</v>
      </c>
      <c r="L278" t="n">
        <v>0</v>
      </c>
      <c r="M278" t="n">
        <v>0</v>
      </c>
      <c r="N278" t="n">
        <v>0</v>
      </c>
      <c r="O278" t="n">
        <v>0</v>
      </c>
      <c r="P278" t="n">
        <v>0</v>
      </c>
      <c r="Q278" t="n">
        <v>0</v>
      </c>
      <c r="R278" s="2" t="inlineStr"/>
    </row>
    <row r="279" ht="15" customHeight="1">
      <c r="A279" t="inlineStr">
        <is>
          <t>A 32031-2023</t>
        </is>
      </c>
      <c r="B279" s="1" t="n">
        <v>45107</v>
      </c>
      <c r="C279" s="1" t="n">
        <v>46040</v>
      </c>
      <c r="D279" t="inlineStr">
        <is>
          <t>DALARNAS LÄN</t>
        </is>
      </c>
      <c r="E279" t="inlineStr">
        <is>
          <t>ÄLVDALEN</t>
        </is>
      </c>
      <c r="G279" t="n">
        <v>2.7</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46040</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22454-2021</t>
        </is>
      </c>
      <c r="B281" s="1" t="n">
        <v>44326</v>
      </c>
      <c r="C281" s="1" t="n">
        <v>46040</v>
      </c>
      <c r="D281" t="inlineStr">
        <is>
          <t>DALARNAS LÄN</t>
        </is>
      </c>
      <c r="E281" t="inlineStr">
        <is>
          <t>ÄLVDALEN</t>
        </is>
      </c>
      <c r="F281" t="inlineStr">
        <is>
          <t>Allmännings- och besparingsskogar</t>
        </is>
      </c>
      <c r="G281" t="n">
        <v>4.3</v>
      </c>
      <c r="H281" t="n">
        <v>0</v>
      </c>
      <c r="I281" t="n">
        <v>0</v>
      </c>
      <c r="J281" t="n">
        <v>0</v>
      </c>
      <c r="K281" t="n">
        <v>0</v>
      </c>
      <c r="L281" t="n">
        <v>0</v>
      </c>
      <c r="M281" t="n">
        <v>0</v>
      </c>
      <c r="N281" t="n">
        <v>0</v>
      </c>
      <c r="O281" t="n">
        <v>0</v>
      </c>
      <c r="P281" t="n">
        <v>0</v>
      </c>
      <c r="Q281" t="n">
        <v>0</v>
      </c>
      <c r="R281" s="2" t="inlineStr"/>
    </row>
    <row r="282" ht="15" customHeight="1">
      <c r="A282" t="inlineStr">
        <is>
          <t>A 45122-2023</t>
        </is>
      </c>
      <c r="B282" s="1" t="n">
        <v>45191.44871527778</v>
      </c>
      <c r="C282" s="1" t="n">
        <v>46040</v>
      </c>
      <c r="D282" t="inlineStr">
        <is>
          <t>DALARNAS LÄN</t>
        </is>
      </c>
      <c r="E282" t="inlineStr">
        <is>
          <t>ÄLVDALEN</t>
        </is>
      </c>
      <c r="G282" t="n">
        <v>2.7</v>
      </c>
      <c r="H282" t="n">
        <v>0</v>
      </c>
      <c r="I282" t="n">
        <v>0</v>
      </c>
      <c r="J282" t="n">
        <v>0</v>
      </c>
      <c r="K282" t="n">
        <v>0</v>
      </c>
      <c r="L282" t="n">
        <v>0</v>
      </c>
      <c r="M282" t="n">
        <v>0</v>
      </c>
      <c r="N282" t="n">
        <v>0</v>
      </c>
      <c r="O282" t="n">
        <v>0</v>
      </c>
      <c r="P282" t="n">
        <v>0</v>
      </c>
      <c r="Q282" t="n">
        <v>0</v>
      </c>
      <c r="R282" s="2" t="inlineStr"/>
    </row>
    <row r="283" ht="15" customHeight="1">
      <c r="A283" t="inlineStr">
        <is>
          <t>A 47743-2024</t>
        </is>
      </c>
      <c r="B283" s="1" t="n">
        <v>45588.52550925926</v>
      </c>
      <c r="C283" s="1" t="n">
        <v>46040</v>
      </c>
      <c r="D283" t="inlineStr">
        <is>
          <t>DALARNAS LÄN</t>
        </is>
      </c>
      <c r="E283" t="inlineStr">
        <is>
          <t>ÄLVDALEN</t>
        </is>
      </c>
      <c r="G283" t="n">
        <v>4.4</v>
      </c>
      <c r="H283" t="n">
        <v>0</v>
      </c>
      <c r="I283" t="n">
        <v>0</v>
      </c>
      <c r="J283" t="n">
        <v>0</v>
      </c>
      <c r="K283" t="n">
        <v>0</v>
      </c>
      <c r="L283" t="n">
        <v>0</v>
      </c>
      <c r="M283" t="n">
        <v>0</v>
      </c>
      <c r="N283" t="n">
        <v>0</v>
      </c>
      <c r="O283" t="n">
        <v>0</v>
      </c>
      <c r="P283" t="n">
        <v>0</v>
      </c>
      <c r="Q283" t="n">
        <v>0</v>
      </c>
      <c r="R283" s="2" t="inlineStr"/>
    </row>
    <row r="284" ht="15" customHeight="1">
      <c r="A284" t="inlineStr">
        <is>
          <t>A 43990-2024</t>
        </is>
      </c>
      <c r="B284" s="1" t="n">
        <v>45572</v>
      </c>
      <c r="C284" s="1" t="n">
        <v>46040</v>
      </c>
      <c r="D284" t="inlineStr">
        <is>
          <t>DALARNAS LÄN</t>
        </is>
      </c>
      <c r="E284" t="inlineStr">
        <is>
          <t>ÄLVDALEN</t>
        </is>
      </c>
      <c r="F284" t="inlineStr">
        <is>
          <t>Kommuner</t>
        </is>
      </c>
      <c r="G284" t="n">
        <v>0</v>
      </c>
      <c r="H284" t="n">
        <v>0</v>
      </c>
      <c r="I284" t="n">
        <v>0</v>
      </c>
      <c r="J284" t="n">
        <v>0</v>
      </c>
      <c r="K284" t="n">
        <v>0</v>
      </c>
      <c r="L284" t="n">
        <v>0</v>
      </c>
      <c r="M284" t="n">
        <v>0</v>
      </c>
      <c r="N284" t="n">
        <v>0</v>
      </c>
      <c r="O284" t="n">
        <v>0</v>
      </c>
      <c r="P284" t="n">
        <v>0</v>
      </c>
      <c r="Q284" t="n">
        <v>0</v>
      </c>
      <c r="R284" s="2" t="inlineStr"/>
    </row>
    <row r="285" ht="15" customHeight="1">
      <c r="A285" t="inlineStr">
        <is>
          <t>A 8496-2025</t>
        </is>
      </c>
      <c r="B285" s="1" t="n">
        <v>45709.51084490741</v>
      </c>
      <c r="C285" s="1" t="n">
        <v>46040</v>
      </c>
      <c r="D285" t="inlineStr">
        <is>
          <t>DALARNAS LÄN</t>
        </is>
      </c>
      <c r="E285" t="inlineStr">
        <is>
          <t>ÄLVDALEN</t>
        </is>
      </c>
      <c r="G285" t="n">
        <v>1.4</v>
      </c>
      <c r="H285" t="n">
        <v>0</v>
      </c>
      <c r="I285" t="n">
        <v>0</v>
      </c>
      <c r="J285" t="n">
        <v>0</v>
      </c>
      <c r="K285" t="n">
        <v>0</v>
      </c>
      <c r="L285" t="n">
        <v>0</v>
      </c>
      <c r="M285" t="n">
        <v>0</v>
      </c>
      <c r="N285" t="n">
        <v>0</v>
      </c>
      <c r="O285" t="n">
        <v>0</v>
      </c>
      <c r="P285" t="n">
        <v>0</v>
      </c>
      <c r="Q285" t="n">
        <v>0</v>
      </c>
      <c r="R285" s="2" t="inlineStr"/>
    </row>
    <row r="286" ht="15" customHeight="1">
      <c r="A286" t="inlineStr">
        <is>
          <t>A 8069-2025</t>
        </is>
      </c>
      <c r="B286" s="1" t="n">
        <v>45707.64342592593</v>
      </c>
      <c r="C286" s="1" t="n">
        <v>46040</v>
      </c>
      <c r="D286" t="inlineStr">
        <is>
          <t>DALARNAS LÄN</t>
        </is>
      </c>
      <c r="E286" t="inlineStr">
        <is>
          <t>ÄLVDALEN</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33689-2021</t>
        </is>
      </c>
      <c r="B287" s="1" t="n">
        <v>44378</v>
      </c>
      <c r="C287" s="1" t="n">
        <v>46040</v>
      </c>
      <c r="D287" t="inlineStr">
        <is>
          <t>DALARNAS LÄN</t>
        </is>
      </c>
      <c r="E287" t="inlineStr">
        <is>
          <t>ÄLVDALEN</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30969-2021</t>
        </is>
      </c>
      <c r="B288" s="1" t="n">
        <v>44365.89862268518</v>
      </c>
      <c r="C288" s="1" t="n">
        <v>46040</v>
      </c>
      <c r="D288" t="inlineStr">
        <is>
          <t>DALARNAS LÄN</t>
        </is>
      </c>
      <c r="E288" t="inlineStr">
        <is>
          <t>ÄLVDALEN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37186-2025</t>
        </is>
      </c>
      <c r="B289" s="1" t="n">
        <v>45875.63905092593</v>
      </c>
      <c r="C289" s="1" t="n">
        <v>46040</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43351-2024</t>
        </is>
      </c>
      <c r="B290" s="1" t="n">
        <v>45568.56023148148</v>
      </c>
      <c r="C290" s="1" t="n">
        <v>46040</v>
      </c>
      <c r="D290" t="inlineStr">
        <is>
          <t>DALARNAS LÄN</t>
        </is>
      </c>
      <c r="E290" t="inlineStr">
        <is>
          <t>ÄLVDALEN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37873-2025</t>
        </is>
      </c>
      <c r="B291" s="1" t="n">
        <v>45881</v>
      </c>
      <c r="C291" s="1" t="n">
        <v>46040</v>
      </c>
      <c r="D291" t="inlineStr">
        <is>
          <t>DALARNAS LÄN</t>
        </is>
      </c>
      <c r="E291" t="inlineStr">
        <is>
          <t>ÄLVDALEN</t>
        </is>
      </c>
      <c r="F291" t="inlineStr">
        <is>
          <t>Övriga Aktiebolag</t>
        </is>
      </c>
      <c r="G291" t="n">
        <v>40.7</v>
      </c>
      <c r="H291" t="n">
        <v>0</v>
      </c>
      <c r="I291" t="n">
        <v>0</v>
      </c>
      <c r="J291" t="n">
        <v>0</v>
      </c>
      <c r="K291" t="n">
        <v>0</v>
      </c>
      <c r="L291" t="n">
        <v>0</v>
      </c>
      <c r="M291" t="n">
        <v>0</v>
      </c>
      <c r="N291" t="n">
        <v>0</v>
      </c>
      <c r="O291" t="n">
        <v>0</v>
      </c>
      <c r="P291" t="n">
        <v>0</v>
      </c>
      <c r="Q291" t="n">
        <v>0</v>
      </c>
      <c r="R291" s="2" t="inlineStr"/>
    </row>
    <row r="292" ht="15" customHeight="1">
      <c r="A292" t="inlineStr">
        <is>
          <t>A 39041-2025</t>
        </is>
      </c>
      <c r="B292" s="1" t="n">
        <v>45888</v>
      </c>
      <c r="C292" s="1" t="n">
        <v>46040</v>
      </c>
      <c r="D292" t="inlineStr">
        <is>
          <t>DALARNAS LÄN</t>
        </is>
      </c>
      <c r="E292" t="inlineStr">
        <is>
          <t>ÄLVDALEN</t>
        </is>
      </c>
      <c r="G292" t="n">
        <v>4.7</v>
      </c>
      <c r="H292" t="n">
        <v>0</v>
      </c>
      <c r="I292" t="n">
        <v>0</v>
      </c>
      <c r="J292" t="n">
        <v>0</v>
      </c>
      <c r="K292" t="n">
        <v>0</v>
      </c>
      <c r="L292" t="n">
        <v>0</v>
      </c>
      <c r="M292" t="n">
        <v>0</v>
      </c>
      <c r="N292" t="n">
        <v>0</v>
      </c>
      <c r="O292" t="n">
        <v>0</v>
      </c>
      <c r="P292" t="n">
        <v>0</v>
      </c>
      <c r="Q292" t="n">
        <v>0</v>
      </c>
      <c r="R292" s="2" t="inlineStr"/>
    </row>
    <row r="293" ht="15" customHeight="1">
      <c r="A293" t="inlineStr">
        <is>
          <t>A 37874-2025</t>
        </is>
      </c>
      <c r="B293" s="1" t="n">
        <v>45881</v>
      </c>
      <c r="C293" s="1" t="n">
        <v>46040</v>
      </c>
      <c r="D293" t="inlineStr">
        <is>
          <t>DALARNAS LÄN</t>
        </is>
      </c>
      <c r="E293" t="inlineStr">
        <is>
          <t>ÄLVDALEN</t>
        </is>
      </c>
      <c r="F293" t="inlineStr">
        <is>
          <t>Övriga Aktiebolag</t>
        </is>
      </c>
      <c r="G293" t="n">
        <v>33.5</v>
      </c>
      <c r="H293" t="n">
        <v>0</v>
      </c>
      <c r="I293" t="n">
        <v>0</v>
      </c>
      <c r="J293" t="n">
        <v>0</v>
      </c>
      <c r="K293" t="n">
        <v>0</v>
      </c>
      <c r="L293" t="n">
        <v>0</v>
      </c>
      <c r="M293" t="n">
        <v>0</v>
      </c>
      <c r="N293" t="n">
        <v>0</v>
      </c>
      <c r="O293" t="n">
        <v>0</v>
      </c>
      <c r="P293" t="n">
        <v>0</v>
      </c>
      <c r="Q293" t="n">
        <v>0</v>
      </c>
      <c r="R293" s="2" t="inlineStr"/>
    </row>
    <row r="294" ht="15" customHeight="1">
      <c r="A294" t="inlineStr">
        <is>
          <t>A 60793-2022</t>
        </is>
      </c>
      <c r="B294" s="1" t="n">
        <v>44911</v>
      </c>
      <c r="C294" s="1" t="n">
        <v>46040</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38754-2025</t>
        </is>
      </c>
      <c r="B295" s="1" t="n">
        <v>45887.39354166666</v>
      </c>
      <c r="C295" s="1" t="n">
        <v>46040</v>
      </c>
      <c r="D295" t="inlineStr">
        <is>
          <t>DALARNAS LÄN</t>
        </is>
      </c>
      <c r="E295" t="inlineStr">
        <is>
          <t>ÄLVDALEN</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33099-2023</t>
        </is>
      </c>
      <c r="B296" s="1" t="n">
        <v>45114</v>
      </c>
      <c r="C296" s="1" t="n">
        <v>46040</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26656-2025</t>
        </is>
      </c>
      <c r="B297" s="1" t="n">
        <v>45810</v>
      </c>
      <c r="C297" s="1" t="n">
        <v>46040</v>
      </c>
      <c r="D297" t="inlineStr">
        <is>
          <t>DALARNAS LÄN</t>
        </is>
      </c>
      <c r="E297" t="inlineStr">
        <is>
          <t>ÄLVDALEN</t>
        </is>
      </c>
      <c r="G297" t="n">
        <v>1.8</v>
      </c>
      <c r="H297" t="n">
        <v>0</v>
      </c>
      <c r="I297" t="n">
        <v>0</v>
      </c>
      <c r="J297" t="n">
        <v>0</v>
      </c>
      <c r="K297" t="n">
        <v>0</v>
      </c>
      <c r="L297" t="n">
        <v>0</v>
      </c>
      <c r="M297" t="n">
        <v>0</v>
      </c>
      <c r="N297" t="n">
        <v>0</v>
      </c>
      <c r="O297" t="n">
        <v>0</v>
      </c>
      <c r="P297" t="n">
        <v>0</v>
      </c>
      <c r="Q297" t="n">
        <v>0</v>
      </c>
      <c r="R297" s="2" t="inlineStr"/>
    </row>
    <row r="298" ht="15" customHeight="1">
      <c r="A298" t="inlineStr">
        <is>
          <t>A 42332-2023</t>
        </is>
      </c>
      <c r="B298" s="1" t="n">
        <v>45175</v>
      </c>
      <c r="C298" s="1" t="n">
        <v>46040</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46559-2023</t>
        </is>
      </c>
      <c r="B299" s="1" t="n">
        <v>45187</v>
      </c>
      <c r="C299" s="1" t="n">
        <v>46040</v>
      </c>
      <c r="D299" t="inlineStr">
        <is>
          <t>DALARNAS LÄN</t>
        </is>
      </c>
      <c r="E299" t="inlineStr">
        <is>
          <t>ÄLVDALEN</t>
        </is>
      </c>
      <c r="G299" t="n">
        <v>9.6</v>
      </c>
      <c r="H299" t="n">
        <v>0</v>
      </c>
      <c r="I299" t="n">
        <v>0</v>
      </c>
      <c r="J299" t="n">
        <v>0</v>
      </c>
      <c r="K299" t="n">
        <v>0</v>
      </c>
      <c r="L299" t="n">
        <v>0</v>
      </c>
      <c r="M299" t="n">
        <v>0</v>
      </c>
      <c r="N299" t="n">
        <v>0</v>
      </c>
      <c r="O299" t="n">
        <v>0</v>
      </c>
      <c r="P299" t="n">
        <v>0</v>
      </c>
      <c r="Q299" t="n">
        <v>0</v>
      </c>
      <c r="R299" s="2" t="inlineStr"/>
    </row>
    <row r="300" ht="15" customHeight="1">
      <c r="A300" t="inlineStr">
        <is>
          <t>A 39893-2025</t>
        </is>
      </c>
      <c r="B300" s="1" t="n">
        <v>45891.63013888889</v>
      </c>
      <c r="C300" s="1" t="n">
        <v>46040</v>
      </c>
      <c r="D300" t="inlineStr">
        <is>
          <t>DALARNAS LÄN</t>
        </is>
      </c>
      <c r="E300" t="inlineStr">
        <is>
          <t>ÄLVDALEN</t>
        </is>
      </c>
      <c r="F300" t="inlineStr">
        <is>
          <t>Kommuner</t>
        </is>
      </c>
      <c r="G300" t="n">
        <v>5.8</v>
      </c>
      <c r="H300" t="n">
        <v>0</v>
      </c>
      <c r="I300" t="n">
        <v>0</v>
      </c>
      <c r="J300" t="n">
        <v>0</v>
      </c>
      <c r="K300" t="n">
        <v>0</v>
      </c>
      <c r="L300" t="n">
        <v>0</v>
      </c>
      <c r="M300" t="n">
        <v>0</v>
      </c>
      <c r="N300" t="n">
        <v>0</v>
      </c>
      <c r="O300" t="n">
        <v>0</v>
      </c>
      <c r="P300" t="n">
        <v>0</v>
      </c>
      <c r="Q300" t="n">
        <v>0</v>
      </c>
      <c r="R300" s="2" t="inlineStr"/>
    </row>
    <row r="301" ht="15" customHeight="1">
      <c r="A301" t="inlineStr">
        <is>
          <t>A 27480-2022</t>
        </is>
      </c>
      <c r="B301" s="1" t="n">
        <v>44742.60590277778</v>
      </c>
      <c r="C301" s="1" t="n">
        <v>46040</v>
      </c>
      <c r="D301" t="inlineStr">
        <is>
          <t>DALARNAS LÄN</t>
        </is>
      </c>
      <c r="E301" t="inlineStr">
        <is>
          <t>ÄLVDALEN</t>
        </is>
      </c>
      <c r="F301" t="inlineStr">
        <is>
          <t>Bergvik skog väst AB</t>
        </is>
      </c>
      <c r="G301" t="n">
        <v>4.1</v>
      </c>
      <c r="H301" t="n">
        <v>0</v>
      </c>
      <c r="I301" t="n">
        <v>0</v>
      </c>
      <c r="J301" t="n">
        <v>0</v>
      </c>
      <c r="K301" t="n">
        <v>0</v>
      </c>
      <c r="L301" t="n">
        <v>0</v>
      </c>
      <c r="M301" t="n">
        <v>0</v>
      </c>
      <c r="N301" t="n">
        <v>0</v>
      </c>
      <c r="O301" t="n">
        <v>0</v>
      </c>
      <c r="P301" t="n">
        <v>0</v>
      </c>
      <c r="Q301" t="n">
        <v>0</v>
      </c>
      <c r="R301" s="2" t="inlineStr"/>
    </row>
    <row r="302" ht="15" customHeight="1">
      <c r="A302" t="inlineStr">
        <is>
          <t>A 59177-2023</t>
        </is>
      </c>
      <c r="B302" s="1" t="n">
        <v>45253</v>
      </c>
      <c r="C302" s="1" t="n">
        <v>46040</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39789-2025</t>
        </is>
      </c>
      <c r="B303" s="1" t="n">
        <v>45891.48471064815</v>
      </c>
      <c r="C303" s="1" t="n">
        <v>46040</v>
      </c>
      <c r="D303" t="inlineStr">
        <is>
          <t>DALARNAS LÄN</t>
        </is>
      </c>
      <c r="E303" t="inlineStr">
        <is>
          <t>ÄLVDALEN</t>
        </is>
      </c>
      <c r="G303" t="n">
        <v>2.2</v>
      </c>
      <c r="H303" t="n">
        <v>0</v>
      </c>
      <c r="I303" t="n">
        <v>0</v>
      </c>
      <c r="J303" t="n">
        <v>0</v>
      </c>
      <c r="K303" t="n">
        <v>0</v>
      </c>
      <c r="L303" t="n">
        <v>0</v>
      </c>
      <c r="M303" t="n">
        <v>0</v>
      </c>
      <c r="N303" t="n">
        <v>0</v>
      </c>
      <c r="O303" t="n">
        <v>0</v>
      </c>
      <c r="P303" t="n">
        <v>0</v>
      </c>
      <c r="Q303" t="n">
        <v>0</v>
      </c>
      <c r="R303" s="2" t="inlineStr"/>
    </row>
    <row r="304" ht="15" customHeight="1">
      <c r="A304" t="inlineStr">
        <is>
          <t>A 40081-2025</t>
        </is>
      </c>
      <c r="B304" s="1" t="n">
        <v>45894.46609953704</v>
      </c>
      <c r="C304" s="1" t="n">
        <v>46040</v>
      </c>
      <c r="D304" t="inlineStr">
        <is>
          <t>DALARNAS LÄN</t>
        </is>
      </c>
      <c r="E304" t="inlineStr">
        <is>
          <t>ÄLVDALEN</t>
        </is>
      </c>
      <c r="F304" t="inlineStr">
        <is>
          <t>Övriga statliga verk och myndigheter</t>
        </is>
      </c>
      <c r="G304" t="n">
        <v>1.4</v>
      </c>
      <c r="H304" t="n">
        <v>0</v>
      </c>
      <c r="I304" t="n">
        <v>0</v>
      </c>
      <c r="J304" t="n">
        <v>0</v>
      </c>
      <c r="K304" t="n">
        <v>0</v>
      </c>
      <c r="L304" t="n">
        <v>0</v>
      </c>
      <c r="M304" t="n">
        <v>0</v>
      </c>
      <c r="N304" t="n">
        <v>0</v>
      </c>
      <c r="O304" t="n">
        <v>0</v>
      </c>
      <c r="P304" t="n">
        <v>0</v>
      </c>
      <c r="Q304" t="n">
        <v>0</v>
      </c>
      <c r="R304" s="2" t="inlineStr"/>
    </row>
    <row r="305" ht="15" customHeight="1">
      <c r="A305" t="inlineStr">
        <is>
          <t>A 39755-2025</t>
        </is>
      </c>
      <c r="B305" s="1" t="n">
        <v>45891</v>
      </c>
      <c r="C305" s="1" t="n">
        <v>46040</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41158-2024</t>
        </is>
      </c>
      <c r="B306" s="1" t="n">
        <v>45559.47958333333</v>
      </c>
      <c r="C306" s="1" t="n">
        <v>46040</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40954-2025</t>
        </is>
      </c>
      <c r="B307" s="1" t="n">
        <v>45897.67196759259</v>
      </c>
      <c r="C307" s="1" t="n">
        <v>46040</v>
      </c>
      <c r="D307" t="inlineStr">
        <is>
          <t>DALARNAS LÄN</t>
        </is>
      </c>
      <c r="E307" t="inlineStr">
        <is>
          <t>ÄLVDALEN</t>
        </is>
      </c>
      <c r="G307" t="n">
        <v>2.9</v>
      </c>
      <c r="H307" t="n">
        <v>0</v>
      </c>
      <c r="I307" t="n">
        <v>0</v>
      </c>
      <c r="J307" t="n">
        <v>0</v>
      </c>
      <c r="K307" t="n">
        <v>0</v>
      </c>
      <c r="L307" t="n">
        <v>0</v>
      </c>
      <c r="M307" t="n">
        <v>0</v>
      </c>
      <c r="N307" t="n">
        <v>0</v>
      </c>
      <c r="O307" t="n">
        <v>0</v>
      </c>
      <c r="P307" t="n">
        <v>0</v>
      </c>
      <c r="Q307" t="n">
        <v>0</v>
      </c>
      <c r="R307" s="2" t="inlineStr"/>
    </row>
    <row r="308" ht="15" customHeight="1">
      <c r="A308" t="inlineStr">
        <is>
          <t>A 56501-2025</t>
        </is>
      </c>
      <c r="B308" s="1" t="n">
        <v>45975.43454861111</v>
      </c>
      <c r="C308" s="1" t="n">
        <v>46040</v>
      </c>
      <c r="D308" t="inlineStr">
        <is>
          <t>DALARNAS LÄN</t>
        </is>
      </c>
      <c r="E308" t="inlineStr">
        <is>
          <t>ÄLVDALEN</t>
        </is>
      </c>
      <c r="G308" t="n">
        <v>14.9</v>
      </c>
      <c r="H308" t="n">
        <v>0</v>
      </c>
      <c r="I308" t="n">
        <v>0</v>
      </c>
      <c r="J308" t="n">
        <v>0</v>
      </c>
      <c r="K308" t="n">
        <v>0</v>
      </c>
      <c r="L308" t="n">
        <v>0</v>
      </c>
      <c r="M308" t="n">
        <v>0</v>
      </c>
      <c r="N308" t="n">
        <v>0</v>
      </c>
      <c r="O308" t="n">
        <v>0</v>
      </c>
      <c r="P308" t="n">
        <v>0</v>
      </c>
      <c r="Q308" t="n">
        <v>0</v>
      </c>
      <c r="R308" s="2" t="inlineStr"/>
    </row>
    <row r="309" ht="15" customHeight="1">
      <c r="A309" t="inlineStr">
        <is>
          <t>A 19992-2023</t>
        </is>
      </c>
      <c r="B309" s="1" t="n">
        <v>45054.61501157407</v>
      </c>
      <c r="C309" s="1" t="n">
        <v>46040</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30985-2023</t>
        </is>
      </c>
      <c r="B310" s="1" t="n">
        <v>45113</v>
      </c>
      <c r="C310" s="1" t="n">
        <v>46040</v>
      </c>
      <c r="D310" t="inlineStr">
        <is>
          <t>DALARNAS LÄN</t>
        </is>
      </c>
      <c r="E310" t="inlineStr">
        <is>
          <t>ÄLVDALEN</t>
        </is>
      </c>
      <c r="F310" t="inlineStr">
        <is>
          <t>Allmännings- och besparingsskogar</t>
        </is>
      </c>
      <c r="G310" t="n">
        <v>2.9</v>
      </c>
      <c r="H310" t="n">
        <v>0</v>
      </c>
      <c r="I310" t="n">
        <v>0</v>
      </c>
      <c r="J310" t="n">
        <v>0</v>
      </c>
      <c r="K310" t="n">
        <v>0</v>
      </c>
      <c r="L310" t="n">
        <v>0</v>
      </c>
      <c r="M310" t="n">
        <v>0</v>
      </c>
      <c r="N310" t="n">
        <v>0</v>
      </c>
      <c r="O310" t="n">
        <v>0</v>
      </c>
      <c r="P310" t="n">
        <v>0</v>
      </c>
      <c r="Q310" t="n">
        <v>0</v>
      </c>
      <c r="R310" s="2" t="inlineStr"/>
    </row>
    <row r="311" ht="15" customHeight="1">
      <c r="A311" t="inlineStr">
        <is>
          <t>A 41115-2025</t>
        </is>
      </c>
      <c r="B311" s="1" t="n">
        <v>45898.46256944445</v>
      </c>
      <c r="C311" s="1" t="n">
        <v>46040</v>
      </c>
      <c r="D311" t="inlineStr">
        <is>
          <t>DALARNAS LÄN</t>
        </is>
      </c>
      <c r="E311" t="inlineStr">
        <is>
          <t>ÄLVDALEN</t>
        </is>
      </c>
      <c r="G311" t="n">
        <v>1.7</v>
      </c>
      <c r="H311" t="n">
        <v>0</v>
      </c>
      <c r="I311" t="n">
        <v>0</v>
      </c>
      <c r="J311" t="n">
        <v>0</v>
      </c>
      <c r="K311" t="n">
        <v>0</v>
      </c>
      <c r="L311" t="n">
        <v>0</v>
      </c>
      <c r="M311" t="n">
        <v>0</v>
      </c>
      <c r="N311" t="n">
        <v>0</v>
      </c>
      <c r="O311" t="n">
        <v>0</v>
      </c>
      <c r="P311" t="n">
        <v>0</v>
      </c>
      <c r="Q311" t="n">
        <v>0</v>
      </c>
      <c r="R311" s="2" t="inlineStr"/>
    </row>
    <row r="312" ht="15" customHeight="1">
      <c r="A312" t="inlineStr">
        <is>
          <t>A 41566-2025</t>
        </is>
      </c>
      <c r="B312" s="1" t="n">
        <v>45901.6049537037</v>
      </c>
      <c r="C312" s="1" t="n">
        <v>46040</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14938-2023</t>
        </is>
      </c>
      <c r="B313" s="1" t="n">
        <v>45015</v>
      </c>
      <c r="C313" s="1" t="n">
        <v>46040</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57510-2025</t>
        </is>
      </c>
      <c r="B314" s="1" t="n">
        <v>45980.60502314815</v>
      </c>
      <c r="C314" s="1" t="n">
        <v>46040</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45245-2022</t>
        </is>
      </c>
      <c r="B315" s="1" t="n">
        <v>44844.48002314815</v>
      </c>
      <c r="C315" s="1" t="n">
        <v>46040</v>
      </c>
      <c r="D315" t="inlineStr">
        <is>
          <t>DALARNAS LÄN</t>
        </is>
      </c>
      <c r="E315" t="inlineStr">
        <is>
          <t>ÄLVDALEN</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30355-2021</t>
        </is>
      </c>
      <c r="B316" s="1" t="n">
        <v>44364</v>
      </c>
      <c r="C316" s="1" t="n">
        <v>46040</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41571-2025</t>
        </is>
      </c>
      <c r="B317" s="1" t="n">
        <v>45901.61150462963</v>
      </c>
      <c r="C317" s="1" t="n">
        <v>46040</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56487-2024</t>
        </is>
      </c>
      <c r="B318" s="1" t="n">
        <v>45625.48621527778</v>
      </c>
      <c r="C318" s="1" t="n">
        <v>46040</v>
      </c>
      <c r="D318" t="inlineStr">
        <is>
          <t>DALARNAS LÄN</t>
        </is>
      </c>
      <c r="E318" t="inlineStr">
        <is>
          <t>ÄLVDALEN</t>
        </is>
      </c>
      <c r="F318" t="inlineStr">
        <is>
          <t>Allmännings- och besparingsskogar</t>
        </is>
      </c>
      <c r="G318" t="n">
        <v>5.6</v>
      </c>
      <c r="H318" t="n">
        <v>0</v>
      </c>
      <c r="I318" t="n">
        <v>0</v>
      </c>
      <c r="J318" t="n">
        <v>0</v>
      </c>
      <c r="K318" t="n">
        <v>0</v>
      </c>
      <c r="L318" t="n">
        <v>0</v>
      </c>
      <c r="M318" t="n">
        <v>0</v>
      </c>
      <c r="N318" t="n">
        <v>0</v>
      </c>
      <c r="O318" t="n">
        <v>0</v>
      </c>
      <c r="P318" t="n">
        <v>0</v>
      </c>
      <c r="Q318" t="n">
        <v>0</v>
      </c>
      <c r="R318" s="2" t="inlineStr"/>
    </row>
    <row r="319" ht="15" customHeight="1">
      <c r="A319" t="inlineStr">
        <is>
          <t>A 60265-2021</t>
        </is>
      </c>
      <c r="B319" s="1" t="n">
        <v>44495.68053240741</v>
      </c>
      <c r="C319" s="1" t="n">
        <v>46040</v>
      </c>
      <c r="D319" t="inlineStr">
        <is>
          <t>DALARNAS LÄN</t>
        </is>
      </c>
      <c r="E319" t="inlineStr">
        <is>
          <t>ÄLVDALEN</t>
        </is>
      </c>
      <c r="F319" t="inlineStr">
        <is>
          <t>Allmännings- och besparingsskogar</t>
        </is>
      </c>
      <c r="G319" t="n">
        <v>10</v>
      </c>
      <c r="H319" t="n">
        <v>0</v>
      </c>
      <c r="I319" t="n">
        <v>0</v>
      </c>
      <c r="J319" t="n">
        <v>0</v>
      </c>
      <c r="K319" t="n">
        <v>0</v>
      </c>
      <c r="L319" t="n">
        <v>0</v>
      </c>
      <c r="M319" t="n">
        <v>0</v>
      </c>
      <c r="N319" t="n">
        <v>0</v>
      </c>
      <c r="O319" t="n">
        <v>0</v>
      </c>
      <c r="P319" t="n">
        <v>0</v>
      </c>
      <c r="Q319" t="n">
        <v>0</v>
      </c>
      <c r="R319" s="2" t="inlineStr"/>
    </row>
    <row r="320" ht="15" customHeight="1">
      <c r="A320" t="inlineStr">
        <is>
          <t>A 57980-2025</t>
        </is>
      </c>
      <c r="B320" s="1" t="n">
        <v>45982.40280092593</v>
      </c>
      <c r="C320" s="1" t="n">
        <v>46040</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49063-2023</t>
        </is>
      </c>
      <c r="B321" s="1" t="n">
        <v>45210</v>
      </c>
      <c r="C321" s="1" t="n">
        <v>46040</v>
      </c>
      <c r="D321" t="inlineStr">
        <is>
          <t>DALARNAS LÄN</t>
        </is>
      </c>
      <c r="E321" t="inlineStr">
        <is>
          <t>ÄLVDALEN</t>
        </is>
      </c>
      <c r="G321" t="n">
        <v>4.1</v>
      </c>
      <c r="H321" t="n">
        <v>0</v>
      </c>
      <c r="I321" t="n">
        <v>0</v>
      </c>
      <c r="J321" t="n">
        <v>0</v>
      </c>
      <c r="K321" t="n">
        <v>0</v>
      </c>
      <c r="L321" t="n">
        <v>0</v>
      </c>
      <c r="M321" t="n">
        <v>0</v>
      </c>
      <c r="N321" t="n">
        <v>0</v>
      </c>
      <c r="O321" t="n">
        <v>0</v>
      </c>
      <c r="P321" t="n">
        <v>0</v>
      </c>
      <c r="Q321" t="n">
        <v>0</v>
      </c>
      <c r="R321" s="2" t="inlineStr"/>
    </row>
    <row r="322" ht="15" customHeight="1">
      <c r="A322" t="inlineStr">
        <is>
          <t>A 5826-2023</t>
        </is>
      </c>
      <c r="B322" s="1" t="n">
        <v>44963.52038194444</v>
      </c>
      <c r="C322" s="1" t="n">
        <v>46040</v>
      </c>
      <c r="D322" t="inlineStr">
        <is>
          <t>DALARNAS LÄN</t>
        </is>
      </c>
      <c r="E322" t="inlineStr">
        <is>
          <t>ÄLVDALEN</t>
        </is>
      </c>
      <c r="G322" t="n">
        <v>1.7</v>
      </c>
      <c r="H322" t="n">
        <v>0</v>
      </c>
      <c r="I322" t="n">
        <v>0</v>
      </c>
      <c r="J322" t="n">
        <v>0</v>
      </c>
      <c r="K322" t="n">
        <v>0</v>
      </c>
      <c r="L322" t="n">
        <v>0</v>
      </c>
      <c r="M322" t="n">
        <v>0</v>
      </c>
      <c r="N322" t="n">
        <v>0</v>
      </c>
      <c r="O322" t="n">
        <v>0</v>
      </c>
      <c r="P322" t="n">
        <v>0</v>
      </c>
      <c r="Q322" t="n">
        <v>0</v>
      </c>
      <c r="R322" s="2" t="inlineStr"/>
    </row>
    <row r="323" ht="15" customHeight="1">
      <c r="A323" t="inlineStr">
        <is>
          <t>A 2381-2024</t>
        </is>
      </c>
      <c r="B323" s="1" t="n">
        <v>45310.64228009259</v>
      </c>
      <c r="C323" s="1" t="n">
        <v>46040</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58739-2025</t>
        </is>
      </c>
      <c r="B324" s="1" t="n">
        <v>45986.63236111111</v>
      </c>
      <c r="C324" s="1" t="n">
        <v>46040</v>
      </c>
      <c r="D324" t="inlineStr">
        <is>
          <t>DALARNAS LÄN</t>
        </is>
      </c>
      <c r="E324" t="inlineStr">
        <is>
          <t>ÄLVDALEN</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241-2026</t>
        </is>
      </c>
      <c r="B325" s="1" t="n">
        <v>46027.38569444444</v>
      </c>
      <c r="C325" s="1" t="n">
        <v>46040</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5567-2021</t>
        </is>
      </c>
      <c r="B326" s="1" t="n">
        <v>44230</v>
      </c>
      <c r="C326" s="1" t="n">
        <v>46040</v>
      </c>
      <c r="D326" t="inlineStr">
        <is>
          <t>DALARNAS LÄN</t>
        </is>
      </c>
      <c r="E326" t="inlineStr">
        <is>
          <t>ÄLVDALEN</t>
        </is>
      </c>
      <c r="F326" t="inlineStr">
        <is>
          <t>Övriga statliga verk och myndigheter</t>
        </is>
      </c>
      <c r="G326" t="n">
        <v>29.1</v>
      </c>
      <c r="H326" t="n">
        <v>0</v>
      </c>
      <c r="I326" t="n">
        <v>0</v>
      </c>
      <c r="J326" t="n">
        <v>0</v>
      </c>
      <c r="K326" t="n">
        <v>0</v>
      </c>
      <c r="L326" t="n">
        <v>0</v>
      </c>
      <c r="M326" t="n">
        <v>0</v>
      </c>
      <c r="N326" t="n">
        <v>0</v>
      </c>
      <c r="O326" t="n">
        <v>0</v>
      </c>
      <c r="P326" t="n">
        <v>0</v>
      </c>
      <c r="Q326" t="n">
        <v>0</v>
      </c>
      <c r="R326" s="2" t="inlineStr"/>
    </row>
    <row r="327" ht="15" customHeight="1">
      <c r="A327" t="inlineStr">
        <is>
          <t>A 1011-2026</t>
        </is>
      </c>
      <c r="B327" s="1" t="n">
        <v>46030.60111111111</v>
      </c>
      <c r="C327" s="1" t="n">
        <v>46040</v>
      </c>
      <c r="D327" t="inlineStr">
        <is>
          <t>DALARNAS LÄN</t>
        </is>
      </c>
      <c r="E327" t="inlineStr">
        <is>
          <t>ÄLVDALEN</t>
        </is>
      </c>
      <c r="G327" t="n">
        <v>1.1</v>
      </c>
      <c r="H327" t="n">
        <v>0</v>
      </c>
      <c r="I327" t="n">
        <v>0</v>
      </c>
      <c r="J327" t="n">
        <v>0</v>
      </c>
      <c r="K327" t="n">
        <v>0</v>
      </c>
      <c r="L327" t="n">
        <v>0</v>
      </c>
      <c r="M327" t="n">
        <v>0</v>
      </c>
      <c r="N327" t="n">
        <v>0</v>
      </c>
      <c r="O327" t="n">
        <v>0</v>
      </c>
      <c r="P327" t="n">
        <v>0</v>
      </c>
      <c r="Q327" t="n">
        <v>0</v>
      </c>
      <c r="R327" s="2" t="inlineStr"/>
    </row>
    <row r="328" ht="15" customHeight="1">
      <c r="A328" t="inlineStr">
        <is>
          <t>A 30987-2023</t>
        </is>
      </c>
      <c r="B328" s="1" t="n">
        <v>45113</v>
      </c>
      <c r="C328" s="1" t="n">
        <v>46040</v>
      </c>
      <c r="D328" t="inlineStr">
        <is>
          <t>DALARNAS LÄN</t>
        </is>
      </c>
      <c r="E328" t="inlineStr">
        <is>
          <t>ÄLVDALEN</t>
        </is>
      </c>
      <c r="F328" t="inlineStr">
        <is>
          <t>Allmännings- och besparingsskogar</t>
        </is>
      </c>
      <c r="G328" t="n">
        <v>3.8</v>
      </c>
      <c r="H328" t="n">
        <v>0</v>
      </c>
      <c r="I328" t="n">
        <v>0</v>
      </c>
      <c r="J328" t="n">
        <v>0</v>
      </c>
      <c r="K328" t="n">
        <v>0</v>
      </c>
      <c r="L328" t="n">
        <v>0</v>
      </c>
      <c r="M328" t="n">
        <v>0</v>
      </c>
      <c r="N328" t="n">
        <v>0</v>
      </c>
      <c r="O328" t="n">
        <v>0</v>
      </c>
      <c r="P328" t="n">
        <v>0</v>
      </c>
      <c r="Q328" t="n">
        <v>0</v>
      </c>
      <c r="R328" s="2" t="inlineStr"/>
    </row>
    <row r="329" ht="15" customHeight="1">
      <c r="A329" t="inlineStr">
        <is>
          <t>A 7232-2025</t>
        </is>
      </c>
      <c r="B329" s="1" t="n">
        <v>45702.51415509259</v>
      </c>
      <c r="C329" s="1" t="n">
        <v>46040</v>
      </c>
      <c r="D329" t="inlineStr">
        <is>
          <t>DALARNAS LÄN</t>
        </is>
      </c>
      <c r="E329" t="inlineStr">
        <is>
          <t>ÄLVDALEN</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26080-2021</t>
        </is>
      </c>
      <c r="B330" s="1" t="n">
        <v>44344</v>
      </c>
      <c r="C330" s="1" t="n">
        <v>46040</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53408-2023</t>
        </is>
      </c>
      <c r="B331" s="1" t="n">
        <v>45229</v>
      </c>
      <c r="C331" s="1" t="n">
        <v>46040</v>
      </c>
      <c r="D331" t="inlineStr">
        <is>
          <t>DALARNAS LÄN</t>
        </is>
      </c>
      <c r="E331" t="inlineStr">
        <is>
          <t>ÄLVDALEN</t>
        </is>
      </c>
      <c r="G331" t="n">
        <v>2</v>
      </c>
      <c r="H331" t="n">
        <v>0</v>
      </c>
      <c r="I331" t="n">
        <v>0</v>
      </c>
      <c r="J331" t="n">
        <v>0</v>
      </c>
      <c r="K331" t="n">
        <v>0</v>
      </c>
      <c r="L331" t="n">
        <v>0</v>
      </c>
      <c r="M331" t="n">
        <v>0</v>
      </c>
      <c r="N331" t="n">
        <v>0</v>
      </c>
      <c r="O331" t="n">
        <v>0</v>
      </c>
      <c r="P331" t="n">
        <v>0</v>
      </c>
      <c r="Q331" t="n">
        <v>0</v>
      </c>
      <c r="R331" s="2" t="inlineStr"/>
    </row>
    <row r="332" ht="15" customHeight="1">
      <c r="A332" t="inlineStr">
        <is>
          <t>A 575-2026</t>
        </is>
      </c>
      <c r="B332" s="1" t="n">
        <v>46029.47552083333</v>
      </c>
      <c r="C332" s="1" t="n">
        <v>46040</v>
      </c>
      <c r="D332" t="inlineStr">
        <is>
          <t>DALARNAS LÄN</t>
        </is>
      </c>
      <c r="E332" t="inlineStr">
        <is>
          <t>ÄLVDALEN</t>
        </is>
      </c>
      <c r="G332" t="n">
        <v>4.3</v>
      </c>
      <c r="H332" t="n">
        <v>0</v>
      </c>
      <c r="I332" t="n">
        <v>0</v>
      </c>
      <c r="J332" t="n">
        <v>0</v>
      </c>
      <c r="K332" t="n">
        <v>0</v>
      </c>
      <c r="L332" t="n">
        <v>0</v>
      </c>
      <c r="M332" t="n">
        <v>0</v>
      </c>
      <c r="N332" t="n">
        <v>0</v>
      </c>
      <c r="O332" t="n">
        <v>0</v>
      </c>
      <c r="P332" t="n">
        <v>0</v>
      </c>
      <c r="Q332" t="n">
        <v>0</v>
      </c>
      <c r="R332" s="2" t="inlineStr"/>
    </row>
    <row r="333" ht="15" customHeight="1">
      <c r="A333" t="inlineStr">
        <is>
          <t>A 588-2026</t>
        </is>
      </c>
      <c r="B333" s="1" t="n">
        <v>46029.4896875</v>
      </c>
      <c r="C333" s="1" t="n">
        <v>46040</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47080-2024</t>
        </is>
      </c>
      <c r="B334" s="1" t="n">
        <v>45586.50578703704</v>
      </c>
      <c r="C334" s="1" t="n">
        <v>46040</v>
      </c>
      <c r="D334" t="inlineStr">
        <is>
          <t>DALARNAS LÄN</t>
        </is>
      </c>
      <c r="E334" t="inlineStr">
        <is>
          <t>ÄLVDALEN</t>
        </is>
      </c>
      <c r="G334" t="n">
        <v>0.9</v>
      </c>
      <c r="H334" t="n">
        <v>0</v>
      </c>
      <c r="I334" t="n">
        <v>0</v>
      </c>
      <c r="J334" t="n">
        <v>0</v>
      </c>
      <c r="K334" t="n">
        <v>0</v>
      </c>
      <c r="L334" t="n">
        <v>0</v>
      </c>
      <c r="M334" t="n">
        <v>0</v>
      </c>
      <c r="N334" t="n">
        <v>0</v>
      </c>
      <c r="O334" t="n">
        <v>0</v>
      </c>
      <c r="P334" t="n">
        <v>0</v>
      </c>
      <c r="Q334" t="n">
        <v>0</v>
      </c>
      <c r="R334" s="2" t="inlineStr"/>
    </row>
    <row r="335" ht="15" customHeight="1">
      <c r="A335" t="inlineStr">
        <is>
          <t>A 1138-2026</t>
        </is>
      </c>
      <c r="B335" s="1" t="n">
        <v>46030.78804398148</v>
      </c>
      <c r="C335" s="1" t="n">
        <v>46040</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59256-2025</t>
        </is>
      </c>
      <c r="B336" s="1" t="n">
        <v>45988.65612268518</v>
      </c>
      <c r="C336" s="1" t="n">
        <v>46040</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2377-2024</t>
        </is>
      </c>
      <c r="B337" s="1" t="n">
        <v>45310.63633101852</v>
      </c>
      <c r="C337" s="1" t="n">
        <v>46040</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2384-2024</t>
        </is>
      </c>
      <c r="B338" s="1" t="n">
        <v>45310.65099537037</v>
      </c>
      <c r="C338" s="1" t="n">
        <v>46040</v>
      </c>
      <c r="D338" t="inlineStr">
        <is>
          <t>DALARNAS LÄN</t>
        </is>
      </c>
      <c r="E338" t="inlineStr">
        <is>
          <t>ÄLVDALEN</t>
        </is>
      </c>
      <c r="G338" t="n">
        <v>2.7</v>
      </c>
      <c r="H338" t="n">
        <v>0</v>
      </c>
      <c r="I338" t="n">
        <v>0</v>
      </c>
      <c r="J338" t="n">
        <v>0</v>
      </c>
      <c r="K338" t="n">
        <v>0</v>
      </c>
      <c r="L338" t="n">
        <v>0</v>
      </c>
      <c r="M338" t="n">
        <v>0</v>
      </c>
      <c r="N338" t="n">
        <v>0</v>
      </c>
      <c r="O338" t="n">
        <v>0</v>
      </c>
      <c r="P338" t="n">
        <v>0</v>
      </c>
      <c r="Q338" t="n">
        <v>0</v>
      </c>
      <c r="R338" s="2" t="inlineStr"/>
    </row>
    <row r="339" ht="15" customHeight="1">
      <c r="A339" t="inlineStr">
        <is>
          <t>A 18075-2024</t>
        </is>
      </c>
      <c r="B339" s="1" t="n">
        <v>45420.43453703704</v>
      </c>
      <c r="C339" s="1" t="n">
        <v>46040</v>
      </c>
      <c r="D339" t="inlineStr">
        <is>
          <t>DALARNAS LÄN</t>
        </is>
      </c>
      <c r="E339" t="inlineStr">
        <is>
          <t>ÄLVDALEN</t>
        </is>
      </c>
      <c r="F339" t="inlineStr">
        <is>
          <t>Bergvik skog väst AB</t>
        </is>
      </c>
      <c r="G339" t="n">
        <v>8.6</v>
      </c>
      <c r="H339" t="n">
        <v>0</v>
      </c>
      <c r="I339" t="n">
        <v>0</v>
      </c>
      <c r="J339" t="n">
        <v>0</v>
      </c>
      <c r="K339" t="n">
        <v>0</v>
      </c>
      <c r="L339" t="n">
        <v>0</v>
      </c>
      <c r="M339" t="n">
        <v>0</v>
      </c>
      <c r="N339" t="n">
        <v>0</v>
      </c>
      <c r="O339" t="n">
        <v>0</v>
      </c>
      <c r="P339" t="n">
        <v>0</v>
      </c>
      <c r="Q339" t="n">
        <v>0</v>
      </c>
      <c r="R339" s="2" t="inlineStr"/>
    </row>
    <row r="340" ht="15" customHeight="1">
      <c r="A340" t="inlineStr">
        <is>
          <t>A 5883-2024</t>
        </is>
      </c>
      <c r="B340" s="1" t="n">
        <v>45335.69585648148</v>
      </c>
      <c r="C340" s="1" t="n">
        <v>46040</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43602-2025</t>
        </is>
      </c>
      <c r="B341" s="1" t="n">
        <v>45911.66576388889</v>
      </c>
      <c r="C341" s="1" t="n">
        <v>46040</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43342-2025</t>
        </is>
      </c>
      <c r="B342" s="1" t="n">
        <v>45910.7628125</v>
      </c>
      <c r="C342" s="1" t="n">
        <v>46040</v>
      </c>
      <c r="D342" t="inlineStr">
        <is>
          <t>DALARNAS LÄN</t>
        </is>
      </c>
      <c r="E342" t="inlineStr">
        <is>
          <t>ÄLVDALEN</t>
        </is>
      </c>
      <c r="G342" t="n">
        <v>2.9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44322.6378125</v>
      </c>
      <c r="C343" s="1" t="n">
        <v>46040</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28473-2024</t>
        </is>
      </c>
      <c r="B344" s="1" t="n">
        <v>45477.73017361111</v>
      </c>
      <c r="C344" s="1" t="n">
        <v>46040</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28479-2024</t>
        </is>
      </c>
      <c r="B345" s="1" t="n">
        <v>45477.74017361111</v>
      </c>
      <c r="C345" s="1" t="n">
        <v>46040</v>
      </c>
      <c r="D345" t="inlineStr">
        <is>
          <t>DALARNAS LÄN</t>
        </is>
      </c>
      <c r="E345" t="inlineStr">
        <is>
          <t>ÄLVDALEN</t>
        </is>
      </c>
      <c r="G345" t="n">
        <v>4.1</v>
      </c>
      <c r="H345" t="n">
        <v>0</v>
      </c>
      <c r="I345" t="n">
        <v>0</v>
      </c>
      <c r="J345" t="n">
        <v>0</v>
      </c>
      <c r="K345" t="n">
        <v>0</v>
      </c>
      <c r="L345" t="n">
        <v>0</v>
      </c>
      <c r="M345" t="n">
        <v>0</v>
      </c>
      <c r="N345" t="n">
        <v>0</v>
      </c>
      <c r="O345" t="n">
        <v>0</v>
      </c>
      <c r="P345" t="n">
        <v>0</v>
      </c>
      <c r="Q345" t="n">
        <v>0</v>
      </c>
      <c r="R345" s="2" t="inlineStr"/>
    </row>
    <row r="346" ht="15" customHeight="1">
      <c r="A346" t="inlineStr">
        <is>
          <t>A 59234-2025</t>
        </is>
      </c>
      <c r="B346" s="1" t="n">
        <v>45988.62946759259</v>
      </c>
      <c r="C346" s="1" t="n">
        <v>46040</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33102-2023</t>
        </is>
      </c>
      <c r="B347" s="1" t="n">
        <v>45114</v>
      </c>
      <c r="C347" s="1" t="n">
        <v>46040</v>
      </c>
      <c r="D347" t="inlineStr">
        <is>
          <t>DALARNAS LÄN</t>
        </is>
      </c>
      <c r="E347" t="inlineStr">
        <is>
          <t>ÄLVDALEN</t>
        </is>
      </c>
      <c r="G347" t="n">
        <v>1.6</v>
      </c>
      <c r="H347" t="n">
        <v>0</v>
      </c>
      <c r="I347" t="n">
        <v>0</v>
      </c>
      <c r="J347" t="n">
        <v>0</v>
      </c>
      <c r="K347" t="n">
        <v>0</v>
      </c>
      <c r="L347" t="n">
        <v>0</v>
      </c>
      <c r="M347" t="n">
        <v>0</v>
      </c>
      <c r="N347" t="n">
        <v>0</v>
      </c>
      <c r="O347" t="n">
        <v>0</v>
      </c>
      <c r="P347" t="n">
        <v>0</v>
      </c>
      <c r="Q347" t="n">
        <v>0</v>
      </c>
      <c r="R347" s="2" t="inlineStr"/>
    </row>
    <row r="348" ht="15" customHeight="1">
      <c r="A348" t="inlineStr">
        <is>
          <t>A 63079-2021</t>
        </is>
      </c>
      <c r="B348" s="1" t="n">
        <v>44505.56753472222</v>
      </c>
      <c r="C348" s="1" t="n">
        <v>46040</v>
      </c>
      <c r="D348" t="inlineStr">
        <is>
          <t>DALARNAS LÄN</t>
        </is>
      </c>
      <c r="E348" t="inlineStr">
        <is>
          <t>ÄLVDALEN</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38277-2024</t>
        </is>
      </c>
      <c r="B349" s="1" t="n">
        <v>45545.61171296296</v>
      </c>
      <c r="C349" s="1" t="n">
        <v>46040</v>
      </c>
      <c r="D349" t="inlineStr">
        <is>
          <t>DALARNAS LÄN</t>
        </is>
      </c>
      <c r="E349" t="inlineStr">
        <is>
          <t>ÄLVDALEN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32361-2024</t>
        </is>
      </c>
      <c r="B350" s="1" t="n">
        <v>45512.56725694444</v>
      </c>
      <c r="C350" s="1" t="n">
        <v>46040</v>
      </c>
      <c r="D350" t="inlineStr">
        <is>
          <t>DALARNAS LÄN</t>
        </is>
      </c>
      <c r="E350" t="inlineStr">
        <is>
          <t>ÄLVDALEN</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32363-2024</t>
        </is>
      </c>
      <c r="B351" s="1" t="n">
        <v>45512</v>
      </c>
      <c r="C351" s="1" t="n">
        <v>46040</v>
      </c>
      <c r="D351" t="inlineStr">
        <is>
          <t>DALARNAS LÄN</t>
        </is>
      </c>
      <c r="E351" t="inlineStr">
        <is>
          <t>ÄLVDALEN</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583-2026</t>
        </is>
      </c>
      <c r="B352" s="1" t="n">
        <v>46029.48274305555</v>
      </c>
      <c r="C352" s="1" t="n">
        <v>46040</v>
      </c>
      <c r="D352" t="inlineStr">
        <is>
          <t>DALARNAS LÄN</t>
        </is>
      </c>
      <c r="E352" t="inlineStr">
        <is>
          <t>ÄLVDALEN</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140-2026</t>
        </is>
      </c>
      <c r="B353" s="1" t="n">
        <v>46024</v>
      </c>
      <c r="C353" s="1" t="n">
        <v>46040</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59250-2025</t>
        </is>
      </c>
      <c r="B354" s="1" t="n">
        <v>45988.65004629629</v>
      </c>
      <c r="C354" s="1" t="n">
        <v>46040</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74324-2021</t>
        </is>
      </c>
      <c r="B355" s="1" t="n">
        <v>44558</v>
      </c>
      <c r="C355" s="1" t="n">
        <v>46040</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43514-2025</t>
        </is>
      </c>
      <c r="B356" s="1" t="n">
        <v>45911.56475694444</v>
      </c>
      <c r="C356" s="1" t="n">
        <v>46040</v>
      </c>
      <c r="D356" t="inlineStr">
        <is>
          <t>DALARNAS LÄN</t>
        </is>
      </c>
      <c r="E356" t="inlineStr">
        <is>
          <t>ÄLVDALEN</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43581-2025</t>
        </is>
      </c>
      <c r="B357" s="1" t="n">
        <v>45911.64846064815</v>
      </c>
      <c r="C357" s="1" t="n">
        <v>46040</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43585-2025</t>
        </is>
      </c>
      <c r="B358" s="1" t="n">
        <v>45911.65087962963</v>
      </c>
      <c r="C358" s="1" t="n">
        <v>46040</v>
      </c>
      <c r="D358" t="inlineStr">
        <is>
          <t>DALARNAS LÄN</t>
        </is>
      </c>
      <c r="E358" t="inlineStr">
        <is>
          <t>ÄLVDALEN</t>
        </is>
      </c>
      <c r="G358" t="n">
        <v>2.8</v>
      </c>
      <c r="H358" t="n">
        <v>0</v>
      </c>
      <c r="I358" t="n">
        <v>0</v>
      </c>
      <c r="J358" t="n">
        <v>0</v>
      </c>
      <c r="K358" t="n">
        <v>0</v>
      </c>
      <c r="L358" t="n">
        <v>0</v>
      </c>
      <c r="M358" t="n">
        <v>0</v>
      </c>
      <c r="N358" t="n">
        <v>0</v>
      </c>
      <c r="O358" t="n">
        <v>0</v>
      </c>
      <c r="P358" t="n">
        <v>0</v>
      </c>
      <c r="Q358" t="n">
        <v>0</v>
      </c>
      <c r="R358" s="2" t="inlineStr"/>
    </row>
    <row r="359" ht="15" customHeight="1">
      <c r="A359" t="inlineStr">
        <is>
          <t>A 1559-2026</t>
        </is>
      </c>
      <c r="B359" s="1" t="n">
        <v>46034.39206018519</v>
      </c>
      <c r="C359" s="1" t="n">
        <v>46040</v>
      </c>
      <c r="D359" t="inlineStr">
        <is>
          <t>DALARNAS LÄN</t>
        </is>
      </c>
      <c r="E359" t="inlineStr">
        <is>
          <t>ÄLVDALEN</t>
        </is>
      </c>
      <c r="G359" t="n">
        <v>0.7</v>
      </c>
      <c r="H359" t="n">
        <v>0</v>
      </c>
      <c r="I359" t="n">
        <v>0</v>
      </c>
      <c r="J359" t="n">
        <v>0</v>
      </c>
      <c r="K359" t="n">
        <v>0</v>
      </c>
      <c r="L359" t="n">
        <v>0</v>
      </c>
      <c r="M359" t="n">
        <v>0</v>
      </c>
      <c r="N359" t="n">
        <v>0</v>
      </c>
      <c r="O359" t="n">
        <v>0</v>
      </c>
      <c r="P359" t="n">
        <v>0</v>
      </c>
      <c r="Q359" t="n">
        <v>0</v>
      </c>
      <c r="R359" s="2" t="inlineStr"/>
    </row>
    <row r="360" ht="15" customHeight="1">
      <c r="A360" t="inlineStr">
        <is>
          <t>A 59590-2025</t>
        </is>
      </c>
      <c r="B360" s="1" t="n">
        <v>45992.34043981481</v>
      </c>
      <c r="C360" s="1" t="n">
        <v>46040</v>
      </c>
      <c r="D360" t="inlineStr">
        <is>
          <t>DALARNAS LÄN</t>
        </is>
      </c>
      <c r="E360" t="inlineStr">
        <is>
          <t>ÄLVDALEN</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1159-2026</t>
        </is>
      </c>
      <c r="B361" s="1" t="n">
        <v>46031.32924768519</v>
      </c>
      <c r="C361" s="1" t="n">
        <v>46040</v>
      </c>
      <c r="D361" t="inlineStr">
        <is>
          <t>DALARNAS LÄN</t>
        </is>
      </c>
      <c r="E361" t="inlineStr">
        <is>
          <t>ÄLVDALEN</t>
        </is>
      </c>
      <c r="F361" t="inlineStr">
        <is>
          <t>Allmännings- och besparingsskogar</t>
        </is>
      </c>
      <c r="G361" t="n">
        <v>33.9</v>
      </c>
      <c r="H361" t="n">
        <v>0</v>
      </c>
      <c r="I361" t="n">
        <v>0</v>
      </c>
      <c r="J361" t="n">
        <v>0</v>
      </c>
      <c r="K361" t="n">
        <v>0</v>
      </c>
      <c r="L361" t="n">
        <v>0</v>
      </c>
      <c r="M361" t="n">
        <v>0</v>
      </c>
      <c r="N361" t="n">
        <v>0</v>
      </c>
      <c r="O361" t="n">
        <v>0</v>
      </c>
      <c r="P361" t="n">
        <v>0</v>
      </c>
      <c r="Q361" t="n">
        <v>0</v>
      </c>
      <c r="R361" s="2" t="inlineStr"/>
    </row>
    <row r="362" ht="15" customHeight="1">
      <c r="A362" t="inlineStr">
        <is>
          <t>A 1554-2026</t>
        </is>
      </c>
      <c r="B362" s="1" t="n">
        <v>46034.38818287037</v>
      </c>
      <c r="C362" s="1" t="n">
        <v>46040</v>
      </c>
      <c r="D362" t="inlineStr">
        <is>
          <t>DALARNAS LÄN</t>
        </is>
      </c>
      <c r="E362" t="inlineStr">
        <is>
          <t>ÄLVDALEN</t>
        </is>
      </c>
      <c r="G362" t="n">
        <v>2.2</v>
      </c>
      <c r="H362" t="n">
        <v>0</v>
      </c>
      <c r="I362" t="n">
        <v>0</v>
      </c>
      <c r="J362" t="n">
        <v>0</v>
      </c>
      <c r="K362" t="n">
        <v>0</v>
      </c>
      <c r="L362" t="n">
        <v>0</v>
      </c>
      <c r="M362" t="n">
        <v>0</v>
      </c>
      <c r="N362" t="n">
        <v>0</v>
      </c>
      <c r="O362" t="n">
        <v>0</v>
      </c>
      <c r="P362" t="n">
        <v>0</v>
      </c>
      <c r="Q362" t="n">
        <v>0</v>
      </c>
      <c r="R362" s="2" t="inlineStr"/>
    </row>
    <row r="363" ht="15" customHeight="1">
      <c r="A363" t="inlineStr">
        <is>
          <t>A 52483-2023</t>
        </is>
      </c>
      <c r="B363" s="1" t="n">
        <v>45225</v>
      </c>
      <c r="C363" s="1" t="n">
        <v>46040</v>
      </c>
      <c r="D363" t="inlineStr">
        <is>
          <t>DALARNAS LÄN</t>
        </is>
      </c>
      <c r="E363" t="inlineStr">
        <is>
          <t>ÄLVDALEN</t>
        </is>
      </c>
      <c r="F363" t="inlineStr">
        <is>
          <t>Allmännings- och besparingsskogar</t>
        </is>
      </c>
      <c r="G363" t="n">
        <v>30.9</v>
      </c>
      <c r="H363" t="n">
        <v>0</v>
      </c>
      <c r="I363" t="n">
        <v>0</v>
      </c>
      <c r="J363" t="n">
        <v>0</v>
      </c>
      <c r="K363" t="n">
        <v>0</v>
      </c>
      <c r="L363" t="n">
        <v>0</v>
      </c>
      <c r="M363" t="n">
        <v>0</v>
      </c>
      <c r="N363" t="n">
        <v>0</v>
      </c>
      <c r="O363" t="n">
        <v>0</v>
      </c>
      <c r="P363" t="n">
        <v>0</v>
      </c>
      <c r="Q363" t="n">
        <v>0</v>
      </c>
      <c r="R363" s="2" t="inlineStr"/>
      <c r="U363">
        <f>HYPERLINK("https://klasma.github.io/Logging_2039/knärot/A 52483-2023 karta knärot.png", "A 52483-2023")</f>
        <v/>
      </c>
      <c r="V363">
        <f>HYPERLINK("https://klasma.github.io/Logging_2039/klagomål/A 52483-2023 FSC-klagomål.docx", "A 52483-2023")</f>
        <v/>
      </c>
      <c r="W363">
        <f>HYPERLINK("https://klasma.github.io/Logging_2039/klagomålsmail/A 52483-2023 FSC-klagomål mail.docx", "A 52483-2023")</f>
        <v/>
      </c>
      <c r="X363">
        <f>HYPERLINK("https://klasma.github.io/Logging_2039/tillsyn/A 52483-2023 tillsynsbegäran.docx", "A 52483-2023")</f>
        <v/>
      </c>
      <c r="Y363">
        <f>HYPERLINK("https://klasma.github.io/Logging_2039/tillsynsmail/A 52483-2023 tillsynsbegäran mail.docx", "A 52483-2023")</f>
        <v/>
      </c>
    </row>
    <row r="364" ht="15" customHeight="1">
      <c r="A364" t="inlineStr">
        <is>
          <t>A 59588-2025</t>
        </is>
      </c>
      <c r="B364" s="1" t="n">
        <v>45992.33900462963</v>
      </c>
      <c r="C364" s="1" t="n">
        <v>46040</v>
      </c>
      <c r="D364" t="inlineStr">
        <is>
          <t>DALARNAS LÄN</t>
        </is>
      </c>
      <c r="E364" t="inlineStr">
        <is>
          <t>ÄLVDALEN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59591-2025</t>
        </is>
      </c>
      <c r="B365" s="1" t="n">
        <v>45992</v>
      </c>
      <c r="C365" s="1" t="n">
        <v>46040</v>
      </c>
      <c r="D365" t="inlineStr">
        <is>
          <t>DALARNAS LÄN</t>
        </is>
      </c>
      <c r="E365" t="inlineStr">
        <is>
          <t>ÄLVDALEN</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47525-2024</t>
        </is>
      </c>
      <c r="B366" s="1" t="n">
        <v>45587.6328587963</v>
      </c>
      <c r="C366" s="1" t="n">
        <v>46040</v>
      </c>
      <c r="D366" t="inlineStr">
        <is>
          <t>DALARNAS LÄN</t>
        </is>
      </c>
      <c r="E366" t="inlineStr">
        <is>
          <t>ÄLVDALEN</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34835-2023</t>
        </is>
      </c>
      <c r="B367" s="1" t="n">
        <v>45141</v>
      </c>
      <c r="C367" s="1" t="n">
        <v>46040</v>
      </c>
      <c r="D367" t="inlineStr">
        <is>
          <t>DALARNAS LÄN</t>
        </is>
      </c>
      <c r="E367" t="inlineStr">
        <is>
          <t>ÄLVDALEN</t>
        </is>
      </c>
      <c r="G367" t="n">
        <v>3.4</v>
      </c>
      <c r="H367" t="n">
        <v>0</v>
      </c>
      <c r="I367" t="n">
        <v>0</v>
      </c>
      <c r="J367" t="n">
        <v>0</v>
      </c>
      <c r="K367" t="n">
        <v>0</v>
      </c>
      <c r="L367" t="n">
        <v>0</v>
      </c>
      <c r="M367" t="n">
        <v>0</v>
      </c>
      <c r="N367" t="n">
        <v>0</v>
      </c>
      <c r="O367" t="n">
        <v>0</v>
      </c>
      <c r="P367" t="n">
        <v>0</v>
      </c>
      <c r="Q367" t="n">
        <v>0</v>
      </c>
      <c r="R367" s="2" t="inlineStr"/>
    </row>
    <row r="368" ht="15" customHeight="1">
      <c r="A368" t="inlineStr">
        <is>
          <t>A 60292-2025</t>
        </is>
      </c>
      <c r="B368" s="1" t="n">
        <v>45994.65491898148</v>
      </c>
      <c r="C368" s="1" t="n">
        <v>46040</v>
      </c>
      <c r="D368" t="inlineStr">
        <is>
          <t>DALARNAS LÄN</t>
        </is>
      </c>
      <c r="E368" t="inlineStr">
        <is>
          <t>ÄLVDALEN</t>
        </is>
      </c>
      <c r="F368" t="inlineStr">
        <is>
          <t>Allmännings- och besparingsskogar</t>
        </is>
      </c>
      <c r="G368" t="n">
        <v>11.8</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46040</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2249-2026</t>
        </is>
      </c>
      <c r="B370" s="1" t="n">
        <v>46036.55042824074</v>
      </c>
      <c r="C370" s="1" t="n">
        <v>46040</v>
      </c>
      <c r="D370" t="inlineStr">
        <is>
          <t>DALARNAS LÄN</t>
        </is>
      </c>
      <c r="E370" t="inlineStr">
        <is>
          <t>ÄLVDALEN</t>
        </is>
      </c>
      <c r="F370" t="inlineStr">
        <is>
          <t>Allmännings- och besparingsskogar</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629-2025</t>
        </is>
      </c>
      <c r="B371" s="1" t="n">
        <v>45660</v>
      </c>
      <c r="C371" s="1" t="n">
        <v>46040</v>
      </c>
      <c r="D371" t="inlineStr">
        <is>
          <t>DALARNAS LÄN</t>
        </is>
      </c>
      <c r="E371" t="inlineStr">
        <is>
          <t>ÄLVDALEN</t>
        </is>
      </c>
      <c r="F371" t="inlineStr">
        <is>
          <t>Allmännings- och besparingsskogar</t>
        </is>
      </c>
      <c r="G371" t="n">
        <v>0.6</v>
      </c>
      <c r="H371" t="n">
        <v>0</v>
      </c>
      <c r="I371" t="n">
        <v>0</v>
      </c>
      <c r="J371" t="n">
        <v>0</v>
      </c>
      <c r="K371" t="n">
        <v>0</v>
      </c>
      <c r="L371" t="n">
        <v>0</v>
      </c>
      <c r="M371" t="n">
        <v>0</v>
      </c>
      <c r="N371" t="n">
        <v>0</v>
      </c>
      <c r="O371" t="n">
        <v>0</v>
      </c>
      <c r="P371" t="n">
        <v>0</v>
      </c>
      <c r="Q371" t="n">
        <v>0</v>
      </c>
      <c r="R371" s="2" t="inlineStr"/>
    </row>
    <row r="372" ht="15" customHeight="1">
      <c r="A372" t="inlineStr">
        <is>
          <t>A 23553-2025</t>
        </is>
      </c>
      <c r="B372" s="1" t="n">
        <v>45792</v>
      </c>
      <c r="C372" s="1" t="n">
        <v>46040</v>
      </c>
      <c r="D372" t="inlineStr">
        <is>
          <t>DALARNAS LÄN</t>
        </is>
      </c>
      <c r="E372" t="inlineStr">
        <is>
          <t>ÄLVDALEN</t>
        </is>
      </c>
      <c r="G372" t="n">
        <v>46.2</v>
      </c>
      <c r="H372" t="n">
        <v>0</v>
      </c>
      <c r="I372" t="n">
        <v>0</v>
      </c>
      <c r="J372" t="n">
        <v>0</v>
      </c>
      <c r="K372" t="n">
        <v>0</v>
      </c>
      <c r="L372" t="n">
        <v>0</v>
      </c>
      <c r="M372" t="n">
        <v>0</v>
      </c>
      <c r="N372" t="n">
        <v>0</v>
      </c>
      <c r="O372" t="n">
        <v>0</v>
      </c>
      <c r="P372" t="n">
        <v>0</v>
      </c>
      <c r="Q372" t="n">
        <v>0</v>
      </c>
      <c r="R372" s="2" t="inlineStr"/>
    </row>
    <row r="373" ht="15" customHeight="1">
      <c r="A373" t="inlineStr">
        <is>
          <t>A 46800-2025</t>
        </is>
      </c>
      <c r="B373" s="1" t="n">
        <v>45926</v>
      </c>
      <c r="C373" s="1" t="n">
        <v>46040</v>
      </c>
      <c r="D373" t="inlineStr">
        <is>
          <t>DALARNAS LÄN</t>
        </is>
      </c>
      <c r="E373" t="inlineStr">
        <is>
          <t>ÄLVDALEN</t>
        </is>
      </c>
      <c r="F373" t="inlineStr">
        <is>
          <t>Allmännings- och besparingsskogar</t>
        </is>
      </c>
      <c r="G373" t="n">
        <v>0.8</v>
      </c>
      <c r="H373" t="n">
        <v>0</v>
      </c>
      <c r="I373" t="n">
        <v>0</v>
      </c>
      <c r="J373" t="n">
        <v>0</v>
      </c>
      <c r="K373" t="n">
        <v>0</v>
      </c>
      <c r="L373" t="n">
        <v>0</v>
      </c>
      <c r="M373" t="n">
        <v>0</v>
      </c>
      <c r="N373" t="n">
        <v>0</v>
      </c>
      <c r="O373" t="n">
        <v>0</v>
      </c>
      <c r="P373" t="n">
        <v>0</v>
      </c>
      <c r="Q373" t="n">
        <v>0</v>
      </c>
      <c r="R373" s="2" t="inlineStr"/>
      <c r="T373">
        <f>HYPERLINK("https://klasma.github.io/Logging_2039/kartor/A 46800-2025 karta.png", "A 46800-2025")</f>
        <v/>
      </c>
      <c r="V373">
        <f>HYPERLINK("https://klasma.github.io/Logging_2039/klagomål/A 46800-2025 FSC-klagomål.docx", "A 46800-2025")</f>
        <v/>
      </c>
      <c r="W373">
        <f>HYPERLINK("https://klasma.github.io/Logging_2039/klagomålsmail/A 46800-2025 FSC-klagomål mail.docx", "A 46800-2025")</f>
        <v/>
      </c>
      <c r="X373">
        <f>HYPERLINK("https://klasma.github.io/Logging_2039/tillsyn/A 46800-2025 tillsynsbegäran.docx", "A 46800-2025")</f>
        <v/>
      </c>
      <c r="Y373">
        <f>HYPERLINK("https://klasma.github.io/Logging_2039/tillsynsmail/A 46800-2025 tillsynsbegäran mail.docx", "A 46800-2025")</f>
        <v/>
      </c>
      <c r="Z373">
        <f>HYPERLINK("https://klasma.github.io/Logging_2039/fåglar/A 46800-2025 prioriterade fågelarter.docx", "A 46800-2025")</f>
        <v/>
      </c>
    </row>
    <row r="374" ht="15" customHeight="1">
      <c r="A374" t="inlineStr">
        <is>
          <t>A 17051-2023</t>
        </is>
      </c>
      <c r="B374" s="1" t="n">
        <v>45034</v>
      </c>
      <c r="C374" s="1" t="n">
        <v>46040</v>
      </c>
      <c r="D374" t="inlineStr">
        <is>
          <t>DALARNAS LÄN</t>
        </is>
      </c>
      <c r="E374" t="inlineStr">
        <is>
          <t>ÄLVDALEN</t>
        </is>
      </c>
      <c r="G374" t="n">
        <v>4.2</v>
      </c>
      <c r="H374" t="n">
        <v>0</v>
      </c>
      <c r="I374" t="n">
        <v>0</v>
      </c>
      <c r="J374" t="n">
        <v>0</v>
      </c>
      <c r="K374" t="n">
        <v>0</v>
      </c>
      <c r="L374" t="n">
        <v>0</v>
      </c>
      <c r="M374" t="n">
        <v>0</v>
      </c>
      <c r="N374" t="n">
        <v>0</v>
      </c>
      <c r="O374" t="n">
        <v>0</v>
      </c>
      <c r="P374" t="n">
        <v>0</v>
      </c>
      <c r="Q374" t="n">
        <v>0</v>
      </c>
      <c r="R374" s="2" t="inlineStr"/>
    </row>
    <row r="375" ht="15" customHeight="1">
      <c r="A375" t="inlineStr">
        <is>
          <t>A 45156-2025</t>
        </is>
      </c>
      <c r="B375" s="1" t="n">
        <v>45919.48063657407</v>
      </c>
      <c r="C375" s="1" t="n">
        <v>46040</v>
      </c>
      <c r="D375" t="inlineStr">
        <is>
          <t>DALARNAS LÄN</t>
        </is>
      </c>
      <c r="E375" t="inlineStr">
        <is>
          <t>ÄLVDALEN</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1934-2026</t>
        </is>
      </c>
      <c r="B376" s="1" t="n">
        <v>46035.58578703704</v>
      </c>
      <c r="C376" s="1" t="n">
        <v>46040</v>
      </c>
      <c r="D376" t="inlineStr">
        <is>
          <t>DALARNAS LÄN</t>
        </is>
      </c>
      <c r="E376" t="inlineStr">
        <is>
          <t>ÄLVDALEN</t>
        </is>
      </c>
      <c r="F376" t="inlineStr">
        <is>
          <t>Övriga statliga verk och myndigheter</t>
        </is>
      </c>
      <c r="G376" t="n">
        <v>22.9</v>
      </c>
      <c r="H376" t="n">
        <v>0</v>
      </c>
      <c r="I376" t="n">
        <v>0</v>
      </c>
      <c r="J376" t="n">
        <v>0</v>
      </c>
      <c r="K376" t="n">
        <v>0</v>
      </c>
      <c r="L376" t="n">
        <v>0</v>
      </c>
      <c r="M376" t="n">
        <v>0</v>
      </c>
      <c r="N376" t="n">
        <v>0</v>
      </c>
      <c r="O376" t="n">
        <v>0</v>
      </c>
      <c r="P376" t="n">
        <v>0</v>
      </c>
      <c r="Q376" t="n">
        <v>0</v>
      </c>
      <c r="R376" s="2" t="inlineStr"/>
    </row>
    <row r="377" ht="15" customHeight="1">
      <c r="A377" t="inlineStr">
        <is>
          <t>A 45173-2025</t>
        </is>
      </c>
      <c r="B377" s="1" t="n">
        <v>45919.51228009259</v>
      </c>
      <c r="C377" s="1" t="n">
        <v>46040</v>
      </c>
      <c r="D377" t="inlineStr">
        <is>
          <t>DALARNAS LÄN</t>
        </is>
      </c>
      <c r="E377" t="inlineStr">
        <is>
          <t>ÄLVDALEN</t>
        </is>
      </c>
      <c r="F377" t="inlineStr">
        <is>
          <t>Allmännings- och besparingsskogar</t>
        </is>
      </c>
      <c r="G377" t="n">
        <v>40.5</v>
      </c>
      <c r="H377" t="n">
        <v>0</v>
      </c>
      <c r="I377" t="n">
        <v>0</v>
      </c>
      <c r="J377" t="n">
        <v>0</v>
      </c>
      <c r="K377" t="n">
        <v>0</v>
      </c>
      <c r="L377" t="n">
        <v>0</v>
      </c>
      <c r="M377" t="n">
        <v>0</v>
      </c>
      <c r="N377" t="n">
        <v>0</v>
      </c>
      <c r="O377" t="n">
        <v>0</v>
      </c>
      <c r="P377" t="n">
        <v>0</v>
      </c>
      <c r="Q377" t="n">
        <v>0</v>
      </c>
      <c r="R377" s="2" t="inlineStr"/>
    </row>
    <row r="378" ht="15" customHeight="1">
      <c r="A378" t="inlineStr">
        <is>
          <t>A 47666-2024</t>
        </is>
      </c>
      <c r="B378" s="1" t="n">
        <v>45588.39283564815</v>
      </c>
      <c r="C378" s="1" t="n">
        <v>46040</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47071-2023</t>
        </is>
      </c>
      <c r="B379" s="1" t="n">
        <v>45201.60141203704</v>
      </c>
      <c r="C379" s="1" t="n">
        <v>46040</v>
      </c>
      <c r="D379" t="inlineStr">
        <is>
          <t>DALARNAS LÄN</t>
        </is>
      </c>
      <c r="E379" t="inlineStr">
        <is>
          <t>ÄLVDALEN</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50056-2024</t>
        </is>
      </c>
      <c r="B380" s="1" t="n">
        <v>45600.34134259259</v>
      </c>
      <c r="C380" s="1" t="n">
        <v>46040</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2778-2026</t>
        </is>
      </c>
      <c r="B381" s="1" t="n">
        <v>46038.38387731482</v>
      </c>
      <c r="C381" s="1" t="n">
        <v>46040</v>
      </c>
      <c r="D381" t="inlineStr">
        <is>
          <t>DALARNAS LÄN</t>
        </is>
      </c>
      <c r="E381" t="inlineStr">
        <is>
          <t>ÄLVDALEN</t>
        </is>
      </c>
      <c r="G381" t="n">
        <v>3.9</v>
      </c>
      <c r="H381" t="n">
        <v>0</v>
      </c>
      <c r="I381" t="n">
        <v>0</v>
      </c>
      <c r="J381" t="n">
        <v>0</v>
      </c>
      <c r="K381" t="n">
        <v>0</v>
      </c>
      <c r="L381" t="n">
        <v>0</v>
      </c>
      <c r="M381" t="n">
        <v>0</v>
      </c>
      <c r="N381" t="n">
        <v>0</v>
      </c>
      <c r="O381" t="n">
        <v>0</v>
      </c>
      <c r="P381" t="n">
        <v>0</v>
      </c>
      <c r="Q381" t="n">
        <v>0</v>
      </c>
      <c r="R381" s="2" t="inlineStr"/>
    </row>
    <row r="382" ht="15" customHeight="1">
      <c r="A382" t="inlineStr">
        <is>
          <t>A 62314-2022</t>
        </is>
      </c>
      <c r="B382" s="1" t="n">
        <v>44916</v>
      </c>
      <c r="C382" s="1" t="n">
        <v>46040</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2914-2026</t>
        </is>
      </c>
      <c r="B383" s="1" t="n">
        <v>46038.56950231481</v>
      </c>
      <c r="C383" s="1" t="n">
        <v>46040</v>
      </c>
      <c r="D383" t="inlineStr">
        <is>
          <t>DALARNAS LÄN</t>
        </is>
      </c>
      <c r="E383" t="inlineStr">
        <is>
          <t>ÄLVDALEN</t>
        </is>
      </c>
      <c r="G383" t="n">
        <v>0.8</v>
      </c>
      <c r="H383" t="n">
        <v>0</v>
      </c>
      <c r="I383" t="n">
        <v>0</v>
      </c>
      <c r="J383" t="n">
        <v>0</v>
      </c>
      <c r="K383" t="n">
        <v>0</v>
      </c>
      <c r="L383" t="n">
        <v>0</v>
      </c>
      <c r="M383" t="n">
        <v>0</v>
      </c>
      <c r="N383" t="n">
        <v>0</v>
      </c>
      <c r="O383" t="n">
        <v>0</v>
      </c>
      <c r="P383" t="n">
        <v>0</v>
      </c>
      <c r="Q383" t="n">
        <v>0</v>
      </c>
      <c r="R383" s="2" t="inlineStr"/>
    </row>
    <row r="384" ht="15" customHeight="1">
      <c r="A384" t="inlineStr">
        <is>
          <t>A 2906-2026</t>
        </is>
      </c>
      <c r="B384" s="1" t="n">
        <v>46038.56025462963</v>
      </c>
      <c r="C384" s="1" t="n">
        <v>46040</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2927-2026</t>
        </is>
      </c>
      <c r="B385" s="1" t="n">
        <v>46038.58077546296</v>
      </c>
      <c r="C385" s="1" t="n">
        <v>46040</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2788-2026</t>
        </is>
      </c>
      <c r="B386" s="1" t="n">
        <v>46038.39409722222</v>
      </c>
      <c r="C386" s="1" t="n">
        <v>46040</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2957-2026</t>
        </is>
      </c>
      <c r="B387" s="1" t="n">
        <v>46038.60658564815</v>
      </c>
      <c r="C387" s="1" t="n">
        <v>46040</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2648-2026</t>
        </is>
      </c>
      <c r="B388" s="1" t="n">
        <v>46037.62459490741</v>
      </c>
      <c r="C388" s="1" t="n">
        <v>46040</v>
      </c>
      <c r="D388" t="inlineStr">
        <is>
          <t>DALARNAS LÄN</t>
        </is>
      </c>
      <c r="E388" t="inlineStr">
        <is>
          <t>ÄLVDALEN</t>
        </is>
      </c>
      <c r="G388" t="n">
        <v>6.6</v>
      </c>
      <c r="H388" t="n">
        <v>0</v>
      </c>
      <c r="I388" t="n">
        <v>0</v>
      </c>
      <c r="J388" t="n">
        <v>0</v>
      </c>
      <c r="K388" t="n">
        <v>0</v>
      </c>
      <c r="L388" t="n">
        <v>0</v>
      </c>
      <c r="M388" t="n">
        <v>0</v>
      </c>
      <c r="N388" t="n">
        <v>0</v>
      </c>
      <c r="O388" t="n">
        <v>0</v>
      </c>
      <c r="P388" t="n">
        <v>0</v>
      </c>
      <c r="Q388" t="n">
        <v>0</v>
      </c>
      <c r="R388" s="2" t="inlineStr"/>
    </row>
    <row r="389" ht="15" customHeight="1">
      <c r="A389" t="inlineStr">
        <is>
          <t>A 47751-2024</t>
        </is>
      </c>
      <c r="B389" s="1" t="n">
        <v>45588.53628472222</v>
      </c>
      <c r="C389" s="1" t="n">
        <v>46040</v>
      </c>
      <c r="D389" t="inlineStr">
        <is>
          <t>DALARNAS LÄN</t>
        </is>
      </c>
      <c r="E389" t="inlineStr">
        <is>
          <t>ÄLVDALEN</t>
        </is>
      </c>
      <c r="G389" t="n">
        <v>0.6</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46040</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46040</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2897-2026</t>
        </is>
      </c>
      <c r="B392" s="1" t="n">
        <v>46038.55563657408</v>
      </c>
      <c r="C392" s="1" t="n">
        <v>46040</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32352-2023</t>
        </is>
      </c>
      <c r="B393" s="1" t="n">
        <v>45120</v>
      </c>
      <c r="C393" s="1" t="n">
        <v>46040</v>
      </c>
      <c r="D393" t="inlineStr">
        <is>
          <t>DALARNAS LÄN</t>
        </is>
      </c>
      <c r="E393" t="inlineStr">
        <is>
          <t>ÄLVDALEN</t>
        </is>
      </c>
      <c r="G393" t="n">
        <v>2</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46040</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60672-2025</t>
        </is>
      </c>
      <c r="B395" s="1" t="n">
        <v>45996.53233796296</v>
      </c>
      <c r="C395" s="1" t="n">
        <v>46040</v>
      </c>
      <c r="D395" t="inlineStr">
        <is>
          <t>DALARNAS LÄN</t>
        </is>
      </c>
      <c r="E395" t="inlineStr">
        <is>
          <t>ÄLVDALEN</t>
        </is>
      </c>
      <c r="G395" t="n">
        <v>3.1</v>
      </c>
      <c r="H395" t="n">
        <v>0</v>
      </c>
      <c r="I395" t="n">
        <v>0</v>
      </c>
      <c r="J395" t="n">
        <v>0</v>
      </c>
      <c r="K395" t="n">
        <v>0</v>
      </c>
      <c r="L395" t="n">
        <v>0</v>
      </c>
      <c r="M395" t="n">
        <v>0</v>
      </c>
      <c r="N395" t="n">
        <v>0</v>
      </c>
      <c r="O395" t="n">
        <v>0</v>
      </c>
      <c r="P395" t="n">
        <v>0</v>
      </c>
      <c r="Q395" t="n">
        <v>0</v>
      </c>
      <c r="R395" s="2" t="inlineStr"/>
    </row>
    <row r="396" ht="15" customHeight="1">
      <c r="A396" t="inlineStr">
        <is>
          <t>A 2921-2026</t>
        </is>
      </c>
      <c r="B396" s="1" t="n">
        <v>46038.57729166667</v>
      </c>
      <c r="C396" s="1" t="n">
        <v>46040</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46040</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2939-2026</t>
        </is>
      </c>
      <c r="B398" s="1" t="n">
        <v>46038.58866898148</v>
      </c>
      <c r="C398" s="1" t="n">
        <v>46040</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2932-2026</t>
        </is>
      </c>
      <c r="B399" s="1" t="n">
        <v>46038.58458333334</v>
      </c>
      <c r="C399" s="1" t="n">
        <v>46040</v>
      </c>
      <c r="D399" t="inlineStr">
        <is>
          <t>DALARNAS LÄN</t>
        </is>
      </c>
      <c r="E399" t="inlineStr">
        <is>
          <t>ÄLVDALEN</t>
        </is>
      </c>
      <c r="G399" t="n">
        <v>0.4</v>
      </c>
      <c r="H399" t="n">
        <v>0</v>
      </c>
      <c r="I399" t="n">
        <v>0</v>
      </c>
      <c r="J399" t="n">
        <v>0</v>
      </c>
      <c r="K399" t="n">
        <v>0</v>
      </c>
      <c r="L399" t="n">
        <v>0</v>
      </c>
      <c r="M399" t="n">
        <v>0</v>
      </c>
      <c r="N399" t="n">
        <v>0</v>
      </c>
      <c r="O399" t="n">
        <v>0</v>
      </c>
      <c r="P399" t="n">
        <v>0</v>
      </c>
      <c r="Q399" t="n">
        <v>0</v>
      </c>
      <c r="R399" s="2" t="inlineStr"/>
    </row>
    <row r="400" ht="15" customHeight="1">
      <c r="A400" t="inlineStr">
        <is>
          <t>A 2674-2026</t>
        </is>
      </c>
      <c r="B400" s="1" t="n">
        <v>46037.64707175926</v>
      </c>
      <c r="C400" s="1" t="n">
        <v>46040</v>
      </c>
      <c r="D400" t="inlineStr">
        <is>
          <t>DALARNAS LÄN</t>
        </is>
      </c>
      <c r="E400" t="inlineStr">
        <is>
          <t>ÄLVDALEN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2917-2026</t>
        </is>
      </c>
      <c r="B401" s="1" t="n">
        <v>46038.57403935185</v>
      </c>
      <c r="C401" s="1" t="n">
        <v>46040</v>
      </c>
      <c r="D401" t="inlineStr">
        <is>
          <t>DALARNAS LÄN</t>
        </is>
      </c>
      <c r="E401" t="inlineStr">
        <is>
          <t>ÄLVDALEN</t>
        </is>
      </c>
      <c r="G401" t="n">
        <v>4.6</v>
      </c>
      <c r="H401" t="n">
        <v>0</v>
      </c>
      <c r="I401" t="n">
        <v>0</v>
      </c>
      <c r="J401" t="n">
        <v>0</v>
      </c>
      <c r="K401" t="n">
        <v>0</v>
      </c>
      <c r="L401" t="n">
        <v>0</v>
      </c>
      <c r="M401" t="n">
        <v>0</v>
      </c>
      <c r="N401" t="n">
        <v>0</v>
      </c>
      <c r="O401" t="n">
        <v>0</v>
      </c>
      <c r="P401" t="n">
        <v>0</v>
      </c>
      <c r="Q401" t="n">
        <v>0</v>
      </c>
      <c r="R401" s="2" t="inlineStr"/>
    </row>
    <row r="402" ht="15" customHeight="1">
      <c r="A402" t="inlineStr">
        <is>
          <t>A 47877-2023</t>
        </is>
      </c>
      <c r="B402" s="1" t="n">
        <v>45204</v>
      </c>
      <c r="C402" s="1" t="n">
        <v>46040</v>
      </c>
      <c r="D402" t="inlineStr">
        <is>
          <t>DALARNAS LÄN</t>
        </is>
      </c>
      <c r="E402" t="inlineStr">
        <is>
          <t>ÄLVDALEN</t>
        </is>
      </c>
      <c r="G402" t="n">
        <v>4.8</v>
      </c>
      <c r="H402" t="n">
        <v>0</v>
      </c>
      <c r="I402" t="n">
        <v>0</v>
      </c>
      <c r="J402" t="n">
        <v>0</v>
      </c>
      <c r="K402" t="n">
        <v>0</v>
      </c>
      <c r="L402" t="n">
        <v>0</v>
      </c>
      <c r="M402" t="n">
        <v>0</v>
      </c>
      <c r="N402" t="n">
        <v>0</v>
      </c>
      <c r="O402" t="n">
        <v>0</v>
      </c>
      <c r="P402" t="n">
        <v>0</v>
      </c>
      <c r="Q402" t="n">
        <v>0</v>
      </c>
      <c r="R402" s="2" t="inlineStr"/>
    </row>
    <row r="403" ht="15" customHeight="1">
      <c r="A403" t="inlineStr">
        <is>
          <t>A 33107-2023</t>
        </is>
      </c>
      <c r="B403" s="1" t="n">
        <v>45114</v>
      </c>
      <c r="C403" s="1" t="n">
        <v>46040</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46040</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713-2022</t>
        </is>
      </c>
      <c r="B405" s="1" t="n">
        <v>44568</v>
      </c>
      <c r="C405" s="1" t="n">
        <v>46040</v>
      </c>
      <c r="D405" t="inlineStr">
        <is>
          <t>DALARNAS LÄN</t>
        </is>
      </c>
      <c r="E405" t="inlineStr">
        <is>
          <t>ÄLVDALEN</t>
        </is>
      </c>
      <c r="G405" t="n">
        <v>1.6</v>
      </c>
      <c r="H405" t="n">
        <v>0</v>
      </c>
      <c r="I405" t="n">
        <v>0</v>
      </c>
      <c r="J405" t="n">
        <v>0</v>
      </c>
      <c r="K405" t="n">
        <v>0</v>
      </c>
      <c r="L405" t="n">
        <v>0</v>
      </c>
      <c r="M405" t="n">
        <v>0</v>
      </c>
      <c r="N405" t="n">
        <v>0</v>
      </c>
      <c r="O405" t="n">
        <v>0</v>
      </c>
      <c r="P405" t="n">
        <v>0</v>
      </c>
      <c r="Q405" t="n">
        <v>0</v>
      </c>
      <c r="R405" s="2" t="inlineStr"/>
    </row>
    <row r="406" ht="15" customHeight="1">
      <c r="A406" t="inlineStr">
        <is>
          <t>A 59478-2024</t>
        </is>
      </c>
      <c r="B406" s="1" t="n">
        <v>45638.52181712963</v>
      </c>
      <c r="C406" s="1" t="n">
        <v>46040</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46040</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32187-2024</t>
        </is>
      </c>
      <c r="B408" s="1" t="n">
        <v>45511.64925925926</v>
      </c>
      <c r="C408" s="1" t="n">
        <v>46040</v>
      </c>
      <c r="D408" t="inlineStr">
        <is>
          <t>DALARNAS LÄN</t>
        </is>
      </c>
      <c r="E408" t="inlineStr">
        <is>
          <t>ÄLVDALEN</t>
        </is>
      </c>
      <c r="F408" t="inlineStr">
        <is>
          <t>Allmännings- och besparingsskogar</t>
        </is>
      </c>
      <c r="G408" t="n">
        <v>20</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46040</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760-2025</t>
        </is>
      </c>
      <c r="B410" s="1" t="n">
        <v>45665.44936342593</v>
      </c>
      <c r="C410" s="1" t="n">
        <v>46040</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777-2025</t>
        </is>
      </c>
      <c r="B411" s="1" t="n">
        <v>45665.47403935185</v>
      </c>
      <c r="C411" s="1" t="n">
        <v>46040</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54076-2024</t>
        </is>
      </c>
      <c r="B412" s="1" t="n">
        <v>45616</v>
      </c>
      <c r="C412" s="1" t="n">
        <v>46040</v>
      </c>
      <c r="D412" t="inlineStr">
        <is>
          <t>DALARNAS LÄN</t>
        </is>
      </c>
      <c r="E412" t="inlineStr">
        <is>
          <t>ÄLVDALEN</t>
        </is>
      </c>
      <c r="G412" t="n">
        <v>1.7</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46040</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57665-2024</t>
        </is>
      </c>
      <c r="B414" s="1" t="n">
        <v>45630.62005787037</v>
      </c>
      <c r="C414" s="1" t="n">
        <v>46040</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46040</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74322-2021</t>
        </is>
      </c>
      <c r="B416" s="1" t="n">
        <v>44558</v>
      </c>
      <c r="C416" s="1" t="n">
        <v>46040</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30414-2024</t>
        </is>
      </c>
      <c r="B417" s="1" t="n">
        <v>45491.63538194444</v>
      </c>
      <c r="C417" s="1" t="n">
        <v>46040</v>
      </c>
      <c r="D417" t="inlineStr">
        <is>
          <t>DALARNAS LÄN</t>
        </is>
      </c>
      <c r="E417" t="inlineStr">
        <is>
          <t>ÄLVDALEN</t>
        </is>
      </c>
      <c r="G417" t="n">
        <v>0.7</v>
      </c>
      <c r="H417" t="n">
        <v>0</v>
      </c>
      <c r="I417" t="n">
        <v>0</v>
      </c>
      <c r="J417" t="n">
        <v>0</v>
      </c>
      <c r="K417" t="n">
        <v>0</v>
      </c>
      <c r="L417" t="n">
        <v>0</v>
      </c>
      <c r="M417" t="n">
        <v>0</v>
      </c>
      <c r="N417" t="n">
        <v>0</v>
      </c>
      <c r="O417" t="n">
        <v>0</v>
      </c>
      <c r="P417" t="n">
        <v>0</v>
      </c>
      <c r="Q417" t="n">
        <v>0</v>
      </c>
      <c r="R417" s="2" t="inlineStr"/>
    </row>
    <row r="418" ht="15" customHeight="1">
      <c r="A418" t="inlineStr">
        <is>
          <t>A 27615-2023</t>
        </is>
      </c>
      <c r="B418" s="1" t="n">
        <v>45097</v>
      </c>
      <c r="C418" s="1" t="n">
        <v>46040</v>
      </c>
      <c r="D418" t="inlineStr">
        <is>
          <t>DALARNAS LÄN</t>
        </is>
      </c>
      <c r="E418" t="inlineStr">
        <is>
          <t>ÄLVDALEN</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48135-2025</t>
        </is>
      </c>
      <c r="B419" s="1" t="n">
        <v>45933.37452546296</v>
      </c>
      <c r="C419" s="1" t="n">
        <v>46040</v>
      </c>
      <c r="D419" t="inlineStr">
        <is>
          <t>DALARNAS LÄN</t>
        </is>
      </c>
      <c r="E419" t="inlineStr">
        <is>
          <t>ÄLVDALEN</t>
        </is>
      </c>
      <c r="G419" t="n">
        <v>2.4</v>
      </c>
      <c r="H419" t="n">
        <v>0</v>
      </c>
      <c r="I419" t="n">
        <v>0</v>
      </c>
      <c r="J419" t="n">
        <v>0</v>
      </c>
      <c r="K419" t="n">
        <v>0</v>
      </c>
      <c r="L419" t="n">
        <v>0</v>
      </c>
      <c r="M419" t="n">
        <v>0</v>
      </c>
      <c r="N419" t="n">
        <v>0</v>
      </c>
      <c r="O419" t="n">
        <v>0</v>
      </c>
      <c r="P419" t="n">
        <v>0</v>
      </c>
      <c r="Q419" t="n">
        <v>0</v>
      </c>
      <c r="R419" s="2" t="inlineStr"/>
    </row>
    <row r="420" ht="15" customHeight="1">
      <c r="A420" t="inlineStr">
        <is>
          <t>A 31047-2024</t>
        </is>
      </c>
      <c r="B420" s="1" t="n">
        <v>45502.33021990741</v>
      </c>
      <c r="C420" s="1" t="n">
        <v>46040</v>
      </c>
      <c r="D420" t="inlineStr">
        <is>
          <t>DALARNAS LÄN</t>
        </is>
      </c>
      <c r="E420" t="inlineStr">
        <is>
          <t>ÄLVDALEN</t>
        </is>
      </c>
      <c r="F420" t="inlineStr">
        <is>
          <t>Sveaskog</t>
        </is>
      </c>
      <c r="G420" t="n">
        <v>8</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46040</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45167-2022</t>
        </is>
      </c>
      <c r="B422" s="1" t="n">
        <v>44844</v>
      </c>
      <c r="C422" s="1" t="n">
        <v>46040</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13000-2022</t>
        </is>
      </c>
      <c r="B423" s="1" t="n">
        <v>44643.44597222222</v>
      </c>
      <c r="C423" s="1" t="n">
        <v>46040</v>
      </c>
      <c r="D423" t="inlineStr">
        <is>
          <t>DALARNAS LÄN</t>
        </is>
      </c>
      <c r="E423" t="inlineStr">
        <is>
          <t>ÄLVDALEN</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23999-2024</t>
        </is>
      </c>
      <c r="B424" s="1" t="n">
        <v>45456.37555555555</v>
      </c>
      <c r="C424" s="1" t="n">
        <v>46040</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24002-2024</t>
        </is>
      </c>
      <c r="B425" s="1" t="n">
        <v>45456.3827662037</v>
      </c>
      <c r="C425" s="1" t="n">
        <v>46040</v>
      </c>
      <c r="D425" t="inlineStr">
        <is>
          <t>DALARNAS LÄN</t>
        </is>
      </c>
      <c r="E425" t="inlineStr">
        <is>
          <t>ÄLVDALEN</t>
        </is>
      </c>
      <c r="G425" t="n">
        <v>1</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46040</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32359-2024</t>
        </is>
      </c>
      <c r="B427" s="1" t="n">
        <v>45512.56623842593</v>
      </c>
      <c r="C427" s="1" t="n">
        <v>46040</v>
      </c>
      <c r="D427" t="inlineStr">
        <is>
          <t>DALARNAS LÄN</t>
        </is>
      </c>
      <c r="E427" t="inlineStr">
        <is>
          <t>ÄLVDALEN</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50314-2025</t>
        </is>
      </c>
      <c r="B428" s="1" t="n">
        <v>45944.44439814815</v>
      </c>
      <c r="C428" s="1" t="n">
        <v>46040</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56882-2022</t>
        </is>
      </c>
      <c r="B429" s="1" t="n">
        <v>44894</v>
      </c>
      <c r="C429" s="1" t="n">
        <v>46040</v>
      </c>
      <c r="D429" t="inlineStr">
        <is>
          <t>DALARNAS LÄN</t>
        </is>
      </c>
      <c r="E429" t="inlineStr">
        <is>
          <t>ÄLVDALEN</t>
        </is>
      </c>
      <c r="G429" t="n">
        <v>7.4</v>
      </c>
      <c r="H429" t="n">
        <v>0</v>
      </c>
      <c r="I429" t="n">
        <v>0</v>
      </c>
      <c r="J429" t="n">
        <v>0</v>
      </c>
      <c r="K429" t="n">
        <v>0</v>
      </c>
      <c r="L429" t="n">
        <v>0</v>
      </c>
      <c r="M429" t="n">
        <v>0</v>
      </c>
      <c r="N429" t="n">
        <v>0</v>
      </c>
      <c r="O429" t="n">
        <v>0</v>
      </c>
      <c r="P429" t="n">
        <v>0</v>
      </c>
      <c r="Q429" t="n">
        <v>0</v>
      </c>
      <c r="R429" s="2" t="inlineStr"/>
    </row>
    <row r="430" ht="15" customHeight="1">
      <c r="A430" t="inlineStr">
        <is>
          <t>A 15759-2024</t>
        </is>
      </c>
      <c r="B430" s="1" t="n">
        <v>45404</v>
      </c>
      <c r="C430" s="1" t="n">
        <v>46040</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51392-2025</t>
        </is>
      </c>
      <c r="B431" s="1" t="n">
        <v>45950.46956018519</v>
      </c>
      <c r="C431" s="1" t="n">
        <v>46040</v>
      </c>
      <c r="D431" t="inlineStr">
        <is>
          <t>DALARNAS LÄN</t>
        </is>
      </c>
      <c r="E431" t="inlineStr">
        <is>
          <t>ÄLVDALEN</t>
        </is>
      </c>
      <c r="G431" t="n">
        <v>0.8</v>
      </c>
      <c r="H431" t="n">
        <v>0</v>
      </c>
      <c r="I431" t="n">
        <v>0</v>
      </c>
      <c r="J431" t="n">
        <v>0</v>
      </c>
      <c r="K431" t="n">
        <v>0</v>
      </c>
      <c r="L431" t="n">
        <v>0</v>
      </c>
      <c r="M431" t="n">
        <v>0</v>
      </c>
      <c r="N431" t="n">
        <v>0</v>
      </c>
      <c r="O431" t="n">
        <v>0</v>
      </c>
      <c r="P431" t="n">
        <v>0</v>
      </c>
      <c r="Q431" t="n">
        <v>0</v>
      </c>
      <c r="R431" s="2" t="inlineStr"/>
    </row>
    <row r="432" ht="15" customHeight="1">
      <c r="A432" t="inlineStr">
        <is>
          <t>A 51058-2025</t>
        </is>
      </c>
      <c r="B432" s="1" t="n">
        <v>45947.44518518518</v>
      </c>
      <c r="C432" s="1" t="n">
        <v>46040</v>
      </c>
      <c r="D432" t="inlineStr">
        <is>
          <t>DALARNAS LÄN</t>
        </is>
      </c>
      <c r="E432" t="inlineStr">
        <is>
          <t>ÄLVDALEN</t>
        </is>
      </c>
      <c r="G432" t="n">
        <v>3.8</v>
      </c>
      <c r="H432" t="n">
        <v>0</v>
      </c>
      <c r="I432" t="n">
        <v>0</v>
      </c>
      <c r="J432" t="n">
        <v>0</v>
      </c>
      <c r="K432" t="n">
        <v>0</v>
      </c>
      <c r="L432" t="n">
        <v>0</v>
      </c>
      <c r="M432" t="n">
        <v>0</v>
      </c>
      <c r="N432" t="n">
        <v>0</v>
      </c>
      <c r="O432" t="n">
        <v>0</v>
      </c>
      <c r="P432" t="n">
        <v>0</v>
      </c>
      <c r="Q432" t="n">
        <v>0</v>
      </c>
      <c r="R432" s="2" t="inlineStr"/>
    </row>
    <row r="433" ht="15" customHeight="1">
      <c r="A433" t="inlineStr">
        <is>
          <t>A 56222-2023</t>
        </is>
      </c>
      <c r="B433" s="1" t="n">
        <v>45240</v>
      </c>
      <c r="C433" s="1" t="n">
        <v>46040</v>
      </c>
      <c r="D433" t="inlineStr">
        <is>
          <t>DALARNAS LÄN</t>
        </is>
      </c>
      <c r="E433" t="inlineStr">
        <is>
          <t>ÄLVDALEN</t>
        </is>
      </c>
      <c r="F433" t="inlineStr">
        <is>
          <t>Övriga Aktiebolag</t>
        </is>
      </c>
      <c r="G433" t="n">
        <v>3.2</v>
      </c>
      <c r="H433" t="n">
        <v>0</v>
      </c>
      <c r="I433" t="n">
        <v>0</v>
      </c>
      <c r="J433" t="n">
        <v>0</v>
      </c>
      <c r="K433" t="n">
        <v>0</v>
      </c>
      <c r="L433" t="n">
        <v>0</v>
      </c>
      <c r="M433" t="n">
        <v>0</v>
      </c>
      <c r="N433" t="n">
        <v>0</v>
      </c>
      <c r="O433" t="n">
        <v>0</v>
      </c>
      <c r="P433" t="n">
        <v>0</v>
      </c>
      <c r="Q433" t="n">
        <v>0</v>
      </c>
      <c r="R433" s="2" t="inlineStr"/>
    </row>
    <row r="434" ht="15" customHeight="1">
      <c r="A434" t="inlineStr">
        <is>
          <t>A 51381-2025</t>
        </is>
      </c>
      <c r="B434" s="1" t="n">
        <v>45950.45982638889</v>
      </c>
      <c r="C434" s="1" t="n">
        <v>46040</v>
      </c>
      <c r="D434" t="inlineStr">
        <is>
          <t>DALARNAS LÄN</t>
        </is>
      </c>
      <c r="E434" t="inlineStr">
        <is>
          <t>ÄLVDALEN</t>
        </is>
      </c>
      <c r="G434" t="n">
        <v>1.3</v>
      </c>
      <c r="H434" t="n">
        <v>0</v>
      </c>
      <c r="I434" t="n">
        <v>0</v>
      </c>
      <c r="J434" t="n">
        <v>0</v>
      </c>
      <c r="K434" t="n">
        <v>0</v>
      </c>
      <c r="L434" t="n">
        <v>0</v>
      </c>
      <c r="M434" t="n">
        <v>0</v>
      </c>
      <c r="N434" t="n">
        <v>0</v>
      </c>
      <c r="O434" t="n">
        <v>0</v>
      </c>
      <c r="P434" t="n">
        <v>0</v>
      </c>
      <c r="Q434" t="n">
        <v>0</v>
      </c>
      <c r="R434" s="2" t="inlineStr"/>
    </row>
    <row r="435" ht="15" customHeight="1">
      <c r="A435" t="inlineStr">
        <is>
          <t>A 56224-2023</t>
        </is>
      </c>
      <c r="B435" s="1" t="n">
        <v>45240</v>
      </c>
      <c r="C435" s="1" t="n">
        <v>46040</v>
      </c>
      <c r="D435" t="inlineStr">
        <is>
          <t>DALARNAS LÄN</t>
        </is>
      </c>
      <c r="E435" t="inlineStr">
        <is>
          <t>ÄLVDALEN</t>
        </is>
      </c>
      <c r="F435" t="inlineStr">
        <is>
          <t>Övriga Aktiebolag</t>
        </is>
      </c>
      <c r="G435" t="n">
        <v>10.9</v>
      </c>
      <c r="H435" t="n">
        <v>0</v>
      </c>
      <c r="I435" t="n">
        <v>0</v>
      </c>
      <c r="J435" t="n">
        <v>0</v>
      </c>
      <c r="K435" t="n">
        <v>0</v>
      </c>
      <c r="L435" t="n">
        <v>0</v>
      </c>
      <c r="M435" t="n">
        <v>0</v>
      </c>
      <c r="N435" t="n">
        <v>0</v>
      </c>
      <c r="O435" t="n">
        <v>0</v>
      </c>
      <c r="P435" t="n">
        <v>0</v>
      </c>
      <c r="Q435" t="n">
        <v>0</v>
      </c>
      <c r="R435" s="2" t="inlineStr"/>
    </row>
    <row r="436" ht="15" customHeight="1">
      <c r="A436" t="inlineStr">
        <is>
          <t>A 8192-2025</t>
        </is>
      </c>
      <c r="B436" s="1" t="n">
        <v>45708.41151620371</v>
      </c>
      <c r="C436" s="1" t="n">
        <v>46040</v>
      </c>
      <c r="D436" t="inlineStr">
        <is>
          <t>DALARNAS LÄN</t>
        </is>
      </c>
      <c r="E436" t="inlineStr">
        <is>
          <t>ÄLVDALEN</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51461-2025</t>
        </is>
      </c>
      <c r="B437" s="1" t="n">
        <v>45950.6047337963</v>
      </c>
      <c r="C437" s="1" t="n">
        <v>46040</v>
      </c>
      <c r="D437" t="inlineStr">
        <is>
          <t>DALARNAS LÄN</t>
        </is>
      </c>
      <c r="E437" t="inlineStr">
        <is>
          <t>ÄLVDALEN</t>
        </is>
      </c>
      <c r="F437" t="inlineStr">
        <is>
          <t>Allmännings- och besparingsskogar</t>
        </is>
      </c>
      <c r="G437" t="n">
        <v>5</v>
      </c>
      <c r="H437" t="n">
        <v>0</v>
      </c>
      <c r="I437" t="n">
        <v>0</v>
      </c>
      <c r="J437" t="n">
        <v>0</v>
      </c>
      <c r="K437" t="n">
        <v>0</v>
      </c>
      <c r="L437" t="n">
        <v>0</v>
      </c>
      <c r="M437" t="n">
        <v>0</v>
      </c>
      <c r="N437" t="n">
        <v>0</v>
      </c>
      <c r="O437" t="n">
        <v>0</v>
      </c>
      <c r="P437" t="n">
        <v>0</v>
      </c>
      <c r="Q437" t="n">
        <v>0</v>
      </c>
      <c r="R437" s="2" t="inlineStr"/>
    </row>
    <row r="438" ht="15" customHeight="1">
      <c r="A438" t="inlineStr">
        <is>
          <t>A 51399-2025</t>
        </is>
      </c>
      <c r="B438" s="1" t="n">
        <v>45950.47741898148</v>
      </c>
      <c r="C438" s="1" t="n">
        <v>46040</v>
      </c>
      <c r="D438" t="inlineStr">
        <is>
          <t>DALARNAS LÄN</t>
        </is>
      </c>
      <c r="E438" t="inlineStr">
        <is>
          <t>ÄLVDALEN</t>
        </is>
      </c>
      <c r="G438" t="n">
        <v>5.9</v>
      </c>
      <c r="H438" t="n">
        <v>0</v>
      </c>
      <c r="I438" t="n">
        <v>0</v>
      </c>
      <c r="J438" t="n">
        <v>0</v>
      </c>
      <c r="K438" t="n">
        <v>0</v>
      </c>
      <c r="L438" t="n">
        <v>0</v>
      </c>
      <c r="M438" t="n">
        <v>0</v>
      </c>
      <c r="N438" t="n">
        <v>0</v>
      </c>
      <c r="O438" t="n">
        <v>0</v>
      </c>
      <c r="P438" t="n">
        <v>0</v>
      </c>
      <c r="Q438" t="n">
        <v>0</v>
      </c>
      <c r="R438" s="2" t="inlineStr"/>
    </row>
    <row r="439" ht="15" customHeight="1">
      <c r="A439" t="inlineStr">
        <is>
          <t>A 46011-2023</t>
        </is>
      </c>
      <c r="B439" s="1" t="n">
        <v>45196.38245370371</v>
      </c>
      <c r="C439" s="1" t="n">
        <v>46040</v>
      </c>
      <c r="D439" t="inlineStr">
        <is>
          <t>DALARNAS LÄN</t>
        </is>
      </c>
      <c r="E439" t="inlineStr">
        <is>
          <t>ÄLVDALEN</t>
        </is>
      </c>
      <c r="F439" t="inlineStr">
        <is>
          <t>Bergvik skog väst AB</t>
        </is>
      </c>
      <c r="G439" t="n">
        <v>2</v>
      </c>
      <c r="H439" t="n">
        <v>0</v>
      </c>
      <c r="I439" t="n">
        <v>0</v>
      </c>
      <c r="J439" t="n">
        <v>0</v>
      </c>
      <c r="K439" t="n">
        <v>0</v>
      </c>
      <c r="L439" t="n">
        <v>0</v>
      </c>
      <c r="M439" t="n">
        <v>0</v>
      </c>
      <c r="N439" t="n">
        <v>0</v>
      </c>
      <c r="O439" t="n">
        <v>0</v>
      </c>
      <c r="P439" t="n">
        <v>0</v>
      </c>
      <c r="Q439" t="n">
        <v>0</v>
      </c>
      <c r="R439" s="2" t="inlineStr"/>
    </row>
    <row r="440" ht="15" customHeight="1">
      <c r="A440" t="inlineStr">
        <is>
          <t>A 51442-2025</t>
        </is>
      </c>
      <c r="B440" s="1" t="n">
        <v>45950.57458333333</v>
      </c>
      <c r="C440" s="1" t="n">
        <v>46040</v>
      </c>
      <c r="D440" t="inlineStr">
        <is>
          <t>DALARNAS LÄN</t>
        </is>
      </c>
      <c r="E440" t="inlineStr">
        <is>
          <t>ÄLVDALEN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52033-2025</t>
        </is>
      </c>
      <c r="B441" s="1" t="n">
        <v>45952.6122337963</v>
      </c>
      <c r="C441" s="1" t="n">
        <v>46040</v>
      </c>
      <c r="D441" t="inlineStr">
        <is>
          <t>DALARNAS LÄN</t>
        </is>
      </c>
      <c r="E441" t="inlineStr">
        <is>
          <t>ÄLVDALEN</t>
        </is>
      </c>
      <c r="F441" t="inlineStr">
        <is>
          <t>Allmännings- och besparingsskogar</t>
        </is>
      </c>
      <c r="G441" t="n">
        <v>3.5</v>
      </c>
      <c r="H441" t="n">
        <v>0</v>
      </c>
      <c r="I441" t="n">
        <v>0</v>
      </c>
      <c r="J441" t="n">
        <v>0</v>
      </c>
      <c r="K441" t="n">
        <v>0</v>
      </c>
      <c r="L441" t="n">
        <v>0</v>
      </c>
      <c r="M441" t="n">
        <v>0</v>
      </c>
      <c r="N441" t="n">
        <v>0</v>
      </c>
      <c r="O441" t="n">
        <v>0</v>
      </c>
      <c r="P441" t="n">
        <v>0</v>
      </c>
      <c r="Q441" t="n">
        <v>0</v>
      </c>
      <c r="R441" s="2" t="inlineStr"/>
    </row>
    <row r="442" ht="15" customHeight="1">
      <c r="A442" t="inlineStr">
        <is>
          <t>A 51975-2025</t>
        </is>
      </c>
      <c r="B442" s="1" t="n">
        <v>45952</v>
      </c>
      <c r="C442" s="1" t="n">
        <v>46040</v>
      </c>
      <c r="D442" t="inlineStr">
        <is>
          <t>DALARNAS LÄN</t>
        </is>
      </c>
      <c r="E442" t="inlineStr">
        <is>
          <t>ÄLVDALEN</t>
        </is>
      </c>
      <c r="F442" t="inlineStr">
        <is>
          <t>Allmännings- och besparingsskogar</t>
        </is>
      </c>
      <c r="G442" t="n">
        <v>3.5</v>
      </c>
      <c r="H442" t="n">
        <v>0</v>
      </c>
      <c r="I442" t="n">
        <v>0</v>
      </c>
      <c r="J442" t="n">
        <v>0</v>
      </c>
      <c r="K442" t="n">
        <v>0</v>
      </c>
      <c r="L442" t="n">
        <v>0</v>
      </c>
      <c r="M442" t="n">
        <v>0</v>
      </c>
      <c r="N442" t="n">
        <v>0</v>
      </c>
      <c r="O442" t="n">
        <v>0</v>
      </c>
      <c r="P442" t="n">
        <v>0</v>
      </c>
      <c r="Q442" t="n">
        <v>0</v>
      </c>
      <c r="R442" s="2" t="inlineStr"/>
    </row>
    <row r="443" ht="15" customHeight="1">
      <c r="A443" t="inlineStr">
        <is>
          <t>A 41004-2023</t>
        </is>
      </c>
      <c r="B443" s="1" t="n">
        <v>45173</v>
      </c>
      <c r="C443" s="1" t="n">
        <v>46040</v>
      </c>
      <c r="D443" t="inlineStr">
        <is>
          <t>DALARNAS LÄN</t>
        </is>
      </c>
      <c r="E443" t="inlineStr">
        <is>
          <t>ÄLVDALEN</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52072-2025</t>
        </is>
      </c>
      <c r="B444" s="1" t="n">
        <v>45952.64829861111</v>
      </c>
      <c r="C444" s="1" t="n">
        <v>46040</v>
      </c>
      <c r="D444" t="inlineStr">
        <is>
          <t>DALARNAS LÄN</t>
        </is>
      </c>
      <c r="E444" t="inlineStr">
        <is>
          <t>ÄLVDALEN</t>
        </is>
      </c>
      <c r="F444" t="inlineStr">
        <is>
          <t>Allmännings- och besparingsskogar</t>
        </is>
      </c>
      <c r="G444" t="n">
        <v>54.2</v>
      </c>
      <c r="H444" t="n">
        <v>0</v>
      </c>
      <c r="I444" t="n">
        <v>0</v>
      </c>
      <c r="J444" t="n">
        <v>0</v>
      </c>
      <c r="K444" t="n">
        <v>0</v>
      </c>
      <c r="L444" t="n">
        <v>0</v>
      </c>
      <c r="M444" t="n">
        <v>0</v>
      </c>
      <c r="N444" t="n">
        <v>0</v>
      </c>
      <c r="O444" t="n">
        <v>0</v>
      </c>
      <c r="P444" t="n">
        <v>0</v>
      </c>
      <c r="Q444" t="n">
        <v>0</v>
      </c>
      <c r="R444" s="2" t="inlineStr"/>
    </row>
    <row r="445" ht="15" customHeight="1">
      <c r="A445" t="inlineStr">
        <is>
          <t>A 32237-2025</t>
        </is>
      </c>
      <c r="B445" s="1" t="n">
        <v>45835</v>
      </c>
      <c r="C445" s="1" t="n">
        <v>46040</v>
      </c>
      <c r="D445" t="inlineStr">
        <is>
          <t>DALARNAS LÄN</t>
        </is>
      </c>
      <c r="E445" t="inlineStr">
        <is>
          <t>ÄLVDALEN</t>
        </is>
      </c>
      <c r="G445" t="n">
        <v>4.6</v>
      </c>
      <c r="H445" t="n">
        <v>0</v>
      </c>
      <c r="I445" t="n">
        <v>0</v>
      </c>
      <c r="J445" t="n">
        <v>0</v>
      </c>
      <c r="K445" t="n">
        <v>0</v>
      </c>
      <c r="L445" t="n">
        <v>0</v>
      </c>
      <c r="M445" t="n">
        <v>0</v>
      </c>
      <c r="N445" t="n">
        <v>0</v>
      </c>
      <c r="O445" t="n">
        <v>0</v>
      </c>
      <c r="P445" t="n">
        <v>0</v>
      </c>
      <c r="Q445" t="n">
        <v>0</v>
      </c>
      <c r="R445" s="2" t="inlineStr"/>
    </row>
    <row r="446" ht="15" customHeight="1">
      <c r="A446" t="inlineStr">
        <is>
          <t>A 49203-2023</t>
        </is>
      </c>
      <c r="B446" s="1" t="n">
        <v>45210</v>
      </c>
      <c r="C446" s="1" t="n">
        <v>46040</v>
      </c>
      <c r="D446" t="inlineStr">
        <is>
          <t>DALARNAS LÄN</t>
        </is>
      </c>
      <c r="E446" t="inlineStr">
        <is>
          <t>ÄLVDALEN</t>
        </is>
      </c>
      <c r="F446" t="inlineStr">
        <is>
          <t>Bergvik skog väst AB</t>
        </is>
      </c>
      <c r="G446" t="n">
        <v>18.2</v>
      </c>
      <c r="H446" t="n">
        <v>0</v>
      </c>
      <c r="I446" t="n">
        <v>0</v>
      </c>
      <c r="J446" t="n">
        <v>0</v>
      </c>
      <c r="K446" t="n">
        <v>0</v>
      </c>
      <c r="L446" t="n">
        <v>0</v>
      </c>
      <c r="M446" t="n">
        <v>0</v>
      </c>
      <c r="N446" t="n">
        <v>0</v>
      </c>
      <c r="O446" t="n">
        <v>0</v>
      </c>
      <c r="P446" t="n">
        <v>0</v>
      </c>
      <c r="Q446" t="n">
        <v>0</v>
      </c>
      <c r="R446" s="2" t="inlineStr"/>
    </row>
    <row r="447" ht="15" customHeight="1">
      <c r="A447" t="inlineStr">
        <is>
          <t>A 51915-2025</t>
        </is>
      </c>
      <c r="B447" s="1" t="n">
        <v>45952.47706018519</v>
      </c>
      <c r="C447" s="1" t="n">
        <v>46040</v>
      </c>
      <c r="D447" t="inlineStr">
        <is>
          <t>DALARNAS LÄN</t>
        </is>
      </c>
      <c r="E447" t="inlineStr">
        <is>
          <t>ÄLVDALEN</t>
        </is>
      </c>
      <c r="F447" t="inlineStr">
        <is>
          <t>Allmännings- och besparingsskogar</t>
        </is>
      </c>
      <c r="G447" t="n">
        <v>66.7</v>
      </c>
      <c r="H447" t="n">
        <v>0</v>
      </c>
      <c r="I447" t="n">
        <v>0</v>
      </c>
      <c r="J447" t="n">
        <v>0</v>
      </c>
      <c r="K447" t="n">
        <v>0</v>
      </c>
      <c r="L447" t="n">
        <v>0</v>
      </c>
      <c r="M447" t="n">
        <v>0</v>
      </c>
      <c r="N447" t="n">
        <v>0</v>
      </c>
      <c r="O447" t="n">
        <v>0</v>
      </c>
      <c r="P447" t="n">
        <v>0</v>
      </c>
      <c r="Q447" t="n">
        <v>0</v>
      </c>
      <c r="R447" s="2" t="inlineStr"/>
    </row>
    <row r="448" ht="15" customHeight="1">
      <c r="A448" t="inlineStr">
        <is>
          <t>A 6675-2025</t>
        </is>
      </c>
      <c r="B448" s="1" t="n">
        <v>45700.47643518518</v>
      </c>
      <c r="C448" s="1" t="n">
        <v>46040</v>
      </c>
      <c r="D448" t="inlineStr">
        <is>
          <t>DALARNAS LÄN</t>
        </is>
      </c>
      <c r="E448" t="inlineStr">
        <is>
          <t>ÄLVDALEN</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52152-2025</t>
        </is>
      </c>
      <c r="B449" s="1" t="n">
        <v>45953.34563657407</v>
      </c>
      <c r="C449" s="1" t="n">
        <v>46040</v>
      </c>
      <c r="D449" t="inlineStr">
        <is>
          <t>DALARNAS LÄN</t>
        </is>
      </c>
      <c r="E449" t="inlineStr">
        <is>
          <t>ÄLVDALEN</t>
        </is>
      </c>
      <c r="F449" t="inlineStr">
        <is>
          <t>Allmännings- och besparingsskogar</t>
        </is>
      </c>
      <c r="G449" t="n">
        <v>22.3</v>
      </c>
      <c r="H449" t="n">
        <v>0</v>
      </c>
      <c r="I449" t="n">
        <v>0</v>
      </c>
      <c r="J449" t="n">
        <v>0</v>
      </c>
      <c r="K449" t="n">
        <v>0</v>
      </c>
      <c r="L449" t="n">
        <v>0</v>
      </c>
      <c r="M449" t="n">
        <v>0</v>
      </c>
      <c r="N449" t="n">
        <v>0</v>
      </c>
      <c r="O449" t="n">
        <v>0</v>
      </c>
      <c r="P449" t="n">
        <v>0</v>
      </c>
      <c r="Q449" t="n">
        <v>0</v>
      </c>
      <c r="R449" s="2" t="inlineStr"/>
    </row>
    <row r="450" ht="15" customHeight="1">
      <c r="A450" t="inlineStr">
        <is>
          <t>A 5583-2025</t>
        </is>
      </c>
      <c r="B450" s="1" t="n">
        <v>45693.55244212963</v>
      </c>
      <c r="C450" s="1" t="n">
        <v>46040</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24009-2024</t>
        </is>
      </c>
      <c r="B451" s="1" t="n">
        <v>45456.40030092592</v>
      </c>
      <c r="C451" s="1" t="n">
        <v>46040</v>
      </c>
      <c r="D451" t="inlineStr">
        <is>
          <t>DALARNAS LÄN</t>
        </is>
      </c>
      <c r="E451" t="inlineStr">
        <is>
          <t>ÄLVDALEN</t>
        </is>
      </c>
      <c r="G451" t="n">
        <v>1.1</v>
      </c>
      <c r="H451" t="n">
        <v>0</v>
      </c>
      <c r="I451" t="n">
        <v>0</v>
      </c>
      <c r="J451" t="n">
        <v>0</v>
      </c>
      <c r="K451" t="n">
        <v>0</v>
      </c>
      <c r="L451" t="n">
        <v>0</v>
      </c>
      <c r="M451" t="n">
        <v>0</v>
      </c>
      <c r="N451" t="n">
        <v>0</v>
      </c>
      <c r="O451" t="n">
        <v>0</v>
      </c>
      <c r="P451" t="n">
        <v>0</v>
      </c>
      <c r="Q451" t="n">
        <v>0</v>
      </c>
      <c r="R451" s="2" t="inlineStr"/>
    </row>
    <row r="452" ht="15" customHeight="1">
      <c r="A452" t="inlineStr">
        <is>
          <t>A 36640-2023</t>
        </is>
      </c>
      <c r="B452" s="1" t="n">
        <v>45153.54498842593</v>
      </c>
      <c r="C452" s="1" t="n">
        <v>46040</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5170-2024</t>
        </is>
      </c>
      <c r="B453" s="1" t="n">
        <v>45330.55390046296</v>
      </c>
      <c r="C453" s="1" t="n">
        <v>46040</v>
      </c>
      <c r="D453" t="inlineStr">
        <is>
          <t>DALARNAS LÄN</t>
        </is>
      </c>
      <c r="E453" t="inlineStr">
        <is>
          <t>ÄLVDALEN</t>
        </is>
      </c>
      <c r="G453" t="n">
        <v>15.8</v>
      </c>
      <c r="H453" t="n">
        <v>0</v>
      </c>
      <c r="I453" t="n">
        <v>0</v>
      </c>
      <c r="J453" t="n">
        <v>0</v>
      </c>
      <c r="K453" t="n">
        <v>0</v>
      </c>
      <c r="L453" t="n">
        <v>0</v>
      </c>
      <c r="M453" t="n">
        <v>0</v>
      </c>
      <c r="N453" t="n">
        <v>0</v>
      </c>
      <c r="O453" t="n">
        <v>0</v>
      </c>
      <c r="P453" t="n">
        <v>0</v>
      </c>
      <c r="Q453" t="n">
        <v>0</v>
      </c>
      <c r="R453" s="2" t="inlineStr"/>
    </row>
    <row r="454" ht="15" customHeight="1">
      <c r="A454" t="inlineStr">
        <is>
          <t>A 30143-2024</t>
        </is>
      </c>
      <c r="B454" s="1" t="n">
        <v>45488</v>
      </c>
      <c r="C454" s="1" t="n">
        <v>46040</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30146-2024</t>
        </is>
      </c>
      <c r="B455" s="1" t="n">
        <v>45488</v>
      </c>
      <c r="C455" s="1" t="n">
        <v>46040</v>
      </c>
      <c r="D455" t="inlineStr">
        <is>
          <t>DALARNAS LÄN</t>
        </is>
      </c>
      <c r="E455" t="inlineStr">
        <is>
          <t>ÄLVDALEN</t>
        </is>
      </c>
      <c r="G455" t="n">
        <v>1.1</v>
      </c>
      <c r="H455" t="n">
        <v>0</v>
      </c>
      <c r="I455" t="n">
        <v>0</v>
      </c>
      <c r="J455" t="n">
        <v>0</v>
      </c>
      <c r="K455" t="n">
        <v>0</v>
      </c>
      <c r="L455" t="n">
        <v>0</v>
      </c>
      <c r="M455" t="n">
        <v>0</v>
      </c>
      <c r="N455" t="n">
        <v>0</v>
      </c>
      <c r="O455" t="n">
        <v>0</v>
      </c>
      <c r="P455" t="n">
        <v>0</v>
      </c>
      <c r="Q455" t="n">
        <v>0</v>
      </c>
      <c r="R455" s="2" t="inlineStr"/>
    </row>
    <row r="456" ht="15" customHeight="1">
      <c r="A456" t="inlineStr">
        <is>
          <t>A 30147-2024</t>
        </is>
      </c>
      <c r="B456" s="1" t="n">
        <v>45488</v>
      </c>
      <c r="C456" s="1" t="n">
        <v>46040</v>
      </c>
      <c r="D456" t="inlineStr">
        <is>
          <t>DALARNAS LÄN</t>
        </is>
      </c>
      <c r="E456" t="inlineStr">
        <is>
          <t>ÄLVDALEN</t>
        </is>
      </c>
      <c r="G456" t="n">
        <v>2.1</v>
      </c>
      <c r="H456" t="n">
        <v>0</v>
      </c>
      <c r="I456" t="n">
        <v>0</v>
      </c>
      <c r="J456" t="n">
        <v>0</v>
      </c>
      <c r="K456" t="n">
        <v>0</v>
      </c>
      <c r="L456" t="n">
        <v>0</v>
      </c>
      <c r="M456" t="n">
        <v>0</v>
      </c>
      <c r="N456" t="n">
        <v>0</v>
      </c>
      <c r="O456" t="n">
        <v>0</v>
      </c>
      <c r="P456" t="n">
        <v>0</v>
      </c>
      <c r="Q456" t="n">
        <v>0</v>
      </c>
      <c r="R456" s="2" t="inlineStr"/>
    </row>
    <row r="457" ht="15" customHeight="1">
      <c r="A457" t="inlineStr">
        <is>
          <t>A 42649-2023</t>
        </is>
      </c>
      <c r="B457" s="1" t="n">
        <v>45181.53310185186</v>
      </c>
      <c r="C457" s="1" t="n">
        <v>46040</v>
      </c>
      <c r="D457" t="inlineStr">
        <is>
          <t>DALARNAS LÄN</t>
        </is>
      </c>
      <c r="E457" t="inlineStr">
        <is>
          <t>ÄLVDALEN</t>
        </is>
      </c>
      <c r="G457" t="n">
        <v>5.3</v>
      </c>
      <c r="H457" t="n">
        <v>0</v>
      </c>
      <c r="I457" t="n">
        <v>0</v>
      </c>
      <c r="J457" t="n">
        <v>0</v>
      </c>
      <c r="K457" t="n">
        <v>0</v>
      </c>
      <c r="L457" t="n">
        <v>0</v>
      </c>
      <c r="M457" t="n">
        <v>0</v>
      </c>
      <c r="N457" t="n">
        <v>0</v>
      </c>
      <c r="O457" t="n">
        <v>0</v>
      </c>
      <c r="P457" t="n">
        <v>0</v>
      </c>
      <c r="Q457" t="n">
        <v>0</v>
      </c>
      <c r="R457" s="2" t="inlineStr"/>
    </row>
    <row r="458" ht="15" customHeight="1">
      <c r="A458" t="inlineStr">
        <is>
          <t>A 33100-2023</t>
        </is>
      </c>
      <c r="B458" s="1" t="n">
        <v>45114</v>
      </c>
      <c r="C458" s="1" t="n">
        <v>46040</v>
      </c>
      <c r="D458" t="inlineStr">
        <is>
          <t>DALARNAS LÄN</t>
        </is>
      </c>
      <c r="E458" t="inlineStr">
        <is>
          <t>ÄLVDALEN</t>
        </is>
      </c>
      <c r="G458" t="n">
        <v>0.5</v>
      </c>
      <c r="H458" t="n">
        <v>0</v>
      </c>
      <c r="I458" t="n">
        <v>0</v>
      </c>
      <c r="J458" t="n">
        <v>0</v>
      </c>
      <c r="K458" t="n">
        <v>0</v>
      </c>
      <c r="L458" t="n">
        <v>0</v>
      </c>
      <c r="M458" t="n">
        <v>0</v>
      </c>
      <c r="N458" t="n">
        <v>0</v>
      </c>
      <c r="O458" t="n">
        <v>0</v>
      </c>
      <c r="P458" t="n">
        <v>0</v>
      </c>
      <c r="Q458" t="n">
        <v>0</v>
      </c>
      <c r="R458" s="2" t="inlineStr"/>
    </row>
    <row r="459" ht="15" customHeight="1">
      <c r="A459" t="inlineStr">
        <is>
          <t>A 47936-2024</t>
        </is>
      </c>
      <c r="B459" s="1" t="n">
        <v>45589.34738425926</v>
      </c>
      <c r="C459" s="1" t="n">
        <v>46040</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29129-2024</t>
        </is>
      </c>
      <c r="B460" s="1" t="n">
        <v>45482.35762731481</v>
      </c>
      <c r="C460" s="1" t="n">
        <v>46040</v>
      </c>
      <c r="D460" t="inlineStr">
        <is>
          <t>DALARNAS LÄN</t>
        </is>
      </c>
      <c r="E460" t="inlineStr">
        <is>
          <t>ÄLVDALEN</t>
        </is>
      </c>
      <c r="F460" t="inlineStr">
        <is>
          <t>Allmännings- och besparingsskogar</t>
        </is>
      </c>
      <c r="G460" t="n">
        <v>19.8</v>
      </c>
      <c r="H460" t="n">
        <v>0</v>
      </c>
      <c r="I460" t="n">
        <v>0</v>
      </c>
      <c r="J460" t="n">
        <v>0</v>
      </c>
      <c r="K460" t="n">
        <v>0</v>
      </c>
      <c r="L460" t="n">
        <v>0</v>
      </c>
      <c r="M460" t="n">
        <v>0</v>
      </c>
      <c r="N460" t="n">
        <v>0</v>
      </c>
      <c r="O460" t="n">
        <v>0</v>
      </c>
      <c r="P460" t="n">
        <v>0</v>
      </c>
      <c r="Q460" t="n">
        <v>0</v>
      </c>
      <c r="R460" s="2" t="inlineStr"/>
    </row>
    <row r="461" ht="15" customHeight="1">
      <c r="A461" t="inlineStr">
        <is>
          <t>A 9108-2024</t>
        </is>
      </c>
      <c r="B461" s="1" t="n">
        <v>45357.96072916667</v>
      </c>
      <c r="C461" s="1" t="n">
        <v>46040</v>
      </c>
      <c r="D461" t="inlineStr">
        <is>
          <t>DALARNAS LÄN</t>
        </is>
      </c>
      <c r="E461" t="inlineStr">
        <is>
          <t>ÄLVDALEN</t>
        </is>
      </c>
      <c r="F461" t="inlineStr">
        <is>
          <t>Övriga Aktiebolag</t>
        </is>
      </c>
      <c r="G461" t="n">
        <v>24.4</v>
      </c>
      <c r="H461" t="n">
        <v>0</v>
      </c>
      <c r="I461" t="n">
        <v>0</v>
      </c>
      <c r="J461" t="n">
        <v>0</v>
      </c>
      <c r="K461" t="n">
        <v>0</v>
      </c>
      <c r="L461" t="n">
        <v>0</v>
      </c>
      <c r="M461" t="n">
        <v>0</v>
      </c>
      <c r="N461" t="n">
        <v>0</v>
      </c>
      <c r="O461" t="n">
        <v>0</v>
      </c>
      <c r="P461" t="n">
        <v>0</v>
      </c>
      <c r="Q461" t="n">
        <v>0</v>
      </c>
      <c r="R461" s="2" t="inlineStr"/>
    </row>
    <row r="462" ht="15" customHeight="1">
      <c r="A462" t="inlineStr">
        <is>
          <t>A 61589-2025</t>
        </is>
      </c>
      <c r="B462" s="1" t="n">
        <v>46002.34538194445</v>
      </c>
      <c r="C462" s="1" t="n">
        <v>46040</v>
      </c>
      <c r="D462" t="inlineStr">
        <is>
          <t>DALARNAS LÄN</t>
        </is>
      </c>
      <c r="E462" t="inlineStr">
        <is>
          <t>ÄLVDALEN</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61495-2025</t>
        </is>
      </c>
      <c r="B463" s="1" t="n">
        <v>46001.64834490741</v>
      </c>
      <c r="C463" s="1" t="n">
        <v>46040</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7164-2021</t>
        </is>
      </c>
      <c r="B464" s="1" t="n">
        <v>44238</v>
      </c>
      <c r="C464" s="1" t="n">
        <v>46040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39006-2024</t>
        </is>
      </c>
      <c r="B465" s="1" t="n">
        <v>45548.42846064815</v>
      </c>
      <c r="C465" s="1" t="n">
        <v>46040</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46040</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61529-2025</t>
        </is>
      </c>
      <c r="B467" s="1" t="n">
        <v>46001.7033912037</v>
      </c>
      <c r="C467" s="1" t="n">
        <v>46040</v>
      </c>
      <c r="D467" t="inlineStr">
        <is>
          <t>DALARNAS LÄN</t>
        </is>
      </c>
      <c r="E467" t="inlineStr">
        <is>
          <t>ÄLVDALEN</t>
        </is>
      </c>
      <c r="G467" t="n">
        <v>3</v>
      </c>
      <c r="H467" t="n">
        <v>0</v>
      </c>
      <c r="I467" t="n">
        <v>0</v>
      </c>
      <c r="J467" t="n">
        <v>0</v>
      </c>
      <c r="K467" t="n">
        <v>0</v>
      </c>
      <c r="L467" t="n">
        <v>0</v>
      </c>
      <c r="M467" t="n">
        <v>0</v>
      </c>
      <c r="N467" t="n">
        <v>0</v>
      </c>
      <c r="O467" t="n">
        <v>0</v>
      </c>
      <c r="P467" t="n">
        <v>0</v>
      </c>
      <c r="Q467" t="n">
        <v>0</v>
      </c>
      <c r="R467" s="2" t="inlineStr"/>
    </row>
    <row r="468" ht="15" customHeight="1">
      <c r="A468" t="inlineStr">
        <is>
          <t>A 61477-2025</t>
        </is>
      </c>
      <c r="B468" s="1" t="n">
        <v>46001.62087962963</v>
      </c>
      <c r="C468" s="1" t="n">
        <v>46040</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37665-2023</t>
        </is>
      </c>
      <c r="B469" s="1" t="n">
        <v>45159.5371875</v>
      </c>
      <c r="C469" s="1" t="n">
        <v>46040</v>
      </c>
      <c r="D469" t="inlineStr">
        <is>
          <t>DALARNAS LÄN</t>
        </is>
      </c>
      <c r="E469" t="inlineStr">
        <is>
          <t>ÄLVDALEN</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1310-2024</t>
        </is>
      </c>
      <c r="B470" s="1" t="n">
        <v>45303</v>
      </c>
      <c r="C470" s="1" t="n">
        <v>46040</v>
      </c>
      <c r="D470" t="inlineStr">
        <is>
          <t>DALARNAS LÄN</t>
        </is>
      </c>
      <c r="E470" t="inlineStr">
        <is>
          <t>ÄLVDALEN</t>
        </is>
      </c>
      <c r="G470" t="n">
        <v>4.3</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46040</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61971-2025</t>
        </is>
      </c>
      <c r="B472" s="1" t="n">
        <v>46003.59724537037</v>
      </c>
      <c r="C472" s="1" t="n">
        <v>46040</v>
      </c>
      <c r="D472" t="inlineStr">
        <is>
          <t>DALARNAS LÄN</t>
        </is>
      </c>
      <c r="E472" t="inlineStr">
        <is>
          <t>ÄLVDALEN</t>
        </is>
      </c>
      <c r="G472" t="n">
        <v>3.8</v>
      </c>
      <c r="H472" t="n">
        <v>0</v>
      </c>
      <c r="I472" t="n">
        <v>0</v>
      </c>
      <c r="J472" t="n">
        <v>0</v>
      </c>
      <c r="K472" t="n">
        <v>0</v>
      </c>
      <c r="L472" t="n">
        <v>0</v>
      </c>
      <c r="M472" t="n">
        <v>0</v>
      </c>
      <c r="N472" t="n">
        <v>0</v>
      </c>
      <c r="O472" t="n">
        <v>0</v>
      </c>
      <c r="P472" t="n">
        <v>0</v>
      </c>
      <c r="Q472" t="n">
        <v>0</v>
      </c>
      <c r="R472" s="2" t="inlineStr"/>
    </row>
    <row r="473" ht="15" customHeight="1">
      <c r="A473" t="inlineStr">
        <is>
          <t>A 19527-2025</t>
        </is>
      </c>
      <c r="B473" s="1" t="n">
        <v>45770.46546296297</v>
      </c>
      <c r="C473" s="1" t="n">
        <v>46040</v>
      </c>
      <c r="D473" t="inlineStr">
        <is>
          <t>DALARNAS LÄN</t>
        </is>
      </c>
      <c r="E473" t="inlineStr">
        <is>
          <t>ÄLVDALEN</t>
        </is>
      </c>
      <c r="F473" t="inlineStr">
        <is>
          <t>Allmännings- och besparingsskogar</t>
        </is>
      </c>
      <c r="G473" t="n">
        <v>4.2</v>
      </c>
      <c r="H473" t="n">
        <v>0</v>
      </c>
      <c r="I473" t="n">
        <v>0</v>
      </c>
      <c r="J473" t="n">
        <v>0</v>
      </c>
      <c r="K473" t="n">
        <v>0</v>
      </c>
      <c r="L473" t="n">
        <v>0</v>
      </c>
      <c r="M473" t="n">
        <v>0</v>
      </c>
      <c r="N473" t="n">
        <v>0</v>
      </c>
      <c r="O473" t="n">
        <v>0</v>
      </c>
      <c r="P473" t="n">
        <v>0</v>
      </c>
      <c r="Q473" t="n">
        <v>0</v>
      </c>
      <c r="R473" s="2" t="inlineStr"/>
    </row>
    <row r="474" ht="15" customHeight="1">
      <c r="A474" t="inlineStr">
        <is>
          <t>A 54114-2025</t>
        </is>
      </c>
      <c r="B474" s="1" t="n">
        <v>45964.44096064815</v>
      </c>
      <c r="C474" s="1" t="n">
        <v>46040</v>
      </c>
      <c r="D474" t="inlineStr">
        <is>
          <t>DALARNAS LÄN</t>
        </is>
      </c>
      <c r="E474" t="inlineStr">
        <is>
          <t>ÄLVDALEN</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52060-2022</t>
        </is>
      </c>
      <c r="B475" s="1" t="n">
        <v>44873.34417824074</v>
      </c>
      <c r="C475" s="1" t="n">
        <v>46040</v>
      </c>
      <c r="D475" t="inlineStr">
        <is>
          <t>DALARNAS LÄN</t>
        </is>
      </c>
      <c r="E475" t="inlineStr">
        <is>
          <t>ÄLVDALEN</t>
        </is>
      </c>
      <c r="G475" t="n">
        <v>1</v>
      </c>
      <c r="H475" t="n">
        <v>0</v>
      </c>
      <c r="I475" t="n">
        <v>0</v>
      </c>
      <c r="J475" t="n">
        <v>0</v>
      </c>
      <c r="K475" t="n">
        <v>0</v>
      </c>
      <c r="L475" t="n">
        <v>0</v>
      </c>
      <c r="M475" t="n">
        <v>0</v>
      </c>
      <c r="N475" t="n">
        <v>0</v>
      </c>
      <c r="O475" t="n">
        <v>0</v>
      </c>
      <c r="P475" t="n">
        <v>0</v>
      </c>
      <c r="Q475" t="n">
        <v>0</v>
      </c>
      <c r="R475" s="2" t="inlineStr"/>
    </row>
    <row r="476" ht="15" customHeight="1">
      <c r="A476" t="inlineStr">
        <is>
          <t>A 61973-2025</t>
        </is>
      </c>
      <c r="B476" s="1" t="n">
        <v>46003.60017361111</v>
      </c>
      <c r="C476" s="1" t="n">
        <v>46040</v>
      </c>
      <c r="D476" t="inlineStr">
        <is>
          <t>DALARNAS LÄN</t>
        </is>
      </c>
      <c r="E476" t="inlineStr">
        <is>
          <t>ÄLVDALEN</t>
        </is>
      </c>
      <c r="G476" t="n">
        <v>1.7</v>
      </c>
      <c r="H476" t="n">
        <v>0</v>
      </c>
      <c r="I476" t="n">
        <v>0</v>
      </c>
      <c r="J476" t="n">
        <v>0</v>
      </c>
      <c r="K476" t="n">
        <v>0</v>
      </c>
      <c r="L476" t="n">
        <v>0</v>
      </c>
      <c r="M476" t="n">
        <v>0</v>
      </c>
      <c r="N476" t="n">
        <v>0</v>
      </c>
      <c r="O476" t="n">
        <v>0</v>
      </c>
      <c r="P476" t="n">
        <v>0</v>
      </c>
      <c r="Q476" t="n">
        <v>0</v>
      </c>
      <c r="R476" s="2" t="inlineStr"/>
    </row>
    <row r="477" ht="15" customHeight="1">
      <c r="A477" t="inlineStr">
        <is>
          <t>A 62355-2022</t>
        </is>
      </c>
      <c r="B477" s="1" t="n">
        <v>44923</v>
      </c>
      <c r="C477" s="1" t="n">
        <v>46040</v>
      </c>
      <c r="D477" t="inlineStr">
        <is>
          <t>DALARNAS LÄN</t>
        </is>
      </c>
      <c r="E477" t="inlineStr">
        <is>
          <t>ÄLVDALEN</t>
        </is>
      </c>
      <c r="G477" t="n">
        <v>4.3</v>
      </c>
      <c r="H477" t="n">
        <v>0</v>
      </c>
      <c r="I477" t="n">
        <v>0</v>
      </c>
      <c r="J477" t="n">
        <v>0</v>
      </c>
      <c r="K477" t="n">
        <v>0</v>
      </c>
      <c r="L477" t="n">
        <v>0</v>
      </c>
      <c r="M477" t="n">
        <v>0</v>
      </c>
      <c r="N477" t="n">
        <v>0</v>
      </c>
      <c r="O477" t="n">
        <v>0</v>
      </c>
      <c r="P477" t="n">
        <v>0</v>
      </c>
      <c r="Q477" t="n">
        <v>0</v>
      </c>
      <c r="R477" s="2" t="inlineStr"/>
    </row>
    <row r="478" ht="15" customHeight="1">
      <c r="A478" t="inlineStr">
        <is>
          <t>A 61999-2025</t>
        </is>
      </c>
      <c r="B478" s="1" t="n">
        <v>46003.64638888889</v>
      </c>
      <c r="C478" s="1" t="n">
        <v>46040</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62106-2025</t>
        </is>
      </c>
      <c r="B479" s="1" t="n">
        <v>46006.42576388889</v>
      </c>
      <c r="C479" s="1" t="n">
        <v>46040</v>
      </c>
      <c r="D479" t="inlineStr">
        <is>
          <t>DALARNAS LÄN</t>
        </is>
      </c>
      <c r="E479" t="inlineStr">
        <is>
          <t>ÄLVDALEN</t>
        </is>
      </c>
      <c r="G479" t="n">
        <v>2.8</v>
      </c>
      <c r="H479" t="n">
        <v>0</v>
      </c>
      <c r="I479" t="n">
        <v>0</v>
      </c>
      <c r="J479" t="n">
        <v>0</v>
      </c>
      <c r="K479" t="n">
        <v>0</v>
      </c>
      <c r="L479" t="n">
        <v>0</v>
      </c>
      <c r="M479" t="n">
        <v>0</v>
      </c>
      <c r="N479" t="n">
        <v>0</v>
      </c>
      <c r="O479" t="n">
        <v>0</v>
      </c>
      <c r="P479" t="n">
        <v>0</v>
      </c>
      <c r="Q479" t="n">
        <v>0</v>
      </c>
      <c r="R479" s="2" t="inlineStr"/>
    </row>
    <row r="480" ht="15" customHeight="1">
      <c r="A480" t="inlineStr">
        <is>
          <t>A 6001-2024</t>
        </is>
      </c>
      <c r="B480" s="1" t="n">
        <v>45336</v>
      </c>
      <c r="C480" s="1" t="n">
        <v>46040</v>
      </c>
      <c r="D480" t="inlineStr">
        <is>
          <t>DALARNAS LÄN</t>
        </is>
      </c>
      <c r="E480" t="inlineStr">
        <is>
          <t>ÄLVDALEN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46040</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68204-2021</t>
        </is>
      </c>
      <c r="B482" s="1" t="n">
        <v>44526</v>
      </c>
      <c r="C482" s="1" t="n">
        <v>46040</v>
      </c>
      <c r="D482" t="inlineStr">
        <is>
          <t>DALARNAS LÄN</t>
        </is>
      </c>
      <c r="E482" t="inlineStr">
        <is>
          <t>ÄLVDALEN</t>
        </is>
      </c>
      <c r="F482" t="inlineStr">
        <is>
          <t>Kyrkan</t>
        </is>
      </c>
      <c r="G482" t="n">
        <v>5</v>
      </c>
      <c r="H482" t="n">
        <v>0</v>
      </c>
      <c r="I482" t="n">
        <v>0</v>
      </c>
      <c r="J482" t="n">
        <v>0</v>
      </c>
      <c r="K482" t="n">
        <v>0</v>
      </c>
      <c r="L482" t="n">
        <v>0</v>
      </c>
      <c r="M482" t="n">
        <v>0</v>
      </c>
      <c r="N482" t="n">
        <v>0</v>
      </c>
      <c r="O482" t="n">
        <v>0</v>
      </c>
      <c r="P482" t="n">
        <v>0</v>
      </c>
      <c r="Q482" t="n">
        <v>0</v>
      </c>
      <c r="R482" s="2" t="inlineStr"/>
    </row>
    <row r="483" ht="15" customHeight="1">
      <c r="A483" t="inlineStr">
        <is>
          <t>A 68219-2021</t>
        </is>
      </c>
      <c r="B483" s="1" t="n">
        <v>44526.57060185185</v>
      </c>
      <c r="C483" s="1" t="n">
        <v>46040</v>
      </c>
      <c r="D483" t="inlineStr">
        <is>
          <t>DALARNAS LÄN</t>
        </is>
      </c>
      <c r="E483" t="inlineStr">
        <is>
          <t>ÄLVDALEN</t>
        </is>
      </c>
      <c r="F483" t="inlineStr">
        <is>
          <t>Kyrkan</t>
        </is>
      </c>
      <c r="G483" t="n">
        <v>2.7</v>
      </c>
      <c r="H483" t="n">
        <v>0</v>
      </c>
      <c r="I483" t="n">
        <v>0</v>
      </c>
      <c r="J483" t="n">
        <v>0</v>
      </c>
      <c r="K483" t="n">
        <v>0</v>
      </c>
      <c r="L483" t="n">
        <v>0</v>
      </c>
      <c r="M483" t="n">
        <v>0</v>
      </c>
      <c r="N483" t="n">
        <v>0</v>
      </c>
      <c r="O483" t="n">
        <v>0</v>
      </c>
      <c r="P483" t="n">
        <v>0</v>
      </c>
      <c r="Q483" t="n">
        <v>0</v>
      </c>
      <c r="R483" s="2" t="inlineStr"/>
    </row>
    <row r="484" ht="15" customHeight="1">
      <c r="A484" t="inlineStr">
        <is>
          <t>A 29610-2024</t>
        </is>
      </c>
      <c r="B484" s="1" t="n">
        <v>45484</v>
      </c>
      <c r="C484" s="1" t="n">
        <v>46040</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61575-2024</t>
        </is>
      </c>
      <c r="B485" s="1" t="n">
        <v>45646.61907407407</v>
      </c>
      <c r="C485" s="1" t="n">
        <v>46040</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43039-2025</t>
        </is>
      </c>
      <c r="B486" s="1" t="n">
        <v>45909.55166666667</v>
      </c>
      <c r="C486" s="1" t="n">
        <v>46040</v>
      </c>
      <c r="D486" t="inlineStr">
        <is>
          <t>DALARNAS LÄN</t>
        </is>
      </c>
      <c r="E486" t="inlineStr">
        <is>
          <t>ÄLVDALEN</t>
        </is>
      </c>
      <c r="G486" t="n">
        <v>2.3</v>
      </c>
      <c r="H486" t="n">
        <v>0</v>
      </c>
      <c r="I486" t="n">
        <v>0</v>
      </c>
      <c r="J486" t="n">
        <v>0</v>
      </c>
      <c r="K486" t="n">
        <v>0</v>
      </c>
      <c r="L486" t="n">
        <v>0</v>
      </c>
      <c r="M486" t="n">
        <v>0</v>
      </c>
      <c r="N486" t="n">
        <v>0</v>
      </c>
      <c r="O486" t="n">
        <v>0</v>
      </c>
      <c r="P486" t="n">
        <v>0</v>
      </c>
      <c r="Q486" t="n">
        <v>0</v>
      </c>
      <c r="R486" s="2" t="inlineStr"/>
    </row>
    <row r="487" ht="15" customHeight="1">
      <c r="A487" t="inlineStr">
        <is>
          <t>A 36462-2024</t>
        </is>
      </c>
      <c r="B487" s="1" t="n">
        <v>45537.35211805555</v>
      </c>
      <c r="C487" s="1" t="n">
        <v>46040</v>
      </c>
      <c r="D487" t="inlineStr">
        <is>
          <t>DALARNAS LÄN</t>
        </is>
      </c>
      <c r="E487" t="inlineStr">
        <is>
          <t>ÄLVDALEN</t>
        </is>
      </c>
      <c r="G487" t="n">
        <v>5</v>
      </c>
      <c r="H487" t="n">
        <v>0</v>
      </c>
      <c r="I487" t="n">
        <v>0</v>
      </c>
      <c r="J487" t="n">
        <v>0</v>
      </c>
      <c r="K487" t="n">
        <v>0</v>
      </c>
      <c r="L487" t="n">
        <v>0</v>
      </c>
      <c r="M487" t="n">
        <v>0</v>
      </c>
      <c r="N487" t="n">
        <v>0</v>
      </c>
      <c r="O487" t="n">
        <v>0</v>
      </c>
      <c r="P487" t="n">
        <v>0</v>
      </c>
      <c r="Q487" t="n">
        <v>0</v>
      </c>
      <c r="R487" s="2" t="inlineStr"/>
    </row>
    <row r="488" ht="15" customHeight="1">
      <c r="A488" t="inlineStr">
        <is>
          <t>A 3900-2024</t>
        </is>
      </c>
      <c r="B488" s="1" t="n">
        <v>45322</v>
      </c>
      <c r="C488" s="1" t="n">
        <v>46040</v>
      </c>
      <c r="D488" t="inlineStr">
        <is>
          <t>DALARNAS LÄN</t>
        </is>
      </c>
      <c r="E488" t="inlineStr">
        <is>
          <t>ÄLVDALEN</t>
        </is>
      </c>
      <c r="G488" t="n">
        <v>1.1</v>
      </c>
      <c r="H488" t="n">
        <v>0</v>
      </c>
      <c r="I488" t="n">
        <v>0</v>
      </c>
      <c r="J488" t="n">
        <v>0</v>
      </c>
      <c r="K488" t="n">
        <v>0</v>
      </c>
      <c r="L488" t="n">
        <v>0</v>
      </c>
      <c r="M488" t="n">
        <v>0</v>
      </c>
      <c r="N488" t="n">
        <v>0</v>
      </c>
      <c r="O488" t="n">
        <v>0</v>
      </c>
      <c r="P488" t="n">
        <v>0</v>
      </c>
      <c r="Q488" t="n">
        <v>0</v>
      </c>
      <c r="R488" s="2" t="inlineStr"/>
    </row>
    <row r="489" ht="15" customHeight="1">
      <c r="A489" t="inlineStr">
        <is>
          <t>A 2375-2024</t>
        </is>
      </c>
      <c r="B489" s="1" t="n">
        <v>45310</v>
      </c>
      <c r="C489" s="1" t="n">
        <v>46040</v>
      </c>
      <c r="D489" t="inlineStr">
        <is>
          <t>DALARNAS LÄN</t>
        </is>
      </c>
      <c r="E489" t="inlineStr">
        <is>
          <t>ÄLVDALEN</t>
        </is>
      </c>
      <c r="G489" t="n">
        <v>5.4</v>
      </c>
      <c r="H489" t="n">
        <v>0</v>
      </c>
      <c r="I489" t="n">
        <v>0</v>
      </c>
      <c r="J489" t="n">
        <v>0</v>
      </c>
      <c r="K489" t="n">
        <v>0</v>
      </c>
      <c r="L489" t="n">
        <v>0</v>
      </c>
      <c r="M489" t="n">
        <v>0</v>
      </c>
      <c r="N489" t="n">
        <v>0</v>
      </c>
      <c r="O489" t="n">
        <v>0</v>
      </c>
      <c r="P489" t="n">
        <v>0</v>
      </c>
      <c r="Q489" t="n">
        <v>0</v>
      </c>
      <c r="R489" s="2" t="inlineStr"/>
    </row>
    <row r="490" ht="15" customHeight="1">
      <c r="A490" t="inlineStr">
        <is>
          <t>A 35161-2023</t>
        </is>
      </c>
      <c r="B490" s="1" t="n">
        <v>45145.57525462963</v>
      </c>
      <c r="C490" s="1" t="n">
        <v>46040</v>
      </c>
      <c r="D490" t="inlineStr">
        <is>
          <t>DALARNAS LÄN</t>
        </is>
      </c>
      <c r="E490" t="inlineStr">
        <is>
          <t>ÄLVDALEN</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59303-2025</t>
        </is>
      </c>
      <c r="B491" s="1" t="n">
        <v>45988</v>
      </c>
      <c r="C491" s="1" t="n">
        <v>46040</v>
      </c>
      <c r="D491" t="inlineStr">
        <is>
          <t>DALARNAS LÄN</t>
        </is>
      </c>
      <c r="E491" t="inlineStr">
        <is>
          <t>ÄLVDALEN</t>
        </is>
      </c>
      <c r="F491" t="inlineStr">
        <is>
          <t>Allmännings- och besparingsskogar</t>
        </is>
      </c>
      <c r="G491" t="n">
        <v>18.2</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46040</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771-2025</t>
        </is>
      </c>
      <c r="B493" s="1" t="n">
        <v>45665.46518518519</v>
      </c>
      <c r="C493" s="1" t="n">
        <v>46040</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46040</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55176-2025</t>
        </is>
      </c>
      <c r="B495" s="1" t="n">
        <v>45968.51841435185</v>
      </c>
      <c r="C495" s="1" t="n">
        <v>46040</v>
      </c>
      <c r="D495" t="inlineStr">
        <is>
          <t>DALARNAS LÄN</t>
        </is>
      </c>
      <c r="E495" t="inlineStr">
        <is>
          <t>ÄLVDALEN</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63327-2025</t>
        </is>
      </c>
      <c r="B496" s="1" t="n">
        <v>46010.63902777778</v>
      </c>
      <c r="C496" s="1" t="n">
        <v>46040</v>
      </c>
      <c r="D496" t="inlineStr">
        <is>
          <t>DALARNAS LÄN</t>
        </is>
      </c>
      <c r="E496" t="inlineStr">
        <is>
          <t>ÄLVDALEN</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47873-2023</t>
        </is>
      </c>
      <c r="B497" s="1" t="n">
        <v>45204</v>
      </c>
      <c r="C497" s="1" t="n">
        <v>46040</v>
      </c>
      <c r="D497" t="inlineStr">
        <is>
          <t>DALARNAS LÄN</t>
        </is>
      </c>
      <c r="E497" t="inlineStr">
        <is>
          <t>ÄLVDALEN</t>
        </is>
      </c>
      <c r="G497" t="n">
        <v>1.3</v>
      </c>
      <c r="H497" t="n">
        <v>0</v>
      </c>
      <c r="I497" t="n">
        <v>0</v>
      </c>
      <c r="J497" t="n">
        <v>0</v>
      </c>
      <c r="K497" t="n">
        <v>0</v>
      </c>
      <c r="L497" t="n">
        <v>0</v>
      </c>
      <c r="M497" t="n">
        <v>0</v>
      </c>
      <c r="N497" t="n">
        <v>0</v>
      </c>
      <c r="O497" t="n">
        <v>0</v>
      </c>
      <c r="P497" t="n">
        <v>0</v>
      </c>
      <c r="Q497" t="n">
        <v>0</v>
      </c>
      <c r="R497" s="2" t="inlineStr"/>
    </row>
    <row r="498" ht="15" customHeight="1">
      <c r="A498" t="inlineStr">
        <is>
          <t>A 31690-2024</t>
        </is>
      </c>
      <c r="B498" s="1" t="n">
        <v>45507</v>
      </c>
      <c r="C498" s="1" t="n">
        <v>46040</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23570-2023</t>
        </is>
      </c>
      <c r="B499" s="1" t="n">
        <v>45077</v>
      </c>
      <c r="C499" s="1" t="n">
        <v>46040</v>
      </c>
      <c r="D499" t="inlineStr">
        <is>
          <t>DALARNAS LÄN</t>
        </is>
      </c>
      <c r="E499" t="inlineStr">
        <is>
          <t>ÄLVDALEN</t>
        </is>
      </c>
      <c r="G499" t="n">
        <v>4.9</v>
      </c>
      <c r="H499" t="n">
        <v>0</v>
      </c>
      <c r="I499" t="n">
        <v>0</v>
      </c>
      <c r="J499" t="n">
        <v>0</v>
      </c>
      <c r="K499" t="n">
        <v>0</v>
      </c>
      <c r="L499" t="n">
        <v>0</v>
      </c>
      <c r="M499" t="n">
        <v>0</v>
      </c>
      <c r="N499" t="n">
        <v>0</v>
      </c>
      <c r="O499" t="n">
        <v>0</v>
      </c>
      <c r="P499" t="n">
        <v>0</v>
      </c>
      <c r="Q499" t="n">
        <v>0</v>
      </c>
      <c r="R499" s="2" t="inlineStr"/>
    </row>
    <row r="500" ht="15" customHeight="1">
      <c r="A500" t="inlineStr">
        <is>
          <t>A 39227-2024</t>
        </is>
      </c>
      <c r="B500" s="1" t="n">
        <v>45550.50548611111</v>
      </c>
      <c r="C500" s="1" t="n">
        <v>46040</v>
      </c>
      <c r="D500" t="inlineStr">
        <is>
          <t>DALARNAS LÄN</t>
        </is>
      </c>
      <c r="E500" t="inlineStr">
        <is>
          <t>ÄLVDALEN</t>
        </is>
      </c>
      <c r="G500" t="n">
        <v>0.2</v>
      </c>
      <c r="H500" t="n">
        <v>0</v>
      </c>
      <c r="I500" t="n">
        <v>0</v>
      </c>
      <c r="J500" t="n">
        <v>0</v>
      </c>
      <c r="K500" t="n">
        <v>0</v>
      </c>
      <c r="L500" t="n">
        <v>0</v>
      </c>
      <c r="M500" t="n">
        <v>0</v>
      </c>
      <c r="N500" t="n">
        <v>0</v>
      </c>
      <c r="O500" t="n">
        <v>0</v>
      </c>
      <c r="P500" t="n">
        <v>0</v>
      </c>
      <c r="Q500" t="n">
        <v>0</v>
      </c>
      <c r="R500" s="2" t="inlineStr"/>
    </row>
    <row r="501" ht="15" customHeight="1">
      <c r="A501" t="inlineStr">
        <is>
          <t>A 41137-2024</t>
        </is>
      </c>
      <c r="B501" s="1" t="n">
        <v>45559.46734953704</v>
      </c>
      <c r="C501" s="1" t="n">
        <v>46040</v>
      </c>
      <c r="D501" t="inlineStr">
        <is>
          <t>DALARNAS LÄN</t>
        </is>
      </c>
      <c r="E501" t="inlineStr">
        <is>
          <t>ÄLVDALEN</t>
        </is>
      </c>
      <c r="G501" t="n">
        <v>4.8</v>
      </c>
      <c r="H501" t="n">
        <v>0</v>
      </c>
      <c r="I501" t="n">
        <v>0</v>
      </c>
      <c r="J501" t="n">
        <v>0</v>
      </c>
      <c r="K501" t="n">
        <v>0</v>
      </c>
      <c r="L501" t="n">
        <v>0</v>
      </c>
      <c r="M501" t="n">
        <v>0</v>
      </c>
      <c r="N501" t="n">
        <v>0</v>
      </c>
      <c r="O501" t="n">
        <v>0</v>
      </c>
      <c r="P501" t="n">
        <v>0</v>
      </c>
      <c r="Q501" t="n">
        <v>0</v>
      </c>
      <c r="R501" s="2" t="inlineStr"/>
    </row>
    <row r="502" ht="15" customHeight="1">
      <c r="A502" t="inlineStr">
        <is>
          <t>A 63601-2025</t>
        </is>
      </c>
      <c r="B502" s="1" t="n">
        <v>46014.31347222222</v>
      </c>
      <c r="C502" s="1" t="n">
        <v>46040</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510-2024</t>
        </is>
      </c>
      <c r="B503" s="1" t="n">
        <v>45299.39997685186</v>
      </c>
      <c r="C503" s="1" t="n">
        <v>46040</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39064-2021</t>
        </is>
      </c>
      <c r="B504" s="1" t="n">
        <v>44411</v>
      </c>
      <c r="C504" s="1" t="n">
        <v>46040</v>
      </c>
      <c r="D504" t="inlineStr">
        <is>
          <t>DALARNAS LÄN</t>
        </is>
      </c>
      <c r="E504" t="inlineStr">
        <is>
          <t>ÄLVDALEN</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4662-2024</t>
        </is>
      </c>
      <c r="B505" s="1" t="n">
        <v>45328.465625</v>
      </c>
      <c r="C505" s="1" t="n">
        <v>46040</v>
      </c>
      <c r="D505" t="inlineStr">
        <is>
          <t>DALARNAS LÄN</t>
        </is>
      </c>
      <c r="E505" t="inlineStr">
        <is>
          <t>ÄLVDALEN</t>
        </is>
      </c>
      <c r="G505" t="n">
        <v>4.9</v>
      </c>
      <c r="H505" t="n">
        <v>0</v>
      </c>
      <c r="I505" t="n">
        <v>0</v>
      </c>
      <c r="J505" t="n">
        <v>0</v>
      </c>
      <c r="K505" t="n">
        <v>0</v>
      </c>
      <c r="L505" t="n">
        <v>0</v>
      </c>
      <c r="M505" t="n">
        <v>0</v>
      </c>
      <c r="N505" t="n">
        <v>0</v>
      </c>
      <c r="O505" t="n">
        <v>0</v>
      </c>
      <c r="P505" t="n">
        <v>0</v>
      </c>
      <c r="Q505" t="n">
        <v>0</v>
      </c>
      <c r="R505" s="2" t="inlineStr"/>
    </row>
    <row r="506" ht="15" customHeight="1">
      <c r="A506" t="inlineStr">
        <is>
          <t>A 63525-2025</t>
        </is>
      </c>
      <c r="B506" s="1" t="n">
        <v>46013.54934027778</v>
      </c>
      <c r="C506" s="1" t="n">
        <v>46040</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5063-2025</t>
        </is>
      </c>
      <c r="B507" s="1" t="n">
        <v>45691.47466435185</v>
      </c>
      <c r="C507" s="1" t="n">
        <v>46040</v>
      </c>
      <c r="D507" t="inlineStr">
        <is>
          <t>DALARNAS LÄN</t>
        </is>
      </c>
      <c r="E507" t="inlineStr">
        <is>
          <t>ÄLVDALEN</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46040</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55924-2025</t>
        </is>
      </c>
      <c r="B509" s="1" t="n">
        <v>45973.42548611111</v>
      </c>
      <c r="C509" s="1" t="n">
        <v>46040</v>
      </c>
      <c r="D509" t="inlineStr">
        <is>
          <t>DALARNAS LÄN</t>
        </is>
      </c>
      <c r="E509" t="inlineStr">
        <is>
          <t>ÄLVDALEN</t>
        </is>
      </c>
      <c r="F509" t="inlineStr">
        <is>
          <t>Övriga statliga verk och myndigheter</t>
        </is>
      </c>
      <c r="G509" t="n">
        <v>1.1</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46040</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52469-2022</t>
        </is>
      </c>
      <c r="B511" s="1" t="n">
        <v>44874</v>
      </c>
      <c r="C511" s="1" t="n">
        <v>46040</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30411-2024</t>
        </is>
      </c>
      <c r="B512" s="1" t="n">
        <v>45491.62447916667</v>
      </c>
      <c r="C512" s="1" t="n">
        <v>46040</v>
      </c>
      <c r="D512" t="inlineStr">
        <is>
          <t>DALARNAS LÄN</t>
        </is>
      </c>
      <c r="E512" t="inlineStr">
        <is>
          <t>ÄLVDALEN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37438-2024</t>
        </is>
      </c>
      <c r="B513" s="1" t="n">
        <v>45540</v>
      </c>
      <c r="C513" s="1" t="n">
        <v>46040</v>
      </c>
      <c r="D513" t="inlineStr">
        <is>
          <t>DALARNAS LÄN</t>
        </is>
      </c>
      <c r="E513" t="inlineStr">
        <is>
          <t>ÄLVDALEN</t>
        </is>
      </c>
      <c r="G513" t="n">
        <v>3.9</v>
      </c>
      <c r="H513" t="n">
        <v>0</v>
      </c>
      <c r="I513" t="n">
        <v>0</v>
      </c>
      <c r="J513" t="n">
        <v>0</v>
      </c>
      <c r="K513" t="n">
        <v>0</v>
      </c>
      <c r="L513" t="n">
        <v>0</v>
      </c>
      <c r="M513" t="n">
        <v>0</v>
      </c>
      <c r="N513" t="n">
        <v>0</v>
      </c>
      <c r="O513" t="n">
        <v>0</v>
      </c>
      <c r="P513" t="n">
        <v>0</v>
      </c>
      <c r="Q513" t="n">
        <v>0</v>
      </c>
      <c r="R513" s="2" t="inlineStr"/>
    </row>
    <row r="514" ht="15" customHeight="1">
      <c r="A514" t="inlineStr">
        <is>
          <t>A 32740-2024</t>
        </is>
      </c>
      <c r="B514" s="1" t="n">
        <v>45516.43834490741</v>
      </c>
      <c r="C514" s="1" t="n">
        <v>46040</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42679-2024</t>
        </is>
      </c>
      <c r="B515" s="1" t="n">
        <v>45566.37706018519</v>
      </c>
      <c r="C515" s="1" t="n">
        <v>46040</v>
      </c>
      <c r="D515" t="inlineStr">
        <is>
          <t>DALARNAS LÄN</t>
        </is>
      </c>
      <c r="E515" t="inlineStr">
        <is>
          <t>ÄLVDALEN</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19553-2025</t>
        </is>
      </c>
      <c r="B516" s="1" t="n">
        <v>45770</v>
      </c>
      <c r="C516" s="1" t="n">
        <v>46040</v>
      </c>
      <c r="D516" t="inlineStr">
        <is>
          <t>DALARNAS LÄN</t>
        </is>
      </c>
      <c r="E516" t="inlineStr">
        <is>
          <t>ÄLVDALEN</t>
        </is>
      </c>
      <c r="F516" t="inlineStr">
        <is>
          <t>Sveaskog</t>
        </is>
      </c>
      <c r="G516" t="n">
        <v>25.2</v>
      </c>
      <c r="H516" t="n">
        <v>0</v>
      </c>
      <c r="I516" t="n">
        <v>0</v>
      </c>
      <c r="J516" t="n">
        <v>0</v>
      </c>
      <c r="K516" t="n">
        <v>0</v>
      </c>
      <c r="L516" t="n">
        <v>0</v>
      </c>
      <c r="M516" t="n">
        <v>0</v>
      </c>
      <c r="N516" t="n">
        <v>0</v>
      </c>
      <c r="O516" t="n">
        <v>0</v>
      </c>
      <c r="P516" t="n">
        <v>0</v>
      </c>
      <c r="Q516" t="n">
        <v>0</v>
      </c>
      <c r="R516" s="2" t="inlineStr"/>
    </row>
    <row r="517" ht="15" customHeight="1">
      <c r="A517" t="inlineStr">
        <is>
          <t>A 4380-2024</t>
        </is>
      </c>
      <c r="B517" s="1" t="n">
        <v>45327</v>
      </c>
      <c r="C517" s="1" t="n">
        <v>46040</v>
      </c>
      <c r="D517" t="inlineStr">
        <is>
          <t>DALARNAS LÄN</t>
        </is>
      </c>
      <c r="E517" t="inlineStr">
        <is>
          <t>ÄLVDALEN</t>
        </is>
      </c>
      <c r="G517" t="n">
        <v>6.3</v>
      </c>
      <c r="H517" t="n">
        <v>0</v>
      </c>
      <c r="I517" t="n">
        <v>0</v>
      </c>
      <c r="J517" t="n">
        <v>0</v>
      </c>
      <c r="K517" t="n">
        <v>0</v>
      </c>
      <c r="L517" t="n">
        <v>0</v>
      </c>
      <c r="M517" t="n">
        <v>0</v>
      </c>
      <c r="N517" t="n">
        <v>0</v>
      </c>
      <c r="O517" t="n">
        <v>0</v>
      </c>
      <c r="P517" t="n">
        <v>0</v>
      </c>
      <c r="Q517" t="n">
        <v>0</v>
      </c>
      <c r="R517" s="2" t="inlineStr"/>
    </row>
    <row r="518" ht="15" customHeight="1">
      <c r="A518" t="inlineStr">
        <is>
          <t>A 43900-2024</t>
        </is>
      </c>
      <c r="B518" s="1" t="n">
        <v>45572.41975694444</v>
      </c>
      <c r="C518" s="1" t="n">
        <v>46040</v>
      </c>
      <c r="D518" t="inlineStr">
        <is>
          <t>DALARNAS LÄN</t>
        </is>
      </c>
      <c r="E518" t="inlineStr">
        <is>
          <t>ÄLVDALEN</t>
        </is>
      </c>
      <c r="F518" t="inlineStr">
        <is>
          <t>Bergvik skog väst AB</t>
        </is>
      </c>
      <c r="G518" t="n">
        <v>7.3</v>
      </c>
      <c r="H518" t="n">
        <v>0</v>
      </c>
      <c r="I518" t="n">
        <v>0</v>
      </c>
      <c r="J518" t="n">
        <v>0</v>
      </c>
      <c r="K518" t="n">
        <v>0</v>
      </c>
      <c r="L518" t="n">
        <v>0</v>
      </c>
      <c r="M518" t="n">
        <v>0</v>
      </c>
      <c r="N518" t="n">
        <v>0</v>
      </c>
      <c r="O518" t="n">
        <v>0</v>
      </c>
      <c r="P518" t="n">
        <v>0</v>
      </c>
      <c r="Q518" t="n">
        <v>0</v>
      </c>
      <c r="R518" s="2" t="inlineStr"/>
    </row>
    <row r="519" ht="15" customHeight="1">
      <c r="A519" t="inlineStr">
        <is>
          <t>A 41446-2024</t>
        </is>
      </c>
      <c r="B519" s="1" t="n">
        <v>45560.39483796297</v>
      </c>
      <c r="C519" s="1" t="n">
        <v>46040</v>
      </c>
      <c r="D519" t="inlineStr">
        <is>
          <t>DALARNAS LÄN</t>
        </is>
      </c>
      <c r="E519" t="inlineStr">
        <is>
          <t>ÄLVDALEN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44678.56600694444</v>
      </c>
      <c r="C520" s="1" t="n">
        <v>46040</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59108-2022</t>
        </is>
      </c>
      <c r="B521" s="1" t="n">
        <v>44904</v>
      </c>
      <c r="C521" s="1" t="n">
        <v>46040</v>
      </c>
      <c r="D521" t="inlineStr">
        <is>
          <t>DALARNAS LÄN</t>
        </is>
      </c>
      <c r="E521" t="inlineStr">
        <is>
          <t>ÄLVDALEN</t>
        </is>
      </c>
      <c r="G521" t="n">
        <v>1.3</v>
      </c>
      <c r="H521" t="n">
        <v>0</v>
      </c>
      <c r="I521" t="n">
        <v>0</v>
      </c>
      <c r="J521" t="n">
        <v>0</v>
      </c>
      <c r="K521" t="n">
        <v>0</v>
      </c>
      <c r="L521" t="n">
        <v>0</v>
      </c>
      <c r="M521" t="n">
        <v>0</v>
      </c>
      <c r="N521" t="n">
        <v>0</v>
      </c>
      <c r="O521" t="n">
        <v>0</v>
      </c>
      <c r="P521" t="n">
        <v>0</v>
      </c>
      <c r="Q521" t="n">
        <v>0</v>
      </c>
      <c r="R521" s="2" t="inlineStr"/>
    </row>
    <row r="522" ht="15" customHeight="1">
      <c r="A522" t="inlineStr">
        <is>
          <t>A 61450-2022</t>
        </is>
      </c>
      <c r="B522" s="1" t="n">
        <v>44910</v>
      </c>
      <c r="C522" s="1" t="n">
        <v>46040</v>
      </c>
      <c r="D522" t="inlineStr">
        <is>
          <t>DALARNAS LÄN</t>
        </is>
      </c>
      <c r="E522" t="inlineStr">
        <is>
          <t>ÄLVDALEN</t>
        </is>
      </c>
      <c r="G522" t="n">
        <v>0.7</v>
      </c>
      <c r="H522" t="n">
        <v>0</v>
      </c>
      <c r="I522" t="n">
        <v>0</v>
      </c>
      <c r="J522" t="n">
        <v>0</v>
      </c>
      <c r="K522" t="n">
        <v>0</v>
      </c>
      <c r="L522" t="n">
        <v>0</v>
      </c>
      <c r="M522" t="n">
        <v>0</v>
      </c>
      <c r="N522" t="n">
        <v>0</v>
      </c>
      <c r="O522" t="n">
        <v>0</v>
      </c>
      <c r="P522" t="n">
        <v>0</v>
      </c>
      <c r="Q522" t="n">
        <v>0</v>
      </c>
      <c r="R522" s="2" t="inlineStr"/>
    </row>
    <row r="523" ht="15" customHeight="1">
      <c r="A523" t="inlineStr">
        <is>
          <t>A 59668-2024</t>
        </is>
      </c>
      <c r="B523" s="1" t="n">
        <v>45639.37899305556</v>
      </c>
      <c r="C523" s="1" t="n">
        <v>46040</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59671-2024</t>
        </is>
      </c>
      <c r="B524" s="1" t="n">
        <v>45639.3862962963</v>
      </c>
      <c r="C524" s="1" t="n">
        <v>46040</v>
      </c>
      <c r="D524" t="inlineStr">
        <is>
          <t>DALARNAS LÄN</t>
        </is>
      </c>
      <c r="E524" t="inlineStr">
        <is>
          <t>ÄLVDALEN</t>
        </is>
      </c>
      <c r="G524" t="n">
        <v>2.2</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46040</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43903-2024</t>
        </is>
      </c>
      <c r="B526" s="1" t="n">
        <v>45572</v>
      </c>
      <c r="C526" s="1" t="n">
        <v>46040</v>
      </c>
      <c r="D526" t="inlineStr">
        <is>
          <t>DALARNAS LÄN</t>
        </is>
      </c>
      <c r="E526" t="inlineStr">
        <is>
          <t>ÄLVDALEN</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5885-2024</t>
        </is>
      </c>
      <c r="B527" s="1" t="n">
        <v>45335</v>
      </c>
      <c r="C527" s="1" t="n">
        <v>46040</v>
      </c>
      <c r="D527" t="inlineStr">
        <is>
          <t>DALARNAS LÄN</t>
        </is>
      </c>
      <c r="E527" t="inlineStr">
        <is>
          <t>ÄLVDALEN</t>
        </is>
      </c>
      <c r="G527" t="n">
        <v>0.8</v>
      </c>
      <c r="H527" t="n">
        <v>0</v>
      </c>
      <c r="I527" t="n">
        <v>0</v>
      </c>
      <c r="J527" t="n">
        <v>0</v>
      </c>
      <c r="K527" t="n">
        <v>0</v>
      </c>
      <c r="L527" t="n">
        <v>0</v>
      </c>
      <c r="M527" t="n">
        <v>0</v>
      </c>
      <c r="N527" t="n">
        <v>0</v>
      </c>
      <c r="O527" t="n">
        <v>0</v>
      </c>
      <c r="P527" t="n">
        <v>0</v>
      </c>
      <c r="Q527" t="n">
        <v>0</v>
      </c>
      <c r="R527" s="2" t="inlineStr"/>
    </row>
    <row r="528" ht="15" customHeight="1">
      <c r="A528" t="inlineStr">
        <is>
          <t>A 8492-2025</t>
        </is>
      </c>
      <c r="B528" s="1" t="n">
        <v>45709.50980324074</v>
      </c>
      <c r="C528" s="1" t="n">
        <v>46040</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32009-2021</t>
        </is>
      </c>
      <c r="B529" s="1" t="n">
        <v>44370.63354166667</v>
      </c>
      <c r="C529" s="1" t="n">
        <v>46040</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47087-2024</t>
        </is>
      </c>
      <c r="B530" s="1" t="n">
        <v>45586.50946759259</v>
      </c>
      <c r="C530" s="1" t="n">
        <v>46040</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59207-2022</t>
        </is>
      </c>
      <c r="B531" s="1" t="n">
        <v>44904</v>
      </c>
      <c r="C531" s="1" t="n">
        <v>46040</v>
      </c>
      <c r="D531" t="inlineStr">
        <is>
          <t>DALARNAS LÄN</t>
        </is>
      </c>
      <c r="E531" t="inlineStr">
        <is>
          <t>ÄLVDALEN</t>
        </is>
      </c>
      <c r="G531" t="n">
        <v>4.7</v>
      </c>
      <c r="H531" t="n">
        <v>0</v>
      </c>
      <c r="I531" t="n">
        <v>0</v>
      </c>
      <c r="J531" t="n">
        <v>0</v>
      </c>
      <c r="K531" t="n">
        <v>0</v>
      </c>
      <c r="L531" t="n">
        <v>0</v>
      </c>
      <c r="M531" t="n">
        <v>0</v>
      </c>
      <c r="N531" t="n">
        <v>0</v>
      </c>
      <c r="O531" t="n">
        <v>0</v>
      </c>
      <c r="P531" t="n">
        <v>0</v>
      </c>
      <c r="Q531" t="n">
        <v>0</v>
      </c>
      <c r="R531" s="2" t="inlineStr"/>
    </row>
    <row r="532" ht="15" customHeight="1">
      <c r="A532" t="inlineStr">
        <is>
          <t>A 57821-2023</t>
        </is>
      </c>
      <c r="B532" s="1" t="n">
        <v>45247</v>
      </c>
      <c r="C532" s="1" t="n">
        <v>46040</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26734-2021</t>
        </is>
      </c>
      <c r="B533" s="1" t="n">
        <v>44349.39537037037</v>
      </c>
      <c r="C533" s="1" t="n">
        <v>46040</v>
      </c>
      <c r="D533" t="inlineStr">
        <is>
          <t>DALARNAS LÄN</t>
        </is>
      </c>
      <c r="E533" t="inlineStr">
        <is>
          <t>ÄLVDALEN</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23129-2023</t>
        </is>
      </c>
      <c r="B534" s="1" t="n">
        <v>45075</v>
      </c>
      <c r="C534" s="1" t="n">
        <v>46040</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59209-2022</t>
        </is>
      </c>
      <c r="B535" s="1" t="n">
        <v>44904</v>
      </c>
      <c r="C535" s="1" t="n">
        <v>46040</v>
      </c>
      <c r="D535" t="inlineStr">
        <is>
          <t>DALARNAS LÄN</t>
        </is>
      </c>
      <c r="E535" t="inlineStr">
        <is>
          <t>ÄLVDALEN</t>
        </is>
      </c>
      <c r="G535" t="n">
        <v>2.6</v>
      </c>
      <c r="H535" t="n">
        <v>0</v>
      </c>
      <c r="I535" t="n">
        <v>0</v>
      </c>
      <c r="J535" t="n">
        <v>0</v>
      </c>
      <c r="K535" t="n">
        <v>0</v>
      </c>
      <c r="L535" t="n">
        <v>0</v>
      </c>
      <c r="M535" t="n">
        <v>0</v>
      </c>
      <c r="N535" t="n">
        <v>0</v>
      </c>
      <c r="O535" t="n">
        <v>0</v>
      </c>
      <c r="P535" t="n">
        <v>0</v>
      </c>
      <c r="Q535" t="n">
        <v>0</v>
      </c>
      <c r="R535" s="2" t="inlineStr"/>
    </row>
    <row r="536" ht="15" customHeight="1">
      <c r="A536" t="inlineStr">
        <is>
          <t>A 57467-2023</t>
        </is>
      </c>
      <c r="B536" s="1" t="n">
        <v>45246.36751157408</v>
      </c>
      <c r="C536" s="1" t="n">
        <v>46040</v>
      </c>
      <c r="D536" t="inlineStr">
        <is>
          <t>DALARNAS LÄN</t>
        </is>
      </c>
      <c r="E536" t="inlineStr">
        <is>
          <t>ÄLVDALEN</t>
        </is>
      </c>
      <c r="G536" t="n">
        <v>0.2</v>
      </c>
      <c r="H536" t="n">
        <v>0</v>
      </c>
      <c r="I536" t="n">
        <v>0</v>
      </c>
      <c r="J536" t="n">
        <v>0</v>
      </c>
      <c r="K536" t="n">
        <v>0</v>
      </c>
      <c r="L536" t="n">
        <v>0</v>
      </c>
      <c r="M536" t="n">
        <v>0</v>
      </c>
      <c r="N536" t="n">
        <v>0</v>
      </c>
      <c r="O536" t="n">
        <v>0</v>
      </c>
      <c r="P536" t="n">
        <v>0</v>
      </c>
      <c r="Q536" t="n">
        <v>0</v>
      </c>
      <c r="R536" s="2" t="inlineStr"/>
    </row>
    <row r="537" ht="15" customHeight="1">
      <c r="A537" t="inlineStr">
        <is>
          <t>A 22847-2023</t>
        </is>
      </c>
      <c r="B537" s="1" t="n">
        <v>45072</v>
      </c>
      <c r="C537" s="1" t="n">
        <v>46040</v>
      </c>
      <c r="D537" t="inlineStr">
        <is>
          <t>DALARNAS LÄN</t>
        </is>
      </c>
      <c r="E537" t="inlineStr">
        <is>
          <t>ÄLVDALEN</t>
        </is>
      </c>
      <c r="F537" t="inlineStr">
        <is>
          <t>Bergvik skog väst AB</t>
        </is>
      </c>
      <c r="G537" t="n">
        <v>8.1</v>
      </c>
      <c r="H537" t="n">
        <v>0</v>
      </c>
      <c r="I537" t="n">
        <v>0</v>
      </c>
      <c r="J537" t="n">
        <v>0</v>
      </c>
      <c r="K537" t="n">
        <v>0</v>
      </c>
      <c r="L537" t="n">
        <v>0</v>
      </c>
      <c r="M537" t="n">
        <v>0</v>
      </c>
      <c r="N537" t="n">
        <v>0</v>
      </c>
      <c r="O537" t="n">
        <v>0</v>
      </c>
      <c r="P537" t="n">
        <v>0</v>
      </c>
      <c r="Q537" t="n">
        <v>0</v>
      </c>
      <c r="R537" s="2" t="inlineStr"/>
    </row>
    <row r="538" ht="15" customHeight="1">
      <c r="A538" t="inlineStr">
        <is>
          <t>A 42426-2023</t>
        </is>
      </c>
      <c r="B538" s="1" t="n">
        <v>45175</v>
      </c>
      <c r="C538" s="1" t="n">
        <v>46040</v>
      </c>
      <c r="D538" t="inlineStr">
        <is>
          <t>DALARNAS LÄN</t>
        </is>
      </c>
      <c r="E538" t="inlineStr">
        <is>
          <t>ÄLVDALEN</t>
        </is>
      </c>
      <c r="G538" t="n">
        <v>3.6</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46040</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29710-2022</t>
        </is>
      </c>
      <c r="B540" s="1" t="n">
        <v>44755</v>
      </c>
      <c r="C540" s="1" t="n">
        <v>46040</v>
      </c>
      <c r="D540" t="inlineStr">
        <is>
          <t>DALARNAS LÄN</t>
        </is>
      </c>
      <c r="E540" t="inlineStr">
        <is>
          <t>ÄLVDALEN</t>
        </is>
      </c>
      <c r="F540" t="inlineStr">
        <is>
          <t>Sveaskog</t>
        </is>
      </c>
      <c r="G540" t="n">
        <v>9.1</v>
      </c>
      <c r="H540" t="n">
        <v>0</v>
      </c>
      <c r="I540" t="n">
        <v>0</v>
      </c>
      <c r="J540" t="n">
        <v>0</v>
      </c>
      <c r="K540" t="n">
        <v>0</v>
      </c>
      <c r="L540" t="n">
        <v>0</v>
      </c>
      <c r="M540" t="n">
        <v>0</v>
      </c>
      <c r="N540" t="n">
        <v>0</v>
      </c>
      <c r="O540" t="n">
        <v>0</v>
      </c>
      <c r="P540" t="n">
        <v>0</v>
      </c>
      <c r="Q540" t="n">
        <v>0</v>
      </c>
      <c r="R540" s="2" t="inlineStr"/>
    </row>
    <row r="541" ht="15" customHeight="1">
      <c r="A541" t="inlineStr">
        <is>
          <t>A 60642-2021</t>
        </is>
      </c>
      <c r="B541" s="1" t="n">
        <v>44496.61677083333</v>
      </c>
      <c r="C541" s="1" t="n">
        <v>46040</v>
      </c>
      <c r="D541" t="inlineStr">
        <is>
          <t>DALARNAS LÄN</t>
        </is>
      </c>
      <c r="E541" t="inlineStr">
        <is>
          <t>ÄLVDALEN</t>
        </is>
      </c>
      <c r="F541" t="inlineStr">
        <is>
          <t>Allmännings- och besparingsskogar</t>
        </is>
      </c>
      <c r="G541" t="n">
        <v>0.9</v>
      </c>
      <c r="H541" t="n">
        <v>0</v>
      </c>
      <c r="I541" t="n">
        <v>0</v>
      </c>
      <c r="J541" t="n">
        <v>0</v>
      </c>
      <c r="K541" t="n">
        <v>0</v>
      </c>
      <c r="L541" t="n">
        <v>0</v>
      </c>
      <c r="M541" t="n">
        <v>0</v>
      </c>
      <c r="N541" t="n">
        <v>0</v>
      </c>
      <c r="O541" t="n">
        <v>0</v>
      </c>
      <c r="P541" t="n">
        <v>0</v>
      </c>
      <c r="Q541" t="n">
        <v>0</v>
      </c>
      <c r="R541" s="2" t="inlineStr"/>
    </row>
    <row r="542" ht="15" customHeight="1">
      <c r="A542" t="inlineStr">
        <is>
          <t>A 54493-2023</t>
        </is>
      </c>
      <c r="B542" s="1" t="n">
        <v>45233.50606481481</v>
      </c>
      <c r="C542" s="1" t="n">
        <v>46040</v>
      </c>
      <c r="D542" t="inlineStr">
        <is>
          <t>DALARNAS LÄN</t>
        </is>
      </c>
      <c r="E542" t="inlineStr">
        <is>
          <t>ÄLVDALEN</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44386-2021</t>
        </is>
      </c>
      <c r="B543" s="1" t="n">
        <v>44435</v>
      </c>
      <c r="C543" s="1" t="n">
        <v>46040</v>
      </c>
      <c r="D543" t="inlineStr">
        <is>
          <t>DALARNAS LÄN</t>
        </is>
      </c>
      <c r="E543" t="inlineStr">
        <is>
          <t>ÄLVDALEN</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45155-2023</t>
        </is>
      </c>
      <c r="B544" s="1" t="n">
        <v>45187</v>
      </c>
      <c r="C544" s="1" t="n">
        <v>46040</v>
      </c>
      <c r="D544" t="inlineStr">
        <is>
          <t>DALARNAS LÄN</t>
        </is>
      </c>
      <c r="E544" t="inlineStr">
        <is>
          <t>ÄLVDALEN</t>
        </is>
      </c>
      <c r="G544" t="n">
        <v>40.1</v>
      </c>
      <c r="H544" t="n">
        <v>0</v>
      </c>
      <c r="I544" t="n">
        <v>0</v>
      </c>
      <c r="J544" t="n">
        <v>0</v>
      </c>
      <c r="K544" t="n">
        <v>0</v>
      </c>
      <c r="L544" t="n">
        <v>0</v>
      </c>
      <c r="M544" t="n">
        <v>0</v>
      </c>
      <c r="N544" t="n">
        <v>0</v>
      </c>
      <c r="O544" t="n">
        <v>0</v>
      </c>
      <c r="P544" t="n">
        <v>0</v>
      </c>
      <c r="Q544" t="n">
        <v>0</v>
      </c>
      <c r="R544" s="2" t="inlineStr"/>
    </row>
    <row r="545" ht="15" customHeight="1">
      <c r="A545" t="inlineStr">
        <is>
          <t>A 49906-2024</t>
        </is>
      </c>
      <c r="B545" s="1" t="n">
        <v>45597.55230324074</v>
      </c>
      <c r="C545" s="1" t="n">
        <v>46040</v>
      </c>
      <c r="D545" t="inlineStr">
        <is>
          <t>DALARNAS LÄN</t>
        </is>
      </c>
      <c r="E545" t="inlineStr">
        <is>
          <t>ÄLVDALEN</t>
        </is>
      </c>
      <c r="G545" t="n">
        <v>4.2</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46040</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19588-2025</t>
        </is>
      </c>
      <c r="B547" s="1" t="n">
        <v>45770</v>
      </c>
      <c r="C547" s="1" t="n">
        <v>46040</v>
      </c>
      <c r="D547" t="inlineStr">
        <is>
          <t>DALARNAS LÄN</t>
        </is>
      </c>
      <c r="E547" t="inlineStr">
        <is>
          <t>ÄLVDALEN</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7917-2025</t>
        </is>
      </c>
      <c r="B548" s="1" t="n">
        <v>45707.35225694445</v>
      </c>
      <c r="C548" s="1" t="n">
        <v>46040</v>
      </c>
      <c r="D548" t="inlineStr">
        <is>
          <t>DALARNAS LÄN</t>
        </is>
      </c>
      <c r="E548" t="inlineStr">
        <is>
          <t>ÄLVDALEN</t>
        </is>
      </c>
      <c r="G548" t="n">
        <v>4.2</v>
      </c>
      <c r="H548" t="n">
        <v>0</v>
      </c>
      <c r="I548" t="n">
        <v>0</v>
      </c>
      <c r="J548" t="n">
        <v>0</v>
      </c>
      <c r="K548" t="n">
        <v>0</v>
      </c>
      <c r="L548" t="n">
        <v>0</v>
      </c>
      <c r="M548" t="n">
        <v>0</v>
      </c>
      <c r="N548" t="n">
        <v>0</v>
      </c>
      <c r="O548" t="n">
        <v>0</v>
      </c>
      <c r="P548" t="n">
        <v>0</v>
      </c>
      <c r="Q548" t="n">
        <v>0</v>
      </c>
      <c r="R548" s="2" t="inlineStr"/>
    </row>
    <row r="549" ht="15" customHeight="1">
      <c r="A549" t="inlineStr">
        <is>
          <t>A 7937-2025</t>
        </is>
      </c>
      <c r="B549" s="1" t="n">
        <v>45707.3953125</v>
      </c>
      <c r="C549" s="1" t="n">
        <v>46040</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8146-2025</t>
        </is>
      </c>
      <c r="B550" s="1" t="n">
        <v>45708.30415509259</v>
      </c>
      <c r="C550" s="1" t="n">
        <v>46040</v>
      </c>
      <c r="D550" t="inlineStr">
        <is>
          <t>DALARNAS LÄN</t>
        </is>
      </c>
      <c r="E550" t="inlineStr">
        <is>
          <t>ÄLVDALEN</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39283-2024</t>
        </is>
      </c>
      <c r="B551" s="1" t="n">
        <v>45551.36314814815</v>
      </c>
      <c r="C551" s="1" t="n">
        <v>46040</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46040</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7576-2024</t>
        </is>
      </c>
      <c r="B553" s="1" t="n">
        <v>45348.47555555555</v>
      </c>
      <c r="C553" s="1" t="n">
        <v>46040</v>
      </c>
      <c r="D553" t="inlineStr">
        <is>
          <t>DALARNAS LÄN</t>
        </is>
      </c>
      <c r="E553" t="inlineStr">
        <is>
          <t>ÄLVDALEN</t>
        </is>
      </c>
      <c r="G553" t="n">
        <v>11.1</v>
      </c>
      <c r="H553" t="n">
        <v>0</v>
      </c>
      <c r="I553" t="n">
        <v>0</v>
      </c>
      <c r="J553" t="n">
        <v>0</v>
      </c>
      <c r="K553" t="n">
        <v>0</v>
      </c>
      <c r="L553" t="n">
        <v>0</v>
      </c>
      <c r="M553" t="n">
        <v>0</v>
      </c>
      <c r="N553" t="n">
        <v>0</v>
      </c>
      <c r="O553" t="n">
        <v>0</v>
      </c>
      <c r="P553" t="n">
        <v>0</v>
      </c>
      <c r="Q553" t="n">
        <v>0</v>
      </c>
      <c r="R553" s="2" t="inlineStr"/>
    </row>
    <row r="554" ht="15" customHeight="1">
      <c r="A554" t="inlineStr">
        <is>
          <t>A 62315-2022</t>
        </is>
      </c>
      <c r="B554" s="1" t="n">
        <v>44916</v>
      </c>
      <c r="C554" s="1" t="n">
        <v>46040</v>
      </c>
      <c r="D554" t="inlineStr">
        <is>
          <t>DALARNAS LÄN</t>
        </is>
      </c>
      <c r="E554" t="inlineStr">
        <is>
          <t>ÄLVDALEN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49236-2023</t>
        </is>
      </c>
      <c r="B555" s="1" t="n">
        <v>45210.63995370371</v>
      </c>
      <c r="C555" s="1" t="n">
        <v>46040</v>
      </c>
      <c r="D555" t="inlineStr">
        <is>
          <t>DALARNAS LÄN</t>
        </is>
      </c>
      <c r="E555" t="inlineStr">
        <is>
          <t>ÄLVDALEN</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48552-2024</t>
        </is>
      </c>
      <c r="B556" s="1" t="n">
        <v>45593.37266203704</v>
      </c>
      <c r="C556" s="1" t="n">
        <v>46040</v>
      </c>
      <c r="D556" t="inlineStr">
        <is>
          <t>DALARNAS LÄN</t>
        </is>
      </c>
      <c r="E556" t="inlineStr">
        <is>
          <t>ÄLVDALEN</t>
        </is>
      </c>
      <c r="G556" t="n">
        <v>4.1</v>
      </c>
      <c r="H556" t="n">
        <v>0</v>
      </c>
      <c r="I556" t="n">
        <v>0</v>
      </c>
      <c r="J556" t="n">
        <v>0</v>
      </c>
      <c r="K556" t="n">
        <v>0</v>
      </c>
      <c r="L556" t="n">
        <v>0</v>
      </c>
      <c r="M556" t="n">
        <v>0</v>
      </c>
      <c r="N556" t="n">
        <v>0</v>
      </c>
      <c r="O556" t="n">
        <v>0</v>
      </c>
      <c r="P556" t="n">
        <v>0</v>
      </c>
      <c r="Q556" t="n">
        <v>0</v>
      </c>
      <c r="R556" s="2" t="inlineStr"/>
    </row>
    <row r="557" ht="15" customHeight="1">
      <c r="A557" t="inlineStr">
        <is>
          <t>A 1790-2024</t>
        </is>
      </c>
      <c r="B557" s="1" t="n">
        <v>45307.5731712963</v>
      </c>
      <c r="C557" s="1" t="n">
        <v>46040</v>
      </c>
      <c r="D557" t="inlineStr">
        <is>
          <t>DALARNAS LÄN</t>
        </is>
      </c>
      <c r="E557" t="inlineStr">
        <is>
          <t>ÄLVDALEN</t>
        </is>
      </c>
      <c r="G557" t="n">
        <v>1.9</v>
      </c>
      <c r="H557" t="n">
        <v>0</v>
      </c>
      <c r="I557" t="n">
        <v>0</v>
      </c>
      <c r="J557" t="n">
        <v>0</v>
      </c>
      <c r="K557" t="n">
        <v>0</v>
      </c>
      <c r="L557" t="n">
        <v>0</v>
      </c>
      <c r="M557" t="n">
        <v>0</v>
      </c>
      <c r="N557" t="n">
        <v>0</v>
      </c>
      <c r="O557" t="n">
        <v>0</v>
      </c>
      <c r="P557" t="n">
        <v>0</v>
      </c>
      <c r="Q557" t="n">
        <v>0</v>
      </c>
      <c r="R557" s="2" t="inlineStr"/>
    </row>
    <row r="558" ht="15" customHeight="1">
      <c r="A558" t="inlineStr">
        <is>
          <t>A 52167-2024</t>
        </is>
      </c>
      <c r="B558" s="1" t="n">
        <v>45608.53949074074</v>
      </c>
      <c r="C558" s="1" t="n">
        <v>46040</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431-2023</t>
        </is>
      </c>
      <c r="B559" s="1" t="n">
        <v>44923</v>
      </c>
      <c r="C559" s="1" t="n">
        <v>46040</v>
      </c>
      <c r="D559" t="inlineStr">
        <is>
          <t>DALARNAS LÄN</t>
        </is>
      </c>
      <c r="E559" t="inlineStr">
        <is>
          <t>ÄLVDALEN</t>
        </is>
      </c>
      <c r="G559" t="n">
        <v>2.9</v>
      </c>
      <c r="H559" t="n">
        <v>0</v>
      </c>
      <c r="I559" t="n">
        <v>0</v>
      </c>
      <c r="J559" t="n">
        <v>0</v>
      </c>
      <c r="K559" t="n">
        <v>0</v>
      </c>
      <c r="L559" t="n">
        <v>0</v>
      </c>
      <c r="M559" t="n">
        <v>0</v>
      </c>
      <c r="N559" t="n">
        <v>0</v>
      </c>
      <c r="O559" t="n">
        <v>0</v>
      </c>
      <c r="P559" t="n">
        <v>0</v>
      </c>
      <c r="Q559" t="n">
        <v>0</v>
      </c>
      <c r="R559" s="2" t="inlineStr"/>
    </row>
    <row r="560" ht="15" customHeight="1">
      <c r="A560" t="inlineStr">
        <is>
          <t>A 55589-2022</t>
        </is>
      </c>
      <c r="B560" s="1" t="n">
        <v>44888.40673611111</v>
      </c>
      <c r="C560" s="1" t="n">
        <v>46040</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29819-2024</t>
        </is>
      </c>
      <c r="B561" s="1" t="n">
        <v>45485.55760416666</v>
      </c>
      <c r="C561" s="1" t="n">
        <v>46040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46040</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46040</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59692-2024</t>
        </is>
      </c>
      <c r="B564" s="1" t="n">
        <v>45639.40686342592</v>
      </c>
      <c r="C564" s="1" t="n">
        <v>46040</v>
      </c>
      <c r="D564" t="inlineStr">
        <is>
          <t>DALARNAS LÄN</t>
        </is>
      </c>
      <c r="E564" t="inlineStr">
        <is>
          <t>ÄLVDALEN</t>
        </is>
      </c>
      <c r="G564" t="n">
        <v>2.2</v>
      </c>
      <c r="H564" t="n">
        <v>0</v>
      </c>
      <c r="I564" t="n">
        <v>0</v>
      </c>
      <c r="J564" t="n">
        <v>0</v>
      </c>
      <c r="K564" t="n">
        <v>0</v>
      </c>
      <c r="L564" t="n">
        <v>0</v>
      </c>
      <c r="M564" t="n">
        <v>0</v>
      </c>
      <c r="N564" t="n">
        <v>0</v>
      </c>
      <c r="O564" t="n">
        <v>0</v>
      </c>
      <c r="P564" t="n">
        <v>0</v>
      </c>
      <c r="Q564" t="n">
        <v>0</v>
      </c>
      <c r="R564" s="2" t="inlineStr"/>
    </row>
    <row r="565" ht="15" customHeight="1">
      <c r="A565" t="inlineStr">
        <is>
          <t>A 59444-2024</t>
        </is>
      </c>
      <c r="B565" s="1" t="n">
        <v>45638.45292824074</v>
      </c>
      <c r="C565" s="1" t="n">
        <v>46040</v>
      </c>
      <c r="D565" t="inlineStr">
        <is>
          <t>DALARNAS LÄN</t>
        </is>
      </c>
      <c r="E565" t="inlineStr">
        <is>
          <t>ÄLVDALEN</t>
        </is>
      </c>
      <c r="G565" t="n">
        <v>3.9</v>
      </c>
      <c r="H565" t="n">
        <v>0</v>
      </c>
      <c r="I565" t="n">
        <v>0</v>
      </c>
      <c r="J565" t="n">
        <v>0</v>
      </c>
      <c r="K565" t="n">
        <v>0</v>
      </c>
      <c r="L565" t="n">
        <v>0</v>
      </c>
      <c r="M565" t="n">
        <v>0</v>
      </c>
      <c r="N565" t="n">
        <v>0</v>
      </c>
      <c r="O565" t="n">
        <v>0</v>
      </c>
      <c r="P565" t="n">
        <v>0</v>
      </c>
      <c r="Q565" t="n">
        <v>0</v>
      </c>
      <c r="R565" s="2" t="inlineStr"/>
    </row>
    <row r="566" ht="15" customHeight="1">
      <c r="A566" t="inlineStr">
        <is>
          <t>A 59483-2024</t>
        </is>
      </c>
      <c r="B566" s="1" t="n">
        <v>45638.52847222222</v>
      </c>
      <c r="C566" s="1" t="n">
        <v>46040</v>
      </c>
      <c r="D566" t="inlineStr">
        <is>
          <t>DALARNAS LÄN</t>
        </is>
      </c>
      <c r="E566" t="inlineStr">
        <is>
          <t>ÄLVDALEN</t>
        </is>
      </c>
      <c r="F566" t="inlineStr">
        <is>
          <t>Allmännings- och besparingsskogar</t>
        </is>
      </c>
      <c r="G566" t="n">
        <v>6.9</v>
      </c>
      <c r="H566" t="n">
        <v>0</v>
      </c>
      <c r="I566" t="n">
        <v>0</v>
      </c>
      <c r="J566" t="n">
        <v>0</v>
      </c>
      <c r="K566" t="n">
        <v>0</v>
      </c>
      <c r="L566" t="n">
        <v>0</v>
      </c>
      <c r="M566" t="n">
        <v>0</v>
      </c>
      <c r="N566" t="n">
        <v>0</v>
      </c>
      <c r="O566" t="n">
        <v>0</v>
      </c>
      <c r="P566" t="n">
        <v>0</v>
      </c>
      <c r="Q566" t="n">
        <v>0</v>
      </c>
      <c r="R566" s="2" t="inlineStr"/>
    </row>
    <row r="567" ht="15" customHeight="1">
      <c r="A567" t="inlineStr">
        <is>
          <t>A 61072-2024</t>
        </is>
      </c>
      <c r="B567" s="1" t="n">
        <v>45645.50583333334</v>
      </c>
      <c r="C567" s="1" t="n">
        <v>46040</v>
      </c>
      <c r="D567" t="inlineStr">
        <is>
          <t>DALARNAS LÄN</t>
        </is>
      </c>
      <c r="E567" t="inlineStr">
        <is>
          <t>ÄLVDALEN</t>
        </is>
      </c>
      <c r="G567" t="n">
        <v>3.9</v>
      </c>
      <c r="H567" t="n">
        <v>0</v>
      </c>
      <c r="I567" t="n">
        <v>0</v>
      </c>
      <c r="J567" t="n">
        <v>0</v>
      </c>
      <c r="K567" t="n">
        <v>0</v>
      </c>
      <c r="L567" t="n">
        <v>0</v>
      </c>
      <c r="M567" t="n">
        <v>0</v>
      </c>
      <c r="N567" t="n">
        <v>0</v>
      </c>
      <c r="O567" t="n">
        <v>0</v>
      </c>
      <c r="P567" t="n">
        <v>0</v>
      </c>
      <c r="Q567" t="n">
        <v>0</v>
      </c>
      <c r="R567" s="2" t="inlineStr"/>
    </row>
    <row r="568" ht="15" customHeight="1">
      <c r="A568" t="inlineStr">
        <is>
          <t>A 28467-2024</t>
        </is>
      </c>
      <c r="B568" s="1" t="n">
        <v>45477.71173611111</v>
      </c>
      <c r="C568" s="1" t="n">
        <v>46040</v>
      </c>
      <c r="D568" t="inlineStr">
        <is>
          <t>DALARNAS LÄN</t>
        </is>
      </c>
      <c r="E568" t="inlineStr">
        <is>
          <t>ÄLVDALEN</t>
        </is>
      </c>
      <c r="G568" t="n">
        <v>4</v>
      </c>
      <c r="H568" t="n">
        <v>0</v>
      </c>
      <c r="I568" t="n">
        <v>0</v>
      </c>
      <c r="J568" t="n">
        <v>0</v>
      </c>
      <c r="K568" t="n">
        <v>0</v>
      </c>
      <c r="L568" t="n">
        <v>0</v>
      </c>
      <c r="M568" t="n">
        <v>0</v>
      </c>
      <c r="N568" t="n">
        <v>0</v>
      </c>
      <c r="O568" t="n">
        <v>0</v>
      </c>
      <c r="P568" t="n">
        <v>0</v>
      </c>
      <c r="Q568" t="n">
        <v>0</v>
      </c>
      <c r="R568" s="2" t="inlineStr"/>
    </row>
    <row r="569" ht="15" customHeight="1">
      <c r="A569" t="inlineStr">
        <is>
          <t>A 31332-2023</t>
        </is>
      </c>
      <c r="B569" s="1" t="n">
        <v>45114</v>
      </c>
      <c r="C569" s="1" t="n">
        <v>46040</v>
      </c>
      <c r="D569" t="inlineStr">
        <is>
          <t>DALARNAS LÄN</t>
        </is>
      </c>
      <c r="E569" t="inlineStr">
        <is>
          <t>ÄLVDALEN</t>
        </is>
      </c>
      <c r="F569" t="inlineStr">
        <is>
          <t>Övriga statliga verk och myndigheter</t>
        </is>
      </c>
      <c r="G569" t="n">
        <v>0.5</v>
      </c>
      <c r="H569" t="n">
        <v>0</v>
      </c>
      <c r="I569" t="n">
        <v>0</v>
      </c>
      <c r="J569" t="n">
        <v>0</v>
      </c>
      <c r="K569" t="n">
        <v>0</v>
      </c>
      <c r="L569" t="n">
        <v>0</v>
      </c>
      <c r="M569" t="n">
        <v>0</v>
      </c>
      <c r="N569" t="n">
        <v>0</v>
      </c>
      <c r="O569" t="n">
        <v>0</v>
      </c>
      <c r="P569" t="n">
        <v>0</v>
      </c>
      <c r="Q569" t="n">
        <v>0</v>
      </c>
      <c r="R569" s="2" t="inlineStr"/>
    </row>
    <row r="570" ht="15" customHeight="1">
      <c r="A570" t="inlineStr">
        <is>
          <t>A 46927-2024</t>
        </is>
      </c>
      <c r="B570" s="1" t="n">
        <v>45584.69063657407</v>
      </c>
      <c r="C570" s="1" t="n">
        <v>46040</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46040</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15952-2021</t>
        </is>
      </c>
      <c r="B572" s="1" t="n">
        <v>44286</v>
      </c>
      <c r="C572" s="1" t="n">
        <v>46040</v>
      </c>
      <c r="D572" t="inlineStr">
        <is>
          <t>DALARNAS LÄN</t>
        </is>
      </c>
      <c r="E572" t="inlineStr">
        <is>
          <t>ÄLVDALEN</t>
        </is>
      </c>
      <c r="F572" t="inlineStr">
        <is>
          <t>Övriga statliga verk och myndigheter</t>
        </is>
      </c>
      <c r="G572" t="n">
        <v>6.6</v>
      </c>
      <c r="H572" t="n">
        <v>0</v>
      </c>
      <c r="I572" t="n">
        <v>0</v>
      </c>
      <c r="J572" t="n">
        <v>0</v>
      </c>
      <c r="K572" t="n">
        <v>0</v>
      </c>
      <c r="L572" t="n">
        <v>0</v>
      </c>
      <c r="M572" t="n">
        <v>0</v>
      </c>
      <c r="N572" t="n">
        <v>0</v>
      </c>
      <c r="O572" t="n">
        <v>0</v>
      </c>
      <c r="P572" t="n">
        <v>0</v>
      </c>
      <c r="Q572" t="n">
        <v>0</v>
      </c>
      <c r="R572" s="2" t="inlineStr"/>
    </row>
    <row r="573" ht="15" customHeight="1">
      <c r="A573" t="inlineStr">
        <is>
          <t>A 61070-2024</t>
        </is>
      </c>
      <c r="B573" s="1" t="n">
        <v>45645.50170138889</v>
      </c>
      <c r="C573" s="1" t="n">
        <v>46040</v>
      </c>
      <c r="D573" t="inlineStr">
        <is>
          <t>DALARNAS LÄN</t>
        </is>
      </c>
      <c r="E573" t="inlineStr">
        <is>
          <t>ÄLVDALEN</t>
        </is>
      </c>
      <c r="G573" t="n">
        <v>5.6</v>
      </c>
      <c r="H573" t="n">
        <v>0</v>
      </c>
      <c r="I573" t="n">
        <v>0</v>
      </c>
      <c r="J573" t="n">
        <v>0</v>
      </c>
      <c r="K573" t="n">
        <v>0</v>
      </c>
      <c r="L573" t="n">
        <v>0</v>
      </c>
      <c r="M573" t="n">
        <v>0</v>
      </c>
      <c r="N573" t="n">
        <v>0</v>
      </c>
      <c r="O573" t="n">
        <v>0</v>
      </c>
      <c r="P573" t="n">
        <v>0</v>
      </c>
      <c r="Q573" t="n">
        <v>0</v>
      </c>
      <c r="R573" s="2" t="inlineStr"/>
    </row>
    <row r="574" ht="15" customHeight="1">
      <c r="A574" t="inlineStr">
        <is>
          <t>A 46926-2024</t>
        </is>
      </c>
      <c r="B574" s="1" t="n">
        <v>45584.68275462963</v>
      </c>
      <c r="C574" s="1" t="n">
        <v>46040</v>
      </c>
      <c r="D574" t="inlineStr">
        <is>
          <t>DALARNAS LÄN</t>
        </is>
      </c>
      <c r="E574" t="inlineStr">
        <is>
          <t>ÄLVDALEN</t>
        </is>
      </c>
      <c r="G574" t="n">
        <v>4.4</v>
      </c>
      <c r="H574" t="n">
        <v>0</v>
      </c>
      <c r="I574" t="n">
        <v>0</v>
      </c>
      <c r="J574" t="n">
        <v>0</v>
      </c>
      <c r="K574" t="n">
        <v>0</v>
      </c>
      <c r="L574" t="n">
        <v>0</v>
      </c>
      <c r="M574" t="n">
        <v>0</v>
      </c>
      <c r="N574" t="n">
        <v>0</v>
      </c>
      <c r="O574" t="n">
        <v>0</v>
      </c>
      <c r="P574" t="n">
        <v>0</v>
      </c>
      <c r="Q574" t="n">
        <v>0</v>
      </c>
      <c r="R574" s="2" t="inlineStr"/>
    </row>
    <row r="575" ht="15" customHeight="1">
      <c r="A575" t="inlineStr">
        <is>
          <t>A 19761-2021</t>
        </is>
      </c>
      <c r="B575" s="1" t="n">
        <v>44309</v>
      </c>
      <c r="C575" s="1" t="n">
        <v>46040</v>
      </c>
      <c r="D575" t="inlineStr">
        <is>
          <t>DALARNAS LÄN</t>
        </is>
      </c>
      <c r="E575" t="inlineStr">
        <is>
          <t>ÄLVDALEN</t>
        </is>
      </c>
      <c r="G575" t="n">
        <v>4.3</v>
      </c>
      <c r="H575" t="n">
        <v>0</v>
      </c>
      <c r="I575" t="n">
        <v>0</v>
      </c>
      <c r="J575" t="n">
        <v>0</v>
      </c>
      <c r="K575" t="n">
        <v>0</v>
      </c>
      <c r="L575" t="n">
        <v>0</v>
      </c>
      <c r="M575" t="n">
        <v>0</v>
      </c>
      <c r="N575" t="n">
        <v>0</v>
      </c>
      <c r="O575" t="n">
        <v>0</v>
      </c>
      <c r="P575" t="n">
        <v>0</v>
      </c>
      <c r="Q575" t="n">
        <v>0</v>
      </c>
      <c r="R575" s="2" t="inlineStr"/>
    </row>
    <row r="576" ht="15" customHeight="1">
      <c r="A576" t="inlineStr">
        <is>
          <t>A 29713-2022</t>
        </is>
      </c>
      <c r="B576" s="1" t="n">
        <v>44755</v>
      </c>
      <c r="C576" s="1" t="n">
        <v>46040</v>
      </c>
      <c r="D576" t="inlineStr">
        <is>
          <t>DALARNAS LÄN</t>
        </is>
      </c>
      <c r="E576" t="inlineStr">
        <is>
          <t>ÄLVDALEN</t>
        </is>
      </c>
      <c r="G576" t="n">
        <v>2.8</v>
      </c>
      <c r="H576" t="n">
        <v>0</v>
      </c>
      <c r="I576" t="n">
        <v>0</v>
      </c>
      <c r="J576" t="n">
        <v>0</v>
      </c>
      <c r="K576" t="n">
        <v>0</v>
      </c>
      <c r="L576" t="n">
        <v>0</v>
      </c>
      <c r="M576" t="n">
        <v>0</v>
      </c>
      <c r="N576" t="n">
        <v>0</v>
      </c>
      <c r="O576" t="n">
        <v>0</v>
      </c>
      <c r="P576" t="n">
        <v>0</v>
      </c>
      <c r="Q576" t="n">
        <v>0</v>
      </c>
      <c r="R576" s="2" t="inlineStr"/>
    </row>
    <row r="577" ht="15" customHeight="1">
      <c r="A577" t="inlineStr">
        <is>
          <t>A 627-2025</t>
        </is>
      </c>
      <c r="B577" s="1" t="n">
        <v>45660</v>
      </c>
      <c r="C577" s="1" t="n">
        <v>46040</v>
      </c>
      <c r="D577" t="inlineStr">
        <is>
          <t>DALARNAS LÄN</t>
        </is>
      </c>
      <c r="E577" t="inlineStr">
        <is>
          <t>ÄLVDALEN</t>
        </is>
      </c>
      <c r="F577" t="inlineStr">
        <is>
          <t>Allmännings- och besparingsskogar</t>
        </is>
      </c>
      <c r="G577" t="n">
        <v>0.9</v>
      </c>
      <c r="H577" t="n">
        <v>0</v>
      </c>
      <c r="I577" t="n">
        <v>0</v>
      </c>
      <c r="J577" t="n">
        <v>0</v>
      </c>
      <c r="K577" t="n">
        <v>0</v>
      </c>
      <c r="L577" t="n">
        <v>0</v>
      </c>
      <c r="M577" t="n">
        <v>0</v>
      </c>
      <c r="N577" t="n">
        <v>0</v>
      </c>
      <c r="O577" t="n">
        <v>0</v>
      </c>
      <c r="P577" t="n">
        <v>0</v>
      </c>
      <c r="Q577" t="n">
        <v>0</v>
      </c>
      <c r="R577" s="2" t="inlineStr"/>
    </row>
    <row r="578" ht="15" customHeight="1">
      <c r="A578" t="inlineStr">
        <is>
          <t>A 14089-2022</t>
        </is>
      </c>
      <c r="B578" s="1" t="n">
        <v>44651</v>
      </c>
      <c r="C578" s="1" t="n">
        <v>46040</v>
      </c>
      <c r="D578" t="inlineStr">
        <is>
          <t>DALARNAS LÄN</t>
        </is>
      </c>
      <c r="E578" t="inlineStr">
        <is>
          <t>ÄLVDALEN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57560-2024</t>
        </is>
      </c>
      <c r="B579" s="1" t="n">
        <v>45630.4566550926</v>
      </c>
      <c r="C579" s="1" t="n">
        <v>46040</v>
      </c>
      <c r="D579" t="inlineStr">
        <is>
          <t>DALARNAS LÄN</t>
        </is>
      </c>
      <c r="E579" t="inlineStr">
        <is>
          <t>ÄLVDALEN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10817-2025</t>
        </is>
      </c>
      <c r="B580" s="1" t="n">
        <v>45722.54625</v>
      </c>
      <c r="C580" s="1" t="n">
        <v>46040</v>
      </c>
      <c r="D580" t="inlineStr">
        <is>
          <t>DALARNAS LÄN</t>
        </is>
      </c>
      <c r="E580" t="inlineStr">
        <is>
          <t>ÄLVDALEN</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10831-2025</t>
        </is>
      </c>
      <c r="B581" s="1" t="n">
        <v>45722.56425925926</v>
      </c>
      <c r="C581" s="1" t="n">
        <v>46040</v>
      </c>
      <c r="D581" t="inlineStr">
        <is>
          <t>DALARNAS LÄN</t>
        </is>
      </c>
      <c r="E581" t="inlineStr">
        <is>
          <t>ÄLVDALEN</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63329-2023</t>
        </is>
      </c>
      <c r="B582" s="1" t="n">
        <v>45274.38255787037</v>
      </c>
      <c r="C582" s="1" t="n">
        <v>46040</v>
      </c>
      <c r="D582" t="inlineStr">
        <is>
          <t>DALARNAS LÄN</t>
        </is>
      </c>
      <c r="E582" t="inlineStr">
        <is>
          <t>ÄLVDALEN</t>
        </is>
      </c>
      <c r="G582" t="n">
        <v>0.6</v>
      </c>
      <c r="H582" t="n">
        <v>0</v>
      </c>
      <c r="I582" t="n">
        <v>0</v>
      </c>
      <c r="J582" t="n">
        <v>0</v>
      </c>
      <c r="K582" t="n">
        <v>0</v>
      </c>
      <c r="L582" t="n">
        <v>0</v>
      </c>
      <c r="M582" t="n">
        <v>0</v>
      </c>
      <c r="N582" t="n">
        <v>0</v>
      </c>
      <c r="O582" t="n">
        <v>0</v>
      </c>
      <c r="P582" t="n">
        <v>0</v>
      </c>
      <c r="Q582" t="n">
        <v>0</v>
      </c>
      <c r="R582" s="2" t="inlineStr"/>
    </row>
    <row r="583" ht="15" customHeight="1">
      <c r="A583" t="inlineStr">
        <is>
          <t>A 20584-2025</t>
        </is>
      </c>
      <c r="B583" s="1" t="n">
        <v>45775.695</v>
      </c>
      <c r="C583" s="1" t="n">
        <v>46040</v>
      </c>
      <c r="D583" t="inlineStr">
        <is>
          <t>DALARNAS LÄN</t>
        </is>
      </c>
      <c r="E583" t="inlineStr">
        <is>
          <t>ÄLVDALEN</t>
        </is>
      </c>
      <c r="G583" t="n">
        <v>1.8</v>
      </c>
      <c r="H583" t="n">
        <v>0</v>
      </c>
      <c r="I583" t="n">
        <v>0</v>
      </c>
      <c r="J583" t="n">
        <v>0</v>
      </c>
      <c r="K583" t="n">
        <v>0</v>
      </c>
      <c r="L583" t="n">
        <v>0</v>
      </c>
      <c r="M583" t="n">
        <v>0</v>
      </c>
      <c r="N583" t="n">
        <v>0</v>
      </c>
      <c r="O583" t="n">
        <v>0</v>
      </c>
      <c r="P583" t="n">
        <v>0</v>
      </c>
      <c r="Q583" t="n">
        <v>0</v>
      </c>
      <c r="R583" s="2" t="inlineStr"/>
    </row>
    <row r="584" ht="15" customHeight="1">
      <c r="A584" t="inlineStr">
        <is>
          <t>A 3903-2024</t>
        </is>
      </c>
      <c r="B584" s="1" t="n">
        <v>45322</v>
      </c>
      <c r="C584" s="1" t="n">
        <v>46040</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3914-2024</t>
        </is>
      </c>
      <c r="B585" s="1" t="n">
        <v>45322</v>
      </c>
      <c r="C585" s="1" t="n">
        <v>46040</v>
      </c>
      <c r="D585" t="inlineStr">
        <is>
          <t>DALARNAS LÄN</t>
        </is>
      </c>
      <c r="E585" t="inlineStr">
        <is>
          <t>ÄLVDALEN</t>
        </is>
      </c>
      <c r="G585" t="n">
        <v>0.3</v>
      </c>
      <c r="H585" t="n">
        <v>0</v>
      </c>
      <c r="I585" t="n">
        <v>0</v>
      </c>
      <c r="J585" t="n">
        <v>0</v>
      </c>
      <c r="K585" t="n">
        <v>0</v>
      </c>
      <c r="L585" t="n">
        <v>0</v>
      </c>
      <c r="M585" t="n">
        <v>0</v>
      </c>
      <c r="N585" t="n">
        <v>0</v>
      </c>
      <c r="O585" t="n">
        <v>0</v>
      </c>
      <c r="P585" t="n">
        <v>0</v>
      </c>
      <c r="Q585" t="n">
        <v>0</v>
      </c>
      <c r="R585" s="2" t="inlineStr"/>
    </row>
    <row r="586" ht="15" customHeight="1">
      <c r="A586" t="inlineStr">
        <is>
          <t>A 15251-2021</t>
        </is>
      </c>
      <c r="B586" s="1" t="n">
        <v>44284</v>
      </c>
      <c r="C586" s="1" t="n">
        <v>46040</v>
      </c>
      <c r="D586" t="inlineStr">
        <is>
          <t>DALARNAS LÄN</t>
        </is>
      </c>
      <c r="E586" t="inlineStr">
        <is>
          <t>ÄLVDALEN</t>
        </is>
      </c>
      <c r="G586" t="n">
        <v>6.1</v>
      </c>
      <c r="H586" t="n">
        <v>0</v>
      </c>
      <c r="I586" t="n">
        <v>0</v>
      </c>
      <c r="J586" t="n">
        <v>0</v>
      </c>
      <c r="K586" t="n">
        <v>0</v>
      </c>
      <c r="L586" t="n">
        <v>0</v>
      </c>
      <c r="M586" t="n">
        <v>0</v>
      </c>
      <c r="N586" t="n">
        <v>0</v>
      </c>
      <c r="O586" t="n">
        <v>0</v>
      </c>
      <c r="P586" t="n">
        <v>0</v>
      </c>
      <c r="Q586" t="n">
        <v>0</v>
      </c>
      <c r="R586" s="2" t="inlineStr"/>
    </row>
    <row r="587" ht="15" customHeight="1">
      <c r="A587" t="inlineStr">
        <is>
          <t>A 39010-2024</t>
        </is>
      </c>
      <c r="B587" s="1" t="n">
        <v>45548</v>
      </c>
      <c r="C587" s="1" t="n">
        <v>46040</v>
      </c>
      <c r="D587" t="inlineStr">
        <is>
          <t>DALARNAS LÄN</t>
        </is>
      </c>
      <c r="E587" t="inlineStr">
        <is>
          <t>ÄLVDALEN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47081-2023</t>
        </is>
      </c>
      <c r="B588" s="1" t="n">
        <v>45201.61148148148</v>
      </c>
      <c r="C588" s="1" t="n">
        <v>46040</v>
      </c>
      <c r="D588" t="inlineStr">
        <is>
          <t>DALARNAS LÄN</t>
        </is>
      </c>
      <c r="E588" t="inlineStr">
        <is>
          <t>ÄLVDALEN</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23369-2023</t>
        </is>
      </c>
      <c r="B589" s="1" t="n">
        <v>45076</v>
      </c>
      <c r="C589" s="1" t="n">
        <v>46040</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6791-2025</t>
        </is>
      </c>
      <c r="B590" s="1" t="n">
        <v>45700.66315972222</v>
      </c>
      <c r="C590" s="1" t="n">
        <v>46040</v>
      </c>
      <c r="D590" t="inlineStr">
        <is>
          <t>DALARNAS LÄN</t>
        </is>
      </c>
      <c r="E590" t="inlineStr">
        <is>
          <t>ÄLVDALEN</t>
        </is>
      </c>
      <c r="G590" t="n">
        <v>30.2</v>
      </c>
      <c r="H590" t="n">
        <v>0</v>
      </c>
      <c r="I590" t="n">
        <v>0</v>
      </c>
      <c r="J590" t="n">
        <v>0</v>
      </c>
      <c r="K590" t="n">
        <v>0</v>
      </c>
      <c r="L590" t="n">
        <v>0</v>
      </c>
      <c r="M590" t="n">
        <v>0</v>
      </c>
      <c r="N590" t="n">
        <v>0</v>
      </c>
      <c r="O590" t="n">
        <v>0</v>
      </c>
      <c r="P590" t="n">
        <v>0</v>
      </c>
      <c r="Q590" t="n">
        <v>0</v>
      </c>
      <c r="R590" s="2" t="inlineStr"/>
    </row>
    <row r="591" ht="15" customHeight="1">
      <c r="A591" t="inlineStr">
        <is>
          <t>A 1804-2024</t>
        </is>
      </c>
      <c r="B591" s="1" t="n">
        <v>45307.59216435185</v>
      </c>
      <c r="C591" s="1" t="n">
        <v>46040</v>
      </c>
      <c r="D591" t="inlineStr">
        <is>
          <t>DALARNAS LÄN</t>
        </is>
      </c>
      <c r="E591" t="inlineStr">
        <is>
          <t>ÄLVDALEN</t>
        </is>
      </c>
      <c r="G591" t="n">
        <v>1.9</v>
      </c>
      <c r="H591" t="n">
        <v>0</v>
      </c>
      <c r="I591" t="n">
        <v>0</v>
      </c>
      <c r="J591" t="n">
        <v>0</v>
      </c>
      <c r="K591" t="n">
        <v>0</v>
      </c>
      <c r="L591" t="n">
        <v>0</v>
      </c>
      <c r="M591" t="n">
        <v>0</v>
      </c>
      <c r="N591" t="n">
        <v>0</v>
      </c>
      <c r="O591" t="n">
        <v>0</v>
      </c>
      <c r="P591" t="n">
        <v>0</v>
      </c>
      <c r="Q591" t="n">
        <v>0</v>
      </c>
      <c r="R591" s="2" t="inlineStr"/>
    </row>
    <row r="592" ht="15" customHeight="1">
      <c r="A592" t="inlineStr">
        <is>
          <t>A 57817-2023</t>
        </is>
      </c>
      <c r="B592" s="1" t="n">
        <v>45247</v>
      </c>
      <c r="C592" s="1" t="n">
        <v>46040</v>
      </c>
      <c r="D592" t="inlineStr">
        <is>
          <t>DALARNAS LÄN</t>
        </is>
      </c>
      <c r="E592" t="inlineStr">
        <is>
          <t>ÄLVDALEN</t>
        </is>
      </c>
      <c r="G592" t="n">
        <v>6.4</v>
      </c>
      <c r="H592" t="n">
        <v>0</v>
      </c>
      <c r="I592" t="n">
        <v>0</v>
      </c>
      <c r="J592" t="n">
        <v>0</v>
      </c>
      <c r="K592" t="n">
        <v>0</v>
      </c>
      <c r="L592" t="n">
        <v>0</v>
      </c>
      <c r="M592" t="n">
        <v>0</v>
      </c>
      <c r="N592" t="n">
        <v>0</v>
      </c>
      <c r="O592" t="n">
        <v>0</v>
      </c>
      <c r="P592" t="n">
        <v>0</v>
      </c>
      <c r="Q592" t="n">
        <v>0</v>
      </c>
      <c r="R592" s="2" t="inlineStr"/>
    </row>
    <row r="593" ht="15" customHeight="1">
      <c r="A593" t="inlineStr">
        <is>
          <t>A 9719-2023</t>
        </is>
      </c>
      <c r="B593" s="1" t="n">
        <v>44978</v>
      </c>
      <c r="C593" s="1" t="n">
        <v>46040</v>
      </c>
      <c r="D593" t="inlineStr">
        <is>
          <t>DALARNAS LÄN</t>
        </is>
      </c>
      <c r="E593" t="inlineStr">
        <is>
          <t>ÄLVDALEN</t>
        </is>
      </c>
      <c r="G593" t="n">
        <v>20.2</v>
      </c>
      <c r="H593" t="n">
        <v>0</v>
      </c>
      <c r="I593" t="n">
        <v>0</v>
      </c>
      <c r="J593" t="n">
        <v>0</v>
      </c>
      <c r="K593" t="n">
        <v>0</v>
      </c>
      <c r="L593" t="n">
        <v>0</v>
      </c>
      <c r="M593" t="n">
        <v>0</v>
      </c>
      <c r="N593" t="n">
        <v>0</v>
      </c>
      <c r="O593" t="n">
        <v>0</v>
      </c>
      <c r="P593" t="n">
        <v>0</v>
      </c>
      <c r="Q593" t="n">
        <v>0</v>
      </c>
      <c r="R593" s="2" t="inlineStr"/>
    </row>
    <row r="594" ht="15" customHeight="1">
      <c r="A594" t="inlineStr">
        <is>
          <t>A 40003-2022</t>
        </is>
      </c>
      <c r="B594" s="1" t="n">
        <v>44820.36509259259</v>
      </c>
      <c r="C594" s="1" t="n">
        <v>46040</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46040</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46040</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32838-2023</t>
        </is>
      </c>
      <c r="B597" s="1" t="n">
        <v>45124</v>
      </c>
      <c r="C597" s="1" t="n">
        <v>46040</v>
      </c>
      <c r="D597" t="inlineStr">
        <is>
          <t>DALARNAS LÄN</t>
        </is>
      </c>
      <c r="E597" t="inlineStr">
        <is>
          <t>ÄLVDALEN</t>
        </is>
      </c>
      <c r="G597" t="n">
        <v>3.7</v>
      </c>
      <c r="H597" t="n">
        <v>0</v>
      </c>
      <c r="I597" t="n">
        <v>0</v>
      </c>
      <c r="J597" t="n">
        <v>0</v>
      </c>
      <c r="K597" t="n">
        <v>0</v>
      </c>
      <c r="L597" t="n">
        <v>0</v>
      </c>
      <c r="M597" t="n">
        <v>0</v>
      </c>
      <c r="N597" t="n">
        <v>0</v>
      </c>
      <c r="O597" t="n">
        <v>0</v>
      </c>
      <c r="P597" t="n">
        <v>0</v>
      </c>
      <c r="Q597" t="n">
        <v>0</v>
      </c>
      <c r="R597" s="2" t="inlineStr"/>
    </row>
    <row r="598" ht="15" customHeight="1">
      <c r="A598" t="inlineStr">
        <is>
          <t>A 505-2024</t>
        </is>
      </c>
      <c r="B598" s="1" t="n">
        <v>45299</v>
      </c>
      <c r="C598" s="1" t="n">
        <v>46040</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36593-2023</t>
        </is>
      </c>
      <c r="B599" s="1" t="n">
        <v>45153.47732638889</v>
      </c>
      <c r="C599" s="1" t="n">
        <v>46040</v>
      </c>
      <c r="D599" t="inlineStr">
        <is>
          <t>DALARNAS LÄN</t>
        </is>
      </c>
      <c r="E599" t="inlineStr">
        <is>
          <t>ÄLVDALEN</t>
        </is>
      </c>
      <c r="G599" t="n">
        <v>0.9</v>
      </c>
      <c r="H599" t="n">
        <v>0</v>
      </c>
      <c r="I599" t="n">
        <v>0</v>
      </c>
      <c r="J599" t="n">
        <v>0</v>
      </c>
      <c r="K599" t="n">
        <v>0</v>
      </c>
      <c r="L599" t="n">
        <v>0</v>
      </c>
      <c r="M599" t="n">
        <v>0</v>
      </c>
      <c r="N599" t="n">
        <v>0</v>
      </c>
      <c r="O599" t="n">
        <v>0</v>
      </c>
      <c r="P599" t="n">
        <v>0</v>
      </c>
      <c r="Q599" t="n">
        <v>0</v>
      </c>
      <c r="R599" s="2" t="inlineStr"/>
    </row>
    <row r="600" ht="15" customHeight="1">
      <c r="A600" t="inlineStr">
        <is>
          <t>A 48954-2023</t>
        </is>
      </c>
      <c r="B600" s="1" t="n">
        <v>45209.58488425926</v>
      </c>
      <c r="C600" s="1" t="n">
        <v>46040</v>
      </c>
      <c r="D600" t="inlineStr">
        <is>
          <t>DALARNAS LÄN</t>
        </is>
      </c>
      <c r="E600" t="inlineStr">
        <is>
          <t>ÄLVDALEN</t>
        </is>
      </c>
      <c r="G600" t="n">
        <v>7</v>
      </c>
      <c r="H600" t="n">
        <v>0</v>
      </c>
      <c r="I600" t="n">
        <v>0</v>
      </c>
      <c r="J600" t="n">
        <v>0</v>
      </c>
      <c r="K600" t="n">
        <v>0</v>
      </c>
      <c r="L600" t="n">
        <v>0</v>
      </c>
      <c r="M600" t="n">
        <v>0</v>
      </c>
      <c r="N600" t="n">
        <v>0</v>
      </c>
      <c r="O600" t="n">
        <v>0</v>
      </c>
      <c r="P600" t="n">
        <v>0</v>
      </c>
      <c r="Q600" t="n">
        <v>0</v>
      </c>
      <c r="R600" s="2" t="inlineStr"/>
    </row>
    <row r="601" ht="15" customHeight="1">
      <c r="A601" t="inlineStr">
        <is>
          <t>A 8538-2025</t>
        </is>
      </c>
      <c r="B601" s="1" t="n">
        <v>45709.59030092593</v>
      </c>
      <c r="C601" s="1" t="n">
        <v>46040</v>
      </c>
      <c r="D601" t="inlineStr">
        <is>
          <t>DALARNAS LÄN</t>
        </is>
      </c>
      <c r="E601" t="inlineStr">
        <is>
          <t>ÄLVDALEN</t>
        </is>
      </c>
      <c r="F601" t="inlineStr">
        <is>
          <t>Allmännings- och besparingsskogar</t>
        </is>
      </c>
      <c r="G601" t="n">
        <v>0.6</v>
      </c>
      <c r="H601" t="n">
        <v>0</v>
      </c>
      <c r="I601" t="n">
        <v>0</v>
      </c>
      <c r="J601" t="n">
        <v>0</v>
      </c>
      <c r="K601" t="n">
        <v>0</v>
      </c>
      <c r="L601" t="n">
        <v>0</v>
      </c>
      <c r="M601" t="n">
        <v>0</v>
      </c>
      <c r="N601" t="n">
        <v>0</v>
      </c>
      <c r="O601" t="n">
        <v>0</v>
      </c>
      <c r="P601" t="n">
        <v>0</v>
      </c>
      <c r="Q601" t="n">
        <v>0</v>
      </c>
      <c r="R601" s="2" t="inlineStr"/>
    </row>
    <row r="602" ht="15" customHeight="1">
      <c r="A602" t="inlineStr">
        <is>
          <t>A 36284-2024</t>
        </is>
      </c>
      <c r="B602" s="1" t="n">
        <v>45534.5897337963</v>
      </c>
      <c r="C602" s="1" t="n">
        <v>46040</v>
      </c>
      <c r="D602" t="inlineStr">
        <is>
          <t>DALARNAS LÄN</t>
        </is>
      </c>
      <c r="E602" t="inlineStr">
        <is>
          <t>ÄLVDALEN</t>
        </is>
      </c>
      <c r="G602" t="n">
        <v>3.4</v>
      </c>
      <c r="H602" t="n">
        <v>0</v>
      </c>
      <c r="I602" t="n">
        <v>0</v>
      </c>
      <c r="J602" t="n">
        <v>0</v>
      </c>
      <c r="K602" t="n">
        <v>0</v>
      </c>
      <c r="L602" t="n">
        <v>0</v>
      </c>
      <c r="M602" t="n">
        <v>0</v>
      </c>
      <c r="N602" t="n">
        <v>0</v>
      </c>
      <c r="O602" t="n">
        <v>0</v>
      </c>
      <c r="P602" t="n">
        <v>0</v>
      </c>
      <c r="Q602" t="n">
        <v>0</v>
      </c>
      <c r="R602" s="2" t="inlineStr"/>
    </row>
    <row r="603" ht="15" customHeight="1">
      <c r="A603" t="inlineStr">
        <is>
          <t>A 54632-2021</t>
        </is>
      </c>
      <c r="B603" s="1" t="n">
        <v>44473</v>
      </c>
      <c r="C603" s="1" t="n">
        <v>46040</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c r="T603">
        <f>HYPERLINK("https://klasma.github.io/Logging_2039/kartor/A 54632-2021 karta.png", "A 54632-2021")</f>
        <v/>
      </c>
      <c r="V603">
        <f>HYPERLINK("https://klasma.github.io/Logging_2039/klagomål/A 54632-2021 FSC-klagomål.docx", "A 54632-2021")</f>
        <v/>
      </c>
      <c r="W603">
        <f>HYPERLINK("https://klasma.github.io/Logging_2039/klagomålsmail/A 54632-2021 FSC-klagomål mail.docx", "A 54632-2021")</f>
        <v/>
      </c>
      <c r="X603">
        <f>HYPERLINK("https://klasma.github.io/Logging_2039/tillsyn/A 54632-2021 tillsynsbegäran.docx", "A 54632-2021")</f>
        <v/>
      </c>
      <c r="Y603">
        <f>HYPERLINK("https://klasma.github.io/Logging_2039/tillsynsmail/A 54632-2021 tillsynsbegäran mail.docx", "A 54632-2021")</f>
        <v/>
      </c>
    </row>
    <row r="604" ht="15" customHeight="1">
      <c r="A604" t="inlineStr">
        <is>
          <t>A 36285-2024</t>
        </is>
      </c>
      <c r="B604" s="1" t="n">
        <v>45534.59008101852</v>
      </c>
      <c r="C604" s="1" t="n">
        <v>46040</v>
      </c>
      <c r="D604" t="inlineStr">
        <is>
          <t>DALARNAS LÄN</t>
        </is>
      </c>
      <c r="E604" t="inlineStr">
        <is>
          <t>ÄLVDALEN</t>
        </is>
      </c>
      <c r="G604" t="n">
        <v>4.9</v>
      </c>
      <c r="H604" t="n">
        <v>0</v>
      </c>
      <c r="I604" t="n">
        <v>0</v>
      </c>
      <c r="J604" t="n">
        <v>0</v>
      </c>
      <c r="K604" t="n">
        <v>0</v>
      </c>
      <c r="L604" t="n">
        <v>0</v>
      </c>
      <c r="M604" t="n">
        <v>0</v>
      </c>
      <c r="N604" t="n">
        <v>0</v>
      </c>
      <c r="O604" t="n">
        <v>0</v>
      </c>
      <c r="P604" t="n">
        <v>0</v>
      </c>
      <c r="Q604" t="n">
        <v>0</v>
      </c>
      <c r="R604" s="2" t="inlineStr"/>
    </row>
    <row r="605" ht="15" customHeight="1">
      <c r="A605" t="inlineStr">
        <is>
          <t>A 37439-2024</t>
        </is>
      </c>
      <c r="B605" s="1" t="n">
        <v>45540</v>
      </c>
      <c r="C605" s="1" t="n">
        <v>46040</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19587-2025</t>
        </is>
      </c>
      <c r="B606" s="1" t="n">
        <v>45770.56820601852</v>
      </c>
      <c r="C606" s="1" t="n">
        <v>46040</v>
      </c>
      <c r="D606" t="inlineStr">
        <is>
          <t>DALARNAS LÄN</t>
        </is>
      </c>
      <c r="E606" t="inlineStr">
        <is>
          <t>ÄLVDALEN</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747-2025</t>
        </is>
      </c>
      <c r="B607" s="1" t="n">
        <v>45665.43965277778</v>
      </c>
      <c r="C607" s="1" t="n">
        <v>46040</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3196-2025</t>
        </is>
      </c>
      <c r="B608" s="1" t="n">
        <v>45679.42957175926</v>
      </c>
      <c r="C608" s="1" t="n">
        <v>46040</v>
      </c>
      <c r="D608" t="inlineStr">
        <is>
          <t>DALARNAS LÄN</t>
        </is>
      </c>
      <c r="E608" t="inlineStr">
        <is>
          <t>ÄLVDALEN</t>
        </is>
      </c>
      <c r="G608" t="n">
        <v>5.2</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46040</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19182-2023</t>
        </is>
      </c>
      <c r="B610" s="1" t="n">
        <v>45048</v>
      </c>
      <c r="C610" s="1" t="n">
        <v>46040</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52249-2022</t>
        </is>
      </c>
      <c r="B611" s="1" t="n">
        <v>44873</v>
      </c>
      <c r="C611" s="1" t="n">
        <v>46040</v>
      </c>
      <c r="D611" t="inlineStr">
        <is>
          <t>DALARNAS LÄN</t>
        </is>
      </c>
      <c r="E611" t="inlineStr">
        <is>
          <t>ÄLVDALEN</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6230-2024</t>
        </is>
      </c>
      <c r="B612" s="1" t="n">
        <v>45337</v>
      </c>
      <c r="C612" s="1" t="n">
        <v>46040</v>
      </c>
      <c r="D612" t="inlineStr">
        <is>
          <t>DALARNAS LÄN</t>
        </is>
      </c>
      <c r="E612" t="inlineStr">
        <is>
          <t>ÄLVDALEN</t>
        </is>
      </c>
      <c r="G612" t="n">
        <v>6.2</v>
      </c>
      <c r="H612" t="n">
        <v>0</v>
      </c>
      <c r="I612" t="n">
        <v>0</v>
      </c>
      <c r="J612" t="n">
        <v>0</v>
      </c>
      <c r="K612" t="n">
        <v>0</v>
      </c>
      <c r="L612" t="n">
        <v>0</v>
      </c>
      <c r="M612" t="n">
        <v>0</v>
      </c>
      <c r="N612" t="n">
        <v>0</v>
      </c>
      <c r="O612" t="n">
        <v>0</v>
      </c>
      <c r="P612" t="n">
        <v>0</v>
      </c>
      <c r="Q612" t="n">
        <v>0</v>
      </c>
      <c r="R612" s="2" t="inlineStr"/>
    </row>
    <row r="613" ht="15" customHeight="1">
      <c r="A613" t="inlineStr">
        <is>
          <t>A 68383-2021</t>
        </is>
      </c>
      <c r="B613" s="1" t="n">
        <v>44529</v>
      </c>
      <c r="C613" s="1" t="n">
        <v>46040</v>
      </c>
      <c r="D613" t="inlineStr">
        <is>
          <t>DALARNAS LÄN</t>
        </is>
      </c>
      <c r="E613" t="inlineStr">
        <is>
          <t>ÄLVDALEN</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9045-2025</t>
        </is>
      </c>
      <c r="B614" s="1" t="n">
        <v>45713.62837962963</v>
      </c>
      <c r="C614" s="1" t="n">
        <v>46040</v>
      </c>
      <c r="D614" t="inlineStr">
        <is>
          <t>DALARNAS LÄN</t>
        </is>
      </c>
      <c r="E614" t="inlineStr">
        <is>
          <t>ÄLVDALEN</t>
        </is>
      </c>
      <c r="F614" t="inlineStr">
        <is>
          <t>Allmännings- och besparingsskogar</t>
        </is>
      </c>
      <c r="G614" t="n">
        <v>39.1</v>
      </c>
      <c r="H614" t="n">
        <v>0</v>
      </c>
      <c r="I614" t="n">
        <v>0</v>
      </c>
      <c r="J614" t="n">
        <v>0</v>
      </c>
      <c r="K614" t="n">
        <v>0</v>
      </c>
      <c r="L614" t="n">
        <v>0</v>
      </c>
      <c r="M614" t="n">
        <v>0</v>
      </c>
      <c r="N614" t="n">
        <v>0</v>
      </c>
      <c r="O614" t="n">
        <v>0</v>
      </c>
      <c r="P614" t="n">
        <v>0</v>
      </c>
      <c r="Q614" t="n">
        <v>0</v>
      </c>
      <c r="R614" s="2" t="inlineStr"/>
    </row>
    <row r="615" ht="15" customHeight="1">
      <c r="A615" t="inlineStr">
        <is>
          <t>A 12318-2025</t>
        </is>
      </c>
      <c r="B615" s="1" t="n">
        <v>45729.87777777778</v>
      </c>
      <c r="C615" s="1" t="n">
        <v>46040</v>
      </c>
      <c r="D615" t="inlineStr">
        <is>
          <t>DALARNAS LÄN</t>
        </is>
      </c>
      <c r="E615" t="inlineStr">
        <is>
          <t>ÄLVDALEN</t>
        </is>
      </c>
      <c r="G615" t="n">
        <v>3.3</v>
      </c>
      <c r="H615" t="n">
        <v>0</v>
      </c>
      <c r="I615" t="n">
        <v>0</v>
      </c>
      <c r="J615" t="n">
        <v>0</v>
      </c>
      <c r="K615" t="n">
        <v>0</v>
      </c>
      <c r="L615" t="n">
        <v>0</v>
      </c>
      <c r="M615" t="n">
        <v>0</v>
      </c>
      <c r="N615" t="n">
        <v>0</v>
      </c>
      <c r="O615" t="n">
        <v>0</v>
      </c>
      <c r="P615" t="n">
        <v>0</v>
      </c>
      <c r="Q615" t="n">
        <v>0</v>
      </c>
      <c r="R615" s="2" t="inlineStr"/>
    </row>
    <row r="616" ht="15" customHeight="1">
      <c r="A616" t="inlineStr">
        <is>
          <t>A 59138-2023</t>
        </is>
      </c>
      <c r="B616" s="1" t="n">
        <v>45253</v>
      </c>
      <c r="C616" s="1" t="n">
        <v>46040</v>
      </c>
      <c r="D616" t="inlineStr">
        <is>
          <t>DALARNAS LÄN</t>
        </is>
      </c>
      <c r="E616" t="inlineStr">
        <is>
          <t>ÄLVDALEN</t>
        </is>
      </c>
      <c r="G616" t="n">
        <v>0.4</v>
      </c>
      <c r="H616" t="n">
        <v>0</v>
      </c>
      <c r="I616" t="n">
        <v>0</v>
      </c>
      <c r="J616" t="n">
        <v>0</v>
      </c>
      <c r="K616" t="n">
        <v>0</v>
      </c>
      <c r="L616" t="n">
        <v>0</v>
      </c>
      <c r="M616" t="n">
        <v>0</v>
      </c>
      <c r="N616" t="n">
        <v>0</v>
      </c>
      <c r="O616" t="n">
        <v>0</v>
      </c>
      <c r="P616" t="n">
        <v>0</v>
      </c>
      <c r="Q616" t="n">
        <v>0</v>
      </c>
      <c r="R616" s="2" t="inlineStr"/>
    </row>
    <row r="617" ht="15" customHeight="1">
      <c r="A617" t="inlineStr">
        <is>
          <t>A 32622-2023</t>
        </is>
      </c>
      <c r="B617" s="1" t="n">
        <v>45121</v>
      </c>
      <c r="C617" s="1" t="n">
        <v>46040</v>
      </c>
      <c r="D617" t="inlineStr">
        <is>
          <t>DALARNAS LÄN</t>
        </is>
      </c>
      <c r="E617" t="inlineStr">
        <is>
          <t>ÄLVDALEN</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57470-2023</t>
        </is>
      </c>
      <c r="B618" s="1" t="n">
        <v>45246</v>
      </c>
      <c r="C618" s="1" t="n">
        <v>46040</v>
      </c>
      <c r="D618" t="inlineStr">
        <is>
          <t>DALARNAS LÄN</t>
        </is>
      </c>
      <c r="E618" t="inlineStr">
        <is>
          <t>ÄLVDALEN</t>
        </is>
      </c>
      <c r="G618" t="n">
        <v>0.4</v>
      </c>
      <c r="H618" t="n">
        <v>0</v>
      </c>
      <c r="I618" t="n">
        <v>0</v>
      </c>
      <c r="J618" t="n">
        <v>0</v>
      </c>
      <c r="K618" t="n">
        <v>0</v>
      </c>
      <c r="L618" t="n">
        <v>0</v>
      </c>
      <c r="M618" t="n">
        <v>0</v>
      </c>
      <c r="N618" t="n">
        <v>0</v>
      </c>
      <c r="O618" t="n">
        <v>0</v>
      </c>
      <c r="P618" t="n">
        <v>0</v>
      </c>
      <c r="Q618" t="n">
        <v>0</v>
      </c>
      <c r="R618" s="2" t="inlineStr"/>
    </row>
    <row r="619" ht="15" customHeight="1">
      <c r="A619" t="inlineStr">
        <is>
          <t>A 1081-2025</t>
        </is>
      </c>
      <c r="B619" s="1" t="n">
        <v>45666.61589120371</v>
      </c>
      <c r="C619" s="1" t="n">
        <v>46040</v>
      </c>
      <c r="D619" t="inlineStr">
        <is>
          <t>DALARNAS LÄN</t>
        </is>
      </c>
      <c r="E619" t="inlineStr">
        <is>
          <t>ÄLVDALEN</t>
        </is>
      </c>
      <c r="G619" t="n">
        <v>5.8</v>
      </c>
      <c r="H619" t="n">
        <v>0</v>
      </c>
      <c r="I619" t="n">
        <v>0</v>
      </c>
      <c r="J619" t="n">
        <v>0</v>
      </c>
      <c r="K619" t="n">
        <v>0</v>
      </c>
      <c r="L619" t="n">
        <v>0</v>
      </c>
      <c r="M619" t="n">
        <v>0</v>
      </c>
      <c r="N619" t="n">
        <v>0</v>
      </c>
      <c r="O619" t="n">
        <v>0</v>
      </c>
      <c r="P619" t="n">
        <v>0</v>
      </c>
      <c r="Q619" t="n">
        <v>0</v>
      </c>
      <c r="R619" s="2" t="inlineStr"/>
    </row>
    <row r="620" ht="15" customHeight="1">
      <c r="A620" t="inlineStr">
        <is>
          <t>A 1088-2025</t>
        </is>
      </c>
      <c r="B620" s="1" t="n">
        <v>45666.62162037037</v>
      </c>
      <c r="C620" s="1" t="n">
        <v>46040</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15760-2024</t>
        </is>
      </c>
      <c r="B621" s="1" t="n">
        <v>45404</v>
      </c>
      <c r="C621" s="1" t="n">
        <v>46040</v>
      </c>
      <c r="D621" t="inlineStr">
        <is>
          <t>DALARNAS LÄN</t>
        </is>
      </c>
      <c r="E621" t="inlineStr">
        <is>
          <t>ÄLVDALEN</t>
        </is>
      </c>
      <c r="G621" t="n">
        <v>1.9</v>
      </c>
      <c r="H621" t="n">
        <v>0</v>
      </c>
      <c r="I621" t="n">
        <v>0</v>
      </c>
      <c r="J621" t="n">
        <v>0</v>
      </c>
      <c r="K621" t="n">
        <v>0</v>
      </c>
      <c r="L621" t="n">
        <v>0</v>
      </c>
      <c r="M621" t="n">
        <v>0</v>
      </c>
      <c r="N621" t="n">
        <v>0</v>
      </c>
      <c r="O621" t="n">
        <v>0</v>
      </c>
      <c r="P621" t="n">
        <v>0</v>
      </c>
      <c r="Q621" t="n">
        <v>0</v>
      </c>
      <c r="R621" s="2" t="inlineStr"/>
    </row>
    <row r="622" ht="15" customHeight="1">
      <c r="A622" t="inlineStr">
        <is>
          <t>A 53168-2024</t>
        </is>
      </c>
      <c r="B622" s="1" t="n">
        <v>45611.65569444445</v>
      </c>
      <c r="C622" s="1" t="n">
        <v>46040</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20924-2025</t>
        </is>
      </c>
      <c r="B623" s="1" t="n">
        <v>45777</v>
      </c>
      <c r="C623" s="1" t="n">
        <v>46040</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21395-2025</t>
        </is>
      </c>
      <c r="B624" s="1" t="n">
        <v>45782.48197916667</v>
      </c>
      <c r="C624" s="1" t="n">
        <v>46040</v>
      </c>
      <c r="D624" t="inlineStr">
        <is>
          <t>DALARNAS LÄN</t>
        </is>
      </c>
      <c r="E624" t="inlineStr">
        <is>
          <t>ÄLVDALEN</t>
        </is>
      </c>
      <c r="G624" t="n">
        <v>6.4</v>
      </c>
      <c r="H624" t="n">
        <v>0</v>
      </c>
      <c r="I624" t="n">
        <v>0</v>
      </c>
      <c r="J624" t="n">
        <v>0</v>
      </c>
      <c r="K624" t="n">
        <v>0</v>
      </c>
      <c r="L624" t="n">
        <v>0</v>
      </c>
      <c r="M624" t="n">
        <v>0</v>
      </c>
      <c r="N624" t="n">
        <v>0</v>
      </c>
      <c r="O624" t="n">
        <v>0</v>
      </c>
      <c r="P624" t="n">
        <v>0</v>
      </c>
      <c r="Q624" t="n">
        <v>0</v>
      </c>
      <c r="R624" s="2" t="inlineStr"/>
    </row>
    <row r="625" ht="15" customHeight="1">
      <c r="A625" t="inlineStr">
        <is>
          <t>A 21629-2025</t>
        </is>
      </c>
      <c r="B625" s="1" t="n">
        <v>45783.4247337963</v>
      </c>
      <c r="C625" s="1" t="n">
        <v>46040</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21613-2025</t>
        </is>
      </c>
      <c r="B626" s="1" t="n">
        <v>45783.39542824074</v>
      </c>
      <c r="C626" s="1" t="n">
        <v>46040</v>
      </c>
      <c r="D626" t="inlineStr">
        <is>
          <t>DALARNAS LÄN</t>
        </is>
      </c>
      <c r="E626" t="inlineStr">
        <is>
          <t>ÄLVDALEN</t>
        </is>
      </c>
      <c r="G626" t="n">
        <v>3.4</v>
      </c>
      <c r="H626" t="n">
        <v>0</v>
      </c>
      <c r="I626" t="n">
        <v>0</v>
      </c>
      <c r="J626" t="n">
        <v>0</v>
      </c>
      <c r="K626" t="n">
        <v>0</v>
      </c>
      <c r="L626" t="n">
        <v>0</v>
      </c>
      <c r="M626" t="n">
        <v>0</v>
      </c>
      <c r="N626" t="n">
        <v>0</v>
      </c>
      <c r="O626" t="n">
        <v>0</v>
      </c>
      <c r="P626" t="n">
        <v>0</v>
      </c>
      <c r="Q626" t="n">
        <v>0</v>
      </c>
      <c r="R626" s="2" t="inlineStr"/>
    </row>
    <row r="627" ht="15" customHeight="1">
      <c r="A627" t="inlineStr">
        <is>
          <t>A 37061-2024</t>
        </is>
      </c>
      <c r="B627" s="1" t="n">
        <v>45539</v>
      </c>
      <c r="C627" s="1" t="n">
        <v>46040</v>
      </c>
      <c r="D627" t="inlineStr">
        <is>
          <t>DALARNAS LÄN</t>
        </is>
      </c>
      <c r="E627" t="inlineStr">
        <is>
          <t>ÄLVDALEN</t>
        </is>
      </c>
      <c r="G627" t="n">
        <v>0.8</v>
      </c>
      <c r="H627" t="n">
        <v>0</v>
      </c>
      <c r="I627" t="n">
        <v>0</v>
      </c>
      <c r="J627" t="n">
        <v>0</v>
      </c>
      <c r="K627" t="n">
        <v>0</v>
      </c>
      <c r="L627" t="n">
        <v>0</v>
      </c>
      <c r="M627" t="n">
        <v>0</v>
      </c>
      <c r="N627" t="n">
        <v>0</v>
      </c>
      <c r="O627" t="n">
        <v>0</v>
      </c>
      <c r="P627" t="n">
        <v>0</v>
      </c>
      <c r="Q627" t="n">
        <v>0</v>
      </c>
      <c r="R627" s="2" t="inlineStr"/>
    </row>
    <row r="628" ht="15" customHeight="1">
      <c r="A628" t="inlineStr">
        <is>
          <t>A 7581-2024</t>
        </is>
      </c>
      <c r="B628" s="1" t="n">
        <v>45348.49204861111</v>
      </c>
      <c r="C628" s="1" t="n">
        <v>46040</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32594-2023</t>
        </is>
      </c>
      <c r="B629" s="1" t="n">
        <v>45121.50986111111</v>
      </c>
      <c r="C629" s="1" t="n">
        <v>46040</v>
      </c>
      <c r="D629" t="inlineStr">
        <is>
          <t>DALARNAS LÄN</t>
        </is>
      </c>
      <c r="E629" t="inlineStr">
        <is>
          <t>ÄLVDALEN</t>
        </is>
      </c>
      <c r="G629" t="n">
        <v>4</v>
      </c>
      <c r="H629" t="n">
        <v>0</v>
      </c>
      <c r="I629" t="n">
        <v>0</v>
      </c>
      <c r="J629" t="n">
        <v>0</v>
      </c>
      <c r="K629" t="n">
        <v>0</v>
      </c>
      <c r="L629" t="n">
        <v>0</v>
      </c>
      <c r="M629" t="n">
        <v>0</v>
      </c>
      <c r="N629" t="n">
        <v>0</v>
      </c>
      <c r="O629" t="n">
        <v>0</v>
      </c>
      <c r="P629" t="n">
        <v>0</v>
      </c>
      <c r="Q629" t="n">
        <v>0</v>
      </c>
      <c r="R629" s="2" t="inlineStr"/>
    </row>
    <row r="630" ht="15" customHeight="1">
      <c r="A630" t="inlineStr">
        <is>
          <t>A 22189-2025</t>
        </is>
      </c>
      <c r="B630" s="1" t="n">
        <v>45785.62479166667</v>
      </c>
      <c r="C630" s="1" t="n">
        <v>46040</v>
      </c>
      <c r="D630" t="inlineStr">
        <is>
          <t>DALARNAS LÄN</t>
        </is>
      </c>
      <c r="E630" t="inlineStr">
        <is>
          <t>ÄLVDALEN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19708-2024</t>
        </is>
      </c>
      <c r="B631" s="1" t="n">
        <v>45432.55324074074</v>
      </c>
      <c r="C631" s="1" t="n">
        <v>46040</v>
      </c>
      <c r="D631" t="inlineStr">
        <is>
          <t>DALARNAS LÄN</t>
        </is>
      </c>
      <c r="E631" t="inlineStr">
        <is>
          <t>ÄLVDALEN</t>
        </is>
      </c>
      <c r="G631" t="n">
        <v>12.4</v>
      </c>
      <c r="H631" t="n">
        <v>0</v>
      </c>
      <c r="I631" t="n">
        <v>0</v>
      </c>
      <c r="J631" t="n">
        <v>0</v>
      </c>
      <c r="K631" t="n">
        <v>0</v>
      </c>
      <c r="L631" t="n">
        <v>0</v>
      </c>
      <c r="M631" t="n">
        <v>0</v>
      </c>
      <c r="N631" t="n">
        <v>0</v>
      </c>
      <c r="O631" t="n">
        <v>0</v>
      </c>
      <c r="P631" t="n">
        <v>0</v>
      </c>
      <c r="Q631" t="n">
        <v>0</v>
      </c>
      <c r="R631" s="2" t="inlineStr"/>
    </row>
    <row r="632" ht="15" customHeight="1">
      <c r="A632" t="inlineStr">
        <is>
          <t>A 21469-2024</t>
        </is>
      </c>
      <c r="B632" s="1" t="n">
        <v>45441.486875</v>
      </c>
      <c r="C632" s="1" t="n">
        <v>46040</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22577-2025</t>
        </is>
      </c>
      <c r="B633" s="1" t="n">
        <v>45789.36928240741</v>
      </c>
      <c r="C633" s="1" t="n">
        <v>46040</v>
      </c>
      <c r="D633" t="inlineStr">
        <is>
          <t>DALARNAS LÄN</t>
        </is>
      </c>
      <c r="E633" t="inlineStr">
        <is>
          <t>ÄLVDALEN</t>
        </is>
      </c>
      <c r="F633" t="inlineStr">
        <is>
          <t>Allmännings- och besparingsskogar</t>
        </is>
      </c>
      <c r="G633" t="n">
        <v>18.1</v>
      </c>
      <c r="H633" t="n">
        <v>0</v>
      </c>
      <c r="I633" t="n">
        <v>0</v>
      </c>
      <c r="J633" t="n">
        <v>0</v>
      </c>
      <c r="K633" t="n">
        <v>0</v>
      </c>
      <c r="L633" t="n">
        <v>0</v>
      </c>
      <c r="M633" t="n">
        <v>0</v>
      </c>
      <c r="N633" t="n">
        <v>0</v>
      </c>
      <c r="O633" t="n">
        <v>0</v>
      </c>
      <c r="P633" t="n">
        <v>0</v>
      </c>
      <c r="Q633" t="n">
        <v>0</v>
      </c>
      <c r="R633" s="2" t="inlineStr"/>
    </row>
    <row r="634" ht="15" customHeight="1">
      <c r="A634" t="inlineStr">
        <is>
          <t>A 22303-2025</t>
        </is>
      </c>
      <c r="B634" s="1" t="n">
        <v>45786</v>
      </c>
      <c r="C634" s="1" t="n">
        <v>46040</v>
      </c>
      <c r="D634" t="inlineStr">
        <is>
          <t>DALARNAS LÄN</t>
        </is>
      </c>
      <c r="E634" t="inlineStr">
        <is>
          <t>ÄLVDALEN</t>
        </is>
      </c>
      <c r="G634" t="n">
        <v>3.7</v>
      </c>
      <c r="H634" t="n">
        <v>0</v>
      </c>
      <c r="I634" t="n">
        <v>0</v>
      </c>
      <c r="J634" t="n">
        <v>0</v>
      </c>
      <c r="K634" t="n">
        <v>0</v>
      </c>
      <c r="L634" t="n">
        <v>0</v>
      </c>
      <c r="M634" t="n">
        <v>0</v>
      </c>
      <c r="N634" t="n">
        <v>0</v>
      </c>
      <c r="O634" t="n">
        <v>0</v>
      </c>
      <c r="P634" t="n">
        <v>0</v>
      </c>
      <c r="Q634" t="n">
        <v>0</v>
      </c>
      <c r="R634" s="2" t="inlineStr"/>
    </row>
    <row r="635" ht="15" customHeight="1">
      <c r="A635" t="inlineStr">
        <is>
          <t>A 22559-2025</t>
        </is>
      </c>
      <c r="B635" s="1" t="n">
        <v>45789.32916666667</v>
      </c>
      <c r="C635" s="1" t="n">
        <v>46040</v>
      </c>
      <c r="D635" t="inlineStr">
        <is>
          <t>DALARNAS LÄN</t>
        </is>
      </c>
      <c r="E635" t="inlineStr">
        <is>
          <t>ÄLVDALEN</t>
        </is>
      </c>
      <c r="F635" t="inlineStr">
        <is>
          <t>Allmännings- och besparingsskogar</t>
        </is>
      </c>
      <c r="G635" t="n">
        <v>6.4</v>
      </c>
      <c r="H635" t="n">
        <v>0</v>
      </c>
      <c r="I635" t="n">
        <v>0</v>
      </c>
      <c r="J635" t="n">
        <v>0</v>
      </c>
      <c r="K635" t="n">
        <v>0</v>
      </c>
      <c r="L635" t="n">
        <v>0</v>
      </c>
      <c r="M635" t="n">
        <v>0</v>
      </c>
      <c r="N635" t="n">
        <v>0</v>
      </c>
      <c r="O635" t="n">
        <v>0</v>
      </c>
      <c r="P635" t="n">
        <v>0</v>
      </c>
      <c r="Q635" t="n">
        <v>0</v>
      </c>
      <c r="R635" s="2" t="inlineStr"/>
    </row>
    <row r="636" ht="15" customHeight="1">
      <c r="A636" t="inlineStr">
        <is>
          <t>A 22631-2025</t>
        </is>
      </c>
      <c r="B636" s="1" t="n">
        <v>45789.44056712963</v>
      </c>
      <c r="C636" s="1" t="n">
        <v>46040</v>
      </c>
      <c r="D636" t="inlineStr">
        <is>
          <t>DALARNAS LÄN</t>
        </is>
      </c>
      <c r="E636" t="inlineStr">
        <is>
          <t>ÄLVDALEN</t>
        </is>
      </c>
      <c r="F636" t="inlineStr">
        <is>
          <t>Allmännings- och besparingsskogar</t>
        </is>
      </c>
      <c r="G636" t="n">
        <v>2</v>
      </c>
      <c r="H636" t="n">
        <v>0</v>
      </c>
      <c r="I636" t="n">
        <v>0</v>
      </c>
      <c r="J636" t="n">
        <v>0</v>
      </c>
      <c r="K636" t="n">
        <v>0</v>
      </c>
      <c r="L636" t="n">
        <v>0</v>
      </c>
      <c r="M636" t="n">
        <v>0</v>
      </c>
      <c r="N636" t="n">
        <v>0</v>
      </c>
      <c r="O636" t="n">
        <v>0</v>
      </c>
      <c r="P636" t="n">
        <v>0</v>
      </c>
      <c r="Q636" t="n">
        <v>0</v>
      </c>
      <c r="R636" s="2" t="inlineStr"/>
    </row>
    <row r="637" ht="15" customHeight="1">
      <c r="A637" t="inlineStr">
        <is>
          <t>A 22909-2025</t>
        </is>
      </c>
      <c r="B637" s="1" t="n">
        <v>45790.42219907408</v>
      </c>
      <c r="C637" s="1" t="n">
        <v>46040</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23555-2025</t>
        </is>
      </c>
      <c r="B638" s="1" t="n">
        <v>45792.57824074074</v>
      </c>
      <c r="C638" s="1" t="n">
        <v>46040</v>
      </c>
      <c r="D638" t="inlineStr">
        <is>
          <t>DALARNAS LÄN</t>
        </is>
      </c>
      <c r="E638" t="inlineStr">
        <is>
          <t>ÄLVDALEN</t>
        </is>
      </c>
      <c r="G638" t="n">
        <v>3.1</v>
      </c>
      <c r="H638" t="n">
        <v>0</v>
      </c>
      <c r="I638" t="n">
        <v>0</v>
      </c>
      <c r="J638" t="n">
        <v>0</v>
      </c>
      <c r="K638" t="n">
        <v>0</v>
      </c>
      <c r="L638" t="n">
        <v>0</v>
      </c>
      <c r="M638" t="n">
        <v>0</v>
      </c>
      <c r="N638" t="n">
        <v>0</v>
      </c>
      <c r="O638" t="n">
        <v>0</v>
      </c>
      <c r="P638" t="n">
        <v>0</v>
      </c>
      <c r="Q638" t="n">
        <v>0</v>
      </c>
      <c r="R638" s="2" t="inlineStr"/>
    </row>
    <row r="639" ht="15" customHeight="1">
      <c r="A639" t="inlineStr">
        <is>
          <t>A 51967-2023</t>
        </is>
      </c>
      <c r="B639" s="1" t="n">
        <v>45223.56440972222</v>
      </c>
      <c r="C639" s="1" t="n">
        <v>46040</v>
      </c>
      <c r="D639" t="inlineStr">
        <is>
          <t>DALARNAS LÄN</t>
        </is>
      </c>
      <c r="E639" t="inlineStr">
        <is>
          <t>ÄLVDALEN</t>
        </is>
      </c>
      <c r="G639" t="n">
        <v>2.2</v>
      </c>
      <c r="H639" t="n">
        <v>0</v>
      </c>
      <c r="I639" t="n">
        <v>0</v>
      </c>
      <c r="J639" t="n">
        <v>0</v>
      </c>
      <c r="K639" t="n">
        <v>0</v>
      </c>
      <c r="L639" t="n">
        <v>0</v>
      </c>
      <c r="M639" t="n">
        <v>0</v>
      </c>
      <c r="N639" t="n">
        <v>0</v>
      </c>
      <c r="O639" t="n">
        <v>0</v>
      </c>
      <c r="P639" t="n">
        <v>0</v>
      </c>
      <c r="Q639" t="n">
        <v>0</v>
      </c>
      <c r="R639" s="2" t="inlineStr"/>
    </row>
    <row r="640" ht="15" customHeight="1">
      <c r="A640" t="inlineStr">
        <is>
          <t>A 23219-2025</t>
        </is>
      </c>
      <c r="B640" s="1" t="n">
        <v>45791.47893518519</v>
      </c>
      <c r="C640" s="1" t="n">
        <v>46040</v>
      </c>
      <c r="D640" t="inlineStr">
        <is>
          <t>DALARNAS LÄN</t>
        </is>
      </c>
      <c r="E640" t="inlineStr">
        <is>
          <t>ÄLVDALEN</t>
        </is>
      </c>
      <c r="F640" t="inlineStr">
        <is>
          <t>Bergvik skog öst AB</t>
        </is>
      </c>
      <c r="G640" t="n">
        <v>16.7</v>
      </c>
      <c r="H640" t="n">
        <v>0</v>
      </c>
      <c r="I640" t="n">
        <v>0</v>
      </c>
      <c r="J640" t="n">
        <v>0</v>
      </c>
      <c r="K640" t="n">
        <v>0</v>
      </c>
      <c r="L640" t="n">
        <v>0</v>
      </c>
      <c r="M640" t="n">
        <v>0</v>
      </c>
      <c r="N640" t="n">
        <v>0</v>
      </c>
      <c r="O640" t="n">
        <v>0</v>
      </c>
      <c r="P640" t="n">
        <v>0</v>
      </c>
      <c r="Q640" t="n">
        <v>0</v>
      </c>
      <c r="R640" s="2" t="inlineStr"/>
    </row>
    <row r="641" ht="15" customHeight="1">
      <c r="A641" t="inlineStr">
        <is>
          <t>A 23328-2024</t>
        </is>
      </c>
      <c r="B641" s="1" t="n">
        <v>45453.46716435185</v>
      </c>
      <c r="C641" s="1" t="n">
        <v>46040</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47645-2024</t>
        </is>
      </c>
      <c r="B642" s="1" t="n">
        <v>45588.37167824074</v>
      </c>
      <c r="C642" s="1" t="n">
        <v>46040</v>
      </c>
      <c r="D642" t="inlineStr">
        <is>
          <t>DALARNAS LÄN</t>
        </is>
      </c>
      <c r="E642" t="inlineStr">
        <is>
          <t>ÄLVDALEN</t>
        </is>
      </c>
      <c r="G642" t="n">
        <v>4.6</v>
      </c>
      <c r="H642" t="n">
        <v>0</v>
      </c>
      <c r="I642" t="n">
        <v>0</v>
      </c>
      <c r="J642" t="n">
        <v>0</v>
      </c>
      <c r="K642" t="n">
        <v>0</v>
      </c>
      <c r="L642" t="n">
        <v>0</v>
      </c>
      <c r="M642" t="n">
        <v>0</v>
      </c>
      <c r="N642" t="n">
        <v>0</v>
      </c>
      <c r="O642" t="n">
        <v>0</v>
      </c>
      <c r="P642" t="n">
        <v>0</v>
      </c>
      <c r="Q642" t="n">
        <v>0</v>
      </c>
      <c r="R642" s="2" t="inlineStr"/>
    </row>
    <row r="643" ht="15" customHeight="1">
      <c r="A643" t="inlineStr">
        <is>
          <t>A 24637-2025</t>
        </is>
      </c>
      <c r="B643" s="1" t="n">
        <v>45798.616875</v>
      </c>
      <c r="C643" s="1" t="n">
        <v>46040</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24950-2025</t>
        </is>
      </c>
      <c r="B644" s="1" t="n">
        <v>45799.56943287037</v>
      </c>
      <c r="C644" s="1" t="n">
        <v>46040</v>
      </c>
      <c r="D644" t="inlineStr">
        <is>
          <t>DALARNAS LÄN</t>
        </is>
      </c>
      <c r="E644" t="inlineStr">
        <is>
          <t>ÄLVDALEN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25086-2025</t>
        </is>
      </c>
      <c r="B645" s="1" t="n">
        <v>45800</v>
      </c>
      <c r="C645" s="1" t="n">
        <v>46040</v>
      </c>
      <c r="D645" t="inlineStr">
        <is>
          <t>DALARNAS LÄN</t>
        </is>
      </c>
      <c r="E645" t="inlineStr">
        <is>
          <t>ÄLVDALEN</t>
        </is>
      </c>
      <c r="F645" t="inlineStr">
        <is>
          <t>Sveaskog</t>
        </is>
      </c>
      <c r="G645" t="n">
        <v>10.7</v>
      </c>
      <c r="H645" t="n">
        <v>0</v>
      </c>
      <c r="I645" t="n">
        <v>0</v>
      </c>
      <c r="J645" t="n">
        <v>0</v>
      </c>
      <c r="K645" t="n">
        <v>0</v>
      </c>
      <c r="L645" t="n">
        <v>0</v>
      </c>
      <c r="M645" t="n">
        <v>0</v>
      </c>
      <c r="N645" t="n">
        <v>0</v>
      </c>
      <c r="O645" t="n">
        <v>0</v>
      </c>
      <c r="P645" t="n">
        <v>0</v>
      </c>
      <c r="Q645" t="n">
        <v>0</v>
      </c>
      <c r="R645" s="2" t="inlineStr"/>
    </row>
    <row r="646" ht="15" customHeight="1">
      <c r="A646" t="inlineStr">
        <is>
          <t>A 25879-2025</t>
        </is>
      </c>
      <c r="B646" s="1" t="n">
        <v>45804.49605324074</v>
      </c>
      <c r="C646" s="1" t="n">
        <v>46040</v>
      </c>
      <c r="D646" t="inlineStr">
        <is>
          <t>DALARNAS LÄN</t>
        </is>
      </c>
      <c r="E646" t="inlineStr">
        <is>
          <t>ÄLVDALEN</t>
        </is>
      </c>
      <c r="F646" t="inlineStr">
        <is>
          <t>Allmännings- och besparingsskogar</t>
        </is>
      </c>
      <c r="G646" t="n">
        <v>0.2</v>
      </c>
      <c r="H646" t="n">
        <v>0</v>
      </c>
      <c r="I646" t="n">
        <v>0</v>
      </c>
      <c r="J646" t="n">
        <v>0</v>
      </c>
      <c r="K646" t="n">
        <v>0</v>
      </c>
      <c r="L646" t="n">
        <v>0</v>
      </c>
      <c r="M646" t="n">
        <v>0</v>
      </c>
      <c r="N646" t="n">
        <v>0</v>
      </c>
      <c r="O646" t="n">
        <v>0</v>
      </c>
      <c r="P646" t="n">
        <v>0</v>
      </c>
      <c r="Q646" t="n">
        <v>0</v>
      </c>
      <c r="R646" s="2" t="inlineStr"/>
    </row>
    <row r="647" ht="15" customHeight="1">
      <c r="A647" t="inlineStr">
        <is>
          <t>A 25823-2025</t>
        </is>
      </c>
      <c r="B647" s="1" t="n">
        <v>45804.4396412037</v>
      </c>
      <c r="C647" s="1" t="n">
        <v>46040</v>
      </c>
      <c r="D647" t="inlineStr">
        <is>
          <t>DALARNAS LÄN</t>
        </is>
      </c>
      <c r="E647" t="inlineStr">
        <is>
          <t>ÄLVDALEN</t>
        </is>
      </c>
      <c r="G647" t="n">
        <v>1.2</v>
      </c>
      <c r="H647" t="n">
        <v>0</v>
      </c>
      <c r="I647" t="n">
        <v>0</v>
      </c>
      <c r="J647" t="n">
        <v>0</v>
      </c>
      <c r="K647" t="n">
        <v>0</v>
      </c>
      <c r="L647" t="n">
        <v>0</v>
      </c>
      <c r="M647" t="n">
        <v>0</v>
      </c>
      <c r="N647" t="n">
        <v>0</v>
      </c>
      <c r="O647" t="n">
        <v>0</v>
      </c>
      <c r="P647" t="n">
        <v>0</v>
      </c>
      <c r="Q647" t="n">
        <v>0</v>
      </c>
      <c r="R647" s="2" t="inlineStr"/>
    </row>
    <row r="648" ht="15" customHeight="1">
      <c r="A648" t="inlineStr">
        <is>
          <t>A 50037-2022</t>
        </is>
      </c>
      <c r="B648" s="1" t="n">
        <v>44865.46136574074</v>
      </c>
      <c r="C648" s="1" t="n">
        <v>46040</v>
      </c>
      <c r="D648" t="inlineStr">
        <is>
          <t>DALARNAS LÄN</t>
        </is>
      </c>
      <c r="E648" t="inlineStr">
        <is>
          <t>ÄLVDALEN</t>
        </is>
      </c>
      <c r="F648" t="inlineStr">
        <is>
          <t>Allmännings- och besparingsskogar</t>
        </is>
      </c>
      <c r="G648" t="n">
        <v>5.8</v>
      </c>
      <c r="H648" t="n">
        <v>0</v>
      </c>
      <c r="I648" t="n">
        <v>0</v>
      </c>
      <c r="J648" t="n">
        <v>0</v>
      </c>
      <c r="K648" t="n">
        <v>0</v>
      </c>
      <c r="L648" t="n">
        <v>0</v>
      </c>
      <c r="M648" t="n">
        <v>0</v>
      </c>
      <c r="N648" t="n">
        <v>0</v>
      </c>
      <c r="O648" t="n">
        <v>0</v>
      </c>
      <c r="P648" t="n">
        <v>0</v>
      </c>
      <c r="Q648" t="n">
        <v>0</v>
      </c>
      <c r="R648" s="2" t="inlineStr"/>
    </row>
    <row r="649" ht="15" customHeight="1">
      <c r="A649" t="inlineStr">
        <is>
          <t>A 26285-2025</t>
        </is>
      </c>
      <c r="B649" s="1" t="n">
        <v>45805.61885416666</v>
      </c>
      <c r="C649" s="1" t="n">
        <v>46040</v>
      </c>
      <c r="D649" t="inlineStr">
        <is>
          <t>DALARNAS LÄN</t>
        </is>
      </c>
      <c r="E649" t="inlineStr">
        <is>
          <t>ÄLVDALEN</t>
        </is>
      </c>
      <c r="G649" t="n">
        <v>1.5</v>
      </c>
      <c r="H649" t="n">
        <v>0</v>
      </c>
      <c r="I649" t="n">
        <v>0</v>
      </c>
      <c r="J649" t="n">
        <v>0</v>
      </c>
      <c r="K649" t="n">
        <v>0</v>
      </c>
      <c r="L649" t="n">
        <v>0</v>
      </c>
      <c r="M649" t="n">
        <v>0</v>
      </c>
      <c r="N649" t="n">
        <v>0</v>
      </c>
      <c r="O649" t="n">
        <v>0</v>
      </c>
      <c r="P649" t="n">
        <v>0</v>
      </c>
      <c r="Q649" t="n">
        <v>0</v>
      </c>
      <c r="R649" s="2" t="inlineStr"/>
    </row>
    <row r="650" ht="15" customHeight="1">
      <c r="A650" t="inlineStr">
        <is>
          <t>A 2546-2025</t>
        </is>
      </c>
      <c r="B650" s="1" t="n">
        <v>45674.62240740741</v>
      </c>
      <c r="C650" s="1" t="n">
        <v>46040</v>
      </c>
      <c r="D650" t="inlineStr">
        <is>
          <t>DALARNAS LÄN</t>
        </is>
      </c>
      <c r="E650" t="inlineStr">
        <is>
          <t>ÄLVDALEN</t>
        </is>
      </c>
      <c r="G650" t="n">
        <v>2</v>
      </c>
      <c r="H650" t="n">
        <v>0</v>
      </c>
      <c r="I650" t="n">
        <v>0</v>
      </c>
      <c r="J650" t="n">
        <v>0</v>
      </c>
      <c r="K650" t="n">
        <v>0</v>
      </c>
      <c r="L650" t="n">
        <v>0</v>
      </c>
      <c r="M650" t="n">
        <v>0</v>
      </c>
      <c r="N650" t="n">
        <v>0</v>
      </c>
      <c r="O650" t="n">
        <v>0</v>
      </c>
      <c r="P650" t="n">
        <v>0</v>
      </c>
      <c r="Q650" t="n">
        <v>0</v>
      </c>
      <c r="R650" s="2" t="inlineStr"/>
    </row>
    <row r="651" ht="15" customHeight="1">
      <c r="A651" t="inlineStr">
        <is>
          <t>A 26704-2025</t>
        </is>
      </c>
      <c r="B651" s="1" t="n">
        <v>45810.45271990741</v>
      </c>
      <c r="C651" s="1" t="n">
        <v>46040</v>
      </c>
      <c r="D651" t="inlineStr">
        <is>
          <t>DALARNAS LÄN</t>
        </is>
      </c>
      <c r="E651" t="inlineStr">
        <is>
          <t>ÄLVDALEN</t>
        </is>
      </c>
      <c r="F651" t="inlineStr">
        <is>
          <t>Bergvik skog väst AB</t>
        </is>
      </c>
      <c r="G651" t="n">
        <v>32.3</v>
      </c>
      <c r="H651" t="n">
        <v>0</v>
      </c>
      <c r="I651" t="n">
        <v>0</v>
      </c>
      <c r="J651" t="n">
        <v>0</v>
      </c>
      <c r="K651" t="n">
        <v>0</v>
      </c>
      <c r="L651" t="n">
        <v>0</v>
      </c>
      <c r="M651" t="n">
        <v>0</v>
      </c>
      <c r="N651" t="n">
        <v>0</v>
      </c>
      <c r="O651" t="n">
        <v>0</v>
      </c>
      <c r="P651" t="n">
        <v>0</v>
      </c>
      <c r="Q651" t="n">
        <v>0</v>
      </c>
      <c r="R651" s="2" t="inlineStr"/>
    </row>
    <row r="652" ht="15" customHeight="1">
      <c r="A652" t="inlineStr">
        <is>
          <t>A 27230-2025</t>
        </is>
      </c>
      <c r="B652" s="1" t="n">
        <v>45812.43825231482</v>
      </c>
      <c r="C652" s="1" t="n">
        <v>46040</v>
      </c>
      <c r="D652" t="inlineStr">
        <is>
          <t>DALARNAS LÄN</t>
        </is>
      </c>
      <c r="E652" t="inlineStr">
        <is>
          <t>ÄLVDALEN</t>
        </is>
      </c>
      <c r="F652" t="inlineStr">
        <is>
          <t>Allmännings- och besparingsskogar</t>
        </is>
      </c>
      <c r="G652" t="n">
        <v>4</v>
      </c>
      <c r="H652" t="n">
        <v>0</v>
      </c>
      <c r="I652" t="n">
        <v>0</v>
      </c>
      <c r="J652" t="n">
        <v>0</v>
      </c>
      <c r="K652" t="n">
        <v>0</v>
      </c>
      <c r="L652" t="n">
        <v>0</v>
      </c>
      <c r="M652" t="n">
        <v>0</v>
      </c>
      <c r="N652" t="n">
        <v>0</v>
      </c>
      <c r="O652" t="n">
        <v>0</v>
      </c>
      <c r="P652" t="n">
        <v>0</v>
      </c>
      <c r="Q652" t="n">
        <v>0</v>
      </c>
      <c r="R652" s="2" t="inlineStr"/>
    </row>
    <row r="653" ht="15" customHeight="1">
      <c r="A653" t="inlineStr">
        <is>
          <t>A 27261-2025</t>
        </is>
      </c>
      <c r="B653" s="1" t="n">
        <v>45812.47674768518</v>
      </c>
      <c r="C653" s="1" t="n">
        <v>46040</v>
      </c>
      <c r="D653" t="inlineStr">
        <is>
          <t>DALARNAS LÄN</t>
        </is>
      </c>
      <c r="E653" t="inlineStr">
        <is>
          <t>ÄLVDALEN</t>
        </is>
      </c>
      <c r="F653" t="inlineStr">
        <is>
          <t>Bergvik skog väst AB</t>
        </is>
      </c>
      <c r="G653" t="n">
        <v>9.5</v>
      </c>
      <c r="H653" t="n">
        <v>0</v>
      </c>
      <c r="I653" t="n">
        <v>0</v>
      </c>
      <c r="J653" t="n">
        <v>0</v>
      </c>
      <c r="K653" t="n">
        <v>0</v>
      </c>
      <c r="L653" t="n">
        <v>0</v>
      </c>
      <c r="M653" t="n">
        <v>0</v>
      </c>
      <c r="N653" t="n">
        <v>0</v>
      </c>
      <c r="O653" t="n">
        <v>0</v>
      </c>
      <c r="P653" t="n">
        <v>0</v>
      </c>
      <c r="Q653" t="n">
        <v>0</v>
      </c>
      <c r="R653" s="2" t="inlineStr"/>
    </row>
    <row r="654" ht="15" customHeight="1">
      <c r="A654" t="inlineStr">
        <is>
          <t>A 27090-2025</t>
        </is>
      </c>
      <c r="B654" s="1" t="n">
        <v>45811.66903935185</v>
      </c>
      <c r="C654" s="1" t="n">
        <v>46040</v>
      </c>
      <c r="D654" t="inlineStr">
        <is>
          <t>DALARNAS LÄN</t>
        </is>
      </c>
      <c r="E654" t="inlineStr">
        <is>
          <t>ÄLVDALEN</t>
        </is>
      </c>
      <c r="G654" t="n">
        <v>2.3</v>
      </c>
      <c r="H654" t="n">
        <v>0</v>
      </c>
      <c r="I654" t="n">
        <v>0</v>
      </c>
      <c r="J654" t="n">
        <v>0</v>
      </c>
      <c r="K654" t="n">
        <v>0</v>
      </c>
      <c r="L654" t="n">
        <v>0</v>
      </c>
      <c r="M654" t="n">
        <v>0</v>
      </c>
      <c r="N654" t="n">
        <v>0</v>
      </c>
      <c r="O654" t="n">
        <v>0</v>
      </c>
      <c r="P654" t="n">
        <v>0</v>
      </c>
      <c r="Q654" t="n">
        <v>0</v>
      </c>
      <c r="R654" s="2" t="inlineStr"/>
    </row>
    <row r="655" ht="15" customHeight="1">
      <c r="A655" t="inlineStr">
        <is>
          <t>A 7998-2024</t>
        </is>
      </c>
      <c r="B655" s="1" t="n">
        <v>45350.6433912037</v>
      </c>
      <c r="C655" s="1" t="n">
        <v>46040</v>
      </c>
      <c r="D655" t="inlineStr">
        <is>
          <t>DALARNAS LÄN</t>
        </is>
      </c>
      <c r="E655" t="inlineStr">
        <is>
          <t>ÄLVDALEN</t>
        </is>
      </c>
      <c r="F655" t="inlineStr">
        <is>
          <t>Kommuner</t>
        </is>
      </c>
      <c r="G655" t="n">
        <v>7.9</v>
      </c>
      <c r="H655" t="n">
        <v>0</v>
      </c>
      <c r="I655" t="n">
        <v>0</v>
      </c>
      <c r="J655" t="n">
        <v>0</v>
      </c>
      <c r="K655" t="n">
        <v>0</v>
      </c>
      <c r="L655" t="n">
        <v>0</v>
      </c>
      <c r="M655" t="n">
        <v>0</v>
      </c>
      <c r="N655" t="n">
        <v>0</v>
      </c>
      <c r="O655" t="n">
        <v>0</v>
      </c>
      <c r="P655" t="n">
        <v>0</v>
      </c>
      <c r="Q655" t="n">
        <v>0</v>
      </c>
      <c r="R655" s="2" t="inlineStr"/>
    </row>
    <row r="656" ht="15" customHeight="1">
      <c r="A656" t="inlineStr">
        <is>
          <t>A 27739-2025</t>
        </is>
      </c>
      <c r="B656" s="1" t="n">
        <v>45815.49082175926</v>
      </c>
      <c r="C656" s="1" t="n">
        <v>46040</v>
      </c>
      <c r="D656" t="inlineStr">
        <is>
          <t>DALARNAS LÄN</t>
        </is>
      </c>
      <c r="E656" t="inlineStr">
        <is>
          <t>ÄLVDALEN</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3904-2024</t>
        </is>
      </c>
      <c r="B657" s="1" t="n">
        <v>45322</v>
      </c>
      <c r="C657" s="1" t="n">
        <v>46040</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27918-2025</t>
        </is>
      </c>
      <c r="B658" s="1" t="n">
        <v>45817.48231481481</v>
      </c>
      <c r="C658" s="1" t="n">
        <v>46040</v>
      </c>
      <c r="D658" t="inlineStr">
        <is>
          <t>DALARNAS LÄN</t>
        </is>
      </c>
      <c r="E658" t="inlineStr">
        <is>
          <t>ÄLVDALEN</t>
        </is>
      </c>
      <c r="G658" t="n">
        <v>5.6</v>
      </c>
      <c r="H658" t="n">
        <v>0</v>
      </c>
      <c r="I658" t="n">
        <v>0</v>
      </c>
      <c r="J658" t="n">
        <v>0</v>
      </c>
      <c r="K658" t="n">
        <v>0</v>
      </c>
      <c r="L658" t="n">
        <v>0</v>
      </c>
      <c r="M658" t="n">
        <v>0</v>
      </c>
      <c r="N658" t="n">
        <v>0</v>
      </c>
      <c r="O658" t="n">
        <v>0</v>
      </c>
      <c r="P658" t="n">
        <v>0</v>
      </c>
      <c r="Q658" t="n">
        <v>0</v>
      </c>
      <c r="R658" s="2" t="inlineStr"/>
    </row>
    <row r="659" ht="15" customHeight="1">
      <c r="A659" t="inlineStr">
        <is>
          <t>A 28838-2025</t>
        </is>
      </c>
      <c r="B659" s="1" t="n">
        <v>45820.56359953704</v>
      </c>
      <c r="C659" s="1" t="n">
        <v>46040</v>
      </c>
      <c r="D659" t="inlineStr">
        <is>
          <t>DALARNAS LÄN</t>
        </is>
      </c>
      <c r="E659" t="inlineStr">
        <is>
          <t>ÄLVDALEN</t>
        </is>
      </c>
      <c r="F659" t="inlineStr">
        <is>
          <t>Allmännings- och besparingsskogar</t>
        </is>
      </c>
      <c r="G659" t="n">
        <v>7.5</v>
      </c>
      <c r="H659" t="n">
        <v>0</v>
      </c>
      <c r="I659" t="n">
        <v>0</v>
      </c>
      <c r="J659" t="n">
        <v>0</v>
      </c>
      <c r="K659" t="n">
        <v>0</v>
      </c>
      <c r="L659" t="n">
        <v>0</v>
      </c>
      <c r="M659" t="n">
        <v>0</v>
      </c>
      <c r="N659" t="n">
        <v>0</v>
      </c>
      <c r="O659" t="n">
        <v>0</v>
      </c>
      <c r="P659" t="n">
        <v>0</v>
      </c>
      <c r="Q659" t="n">
        <v>0</v>
      </c>
      <c r="R659" s="2" t="inlineStr"/>
    </row>
    <row r="660" ht="15" customHeight="1">
      <c r="A660" t="inlineStr">
        <is>
          <t>A 28844-2025</t>
        </is>
      </c>
      <c r="B660" s="1" t="n">
        <v>45820.57053240741</v>
      </c>
      <c r="C660" s="1" t="n">
        <v>46040</v>
      </c>
      <c r="D660" t="inlineStr">
        <is>
          <t>DALARNAS LÄN</t>
        </is>
      </c>
      <c r="E660" t="inlineStr">
        <is>
          <t>ÄLVDALEN</t>
        </is>
      </c>
      <c r="F660" t="inlineStr">
        <is>
          <t>Allmännings- och besparingsskogar</t>
        </is>
      </c>
      <c r="G660" t="n">
        <v>1.3</v>
      </c>
      <c r="H660" t="n">
        <v>0</v>
      </c>
      <c r="I660" t="n">
        <v>0</v>
      </c>
      <c r="J660" t="n">
        <v>0</v>
      </c>
      <c r="K660" t="n">
        <v>0</v>
      </c>
      <c r="L660" t="n">
        <v>0</v>
      </c>
      <c r="M660" t="n">
        <v>0</v>
      </c>
      <c r="N660" t="n">
        <v>0</v>
      </c>
      <c r="O660" t="n">
        <v>0</v>
      </c>
      <c r="P660" t="n">
        <v>0</v>
      </c>
      <c r="Q660" t="n">
        <v>0</v>
      </c>
      <c r="R660" s="2" t="inlineStr"/>
    </row>
    <row r="661" ht="15" customHeight="1">
      <c r="A661" t="inlineStr">
        <is>
          <t>A 28842-2025</t>
        </is>
      </c>
      <c r="B661" s="1" t="n">
        <v>45820.56780092593</v>
      </c>
      <c r="C661" s="1" t="n">
        <v>46040</v>
      </c>
      <c r="D661" t="inlineStr">
        <is>
          <t>DALARNAS LÄN</t>
        </is>
      </c>
      <c r="E661" t="inlineStr">
        <is>
          <t>ÄLVDALEN</t>
        </is>
      </c>
      <c r="F661" t="inlineStr">
        <is>
          <t>Allmännings- och besparingsskogar</t>
        </is>
      </c>
      <c r="G661" t="n">
        <v>3.7</v>
      </c>
      <c r="H661" t="n">
        <v>0</v>
      </c>
      <c r="I661" t="n">
        <v>0</v>
      </c>
      <c r="J661" t="n">
        <v>0</v>
      </c>
      <c r="K661" t="n">
        <v>0</v>
      </c>
      <c r="L661" t="n">
        <v>0</v>
      </c>
      <c r="M661" t="n">
        <v>0</v>
      </c>
      <c r="N661" t="n">
        <v>0</v>
      </c>
      <c r="O661" t="n">
        <v>0</v>
      </c>
      <c r="P661" t="n">
        <v>0</v>
      </c>
      <c r="Q661" t="n">
        <v>0</v>
      </c>
      <c r="R661" s="2" t="inlineStr"/>
    </row>
    <row r="662" ht="15" customHeight="1">
      <c r="A662" t="inlineStr">
        <is>
          <t>A 30025-2025</t>
        </is>
      </c>
      <c r="B662" s="1" t="n">
        <v>45826.56265046296</v>
      </c>
      <c r="C662" s="1" t="n">
        <v>46040</v>
      </c>
      <c r="D662" t="inlineStr">
        <is>
          <t>DALARNAS LÄN</t>
        </is>
      </c>
      <c r="E662" t="inlineStr">
        <is>
          <t>ÄLVDALEN</t>
        </is>
      </c>
      <c r="G662" t="n">
        <v>9</v>
      </c>
      <c r="H662" t="n">
        <v>0</v>
      </c>
      <c r="I662" t="n">
        <v>0</v>
      </c>
      <c r="J662" t="n">
        <v>0</v>
      </c>
      <c r="K662" t="n">
        <v>0</v>
      </c>
      <c r="L662" t="n">
        <v>0</v>
      </c>
      <c r="M662" t="n">
        <v>0</v>
      </c>
      <c r="N662" t="n">
        <v>0</v>
      </c>
      <c r="O662" t="n">
        <v>0</v>
      </c>
      <c r="P662" t="n">
        <v>0</v>
      </c>
      <c r="Q662" t="n">
        <v>0</v>
      </c>
      <c r="R662" s="2" t="inlineStr"/>
    </row>
    <row r="663" ht="15" customHeight="1">
      <c r="A663" t="inlineStr">
        <is>
          <t>A 30032-2025</t>
        </is>
      </c>
      <c r="B663" s="1" t="n">
        <v>45826.56873842593</v>
      </c>
      <c r="C663" s="1" t="n">
        <v>46040</v>
      </c>
      <c r="D663" t="inlineStr">
        <is>
          <t>DALARNAS LÄN</t>
        </is>
      </c>
      <c r="E663" t="inlineStr">
        <is>
          <t>ÄLVDALEN</t>
        </is>
      </c>
      <c r="G663" t="n">
        <v>5.5</v>
      </c>
      <c r="H663" t="n">
        <v>0</v>
      </c>
      <c r="I663" t="n">
        <v>0</v>
      </c>
      <c r="J663" t="n">
        <v>0</v>
      </c>
      <c r="K663" t="n">
        <v>0</v>
      </c>
      <c r="L663" t="n">
        <v>0</v>
      </c>
      <c r="M663" t="n">
        <v>0</v>
      </c>
      <c r="N663" t="n">
        <v>0</v>
      </c>
      <c r="O663" t="n">
        <v>0</v>
      </c>
      <c r="P663" t="n">
        <v>0</v>
      </c>
      <c r="Q663" t="n">
        <v>0</v>
      </c>
      <c r="R663" s="2" t="inlineStr"/>
    </row>
    <row r="664" ht="15" customHeight="1">
      <c r="A664" t="inlineStr">
        <is>
          <t>A 30502-2025</t>
        </is>
      </c>
      <c r="B664" s="1" t="n">
        <v>45830.82903935185</v>
      </c>
      <c r="C664" s="1" t="n">
        <v>46040</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31796-2025</t>
        </is>
      </c>
      <c r="B665" s="1" t="n">
        <v>45834.54943287037</v>
      </c>
      <c r="C665" s="1" t="n">
        <v>46040</v>
      </c>
      <c r="D665" t="inlineStr">
        <is>
          <t>DALARNAS LÄN</t>
        </is>
      </c>
      <c r="E665" t="inlineStr">
        <is>
          <t>ÄLVDALEN</t>
        </is>
      </c>
      <c r="G665" t="n">
        <v>65.5</v>
      </c>
      <c r="H665" t="n">
        <v>0</v>
      </c>
      <c r="I665" t="n">
        <v>0</v>
      </c>
      <c r="J665" t="n">
        <v>0</v>
      </c>
      <c r="K665" t="n">
        <v>0</v>
      </c>
      <c r="L665" t="n">
        <v>0</v>
      </c>
      <c r="M665" t="n">
        <v>0</v>
      </c>
      <c r="N665" t="n">
        <v>0</v>
      </c>
      <c r="O665" t="n">
        <v>0</v>
      </c>
      <c r="P665" t="n">
        <v>0</v>
      </c>
      <c r="Q665" t="n">
        <v>0</v>
      </c>
      <c r="R665" s="2" t="inlineStr"/>
    </row>
    <row r="666" ht="15" customHeight="1">
      <c r="A666" t="inlineStr">
        <is>
          <t>A 32063-2025</t>
        </is>
      </c>
      <c r="B666" s="1" t="n">
        <v>45835.44703703704</v>
      </c>
      <c r="C666" s="1" t="n">
        <v>46040</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32668-2025</t>
        </is>
      </c>
      <c r="B667" s="1" t="n">
        <v>45838.69678240741</v>
      </c>
      <c r="C667" s="1" t="n">
        <v>46040</v>
      </c>
      <c r="D667" t="inlineStr">
        <is>
          <t>DALARNAS LÄN</t>
        </is>
      </c>
      <c r="E667" t="inlineStr">
        <is>
          <t>ÄLVDALEN</t>
        </is>
      </c>
      <c r="F667" t="inlineStr">
        <is>
          <t>Övriga Aktiebolag</t>
        </is>
      </c>
      <c r="G667" t="n">
        <v>29.5</v>
      </c>
      <c r="H667" t="n">
        <v>0</v>
      </c>
      <c r="I667" t="n">
        <v>0</v>
      </c>
      <c r="J667" t="n">
        <v>0</v>
      </c>
      <c r="K667" t="n">
        <v>0</v>
      </c>
      <c r="L667" t="n">
        <v>0</v>
      </c>
      <c r="M667" t="n">
        <v>0</v>
      </c>
      <c r="N667" t="n">
        <v>0</v>
      </c>
      <c r="O667" t="n">
        <v>0</v>
      </c>
      <c r="P667" t="n">
        <v>0</v>
      </c>
      <c r="Q667" t="n">
        <v>0</v>
      </c>
      <c r="R667" s="2" t="inlineStr"/>
    </row>
    <row r="668" ht="15" customHeight="1">
      <c r="A668" t="inlineStr">
        <is>
          <t>A 34314-2025</t>
        </is>
      </c>
      <c r="B668" s="1" t="n">
        <v>45846</v>
      </c>
      <c r="C668" s="1" t="n">
        <v>46040</v>
      </c>
      <c r="D668" t="inlineStr">
        <is>
          <t>DALARNAS LÄN</t>
        </is>
      </c>
      <c r="E668" t="inlineStr">
        <is>
          <t>ÄLVDALEN</t>
        </is>
      </c>
      <c r="F668" t="inlineStr">
        <is>
          <t>Bergvik skog väst AB</t>
        </is>
      </c>
      <c r="G668" t="n">
        <v>6</v>
      </c>
      <c r="H668" t="n">
        <v>0</v>
      </c>
      <c r="I668" t="n">
        <v>0</v>
      </c>
      <c r="J668" t="n">
        <v>0</v>
      </c>
      <c r="K668" t="n">
        <v>0</v>
      </c>
      <c r="L668" t="n">
        <v>0</v>
      </c>
      <c r="M668" t="n">
        <v>0</v>
      </c>
      <c r="N668" t="n">
        <v>0</v>
      </c>
      <c r="O668" t="n">
        <v>0</v>
      </c>
      <c r="P668" t="n">
        <v>0</v>
      </c>
      <c r="Q668" t="n">
        <v>0</v>
      </c>
      <c r="R668" s="2" t="inlineStr"/>
    </row>
    <row r="669" ht="15" customHeight="1">
      <c r="A669" t="inlineStr">
        <is>
          <t>A 34739-2025</t>
        </is>
      </c>
      <c r="B669" s="1" t="n">
        <v>45848.60682870371</v>
      </c>
      <c r="C669" s="1" t="n">
        <v>46040</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34778-2025</t>
        </is>
      </c>
      <c r="B670" s="1" t="n">
        <v>45848.66840277778</v>
      </c>
      <c r="C670" s="1" t="n">
        <v>46040</v>
      </c>
      <c r="D670" t="inlineStr">
        <is>
          <t>DALARNAS LÄN</t>
        </is>
      </c>
      <c r="E670" t="inlineStr">
        <is>
          <t>ÄLVDALEN</t>
        </is>
      </c>
      <c r="G670" t="n">
        <v>2.2</v>
      </c>
      <c r="H670" t="n">
        <v>0</v>
      </c>
      <c r="I670" t="n">
        <v>0</v>
      </c>
      <c r="J670" t="n">
        <v>0</v>
      </c>
      <c r="K670" t="n">
        <v>0</v>
      </c>
      <c r="L670" t="n">
        <v>0</v>
      </c>
      <c r="M670" t="n">
        <v>0</v>
      </c>
      <c r="N670" t="n">
        <v>0</v>
      </c>
      <c r="O670" t="n">
        <v>0</v>
      </c>
      <c r="P670" t="n">
        <v>0</v>
      </c>
      <c r="Q670" t="n">
        <v>0</v>
      </c>
      <c r="R670" s="2" t="inlineStr"/>
    </row>
    <row r="671" ht="15" customHeight="1">
      <c r="A671" t="inlineStr">
        <is>
          <t>A 34697-2025</t>
        </is>
      </c>
      <c r="B671" s="1" t="n">
        <v>45848.46181712963</v>
      </c>
      <c r="C671" s="1" t="n">
        <v>46040</v>
      </c>
      <c r="D671" t="inlineStr">
        <is>
          <t>DALARNAS LÄN</t>
        </is>
      </c>
      <c r="E671" t="inlineStr">
        <is>
          <t>ÄLVDALEN</t>
        </is>
      </c>
      <c r="F671" t="inlineStr">
        <is>
          <t>Allmännings- och besparingsskogar</t>
        </is>
      </c>
      <c r="G671" t="n">
        <v>7.8</v>
      </c>
      <c r="H671" t="n">
        <v>0</v>
      </c>
      <c r="I671" t="n">
        <v>0</v>
      </c>
      <c r="J671" t="n">
        <v>0</v>
      </c>
      <c r="K671" t="n">
        <v>0</v>
      </c>
      <c r="L671" t="n">
        <v>0</v>
      </c>
      <c r="M671" t="n">
        <v>0</v>
      </c>
      <c r="N671" t="n">
        <v>0</v>
      </c>
      <c r="O671" t="n">
        <v>0</v>
      </c>
      <c r="P671" t="n">
        <v>0</v>
      </c>
      <c r="Q671" t="n">
        <v>0</v>
      </c>
      <c r="R671" s="2" t="inlineStr"/>
    </row>
    <row r="672" ht="15" customHeight="1">
      <c r="A672" t="inlineStr">
        <is>
          <t>A 34705-2025</t>
        </is>
      </c>
      <c r="B672" s="1" t="n">
        <v>45848.49012731481</v>
      </c>
      <c r="C672" s="1" t="n">
        <v>46040</v>
      </c>
      <c r="D672" t="inlineStr">
        <is>
          <t>DALARNAS LÄN</t>
        </is>
      </c>
      <c r="E672" t="inlineStr">
        <is>
          <t>ÄLVDALEN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34645-2025</t>
        </is>
      </c>
      <c r="B673" s="1" t="n">
        <v>45848.33440972222</v>
      </c>
      <c r="C673" s="1" t="n">
        <v>46040</v>
      </c>
      <c r="D673" t="inlineStr">
        <is>
          <t>DALARNAS LÄN</t>
        </is>
      </c>
      <c r="E673" t="inlineStr">
        <is>
          <t>ÄLVDALEN</t>
        </is>
      </c>
      <c r="G673" t="n">
        <v>7.1</v>
      </c>
      <c r="H673" t="n">
        <v>0</v>
      </c>
      <c r="I673" t="n">
        <v>0</v>
      </c>
      <c r="J673" t="n">
        <v>0</v>
      </c>
      <c r="K673" t="n">
        <v>0</v>
      </c>
      <c r="L673" t="n">
        <v>0</v>
      </c>
      <c r="M673" t="n">
        <v>0</v>
      </c>
      <c r="N673" t="n">
        <v>0</v>
      </c>
      <c r="O673" t="n">
        <v>0</v>
      </c>
      <c r="P673" t="n">
        <v>0</v>
      </c>
      <c r="Q673" t="n">
        <v>0</v>
      </c>
      <c r="R673" s="2" t="inlineStr"/>
    </row>
    <row r="674" ht="15" customHeight="1">
      <c r="A674" t="inlineStr">
        <is>
          <t>A 34526-2025</t>
        </is>
      </c>
      <c r="B674" s="1" t="n">
        <v>45847.47820601852</v>
      </c>
      <c r="C674" s="1" t="n">
        <v>46040</v>
      </c>
      <c r="D674" t="inlineStr">
        <is>
          <t>DALARNAS LÄN</t>
        </is>
      </c>
      <c r="E674" t="inlineStr">
        <is>
          <t>ÄLVDALEN</t>
        </is>
      </c>
      <c r="F674" t="inlineStr">
        <is>
          <t>Allmännings- och besparingsskogar</t>
        </is>
      </c>
      <c r="G674" t="n">
        <v>3.9</v>
      </c>
      <c r="H674" t="n">
        <v>0</v>
      </c>
      <c r="I674" t="n">
        <v>0</v>
      </c>
      <c r="J674" t="n">
        <v>0</v>
      </c>
      <c r="K674" t="n">
        <v>0</v>
      </c>
      <c r="L674" t="n">
        <v>0</v>
      </c>
      <c r="M674" t="n">
        <v>0</v>
      </c>
      <c r="N674" t="n">
        <v>0</v>
      </c>
      <c r="O674" t="n">
        <v>0</v>
      </c>
      <c r="P674" t="n">
        <v>0</v>
      </c>
      <c r="Q674" t="n">
        <v>0</v>
      </c>
      <c r="R674" s="2" t="inlineStr"/>
    </row>
    <row r="675" ht="15" customHeight="1">
      <c r="A675" t="inlineStr">
        <is>
          <t>A 34850-2025</t>
        </is>
      </c>
      <c r="B675" s="1" t="n">
        <v>45849.42398148148</v>
      </c>
      <c r="C675" s="1" t="n">
        <v>46040</v>
      </c>
      <c r="D675" t="inlineStr">
        <is>
          <t>DALARNAS LÄN</t>
        </is>
      </c>
      <c r="E675" t="inlineStr">
        <is>
          <t>ÄLVDALEN</t>
        </is>
      </c>
      <c r="F675" t="inlineStr">
        <is>
          <t>Allmännings- och besparingsskogar</t>
        </is>
      </c>
      <c r="G675" t="n">
        <v>12.1</v>
      </c>
      <c r="H675" t="n">
        <v>0</v>
      </c>
      <c r="I675" t="n">
        <v>0</v>
      </c>
      <c r="J675" t="n">
        <v>0</v>
      </c>
      <c r="K675" t="n">
        <v>0</v>
      </c>
      <c r="L675" t="n">
        <v>0</v>
      </c>
      <c r="M675" t="n">
        <v>0</v>
      </c>
      <c r="N675" t="n">
        <v>0</v>
      </c>
      <c r="O675" t="n">
        <v>0</v>
      </c>
      <c r="P675" t="n">
        <v>0</v>
      </c>
      <c r="Q675" t="n">
        <v>0</v>
      </c>
      <c r="R675" s="2" t="inlineStr"/>
    </row>
    <row r="676" ht="15" customHeight="1">
      <c r="A676" t="inlineStr">
        <is>
          <t>A 34914-2025</t>
        </is>
      </c>
      <c r="B676" s="1" t="n">
        <v>45849.54108796296</v>
      </c>
      <c r="C676" s="1" t="n">
        <v>46040</v>
      </c>
      <c r="D676" t="inlineStr">
        <is>
          <t>DALARNAS LÄN</t>
        </is>
      </c>
      <c r="E676" t="inlineStr">
        <is>
          <t>ÄLVDALEN</t>
        </is>
      </c>
      <c r="F676" t="inlineStr">
        <is>
          <t>Allmännings- och besparingsskogar</t>
        </is>
      </c>
      <c r="G676" t="n">
        <v>19.2</v>
      </c>
      <c r="H676" t="n">
        <v>0</v>
      </c>
      <c r="I676" t="n">
        <v>0</v>
      </c>
      <c r="J676" t="n">
        <v>0</v>
      </c>
      <c r="K676" t="n">
        <v>0</v>
      </c>
      <c r="L676" t="n">
        <v>0</v>
      </c>
      <c r="M676" t="n">
        <v>0</v>
      </c>
      <c r="N676" t="n">
        <v>0</v>
      </c>
      <c r="O676" t="n">
        <v>0</v>
      </c>
      <c r="P676" t="n">
        <v>0</v>
      </c>
      <c r="Q676" t="n">
        <v>0</v>
      </c>
      <c r="R676" s="2" t="inlineStr"/>
    </row>
    <row r="677" ht="15" customHeight="1">
      <c r="A677" t="inlineStr">
        <is>
          <t>A 27187-2025</t>
        </is>
      </c>
      <c r="B677" s="1" t="n">
        <v>45812</v>
      </c>
      <c r="C677" s="1" t="n">
        <v>46040</v>
      </c>
      <c r="D677" t="inlineStr">
        <is>
          <t>DALARNAS LÄN</t>
        </is>
      </c>
      <c r="E677" t="inlineStr">
        <is>
          <t>ÄLVDALEN</t>
        </is>
      </c>
      <c r="F677" t="inlineStr">
        <is>
          <t>Allmännings- och besparingsskogar</t>
        </is>
      </c>
      <c r="G677" t="n">
        <v>3</v>
      </c>
      <c r="H677" t="n">
        <v>0</v>
      </c>
      <c r="I677" t="n">
        <v>0</v>
      </c>
      <c r="J677" t="n">
        <v>0</v>
      </c>
      <c r="K677" t="n">
        <v>0</v>
      </c>
      <c r="L677" t="n">
        <v>0</v>
      </c>
      <c r="M677" t="n">
        <v>0</v>
      </c>
      <c r="N677" t="n">
        <v>0</v>
      </c>
      <c r="O677" t="n">
        <v>0</v>
      </c>
      <c r="P677" t="n">
        <v>0</v>
      </c>
      <c r="Q677" t="n">
        <v>0</v>
      </c>
      <c r="R677" s="2" t="inlineStr"/>
    </row>
    <row r="678" ht="15" customHeight="1">
      <c r="A678" t="inlineStr">
        <is>
          <t>A 35993-2025</t>
        </is>
      </c>
      <c r="B678" s="1" t="n">
        <v>45863.48056712963</v>
      </c>
      <c r="C678" s="1" t="n">
        <v>46040</v>
      </c>
      <c r="D678" t="inlineStr">
        <is>
          <t>DALARNAS LÄN</t>
        </is>
      </c>
      <c r="E678" t="inlineStr">
        <is>
          <t>ÄLVDALEN</t>
        </is>
      </c>
      <c r="F678" t="inlineStr">
        <is>
          <t>Bergvik skog öst AB</t>
        </is>
      </c>
      <c r="G678" t="n">
        <v>6.1</v>
      </c>
      <c r="H678" t="n">
        <v>0</v>
      </c>
      <c r="I678" t="n">
        <v>0</v>
      </c>
      <c r="J678" t="n">
        <v>0</v>
      </c>
      <c r="K678" t="n">
        <v>0</v>
      </c>
      <c r="L678" t="n">
        <v>0</v>
      </c>
      <c r="M678" t="n">
        <v>0</v>
      </c>
      <c r="N678" t="n">
        <v>0</v>
      </c>
      <c r="O678" t="n">
        <v>0</v>
      </c>
      <c r="P678" t="n">
        <v>0</v>
      </c>
      <c r="Q678" t="n">
        <v>0</v>
      </c>
      <c r="R678" s="2" t="inlineStr"/>
    </row>
    <row r="679">
      <c r="A679" t="inlineStr">
        <is>
          <t>A 30799-2021</t>
        </is>
      </c>
      <c r="B679" s="1" t="n">
        <v>44365.51483796296</v>
      </c>
      <c r="C679" s="1" t="n">
        <v>46040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2026-01-18T11:01:48Z</dcterms:created>
  <dcterms:modified xmlns:dcterms="http://purl.org/dc/terms/" xmlns:xsi="http://www.w3.org/2001/XMLSchema-instance" xsi:type="dcterms:W3CDTF">2026-01-18T11:01:49Z</dcterms:modified>
</cp:coreProperties>
</file>