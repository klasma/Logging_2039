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45338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45338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45338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45338</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45338</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45338</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45338</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45338</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45338</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45338</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45338</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45338</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45338</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45338</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45338</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45338</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45338</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45338</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45338</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45338</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45338</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45338</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45338</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45338</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45338</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45338</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45338</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45338</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45338</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45338</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45338</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45338</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45338</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45338</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45338</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45338</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45338</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45338</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45338</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45338</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45338</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45338</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45338</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45338</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45338</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45338</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45338</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45338</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45338</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45338</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45338</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45338</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45338</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45338</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45338</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45338</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45338</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45338</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45338</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45338</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45338</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45338</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45338</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45338</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45338</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45007-2018</t>
        </is>
      </c>
      <c r="B67" s="1" t="n">
        <v>43362</v>
      </c>
      <c r="C67" s="1" t="n">
        <v>45338</v>
      </c>
      <c r="D67" t="inlineStr">
        <is>
          <t>DALARNAS LÄN</t>
        </is>
      </c>
      <c r="E67" t="inlineStr">
        <is>
          <t>ÄLVDALEN</t>
        </is>
      </c>
      <c r="F67" t="inlineStr">
        <is>
          <t>Övriga statliga verk och myndigheter</t>
        </is>
      </c>
      <c r="G67" t="n">
        <v>94.09999999999999</v>
      </c>
      <c r="H67" t="n">
        <v>0</v>
      </c>
      <c r="I67" t="n">
        <v>1</v>
      </c>
      <c r="J67" t="n">
        <v>1</v>
      </c>
      <c r="K67" t="n">
        <v>0</v>
      </c>
      <c r="L67" t="n">
        <v>0</v>
      </c>
      <c r="M67" t="n">
        <v>0</v>
      </c>
      <c r="N67" t="n">
        <v>0</v>
      </c>
      <c r="O67" t="n">
        <v>1</v>
      </c>
      <c r="P67" t="n">
        <v>0</v>
      </c>
      <c r="Q67" t="n">
        <v>2</v>
      </c>
      <c r="R67" s="2" t="inlineStr">
        <is>
          <t>Skrovellav
Stuplav</t>
        </is>
      </c>
      <c r="S67">
        <f>HYPERLINK("https://klasma.github.io/Logging_2039/artfynd/A 45007-2018 artfynd.xlsx", "A 45007-2018")</f>
        <v/>
      </c>
      <c r="T67">
        <f>HYPERLINK("https://klasma.github.io/Logging_2039/kartor/A 45007-2018 karta.png", "A 45007-2018")</f>
        <v/>
      </c>
      <c r="V67">
        <f>HYPERLINK("https://klasma.github.io/Logging_2039/klagomål/A 45007-2018 FSC-klagomål.docx", "A 45007-2018")</f>
        <v/>
      </c>
      <c r="W67">
        <f>HYPERLINK("https://klasma.github.io/Logging_2039/klagomålsmail/A 45007-2018 FSC-klagomål mail.docx", "A 45007-2018")</f>
        <v/>
      </c>
      <c r="X67">
        <f>HYPERLINK("https://klasma.github.io/Logging_2039/tillsyn/A 45007-2018 tillsynsbegäran.docx", "A 45007-2018")</f>
        <v/>
      </c>
      <c r="Y67">
        <f>HYPERLINK("https://klasma.github.io/Logging_2039/tillsynsmail/A 45007-2018 tillsynsbegäran mail.docx", "A 45007-2018")</f>
        <v/>
      </c>
    </row>
    <row r="68" ht="15" customHeight="1">
      <c r="A68" t="inlineStr">
        <is>
          <t>A 45015-2019</t>
        </is>
      </c>
      <c r="B68" s="1" t="n">
        <v>43707</v>
      </c>
      <c r="C68" s="1" t="n">
        <v>45338</v>
      </c>
      <c r="D68" t="inlineStr">
        <is>
          <t>DALARNAS LÄN</t>
        </is>
      </c>
      <c r="E68" t="inlineStr">
        <is>
          <t>ÄLVDALEN</t>
        </is>
      </c>
      <c r="F68" t="inlineStr">
        <is>
          <t>Sveaskog</t>
        </is>
      </c>
      <c r="G68" t="n">
        <v>33.8</v>
      </c>
      <c r="H68" t="n">
        <v>1</v>
      </c>
      <c r="I68" t="n">
        <v>0</v>
      </c>
      <c r="J68" t="n">
        <v>2</v>
      </c>
      <c r="K68" t="n">
        <v>0</v>
      </c>
      <c r="L68" t="n">
        <v>0</v>
      </c>
      <c r="M68" t="n">
        <v>0</v>
      </c>
      <c r="N68" t="n">
        <v>0</v>
      </c>
      <c r="O68" t="n">
        <v>2</v>
      </c>
      <c r="P68" t="n">
        <v>0</v>
      </c>
      <c r="Q68" t="n">
        <v>2</v>
      </c>
      <c r="R68" s="2" t="inlineStr">
        <is>
          <t>Skrovellav
Varglav</t>
        </is>
      </c>
      <c r="S68">
        <f>HYPERLINK("https://klasma.github.io/Logging_2039/artfynd/A 45015-2019 artfynd.xlsx", "A 45015-2019")</f>
        <v/>
      </c>
      <c r="T68">
        <f>HYPERLINK("https://klasma.github.io/Logging_2039/kartor/A 45015-2019 karta.png", "A 45015-2019")</f>
        <v/>
      </c>
      <c r="V68">
        <f>HYPERLINK("https://klasma.github.io/Logging_2039/klagomål/A 45015-2019 FSC-klagomål.docx", "A 45015-2019")</f>
        <v/>
      </c>
      <c r="W68">
        <f>HYPERLINK("https://klasma.github.io/Logging_2039/klagomålsmail/A 45015-2019 FSC-klagomål mail.docx", "A 45015-2019")</f>
        <v/>
      </c>
      <c r="X68">
        <f>HYPERLINK("https://klasma.github.io/Logging_2039/tillsyn/A 45015-2019 tillsynsbegäran.docx", "A 45015-2019")</f>
        <v/>
      </c>
      <c r="Y68">
        <f>HYPERLINK("https://klasma.github.io/Logging_2039/tillsynsmail/A 45015-2019 tillsynsbegäran mail.docx", "A 45015-2019")</f>
        <v/>
      </c>
    </row>
    <row r="69" ht="15" customHeight="1">
      <c r="A69" t="inlineStr">
        <is>
          <t>A 30615-2021</t>
        </is>
      </c>
      <c r="B69" s="1" t="n">
        <v>44365</v>
      </c>
      <c r="C69" s="1" t="n">
        <v>45338</v>
      </c>
      <c r="D69" t="inlineStr">
        <is>
          <t>DALARNAS LÄN</t>
        </is>
      </c>
      <c r="E69" t="inlineStr">
        <is>
          <t>ÄLVDALEN</t>
        </is>
      </c>
      <c r="F69" t="inlineStr">
        <is>
          <t>Sveaskog</t>
        </is>
      </c>
      <c r="G69" t="n">
        <v>22.8</v>
      </c>
      <c r="H69" t="n">
        <v>0</v>
      </c>
      <c r="I69" t="n">
        <v>1</v>
      </c>
      <c r="J69" t="n">
        <v>0</v>
      </c>
      <c r="K69" t="n">
        <v>1</v>
      </c>
      <c r="L69" t="n">
        <v>0</v>
      </c>
      <c r="M69" t="n">
        <v>0</v>
      </c>
      <c r="N69" t="n">
        <v>0</v>
      </c>
      <c r="O69" t="n">
        <v>1</v>
      </c>
      <c r="P69" t="n">
        <v>1</v>
      </c>
      <c r="Q69" t="n">
        <v>2</v>
      </c>
      <c r="R69" s="2" t="inlineStr">
        <is>
          <t>Smalfotad taggsvamp
Dropptaggsvamp</t>
        </is>
      </c>
      <c r="S69">
        <f>HYPERLINK("https://klasma.github.io/Logging_2039/artfynd/A 30615-2021 artfynd.xlsx", "A 30615-2021")</f>
        <v/>
      </c>
      <c r="T69">
        <f>HYPERLINK("https://klasma.github.io/Logging_2039/kartor/A 30615-2021 karta.png", "A 30615-2021")</f>
        <v/>
      </c>
      <c r="V69">
        <f>HYPERLINK("https://klasma.github.io/Logging_2039/klagomål/A 30615-2021 FSC-klagomål.docx", "A 30615-2021")</f>
        <v/>
      </c>
      <c r="W69">
        <f>HYPERLINK("https://klasma.github.io/Logging_2039/klagomålsmail/A 30615-2021 FSC-klagomål mail.docx", "A 30615-2021")</f>
        <v/>
      </c>
      <c r="X69">
        <f>HYPERLINK("https://klasma.github.io/Logging_2039/tillsyn/A 30615-2021 tillsynsbegäran.docx", "A 30615-2021")</f>
        <v/>
      </c>
      <c r="Y69">
        <f>HYPERLINK("https://klasma.github.io/Logging_2039/tillsynsmail/A 30615-2021 tillsynsbegäran mail.docx", "A 30615-2021")</f>
        <v/>
      </c>
    </row>
    <row r="70" ht="15" customHeight="1">
      <c r="A70" t="inlineStr">
        <is>
          <t>A 44407-2021</t>
        </is>
      </c>
      <c r="B70" s="1" t="n">
        <v>44435</v>
      </c>
      <c r="C70" s="1" t="n">
        <v>45338</v>
      </c>
      <c r="D70" t="inlineStr">
        <is>
          <t>DALARNAS LÄN</t>
        </is>
      </c>
      <c r="E70" t="inlineStr">
        <is>
          <t>ÄLVDALEN</t>
        </is>
      </c>
      <c r="F70" t="inlineStr">
        <is>
          <t>Sveaskog</t>
        </is>
      </c>
      <c r="G70" t="n">
        <v>4.4</v>
      </c>
      <c r="H70" t="n">
        <v>0</v>
      </c>
      <c r="I70" t="n">
        <v>1</v>
      </c>
      <c r="J70" t="n">
        <v>1</v>
      </c>
      <c r="K70" t="n">
        <v>0</v>
      </c>
      <c r="L70" t="n">
        <v>0</v>
      </c>
      <c r="M70" t="n">
        <v>0</v>
      </c>
      <c r="N70" t="n">
        <v>0</v>
      </c>
      <c r="O70" t="n">
        <v>1</v>
      </c>
      <c r="P70" t="n">
        <v>0</v>
      </c>
      <c r="Q70" t="n">
        <v>2</v>
      </c>
      <c r="R70" s="2" t="inlineStr">
        <is>
          <t>Garnlav
Dropptaggsvamp</t>
        </is>
      </c>
      <c r="S70">
        <f>HYPERLINK("https://klasma.github.io/Logging_2039/artfynd/A 44407-2021 artfynd.xlsx", "A 44407-2021")</f>
        <v/>
      </c>
      <c r="T70">
        <f>HYPERLINK("https://klasma.github.io/Logging_2039/kartor/A 44407-2021 karta.png", "A 44407-2021")</f>
        <v/>
      </c>
      <c r="V70">
        <f>HYPERLINK("https://klasma.github.io/Logging_2039/klagomål/A 44407-2021 FSC-klagomål.docx", "A 44407-2021")</f>
        <v/>
      </c>
      <c r="W70">
        <f>HYPERLINK("https://klasma.github.io/Logging_2039/klagomålsmail/A 44407-2021 FSC-klagomål mail.docx", "A 44407-2021")</f>
        <v/>
      </c>
      <c r="X70">
        <f>HYPERLINK("https://klasma.github.io/Logging_2039/tillsyn/A 44407-2021 tillsynsbegäran.docx", "A 44407-2021")</f>
        <v/>
      </c>
      <c r="Y70">
        <f>HYPERLINK("https://klasma.github.io/Logging_2039/tillsynsmail/A 44407-2021 tillsynsbegäran mail.docx", "A 44407-2021")</f>
        <v/>
      </c>
    </row>
    <row r="71" ht="15" customHeight="1">
      <c r="A71" t="inlineStr">
        <is>
          <t>A 54632-2021</t>
        </is>
      </c>
      <c r="B71" s="1" t="n">
        <v>44473</v>
      </c>
      <c r="C71" s="1" t="n">
        <v>45338</v>
      </c>
      <c r="D71" t="inlineStr">
        <is>
          <t>DALARNAS LÄN</t>
        </is>
      </c>
      <c r="E71" t="inlineStr">
        <is>
          <t>ÄLVDALEN</t>
        </is>
      </c>
      <c r="G71" t="n">
        <v>4.8</v>
      </c>
      <c r="H71" t="n">
        <v>1</v>
      </c>
      <c r="I71" t="n">
        <v>0</v>
      </c>
      <c r="J71" t="n">
        <v>2</v>
      </c>
      <c r="K71" t="n">
        <v>0</v>
      </c>
      <c r="L71" t="n">
        <v>0</v>
      </c>
      <c r="M71" t="n">
        <v>0</v>
      </c>
      <c r="N71" t="n">
        <v>0</v>
      </c>
      <c r="O71" t="n">
        <v>2</v>
      </c>
      <c r="P71" t="n">
        <v>0</v>
      </c>
      <c r="Q71" t="n">
        <v>2</v>
      </c>
      <c r="R71" s="2" t="inlineStr">
        <is>
          <t>Varglav
Vedflamlav</t>
        </is>
      </c>
      <c r="S71">
        <f>HYPERLINK("https://klasma.github.io/Logging_2039/artfynd/A 54632-2021 artfynd.xlsx", "A 54632-2021")</f>
        <v/>
      </c>
      <c r="T71">
        <f>HYPERLINK("https://klasma.github.io/Logging_2039/kartor/A 54632-2021 karta.png", "A 54632-2021")</f>
        <v/>
      </c>
      <c r="V71">
        <f>HYPERLINK("https://klasma.github.io/Logging_2039/klagomål/A 54632-2021 FSC-klagomål.docx", "A 54632-2021")</f>
        <v/>
      </c>
      <c r="W71">
        <f>HYPERLINK("https://klasma.github.io/Logging_2039/klagomålsmail/A 54632-2021 FSC-klagomål mail.docx", "A 54632-2021")</f>
        <v/>
      </c>
      <c r="X71">
        <f>HYPERLINK("https://klasma.github.io/Logging_2039/tillsyn/A 54632-2021 tillsynsbegäran.docx", "A 54632-2021")</f>
        <v/>
      </c>
      <c r="Y71">
        <f>HYPERLINK("https://klasma.github.io/Logging_2039/tillsynsmail/A 54632-2021 tillsynsbegäran mail.docx", "A 54632-2021")</f>
        <v/>
      </c>
    </row>
    <row r="72" ht="15" customHeight="1">
      <c r="A72" t="inlineStr">
        <is>
          <t>A 67709-2021</t>
        </is>
      </c>
      <c r="B72" s="1" t="n">
        <v>44525</v>
      </c>
      <c r="C72" s="1" t="n">
        <v>45338</v>
      </c>
      <c r="D72" t="inlineStr">
        <is>
          <t>DALARNAS LÄN</t>
        </is>
      </c>
      <c r="E72" t="inlineStr">
        <is>
          <t>ÄLVDALEN</t>
        </is>
      </c>
      <c r="F72" t="inlineStr">
        <is>
          <t>Sveaskog</t>
        </is>
      </c>
      <c r="G72" t="n">
        <v>4.4</v>
      </c>
      <c r="H72" t="n">
        <v>0</v>
      </c>
      <c r="I72" t="n">
        <v>2</v>
      </c>
      <c r="J72" t="n">
        <v>0</v>
      </c>
      <c r="K72" t="n">
        <v>0</v>
      </c>
      <c r="L72" t="n">
        <v>0</v>
      </c>
      <c r="M72" t="n">
        <v>0</v>
      </c>
      <c r="N72" t="n">
        <v>0</v>
      </c>
      <c r="O72" t="n">
        <v>0</v>
      </c>
      <c r="P72" t="n">
        <v>0</v>
      </c>
      <c r="Q72" t="n">
        <v>2</v>
      </c>
      <c r="R72" s="2" t="inlineStr">
        <is>
          <t>Dropptaggsvamp
Skarp dropptaggsvamp</t>
        </is>
      </c>
      <c r="S72">
        <f>HYPERLINK("https://klasma.github.io/Logging_2039/artfynd/A 67709-2021 artfynd.xlsx", "A 67709-2021")</f>
        <v/>
      </c>
      <c r="T72">
        <f>HYPERLINK("https://klasma.github.io/Logging_2039/kartor/A 67709-2021 karta.png", "A 67709-2021")</f>
        <v/>
      </c>
      <c r="V72">
        <f>HYPERLINK("https://klasma.github.io/Logging_2039/klagomål/A 67709-2021 FSC-klagomål.docx", "A 67709-2021")</f>
        <v/>
      </c>
      <c r="W72">
        <f>HYPERLINK("https://klasma.github.io/Logging_2039/klagomålsmail/A 67709-2021 FSC-klagomål mail.docx", "A 67709-2021")</f>
        <v/>
      </c>
      <c r="X72">
        <f>HYPERLINK("https://klasma.github.io/Logging_2039/tillsyn/A 67709-2021 tillsynsbegäran.docx", "A 67709-2021")</f>
        <v/>
      </c>
      <c r="Y72">
        <f>HYPERLINK("https://klasma.github.io/Logging_2039/tillsynsmail/A 67709-2021 tillsynsbegäran mail.docx", "A 67709-2021")</f>
        <v/>
      </c>
    </row>
    <row r="73" ht="15" customHeight="1">
      <c r="A73" t="inlineStr">
        <is>
          <t>A 21629-2022</t>
        </is>
      </c>
      <c r="B73" s="1" t="n">
        <v>44706</v>
      </c>
      <c r="C73" s="1" t="n">
        <v>45338</v>
      </c>
      <c r="D73" t="inlineStr">
        <is>
          <t>DALARNAS LÄN</t>
        </is>
      </c>
      <c r="E73" t="inlineStr">
        <is>
          <t>ÄLVDALEN</t>
        </is>
      </c>
      <c r="F73" t="inlineStr">
        <is>
          <t>Övriga statliga verk och myndigheter</t>
        </is>
      </c>
      <c r="G73" t="n">
        <v>19.2</v>
      </c>
      <c r="H73" t="n">
        <v>0</v>
      </c>
      <c r="I73" t="n">
        <v>1</v>
      </c>
      <c r="J73" t="n">
        <v>1</v>
      </c>
      <c r="K73" t="n">
        <v>0</v>
      </c>
      <c r="L73" t="n">
        <v>0</v>
      </c>
      <c r="M73" t="n">
        <v>0</v>
      </c>
      <c r="N73" t="n">
        <v>0</v>
      </c>
      <c r="O73" t="n">
        <v>1</v>
      </c>
      <c r="P73" t="n">
        <v>0</v>
      </c>
      <c r="Q73" t="n">
        <v>2</v>
      </c>
      <c r="R73" s="2" t="inlineStr">
        <is>
          <t>Vitgrynig nållav
Kransrams</t>
        </is>
      </c>
      <c r="S73">
        <f>HYPERLINK("https://klasma.github.io/Logging_2039/artfynd/A 21629-2022 artfynd.xlsx", "A 21629-2022")</f>
        <v/>
      </c>
      <c r="T73">
        <f>HYPERLINK("https://klasma.github.io/Logging_2039/kartor/A 21629-2022 karta.png", "A 21629-2022")</f>
        <v/>
      </c>
      <c r="V73">
        <f>HYPERLINK("https://klasma.github.io/Logging_2039/klagomål/A 21629-2022 FSC-klagomål.docx", "A 21629-2022")</f>
        <v/>
      </c>
      <c r="W73">
        <f>HYPERLINK("https://klasma.github.io/Logging_2039/klagomålsmail/A 21629-2022 FSC-klagomål mail.docx", "A 21629-2022")</f>
        <v/>
      </c>
      <c r="X73">
        <f>HYPERLINK("https://klasma.github.io/Logging_2039/tillsyn/A 21629-2022 tillsynsbegäran.docx", "A 21629-2022")</f>
        <v/>
      </c>
      <c r="Y73">
        <f>HYPERLINK("https://klasma.github.io/Logging_2039/tillsynsmail/A 21629-2022 tillsynsbegäran mail.docx", "A 21629-2022")</f>
        <v/>
      </c>
    </row>
    <row r="74" ht="15" customHeight="1">
      <c r="A74" t="inlineStr">
        <is>
          <t>A 50242-2022</t>
        </is>
      </c>
      <c r="B74" s="1" t="n">
        <v>44865</v>
      </c>
      <c r="C74" s="1" t="n">
        <v>45338</v>
      </c>
      <c r="D74" t="inlineStr">
        <is>
          <t>DALARNAS LÄN</t>
        </is>
      </c>
      <c r="E74" t="inlineStr">
        <is>
          <t>ÄLVDALEN</t>
        </is>
      </c>
      <c r="F74" t="inlineStr">
        <is>
          <t>Sveaskog</t>
        </is>
      </c>
      <c r="G74" t="n">
        <v>10.7</v>
      </c>
      <c r="H74" t="n">
        <v>0</v>
      </c>
      <c r="I74" t="n">
        <v>1</v>
      </c>
      <c r="J74" t="n">
        <v>1</v>
      </c>
      <c r="K74" t="n">
        <v>0</v>
      </c>
      <c r="L74" t="n">
        <v>0</v>
      </c>
      <c r="M74" t="n">
        <v>0</v>
      </c>
      <c r="N74" t="n">
        <v>0</v>
      </c>
      <c r="O74" t="n">
        <v>1</v>
      </c>
      <c r="P74" t="n">
        <v>0</v>
      </c>
      <c r="Q74" t="n">
        <v>2</v>
      </c>
      <c r="R74" s="2" t="inlineStr">
        <is>
          <t>Kolflarnlav
Dropptaggsvamp</t>
        </is>
      </c>
      <c r="S74">
        <f>HYPERLINK("https://klasma.github.io/Logging_2039/artfynd/A 50242-2022 artfynd.xlsx", "A 50242-2022")</f>
        <v/>
      </c>
      <c r="T74">
        <f>HYPERLINK("https://klasma.github.io/Logging_2039/kartor/A 50242-2022 karta.png", "A 50242-2022")</f>
        <v/>
      </c>
      <c r="V74">
        <f>HYPERLINK("https://klasma.github.io/Logging_2039/klagomål/A 50242-2022 FSC-klagomål.docx", "A 50242-2022")</f>
        <v/>
      </c>
      <c r="W74">
        <f>HYPERLINK("https://klasma.github.io/Logging_2039/klagomålsmail/A 50242-2022 FSC-klagomål mail.docx", "A 50242-2022")</f>
        <v/>
      </c>
      <c r="X74">
        <f>HYPERLINK("https://klasma.github.io/Logging_2039/tillsyn/A 50242-2022 tillsynsbegäran.docx", "A 50242-2022")</f>
        <v/>
      </c>
      <c r="Y74">
        <f>HYPERLINK("https://klasma.github.io/Logging_2039/tillsynsmail/A 50242-2022 tillsynsbegäran mail.docx", "A 50242-2022")</f>
        <v/>
      </c>
    </row>
    <row r="75" ht="15" customHeight="1">
      <c r="A75" t="inlineStr">
        <is>
          <t>A 52490-2022</t>
        </is>
      </c>
      <c r="B75" s="1" t="n">
        <v>44874</v>
      </c>
      <c r="C75" s="1" t="n">
        <v>45338</v>
      </c>
      <c r="D75" t="inlineStr">
        <is>
          <t>DALARNAS LÄN</t>
        </is>
      </c>
      <c r="E75" t="inlineStr">
        <is>
          <t>ÄLVDALEN</t>
        </is>
      </c>
      <c r="G75" t="n">
        <v>4.3</v>
      </c>
      <c r="H75" t="n">
        <v>0</v>
      </c>
      <c r="I75" t="n">
        <v>1</v>
      </c>
      <c r="J75" t="n">
        <v>1</v>
      </c>
      <c r="K75" t="n">
        <v>0</v>
      </c>
      <c r="L75" t="n">
        <v>0</v>
      </c>
      <c r="M75" t="n">
        <v>0</v>
      </c>
      <c r="N75" t="n">
        <v>0</v>
      </c>
      <c r="O75" t="n">
        <v>1</v>
      </c>
      <c r="P75" t="n">
        <v>0</v>
      </c>
      <c r="Q75" t="n">
        <v>2</v>
      </c>
      <c r="R75" s="2" t="inlineStr">
        <is>
          <t>Garnlav
Dropptaggsvamp</t>
        </is>
      </c>
      <c r="S75">
        <f>HYPERLINK("https://klasma.github.io/Logging_2039/artfynd/A 52490-2022 artfynd.xlsx", "A 52490-2022")</f>
        <v/>
      </c>
      <c r="T75">
        <f>HYPERLINK("https://klasma.github.io/Logging_2039/kartor/A 52490-2022 karta.png", "A 52490-2022")</f>
        <v/>
      </c>
      <c r="V75">
        <f>HYPERLINK("https://klasma.github.io/Logging_2039/klagomål/A 52490-2022 FSC-klagomål.docx", "A 52490-2022")</f>
        <v/>
      </c>
      <c r="W75">
        <f>HYPERLINK("https://klasma.github.io/Logging_2039/klagomålsmail/A 52490-2022 FSC-klagomål mail.docx", "A 52490-2022")</f>
        <v/>
      </c>
      <c r="X75">
        <f>HYPERLINK("https://klasma.github.io/Logging_2039/tillsyn/A 52490-2022 tillsynsbegäran.docx", "A 52490-2022")</f>
        <v/>
      </c>
      <c r="Y75">
        <f>HYPERLINK("https://klasma.github.io/Logging_2039/tillsynsmail/A 52490-2022 tillsynsbegäran mail.docx", "A 52490-2022")</f>
        <v/>
      </c>
    </row>
    <row r="76" ht="15" customHeight="1">
      <c r="A76" t="inlineStr">
        <is>
          <t>A 21857-2023</t>
        </is>
      </c>
      <c r="B76" s="1" t="n">
        <v>45068</v>
      </c>
      <c r="C76" s="1" t="n">
        <v>45338</v>
      </c>
      <c r="D76" t="inlineStr">
        <is>
          <t>DALARNAS LÄN</t>
        </is>
      </c>
      <c r="E76" t="inlineStr">
        <is>
          <t>ÄLVDALEN</t>
        </is>
      </c>
      <c r="F76" t="inlineStr">
        <is>
          <t>Allmännings- och besparingsskogar</t>
        </is>
      </c>
      <c r="G76" t="n">
        <v>25.2</v>
      </c>
      <c r="H76" t="n">
        <v>1</v>
      </c>
      <c r="I76" t="n">
        <v>0</v>
      </c>
      <c r="J76" t="n">
        <v>2</v>
      </c>
      <c r="K76" t="n">
        <v>0</v>
      </c>
      <c r="L76" t="n">
        <v>0</v>
      </c>
      <c r="M76" t="n">
        <v>0</v>
      </c>
      <c r="N76" t="n">
        <v>0</v>
      </c>
      <c r="O76" t="n">
        <v>2</v>
      </c>
      <c r="P76" t="n">
        <v>0</v>
      </c>
      <c r="Q76" t="n">
        <v>2</v>
      </c>
      <c r="R76" s="2" t="inlineStr">
        <is>
          <t>Svartvit flugsnappare
Vedflamlav</t>
        </is>
      </c>
      <c r="S76">
        <f>HYPERLINK("https://klasma.github.io/Logging_2039/artfynd/A 21857-2023 artfynd.xlsx", "A 21857-2023")</f>
        <v/>
      </c>
      <c r="T76">
        <f>HYPERLINK("https://klasma.github.io/Logging_2039/kartor/A 21857-2023 karta.png", "A 21857-2023")</f>
        <v/>
      </c>
      <c r="V76">
        <f>HYPERLINK("https://klasma.github.io/Logging_2039/klagomål/A 21857-2023 FSC-klagomål.docx", "A 21857-2023")</f>
        <v/>
      </c>
      <c r="W76">
        <f>HYPERLINK("https://klasma.github.io/Logging_2039/klagomålsmail/A 21857-2023 FSC-klagomål mail.docx", "A 21857-2023")</f>
        <v/>
      </c>
      <c r="X76">
        <f>HYPERLINK("https://klasma.github.io/Logging_2039/tillsyn/A 21857-2023 tillsynsbegäran.docx", "A 21857-2023")</f>
        <v/>
      </c>
      <c r="Y76">
        <f>HYPERLINK("https://klasma.github.io/Logging_2039/tillsynsmail/A 21857-2023 tillsynsbegäran mail.docx", "A 21857-2023")</f>
        <v/>
      </c>
    </row>
    <row r="77" ht="15" customHeight="1">
      <c r="A77" t="inlineStr">
        <is>
          <t>A 27967-2023</t>
        </is>
      </c>
      <c r="B77" s="1" t="n">
        <v>45098</v>
      </c>
      <c r="C77" s="1" t="n">
        <v>45338</v>
      </c>
      <c r="D77" t="inlineStr">
        <is>
          <t>DALARNAS LÄN</t>
        </is>
      </c>
      <c r="E77" t="inlineStr">
        <is>
          <t>ÄLVDALEN</t>
        </is>
      </c>
      <c r="F77" t="inlineStr">
        <is>
          <t>Sveaskog</t>
        </is>
      </c>
      <c r="G77" t="n">
        <v>1.9</v>
      </c>
      <c r="H77" t="n">
        <v>0</v>
      </c>
      <c r="I77" t="n">
        <v>0</v>
      </c>
      <c r="J77" t="n">
        <v>2</v>
      </c>
      <c r="K77" t="n">
        <v>0</v>
      </c>
      <c r="L77" t="n">
        <v>0</v>
      </c>
      <c r="M77" t="n">
        <v>0</v>
      </c>
      <c r="N77" t="n">
        <v>0</v>
      </c>
      <c r="O77" t="n">
        <v>2</v>
      </c>
      <c r="P77" t="n">
        <v>0</v>
      </c>
      <c r="Q77" t="n">
        <v>2</v>
      </c>
      <c r="R77" s="2" t="inlineStr">
        <is>
          <t>Kolflarnlav
Mörk kolflarnlav</t>
        </is>
      </c>
      <c r="S77">
        <f>HYPERLINK("https://klasma.github.io/Logging_2039/artfynd/A 27967-2023 artfynd.xlsx", "A 27967-2023")</f>
        <v/>
      </c>
      <c r="T77">
        <f>HYPERLINK("https://klasma.github.io/Logging_2039/kartor/A 27967-2023 karta.png", "A 27967-2023")</f>
        <v/>
      </c>
      <c r="V77">
        <f>HYPERLINK("https://klasma.github.io/Logging_2039/klagomål/A 27967-2023 FSC-klagomål.docx", "A 27967-2023")</f>
        <v/>
      </c>
      <c r="W77">
        <f>HYPERLINK("https://klasma.github.io/Logging_2039/klagomålsmail/A 27967-2023 FSC-klagomål mail.docx", "A 27967-2023")</f>
        <v/>
      </c>
      <c r="X77">
        <f>HYPERLINK("https://klasma.github.io/Logging_2039/tillsyn/A 27967-2023 tillsynsbegäran.docx", "A 27967-2023")</f>
        <v/>
      </c>
      <c r="Y77">
        <f>HYPERLINK("https://klasma.github.io/Logging_2039/tillsynsmail/A 27967-2023 tillsynsbegäran mail.docx", "A 27967-2023")</f>
        <v/>
      </c>
    </row>
    <row r="78" ht="15" customHeight="1">
      <c r="A78" t="inlineStr">
        <is>
          <t>A 33894-2023</t>
        </is>
      </c>
      <c r="B78" s="1" t="n">
        <v>45121</v>
      </c>
      <c r="C78" s="1" t="n">
        <v>45338</v>
      </c>
      <c r="D78" t="inlineStr">
        <is>
          <t>DALARNAS LÄN</t>
        </is>
      </c>
      <c r="E78" t="inlineStr">
        <is>
          <t>ÄLVDALEN</t>
        </is>
      </c>
      <c r="F78" t="inlineStr">
        <is>
          <t>Sveaskog</t>
        </is>
      </c>
      <c r="G78" t="n">
        <v>3</v>
      </c>
      <c r="H78" t="n">
        <v>0</v>
      </c>
      <c r="I78" t="n">
        <v>2</v>
      </c>
      <c r="J78" t="n">
        <v>0</v>
      </c>
      <c r="K78" t="n">
        <v>0</v>
      </c>
      <c r="L78" t="n">
        <v>0</v>
      </c>
      <c r="M78" t="n">
        <v>0</v>
      </c>
      <c r="N78" t="n">
        <v>0</v>
      </c>
      <c r="O78" t="n">
        <v>0</v>
      </c>
      <c r="P78" t="n">
        <v>0</v>
      </c>
      <c r="Q78" t="n">
        <v>2</v>
      </c>
      <c r="R78" s="2" t="inlineStr">
        <is>
          <t>Dropptaggsvamp
Skarp dropptaggsvamp</t>
        </is>
      </c>
      <c r="S78">
        <f>HYPERLINK("https://klasma.github.io/Logging_2039/artfynd/A 33894-2023 artfynd.xlsx", "A 33894-2023")</f>
        <v/>
      </c>
      <c r="T78">
        <f>HYPERLINK("https://klasma.github.io/Logging_2039/kartor/A 33894-2023 karta.png", "A 33894-2023")</f>
        <v/>
      </c>
      <c r="V78">
        <f>HYPERLINK("https://klasma.github.io/Logging_2039/klagomål/A 33894-2023 FSC-klagomål.docx", "A 33894-2023")</f>
        <v/>
      </c>
      <c r="W78">
        <f>HYPERLINK("https://klasma.github.io/Logging_2039/klagomålsmail/A 33894-2023 FSC-klagomål mail.docx", "A 33894-2023")</f>
        <v/>
      </c>
      <c r="X78">
        <f>HYPERLINK("https://klasma.github.io/Logging_2039/tillsyn/A 33894-2023 tillsynsbegäran.docx", "A 33894-2023")</f>
        <v/>
      </c>
      <c r="Y78">
        <f>HYPERLINK("https://klasma.github.io/Logging_2039/tillsynsmail/A 33894-2023 tillsynsbegäran mail.docx", "A 33894-2023")</f>
        <v/>
      </c>
    </row>
    <row r="79" ht="15" customHeight="1">
      <c r="A79" t="inlineStr">
        <is>
          <t>A 35184-2023</t>
        </is>
      </c>
      <c r="B79" s="1" t="n">
        <v>45145</v>
      </c>
      <c r="C79" s="1" t="n">
        <v>45338</v>
      </c>
      <c r="D79" t="inlineStr">
        <is>
          <t>DALARNAS LÄN</t>
        </is>
      </c>
      <c r="E79" t="inlineStr">
        <is>
          <t>ÄLVDALEN</t>
        </is>
      </c>
      <c r="F79" t="inlineStr">
        <is>
          <t>Sveaskog</t>
        </is>
      </c>
      <c r="G79" t="n">
        <v>1.7</v>
      </c>
      <c r="H79" t="n">
        <v>0</v>
      </c>
      <c r="I79" t="n">
        <v>0</v>
      </c>
      <c r="J79" t="n">
        <v>2</v>
      </c>
      <c r="K79" t="n">
        <v>0</v>
      </c>
      <c r="L79" t="n">
        <v>0</v>
      </c>
      <c r="M79" t="n">
        <v>0</v>
      </c>
      <c r="N79" t="n">
        <v>0</v>
      </c>
      <c r="O79" t="n">
        <v>2</v>
      </c>
      <c r="P79" t="n">
        <v>0</v>
      </c>
      <c r="Q79" t="n">
        <v>2</v>
      </c>
      <c r="R79" s="2" t="inlineStr">
        <is>
          <t>Blanksvart spiklav
Kolflarnlav</t>
        </is>
      </c>
      <c r="S79">
        <f>HYPERLINK("https://klasma.github.io/Logging_2039/artfynd/A 35184-2023 artfynd.xlsx", "A 35184-2023")</f>
        <v/>
      </c>
      <c r="T79">
        <f>HYPERLINK("https://klasma.github.io/Logging_2039/kartor/A 35184-2023 karta.png", "A 35184-2023")</f>
        <v/>
      </c>
      <c r="V79">
        <f>HYPERLINK("https://klasma.github.io/Logging_2039/klagomål/A 35184-2023 FSC-klagomål.docx", "A 35184-2023")</f>
        <v/>
      </c>
      <c r="W79">
        <f>HYPERLINK("https://klasma.github.io/Logging_2039/klagomålsmail/A 35184-2023 FSC-klagomål mail.docx", "A 35184-2023")</f>
        <v/>
      </c>
      <c r="X79">
        <f>HYPERLINK("https://klasma.github.io/Logging_2039/tillsyn/A 35184-2023 tillsynsbegäran.docx", "A 35184-2023")</f>
        <v/>
      </c>
      <c r="Y79">
        <f>HYPERLINK("https://klasma.github.io/Logging_2039/tillsynsmail/A 35184-2023 tillsynsbegäran mail.docx", "A 35184-2023")</f>
        <v/>
      </c>
    </row>
    <row r="80" ht="15" customHeight="1">
      <c r="A80" t="inlineStr">
        <is>
          <t>A 37664-2023</t>
        </is>
      </c>
      <c r="B80" s="1" t="n">
        <v>45159</v>
      </c>
      <c r="C80" s="1" t="n">
        <v>45338</v>
      </c>
      <c r="D80" t="inlineStr">
        <is>
          <t>DALARNAS LÄN</t>
        </is>
      </c>
      <c r="E80" t="inlineStr">
        <is>
          <t>ÄLVDALEN</t>
        </is>
      </c>
      <c r="F80" t="inlineStr">
        <is>
          <t>Allmännings- och besparingsskogar</t>
        </is>
      </c>
      <c r="G80" t="n">
        <v>0.6</v>
      </c>
      <c r="H80" t="n">
        <v>0</v>
      </c>
      <c r="I80" t="n">
        <v>1</v>
      </c>
      <c r="J80" t="n">
        <v>1</v>
      </c>
      <c r="K80" t="n">
        <v>0</v>
      </c>
      <c r="L80" t="n">
        <v>0</v>
      </c>
      <c r="M80" t="n">
        <v>0</v>
      </c>
      <c r="N80" t="n">
        <v>0</v>
      </c>
      <c r="O80" t="n">
        <v>1</v>
      </c>
      <c r="P80" t="n">
        <v>0</v>
      </c>
      <c r="Q80" t="n">
        <v>2</v>
      </c>
      <c r="R80" s="2" t="inlineStr">
        <is>
          <t>Vaddporing
Mindre märgborre</t>
        </is>
      </c>
      <c r="S80">
        <f>HYPERLINK("https://klasma.github.io/Logging_2039/artfynd/A 37664-2023 artfynd.xlsx", "A 37664-2023")</f>
        <v/>
      </c>
      <c r="T80">
        <f>HYPERLINK("https://klasma.github.io/Logging_2039/kartor/A 37664-2023 karta.png", "A 37664-2023")</f>
        <v/>
      </c>
      <c r="V80">
        <f>HYPERLINK("https://klasma.github.io/Logging_2039/klagomål/A 37664-2023 FSC-klagomål.docx", "A 37664-2023")</f>
        <v/>
      </c>
      <c r="W80">
        <f>HYPERLINK("https://klasma.github.io/Logging_2039/klagomålsmail/A 37664-2023 FSC-klagomål mail.docx", "A 37664-2023")</f>
        <v/>
      </c>
      <c r="X80">
        <f>HYPERLINK("https://klasma.github.io/Logging_2039/tillsyn/A 37664-2023 tillsynsbegäran.docx", "A 37664-2023")</f>
        <v/>
      </c>
      <c r="Y80">
        <f>HYPERLINK("https://klasma.github.io/Logging_2039/tillsynsmail/A 37664-2023 tillsynsbegäran mail.docx", "A 37664-2023")</f>
        <v/>
      </c>
    </row>
    <row r="81" ht="15" customHeight="1">
      <c r="A81" t="inlineStr">
        <is>
          <t>A 42848-2023</t>
        </is>
      </c>
      <c r="B81" s="1" t="n">
        <v>45182</v>
      </c>
      <c r="C81" s="1" t="n">
        <v>45338</v>
      </c>
      <c r="D81" t="inlineStr">
        <is>
          <t>DALARNAS LÄN</t>
        </is>
      </c>
      <c r="E81" t="inlineStr">
        <is>
          <t>ÄLVDALEN</t>
        </is>
      </c>
      <c r="F81" t="inlineStr">
        <is>
          <t>Allmännings- och besparingsskogar</t>
        </is>
      </c>
      <c r="G81" t="n">
        <v>1.9</v>
      </c>
      <c r="H81" t="n">
        <v>0</v>
      </c>
      <c r="I81" t="n">
        <v>1</v>
      </c>
      <c r="J81" t="n">
        <v>1</v>
      </c>
      <c r="K81" t="n">
        <v>0</v>
      </c>
      <c r="L81" t="n">
        <v>0</v>
      </c>
      <c r="M81" t="n">
        <v>0</v>
      </c>
      <c r="N81" t="n">
        <v>0</v>
      </c>
      <c r="O81" t="n">
        <v>1</v>
      </c>
      <c r="P81" t="n">
        <v>0</v>
      </c>
      <c r="Q81" t="n">
        <v>2</v>
      </c>
      <c r="R81" s="2" t="inlineStr">
        <is>
          <t>Blå taggsvamp
Dropptaggsvamp</t>
        </is>
      </c>
      <c r="S81">
        <f>HYPERLINK("https://klasma.github.io/Logging_2039/artfynd/A 42848-2023 artfynd.xlsx", "A 42848-2023")</f>
        <v/>
      </c>
      <c r="T81">
        <f>HYPERLINK("https://klasma.github.io/Logging_2039/kartor/A 42848-2023 karta.png", "A 42848-2023")</f>
        <v/>
      </c>
      <c r="V81">
        <f>HYPERLINK("https://klasma.github.io/Logging_2039/klagomål/A 42848-2023 FSC-klagomål.docx", "A 42848-2023")</f>
        <v/>
      </c>
      <c r="W81">
        <f>HYPERLINK("https://klasma.github.io/Logging_2039/klagomålsmail/A 42848-2023 FSC-klagomål mail.docx", "A 42848-2023")</f>
        <v/>
      </c>
      <c r="X81">
        <f>HYPERLINK("https://klasma.github.io/Logging_2039/tillsyn/A 42848-2023 tillsynsbegäran.docx", "A 42848-2023")</f>
        <v/>
      </c>
      <c r="Y81">
        <f>HYPERLINK("https://klasma.github.io/Logging_2039/tillsynsmail/A 42848-2023 tillsynsbegäran mail.docx", "A 42848-2023")</f>
        <v/>
      </c>
    </row>
    <row r="82" ht="15" customHeight="1">
      <c r="A82" t="inlineStr">
        <is>
          <t>A 58237-2018</t>
        </is>
      </c>
      <c r="B82" s="1" t="n">
        <v>43406</v>
      </c>
      <c r="C82" s="1" t="n">
        <v>45338</v>
      </c>
      <c r="D82" t="inlineStr">
        <is>
          <t>DALARNAS LÄN</t>
        </is>
      </c>
      <c r="E82" t="inlineStr">
        <is>
          <t>ÄLVDALEN</t>
        </is>
      </c>
      <c r="F82" t="inlineStr">
        <is>
          <t>Övriga statliga verk och myndigheter</t>
        </is>
      </c>
      <c r="G82" t="n">
        <v>84</v>
      </c>
      <c r="H82" t="n">
        <v>0</v>
      </c>
      <c r="I82" t="n">
        <v>0</v>
      </c>
      <c r="J82" t="n">
        <v>1</v>
      </c>
      <c r="K82" t="n">
        <v>0</v>
      </c>
      <c r="L82" t="n">
        <v>0</v>
      </c>
      <c r="M82" t="n">
        <v>0</v>
      </c>
      <c r="N82" t="n">
        <v>0</v>
      </c>
      <c r="O82" t="n">
        <v>1</v>
      </c>
      <c r="P82" t="n">
        <v>0</v>
      </c>
      <c r="Q82" t="n">
        <v>1</v>
      </c>
      <c r="R82" s="2" t="inlineStr">
        <is>
          <t>Månlåsbräken</t>
        </is>
      </c>
      <c r="S82">
        <f>HYPERLINK("https://klasma.github.io/Logging_2039/artfynd/A 58237-2018 artfynd.xlsx", "A 58237-2018")</f>
        <v/>
      </c>
      <c r="T82">
        <f>HYPERLINK("https://klasma.github.io/Logging_2039/kartor/A 58237-2018 karta.png", "A 58237-2018")</f>
        <v/>
      </c>
      <c r="V82">
        <f>HYPERLINK("https://klasma.github.io/Logging_2039/klagomål/A 58237-2018 FSC-klagomål.docx", "A 58237-2018")</f>
        <v/>
      </c>
      <c r="W82">
        <f>HYPERLINK("https://klasma.github.io/Logging_2039/klagomålsmail/A 58237-2018 FSC-klagomål mail.docx", "A 58237-2018")</f>
        <v/>
      </c>
      <c r="X82">
        <f>HYPERLINK("https://klasma.github.io/Logging_2039/tillsyn/A 58237-2018 tillsynsbegäran.docx", "A 58237-2018")</f>
        <v/>
      </c>
      <c r="Y82">
        <f>HYPERLINK("https://klasma.github.io/Logging_2039/tillsynsmail/A 58237-2018 tillsynsbegäran mail.docx", "A 58237-2018")</f>
        <v/>
      </c>
    </row>
    <row r="83" ht="15" customHeight="1">
      <c r="A83" t="inlineStr">
        <is>
          <t>A 66125-2018</t>
        </is>
      </c>
      <c r="B83" s="1" t="n">
        <v>43434</v>
      </c>
      <c r="C83" s="1" t="n">
        <v>45338</v>
      </c>
      <c r="D83" t="inlineStr">
        <is>
          <t>DALARNAS LÄN</t>
        </is>
      </c>
      <c r="E83" t="inlineStr">
        <is>
          <t>ÄLVDALEN</t>
        </is>
      </c>
      <c r="F83" t="inlineStr">
        <is>
          <t>Sveaskog</t>
        </is>
      </c>
      <c r="G83" t="n">
        <v>2.2</v>
      </c>
      <c r="H83" t="n">
        <v>1</v>
      </c>
      <c r="I83" t="n">
        <v>0</v>
      </c>
      <c r="J83" t="n">
        <v>1</v>
      </c>
      <c r="K83" t="n">
        <v>0</v>
      </c>
      <c r="L83" t="n">
        <v>0</v>
      </c>
      <c r="M83" t="n">
        <v>0</v>
      </c>
      <c r="N83" t="n">
        <v>0</v>
      </c>
      <c r="O83" t="n">
        <v>1</v>
      </c>
      <c r="P83" t="n">
        <v>0</v>
      </c>
      <c r="Q83" t="n">
        <v>1</v>
      </c>
      <c r="R83" s="2" t="inlineStr">
        <is>
          <t>Utter</t>
        </is>
      </c>
      <c r="S83">
        <f>HYPERLINK("https://klasma.github.io/Logging_2039/artfynd/A 66125-2018 artfynd.xlsx", "A 66125-2018")</f>
        <v/>
      </c>
      <c r="T83">
        <f>HYPERLINK("https://klasma.github.io/Logging_2039/kartor/A 66125-2018 karta.png", "A 66125-2018")</f>
        <v/>
      </c>
      <c r="V83">
        <f>HYPERLINK("https://klasma.github.io/Logging_2039/klagomål/A 66125-2018 FSC-klagomål.docx", "A 66125-2018")</f>
        <v/>
      </c>
      <c r="W83">
        <f>HYPERLINK("https://klasma.github.io/Logging_2039/klagomålsmail/A 66125-2018 FSC-klagomål mail.docx", "A 66125-2018")</f>
        <v/>
      </c>
      <c r="X83">
        <f>HYPERLINK("https://klasma.github.io/Logging_2039/tillsyn/A 66125-2018 tillsynsbegäran.docx", "A 66125-2018")</f>
        <v/>
      </c>
      <c r="Y83">
        <f>HYPERLINK("https://klasma.github.io/Logging_2039/tillsynsmail/A 66125-2018 tillsynsbegäran mail.docx", "A 66125-2018")</f>
        <v/>
      </c>
    </row>
    <row r="84" ht="15" customHeight="1">
      <c r="A84" t="inlineStr">
        <is>
          <t>A 66537-2018</t>
        </is>
      </c>
      <c r="B84" s="1" t="n">
        <v>43437</v>
      </c>
      <c r="C84" s="1" t="n">
        <v>45338</v>
      </c>
      <c r="D84" t="inlineStr">
        <is>
          <t>DALARNAS LÄN</t>
        </is>
      </c>
      <c r="E84" t="inlineStr">
        <is>
          <t>ÄLVDALEN</t>
        </is>
      </c>
      <c r="F84" t="inlineStr">
        <is>
          <t>Allmännings- och besparingsskogar</t>
        </is>
      </c>
      <c r="G84" t="n">
        <v>57.4</v>
      </c>
      <c r="H84" t="n">
        <v>1</v>
      </c>
      <c r="I84" t="n">
        <v>0</v>
      </c>
      <c r="J84" t="n">
        <v>1</v>
      </c>
      <c r="K84" t="n">
        <v>0</v>
      </c>
      <c r="L84" t="n">
        <v>0</v>
      </c>
      <c r="M84" t="n">
        <v>0</v>
      </c>
      <c r="N84" t="n">
        <v>0</v>
      </c>
      <c r="O84" t="n">
        <v>1</v>
      </c>
      <c r="P84" t="n">
        <v>0</v>
      </c>
      <c r="Q84" t="n">
        <v>1</v>
      </c>
      <c r="R84" s="2" t="inlineStr">
        <is>
          <t>Nordfladdermus</t>
        </is>
      </c>
      <c r="S84">
        <f>HYPERLINK("https://klasma.github.io/Logging_2039/artfynd/A 66537-2018 artfynd.xlsx", "A 66537-2018")</f>
        <v/>
      </c>
      <c r="T84">
        <f>HYPERLINK("https://klasma.github.io/Logging_2039/kartor/A 66537-2018 karta.png", "A 66537-2018")</f>
        <v/>
      </c>
      <c r="V84">
        <f>HYPERLINK("https://klasma.github.io/Logging_2039/klagomål/A 66537-2018 FSC-klagomål.docx", "A 66537-2018")</f>
        <v/>
      </c>
      <c r="W84">
        <f>HYPERLINK("https://klasma.github.io/Logging_2039/klagomålsmail/A 66537-2018 FSC-klagomål mail.docx", "A 66537-2018")</f>
        <v/>
      </c>
      <c r="X84">
        <f>HYPERLINK("https://klasma.github.io/Logging_2039/tillsyn/A 66537-2018 tillsynsbegäran.docx", "A 66537-2018")</f>
        <v/>
      </c>
      <c r="Y84">
        <f>HYPERLINK("https://klasma.github.io/Logging_2039/tillsynsmail/A 66537-2018 tillsynsbegäran mail.docx", "A 66537-2018")</f>
        <v/>
      </c>
    </row>
    <row r="85" ht="15" customHeight="1">
      <c r="A85" t="inlineStr">
        <is>
          <t>A 16738-2019</t>
        </is>
      </c>
      <c r="B85" s="1" t="n">
        <v>43549</v>
      </c>
      <c r="C85" s="1" t="n">
        <v>45338</v>
      </c>
      <c r="D85" t="inlineStr">
        <is>
          <t>DALARNAS LÄN</t>
        </is>
      </c>
      <c r="E85" t="inlineStr">
        <is>
          <t>ÄLVDALEN</t>
        </is>
      </c>
      <c r="G85" t="n">
        <v>10.7</v>
      </c>
      <c r="H85" t="n">
        <v>0</v>
      </c>
      <c r="I85" t="n">
        <v>0</v>
      </c>
      <c r="J85" t="n">
        <v>0</v>
      </c>
      <c r="K85" t="n">
        <v>1</v>
      </c>
      <c r="L85" t="n">
        <v>0</v>
      </c>
      <c r="M85" t="n">
        <v>0</v>
      </c>
      <c r="N85" t="n">
        <v>0</v>
      </c>
      <c r="O85" t="n">
        <v>1</v>
      </c>
      <c r="P85" t="n">
        <v>1</v>
      </c>
      <c r="Q85" t="n">
        <v>1</v>
      </c>
      <c r="R85" s="2" t="inlineStr">
        <is>
          <t>Ringlav</t>
        </is>
      </c>
      <c r="S85">
        <f>HYPERLINK("https://klasma.github.io/Logging_2039/artfynd/A 16738-2019 artfynd.xlsx", "A 16738-2019")</f>
        <v/>
      </c>
      <c r="T85">
        <f>HYPERLINK("https://klasma.github.io/Logging_2039/kartor/A 16738-2019 karta.png", "A 16738-2019")</f>
        <v/>
      </c>
      <c r="V85">
        <f>HYPERLINK("https://klasma.github.io/Logging_2039/klagomål/A 16738-2019 FSC-klagomål.docx", "A 16738-2019")</f>
        <v/>
      </c>
      <c r="W85">
        <f>HYPERLINK("https://klasma.github.io/Logging_2039/klagomålsmail/A 16738-2019 FSC-klagomål mail.docx", "A 16738-2019")</f>
        <v/>
      </c>
      <c r="X85">
        <f>HYPERLINK("https://klasma.github.io/Logging_2039/tillsyn/A 16738-2019 tillsynsbegäran.docx", "A 16738-2019")</f>
        <v/>
      </c>
      <c r="Y85">
        <f>HYPERLINK("https://klasma.github.io/Logging_2039/tillsynsmail/A 16738-2019 tillsynsbegäran mail.docx", "A 16738-2019")</f>
        <v/>
      </c>
    </row>
    <row r="86" ht="15" customHeight="1">
      <c r="A86" t="inlineStr">
        <is>
          <t>A 22522-2019</t>
        </is>
      </c>
      <c r="B86" s="1" t="n">
        <v>43587</v>
      </c>
      <c r="C86" s="1" t="n">
        <v>45338</v>
      </c>
      <c r="D86" t="inlineStr">
        <is>
          <t>DALARNAS LÄN</t>
        </is>
      </c>
      <c r="E86" t="inlineStr">
        <is>
          <t>ÄLVDALEN</t>
        </is>
      </c>
      <c r="G86" t="n">
        <v>5.1</v>
      </c>
      <c r="H86" t="n">
        <v>1</v>
      </c>
      <c r="I86" t="n">
        <v>0</v>
      </c>
      <c r="J86" t="n">
        <v>1</v>
      </c>
      <c r="K86" t="n">
        <v>0</v>
      </c>
      <c r="L86" t="n">
        <v>0</v>
      </c>
      <c r="M86" t="n">
        <v>0</v>
      </c>
      <c r="N86" t="n">
        <v>0</v>
      </c>
      <c r="O86" t="n">
        <v>1</v>
      </c>
      <c r="P86" t="n">
        <v>0</v>
      </c>
      <c r="Q86" t="n">
        <v>1</v>
      </c>
      <c r="R86" s="2" t="inlineStr">
        <is>
          <t>Utter</t>
        </is>
      </c>
      <c r="S86">
        <f>HYPERLINK("https://klasma.github.io/Logging_2039/artfynd/A 22522-2019 artfynd.xlsx", "A 22522-2019")</f>
        <v/>
      </c>
      <c r="T86">
        <f>HYPERLINK("https://klasma.github.io/Logging_2039/kartor/A 22522-2019 karta.png", "A 22522-2019")</f>
        <v/>
      </c>
      <c r="V86">
        <f>HYPERLINK("https://klasma.github.io/Logging_2039/klagomål/A 22522-2019 FSC-klagomål.docx", "A 22522-2019")</f>
        <v/>
      </c>
      <c r="W86">
        <f>HYPERLINK("https://klasma.github.io/Logging_2039/klagomålsmail/A 22522-2019 FSC-klagomål mail.docx", "A 22522-2019")</f>
        <v/>
      </c>
      <c r="X86">
        <f>HYPERLINK("https://klasma.github.io/Logging_2039/tillsyn/A 22522-2019 tillsynsbegäran.docx", "A 22522-2019")</f>
        <v/>
      </c>
      <c r="Y86">
        <f>HYPERLINK("https://klasma.github.io/Logging_2039/tillsynsmail/A 22522-2019 tillsynsbegäran mail.docx", "A 22522-2019")</f>
        <v/>
      </c>
    </row>
    <row r="87" ht="15" customHeight="1">
      <c r="A87" t="inlineStr">
        <is>
          <t>A 18227-2020</t>
        </is>
      </c>
      <c r="B87" s="1" t="n">
        <v>43928</v>
      </c>
      <c r="C87" s="1" t="n">
        <v>45338</v>
      </c>
      <c r="D87" t="inlineStr">
        <is>
          <t>DALARNAS LÄN</t>
        </is>
      </c>
      <c r="E87" t="inlineStr">
        <is>
          <t>ÄLVDALEN</t>
        </is>
      </c>
      <c r="F87" t="inlineStr">
        <is>
          <t>Sveaskog</t>
        </is>
      </c>
      <c r="G87" t="n">
        <v>13.1</v>
      </c>
      <c r="H87" t="n">
        <v>1</v>
      </c>
      <c r="I87" t="n">
        <v>0</v>
      </c>
      <c r="J87" t="n">
        <v>1</v>
      </c>
      <c r="K87" t="n">
        <v>0</v>
      </c>
      <c r="L87" t="n">
        <v>0</v>
      </c>
      <c r="M87" t="n">
        <v>0</v>
      </c>
      <c r="N87" t="n">
        <v>0</v>
      </c>
      <c r="O87" t="n">
        <v>1</v>
      </c>
      <c r="P87" t="n">
        <v>0</v>
      </c>
      <c r="Q87" t="n">
        <v>1</v>
      </c>
      <c r="R87" s="2" t="inlineStr">
        <is>
          <t>Varglav</t>
        </is>
      </c>
      <c r="S87">
        <f>HYPERLINK("https://klasma.github.io/Logging_2039/artfynd/A 18227-2020 artfynd.xlsx", "A 18227-2020")</f>
        <v/>
      </c>
      <c r="T87">
        <f>HYPERLINK("https://klasma.github.io/Logging_2039/kartor/A 18227-2020 karta.png", "A 18227-2020")</f>
        <v/>
      </c>
      <c r="V87">
        <f>HYPERLINK("https://klasma.github.io/Logging_2039/klagomål/A 18227-2020 FSC-klagomål.docx", "A 18227-2020")</f>
        <v/>
      </c>
      <c r="W87">
        <f>HYPERLINK("https://klasma.github.io/Logging_2039/klagomålsmail/A 18227-2020 FSC-klagomål mail.docx", "A 18227-2020")</f>
        <v/>
      </c>
      <c r="X87">
        <f>HYPERLINK("https://klasma.github.io/Logging_2039/tillsyn/A 18227-2020 tillsynsbegäran.docx", "A 18227-2020")</f>
        <v/>
      </c>
      <c r="Y87">
        <f>HYPERLINK("https://klasma.github.io/Logging_2039/tillsynsmail/A 18227-2020 tillsynsbegäran mail.docx", "A 18227-2020")</f>
        <v/>
      </c>
    </row>
    <row r="88" ht="15" customHeight="1">
      <c r="A88" t="inlineStr">
        <is>
          <t>A 19669-2020</t>
        </is>
      </c>
      <c r="B88" s="1" t="n">
        <v>43937</v>
      </c>
      <c r="C88" s="1" t="n">
        <v>45338</v>
      </c>
      <c r="D88" t="inlineStr">
        <is>
          <t>DALARNAS LÄN</t>
        </is>
      </c>
      <c r="E88" t="inlineStr">
        <is>
          <t>ÄLVDALEN</t>
        </is>
      </c>
      <c r="F88" t="inlineStr">
        <is>
          <t>Sveaskog</t>
        </is>
      </c>
      <c r="G88" t="n">
        <v>12.9</v>
      </c>
      <c r="H88" t="n">
        <v>1</v>
      </c>
      <c r="I88" t="n">
        <v>0</v>
      </c>
      <c r="J88" t="n">
        <v>1</v>
      </c>
      <c r="K88" t="n">
        <v>0</v>
      </c>
      <c r="L88" t="n">
        <v>0</v>
      </c>
      <c r="M88" t="n">
        <v>0</v>
      </c>
      <c r="N88" t="n">
        <v>0</v>
      </c>
      <c r="O88" t="n">
        <v>1</v>
      </c>
      <c r="P88" t="n">
        <v>0</v>
      </c>
      <c r="Q88" t="n">
        <v>1</v>
      </c>
      <c r="R88" s="2" t="inlineStr">
        <is>
          <t>Varglav</t>
        </is>
      </c>
      <c r="S88">
        <f>HYPERLINK("https://klasma.github.io/Logging_2039/artfynd/A 19669-2020 artfynd.xlsx", "A 19669-2020")</f>
        <v/>
      </c>
      <c r="T88">
        <f>HYPERLINK("https://klasma.github.io/Logging_2039/kartor/A 19669-2020 karta.png", "A 19669-2020")</f>
        <v/>
      </c>
      <c r="V88">
        <f>HYPERLINK("https://klasma.github.io/Logging_2039/klagomål/A 19669-2020 FSC-klagomål.docx", "A 19669-2020")</f>
        <v/>
      </c>
      <c r="W88">
        <f>HYPERLINK("https://klasma.github.io/Logging_2039/klagomålsmail/A 19669-2020 FSC-klagomål mail.docx", "A 19669-2020")</f>
        <v/>
      </c>
      <c r="X88">
        <f>HYPERLINK("https://klasma.github.io/Logging_2039/tillsyn/A 19669-2020 tillsynsbegäran.docx", "A 19669-2020")</f>
        <v/>
      </c>
      <c r="Y88">
        <f>HYPERLINK("https://klasma.github.io/Logging_2039/tillsynsmail/A 19669-2020 tillsynsbegäran mail.docx", "A 19669-2020")</f>
        <v/>
      </c>
    </row>
    <row r="89" ht="15" customHeight="1">
      <c r="A89" t="inlineStr">
        <is>
          <t>A 34201-2020</t>
        </is>
      </c>
      <c r="B89" s="1" t="n">
        <v>44029</v>
      </c>
      <c r="C89" s="1" t="n">
        <v>45338</v>
      </c>
      <c r="D89" t="inlineStr">
        <is>
          <t>DALARNAS LÄN</t>
        </is>
      </c>
      <c r="E89" t="inlineStr">
        <is>
          <t>ÄLVDALEN</t>
        </is>
      </c>
      <c r="F89" t="inlineStr">
        <is>
          <t>Sveaskog</t>
        </is>
      </c>
      <c r="G89" t="n">
        <v>6.9</v>
      </c>
      <c r="H89" t="n">
        <v>1</v>
      </c>
      <c r="I89" t="n">
        <v>0</v>
      </c>
      <c r="J89" t="n">
        <v>1</v>
      </c>
      <c r="K89" t="n">
        <v>0</v>
      </c>
      <c r="L89" t="n">
        <v>0</v>
      </c>
      <c r="M89" t="n">
        <v>0</v>
      </c>
      <c r="N89" t="n">
        <v>0</v>
      </c>
      <c r="O89" t="n">
        <v>1</v>
      </c>
      <c r="P89" t="n">
        <v>0</v>
      </c>
      <c r="Q89" t="n">
        <v>1</v>
      </c>
      <c r="R89" s="2" t="inlineStr">
        <is>
          <t>Varglav</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38505-2020</t>
        </is>
      </c>
      <c r="B90" s="1" t="n">
        <v>44061</v>
      </c>
      <c r="C90" s="1" t="n">
        <v>45338</v>
      </c>
      <c r="D90" t="inlineStr">
        <is>
          <t>DALARNAS LÄN</t>
        </is>
      </c>
      <c r="E90" t="inlineStr">
        <is>
          <t>ÄLVDALEN</t>
        </is>
      </c>
      <c r="F90" t="inlineStr">
        <is>
          <t>Sveaskog</t>
        </is>
      </c>
      <c r="G90" t="n">
        <v>1.7</v>
      </c>
      <c r="H90" t="n">
        <v>1</v>
      </c>
      <c r="I90" t="n">
        <v>0</v>
      </c>
      <c r="J90" t="n">
        <v>1</v>
      </c>
      <c r="K90" t="n">
        <v>0</v>
      </c>
      <c r="L90" t="n">
        <v>0</v>
      </c>
      <c r="M90" t="n">
        <v>0</v>
      </c>
      <c r="N90" t="n">
        <v>0</v>
      </c>
      <c r="O90" t="n">
        <v>1</v>
      </c>
      <c r="P90" t="n">
        <v>0</v>
      </c>
      <c r="Q90" t="n">
        <v>1</v>
      </c>
      <c r="R90" s="2" t="inlineStr">
        <is>
          <t>Varglav</t>
        </is>
      </c>
      <c r="S90">
        <f>HYPERLINK("https://klasma.github.io/Logging_2039/artfynd/A 38505-2020 artfynd.xlsx", "A 38505-2020")</f>
        <v/>
      </c>
      <c r="T90">
        <f>HYPERLINK("https://klasma.github.io/Logging_2039/kartor/A 38505-2020 karta.png", "A 38505-2020")</f>
        <v/>
      </c>
      <c r="V90">
        <f>HYPERLINK("https://klasma.github.io/Logging_2039/klagomål/A 38505-2020 FSC-klagomål.docx", "A 38505-2020")</f>
        <v/>
      </c>
      <c r="W90">
        <f>HYPERLINK("https://klasma.github.io/Logging_2039/klagomålsmail/A 38505-2020 FSC-klagomål mail.docx", "A 38505-2020")</f>
        <v/>
      </c>
      <c r="X90">
        <f>HYPERLINK("https://klasma.github.io/Logging_2039/tillsyn/A 38505-2020 tillsynsbegäran.docx", "A 38505-2020")</f>
        <v/>
      </c>
      <c r="Y90">
        <f>HYPERLINK("https://klasma.github.io/Logging_2039/tillsynsmail/A 38505-2020 tillsynsbegäran mail.docx", "A 38505-2020")</f>
        <v/>
      </c>
    </row>
    <row r="91" ht="15" customHeight="1">
      <c r="A91" t="inlineStr">
        <is>
          <t>A 46279-2020</t>
        </is>
      </c>
      <c r="B91" s="1" t="n">
        <v>44092</v>
      </c>
      <c r="C91" s="1" t="n">
        <v>45338</v>
      </c>
      <c r="D91" t="inlineStr">
        <is>
          <t>DALARNAS LÄN</t>
        </is>
      </c>
      <c r="E91" t="inlineStr">
        <is>
          <t>ÄLVDALEN</t>
        </is>
      </c>
      <c r="F91" t="inlineStr">
        <is>
          <t>Sveaskog</t>
        </is>
      </c>
      <c r="G91" t="n">
        <v>0.5</v>
      </c>
      <c r="H91" t="n">
        <v>0</v>
      </c>
      <c r="I91" t="n">
        <v>0</v>
      </c>
      <c r="J91" t="n">
        <v>1</v>
      </c>
      <c r="K91" t="n">
        <v>0</v>
      </c>
      <c r="L91" t="n">
        <v>0</v>
      </c>
      <c r="M91" t="n">
        <v>0</v>
      </c>
      <c r="N91" t="n">
        <v>0</v>
      </c>
      <c r="O91" t="n">
        <v>1</v>
      </c>
      <c r="P91" t="n">
        <v>0</v>
      </c>
      <c r="Q91" t="n">
        <v>1</v>
      </c>
      <c r="R91" s="2" t="inlineStr">
        <is>
          <t>Nordtagging</t>
        </is>
      </c>
      <c r="S91">
        <f>HYPERLINK("https://klasma.github.io/Logging_2039/artfynd/A 46279-2020 artfynd.xlsx", "A 46279-2020")</f>
        <v/>
      </c>
      <c r="T91">
        <f>HYPERLINK("https://klasma.github.io/Logging_2039/kartor/A 46279-2020 karta.png", "A 46279-2020")</f>
        <v/>
      </c>
      <c r="V91">
        <f>HYPERLINK("https://klasma.github.io/Logging_2039/klagomål/A 46279-2020 FSC-klagomål.docx", "A 46279-2020")</f>
        <v/>
      </c>
      <c r="W91">
        <f>HYPERLINK("https://klasma.github.io/Logging_2039/klagomålsmail/A 46279-2020 FSC-klagomål mail.docx", "A 46279-2020")</f>
        <v/>
      </c>
      <c r="X91">
        <f>HYPERLINK("https://klasma.github.io/Logging_2039/tillsyn/A 46279-2020 tillsynsbegäran.docx", "A 46279-2020")</f>
        <v/>
      </c>
      <c r="Y91">
        <f>HYPERLINK("https://klasma.github.io/Logging_2039/tillsynsmail/A 46279-2020 tillsynsbegäran mail.docx", "A 46279-2020")</f>
        <v/>
      </c>
    </row>
    <row r="92" ht="15" customHeight="1">
      <c r="A92" t="inlineStr">
        <is>
          <t>A 58570-2020</t>
        </is>
      </c>
      <c r="B92" s="1" t="n">
        <v>44145</v>
      </c>
      <c r="C92" s="1" t="n">
        <v>45338</v>
      </c>
      <c r="D92" t="inlineStr">
        <is>
          <t>DALARNAS LÄN</t>
        </is>
      </c>
      <c r="E92" t="inlineStr">
        <is>
          <t>ÄLVDALEN</t>
        </is>
      </c>
      <c r="F92" t="inlineStr">
        <is>
          <t>Sveaskog</t>
        </is>
      </c>
      <c r="G92" t="n">
        <v>15.3</v>
      </c>
      <c r="H92" t="n">
        <v>0</v>
      </c>
      <c r="I92" t="n">
        <v>1</v>
      </c>
      <c r="J92" t="n">
        <v>0</v>
      </c>
      <c r="K92" t="n">
        <v>0</v>
      </c>
      <c r="L92" t="n">
        <v>0</v>
      </c>
      <c r="M92" t="n">
        <v>0</v>
      </c>
      <c r="N92" t="n">
        <v>0</v>
      </c>
      <c r="O92" t="n">
        <v>0</v>
      </c>
      <c r="P92" t="n">
        <v>0</v>
      </c>
      <c r="Q92" t="n">
        <v>1</v>
      </c>
      <c r="R92" s="2" t="inlineStr">
        <is>
          <t>Dropptaggsvamp</t>
        </is>
      </c>
      <c r="S92">
        <f>HYPERLINK("https://klasma.github.io/Logging_2039/artfynd/A 58570-2020 artfynd.xlsx", "A 58570-2020")</f>
        <v/>
      </c>
      <c r="T92">
        <f>HYPERLINK("https://klasma.github.io/Logging_2039/kartor/A 58570-2020 karta.png", "A 58570-2020")</f>
        <v/>
      </c>
      <c r="V92">
        <f>HYPERLINK("https://klasma.github.io/Logging_2039/klagomål/A 58570-2020 FSC-klagomål.docx", "A 58570-2020")</f>
        <v/>
      </c>
      <c r="W92">
        <f>HYPERLINK("https://klasma.github.io/Logging_2039/klagomålsmail/A 58570-2020 FSC-klagomål mail.docx", "A 58570-2020")</f>
        <v/>
      </c>
      <c r="X92">
        <f>HYPERLINK("https://klasma.github.io/Logging_2039/tillsyn/A 58570-2020 tillsynsbegäran.docx", "A 58570-2020")</f>
        <v/>
      </c>
      <c r="Y92">
        <f>HYPERLINK("https://klasma.github.io/Logging_2039/tillsynsmail/A 58570-2020 tillsynsbegäran mail.docx", "A 58570-2020")</f>
        <v/>
      </c>
    </row>
    <row r="93" ht="15" customHeight="1">
      <c r="A93" t="inlineStr">
        <is>
          <t>A 11061-2021</t>
        </is>
      </c>
      <c r="B93" s="1" t="n">
        <v>44260</v>
      </c>
      <c r="C93" s="1" t="n">
        <v>45338</v>
      </c>
      <c r="D93" t="inlineStr">
        <is>
          <t>DALARNAS LÄN</t>
        </is>
      </c>
      <c r="E93" t="inlineStr">
        <is>
          <t>ÄLVDALEN</t>
        </is>
      </c>
      <c r="F93" t="inlineStr">
        <is>
          <t>Övriga statliga verk och myndigheter</t>
        </is>
      </c>
      <c r="G93" t="n">
        <v>43.7</v>
      </c>
      <c r="H93" t="n">
        <v>1</v>
      </c>
      <c r="I93" t="n">
        <v>0</v>
      </c>
      <c r="J93" t="n">
        <v>0</v>
      </c>
      <c r="K93" t="n">
        <v>0</v>
      </c>
      <c r="L93" t="n">
        <v>0</v>
      </c>
      <c r="M93" t="n">
        <v>0</v>
      </c>
      <c r="N93" t="n">
        <v>0</v>
      </c>
      <c r="O93" t="n">
        <v>0</v>
      </c>
      <c r="P93" t="n">
        <v>0</v>
      </c>
      <c r="Q93" t="n">
        <v>1</v>
      </c>
      <c r="R93" s="2" t="inlineStr">
        <is>
          <t>Större vattensalamander</t>
        </is>
      </c>
      <c r="S93">
        <f>HYPERLINK("https://klasma.github.io/Logging_2039/artfynd/A 11061-2021 artfynd.xlsx", "A 11061-2021")</f>
        <v/>
      </c>
      <c r="T93">
        <f>HYPERLINK("https://klasma.github.io/Logging_2039/kartor/A 11061-2021 karta.png", "A 11061-2021")</f>
        <v/>
      </c>
      <c r="V93">
        <f>HYPERLINK("https://klasma.github.io/Logging_2039/klagomål/A 11061-2021 FSC-klagomål.docx", "A 11061-2021")</f>
        <v/>
      </c>
      <c r="W93">
        <f>HYPERLINK("https://klasma.github.io/Logging_2039/klagomålsmail/A 11061-2021 FSC-klagomål mail.docx", "A 11061-2021")</f>
        <v/>
      </c>
      <c r="X93">
        <f>HYPERLINK("https://klasma.github.io/Logging_2039/tillsyn/A 11061-2021 tillsynsbegäran.docx", "A 11061-2021")</f>
        <v/>
      </c>
      <c r="Y93">
        <f>HYPERLINK("https://klasma.github.io/Logging_2039/tillsynsmail/A 11061-2021 tillsynsbegäran mail.docx", "A 11061-2021")</f>
        <v/>
      </c>
    </row>
    <row r="94" ht="15" customHeight="1">
      <c r="A94" t="inlineStr">
        <is>
          <t>A 16638-2021</t>
        </is>
      </c>
      <c r="B94" s="1" t="n">
        <v>44284</v>
      </c>
      <c r="C94" s="1" t="n">
        <v>45338</v>
      </c>
      <c r="D94" t="inlineStr">
        <is>
          <t>DALARNAS LÄN</t>
        </is>
      </c>
      <c r="E94" t="inlineStr">
        <is>
          <t>ÄLVDALEN</t>
        </is>
      </c>
      <c r="G94" t="n">
        <v>11.5</v>
      </c>
      <c r="H94" t="n">
        <v>0</v>
      </c>
      <c r="I94" t="n">
        <v>0</v>
      </c>
      <c r="J94" t="n">
        <v>0</v>
      </c>
      <c r="K94" t="n">
        <v>1</v>
      </c>
      <c r="L94" t="n">
        <v>0</v>
      </c>
      <c r="M94" t="n">
        <v>0</v>
      </c>
      <c r="N94" t="n">
        <v>0</v>
      </c>
      <c r="O94" t="n">
        <v>1</v>
      </c>
      <c r="P94" t="n">
        <v>1</v>
      </c>
      <c r="Q94" t="n">
        <v>1</v>
      </c>
      <c r="R94" s="2" t="inlineStr">
        <is>
          <t>Sprickporing</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22407-2021</t>
        </is>
      </c>
      <c r="B95" s="1" t="n">
        <v>44326</v>
      </c>
      <c r="C95" s="1" t="n">
        <v>45338</v>
      </c>
      <c r="D95" t="inlineStr">
        <is>
          <t>DALARNAS LÄN</t>
        </is>
      </c>
      <c r="E95" t="inlineStr">
        <is>
          <t>ÄLVDALEN</t>
        </is>
      </c>
      <c r="F95" t="inlineStr">
        <is>
          <t>Sveaskog</t>
        </is>
      </c>
      <c r="G95" t="n">
        <v>4.2</v>
      </c>
      <c r="H95" t="n">
        <v>0</v>
      </c>
      <c r="I95" t="n">
        <v>1</v>
      </c>
      <c r="J95" t="n">
        <v>0</v>
      </c>
      <c r="K95" t="n">
        <v>0</v>
      </c>
      <c r="L95" t="n">
        <v>0</v>
      </c>
      <c r="M95" t="n">
        <v>0</v>
      </c>
      <c r="N95" t="n">
        <v>0</v>
      </c>
      <c r="O95" t="n">
        <v>0</v>
      </c>
      <c r="P95" t="n">
        <v>0</v>
      </c>
      <c r="Q95" t="n">
        <v>1</v>
      </c>
      <c r="R95" s="2" t="inlineStr">
        <is>
          <t>Dropptaggsvamp</t>
        </is>
      </c>
      <c r="S95">
        <f>HYPERLINK("https://klasma.github.io/Logging_2039/artfynd/A 22407-2021 artfynd.xlsx", "A 22407-2021")</f>
        <v/>
      </c>
      <c r="T95">
        <f>HYPERLINK("https://klasma.github.io/Logging_2039/kartor/A 22407-2021 karta.png", "A 22407-2021")</f>
        <v/>
      </c>
      <c r="V95">
        <f>HYPERLINK("https://klasma.github.io/Logging_2039/klagomål/A 22407-2021 FSC-klagomål.docx", "A 22407-2021")</f>
        <v/>
      </c>
      <c r="W95">
        <f>HYPERLINK("https://klasma.github.io/Logging_2039/klagomålsmail/A 22407-2021 FSC-klagomål mail.docx", "A 22407-2021")</f>
        <v/>
      </c>
      <c r="X95">
        <f>HYPERLINK("https://klasma.github.io/Logging_2039/tillsyn/A 22407-2021 tillsynsbegäran.docx", "A 22407-2021")</f>
        <v/>
      </c>
      <c r="Y95">
        <f>HYPERLINK("https://klasma.github.io/Logging_2039/tillsynsmail/A 22407-2021 tillsynsbegäran mail.docx", "A 22407-2021")</f>
        <v/>
      </c>
    </row>
    <row r="96" ht="15" customHeight="1">
      <c r="A96" t="inlineStr">
        <is>
          <t>A 22759-2021</t>
        </is>
      </c>
      <c r="B96" s="1" t="n">
        <v>44327</v>
      </c>
      <c r="C96" s="1" t="n">
        <v>45338</v>
      </c>
      <c r="D96" t="inlineStr">
        <is>
          <t>DALARNAS LÄN</t>
        </is>
      </c>
      <c r="E96" t="inlineStr">
        <is>
          <t>ÄLVDALEN</t>
        </is>
      </c>
      <c r="F96" t="inlineStr">
        <is>
          <t>Sveaskog</t>
        </is>
      </c>
      <c r="G96" t="n">
        <v>1.8</v>
      </c>
      <c r="H96" t="n">
        <v>0</v>
      </c>
      <c r="I96" t="n">
        <v>1</v>
      </c>
      <c r="J96" t="n">
        <v>0</v>
      </c>
      <c r="K96" t="n">
        <v>0</v>
      </c>
      <c r="L96" t="n">
        <v>0</v>
      </c>
      <c r="M96" t="n">
        <v>0</v>
      </c>
      <c r="N96" t="n">
        <v>0</v>
      </c>
      <c r="O96" t="n">
        <v>0</v>
      </c>
      <c r="P96" t="n">
        <v>0</v>
      </c>
      <c r="Q96" t="n">
        <v>1</v>
      </c>
      <c r="R96" s="2" t="inlineStr">
        <is>
          <t>Dropptaggsvamp</t>
        </is>
      </c>
      <c r="S96">
        <f>HYPERLINK("https://klasma.github.io/Logging_2039/artfynd/A 22759-2021 artfynd.xlsx", "A 22759-2021")</f>
        <v/>
      </c>
      <c r="T96">
        <f>HYPERLINK("https://klasma.github.io/Logging_2039/kartor/A 22759-2021 karta.png", "A 22759-2021")</f>
        <v/>
      </c>
      <c r="V96">
        <f>HYPERLINK("https://klasma.github.io/Logging_2039/klagomål/A 22759-2021 FSC-klagomål.docx", "A 22759-2021")</f>
        <v/>
      </c>
      <c r="W96">
        <f>HYPERLINK("https://klasma.github.io/Logging_2039/klagomålsmail/A 22759-2021 FSC-klagomål mail.docx", "A 22759-2021")</f>
        <v/>
      </c>
      <c r="X96">
        <f>HYPERLINK("https://klasma.github.io/Logging_2039/tillsyn/A 22759-2021 tillsynsbegäran.docx", "A 22759-2021")</f>
        <v/>
      </c>
      <c r="Y96">
        <f>HYPERLINK("https://klasma.github.io/Logging_2039/tillsynsmail/A 22759-2021 tillsynsbegäran mail.docx", "A 22759-2021")</f>
        <v/>
      </c>
    </row>
    <row r="97" ht="15" customHeight="1">
      <c r="A97" t="inlineStr">
        <is>
          <t>A 24847-2021</t>
        </is>
      </c>
      <c r="B97" s="1" t="n">
        <v>44340</v>
      </c>
      <c r="C97" s="1" t="n">
        <v>45338</v>
      </c>
      <c r="D97" t="inlineStr">
        <is>
          <t>DALARNAS LÄN</t>
        </is>
      </c>
      <c r="E97" t="inlineStr">
        <is>
          <t>ÄLVDALEN</t>
        </is>
      </c>
      <c r="F97" t="inlineStr">
        <is>
          <t>Sveaskog</t>
        </is>
      </c>
      <c r="G97" t="n">
        <v>7.1</v>
      </c>
      <c r="H97" t="n">
        <v>1</v>
      </c>
      <c r="I97" t="n">
        <v>0</v>
      </c>
      <c r="J97" t="n">
        <v>1</v>
      </c>
      <c r="K97" t="n">
        <v>0</v>
      </c>
      <c r="L97" t="n">
        <v>0</v>
      </c>
      <c r="M97" t="n">
        <v>0</v>
      </c>
      <c r="N97" t="n">
        <v>0</v>
      </c>
      <c r="O97" t="n">
        <v>1</v>
      </c>
      <c r="P97" t="n">
        <v>0</v>
      </c>
      <c r="Q97" t="n">
        <v>1</v>
      </c>
      <c r="R97" s="2" t="inlineStr">
        <is>
          <t>Varglav</t>
        </is>
      </c>
      <c r="S97">
        <f>HYPERLINK("https://klasma.github.io/Logging_2039/artfynd/A 24847-2021 artfynd.xlsx", "A 24847-2021")</f>
        <v/>
      </c>
      <c r="T97">
        <f>HYPERLINK("https://klasma.github.io/Logging_2039/kartor/A 24847-2021 karta.png", "A 24847-2021")</f>
        <v/>
      </c>
      <c r="V97">
        <f>HYPERLINK("https://klasma.github.io/Logging_2039/klagomål/A 24847-2021 FSC-klagomål.docx", "A 24847-2021")</f>
        <v/>
      </c>
      <c r="W97">
        <f>HYPERLINK("https://klasma.github.io/Logging_2039/klagomålsmail/A 24847-2021 FSC-klagomål mail.docx", "A 24847-2021")</f>
        <v/>
      </c>
      <c r="X97">
        <f>HYPERLINK("https://klasma.github.io/Logging_2039/tillsyn/A 24847-2021 tillsynsbegäran.docx", "A 24847-2021")</f>
        <v/>
      </c>
      <c r="Y97">
        <f>HYPERLINK("https://klasma.github.io/Logging_2039/tillsynsmail/A 24847-2021 tillsynsbegäran mail.docx", "A 24847-2021")</f>
        <v/>
      </c>
    </row>
    <row r="98" ht="15" customHeight="1">
      <c r="A98" t="inlineStr">
        <is>
          <t>A 26736-2021</t>
        </is>
      </c>
      <c r="B98" s="1" t="n">
        <v>44349</v>
      </c>
      <c r="C98" s="1" t="n">
        <v>45338</v>
      </c>
      <c r="D98" t="inlineStr">
        <is>
          <t>DALARNAS LÄN</t>
        </is>
      </c>
      <c r="E98" t="inlineStr">
        <is>
          <t>ÄLVDALEN</t>
        </is>
      </c>
      <c r="F98" t="inlineStr">
        <is>
          <t>Sveaskog</t>
        </is>
      </c>
      <c r="G98" t="n">
        <v>5.5</v>
      </c>
      <c r="H98" t="n">
        <v>0</v>
      </c>
      <c r="I98" t="n">
        <v>1</v>
      </c>
      <c r="J98" t="n">
        <v>0</v>
      </c>
      <c r="K98" t="n">
        <v>0</v>
      </c>
      <c r="L98" t="n">
        <v>0</v>
      </c>
      <c r="M98" t="n">
        <v>0</v>
      </c>
      <c r="N98" t="n">
        <v>0</v>
      </c>
      <c r="O98" t="n">
        <v>0</v>
      </c>
      <c r="P98" t="n">
        <v>0</v>
      </c>
      <c r="Q98" t="n">
        <v>1</v>
      </c>
      <c r="R98" s="2" t="inlineStr">
        <is>
          <t>Dropptaggsvamp</t>
        </is>
      </c>
      <c r="S98">
        <f>HYPERLINK("https://klasma.github.io/Logging_2039/artfynd/A 26736-2021 artfynd.xlsx", "A 26736-2021")</f>
        <v/>
      </c>
      <c r="T98">
        <f>HYPERLINK("https://klasma.github.io/Logging_2039/kartor/A 26736-2021 karta.png", "A 26736-2021")</f>
        <v/>
      </c>
      <c r="V98">
        <f>HYPERLINK("https://klasma.github.io/Logging_2039/klagomål/A 26736-2021 FSC-klagomål.docx", "A 26736-2021")</f>
        <v/>
      </c>
      <c r="W98">
        <f>HYPERLINK("https://klasma.github.io/Logging_2039/klagomålsmail/A 26736-2021 FSC-klagomål mail.docx", "A 26736-2021")</f>
        <v/>
      </c>
      <c r="X98">
        <f>HYPERLINK("https://klasma.github.io/Logging_2039/tillsyn/A 26736-2021 tillsynsbegäran.docx", "A 26736-2021")</f>
        <v/>
      </c>
      <c r="Y98">
        <f>HYPERLINK("https://klasma.github.io/Logging_2039/tillsynsmail/A 26736-2021 tillsynsbegäran mail.docx", "A 26736-2021")</f>
        <v/>
      </c>
    </row>
    <row r="99" ht="15" customHeight="1">
      <c r="A99" t="inlineStr">
        <is>
          <t>A 30971-2021</t>
        </is>
      </c>
      <c r="B99" s="1" t="n">
        <v>44365</v>
      </c>
      <c r="C99" s="1" t="n">
        <v>45338</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31761-2021</t>
        </is>
      </c>
      <c r="B100" s="1" t="n">
        <v>44370</v>
      </c>
      <c r="C100" s="1" t="n">
        <v>45338</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34099-2021</t>
        </is>
      </c>
      <c r="B101" s="1" t="n">
        <v>44379</v>
      </c>
      <c r="C101" s="1" t="n">
        <v>45338</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40231-2021</t>
        </is>
      </c>
      <c r="B102" s="1" t="n">
        <v>44419</v>
      </c>
      <c r="C102" s="1" t="n">
        <v>45338</v>
      </c>
      <c r="D102" t="inlineStr">
        <is>
          <t>DALARNAS LÄN</t>
        </is>
      </c>
      <c r="E102" t="inlineStr">
        <is>
          <t>ÄLVDALEN</t>
        </is>
      </c>
      <c r="F102" t="inlineStr">
        <is>
          <t>Sveaskog</t>
        </is>
      </c>
      <c r="G102" t="n">
        <v>4.1</v>
      </c>
      <c r="H102" t="n">
        <v>0</v>
      </c>
      <c r="I102" t="n">
        <v>0</v>
      </c>
      <c r="J102" t="n">
        <v>1</v>
      </c>
      <c r="K102" t="n">
        <v>0</v>
      </c>
      <c r="L102" t="n">
        <v>0</v>
      </c>
      <c r="M102" t="n">
        <v>0</v>
      </c>
      <c r="N102" t="n">
        <v>0</v>
      </c>
      <c r="O102" t="n">
        <v>1</v>
      </c>
      <c r="P102" t="n">
        <v>0</v>
      </c>
      <c r="Q102" t="n">
        <v>1</v>
      </c>
      <c r="R102" s="2" t="inlineStr">
        <is>
          <t>Garnlav</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58508-2021</t>
        </is>
      </c>
      <c r="B103" s="1" t="n">
        <v>44488</v>
      </c>
      <c r="C103" s="1" t="n">
        <v>45338</v>
      </c>
      <c r="D103" t="inlineStr">
        <is>
          <t>DALARNAS LÄN</t>
        </is>
      </c>
      <c r="E103" t="inlineStr">
        <is>
          <t>ÄLVDALEN</t>
        </is>
      </c>
      <c r="F103" t="inlineStr">
        <is>
          <t>Sveaskog</t>
        </is>
      </c>
      <c r="G103" t="n">
        <v>13.3</v>
      </c>
      <c r="H103" t="n">
        <v>1</v>
      </c>
      <c r="I103" t="n">
        <v>0</v>
      </c>
      <c r="J103" t="n">
        <v>1</v>
      </c>
      <c r="K103" t="n">
        <v>0</v>
      </c>
      <c r="L103" t="n">
        <v>0</v>
      </c>
      <c r="M103" t="n">
        <v>0</v>
      </c>
      <c r="N103" t="n">
        <v>0</v>
      </c>
      <c r="O103" t="n">
        <v>1</v>
      </c>
      <c r="P103" t="n">
        <v>0</v>
      </c>
      <c r="Q103" t="n">
        <v>1</v>
      </c>
      <c r="R103" s="2" t="inlineStr">
        <is>
          <t>Varglav</t>
        </is>
      </c>
      <c r="S103">
        <f>HYPERLINK("https://klasma.github.io/Logging_2039/artfynd/A 58508-2021 artfynd.xlsx", "A 58508-2021")</f>
        <v/>
      </c>
      <c r="T103">
        <f>HYPERLINK("https://klasma.github.io/Logging_2039/kartor/A 58508-2021 karta.png", "A 58508-2021")</f>
        <v/>
      </c>
      <c r="V103">
        <f>HYPERLINK("https://klasma.github.io/Logging_2039/klagomål/A 58508-2021 FSC-klagomål.docx", "A 58508-2021")</f>
        <v/>
      </c>
      <c r="W103">
        <f>HYPERLINK("https://klasma.github.io/Logging_2039/klagomålsmail/A 58508-2021 FSC-klagomål mail.docx", "A 58508-2021")</f>
        <v/>
      </c>
      <c r="X103">
        <f>HYPERLINK("https://klasma.github.io/Logging_2039/tillsyn/A 58508-2021 tillsynsbegäran.docx", "A 58508-2021")</f>
        <v/>
      </c>
      <c r="Y103">
        <f>HYPERLINK("https://klasma.github.io/Logging_2039/tillsynsmail/A 58508-2021 tillsynsbegäran mail.docx", "A 58508-2021")</f>
        <v/>
      </c>
    </row>
    <row r="104" ht="15" customHeight="1">
      <c r="A104" t="inlineStr">
        <is>
          <t>A 60419-2021</t>
        </is>
      </c>
      <c r="B104" s="1" t="n">
        <v>44496</v>
      </c>
      <c r="C104" s="1" t="n">
        <v>45338</v>
      </c>
      <c r="D104" t="inlineStr">
        <is>
          <t>DALARNAS LÄN</t>
        </is>
      </c>
      <c r="E104" t="inlineStr">
        <is>
          <t>ÄLVDALEN</t>
        </is>
      </c>
      <c r="F104" t="inlineStr">
        <is>
          <t>Sveaskog</t>
        </is>
      </c>
      <c r="G104" t="n">
        <v>9.1</v>
      </c>
      <c r="H104" t="n">
        <v>0</v>
      </c>
      <c r="I104" t="n">
        <v>1</v>
      </c>
      <c r="J104" t="n">
        <v>0</v>
      </c>
      <c r="K104" t="n">
        <v>0</v>
      </c>
      <c r="L104" t="n">
        <v>0</v>
      </c>
      <c r="M104" t="n">
        <v>0</v>
      </c>
      <c r="N104" t="n">
        <v>0</v>
      </c>
      <c r="O104" t="n">
        <v>0</v>
      </c>
      <c r="P104" t="n">
        <v>0</v>
      </c>
      <c r="Q104" t="n">
        <v>1</v>
      </c>
      <c r="R104" s="2" t="inlineStr">
        <is>
          <t>Dropptaggsvamp</t>
        </is>
      </c>
      <c r="S104">
        <f>HYPERLINK("https://klasma.github.io/Logging_2039/artfynd/A 60419-2021 artfynd.xlsx", "A 60419-2021")</f>
        <v/>
      </c>
      <c r="T104">
        <f>HYPERLINK("https://klasma.github.io/Logging_2039/kartor/A 60419-2021 karta.png", "A 60419-2021")</f>
        <v/>
      </c>
      <c r="V104">
        <f>HYPERLINK("https://klasma.github.io/Logging_2039/klagomål/A 60419-2021 FSC-klagomål.docx", "A 60419-2021")</f>
        <v/>
      </c>
      <c r="W104">
        <f>HYPERLINK("https://klasma.github.io/Logging_2039/klagomålsmail/A 60419-2021 FSC-klagomål mail.docx", "A 60419-2021")</f>
        <v/>
      </c>
      <c r="X104">
        <f>HYPERLINK("https://klasma.github.io/Logging_2039/tillsyn/A 60419-2021 tillsynsbegäran.docx", "A 60419-2021")</f>
        <v/>
      </c>
      <c r="Y104">
        <f>HYPERLINK("https://klasma.github.io/Logging_2039/tillsynsmail/A 60419-2021 tillsynsbegäran mail.docx", "A 60419-2021")</f>
        <v/>
      </c>
    </row>
    <row r="105" ht="15" customHeight="1">
      <c r="A105" t="inlineStr">
        <is>
          <t>A 65500-2021</t>
        </is>
      </c>
      <c r="B105" s="1" t="n">
        <v>44516</v>
      </c>
      <c r="C105" s="1" t="n">
        <v>45338</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69726-2021</t>
        </is>
      </c>
      <c r="B106" s="1" t="n">
        <v>44532</v>
      </c>
      <c r="C106" s="1" t="n">
        <v>45338</v>
      </c>
      <c r="D106" t="inlineStr">
        <is>
          <t>DALARNAS LÄN</t>
        </is>
      </c>
      <c r="E106" t="inlineStr">
        <is>
          <t>ÄLVDALEN</t>
        </is>
      </c>
      <c r="F106" t="inlineStr">
        <is>
          <t>Sveaskog</t>
        </is>
      </c>
      <c r="G106" t="n">
        <v>7.2</v>
      </c>
      <c r="H106" t="n">
        <v>0</v>
      </c>
      <c r="I106" t="n">
        <v>0</v>
      </c>
      <c r="J106" t="n">
        <v>1</v>
      </c>
      <c r="K106" t="n">
        <v>0</v>
      </c>
      <c r="L106" t="n">
        <v>0</v>
      </c>
      <c r="M106" t="n">
        <v>0</v>
      </c>
      <c r="N106" t="n">
        <v>0</v>
      </c>
      <c r="O106" t="n">
        <v>1</v>
      </c>
      <c r="P106" t="n">
        <v>0</v>
      </c>
      <c r="Q106" t="n">
        <v>1</v>
      </c>
      <c r="R106" s="2" t="inlineStr">
        <is>
          <t>Garnlav</t>
        </is>
      </c>
      <c r="S106">
        <f>HYPERLINK("https://klasma.github.io/Logging_2039/artfynd/A 69726-2021 artfynd.xlsx", "A 69726-2021")</f>
        <v/>
      </c>
      <c r="T106">
        <f>HYPERLINK("https://klasma.github.io/Logging_2039/kartor/A 69726-2021 karta.png", "A 69726-2021")</f>
        <v/>
      </c>
      <c r="V106">
        <f>HYPERLINK("https://klasma.github.io/Logging_2039/klagomål/A 69726-2021 FSC-klagomål.docx", "A 69726-2021")</f>
        <v/>
      </c>
      <c r="W106">
        <f>HYPERLINK("https://klasma.github.io/Logging_2039/klagomålsmail/A 69726-2021 FSC-klagomål mail.docx", "A 69726-2021")</f>
        <v/>
      </c>
      <c r="X106">
        <f>HYPERLINK("https://klasma.github.io/Logging_2039/tillsyn/A 69726-2021 tillsynsbegäran.docx", "A 69726-2021")</f>
        <v/>
      </c>
      <c r="Y106">
        <f>HYPERLINK("https://klasma.github.io/Logging_2039/tillsynsmail/A 69726-2021 tillsynsbegäran mail.docx", "A 69726-2021")</f>
        <v/>
      </c>
    </row>
    <row r="107" ht="15" customHeight="1">
      <c r="A107" t="inlineStr">
        <is>
          <t>A 72175-2021</t>
        </is>
      </c>
      <c r="B107" s="1" t="n">
        <v>44544</v>
      </c>
      <c r="C107" s="1" t="n">
        <v>45338</v>
      </c>
      <c r="D107" t="inlineStr">
        <is>
          <t>DALARNAS LÄN</t>
        </is>
      </c>
      <c r="E107" t="inlineStr">
        <is>
          <t>ÄLVDALEN</t>
        </is>
      </c>
      <c r="F107" t="inlineStr">
        <is>
          <t>Sveaskog</t>
        </is>
      </c>
      <c r="G107" t="n">
        <v>20.3</v>
      </c>
      <c r="H107" t="n">
        <v>1</v>
      </c>
      <c r="I107" t="n">
        <v>0</v>
      </c>
      <c r="J107" t="n">
        <v>1</v>
      </c>
      <c r="K107" t="n">
        <v>0</v>
      </c>
      <c r="L107" t="n">
        <v>0</v>
      </c>
      <c r="M107" t="n">
        <v>0</v>
      </c>
      <c r="N107" t="n">
        <v>0</v>
      </c>
      <c r="O107" t="n">
        <v>1</v>
      </c>
      <c r="P107" t="n">
        <v>0</v>
      </c>
      <c r="Q107" t="n">
        <v>1</v>
      </c>
      <c r="R107" s="2" t="inlineStr">
        <is>
          <t>Varglav</t>
        </is>
      </c>
      <c r="S107">
        <f>HYPERLINK("https://klasma.github.io/Logging_2039/artfynd/A 72175-2021 artfynd.xlsx", "A 72175-2021")</f>
        <v/>
      </c>
      <c r="T107">
        <f>HYPERLINK("https://klasma.github.io/Logging_2039/kartor/A 72175-2021 karta.png", "A 72175-2021")</f>
        <v/>
      </c>
      <c r="V107">
        <f>HYPERLINK("https://klasma.github.io/Logging_2039/klagomål/A 72175-2021 FSC-klagomål.docx", "A 72175-2021")</f>
        <v/>
      </c>
      <c r="W107">
        <f>HYPERLINK("https://klasma.github.io/Logging_2039/klagomålsmail/A 72175-2021 FSC-klagomål mail.docx", "A 72175-2021")</f>
        <v/>
      </c>
      <c r="X107">
        <f>HYPERLINK("https://klasma.github.io/Logging_2039/tillsyn/A 72175-2021 tillsynsbegäran.docx", "A 72175-2021")</f>
        <v/>
      </c>
      <c r="Y107">
        <f>HYPERLINK("https://klasma.github.io/Logging_2039/tillsynsmail/A 72175-2021 tillsynsbegäran mail.docx", "A 72175-2021")</f>
        <v/>
      </c>
    </row>
    <row r="108" ht="15" customHeight="1">
      <c r="A108" t="inlineStr">
        <is>
          <t>A 32572-2022</t>
        </is>
      </c>
      <c r="B108" s="1" t="n">
        <v>44783</v>
      </c>
      <c r="C108" s="1" t="n">
        <v>45338</v>
      </c>
      <c r="D108" t="inlineStr">
        <is>
          <t>DALARNAS LÄN</t>
        </is>
      </c>
      <c r="E108" t="inlineStr">
        <is>
          <t>ÄLVDALEN</t>
        </is>
      </c>
      <c r="G108" t="n">
        <v>5.7</v>
      </c>
      <c r="H108" t="n">
        <v>1</v>
      </c>
      <c r="I108" t="n">
        <v>0</v>
      </c>
      <c r="J108" t="n">
        <v>0</v>
      </c>
      <c r="K108" t="n">
        <v>1</v>
      </c>
      <c r="L108" t="n">
        <v>0</v>
      </c>
      <c r="M108" t="n">
        <v>0</v>
      </c>
      <c r="N108" t="n">
        <v>0</v>
      </c>
      <c r="O108" t="n">
        <v>1</v>
      </c>
      <c r="P108" t="n">
        <v>1</v>
      </c>
      <c r="Q108" t="n">
        <v>1</v>
      </c>
      <c r="R108" s="2" t="inlineStr">
        <is>
          <t>Knärot</t>
        </is>
      </c>
      <c r="S108">
        <f>HYPERLINK("https://klasma.github.io/Logging_2039/artfynd/A 32572-2022 artfynd.xlsx", "A 32572-2022")</f>
        <v/>
      </c>
      <c r="T108">
        <f>HYPERLINK("https://klasma.github.io/Logging_2039/kartor/A 32572-2022 karta.png", "A 32572-2022")</f>
        <v/>
      </c>
      <c r="U108">
        <f>HYPERLINK("https://klasma.github.io/Logging_2039/knärot/A 32572-2022 karta knärot.png", "A 32572-2022")</f>
        <v/>
      </c>
      <c r="V108">
        <f>HYPERLINK("https://klasma.github.io/Logging_2039/klagomål/A 32572-2022 FSC-klagomål.docx", "A 32572-2022")</f>
        <v/>
      </c>
      <c r="W108">
        <f>HYPERLINK("https://klasma.github.io/Logging_2039/klagomålsmail/A 32572-2022 FSC-klagomål mail.docx", "A 32572-2022")</f>
        <v/>
      </c>
      <c r="X108">
        <f>HYPERLINK("https://klasma.github.io/Logging_2039/tillsyn/A 32572-2022 tillsynsbegäran.docx", "A 32572-2022")</f>
        <v/>
      </c>
      <c r="Y108">
        <f>HYPERLINK("https://klasma.github.io/Logging_2039/tillsynsmail/A 32572-2022 tillsynsbegäran mail.docx", "A 32572-2022")</f>
        <v/>
      </c>
    </row>
    <row r="109" ht="15" customHeight="1">
      <c r="A109" t="inlineStr">
        <is>
          <t>A 39419-2022</t>
        </is>
      </c>
      <c r="B109" s="1" t="n">
        <v>44818</v>
      </c>
      <c r="C109" s="1" t="n">
        <v>45338</v>
      </c>
      <c r="D109" t="inlineStr">
        <is>
          <t>DALARNAS LÄN</t>
        </is>
      </c>
      <c r="E109" t="inlineStr">
        <is>
          <t>ÄLVDALEN</t>
        </is>
      </c>
      <c r="G109" t="n">
        <v>4.3</v>
      </c>
      <c r="H109" t="n">
        <v>0</v>
      </c>
      <c r="I109" t="n">
        <v>0</v>
      </c>
      <c r="J109" t="n">
        <v>1</v>
      </c>
      <c r="K109" t="n">
        <v>0</v>
      </c>
      <c r="L109" t="n">
        <v>0</v>
      </c>
      <c r="M109" t="n">
        <v>0</v>
      </c>
      <c r="N109" t="n">
        <v>0</v>
      </c>
      <c r="O109" t="n">
        <v>1</v>
      </c>
      <c r="P109" t="n">
        <v>0</v>
      </c>
      <c r="Q109" t="n">
        <v>1</v>
      </c>
      <c r="R109" s="2" t="inlineStr">
        <is>
          <t>Lunglav</t>
        </is>
      </c>
      <c r="S109">
        <f>HYPERLINK("https://klasma.github.io/Logging_2039/artfynd/A 39419-2022 artfynd.xlsx", "A 39419-2022")</f>
        <v/>
      </c>
      <c r="T109">
        <f>HYPERLINK("https://klasma.github.io/Logging_2039/kartor/A 39419-2022 karta.png", "A 39419-2022")</f>
        <v/>
      </c>
      <c r="V109">
        <f>HYPERLINK("https://klasma.github.io/Logging_2039/klagomål/A 39419-2022 FSC-klagomål.docx", "A 39419-2022")</f>
        <v/>
      </c>
      <c r="W109">
        <f>HYPERLINK("https://klasma.github.io/Logging_2039/klagomålsmail/A 39419-2022 FSC-klagomål mail.docx", "A 39419-2022")</f>
        <v/>
      </c>
      <c r="X109">
        <f>HYPERLINK("https://klasma.github.io/Logging_2039/tillsyn/A 39419-2022 tillsynsbegäran.docx", "A 39419-2022")</f>
        <v/>
      </c>
      <c r="Y109">
        <f>HYPERLINK("https://klasma.github.io/Logging_2039/tillsynsmail/A 39419-2022 tillsynsbegäran mail.docx", "A 39419-2022")</f>
        <v/>
      </c>
    </row>
    <row r="110" ht="15" customHeight="1">
      <c r="A110" t="inlineStr">
        <is>
          <t>A 43651-2022</t>
        </is>
      </c>
      <c r="B110" s="1" t="n">
        <v>44837</v>
      </c>
      <c r="C110" s="1" t="n">
        <v>45338</v>
      </c>
      <c r="D110" t="inlineStr">
        <is>
          <t>DALARNAS LÄN</t>
        </is>
      </c>
      <c r="E110" t="inlineStr">
        <is>
          <t>ÄLVDALEN</t>
        </is>
      </c>
      <c r="F110" t="inlineStr">
        <is>
          <t>Bergvik skog väst AB</t>
        </is>
      </c>
      <c r="G110" t="n">
        <v>1.6</v>
      </c>
      <c r="H110" t="n">
        <v>1</v>
      </c>
      <c r="I110" t="n">
        <v>0</v>
      </c>
      <c r="J110" t="n">
        <v>0</v>
      </c>
      <c r="K110" t="n">
        <v>0</v>
      </c>
      <c r="L110" t="n">
        <v>0</v>
      </c>
      <c r="M110" t="n">
        <v>0</v>
      </c>
      <c r="N110" t="n">
        <v>0</v>
      </c>
      <c r="O110" t="n">
        <v>0</v>
      </c>
      <c r="P110" t="n">
        <v>0</v>
      </c>
      <c r="Q110" t="n">
        <v>1</v>
      </c>
      <c r="R110" s="2" t="inlineStr">
        <is>
          <t>Större vattensalamander</t>
        </is>
      </c>
      <c r="S110">
        <f>HYPERLINK("https://klasma.github.io/Logging_2039/artfynd/A 43651-2022 artfynd.xlsx", "A 43651-2022")</f>
        <v/>
      </c>
      <c r="T110">
        <f>HYPERLINK("https://klasma.github.io/Logging_2039/kartor/A 43651-2022 karta.png", "A 43651-2022")</f>
        <v/>
      </c>
      <c r="V110">
        <f>HYPERLINK("https://klasma.github.io/Logging_2039/klagomål/A 43651-2022 FSC-klagomål.docx", "A 43651-2022")</f>
        <v/>
      </c>
      <c r="W110">
        <f>HYPERLINK("https://klasma.github.io/Logging_2039/klagomålsmail/A 43651-2022 FSC-klagomål mail.docx", "A 43651-2022")</f>
        <v/>
      </c>
      <c r="X110">
        <f>HYPERLINK("https://klasma.github.io/Logging_2039/tillsyn/A 43651-2022 tillsynsbegäran.docx", "A 43651-2022")</f>
        <v/>
      </c>
      <c r="Y110">
        <f>HYPERLINK("https://klasma.github.io/Logging_2039/tillsynsmail/A 43651-2022 tillsynsbegäran mail.docx", "A 43651-2022")</f>
        <v/>
      </c>
    </row>
    <row r="111" ht="15" customHeight="1">
      <c r="A111" t="inlineStr">
        <is>
          <t>A 50251-2022</t>
        </is>
      </c>
      <c r="B111" s="1" t="n">
        <v>44865</v>
      </c>
      <c r="C111" s="1" t="n">
        <v>45338</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50252-2022</t>
        </is>
      </c>
      <c r="B112" s="1" t="n">
        <v>44865</v>
      </c>
      <c r="C112" s="1" t="n">
        <v>45338</v>
      </c>
      <c r="D112" t="inlineStr">
        <is>
          <t>DALARNAS LÄN</t>
        </is>
      </c>
      <c r="E112" t="inlineStr">
        <is>
          <t>ÄLVDALEN</t>
        </is>
      </c>
      <c r="F112" t="inlineStr">
        <is>
          <t>Sveaskog</t>
        </is>
      </c>
      <c r="G112" t="n">
        <v>3</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50252-2022 artfynd.xlsx", "A 50252-2022")</f>
        <v/>
      </c>
      <c r="T112">
        <f>HYPERLINK("https://klasma.github.io/Logging_2039/kartor/A 50252-2022 karta.png", "A 50252-2022")</f>
        <v/>
      </c>
      <c r="V112">
        <f>HYPERLINK("https://klasma.github.io/Logging_2039/klagomål/A 50252-2022 FSC-klagomål.docx", "A 50252-2022")</f>
        <v/>
      </c>
      <c r="W112">
        <f>HYPERLINK("https://klasma.github.io/Logging_2039/klagomålsmail/A 50252-2022 FSC-klagomål mail.docx", "A 50252-2022")</f>
        <v/>
      </c>
      <c r="X112">
        <f>HYPERLINK("https://klasma.github.io/Logging_2039/tillsyn/A 50252-2022 tillsynsbegäran.docx", "A 50252-2022")</f>
        <v/>
      </c>
      <c r="Y112">
        <f>HYPERLINK("https://klasma.github.io/Logging_2039/tillsynsmail/A 50252-2022 tillsynsbegäran mail.docx", "A 50252-2022")</f>
        <v/>
      </c>
    </row>
    <row r="113" ht="15" customHeight="1">
      <c r="A113" t="inlineStr">
        <is>
          <t>A 51477-2022</t>
        </is>
      </c>
      <c r="B113" s="1" t="n">
        <v>44869</v>
      </c>
      <c r="C113" s="1" t="n">
        <v>45338</v>
      </c>
      <c r="D113" t="inlineStr">
        <is>
          <t>DALARNAS LÄN</t>
        </is>
      </c>
      <c r="E113" t="inlineStr">
        <is>
          <t>ÄLVDALEN</t>
        </is>
      </c>
      <c r="F113" t="inlineStr">
        <is>
          <t>Sveaskog</t>
        </is>
      </c>
      <c r="G113" t="n">
        <v>3.8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51477-2022 artfynd.xlsx", "A 51477-2022")</f>
        <v/>
      </c>
      <c r="T113">
        <f>HYPERLINK("https://klasma.github.io/Logging_2039/kartor/A 51477-2022 karta.png", "A 51477-2022")</f>
        <v/>
      </c>
      <c r="V113">
        <f>HYPERLINK("https://klasma.github.io/Logging_2039/klagomål/A 51477-2022 FSC-klagomål.docx", "A 51477-2022")</f>
        <v/>
      </c>
      <c r="W113">
        <f>HYPERLINK("https://klasma.github.io/Logging_2039/klagomålsmail/A 51477-2022 FSC-klagomål mail.docx", "A 51477-2022")</f>
        <v/>
      </c>
      <c r="X113">
        <f>HYPERLINK("https://klasma.github.io/Logging_2039/tillsyn/A 51477-2022 tillsynsbegäran.docx", "A 51477-2022")</f>
        <v/>
      </c>
      <c r="Y113">
        <f>HYPERLINK("https://klasma.github.io/Logging_2039/tillsynsmail/A 51477-2022 tillsynsbegäran mail.docx", "A 51477-2022")</f>
        <v/>
      </c>
    </row>
    <row r="114" ht="15" customHeight="1">
      <c r="A114" t="inlineStr">
        <is>
          <t>A 55062-2022</t>
        </is>
      </c>
      <c r="B114" s="1" t="n">
        <v>44881</v>
      </c>
      <c r="C114" s="1" t="n">
        <v>45338</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56078-2022</t>
        </is>
      </c>
      <c r="B115" s="1" t="n">
        <v>44889</v>
      </c>
      <c r="C115" s="1" t="n">
        <v>45338</v>
      </c>
      <c r="D115" t="inlineStr">
        <is>
          <t>DALARNAS LÄN</t>
        </is>
      </c>
      <c r="E115" t="inlineStr">
        <is>
          <t>ÄLVDALEN</t>
        </is>
      </c>
      <c r="F115" t="inlineStr">
        <is>
          <t>Bergvik skog öst AB</t>
        </is>
      </c>
      <c r="G115" t="n">
        <v>2.4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56078-2022 artfynd.xlsx", "A 56078-2022")</f>
        <v/>
      </c>
      <c r="T115">
        <f>HYPERLINK("https://klasma.github.io/Logging_2039/kartor/A 56078-2022 karta.png", "A 56078-2022")</f>
        <v/>
      </c>
      <c r="V115">
        <f>HYPERLINK("https://klasma.github.io/Logging_2039/klagomål/A 56078-2022 FSC-klagomål.docx", "A 56078-2022")</f>
        <v/>
      </c>
      <c r="W115">
        <f>HYPERLINK("https://klasma.github.io/Logging_2039/klagomålsmail/A 56078-2022 FSC-klagomål mail.docx", "A 56078-2022")</f>
        <v/>
      </c>
      <c r="X115">
        <f>HYPERLINK("https://klasma.github.io/Logging_2039/tillsyn/A 56078-2022 tillsynsbegäran.docx", "A 56078-2022")</f>
        <v/>
      </c>
      <c r="Y115">
        <f>HYPERLINK("https://klasma.github.io/Logging_2039/tillsynsmail/A 56078-2022 tillsynsbegäran mail.docx", "A 56078-2022")</f>
        <v/>
      </c>
    </row>
    <row r="116" ht="15" customHeight="1">
      <c r="A116" t="inlineStr">
        <is>
          <t>A 62665-2022</t>
        </is>
      </c>
      <c r="B116" s="1" t="n">
        <v>44917</v>
      </c>
      <c r="C116" s="1" t="n">
        <v>45338</v>
      </c>
      <c r="D116" t="inlineStr">
        <is>
          <t>DALARNAS LÄN</t>
        </is>
      </c>
      <c r="E116" t="inlineStr">
        <is>
          <t>ÄLVDALEN</t>
        </is>
      </c>
      <c r="G116" t="n">
        <v>0.6</v>
      </c>
      <c r="H116" t="n">
        <v>0</v>
      </c>
      <c r="I116" t="n">
        <v>1</v>
      </c>
      <c r="J116" t="n">
        <v>0</v>
      </c>
      <c r="K116" t="n">
        <v>0</v>
      </c>
      <c r="L116" t="n">
        <v>0</v>
      </c>
      <c r="M116" t="n">
        <v>0</v>
      </c>
      <c r="N116" t="n">
        <v>0</v>
      </c>
      <c r="O116" t="n">
        <v>0</v>
      </c>
      <c r="P116" t="n">
        <v>0</v>
      </c>
      <c r="Q116" t="n">
        <v>1</v>
      </c>
      <c r="R116" s="2" t="inlineStr">
        <is>
          <t>Luddlav</t>
        </is>
      </c>
      <c r="S116">
        <f>HYPERLINK("https://klasma.github.io/Logging_2039/artfynd/A 62665-2022 artfynd.xlsx", "A 62665-2022")</f>
        <v/>
      </c>
      <c r="T116">
        <f>HYPERLINK("https://klasma.github.io/Logging_2039/kartor/A 62665-2022 karta.png", "A 62665-2022")</f>
        <v/>
      </c>
      <c r="V116">
        <f>HYPERLINK("https://klasma.github.io/Logging_2039/klagomål/A 62665-2022 FSC-klagomål.docx", "A 62665-2022")</f>
        <v/>
      </c>
      <c r="W116">
        <f>HYPERLINK("https://klasma.github.io/Logging_2039/klagomålsmail/A 62665-2022 FSC-klagomål mail.docx", "A 62665-2022")</f>
        <v/>
      </c>
      <c r="X116">
        <f>HYPERLINK("https://klasma.github.io/Logging_2039/tillsyn/A 62665-2022 tillsynsbegäran.docx", "A 62665-2022")</f>
        <v/>
      </c>
      <c r="Y116">
        <f>HYPERLINK("https://klasma.github.io/Logging_2039/tillsynsmail/A 62665-2022 tillsynsbegäran mail.docx", "A 62665-2022")</f>
        <v/>
      </c>
    </row>
    <row r="117" ht="15" customHeight="1">
      <c r="A117" t="inlineStr">
        <is>
          <t>A 33553-2023</t>
        </is>
      </c>
      <c r="B117" s="1" t="n">
        <v>45118</v>
      </c>
      <c r="C117" s="1" t="n">
        <v>45338</v>
      </c>
      <c r="D117" t="inlineStr">
        <is>
          <t>DALARNAS LÄN</t>
        </is>
      </c>
      <c r="E117" t="inlineStr">
        <is>
          <t>ÄLVDALEN</t>
        </is>
      </c>
      <c r="G117" t="n">
        <v>1.3</v>
      </c>
      <c r="H117" t="n">
        <v>0</v>
      </c>
      <c r="I117" t="n">
        <v>0</v>
      </c>
      <c r="J117" t="n">
        <v>1</v>
      </c>
      <c r="K117" t="n">
        <v>0</v>
      </c>
      <c r="L117" t="n">
        <v>0</v>
      </c>
      <c r="M117" t="n">
        <v>0</v>
      </c>
      <c r="N117" t="n">
        <v>0</v>
      </c>
      <c r="O117" t="n">
        <v>1</v>
      </c>
      <c r="P117" t="n">
        <v>0</v>
      </c>
      <c r="Q117" t="n">
        <v>1</v>
      </c>
      <c r="R117" s="2" t="inlineStr">
        <is>
          <t>Lunglav</t>
        </is>
      </c>
      <c r="S117">
        <f>HYPERLINK("https://klasma.github.io/Logging_2039/artfynd/A 33553-2023 artfynd.xlsx", "A 33553-2023")</f>
        <v/>
      </c>
      <c r="T117">
        <f>HYPERLINK("https://klasma.github.io/Logging_2039/kartor/A 33553-2023 karta.png", "A 33553-2023")</f>
        <v/>
      </c>
      <c r="V117">
        <f>HYPERLINK("https://klasma.github.io/Logging_2039/klagomål/A 33553-2023 FSC-klagomål.docx", "A 33553-2023")</f>
        <v/>
      </c>
      <c r="W117">
        <f>HYPERLINK("https://klasma.github.io/Logging_2039/klagomålsmail/A 33553-2023 FSC-klagomål mail.docx", "A 33553-2023")</f>
        <v/>
      </c>
      <c r="X117">
        <f>HYPERLINK("https://klasma.github.io/Logging_2039/tillsyn/A 33553-2023 tillsynsbegäran.docx", "A 33553-2023")</f>
        <v/>
      </c>
      <c r="Y117">
        <f>HYPERLINK("https://klasma.github.io/Logging_2039/tillsynsmail/A 33553-2023 tillsynsbegäran mail.docx", "A 33553-2023")</f>
        <v/>
      </c>
    </row>
    <row r="118" ht="15" customHeight="1">
      <c r="A118" t="inlineStr">
        <is>
          <t>A 35185-2023</t>
        </is>
      </c>
      <c r="B118" s="1" t="n">
        <v>45145</v>
      </c>
      <c r="C118" s="1" t="n">
        <v>45338</v>
      </c>
      <c r="D118" t="inlineStr">
        <is>
          <t>DALARNAS LÄN</t>
        </is>
      </c>
      <c r="E118" t="inlineStr">
        <is>
          <t>ÄLVDALEN</t>
        </is>
      </c>
      <c r="F118" t="inlineStr">
        <is>
          <t>Sveaskog</t>
        </is>
      </c>
      <c r="G118" t="n">
        <v>1.4</v>
      </c>
      <c r="H118" t="n">
        <v>0</v>
      </c>
      <c r="I118" t="n">
        <v>0</v>
      </c>
      <c r="J118" t="n">
        <v>1</v>
      </c>
      <c r="K118" t="n">
        <v>0</v>
      </c>
      <c r="L118" t="n">
        <v>0</v>
      </c>
      <c r="M118" t="n">
        <v>0</v>
      </c>
      <c r="N118" t="n">
        <v>0</v>
      </c>
      <c r="O118" t="n">
        <v>1</v>
      </c>
      <c r="P118" t="n">
        <v>0</v>
      </c>
      <c r="Q118" t="n">
        <v>1</v>
      </c>
      <c r="R118" s="2" t="inlineStr">
        <is>
          <t>Kolflarnlav</t>
        </is>
      </c>
      <c r="S118">
        <f>HYPERLINK("https://klasma.github.io/Logging_2039/artfynd/A 35185-2023 artfynd.xlsx", "A 35185-2023")</f>
        <v/>
      </c>
      <c r="T118">
        <f>HYPERLINK("https://klasma.github.io/Logging_2039/kartor/A 35185-2023 karta.png", "A 35185-2023")</f>
        <v/>
      </c>
      <c r="V118">
        <f>HYPERLINK("https://klasma.github.io/Logging_2039/klagomål/A 35185-2023 FSC-klagomål.docx", "A 35185-2023")</f>
        <v/>
      </c>
      <c r="W118">
        <f>HYPERLINK("https://klasma.github.io/Logging_2039/klagomålsmail/A 35185-2023 FSC-klagomål mail.docx", "A 35185-2023")</f>
        <v/>
      </c>
      <c r="X118">
        <f>HYPERLINK("https://klasma.github.io/Logging_2039/tillsyn/A 35185-2023 tillsynsbegäran.docx", "A 35185-2023")</f>
        <v/>
      </c>
      <c r="Y118">
        <f>HYPERLINK("https://klasma.github.io/Logging_2039/tillsynsmail/A 35185-2023 tillsynsbegäran mail.docx", "A 35185-2023")</f>
        <v/>
      </c>
    </row>
    <row r="119" ht="15" customHeight="1">
      <c r="A119" t="inlineStr">
        <is>
          <t>A 53966-2023</t>
        </is>
      </c>
      <c r="B119" s="1" t="n">
        <v>45231</v>
      </c>
      <c r="C119" s="1" t="n">
        <v>45338</v>
      </c>
      <c r="D119" t="inlineStr">
        <is>
          <t>DALARNAS LÄN</t>
        </is>
      </c>
      <c r="E119" t="inlineStr">
        <is>
          <t>ÄLVDALEN</t>
        </is>
      </c>
      <c r="F119" t="inlineStr">
        <is>
          <t>Bergvik skog öst AB</t>
        </is>
      </c>
      <c r="G119" t="n">
        <v>14.7</v>
      </c>
      <c r="H119" t="n">
        <v>1</v>
      </c>
      <c r="I119" t="n">
        <v>0</v>
      </c>
      <c r="J119" t="n">
        <v>0</v>
      </c>
      <c r="K119" t="n">
        <v>1</v>
      </c>
      <c r="L119" t="n">
        <v>0</v>
      </c>
      <c r="M119" t="n">
        <v>0</v>
      </c>
      <c r="N119" t="n">
        <v>0</v>
      </c>
      <c r="O119" t="n">
        <v>1</v>
      </c>
      <c r="P119" t="n">
        <v>1</v>
      </c>
      <c r="Q119" t="n">
        <v>1</v>
      </c>
      <c r="R119" s="2" t="inlineStr">
        <is>
          <t>Lappuggla</t>
        </is>
      </c>
      <c r="S119">
        <f>HYPERLINK("https://klasma.github.io/Logging_2039/artfynd/A 53966-2023 artfynd.xlsx", "A 53966-2023")</f>
        <v/>
      </c>
      <c r="T119">
        <f>HYPERLINK("https://klasma.github.io/Logging_2039/kartor/A 53966-2023 karta.png", "A 53966-2023")</f>
        <v/>
      </c>
      <c r="V119">
        <f>HYPERLINK("https://klasma.github.io/Logging_2039/klagomål/A 53966-2023 FSC-klagomål.docx", "A 53966-2023")</f>
        <v/>
      </c>
      <c r="W119">
        <f>HYPERLINK("https://klasma.github.io/Logging_2039/klagomålsmail/A 53966-2023 FSC-klagomål mail.docx", "A 53966-2023")</f>
        <v/>
      </c>
      <c r="X119">
        <f>HYPERLINK("https://klasma.github.io/Logging_2039/tillsyn/A 53966-2023 tillsynsbegäran.docx", "A 53966-2023")</f>
        <v/>
      </c>
      <c r="Y119">
        <f>HYPERLINK("https://klasma.github.io/Logging_2039/tillsynsmail/A 53966-2023 tillsynsbegäran mail.docx", "A 53966-2023")</f>
        <v/>
      </c>
      <c r="Z119">
        <f>HYPERLINK("https://klasma.github.io/Logging_2039/fåglar/A 53966-2023 prioriterade fågelarter.docx", "A 53966-2023")</f>
        <v/>
      </c>
    </row>
    <row r="120" ht="15" customHeight="1">
      <c r="A120" t="inlineStr">
        <is>
          <t>A 39008-2018</t>
        </is>
      </c>
      <c r="B120" s="1" t="n">
        <v>43339</v>
      </c>
      <c r="C120" s="1" t="n">
        <v>45338</v>
      </c>
      <c r="D120" t="inlineStr">
        <is>
          <t>DALARNAS LÄN</t>
        </is>
      </c>
      <c r="E120" t="inlineStr">
        <is>
          <t>ÄLVDALEN</t>
        </is>
      </c>
      <c r="G120" t="n">
        <v>8.5</v>
      </c>
      <c r="H120" t="n">
        <v>0</v>
      </c>
      <c r="I120" t="n">
        <v>0</v>
      </c>
      <c r="J120" t="n">
        <v>0</v>
      </c>
      <c r="K120" t="n">
        <v>0</v>
      </c>
      <c r="L120" t="n">
        <v>0</v>
      </c>
      <c r="M120" t="n">
        <v>0</v>
      </c>
      <c r="N120" t="n">
        <v>0</v>
      </c>
      <c r="O120" t="n">
        <v>0</v>
      </c>
      <c r="P120" t="n">
        <v>0</v>
      </c>
      <c r="Q120" t="n">
        <v>0</v>
      </c>
      <c r="R120" s="2" t="inlineStr"/>
    </row>
    <row r="121" ht="15" customHeight="1">
      <c r="A121" t="inlineStr">
        <is>
          <t>A 39195-2018</t>
        </is>
      </c>
      <c r="B121" s="1" t="n">
        <v>43339</v>
      </c>
      <c r="C121" s="1" t="n">
        <v>45338</v>
      </c>
      <c r="D121" t="inlineStr">
        <is>
          <t>DALARNAS LÄN</t>
        </is>
      </c>
      <c r="E121" t="inlineStr">
        <is>
          <t>ÄLVDALEN</t>
        </is>
      </c>
      <c r="G121" t="n">
        <v>11</v>
      </c>
      <c r="H121" t="n">
        <v>0</v>
      </c>
      <c r="I121" t="n">
        <v>0</v>
      </c>
      <c r="J121" t="n">
        <v>0</v>
      </c>
      <c r="K121" t="n">
        <v>0</v>
      </c>
      <c r="L121" t="n">
        <v>0</v>
      </c>
      <c r="M121" t="n">
        <v>0</v>
      </c>
      <c r="N121" t="n">
        <v>0</v>
      </c>
      <c r="O121" t="n">
        <v>0</v>
      </c>
      <c r="P121" t="n">
        <v>0</v>
      </c>
      <c r="Q121" t="n">
        <v>0</v>
      </c>
      <c r="R121" s="2" t="inlineStr"/>
    </row>
    <row r="122" ht="15" customHeight="1">
      <c r="A122" t="inlineStr">
        <is>
          <t>A 39677-2018</t>
        </is>
      </c>
      <c r="B122" s="1" t="n">
        <v>43341</v>
      </c>
      <c r="C122" s="1" t="n">
        <v>45338</v>
      </c>
      <c r="D122" t="inlineStr">
        <is>
          <t>DALARNAS LÄN</t>
        </is>
      </c>
      <c r="E122" t="inlineStr">
        <is>
          <t>ÄLVDALEN</t>
        </is>
      </c>
      <c r="G122" t="n">
        <v>6.6</v>
      </c>
      <c r="H122" t="n">
        <v>0</v>
      </c>
      <c r="I122" t="n">
        <v>0</v>
      </c>
      <c r="J122" t="n">
        <v>0</v>
      </c>
      <c r="K122" t="n">
        <v>0</v>
      </c>
      <c r="L122" t="n">
        <v>0</v>
      </c>
      <c r="M122" t="n">
        <v>0</v>
      </c>
      <c r="N122" t="n">
        <v>0</v>
      </c>
      <c r="O122" t="n">
        <v>0</v>
      </c>
      <c r="P122" t="n">
        <v>0</v>
      </c>
      <c r="Q122" t="n">
        <v>0</v>
      </c>
      <c r="R122" s="2" t="inlineStr"/>
    </row>
    <row r="123" ht="15" customHeight="1">
      <c r="A123" t="inlineStr">
        <is>
          <t>A 39675-2018</t>
        </is>
      </c>
      <c r="B123" s="1" t="n">
        <v>43341</v>
      </c>
      <c r="C123" s="1" t="n">
        <v>45338</v>
      </c>
      <c r="D123" t="inlineStr">
        <is>
          <t>DALARNAS LÄN</t>
        </is>
      </c>
      <c r="E123" t="inlineStr">
        <is>
          <t>ÄLVDALEN</t>
        </is>
      </c>
      <c r="G123" t="n">
        <v>2.5</v>
      </c>
      <c r="H123" t="n">
        <v>0</v>
      </c>
      <c r="I123" t="n">
        <v>0</v>
      </c>
      <c r="J123" t="n">
        <v>0</v>
      </c>
      <c r="K123" t="n">
        <v>0</v>
      </c>
      <c r="L123" t="n">
        <v>0</v>
      </c>
      <c r="M123" t="n">
        <v>0</v>
      </c>
      <c r="N123" t="n">
        <v>0</v>
      </c>
      <c r="O123" t="n">
        <v>0</v>
      </c>
      <c r="P123" t="n">
        <v>0</v>
      </c>
      <c r="Q123" t="n">
        <v>0</v>
      </c>
      <c r="R123" s="2" t="inlineStr"/>
    </row>
    <row r="124" ht="15" customHeight="1">
      <c r="A124" t="inlineStr">
        <is>
          <t>A 43148-2018</t>
        </is>
      </c>
      <c r="B124" s="1" t="n">
        <v>43355</v>
      </c>
      <c r="C124" s="1" t="n">
        <v>45338</v>
      </c>
      <c r="D124" t="inlineStr">
        <is>
          <t>DALARNAS LÄN</t>
        </is>
      </c>
      <c r="E124" t="inlineStr">
        <is>
          <t>ÄLVDALEN</t>
        </is>
      </c>
      <c r="F124" t="inlineStr">
        <is>
          <t>Övriga statliga verk och myndigheter</t>
        </is>
      </c>
      <c r="G124" t="n">
        <v>98.8</v>
      </c>
      <c r="H124" t="n">
        <v>0</v>
      </c>
      <c r="I124" t="n">
        <v>0</v>
      </c>
      <c r="J124" t="n">
        <v>0</v>
      </c>
      <c r="K124" t="n">
        <v>0</v>
      </c>
      <c r="L124" t="n">
        <v>0</v>
      </c>
      <c r="M124" t="n">
        <v>0</v>
      </c>
      <c r="N124" t="n">
        <v>0</v>
      </c>
      <c r="O124" t="n">
        <v>0</v>
      </c>
      <c r="P124" t="n">
        <v>0</v>
      </c>
      <c r="Q124" t="n">
        <v>0</v>
      </c>
      <c r="R124" s="2" t="inlineStr"/>
    </row>
    <row r="125" ht="15" customHeight="1">
      <c r="A125" t="inlineStr">
        <is>
          <t>A 43150-2018</t>
        </is>
      </c>
      <c r="B125" s="1" t="n">
        <v>43355</v>
      </c>
      <c r="C125" s="1" t="n">
        <v>45338</v>
      </c>
      <c r="D125" t="inlineStr">
        <is>
          <t>DALARNAS LÄN</t>
        </is>
      </c>
      <c r="E125" t="inlineStr">
        <is>
          <t>ÄLVDALEN</t>
        </is>
      </c>
      <c r="F125" t="inlineStr">
        <is>
          <t>Övriga statliga verk och myndigheter</t>
        </is>
      </c>
      <c r="G125" t="n">
        <v>21</v>
      </c>
      <c r="H125" t="n">
        <v>0</v>
      </c>
      <c r="I125" t="n">
        <v>0</v>
      </c>
      <c r="J125" t="n">
        <v>0</v>
      </c>
      <c r="K125" t="n">
        <v>0</v>
      </c>
      <c r="L125" t="n">
        <v>0</v>
      </c>
      <c r="M125" t="n">
        <v>0</v>
      </c>
      <c r="N125" t="n">
        <v>0</v>
      </c>
      <c r="O125" t="n">
        <v>0</v>
      </c>
      <c r="P125" t="n">
        <v>0</v>
      </c>
      <c r="Q125" t="n">
        <v>0</v>
      </c>
      <c r="R125" s="2" t="inlineStr"/>
    </row>
    <row r="126" ht="15" customHeight="1">
      <c r="A126" t="inlineStr">
        <is>
          <t>A 44420-2018</t>
        </is>
      </c>
      <c r="B126" s="1" t="n">
        <v>43355</v>
      </c>
      <c r="C126" s="1" t="n">
        <v>45338</v>
      </c>
      <c r="D126" t="inlineStr">
        <is>
          <t>DALARNAS LÄN</t>
        </is>
      </c>
      <c r="E126" t="inlineStr">
        <is>
          <t>ÄLVDALEN</t>
        </is>
      </c>
      <c r="G126" t="n">
        <v>1.6</v>
      </c>
      <c r="H126" t="n">
        <v>0</v>
      </c>
      <c r="I126" t="n">
        <v>0</v>
      </c>
      <c r="J126" t="n">
        <v>0</v>
      </c>
      <c r="K126" t="n">
        <v>0</v>
      </c>
      <c r="L126" t="n">
        <v>0</v>
      </c>
      <c r="M126" t="n">
        <v>0</v>
      </c>
      <c r="N126" t="n">
        <v>0</v>
      </c>
      <c r="O126" t="n">
        <v>0</v>
      </c>
      <c r="P126" t="n">
        <v>0</v>
      </c>
      <c r="Q126" t="n">
        <v>0</v>
      </c>
      <c r="R126" s="2" t="inlineStr"/>
    </row>
    <row r="127" ht="15" customHeight="1">
      <c r="A127" t="inlineStr">
        <is>
          <t>A 43149-2018</t>
        </is>
      </c>
      <c r="B127" s="1" t="n">
        <v>43355</v>
      </c>
      <c r="C127" s="1" t="n">
        <v>45338</v>
      </c>
      <c r="D127" t="inlineStr">
        <is>
          <t>DALARNAS LÄN</t>
        </is>
      </c>
      <c r="E127" t="inlineStr">
        <is>
          <t>ÄLVDALEN</t>
        </is>
      </c>
      <c r="F127" t="inlineStr">
        <is>
          <t>Övriga statliga verk och myndigheter</t>
        </is>
      </c>
      <c r="G127" t="n">
        <v>67.8</v>
      </c>
      <c r="H127" t="n">
        <v>0</v>
      </c>
      <c r="I127" t="n">
        <v>0</v>
      </c>
      <c r="J127" t="n">
        <v>0</v>
      </c>
      <c r="K127" t="n">
        <v>0</v>
      </c>
      <c r="L127" t="n">
        <v>0</v>
      </c>
      <c r="M127" t="n">
        <v>0</v>
      </c>
      <c r="N127" t="n">
        <v>0</v>
      </c>
      <c r="O127" t="n">
        <v>0</v>
      </c>
      <c r="P127" t="n">
        <v>0</v>
      </c>
      <c r="Q127" t="n">
        <v>0</v>
      </c>
      <c r="R127" s="2" t="inlineStr"/>
    </row>
    <row r="128" ht="15" customHeight="1">
      <c r="A128" t="inlineStr">
        <is>
          <t>A 51090-2018</t>
        </is>
      </c>
      <c r="B128" s="1" t="n">
        <v>43382</v>
      </c>
      <c r="C128" s="1" t="n">
        <v>45338</v>
      </c>
      <c r="D128" t="inlineStr">
        <is>
          <t>DALARNAS LÄN</t>
        </is>
      </c>
      <c r="E128" t="inlineStr">
        <is>
          <t>ÄLVDALEN</t>
        </is>
      </c>
      <c r="G128" t="n">
        <v>0.5</v>
      </c>
      <c r="H128" t="n">
        <v>0</v>
      </c>
      <c r="I128" t="n">
        <v>0</v>
      </c>
      <c r="J128" t="n">
        <v>0</v>
      </c>
      <c r="K128" t="n">
        <v>0</v>
      </c>
      <c r="L128" t="n">
        <v>0</v>
      </c>
      <c r="M128" t="n">
        <v>0</v>
      </c>
      <c r="N128" t="n">
        <v>0</v>
      </c>
      <c r="O128" t="n">
        <v>0</v>
      </c>
      <c r="P128" t="n">
        <v>0</v>
      </c>
      <c r="Q128" t="n">
        <v>0</v>
      </c>
      <c r="R128" s="2" t="inlineStr"/>
    </row>
    <row r="129" ht="15" customHeight="1">
      <c r="A129" t="inlineStr">
        <is>
          <t>A 63917-2018</t>
        </is>
      </c>
      <c r="B129" s="1" t="n">
        <v>43388</v>
      </c>
      <c r="C129" s="1" t="n">
        <v>45338</v>
      </c>
      <c r="D129" t="inlineStr">
        <is>
          <t>DALARNAS LÄN</t>
        </is>
      </c>
      <c r="E129" t="inlineStr">
        <is>
          <t>ÄLVDALEN</t>
        </is>
      </c>
      <c r="G129" t="n">
        <v>0.9</v>
      </c>
      <c r="H129" t="n">
        <v>0</v>
      </c>
      <c r="I129" t="n">
        <v>0</v>
      </c>
      <c r="J129" t="n">
        <v>0</v>
      </c>
      <c r="K129" t="n">
        <v>0</v>
      </c>
      <c r="L129" t="n">
        <v>0</v>
      </c>
      <c r="M129" t="n">
        <v>0</v>
      </c>
      <c r="N129" t="n">
        <v>0</v>
      </c>
      <c r="O129" t="n">
        <v>0</v>
      </c>
      <c r="P129" t="n">
        <v>0</v>
      </c>
      <c r="Q129" t="n">
        <v>0</v>
      </c>
      <c r="R129" s="2" t="inlineStr"/>
    </row>
    <row r="130" ht="15" customHeight="1">
      <c r="A130" t="inlineStr">
        <is>
          <t>A 55118-2018</t>
        </is>
      </c>
      <c r="B130" s="1" t="n">
        <v>43391</v>
      </c>
      <c r="C130" s="1" t="n">
        <v>45338</v>
      </c>
      <c r="D130" t="inlineStr">
        <is>
          <t>DALARNAS LÄN</t>
        </is>
      </c>
      <c r="E130" t="inlineStr">
        <is>
          <t>ÄLVDALEN</t>
        </is>
      </c>
      <c r="G130" t="n">
        <v>5.1</v>
      </c>
      <c r="H130" t="n">
        <v>0</v>
      </c>
      <c r="I130" t="n">
        <v>0</v>
      </c>
      <c r="J130" t="n">
        <v>0</v>
      </c>
      <c r="K130" t="n">
        <v>0</v>
      </c>
      <c r="L130" t="n">
        <v>0</v>
      </c>
      <c r="M130" t="n">
        <v>0</v>
      </c>
      <c r="N130" t="n">
        <v>0</v>
      </c>
      <c r="O130" t="n">
        <v>0</v>
      </c>
      <c r="P130" t="n">
        <v>0</v>
      </c>
      <c r="Q130" t="n">
        <v>0</v>
      </c>
      <c r="R130" s="2" t="inlineStr"/>
    </row>
    <row r="131" ht="15" customHeight="1">
      <c r="A131" t="inlineStr">
        <is>
          <t>A 58737-2018</t>
        </is>
      </c>
      <c r="B131" s="1" t="n">
        <v>43410</v>
      </c>
      <c r="C131" s="1" t="n">
        <v>45338</v>
      </c>
      <c r="D131" t="inlineStr">
        <is>
          <t>DALARNAS LÄN</t>
        </is>
      </c>
      <c r="E131" t="inlineStr">
        <is>
          <t>ÄLVDALEN</t>
        </is>
      </c>
      <c r="G131" t="n">
        <v>5.6</v>
      </c>
      <c r="H131" t="n">
        <v>0</v>
      </c>
      <c r="I131" t="n">
        <v>0</v>
      </c>
      <c r="J131" t="n">
        <v>0</v>
      </c>
      <c r="K131" t="n">
        <v>0</v>
      </c>
      <c r="L131" t="n">
        <v>0</v>
      </c>
      <c r="M131" t="n">
        <v>0</v>
      </c>
      <c r="N131" t="n">
        <v>0</v>
      </c>
      <c r="O131" t="n">
        <v>0</v>
      </c>
      <c r="P131" t="n">
        <v>0</v>
      </c>
      <c r="Q131" t="n">
        <v>0</v>
      </c>
      <c r="R131" s="2" t="inlineStr"/>
    </row>
    <row r="132" ht="15" customHeight="1">
      <c r="A132" t="inlineStr">
        <is>
          <t>A 60071-2018</t>
        </is>
      </c>
      <c r="B132" s="1" t="n">
        <v>43412</v>
      </c>
      <c r="C132" s="1" t="n">
        <v>45338</v>
      </c>
      <c r="D132" t="inlineStr">
        <is>
          <t>DALARNAS LÄN</t>
        </is>
      </c>
      <c r="E132" t="inlineStr">
        <is>
          <t>ÄLVDALEN</t>
        </is>
      </c>
      <c r="G132" t="n">
        <v>1.1</v>
      </c>
      <c r="H132" t="n">
        <v>0</v>
      </c>
      <c r="I132" t="n">
        <v>0</v>
      </c>
      <c r="J132" t="n">
        <v>0</v>
      </c>
      <c r="K132" t="n">
        <v>0</v>
      </c>
      <c r="L132" t="n">
        <v>0</v>
      </c>
      <c r="M132" t="n">
        <v>0</v>
      </c>
      <c r="N132" t="n">
        <v>0</v>
      </c>
      <c r="O132" t="n">
        <v>0</v>
      </c>
      <c r="P132" t="n">
        <v>0</v>
      </c>
      <c r="Q132" t="n">
        <v>0</v>
      </c>
      <c r="R132" s="2" t="inlineStr"/>
    </row>
    <row r="133" ht="15" customHeight="1">
      <c r="A133" t="inlineStr">
        <is>
          <t>A 60044-2018</t>
        </is>
      </c>
      <c r="B133" s="1" t="n">
        <v>43412</v>
      </c>
      <c r="C133" s="1" t="n">
        <v>45338</v>
      </c>
      <c r="D133" t="inlineStr">
        <is>
          <t>DALARNAS LÄN</t>
        </is>
      </c>
      <c r="E133" t="inlineStr">
        <is>
          <t>ÄLVDALEN</t>
        </is>
      </c>
      <c r="G133" t="n">
        <v>1.6</v>
      </c>
      <c r="H133" t="n">
        <v>0</v>
      </c>
      <c r="I133" t="n">
        <v>0</v>
      </c>
      <c r="J133" t="n">
        <v>0</v>
      </c>
      <c r="K133" t="n">
        <v>0</v>
      </c>
      <c r="L133" t="n">
        <v>0</v>
      </c>
      <c r="M133" t="n">
        <v>0</v>
      </c>
      <c r="N133" t="n">
        <v>0</v>
      </c>
      <c r="O133" t="n">
        <v>0</v>
      </c>
      <c r="P133" t="n">
        <v>0</v>
      </c>
      <c r="Q133" t="n">
        <v>0</v>
      </c>
      <c r="R133" s="2" t="inlineStr"/>
    </row>
    <row r="134" ht="15" customHeight="1">
      <c r="A134" t="inlineStr">
        <is>
          <t>A 60048-2018</t>
        </is>
      </c>
      <c r="B134" s="1" t="n">
        <v>43412</v>
      </c>
      <c r="C134" s="1" t="n">
        <v>45338</v>
      </c>
      <c r="D134" t="inlineStr">
        <is>
          <t>DALARNAS LÄN</t>
        </is>
      </c>
      <c r="E134" t="inlineStr">
        <is>
          <t>ÄLVDALEN</t>
        </is>
      </c>
      <c r="G134" t="n">
        <v>0.7</v>
      </c>
      <c r="H134" t="n">
        <v>0</v>
      </c>
      <c r="I134" t="n">
        <v>0</v>
      </c>
      <c r="J134" t="n">
        <v>0</v>
      </c>
      <c r="K134" t="n">
        <v>0</v>
      </c>
      <c r="L134" t="n">
        <v>0</v>
      </c>
      <c r="M134" t="n">
        <v>0</v>
      </c>
      <c r="N134" t="n">
        <v>0</v>
      </c>
      <c r="O134" t="n">
        <v>0</v>
      </c>
      <c r="P134" t="n">
        <v>0</v>
      </c>
      <c r="Q134" t="n">
        <v>0</v>
      </c>
      <c r="R134" s="2" t="inlineStr"/>
    </row>
    <row r="135" ht="15" customHeight="1">
      <c r="A135" t="inlineStr">
        <is>
          <t>A 60038-2018</t>
        </is>
      </c>
      <c r="B135" s="1" t="n">
        <v>43412</v>
      </c>
      <c r="C135" s="1" t="n">
        <v>45338</v>
      </c>
      <c r="D135" t="inlineStr">
        <is>
          <t>DALARNAS LÄN</t>
        </is>
      </c>
      <c r="E135" t="inlineStr">
        <is>
          <t>ÄLVDALEN</t>
        </is>
      </c>
      <c r="G135" t="n">
        <v>0.6</v>
      </c>
      <c r="H135" t="n">
        <v>0</v>
      </c>
      <c r="I135" t="n">
        <v>0</v>
      </c>
      <c r="J135" t="n">
        <v>0</v>
      </c>
      <c r="K135" t="n">
        <v>0</v>
      </c>
      <c r="L135" t="n">
        <v>0</v>
      </c>
      <c r="M135" t="n">
        <v>0</v>
      </c>
      <c r="N135" t="n">
        <v>0</v>
      </c>
      <c r="O135" t="n">
        <v>0</v>
      </c>
      <c r="P135" t="n">
        <v>0</v>
      </c>
      <c r="Q135" t="n">
        <v>0</v>
      </c>
      <c r="R135" s="2" t="inlineStr"/>
    </row>
    <row r="136" ht="15" customHeight="1">
      <c r="A136" t="inlineStr">
        <is>
          <t>A 62674-2018</t>
        </is>
      </c>
      <c r="B136" s="1" t="n">
        <v>43413</v>
      </c>
      <c r="C136" s="1" t="n">
        <v>45338</v>
      </c>
      <c r="D136" t="inlineStr">
        <is>
          <t>DALARNAS LÄN</t>
        </is>
      </c>
      <c r="E136" t="inlineStr">
        <is>
          <t>ÄLVDALEN</t>
        </is>
      </c>
      <c r="F136" t="inlineStr">
        <is>
          <t>Övriga statliga verk och myndigheter</t>
        </is>
      </c>
      <c r="G136" t="n">
        <v>0.9</v>
      </c>
      <c r="H136" t="n">
        <v>0</v>
      </c>
      <c r="I136" t="n">
        <v>0</v>
      </c>
      <c r="J136" t="n">
        <v>0</v>
      </c>
      <c r="K136" t="n">
        <v>0</v>
      </c>
      <c r="L136" t="n">
        <v>0</v>
      </c>
      <c r="M136" t="n">
        <v>0</v>
      </c>
      <c r="N136" t="n">
        <v>0</v>
      </c>
      <c r="O136" t="n">
        <v>0</v>
      </c>
      <c r="P136" t="n">
        <v>0</v>
      </c>
      <c r="Q136" t="n">
        <v>0</v>
      </c>
      <c r="R136" s="2" t="inlineStr"/>
    </row>
    <row r="137" ht="15" customHeight="1">
      <c r="A137" t="inlineStr">
        <is>
          <t>A 62665-2018</t>
        </is>
      </c>
      <c r="B137" s="1" t="n">
        <v>43413</v>
      </c>
      <c r="C137" s="1" t="n">
        <v>45338</v>
      </c>
      <c r="D137" t="inlineStr">
        <is>
          <t>DALARNAS LÄN</t>
        </is>
      </c>
      <c r="E137" t="inlineStr">
        <is>
          <t>ÄLVDALEN</t>
        </is>
      </c>
      <c r="G137" t="n">
        <v>4.5</v>
      </c>
      <c r="H137" t="n">
        <v>0</v>
      </c>
      <c r="I137" t="n">
        <v>0</v>
      </c>
      <c r="J137" t="n">
        <v>0</v>
      </c>
      <c r="K137" t="n">
        <v>0</v>
      </c>
      <c r="L137" t="n">
        <v>0</v>
      </c>
      <c r="M137" t="n">
        <v>0</v>
      </c>
      <c r="N137" t="n">
        <v>0</v>
      </c>
      <c r="O137" t="n">
        <v>0</v>
      </c>
      <c r="P137" t="n">
        <v>0</v>
      </c>
      <c r="Q137" t="n">
        <v>0</v>
      </c>
      <c r="R137" s="2" t="inlineStr"/>
    </row>
    <row r="138" ht="15" customHeight="1">
      <c r="A138" t="inlineStr">
        <is>
          <t>A 59549-2018</t>
        </is>
      </c>
      <c r="B138" s="1" t="n">
        <v>43419</v>
      </c>
      <c r="C138" s="1" t="n">
        <v>45338</v>
      </c>
      <c r="D138" t="inlineStr">
        <is>
          <t>DALARNAS LÄN</t>
        </is>
      </c>
      <c r="E138" t="inlineStr">
        <is>
          <t>ÄLVDALEN</t>
        </is>
      </c>
      <c r="G138" t="n">
        <v>1.8</v>
      </c>
      <c r="H138" t="n">
        <v>0</v>
      </c>
      <c r="I138" t="n">
        <v>0</v>
      </c>
      <c r="J138" t="n">
        <v>0</v>
      </c>
      <c r="K138" t="n">
        <v>0</v>
      </c>
      <c r="L138" t="n">
        <v>0</v>
      </c>
      <c r="M138" t="n">
        <v>0</v>
      </c>
      <c r="N138" t="n">
        <v>0</v>
      </c>
      <c r="O138" t="n">
        <v>0</v>
      </c>
      <c r="P138" t="n">
        <v>0</v>
      </c>
      <c r="Q138" t="n">
        <v>0</v>
      </c>
      <c r="R138" s="2" t="inlineStr"/>
    </row>
    <row r="139" ht="15" customHeight="1">
      <c r="A139" t="inlineStr">
        <is>
          <t>A 59552-2018</t>
        </is>
      </c>
      <c r="B139" s="1" t="n">
        <v>43419</v>
      </c>
      <c r="C139" s="1" t="n">
        <v>45338</v>
      </c>
      <c r="D139" t="inlineStr">
        <is>
          <t>DALARNAS LÄN</t>
        </is>
      </c>
      <c r="E139" t="inlineStr">
        <is>
          <t>ÄLVDALEN</t>
        </is>
      </c>
      <c r="G139" t="n">
        <v>1.5</v>
      </c>
      <c r="H139" t="n">
        <v>0</v>
      </c>
      <c r="I139" t="n">
        <v>0</v>
      </c>
      <c r="J139" t="n">
        <v>0</v>
      </c>
      <c r="K139" t="n">
        <v>0</v>
      </c>
      <c r="L139" t="n">
        <v>0</v>
      </c>
      <c r="M139" t="n">
        <v>0</v>
      </c>
      <c r="N139" t="n">
        <v>0</v>
      </c>
      <c r="O139" t="n">
        <v>0</v>
      </c>
      <c r="P139" t="n">
        <v>0</v>
      </c>
      <c r="Q139" t="n">
        <v>0</v>
      </c>
      <c r="R139" s="2" t="inlineStr"/>
    </row>
    <row r="140" ht="15" customHeight="1">
      <c r="A140" t="inlineStr">
        <is>
          <t>A 59461-2018</t>
        </is>
      </c>
      <c r="B140" s="1" t="n">
        <v>43419</v>
      </c>
      <c r="C140" s="1" t="n">
        <v>45338</v>
      </c>
      <c r="D140" t="inlineStr">
        <is>
          <t>DALARNAS LÄN</t>
        </is>
      </c>
      <c r="E140" t="inlineStr">
        <is>
          <t>ÄLVDALEN</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61115-2018</t>
        </is>
      </c>
      <c r="B141" s="1" t="n">
        <v>43423</v>
      </c>
      <c r="C141" s="1" t="n">
        <v>45338</v>
      </c>
      <c r="D141" t="inlineStr">
        <is>
          <t>DALARNAS LÄN</t>
        </is>
      </c>
      <c r="E141" t="inlineStr">
        <is>
          <t>ÄLVDALEN</t>
        </is>
      </c>
      <c r="G141" t="n">
        <v>1.7</v>
      </c>
      <c r="H141" t="n">
        <v>0</v>
      </c>
      <c r="I141" t="n">
        <v>0</v>
      </c>
      <c r="J141" t="n">
        <v>0</v>
      </c>
      <c r="K141" t="n">
        <v>0</v>
      </c>
      <c r="L141" t="n">
        <v>0</v>
      </c>
      <c r="M141" t="n">
        <v>0</v>
      </c>
      <c r="N141" t="n">
        <v>0</v>
      </c>
      <c r="O141" t="n">
        <v>0</v>
      </c>
      <c r="P141" t="n">
        <v>0</v>
      </c>
      <c r="Q141" t="n">
        <v>0</v>
      </c>
      <c r="R141" s="2" t="inlineStr"/>
    </row>
    <row r="142" ht="15" customHeight="1">
      <c r="A142" t="inlineStr">
        <is>
          <t>A 65603-2018</t>
        </is>
      </c>
      <c r="B142" s="1" t="n">
        <v>43425</v>
      </c>
      <c r="C142" s="1" t="n">
        <v>45338</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65598-2018</t>
        </is>
      </c>
      <c r="B143" s="1" t="n">
        <v>43425</v>
      </c>
      <c r="C143" s="1" t="n">
        <v>45338</v>
      </c>
      <c r="D143" t="inlineStr">
        <is>
          <t>DALARNAS LÄN</t>
        </is>
      </c>
      <c r="E143" t="inlineStr">
        <is>
          <t>ÄLVDALEN</t>
        </is>
      </c>
      <c r="G143" t="n">
        <v>0.8</v>
      </c>
      <c r="H143" t="n">
        <v>0</v>
      </c>
      <c r="I143" t="n">
        <v>0</v>
      </c>
      <c r="J143" t="n">
        <v>0</v>
      </c>
      <c r="K143" t="n">
        <v>0</v>
      </c>
      <c r="L143" t="n">
        <v>0</v>
      </c>
      <c r="M143" t="n">
        <v>0</v>
      </c>
      <c r="N143" t="n">
        <v>0</v>
      </c>
      <c r="O143" t="n">
        <v>0</v>
      </c>
      <c r="P143" t="n">
        <v>0</v>
      </c>
      <c r="Q143" t="n">
        <v>0</v>
      </c>
      <c r="R143" s="2" t="inlineStr"/>
    </row>
    <row r="144" ht="15" customHeight="1">
      <c r="A144" t="inlineStr">
        <is>
          <t>A 61853-2018</t>
        </is>
      </c>
      <c r="B144" s="1" t="n">
        <v>43425</v>
      </c>
      <c r="C144" s="1" t="n">
        <v>45338</v>
      </c>
      <c r="D144" t="inlineStr">
        <is>
          <t>DALARNAS LÄN</t>
        </is>
      </c>
      <c r="E144" t="inlineStr">
        <is>
          <t>ÄLVDALEN</t>
        </is>
      </c>
      <c r="G144" t="n">
        <v>7.5</v>
      </c>
      <c r="H144" t="n">
        <v>0</v>
      </c>
      <c r="I144" t="n">
        <v>0</v>
      </c>
      <c r="J144" t="n">
        <v>0</v>
      </c>
      <c r="K144" t="n">
        <v>0</v>
      </c>
      <c r="L144" t="n">
        <v>0</v>
      </c>
      <c r="M144" t="n">
        <v>0</v>
      </c>
      <c r="N144" t="n">
        <v>0</v>
      </c>
      <c r="O144" t="n">
        <v>0</v>
      </c>
      <c r="P144" t="n">
        <v>0</v>
      </c>
      <c r="Q144" t="n">
        <v>0</v>
      </c>
      <c r="R144" s="2" t="inlineStr"/>
    </row>
    <row r="145" ht="15" customHeight="1">
      <c r="A145" t="inlineStr">
        <is>
          <t>A 62581-2018</t>
        </is>
      </c>
      <c r="B145" s="1" t="n">
        <v>43426</v>
      </c>
      <c r="C145" s="1" t="n">
        <v>45338</v>
      </c>
      <c r="D145" t="inlineStr">
        <is>
          <t>DALARNAS LÄN</t>
        </is>
      </c>
      <c r="E145" t="inlineStr">
        <is>
          <t>ÄLVDALEN</t>
        </is>
      </c>
      <c r="G145" t="n">
        <v>3.6</v>
      </c>
      <c r="H145" t="n">
        <v>0</v>
      </c>
      <c r="I145" t="n">
        <v>0</v>
      </c>
      <c r="J145" t="n">
        <v>0</v>
      </c>
      <c r="K145" t="n">
        <v>0</v>
      </c>
      <c r="L145" t="n">
        <v>0</v>
      </c>
      <c r="M145" t="n">
        <v>0</v>
      </c>
      <c r="N145" t="n">
        <v>0</v>
      </c>
      <c r="O145" t="n">
        <v>0</v>
      </c>
      <c r="P145" t="n">
        <v>0</v>
      </c>
      <c r="Q145" t="n">
        <v>0</v>
      </c>
      <c r="R145" s="2" t="inlineStr"/>
    </row>
    <row r="146" ht="15" customHeight="1">
      <c r="A146" t="inlineStr">
        <is>
          <t>A 63676-2018</t>
        </is>
      </c>
      <c r="B146" s="1" t="n">
        <v>43427</v>
      </c>
      <c r="C146" s="1" t="n">
        <v>45338</v>
      </c>
      <c r="D146" t="inlineStr">
        <is>
          <t>DALARNAS LÄN</t>
        </is>
      </c>
      <c r="E146" t="inlineStr">
        <is>
          <t>ÄLVDALEN</t>
        </is>
      </c>
      <c r="F146" t="inlineStr">
        <is>
          <t>Övriga statliga verk och myndigheter</t>
        </is>
      </c>
      <c r="G146" t="n">
        <v>6.3</v>
      </c>
      <c r="H146" t="n">
        <v>0</v>
      </c>
      <c r="I146" t="n">
        <v>0</v>
      </c>
      <c r="J146" t="n">
        <v>0</v>
      </c>
      <c r="K146" t="n">
        <v>0</v>
      </c>
      <c r="L146" t="n">
        <v>0</v>
      </c>
      <c r="M146" t="n">
        <v>0</v>
      </c>
      <c r="N146" t="n">
        <v>0</v>
      </c>
      <c r="O146" t="n">
        <v>0</v>
      </c>
      <c r="P146" t="n">
        <v>0</v>
      </c>
      <c r="Q146" t="n">
        <v>0</v>
      </c>
      <c r="R146" s="2" t="inlineStr"/>
    </row>
    <row r="147" ht="15" customHeight="1">
      <c r="A147" t="inlineStr">
        <is>
          <t>A 63328-2018</t>
        </is>
      </c>
      <c r="B147" s="1" t="n">
        <v>43427</v>
      </c>
      <c r="C147" s="1" t="n">
        <v>45338</v>
      </c>
      <c r="D147" t="inlineStr">
        <is>
          <t>DALARNAS LÄN</t>
        </is>
      </c>
      <c r="E147" t="inlineStr">
        <is>
          <t>ÄLVDALEN</t>
        </is>
      </c>
      <c r="F147" t="inlineStr">
        <is>
          <t>Allmännings- och besparingsskogar</t>
        </is>
      </c>
      <c r="G147" t="n">
        <v>69.2</v>
      </c>
      <c r="H147" t="n">
        <v>0</v>
      </c>
      <c r="I147" t="n">
        <v>0</v>
      </c>
      <c r="J147" t="n">
        <v>0</v>
      </c>
      <c r="K147" t="n">
        <v>0</v>
      </c>
      <c r="L147" t="n">
        <v>0</v>
      </c>
      <c r="M147" t="n">
        <v>0</v>
      </c>
      <c r="N147" t="n">
        <v>0</v>
      </c>
      <c r="O147" t="n">
        <v>0</v>
      </c>
      <c r="P147" t="n">
        <v>0</v>
      </c>
      <c r="Q147" t="n">
        <v>0</v>
      </c>
      <c r="R147" s="2" t="inlineStr"/>
    </row>
    <row r="148" ht="15" customHeight="1">
      <c r="A148" t="inlineStr">
        <is>
          <t>A 65093-2018</t>
        </is>
      </c>
      <c r="B148" s="1" t="n">
        <v>43432</v>
      </c>
      <c r="C148" s="1" t="n">
        <v>45338</v>
      </c>
      <c r="D148" t="inlineStr">
        <is>
          <t>DALARNAS LÄN</t>
        </is>
      </c>
      <c r="E148" t="inlineStr">
        <is>
          <t>ÄLVDALEN</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66370-2018</t>
        </is>
      </c>
      <c r="B149" s="1" t="n">
        <v>43436</v>
      </c>
      <c r="C149" s="1" t="n">
        <v>45338</v>
      </c>
      <c r="D149" t="inlineStr">
        <is>
          <t>DALARNAS LÄN</t>
        </is>
      </c>
      <c r="E149" t="inlineStr">
        <is>
          <t>ÄLVDALEN</t>
        </is>
      </c>
      <c r="F149" t="inlineStr">
        <is>
          <t>Övriga statliga verk och myndigheter</t>
        </is>
      </c>
      <c r="G149" t="n">
        <v>4.3</v>
      </c>
      <c r="H149" t="n">
        <v>0</v>
      </c>
      <c r="I149" t="n">
        <v>0</v>
      </c>
      <c r="J149" t="n">
        <v>0</v>
      </c>
      <c r="K149" t="n">
        <v>0</v>
      </c>
      <c r="L149" t="n">
        <v>0</v>
      </c>
      <c r="M149" t="n">
        <v>0</v>
      </c>
      <c r="N149" t="n">
        <v>0</v>
      </c>
      <c r="O149" t="n">
        <v>0</v>
      </c>
      <c r="P149" t="n">
        <v>0</v>
      </c>
      <c r="Q149" t="n">
        <v>0</v>
      </c>
      <c r="R149" s="2" t="inlineStr"/>
    </row>
    <row r="150" ht="15" customHeight="1">
      <c r="A150" t="inlineStr">
        <is>
          <t>A 66371-2018</t>
        </is>
      </c>
      <c r="B150" s="1" t="n">
        <v>43436</v>
      </c>
      <c r="C150" s="1" t="n">
        <v>45338</v>
      </c>
      <c r="D150" t="inlineStr">
        <is>
          <t>DALARNAS LÄN</t>
        </is>
      </c>
      <c r="E150" t="inlineStr">
        <is>
          <t>ÄLVDALEN</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66368-2018</t>
        </is>
      </c>
      <c r="B151" s="1" t="n">
        <v>43436</v>
      </c>
      <c r="C151" s="1" t="n">
        <v>45338</v>
      </c>
      <c r="D151" t="inlineStr">
        <is>
          <t>DALARNAS LÄN</t>
        </is>
      </c>
      <c r="E151" t="inlineStr">
        <is>
          <t>ÄLVDALEN</t>
        </is>
      </c>
      <c r="F151" t="inlineStr">
        <is>
          <t>Övriga statliga verk och myndigheter</t>
        </is>
      </c>
      <c r="G151" t="n">
        <v>5.4</v>
      </c>
      <c r="H151" t="n">
        <v>0</v>
      </c>
      <c r="I151" t="n">
        <v>0</v>
      </c>
      <c r="J151" t="n">
        <v>0</v>
      </c>
      <c r="K151" t="n">
        <v>0</v>
      </c>
      <c r="L151" t="n">
        <v>0</v>
      </c>
      <c r="M151" t="n">
        <v>0</v>
      </c>
      <c r="N151" t="n">
        <v>0</v>
      </c>
      <c r="O151" t="n">
        <v>0</v>
      </c>
      <c r="P151" t="n">
        <v>0</v>
      </c>
      <c r="Q151" t="n">
        <v>0</v>
      </c>
      <c r="R151" s="2" t="inlineStr"/>
    </row>
    <row r="152" ht="15" customHeight="1">
      <c r="A152" t="inlineStr">
        <is>
          <t>A 68038-2018</t>
        </is>
      </c>
      <c r="B152" s="1" t="n">
        <v>43437</v>
      </c>
      <c r="C152" s="1" t="n">
        <v>45338</v>
      </c>
      <c r="D152" t="inlineStr">
        <is>
          <t>DALARNAS LÄN</t>
        </is>
      </c>
      <c r="E152" t="inlineStr">
        <is>
          <t>ÄLVDALEN</t>
        </is>
      </c>
      <c r="G152" t="n">
        <v>2.7</v>
      </c>
      <c r="H152" t="n">
        <v>0</v>
      </c>
      <c r="I152" t="n">
        <v>0</v>
      </c>
      <c r="J152" t="n">
        <v>0</v>
      </c>
      <c r="K152" t="n">
        <v>0</v>
      </c>
      <c r="L152" t="n">
        <v>0</v>
      </c>
      <c r="M152" t="n">
        <v>0</v>
      </c>
      <c r="N152" t="n">
        <v>0</v>
      </c>
      <c r="O152" t="n">
        <v>0</v>
      </c>
      <c r="P152" t="n">
        <v>0</v>
      </c>
      <c r="Q152" t="n">
        <v>0</v>
      </c>
      <c r="R152" s="2" t="inlineStr"/>
    </row>
    <row r="153" ht="15" customHeight="1">
      <c r="A153" t="inlineStr">
        <is>
          <t>A 67322-2018</t>
        </is>
      </c>
      <c r="B153" s="1" t="n">
        <v>43439</v>
      </c>
      <c r="C153" s="1" t="n">
        <v>45338</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68795-2018</t>
        </is>
      </c>
      <c r="B154" s="1" t="n">
        <v>43444</v>
      </c>
      <c r="C154" s="1" t="n">
        <v>45338</v>
      </c>
      <c r="D154" t="inlineStr">
        <is>
          <t>DALARNAS LÄN</t>
        </is>
      </c>
      <c r="E154" t="inlineStr">
        <is>
          <t>ÄLVDALEN</t>
        </is>
      </c>
      <c r="G154" t="n">
        <v>0.4</v>
      </c>
      <c r="H154" t="n">
        <v>0</v>
      </c>
      <c r="I154" t="n">
        <v>0</v>
      </c>
      <c r="J154" t="n">
        <v>0</v>
      </c>
      <c r="K154" t="n">
        <v>0</v>
      </c>
      <c r="L154" t="n">
        <v>0</v>
      </c>
      <c r="M154" t="n">
        <v>0</v>
      </c>
      <c r="N154" t="n">
        <v>0</v>
      </c>
      <c r="O154" t="n">
        <v>0</v>
      </c>
      <c r="P154" t="n">
        <v>0</v>
      </c>
      <c r="Q154" t="n">
        <v>0</v>
      </c>
      <c r="R154" s="2" t="inlineStr"/>
    </row>
    <row r="155" ht="15" customHeight="1">
      <c r="A155" t="inlineStr">
        <is>
          <t>A 68788-2018</t>
        </is>
      </c>
      <c r="B155" s="1" t="n">
        <v>43444</v>
      </c>
      <c r="C155" s="1" t="n">
        <v>45338</v>
      </c>
      <c r="D155" t="inlineStr">
        <is>
          <t>DALARNAS LÄN</t>
        </is>
      </c>
      <c r="E155" t="inlineStr">
        <is>
          <t>ÄLVDALEN</t>
        </is>
      </c>
      <c r="G155" t="n">
        <v>6.5</v>
      </c>
      <c r="H155" t="n">
        <v>0</v>
      </c>
      <c r="I155" t="n">
        <v>0</v>
      </c>
      <c r="J155" t="n">
        <v>0</v>
      </c>
      <c r="K155" t="n">
        <v>0</v>
      </c>
      <c r="L155" t="n">
        <v>0</v>
      </c>
      <c r="M155" t="n">
        <v>0</v>
      </c>
      <c r="N155" t="n">
        <v>0</v>
      </c>
      <c r="O155" t="n">
        <v>0</v>
      </c>
      <c r="P155" t="n">
        <v>0</v>
      </c>
      <c r="Q155" t="n">
        <v>0</v>
      </c>
      <c r="R155" s="2" t="inlineStr"/>
    </row>
    <row r="156" ht="15" customHeight="1">
      <c r="A156" t="inlineStr">
        <is>
          <t>A 70001-2018</t>
        </is>
      </c>
      <c r="B156" s="1" t="n">
        <v>43448</v>
      </c>
      <c r="C156" s="1" t="n">
        <v>45338</v>
      </c>
      <c r="D156" t="inlineStr">
        <is>
          <t>DALARNAS LÄN</t>
        </is>
      </c>
      <c r="E156" t="inlineStr">
        <is>
          <t>ÄLVDALEN</t>
        </is>
      </c>
      <c r="G156" t="n">
        <v>0.3</v>
      </c>
      <c r="H156" t="n">
        <v>0</v>
      </c>
      <c r="I156" t="n">
        <v>0</v>
      </c>
      <c r="J156" t="n">
        <v>0</v>
      </c>
      <c r="K156" t="n">
        <v>0</v>
      </c>
      <c r="L156" t="n">
        <v>0</v>
      </c>
      <c r="M156" t="n">
        <v>0</v>
      </c>
      <c r="N156" t="n">
        <v>0</v>
      </c>
      <c r="O156" t="n">
        <v>0</v>
      </c>
      <c r="P156" t="n">
        <v>0</v>
      </c>
      <c r="Q156" t="n">
        <v>0</v>
      </c>
      <c r="R156" s="2" t="inlineStr"/>
    </row>
    <row r="157" ht="15" customHeight="1">
      <c r="A157" t="inlineStr">
        <is>
          <t>A 71798-2018</t>
        </is>
      </c>
      <c r="B157" s="1" t="n">
        <v>43454</v>
      </c>
      <c r="C157" s="1" t="n">
        <v>45338</v>
      </c>
      <c r="D157" t="inlineStr">
        <is>
          <t>DALARNAS LÄN</t>
        </is>
      </c>
      <c r="E157" t="inlineStr">
        <is>
          <t>ÄLVDALEN</t>
        </is>
      </c>
      <c r="G157" t="n">
        <v>14.8</v>
      </c>
      <c r="H157" t="n">
        <v>0</v>
      </c>
      <c r="I157" t="n">
        <v>0</v>
      </c>
      <c r="J157" t="n">
        <v>0</v>
      </c>
      <c r="K157" t="n">
        <v>0</v>
      </c>
      <c r="L157" t="n">
        <v>0</v>
      </c>
      <c r="M157" t="n">
        <v>0</v>
      </c>
      <c r="N157" t="n">
        <v>0</v>
      </c>
      <c r="O157" t="n">
        <v>0</v>
      </c>
      <c r="P157" t="n">
        <v>0</v>
      </c>
      <c r="Q157" t="n">
        <v>0</v>
      </c>
      <c r="R157" s="2" t="inlineStr"/>
    </row>
    <row r="158" ht="15" customHeight="1">
      <c r="A158" t="inlineStr">
        <is>
          <t>A 72010-2018</t>
        </is>
      </c>
      <c r="B158" s="1" t="n">
        <v>43455</v>
      </c>
      <c r="C158" s="1" t="n">
        <v>45338</v>
      </c>
      <c r="D158" t="inlineStr">
        <is>
          <t>DALARNAS LÄN</t>
        </is>
      </c>
      <c r="E158" t="inlineStr">
        <is>
          <t>ÄLVDALEN</t>
        </is>
      </c>
      <c r="G158" t="n">
        <v>1.2</v>
      </c>
      <c r="H158" t="n">
        <v>0</v>
      </c>
      <c r="I158" t="n">
        <v>0</v>
      </c>
      <c r="J158" t="n">
        <v>0</v>
      </c>
      <c r="K158" t="n">
        <v>0</v>
      </c>
      <c r="L158" t="n">
        <v>0</v>
      </c>
      <c r="M158" t="n">
        <v>0</v>
      </c>
      <c r="N158" t="n">
        <v>0</v>
      </c>
      <c r="O158" t="n">
        <v>0</v>
      </c>
      <c r="P158" t="n">
        <v>0</v>
      </c>
      <c r="Q158" t="n">
        <v>0</v>
      </c>
      <c r="R158" s="2" t="inlineStr"/>
    </row>
    <row r="159" ht="15" customHeight="1">
      <c r="A159" t="inlineStr">
        <is>
          <t>A 72454-2018</t>
        </is>
      </c>
      <c r="B159" s="1" t="n">
        <v>43461</v>
      </c>
      <c r="C159" s="1" t="n">
        <v>45338</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1693-2019</t>
        </is>
      </c>
      <c r="B160" s="1" t="n">
        <v>43461</v>
      </c>
      <c r="C160" s="1" t="n">
        <v>45338</v>
      </c>
      <c r="D160" t="inlineStr">
        <is>
          <t>DALARNAS LÄN</t>
        </is>
      </c>
      <c r="E160" t="inlineStr">
        <is>
          <t>ÄLVDALEN</t>
        </is>
      </c>
      <c r="G160" t="n">
        <v>0.7</v>
      </c>
      <c r="H160" t="n">
        <v>0</v>
      </c>
      <c r="I160" t="n">
        <v>0</v>
      </c>
      <c r="J160" t="n">
        <v>0</v>
      </c>
      <c r="K160" t="n">
        <v>0</v>
      </c>
      <c r="L160" t="n">
        <v>0</v>
      </c>
      <c r="M160" t="n">
        <v>0</v>
      </c>
      <c r="N160" t="n">
        <v>0</v>
      </c>
      <c r="O160" t="n">
        <v>0</v>
      </c>
      <c r="P160" t="n">
        <v>0</v>
      </c>
      <c r="Q160" t="n">
        <v>0</v>
      </c>
      <c r="R160" s="2" t="inlineStr"/>
    </row>
    <row r="161" ht="15" customHeight="1">
      <c r="A161" t="inlineStr">
        <is>
          <t>A 72459-2018</t>
        </is>
      </c>
      <c r="B161" s="1" t="n">
        <v>43461</v>
      </c>
      <c r="C161" s="1" t="n">
        <v>45338</v>
      </c>
      <c r="D161" t="inlineStr">
        <is>
          <t>DALARNAS LÄN</t>
        </is>
      </c>
      <c r="E161" t="inlineStr">
        <is>
          <t>ÄLVDALEN</t>
        </is>
      </c>
      <c r="G161" t="n">
        <v>2.7</v>
      </c>
      <c r="H161" t="n">
        <v>0</v>
      </c>
      <c r="I161" t="n">
        <v>0</v>
      </c>
      <c r="J161" t="n">
        <v>0</v>
      </c>
      <c r="K161" t="n">
        <v>0</v>
      </c>
      <c r="L161" t="n">
        <v>0</v>
      </c>
      <c r="M161" t="n">
        <v>0</v>
      </c>
      <c r="N161" t="n">
        <v>0</v>
      </c>
      <c r="O161" t="n">
        <v>0</v>
      </c>
      <c r="P161" t="n">
        <v>0</v>
      </c>
      <c r="Q161" t="n">
        <v>0</v>
      </c>
      <c r="R161" s="2" t="inlineStr"/>
    </row>
    <row r="162" ht="15" customHeight="1">
      <c r="A162" t="inlineStr">
        <is>
          <t>A 72499-2018</t>
        </is>
      </c>
      <c r="B162" s="1" t="n">
        <v>43462</v>
      </c>
      <c r="C162" s="1" t="n">
        <v>45338</v>
      </c>
      <c r="D162" t="inlineStr">
        <is>
          <t>DALARNAS LÄN</t>
        </is>
      </c>
      <c r="E162" t="inlineStr">
        <is>
          <t>ÄLVDALEN</t>
        </is>
      </c>
      <c r="G162" t="n">
        <v>0.9</v>
      </c>
      <c r="H162" t="n">
        <v>0</v>
      </c>
      <c r="I162" t="n">
        <v>0</v>
      </c>
      <c r="J162" t="n">
        <v>0</v>
      </c>
      <c r="K162" t="n">
        <v>0</v>
      </c>
      <c r="L162" t="n">
        <v>0</v>
      </c>
      <c r="M162" t="n">
        <v>0</v>
      </c>
      <c r="N162" t="n">
        <v>0</v>
      </c>
      <c r="O162" t="n">
        <v>0</v>
      </c>
      <c r="P162" t="n">
        <v>0</v>
      </c>
      <c r="Q162" t="n">
        <v>0</v>
      </c>
      <c r="R162" s="2" t="inlineStr"/>
    </row>
    <row r="163" ht="15" customHeight="1">
      <c r="A163" t="inlineStr">
        <is>
          <t>A 2032-2019</t>
        </is>
      </c>
      <c r="B163" s="1" t="n">
        <v>43475</v>
      </c>
      <c r="C163" s="1" t="n">
        <v>45338</v>
      </c>
      <c r="D163" t="inlineStr">
        <is>
          <t>DALARNAS LÄN</t>
        </is>
      </c>
      <c r="E163" t="inlineStr">
        <is>
          <t>ÄLVDALEN</t>
        </is>
      </c>
      <c r="G163" t="n">
        <v>3</v>
      </c>
      <c r="H163" t="n">
        <v>0</v>
      </c>
      <c r="I163" t="n">
        <v>0</v>
      </c>
      <c r="J163" t="n">
        <v>0</v>
      </c>
      <c r="K163" t="n">
        <v>0</v>
      </c>
      <c r="L163" t="n">
        <v>0</v>
      </c>
      <c r="M163" t="n">
        <v>0</v>
      </c>
      <c r="N163" t="n">
        <v>0</v>
      </c>
      <c r="O163" t="n">
        <v>0</v>
      </c>
      <c r="P163" t="n">
        <v>0</v>
      </c>
      <c r="Q163" t="n">
        <v>0</v>
      </c>
      <c r="R163" s="2" t="inlineStr"/>
    </row>
    <row r="164" ht="15" customHeight="1">
      <c r="A164" t="inlineStr">
        <is>
          <t>A 2051-2019</t>
        </is>
      </c>
      <c r="B164" s="1" t="n">
        <v>43475</v>
      </c>
      <c r="C164" s="1" t="n">
        <v>45338</v>
      </c>
      <c r="D164" t="inlineStr">
        <is>
          <t>DALARNAS LÄN</t>
        </is>
      </c>
      <c r="E164" t="inlineStr">
        <is>
          <t>ÄLVDALEN</t>
        </is>
      </c>
      <c r="G164" t="n">
        <v>1.7</v>
      </c>
      <c r="H164" t="n">
        <v>0</v>
      </c>
      <c r="I164" t="n">
        <v>0</v>
      </c>
      <c r="J164" t="n">
        <v>0</v>
      </c>
      <c r="K164" t="n">
        <v>0</v>
      </c>
      <c r="L164" t="n">
        <v>0</v>
      </c>
      <c r="M164" t="n">
        <v>0</v>
      </c>
      <c r="N164" t="n">
        <v>0</v>
      </c>
      <c r="O164" t="n">
        <v>0</v>
      </c>
      <c r="P164" t="n">
        <v>0</v>
      </c>
      <c r="Q164" t="n">
        <v>0</v>
      </c>
      <c r="R164" s="2" t="inlineStr"/>
    </row>
    <row r="165" ht="15" customHeight="1">
      <c r="A165" t="inlineStr">
        <is>
          <t>A 4292-2019</t>
        </is>
      </c>
      <c r="B165" s="1" t="n">
        <v>43483</v>
      </c>
      <c r="C165" s="1" t="n">
        <v>45338</v>
      </c>
      <c r="D165" t="inlineStr">
        <is>
          <t>DALARNAS LÄN</t>
        </is>
      </c>
      <c r="E165" t="inlineStr">
        <is>
          <t>ÄLVDALEN</t>
        </is>
      </c>
      <c r="F165" t="inlineStr">
        <is>
          <t>Allmännings- och besparingsskogar</t>
        </is>
      </c>
      <c r="G165" t="n">
        <v>48.1</v>
      </c>
      <c r="H165" t="n">
        <v>0</v>
      </c>
      <c r="I165" t="n">
        <v>0</v>
      </c>
      <c r="J165" t="n">
        <v>0</v>
      </c>
      <c r="K165" t="n">
        <v>0</v>
      </c>
      <c r="L165" t="n">
        <v>0</v>
      </c>
      <c r="M165" t="n">
        <v>0</v>
      </c>
      <c r="N165" t="n">
        <v>0</v>
      </c>
      <c r="O165" t="n">
        <v>0</v>
      </c>
      <c r="P165" t="n">
        <v>0</v>
      </c>
      <c r="Q165" t="n">
        <v>0</v>
      </c>
      <c r="R165" s="2" t="inlineStr"/>
    </row>
    <row r="166" ht="15" customHeight="1">
      <c r="A166" t="inlineStr">
        <is>
          <t>A 4706-2019</t>
        </is>
      </c>
      <c r="B166" s="1" t="n">
        <v>43486</v>
      </c>
      <c r="C166" s="1" t="n">
        <v>45338</v>
      </c>
      <c r="D166" t="inlineStr">
        <is>
          <t>DALARNAS LÄN</t>
        </is>
      </c>
      <c r="E166" t="inlineStr">
        <is>
          <t>ÄLVDALEN</t>
        </is>
      </c>
      <c r="G166" t="n">
        <v>0.4</v>
      </c>
      <c r="H166" t="n">
        <v>0</v>
      </c>
      <c r="I166" t="n">
        <v>0</v>
      </c>
      <c r="J166" t="n">
        <v>0</v>
      </c>
      <c r="K166" t="n">
        <v>0</v>
      </c>
      <c r="L166" t="n">
        <v>0</v>
      </c>
      <c r="M166" t="n">
        <v>0</v>
      </c>
      <c r="N166" t="n">
        <v>0</v>
      </c>
      <c r="O166" t="n">
        <v>0</v>
      </c>
      <c r="P166" t="n">
        <v>0</v>
      </c>
      <c r="Q166" t="n">
        <v>0</v>
      </c>
      <c r="R166" s="2" t="inlineStr"/>
    </row>
    <row r="167" ht="15" customHeight="1">
      <c r="A167" t="inlineStr">
        <is>
          <t>A 7226-2019</t>
        </is>
      </c>
      <c r="B167" s="1" t="n">
        <v>43490</v>
      </c>
      <c r="C167" s="1" t="n">
        <v>45338</v>
      </c>
      <c r="D167" t="inlineStr">
        <is>
          <t>DALARNAS LÄN</t>
        </is>
      </c>
      <c r="E167" t="inlineStr">
        <is>
          <t>ÄLVDALEN</t>
        </is>
      </c>
      <c r="G167" t="n">
        <v>2.2</v>
      </c>
      <c r="H167" t="n">
        <v>0</v>
      </c>
      <c r="I167" t="n">
        <v>0</v>
      </c>
      <c r="J167" t="n">
        <v>0</v>
      </c>
      <c r="K167" t="n">
        <v>0</v>
      </c>
      <c r="L167" t="n">
        <v>0</v>
      </c>
      <c r="M167" t="n">
        <v>0</v>
      </c>
      <c r="N167" t="n">
        <v>0</v>
      </c>
      <c r="O167" t="n">
        <v>0</v>
      </c>
      <c r="P167" t="n">
        <v>0</v>
      </c>
      <c r="Q167" t="n">
        <v>0</v>
      </c>
      <c r="R167" s="2" t="inlineStr"/>
    </row>
    <row r="168" ht="15" customHeight="1">
      <c r="A168" t="inlineStr">
        <is>
          <t>A 7241-2019</t>
        </is>
      </c>
      <c r="B168" s="1" t="n">
        <v>43490</v>
      </c>
      <c r="C168" s="1" t="n">
        <v>45338</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8327-2019</t>
        </is>
      </c>
      <c r="B169" s="1" t="n">
        <v>43497</v>
      </c>
      <c r="C169" s="1" t="n">
        <v>45338</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8308-2019</t>
        </is>
      </c>
      <c r="B170" s="1" t="n">
        <v>43497</v>
      </c>
      <c r="C170" s="1" t="n">
        <v>45338</v>
      </c>
      <c r="D170" t="inlineStr">
        <is>
          <t>DALARNAS LÄN</t>
        </is>
      </c>
      <c r="E170" t="inlineStr">
        <is>
          <t>ÄLVDALEN</t>
        </is>
      </c>
      <c r="G170" t="n">
        <v>5.2</v>
      </c>
      <c r="H170" t="n">
        <v>0</v>
      </c>
      <c r="I170" t="n">
        <v>0</v>
      </c>
      <c r="J170" t="n">
        <v>0</v>
      </c>
      <c r="K170" t="n">
        <v>0</v>
      </c>
      <c r="L170" t="n">
        <v>0</v>
      </c>
      <c r="M170" t="n">
        <v>0</v>
      </c>
      <c r="N170" t="n">
        <v>0</v>
      </c>
      <c r="O170" t="n">
        <v>0</v>
      </c>
      <c r="P170" t="n">
        <v>0</v>
      </c>
      <c r="Q170" t="n">
        <v>0</v>
      </c>
      <c r="R170" s="2" t="inlineStr"/>
    </row>
    <row r="171" ht="15" customHeight="1">
      <c r="A171" t="inlineStr">
        <is>
          <t>A 8330-2019</t>
        </is>
      </c>
      <c r="B171" s="1" t="n">
        <v>43497</v>
      </c>
      <c r="C171" s="1" t="n">
        <v>45338</v>
      </c>
      <c r="D171" t="inlineStr">
        <is>
          <t>DALARNAS LÄN</t>
        </is>
      </c>
      <c r="E171" t="inlineStr">
        <is>
          <t>ÄLVDALEN</t>
        </is>
      </c>
      <c r="G171" t="n">
        <v>2.1</v>
      </c>
      <c r="H171" t="n">
        <v>0</v>
      </c>
      <c r="I171" t="n">
        <v>0</v>
      </c>
      <c r="J171" t="n">
        <v>0</v>
      </c>
      <c r="K171" t="n">
        <v>0</v>
      </c>
      <c r="L171" t="n">
        <v>0</v>
      </c>
      <c r="M171" t="n">
        <v>0</v>
      </c>
      <c r="N171" t="n">
        <v>0</v>
      </c>
      <c r="O171" t="n">
        <v>0</v>
      </c>
      <c r="P171" t="n">
        <v>0</v>
      </c>
      <c r="Q171" t="n">
        <v>0</v>
      </c>
      <c r="R171" s="2" t="inlineStr"/>
    </row>
    <row r="172" ht="15" customHeight="1">
      <c r="A172" t="inlineStr">
        <is>
          <t>A 9079-2019</t>
        </is>
      </c>
      <c r="B172" s="1" t="n">
        <v>43504</v>
      </c>
      <c r="C172" s="1" t="n">
        <v>45338</v>
      </c>
      <c r="D172" t="inlineStr">
        <is>
          <t>DALARNAS LÄN</t>
        </is>
      </c>
      <c r="E172" t="inlineStr">
        <is>
          <t>ÄLVDALEN</t>
        </is>
      </c>
      <c r="G172" t="n">
        <v>1.7</v>
      </c>
      <c r="H172" t="n">
        <v>0</v>
      </c>
      <c r="I172" t="n">
        <v>0</v>
      </c>
      <c r="J172" t="n">
        <v>0</v>
      </c>
      <c r="K172" t="n">
        <v>0</v>
      </c>
      <c r="L172" t="n">
        <v>0</v>
      </c>
      <c r="M172" t="n">
        <v>0</v>
      </c>
      <c r="N172" t="n">
        <v>0</v>
      </c>
      <c r="O172" t="n">
        <v>0</v>
      </c>
      <c r="P172" t="n">
        <v>0</v>
      </c>
      <c r="Q172" t="n">
        <v>0</v>
      </c>
      <c r="R172" s="2" t="inlineStr"/>
    </row>
    <row r="173" ht="15" customHeight="1">
      <c r="A173" t="inlineStr">
        <is>
          <t>A 12162-2019</t>
        </is>
      </c>
      <c r="B173" s="1" t="n">
        <v>43522</v>
      </c>
      <c r="C173" s="1" t="n">
        <v>45338</v>
      </c>
      <c r="D173" t="inlineStr">
        <is>
          <t>DALARNAS LÄN</t>
        </is>
      </c>
      <c r="E173" t="inlineStr">
        <is>
          <t>ÄLVDALEN</t>
        </is>
      </c>
      <c r="G173" t="n">
        <v>1.8</v>
      </c>
      <c r="H173" t="n">
        <v>0</v>
      </c>
      <c r="I173" t="n">
        <v>0</v>
      </c>
      <c r="J173" t="n">
        <v>0</v>
      </c>
      <c r="K173" t="n">
        <v>0</v>
      </c>
      <c r="L173" t="n">
        <v>0</v>
      </c>
      <c r="M173" t="n">
        <v>0</v>
      </c>
      <c r="N173" t="n">
        <v>0</v>
      </c>
      <c r="O173" t="n">
        <v>0</v>
      </c>
      <c r="P173" t="n">
        <v>0</v>
      </c>
      <c r="Q173" t="n">
        <v>0</v>
      </c>
      <c r="R173" s="2" t="inlineStr"/>
    </row>
    <row r="174" ht="15" customHeight="1">
      <c r="A174" t="inlineStr">
        <is>
          <t>A 16345-2019</t>
        </is>
      </c>
      <c r="B174" s="1" t="n">
        <v>43545</v>
      </c>
      <c r="C174" s="1" t="n">
        <v>45338</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16439-2019</t>
        </is>
      </c>
      <c r="B175" s="1" t="n">
        <v>43546</v>
      </c>
      <c r="C175" s="1" t="n">
        <v>45338</v>
      </c>
      <c r="D175" t="inlineStr">
        <is>
          <t>DALARNAS LÄN</t>
        </is>
      </c>
      <c r="E175" t="inlineStr">
        <is>
          <t>ÄLVDALEN</t>
        </is>
      </c>
      <c r="G175" t="n">
        <v>7.8</v>
      </c>
      <c r="H175" t="n">
        <v>0</v>
      </c>
      <c r="I175" t="n">
        <v>0</v>
      </c>
      <c r="J175" t="n">
        <v>0</v>
      </c>
      <c r="K175" t="n">
        <v>0</v>
      </c>
      <c r="L175" t="n">
        <v>0</v>
      </c>
      <c r="M175" t="n">
        <v>0</v>
      </c>
      <c r="N175" t="n">
        <v>0</v>
      </c>
      <c r="O175" t="n">
        <v>0</v>
      </c>
      <c r="P175" t="n">
        <v>0</v>
      </c>
      <c r="Q175" t="n">
        <v>0</v>
      </c>
      <c r="R175" s="2" t="inlineStr"/>
    </row>
    <row r="176" ht="15" customHeight="1">
      <c r="A176" t="inlineStr">
        <is>
          <t>A 16443-2019</t>
        </is>
      </c>
      <c r="B176" s="1" t="n">
        <v>43546</v>
      </c>
      <c r="C176" s="1" t="n">
        <v>45338</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16747-2019</t>
        </is>
      </c>
      <c r="B177" s="1" t="n">
        <v>43549</v>
      </c>
      <c r="C177" s="1" t="n">
        <v>45338</v>
      </c>
      <c r="D177" t="inlineStr">
        <is>
          <t>DALARNAS LÄN</t>
        </is>
      </c>
      <c r="E177" t="inlineStr">
        <is>
          <t>ÄLVDALEN</t>
        </is>
      </c>
      <c r="G177" t="n">
        <v>0.8</v>
      </c>
      <c r="H177" t="n">
        <v>0</v>
      </c>
      <c r="I177" t="n">
        <v>0</v>
      </c>
      <c r="J177" t="n">
        <v>0</v>
      </c>
      <c r="K177" t="n">
        <v>0</v>
      </c>
      <c r="L177" t="n">
        <v>0</v>
      </c>
      <c r="M177" t="n">
        <v>0</v>
      </c>
      <c r="N177" t="n">
        <v>0</v>
      </c>
      <c r="O177" t="n">
        <v>0</v>
      </c>
      <c r="P177" t="n">
        <v>0</v>
      </c>
      <c r="Q177" t="n">
        <v>0</v>
      </c>
      <c r="R177" s="2" t="inlineStr"/>
    </row>
    <row r="178" ht="15" customHeight="1">
      <c r="A178" t="inlineStr">
        <is>
          <t>A 17015-2019</t>
        </is>
      </c>
      <c r="B178" s="1" t="n">
        <v>43550</v>
      </c>
      <c r="C178" s="1" t="n">
        <v>45338</v>
      </c>
      <c r="D178" t="inlineStr">
        <is>
          <t>DALARNAS LÄN</t>
        </is>
      </c>
      <c r="E178" t="inlineStr">
        <is>
          <t>ÄLVDALEN</t>
        </is>
      </c>
      <c r="G178" t="n">
        <v>2.8</v>
      </c>
      <c r="H178" t="n">
        <v>0</v>
      </c>
      <c r="I178" t="n">
        <v>0</v>
      </c>
      <c r="J178" t="n">
        <v>0</v>
      </c>
      <c r="K178" t="n">
        <v>0</v>
      </c>
      <c r="L178" t="n">
        <v>0</v>
      </c>
      <c r="M178" t="n">
        <v>0</v>
      </c>
      <c r="N178" t="n">
        <v>0</v>
      </c>
      <c r="O178" t="n">
        <v>0</v>
      </c>
      <c r="P178" t="n">
        <v>0</v>
      </c>
      <c r="Q178" t="n">
        <v>0</v>
      </c>
      <c r="R178" s="2" t="inlineStr"/>
    </row>
    <row r="179" ht="15" customHeight="1">
      <c r="A179" t="inlineStr">
        <is>
          <t>A 17228-2019</t>
        </is>
      </c>
      <c r="B179" s="1" t="n">
        <v>43552</v>
      </c>
      <c r="C179" s="1" t="n">
        <v>45338</v>
      </c>
      <c r="D179" t="inlineStr">
        <is>
          <t>DALARNAS LÄN</t>
        </is>
      </c>
      <c r="E179" t="inlineStr">
        <is>
          <t>ÄLVDALEN</t>
        </is>
      </c>
      <c r="F179" t="inlineStr">
        <is>
          <t>Övriga statliga verk och myndigheter</t>
        </is>
      </c>
      <c r="G179" t="n">
        <v>36.8</v>
      </c>
      <c r="H179" t="n">
        <v>0</v>
      </c>
      <c r="I179" t="n">
        <v>0</v>
      </c>
      <c r="J179" t="n">
        <v>0</v>
      </c>
      <c r="K179" t="n">
        <v>0</v>
      </c>
      <c r="L179" t="n">
        <v>0</v>
      </c>
      <c r="M179" t="n">
        <v>0</v>
      </c>
      <c r="N179" t="n">
        <v>0</v>
      </c>
      <c r="O179" t="n">
        <v>0</v>
      </c>
      <c r="P179" t="n">
        <v>0</v>
      </c>
      <c r="Q179" t="n">
        <v>0</v>
      </c>
      <c r="R179" s="2" t="inlineStr"/>
    </row>
    <row r="180" ht="15" customHeight="1">
      <c r="A180" t="inlineStr">
        <is>
          <t>A 17751-2019</t>
        </is>
      </c>
      <c r="B180" s="1" t="n">
        <v>43556</v>
      </c>
      <c r="C180" s="1" t="n">
        <v>45338</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17741-2019</t>
        </is>
      </c>
      <c r="B181" s="1" t="n">
        <v>43556</v>
      </c>
      <c r="C181" s="1" t="n">
        <v>45338</v>
      </c>
      <c r="D181" t="inlineStr">
        <is>
          <t>DALARNAS LÄN</t>
        </is>
      </c>
      <c r="E181" t="inlineStr">
        <is>
          <t>ÄLVDALEN</t>
        </is>
      </c>
      <c r="G181" t="n">
        <v>2.3</v>
      </c>
      <c r="H181" t="n">
        <v>0</v>
      </c>
      <c r="I181" t="n">
        <v>0</v>
      </c>
      <c r="J181" t="n">
        <v>0</v>
      </c>
      <c r="K181" t="n">
        <v>0</v>
      </c>
      <c r="L181" t="n">
        <v>0</v>
      </c>
      <c r="M181" t="n">
        <v>0</v>
      </c>
      <c r="N181" t="n">
        <v>0</v>
      </c>
      <c r="O181" t="n">
        <v>0</v>
      </c>
      <c r="P181" t="n">
        <v>0</v>
      </c>
      <c r="Q181" t="n">
        <v>0</v>
      </c>
      <c r="R181" s="2" t="inlineStr"/>
    </row>
    <row r="182" ht="15" customHeight="1">
      <c r="A182" t="inlineStr">
        <is>
          <t>A 20104-2019</t>
        </is>
      </c>
      <c r="B182" s="1" t="n">
        <v>43570</v>
      </c>
      <c r="C182" s="1" t="n">
        <v>45338</v>
      </c>
      <c r="D182" t="inlineStr">
        <is>
          <t>DALARNAS LÄN</t>
        </is>
      </c>
      <c r="E182" t="inlineStr">
        <is>
          <t>ÄLVDALEN</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20004-2019</t>
        </is>
      </c>
      <c r="B183" s="1" t="n">
        <v>43570</v>
      </c>
      <c r="C183" s="1" t="n">
        <v>45338</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20948-2019</t>
        </is>
      </c>
      <c r="B184" s="1" t="n">
        <v>43578</v>
      </c>
      <c r="C184" s="1" t="n">
        <v>45338</v>
      </c>
      <c r="D184" t="inlineStr">
        <is>
          <t>DALARNAS LÄN</t>
        </is>
      </c>
      <c r="E184" t="inlineStr">
        <is>
          <t>ÄLVDALEN</t>
        </is>
      </c>
      <c r="G184" t="n">
        <v>1.2</v>
      </c>
      <c r="H184" t="n">
        <v>0</v>
      </c>
      <c r="I184" t="n">
        <v>0</v>
      </c>
      <c r="J184" t="n">
        <v>0</v>
      </c>
      <c r="K184" t="n">
        <v>0</v>
      </c>
      <c r="L184" t="n">
        <v>0</v>
      </c>
      <c r="M184" t="n">
        <v>0</v>
      </c>
      <c r="N184" t="n">
        <v>0</v>
      </c>
      <c r="O184" t="n">
        <v>0</v>
      </c>
      <c r="P184" t="n">
        <v>0</v>
      </c>
      <c r="Q184" t="n">
        <v>0</v>
      </c>
      <c r="R184" s="2" t="inlineStr"/>
    </row>
    <row r="185" ht="15" customHeight="1">
      <c r="A185" t="inlineStr">
        <is>
          <t>A 20962-2019</t>
        </is>
      </c>
      <c r="B185" s="1" t="n">
        <v>43578</v>
      </c>
      <c r="C185" s="1" t="n">
        <v>45338</v>
      </c>
      <c r="D185" t="inlineStr">
        <is>
          <t>DALARNAS LÄN</t>
        </is>
      </c>
      <c r="E185" t="inlineStr">
        <is>
          <t>ÄLVDALEN</t>
        </is>
      </c>
      <c r="G185" t="n">
        <v>1.4</v>
      </c>
      <c r="H185" t="n">
        <v>0</v>
      </c>
      <c r="I185" t="n">
        <v>0</v>
      </c>
      <c r="J185" t="n">
        <v>0</v>
      </c>
      <c r="K185" t="n">
        <v>0</v>
      </c>
      <c r="L185" t="n">
        <v>0</v>
      </c>
      <c r="M185" t="n">
        <v>0</v>
      </c>
      <c r="N185" t="n">
        <v>0</v>
      </c>
      <c r="O185" t="n">
        <v>0</v>
      </c>
      <c r="P185" t="n">
        <v>0</v>
      </c>
      <c r="Q185" t="n">
        <v>0</v>
      </c>
      <c r="R185" s="2" t="inlineStr"/>
    </row>
    <row r="186" ht="15" customHeight="1">
      <c r="A186" t="inlineStr">
        <is>
          <t>A 21717-2019</t>
        </is>
      </c>
      <c r="B186" s="1" t="n">
        <v>43581</v>
      </c>
      <c r="C186" s="1" t="n">
        <v>45338</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21969-2019</t>
        </is>
      </c>
      <c r="B187" s="1" t="n">
        <v>43584</v>
      </c>
      <c r="C187" s="1" t="n">
        <v>45338</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23360-2019</t>
        </is>
      </c>
      <c r="B188" s="1" t="n">
        <v>43593</v>
      </c>
      <c r="C188" s="1" t="n">
        <v>45338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23946-2019</t>
        </is>
      </c>
      <c r="B189" s="1" t="n">
        <v>43596</v>
      </c>
      <c r="C189" s="1" t="n">
        <v>45338</v>
      </c>
      <c r="D189" t="inlineStr">
        <is>
          <t>DALARNAS LÄN</t>
        </is>
      </c>
      <c r="E189" t="inlineStr">
        <is>
          <t>ÄLVDALEN</t>
        </is>
      </c>
      <c r="G189" t="n">
        <v>3.6</v>
      </c>
      <c r="H189" t="n">
        <v>0</v>
      </c>
      <c r="I189" t="n">
        <v>0</v>
      </c>
      <c r="J189" t="n">
        <v>0</v>
      </c>
      <c r="K189" t="n">
        <v>0</v>
      </c>
      <c r="L189" t="n">
        <v>0</v>
      </c>
      <c r="M189" t="n">
        <v>0</v>
      </c>
      <c r="N189" t="n">
        <v>0</v>
      </c>
      <c r="O189" t="n">
        <v>0</v>
      </c>
      <c r="P189" t="n">
        <v>0</v>
      </c>
      <c r="Q189" t="n">
        <v>0</v>
      </c>
      <c r="R189" s="2" t="inlineStr"/>
    </row>
    <row r="190" ht="15" customHeight="1">
      <c r="A190" t="inlineStr">
        <is>
          <t>A 24651-2019</t>
        </is>
      </c>
      <c r="B190" s="1" t="n">
        <v>43601</v>
      </c>
      <c r="C190" s="1" t="n">
        <v>45338</v>
      </c>
      <c r="D190" t="inlineStr">
        <is>
          <t>DALARNAS LÄN</t>
        </is>
      </c>
      <c r="E190" t="inlineStr">
        <is>
          <t>ÄLVDALEN</t>
        </is>
      </c>
      <c r="G190" t="n">
        <v>10.1</v>
      </c>
      <c r="H190" t="n">
        <v>0</v>
      </c>
      <c r="I190" t="n">
        <v>0</v>
      </c>
      <c r="J190" t="n">
        <v>0</v>
      </c>
      <c r="K190" t="n">
        <v>0</v>
      </c>
      <c r="L190" t="n">
        <v>0</v>
      </c>
      <c r="M190" t="n">
        <v>0</v>
      </c>
      <c r="N190" t="n">
        <v>0</v>
      </c>
      <c r="O190" t="n">
        <v>0</v>
      </c>
      <c r="P190" t="n">
        <v>0</v>
      </c>
      <c r="Q190" t="n">
        <v>0</v>
      </c>
      <c r="R190" s="2" t="inlineStr"/>
    </row>
    <row r="191" ht="15" customHeight="1">
      <c r="A191" t="inlineStr">
        <is>
          <t>A 25001-2019</t>
        </is>
      </c>
      <c r="B191" s="1" t="n">
        <v>43602</v>
      </c>
      <c r="C191" s="1" t="n">
        <v>45338</v>
      </c>
      <c r="D191" t="inlineStr">
        <is>
          <t>DALARNAS LÄN</t>
        </is>
      </c>
      <c r="E191" t="inlineStr">
        <is>
          <t>ÄLVDALEN</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26164-2019</t>
        </is>
      </c>
      <c r="B192" s="1" t="n">
        <v>43609</v>
      </c>
      <c r="C192" s="1" t="n">
        <v>45338</v>
      </c>
      <c r="D192" t="inlineStr">
        <is>
          <t>DALARNAS LÄN</t>
        </is>
      </c>
      <c r="E192" t="inlineStr">
        <is>
          <t>ÄLVDALEN</t>
        </is>
      </c>
      <c r="F192" t="inlineStr">
        <is>
          <t>Kommuner</t>
        </is>
      </c>
      <c r="G192" t="n">
        <v>2</v>
      </c>
      <c r="H192" t="n">
        <v>0</v>
      </c>
      <c r="I192" t="n">
        <v>0</v>
      </c>
      <c r="J192" t="n">
        <v>0</v>
      </c>
      <c r="K192" t="n">
        <v>0</v>
      </c>
      <c r="L192" t="n">
        <v>0</v>
      </c>
      <c r="M192" t="n">
        <v>0</v>
      </c>
      <c r="N192" t="n">
        <v>0</v>
      </c>
      <c r="O192" t="n">
        <v>0</v>
      </c>
      <c r="P192" t="n">
        <v>0</v>
      </c>
      <c r="Q192" t="n">
        <v>0</v>
      </c>
      <c r="R192" s="2" t="inlineStr"/>
    </row>
    <row r="193" ht="15" customHeight="1">
      <c r="A193" t="inlineStr">
        <is>
          <t>A 26127-2019</t>
        </is>
      </c>
      <c r="B193" s="1" t="n">
        <v>43609</v>
      </c>
      <c r="C193" s="1" t="n">
        <v>45338</v>
      </c>
      <c r="D193" t="inlineStr">
        <is>
          <t>DALARNAS LÄN</t>
        </is>
      </c>
      <c r="E193" t="inlineStr">
        <is>
          <t>ÄLVDALEN</t>
        </is>
      </c>
      <c r="G193" t="n">
        <v>1.5</v>
      </c>
      <c r="H193" t="n">
        <v>0</v>
      </c>
      <c r="I193" t="n">
        <v>0</v>
      </c>
      <c r="J193" t="n">
        <v>0</v>
      </c>
      <c r="K193" t="n">
        <v>0</v>
      </c>
      <c r="L193" t="n">
        <v>0</v>
      </c>
      <c r="M193" t="n">
        <v>0</v>
      </c>
      <c r="N193" t="n">
        <v>0</v>
      </c>
      <c r="O193" t="n">
        <v>0</v>
      </c>
      <c r="P193" t="n">
        <v>0</v>
      </c>
      <c r="Q193" t="n">
        <v>0</v>
      </c>
      <c r="R193" s="2" t="inlineStr"/>
    </row>
    <row r="194" ht="15" customHeight="1">
      <c r="A194" t="inlineStr">
        <is>
          <t>A 27077-2019</t>
        </is>
      </c>
      <c r="B194" s="1" t="n">
        <v>43609</v>
      </c>
      <c r="C194" s="1" t="n">
        <v>45338</v>
      </c>
      <c r="D194" t="inlineStr">
        <is>
          <t>DALARNAS LÄN</t>
        </is>
      </c>
      <c r="E194" t="inlineStr">
        <is>
          <t>ÄLVDALEN</t>
        </is>
      </c>
      <c r="G194" t="n">
        <v>7.4</v>
      </c>
      <c r="H194" t="n">
        <v>0</v>
      </c>
      <c r="I194" t="n">
        <v>0</v>
      </c>
      <c r="J194" t="n">
        <v>0</v>
      </c>
      <c r="K194" t="n">
        <v>0</v>
      </c>
      <c r="L194" t="n">
        <v>0</v>
      </c>
      <c r="M194" t="n">
        <v>0</v>
      </c>
      <c r="N194" t="n">
        <v>0</v>
      </c>
      <c r="O194" t="n">
        <v>0</v>
      </c>
      <c r="P194" t="n">
        <v>0</v>
      </c>
      <c r="Q194" t="n">
        <v>0</v>
      </c>
      <c r="R194" s="2" t="inlineStr"/>
    </row>
    <row r="195" ht="15" customHeight="1">
      <c r="A195" t="inlineStr">
        <is>
          <t>A 26103-2019</t>
        </is>
      </c>
      <c r="B195" s="1" t="n">
        <v>43609</v>
      </c>
      <c r="C195" s="1" t="n">
        <v>45338</v>
      </c>
      <c r="D195" t="inlineStr">
        <is>
          <t>DALARNAS LÄN</t>
        </is>
      </c>
      <c r="E195" t="inlineStr">
        <is>
          <t>ÄLVDALEN</t>
        </is>
      </c>
      <c r="G195" t="n">
        <v>12.7</v>
      </c>
      <c r="H195" t="n">
        <v>0</v>
      </c>
      <c r="I195" t="n">
        <v>0</v>
      </c>
      <c r="J195" t="n">
        <v>0</v>
      </c>
      <c r="K195" t="n">
        <v>0</v>
      </c>
      <c r="L195" t="n">
        <v>0</v>
      </c>
      <c r="M195" t="n">
        <v>0</v>
      </c>
      <c r="N195" t="n">
        <v>0</v>
      </c>
      <c r="O195" t="n">
        <v>0</v>
      </c>
      <c r="P195" t="n">
        <v>0</v>
      </c>
      <c r="Q195" t="n">
        <v>0</v>
      </c>
      <c r="R195" s="2" t="inlineStr"/>
    </row>
    <row r="196" ht="15" customHeight="1">
      <c r="A196" t="inlineStr">
        <is>
          <t>A 26910-2019</t>
        </is>
      </c>
      <c r="B196" s="1" t="n">
        <v>43613</v>
      </c>
      <c r="C196" s="1" t="n">
        <v>45338</v>
      </c>
      <c r="D196" t="inlineStr">
        <is>
          <t>DALARNAS LÄN</t>
        </is>
      </c>
      <c r="E196" t="inlineStr">
        <is>
          <t>ÄLVDALEN</t>
        </is>
      </c>
      <c r="G196" t="n">
        <v>4.1</v>
      </c>
      <c r="H196" t="n">
        <v>0</v>
      </c>
      <c r="I196" t="n">
        <v>0</v>
      </c>
      <c r="J196" t="n">
        <v>0</v>
      </c>
      <c r="K196" t="n">
        <v>0</v>
      </c>
      <c r="L196" t="n">
        <v>0</v>
      </c>
      <c r="M196" t="n">
        <v>0</v>
      </c>
      <c r="N196" t="n">
        <v>0</v>
      </c>
      <c r="O196" t="n">
        <v>0</v>
      </c>
      <c r="P196" t="n">
        <v>0</v>
      </c>
      <c r="Q196" t="n">
        <v>0</v>
      </c>
      <c r="R196" s="2" t="inlineStr"/>
    </row>
    <row r="197" ht="15" customHeight="1">
      <c r="A197" t="inlineStr">
        <is>
          <t>A 27720-2019</t>
        </is>
      </c>
      <c r="B197" s="1" t="n">
        <v>43619</v>
      </c>
      <c r="C197" s="1" t="n">
        <v>45338</v>
      </c>
      <c r="D197" t="inlineStr">
        <is>
          <t>DALARNAS LÄN</t>
        </is>
      </c>
      <c r="E197" t="inlineStr">
        <is>
          <t>ÄLVDALEN</t>
        </is>
      </c>
      <c r="F197" t="inlineStr">
        <is>
          <t>Bergvik skog väst AB</t>
        </is>
      </c>
      <c r="G197" t="n">
        <v>12.4</v>
      </c>
      <c r="H197" t="n">
        <v>0</v>
      </c>
      <c r="I197" t="n">
        <v>0</v>
      </c>
      <c r="J197" t="n">
        <v>0</v>
      </c>
      <c r="K197" t="n">
        <v>0</v>
      </c>
      <c r="L197" t="n">
        <v>0</v>
      </c>
      <c r="M197" t="n">
        <v>0</v>
      </c>
      <c r="N197" t="n">
        <v>0</v>
      </c>
      <c r="O197" t="n">
        <v>0</v>
      </c>
      <c r="P197" t="n">
        <v>0</v>
      </c>
      <c r="Q197" t="n">
        <v>0</v>
      </c>
      <c r="R197" s="2" t="inlineStr"/>
    </row>
    <row r="198" ht="15" customHeight="1">
      <c r="A198" t="inlineStr">
        <is>
          <t>A 27691-2019</t>
        </is>
      </c>
      <c r="B198" s="1" t="n">
        <v>43619</v>
      </c>
      <c r="C198" s="1" t="n">
        <v>45338</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28350-2019</t>
        </is>
      </c>
      <c r="B199" s="1" t="n">
        <v>43624</v>
      </c>
      <c r="C199" s="1" t="n">
        <v>45338</v>
      </c>
      <c r="D199" t="inlineStr">
        <is>
          <t>DALARNAS LÄN</t>
        </is>
      </c>
      <c r="E199" t="inlineStr">
        <is>
          <t>ÄLVDALEN</t>
        </is>
      </c>
      <c r="G199" t="n">
        <v>18.2</v>
      </c>
      <c r="H199" t="n">
        <v>0</v>
      </c>
      <c r="I199" t="n">
        <v>0</v>
      </c>
      <c r="J199" t="n">
        <v>0</v>
      </c>
      <c r="K199" t="n">
        <v>0</v>
      </c>
      <c r="L199" t="n">
        <v>0</v>
      </c>
      <c r="M199" t="n">
        <v>0</v>
      </c>
      <c r="N199" t="n">
        <v>0</v>
      </c>
      <c r="O199" t="n">
        <v>0</v>
      </c>
      <c r="P199" t="n">
        <v>0</v>
      </c>
      <c r="Q199" t="n">
        <v>0</v>
      </c>
      <c r="R199" s="2" t="inlineStr"/>
    </row>
    <row r="200" ht="15" customHeight="1">
      <c r="A200" t="inlineStr">
        <is>
          <t>A 28536-2019</t>
        </is>
      </c>
      <c r="B200" s="1" t="n">
        <v>43626</v>
      </c>
      <c r="C200" s="1" t="n">
        <v>45338</v>
      </c>
      <c r="D200" t="inlineStr">
        <is>
          <t>DALARNAS LÄN</t>
        </is>
      </c>
      <c r="E200" t="inlineStr">
        <is>
          <t>ÄLVDALEN</t>
        </is>
      </c>
      <c r="G200" t="n">
        <v>6.4</v>
      </c>
      <c r="H200" t="n">
        <v>0</v>
      </c>
      <c r="I200" t="n">
        <v>0</v>
      </c>
      <c r="J200" t="n">
        <v>0</v>
      </c>
      <c r="K200" t="n">
        <v>0</v>
      </c>
      <c r="L200" t="n">
        <v>0</v>
      </c>
      <c r="M200" t="n">
        <v>0</v>
      </c>
      <c r="N200" t="n">
        <v>0</v>
      </c>
      <c r="O200" t="n">
        <v>0</v>
      </c>
      <c r="P200" t="n">
        <v>0</v>
      </c>
      <c r="Q200" t="n">
        <v>0</v>
      </c>
      <c r="R200" s="2" t="inlineStr"/>
    </row>
    <row r="201" ht="15" customHeight="1">
      <c r="A201" t="inlineStr">
        <is>
          <t>A 28544-2019</t>
        </is>
      </c>
      <c r="B201" s="1" t="n">
        <v>43626</v>
      </c>
      <c r="C201" s="1" t="n">
        <v>45338</v>
      </c>
      <c r="D201" t="inlineStr">
        <is>
          <t>DALARNAS LÄN</t>
        </is>
      </c>
      <c r="E201" t="inlineStr">
        <is>
          <t>ÄLVDALEN</t>
        </is>
      </c>
      <c r="G201" t="n">
        <v>4.3</v>
      </c>
      <c r="H201" t="n">
        <v>0</v>
      </c>
      <c r="I201" t="n">
        <v>0</v>
      </c>
      <c r="J201" t="n">
        <v>0</v>
      </c>
      <c r="K201" t="n">
        <v>0</v>
      </c>
      <c r="L201" t="n">
        <v>0</v>
      </c>
      <c r="M201" t="n">
        <v>0</v>
      </c>
      <c r="N201" t="n">
        <v>0</v>
      </c>
      <c r="O201" t="n">
        <v>0</v>
      </c>
      <c r="P201" t="n">
        <v>0</v>
      </c>
      <c r="Q201" t="n">
        <v>0</v>
      </c>
      <c r="R201" s="2" t="inlineStr"/>
    </row>
    <row r="202" ht="15" customHeight="1">
      <c r="A202" t="inlineStr">
        <is>
          <t>A 28527-2019</t>
        </is>
      </c>
      <c r="B202" s="1" t="n">
        <v>43626</v>
      </c>
      <c r="C202" s="1" t="n">
        <v>45338</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28549-2019</t>
        </is>
      </c>
      <c r="B203" s="1" t="n">
        <v>43626</v>
      </c>
      <c r="C203" s="1" t="n">
        <v>45338</v>
      </c>
      <c r="D203" t="inlineStr">
        <is>
          <t>DALARNAS LÄN</t>
        </is>
      </c>
      <c r="E203" t="inlineStr">
        <is>
          <t>ÄLVDALEN</t>
        </is>
      </c>
      <c r="G203" t="n">
        <v>10.5</v>
      </c>
      <c r="H203" t="n">
        <v>0</v>
      </c>
      <c r="I203" t="n">
        <v>0</v>
      </c>
      <c r="J203" t="n">
        <v>0</v>
      </c>
      <c r="K203" t="n">
        <v>0</v>
      </c>
      <c r="L203" t="n">
        <v>0</v>
      </c>
      <c r="M203" t="n">
        <v>0</v>
      </c>
      <c r="N203" t="n">
        <v>0</v>
      </c>
      <c r="O203" t="n">
        <v>0</v>
      </c>
      <c r="P203" t="n">
        <v>0</v>
      </c>
      <c r="Q203" t="n">
        <v>0</v>
      </c>
      <c r="R203" s="2" t="inlineStr"/>
    </row>
    <row r="204" ht="15" customHeight="1">
      <c r="A204" t="inlineStr">
        <is>
          <t>A 28965-2019</t>
        </is>
      </c>
      <c r="B204" s="1" t="n">
        <v>43628</v>
      </c>
      <c r="C204" s="1" t="n">
        <v>45338</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30506-2019</t>
        </is>
      </c>
      <c r="B205" s="1" t="n">
        <v>43635</v>
      </c>
      <c r="C205" s="1" t="n">
        <v>45338</v>
      </c>
      <c r="D205" t="inlineStr">
        <is>
          <t>DALARNAS LÄN</t>
        </is>
      </c>
      <c r="E205" t="inlineStr">
        <is>
          <t>ÄLVDALEN</t>
        </is>
      </c>
      <c r="G205" t="n">
        <v>1.5</v>
      </c>
      <c r="H205" t="n">
        <v>0</v>
      </c>
      <c r="I205" t="n">
        <v>0</v>
      </c>
      <c r="J205" t="n">
        <v>0</v>
      </c>
      <c r="K205" t="n">
        <v>0</v>
      </c>
      <c r="L205" t="n">
        <v>0</v>
      </c>
      <c r="M205" t="n">
        <v>0</v>
      </c>
      <c r="N205" t="n">
        <v>0</v>
      </c>
      <c r="O205" t="n">
        <v>0</v>
      </c>
      <c r="P205" t="n">
        <v>0</v>
      </c>
      <c r="Q205" t="n">
        <v>0</v>
      </c>
      <c r="R205" s="2" t="inlineStr"/>
    </row>
    <row r="206" ht="15" customHeight="1">
      <c r="A206" t="inlineStr">
        <is>
          <t>A 32347-2019</t>
        </is>
      </c>
      <c r="B206" s="1" t="n">
        <v>43644</v>
      </c>
      <c r="C206" s="1" t="n">
        <v>45338</v>
      </c>
      <c r="D206" t="inlineStr">
        <is>
          <t>DALARNAS LÄN</t>
        </is>
      </c>
      <c r="E206" t="inlineStr">
        <is>
          <t>ÄLVDALEN</t>
        </is>
      </c>
      <c r="G206" t="n">
        <v>0.5</v>
      </c>
      <c r="H206" t="n">
        <v>0</v>
      </c>
      <c r="I206" t="n">
        <v>0</v>
      </c>
      <c r="J206" t="n">
        <v>0</v>
      </c>
      <c r="K206" t="n">
        <v>0</v>
      </c>
      <c r="L206" t="n">
        <v>0</v>
      </c>
      <c r="M206" t="n">
        <v>0</v>
      </c>
      <c r="N206" t="n">
        <v>0</v>
      </c>
      <c r="O206" t="n">
        <v>0</v>
      </c>
      <c r="P206" t="n">
        <v>0</v>
      </c>
      <c r="Q206" t="n">
        <v>0</v>
      </c>
      <c r="R206" s="2" t="inlineStr"/>
    </row>
    <row r="207" ht="15" customHeight="1">
      <c r="A207" t="inlineStr">
        <is>
          <t>A 32357-2019</t>
        </is>
      </c>
      <c r="B207" s="1" t="n">
        <v>43644</v>
      </c>
      <c r="C207" s="1" t="n">
        <v>45338</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32359-2019</t>
        </is>
      </c>
      <c r="B208" s="1" t="n">
        <v>43644</v>
      </c>
      <c r="C208" s="1" t="n">
        <v>45338</v>
      </c>
      <c r="D208" t="inlineStr">
        <is>
          <t>DALARNAS LÄN</t>
        </is>
      </c>
      <c r="E208" t="inlineStr">
        <is>
          <t>ÄLVDALEN</t>
        </is>
      </c>
      <c r="G208" t="n">
        <v>0.7</v>
      </c>
      <c r="H208" t="n">
        <v>0</v>
      </c>
      <c r="I208" t="n">
        <v>0</v>
      </c>
      <c r="J208" t="n">
        <v>0</v>
      </c>
      <c r="K208" t="n">
        <v>0</v>
      </c>
      <c r="L208" t="n">
        <v>0</v>
      </c>
      <c r="M208" t="n">
        <v>0</v>
      </c>
      <c r="N208" t="n">
        <v>0</v>
      </c>
      <c r="O208" t="n">
        <v>0</v>
      </c>
      <c r="P208" t="n">
        <v>0</v>
      </c>
      <c r="Q208" t="n">
        <v>0</v>
      </c>
      <c r="R208" s="2" t="inlineStr"/>
    </row>
    <row r="209" ht="15" customHeight="1">
      <c r="A209" t="inlineStr">
        <is>
          <t>A 32670-2019</t>
        </is>
      </c>
      <c r="B209" s="1" t="n">
        <v>43647</v>
      </c>
      <c r="C209" s="1" t="n">
        <v>45338</v>
      </c>
      <c r="D209" t="inlineStr">
        <is>
          <t>DALARNAS LÄN</t>
        </is>
      </c>
      <c r="E209" t="inlineStr">
        <is>
          <t>ÄLVDALEN</t>
        </is>
      </c>
      <c r="G209" t="n">
        <v>0.4</v>
      </c>
      <c r="H209" t="n">
        <v>0</v>
      </c>
      <c r="I209" t="n">
        <v>0</v>
      </c>
      <c r="J209" t="n">
        <v>0</v>
      </c>
      <c r="K209" t="n">
        <v>0</v>
      </c>
      <c r="L209" t="n">
        <v>0</v>
      </c>
      <c r="M209" t="n">
        <v>0</v>
      </c>
      <c r="N209" t="n">
        <v>0</v>
      </c>
      <c r="O209" t="n">
        <v>0</v>
      </c>
      <c r="P209" t="n">
        <v>0</v>
      </c>
      <c r="Q209" t="n">
        <v>0</v>
      </c>
      <c r="R209" s="2" t="inlineStr"/>
    </row>
    <row r="210" ht="15" customHeight="1">
      <c r="A210" t="inlineStr">
        <is>
          <t>A 35529-2019</t>
        </is>
      </c>
      <c r="B210" s="1" t="n">
        <v>43654</v>
      </c>
      <c r="C210" s="1" t="n">
        <v>45338</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34550-2019</t>
        </is>
      </c>
      <c r="B211" s="1" t="n">
        <v>43657</v>
      </c>
      <c r="C211" s="1" t="n">
        <v>45338</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36080-2019</t>
        </is>
      </c>
      <c r="B212" s="1" t="n">
        <v>43657</v>
      </c>
      <c r="C212" s="1" t="n">
        <v>45338</v>
      </c>
      <c r="D212" t="inlineStr">
        <is>
          <t>DALARNAS LÄN</t>
        </is>
      </c>
      <c r="E212" t="inlineStr">
        <is>
          <t>ÄLVDALEN</t>
        </is>
      </c>
      <c r="G212" t="n">
        <v>1.7</v>
      </c>
      <c r="H212" t="n">
        <v>0</v>
      </c>
      <c r="I212" t="n">
        <v>0</v>
      </c>
      <c r="J212" t="n">
        <v>0</v>
      </c>
      <c r="K212" t="n">
        <v>0</v>
      </c>
      <c r="L212" t="n">
        <v>0</v>
      </c>
      <c r="M212" t="n">
        <v>0</v>
      </c>
      <c r="N212" t="n">
        <v>0</v>
      </c>
      <c r="O212" t="n">
        <v>0</v>
      </c>
      <c r="P212" t="n">
        <v>0</v>
      </c>
      <c r="Q212" t="n">
        <v>0</v>
      </c>
      <c r="R212" s="2" t="inlineStr"/>
    </row>
    <row r="213" ht="15" customHeight="1">
      <c r="A213" t="inlineStr">
        <is>
          <t>A 35136-2019</t>
        </is>
      </c>
      <c r="B213" s="1" t="n">
        <v>43661</v>
      </c>
      <c r="C213" s="1" t="n">
        <v>45338</v>
      </c>
      <c r="D213" t="inlineStr">
        <is>
          <t>DALARNAS LÄN</t>
        </is>
      </c>
      <c r="E213" t="inlineStr">
        <is>
          <t>ÄLVDALEN</t>
        </is>
      </c>
      <c r="G213" t="n">
        <v>0.8</v>
      </c>
      <c r="H213" t="n">
        <v>0</v>
      </c>
      <c r="I213" t="n">
        <v>0</v>
      </c>
      <c r="J213" t="n">
        <v>0</v>
      </c>
      <c r="K213" t="n">
        <v>0</v>
      </c>
      <c r="L213" t="n">
        <v>0</v>
      </c>
      <c r="M213" t="n">
        <v>0</v>
      </c>
      <c r="N213" t="n">
        <v>0</v>
      </c>
      <c r="O213" t="n">
        <v>0</v>
      </c>
      <c r="P213" t="n">
        <v>0</v>
      </c>
      <c r="Q213" t="n">
        <v>0</v>
      </c>
      <c r="R213" s="2" t="inlineStr"/>
    </row>
    <row r="214" ht="15" customHeight="1">
      <c r="A214" t="inlineStr">
        <is>
          <t>A 35463-2019</t>
        </is>
      </c>
      <c r="B214" s="1" t="n">
        <v>43663</v>
      </c>
      <c r="C214" s="1" t="n">
        <v>45338</v>
      </c>
      <c r="D214" t="inlineStr">
        <is>
          <t>DALARNAS LÄN</t>
        </is>
      </c>
      <c r="E214" t="inlineStr">
        <is>
          <t>ÄLVDALEN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35457-2019</t>
        </is>
      </c>
      <c r="B215" s="1" t="n">
        <v>43663</v>
      </c>
      <c r="C215" s="1" t="n">
        <v>45338</v>
      </c>
      <c r="D215" t="inlineStr">
        <is>
          <t>DALARNAS LÄN</t>
        </is>
      </c>
      <c r="E215" t="inlineStr">
        <is>
          <t>ÄLVDALEN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35458-2019</t>
        </is>
      </c>
      <c r="B216" s="1" t="n">
        <v>43663</v>
      </c>
      <c r="C216" s="1" t="n">
        <v>45338</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35609-2019</t>
        </is>
      </c>
      <c r="B217" s="1" t="n">
        <v>43664</v>
      </c>
      <c r="C217" s="1" t="n">
        <v>45338</v>
      </c>
      <c r="D217" t="inlineStr">
        <is>
          <t>DALARNAS LÄN</t>
        </is>
      </c>
      <c r="E217" t="inlineStr">
        <is>
          <t>ÄLVDALEN</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35708-2019</t>
        </is>
      </c>
      <c r="B218" s="1" t="n">
        <v>43664</v>
      </c>
      <c r="C218" s="1" t="n">
        <v>45338</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35707-2019</t>
        </is>
      </c>
      <c r="B219" s="1" t="n">
        <v>43664</v>
      </c>
      <c r="C219" s="1" t="n">
        <v>45338</v>
      </c>
      <c r="D219" t="inlineStr">
        <is>
          <t>DALARNAS LÄN</t>
        </is>
      </c>
      <c r="E219" t="inlineStr">
        <is>
          <t>ÄLVDALEN</t>
        </is>
      </c>
      <c r="G219" t="n">
        <v>4.8</v>
      </c>
      <c r="H219" t="n">
        <v>0</v>
      </c>
      <c r="I219" t="n">
        <v>0</v>
      </c>
      <c r="J219" t="n">
        <v>0</v>
      </c>
      <c r="K219" t="n">
        <v>0</v>
      </c>
      <c r="L219" t="n">
        <v>0</v>
      </c>
      <c r="M219" t="n">
        <v>0</v>
      </c>
      <c r="N219" t="n">
        <v>0</v>
      </c>
      <c r="O219" t="n">
        <v>0</v>
      </c>
      <c r="P219" t="n">
        <v>0</v>
      </c>
      <c r="Q219" t="n">
        <v>0</v>
      </c>
      <c r="R219" s="2" t="inlineStr"/>
    </row>
    <row r="220" ht="15" customHeight="1">
      <c r="A220" t="inlineStr">
        <is>
          <t>A 36482-2019</t>
        </is>
      </c>
      <c r="B220" s="1" t="n">
        <v>43668</v>
      </c>
      <c r="C220" s="1" t="n">
        <v>45338</v>
      </c>
      <c r="D220" t="inlineStr">
        <is>
          <t>DALARNAS LÄN</t>
        </is>
      </c>
      <c r="E220" t="inlineStr">
        <is>
          <t>ÄLVDALEN</t>
        </is>
      </c>
      <c r="G220" t="n">
        <v>3</v>
      </c>
      <c r="H220" t="n">
        <v>0</v>
      </c>
      <c r="I220" t="n">
        <v>0</v>
      </c>
      <c r="J220" t="n">
        <v>0</v>
      </c>
      <c r="K220" t="n">
        <v>0</v>
      </c>
      <c r="L220" t="n">
        <v>0</v>
      </c>
      <c r="M220" t="n">
        <v>0</v>
      </c>
      <c r="N220" t="n">
        <v>0</v>
      </c>
      <c r="O220" t="n">
        <v>0</v>
      </c>
      <c r="P220" t="n">
        <v>0</v>
      </c>
      <c r="Q220" t="n">
        <v>0</v>
      </c>
      <c r="R220" s="2" t="inlineStr"/>
    </row>
    <row r="221" ht="15" customHeight="1">
      <c r="A221" t="inlineStr">
        <is>
          <t>A 36063-2019</t>
        </is>
      </c>
      <c r="B221" s="1" t="n">
        <v>43668</v>
      </c>
      <c r="C221" s="1" t="n">
        <v>45338</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37645-2019</t>
        </is>
      </c>
      <c r="B222" s="1" t="n">
        <v>43682</v>
      </c>
      <c r="C222" s="1" t="n">
        <v>45338</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37939-2019</t>
        </is>
      </c>
      <c r="B223" s="1" t="n">
        <v>43683</v>
      </c>
      <c r="C223" s="1" t="n">
        <v>45338</v>
      </c>
      <c r="D223" t="inlineStr">
        <is>
          <t>DALARNAS LÄN</t>
        </is>
      </c>
      <c r="E223" t="inlineStr">
        <is>
          <t>ÄLVDALEN</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37991-2019</t>
        </is>
      </c>
      <c r="B224" s="1" t="n">
        <v>43683</v>
      </c>
      <c r="C224" s="1" t="n">
        <v>45338</v>
      </c>
      <c r="D224" t="inlineStr">
        <is>
          <t>DALARNAS LÄN</t>
        </is>
      </c>
      <c r="E224" t="inlineStr">
        <is>
          <t>ÄLVDALEN</t>
        </is>
      </c>
      <c r="G224" t="n">
        <v>5.8</v>
      </c>
      <c r="H224" t="n">
        <v>0</v>
      </c>
      <c r="I224" t="n">
        <v>0</v>
      </c>
      <c r="J224" t="n">
        <v>0</v>
      </c>
      <c r="K224" t="n">
        <v>0</v>
      </c>
      <c r="L224" t="n">
        <v>0</v>
      </c>
      <c r="M224" t="n">
        <v>0</v>
      </c>
      <c r="N224" t="n">
        <v>0</v>
      </c>
      <c r="O224" t="n">
        <v>0</v>
      </c>
      <c r="P224" t="n">
        <v>0</v>
      </c>
      <c r="Q224" t="n">
        <v>0</v>
      </c>
      <c r="R224" s="2" t="inlineStr"/>
    </row>
    <row r="225" ht="15" customHeight="1">
      <c r="A225" t="inlineStr">
        <is>
          <t>A 38039-2019</t>
        </is>
      </c>
      <c r="B225" s="1" t="n">
        <v>43683</v>
      </c>
      <c r="C225" s="1" t="n">
        <v>45338</v>
      </c>
      <c r="D225" t="inlineStr">
        <is>
          <t>DALARNAS LÄN</t>
        </is>
      </c>
      <c r="E225" t="inlineStr">
        <is>
          <t>ÄLVDALEN</t>
        </is>
      </c>
      <c r="F225" t="inlineStr">
        <is>
          <t>Övriga statliga verk och myndigheter</t>
        </is>
      </c>
      <c r="G225" t="n">
        <v>3.6</v>
      </c>
      <c r="H225" t="n">
        <v>0</v>
      </c>
      <c r="I225" t="n">
        <v>0</v>
      </c>
      <c r="J225" t="n">
        <v>0</v>
      </c>
      <c r="K225" t="n">
        <v>0</v>
      </c>
      <c r="L225" t="n">
        <v>0</v>
      </c>
      <c r="M225" t="n">
        <v>0</v>
      </c>
      <c r="N225" t="n">
        <v>0</v>
      </c>
      <c r="O225" t="n">
        <v>0</v>
      </c>
      <c r="P225" t="n">
        <v>0</v>
      </c>
      <c r="Q225" t="n">
        <v>0</v>
      </c>
      <c r="R225" s="2" t="inlineStr"/>
    </row>
    <row r="226" ht="15" customHeight="1">
      <c r="A226" t="inlineStr">
        <is>
          <t>A 38021-2019</t>
        </is>
      </c>
      <c r="B226" s="1" t="n">
        <v>43683</v>
      </c>
      <c r="C226" s="1" t="n">
        <v>45338</v>
      </c>
      <c r="D226" t="inlineStr">
        <is>
          <t>DALARNAS LÄN</t>
        </is>
      </c>
      <c r="E226" t="inlineStr">
        <is>
          <t>ÄLVDALEN</t>
        </is>
      </c>
      <c r="F226" t="inlineStr">
        <is>
          <t>Övriga statliga verk och myndigheter</t>
        </is>
      </c>
      <c r="G226" t="n">
        <v>4.7</v>
      </c>
      <c r="H226" t="n">
        <v>0</v>
      </c>
      <c r="I226" t="n">
        <v>0</v>
      </c>
      <c r="J226" t="n">
        <v>0</v>
      </c>
      <c r="K226" t="n">
        <v>0</v>
      </c>
      <c r="L226" t="n">
        <v>0</v>
      </c>
      <c r="M226" t="n">
        <v>0</v>
      </c>
      <c r="N226" t="n">
        <v>0</v>
      </c>
      <c r="O226" t="n">
        <v>0</v>
      </c>
      <c r="P226" t="n">
        <v>0</v>
      </c>
      <c r="Q226" t="n">
        <v>0</v>
      </c>
      <c r="R226" s="2" t="inlineStr"/>
    </row>
    <row r="227" ht="15" customHeight="1">
      <c r="A227" t="inlineStr">
        <is>
          <t>A 38864-2019</t>
        </is>
      </c>
      <c r="B227" s="1" t="n">
        <v>43689</v>
      </c>
      <c r="C227" s="1" t="n">
        <v>45338</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41242-2019</t>
        </is>
      </c>
      <c r="B228" s="1" t="n">
        <v>43698</v>
      </c>
      <c r="C228" s="1" t="n">
        <v>45338</v>
      </c>
      <c r="D228" t="inlineStr">
        <is>
          <t>DALARNAS LÄN</t>
        </is>
      </c>
      <c r="E228" t="inlineStr">
        <is>
          <t>ÄLVDALEN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43540-2019</t>
        </is>
      </c>
      <c r="B229" s="1" t="n">
        <v>43706</v>
      </c>
      <c r="C229" s="1" t="n">
        <v>45338</v>
      </c>
      <c r="D229" t="inlineStr">
        <is>
          <t>DALARNAS LÄN</t>
        </is>
      </c>
      <c r="E229" t="inlineStr">
        <is>
          <t>ÄLVDALEN</t>
        </is>
      </c>
      <c r="G229" t="n">
        <v>1</v>
      </c>
      <c r="H229" t="n">
        <v>0</v>
      </c>
      <c r="I229" t="n">
        <v>0</v>
      </c>
      <c r="J229" t="n">
        <v>0</v>
      </c>
      <c r="K229" t="n">
        <v>0</v>
      </c>
      <c r="L229" t="n">
        <v>0</v>
      </c>
      <c r="M229" t="n">
        <v>0</v>
      </c>
      <c r="N229" t="n">
        <v>0</v>
      </c>
      <c r="O229" t="n">
        <v>0</v>
      </c>
      <c r="P229" t="n">
        <v>0</v>
      </c>
      <c r="Q229" t="n">
        <v>0</v>
      </c>
      <c r="R229" s="2" t="inlineStr"/>
    </row>
    <row r="230" ht="15" customHeight="1">
      <c r="A230" t="inlineStr">
        <is>
          <t>A 43543-2019</t>
        </is>
      </c>
      <c r="B230" s="1" t="n">
        <v>43706</v>
      </c>
      <c r="C230" s="1" t="n">
        <v>45338</v>
      </c>
      <c r="D230" t="inlineStr">
        <is>
          <t>DALARNAS LÄN</t>
        </is>
      </c>
      <c r="E230" t="inlineStr">
        <is>
          <t>ÄLVDALEN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46240-2019</t>
        </is>
      </c>
      <c r="B231" s="1" t="n">
        <v>43714</v>
      </c>
      <c r="C231" s="1" t="n">
        <v>45338</v>
      </c>
      <c r="D231" t="inlineStr">
        <is>
          <t>DALARNAS LÄN</t>
        </is>
      </c>
      <c r="E231" t="inlineStr">
        <is>
          <t>ÄLVDALEN</t>
        </is>
      </c>
      <c r="G231" t="n">
        <v>19.4</v>
      </c>
      <c r="H231" t="n">
        <v>0</v>
      </c>
      <c r="I231" t="n">
        <v>0</v>
      </c>
      <c r="J231" t="n">
        <v>0</v>
      </c>
      <c r="K231" t="n">
        <v>0</v>
      </c>
      <c r="L231" t="n">
        <v>0</v>
      </c>
      <c r="M231" t="n">
        <v>0</v>
      </c>
      <c r="N231" t="n">
        <v>0</v>
      </c>
      <c r="O231" t="n">
        <v>0</v>
      </c>
      <c r="P231" t="n">
        <v>0</v>
      </c>
      <c r="Q231" t="n">
        <v>0</v>
      </c>
      <c r="R231" s="2" t="inlineStr"/>
    </row>
    <row r="232" ht="15" customHeight="1">
      <c r="A232" t="inlineStr">
        <is>
          <t>A 49014-2019</t>
        </is>
      </c>
      <c r="B232" s="1" t="n">
        <v>43731</v>
      </c>
      <c r="C232" s="1" t="n">
        <v>45338</v>
      </c>
      <c r="D232" t="inlineStr">
        <is>
          <t>DALARNAS LÄN</t>
        </is>
      </c>
      <c r="E232" t="inlineStr">
        <is>
          <t>ÄLVDALEN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49230-2019</t>
        </is>
      </c>
      <c r="B233" s="1" t="n">
        <v>43731</v>
      </c>
      <c r="C233" s="1" t="n">
        <v>45338</v>
      </c>
      <c r="D233" t="inlineStr">
        <is>
          <t>DALARNAS LÄN</t>
        </is>
      </c>
      <c r="E233" t="inlineStr">
        <is>
          <t>ÄLVDALEN</t>
        </is>
      </c>
      <c r="F233" t="inlineStr">
        <is>
          <t>Allmännings- och besparingsskogar</t>
        </is>
      </c>
      <c r="G233" t="n">
        <v>11.9</v>
      </c>
      <c r="H233" t="n">
        <v>0</v>
      </c>
      <c r="I233" t="n">
        <v>0</v>
      </c>
      <c r="J233" t="n">
        <v>0</v>
      </c>
      <c r="K233" t="n">
        <v>0</v>
      </c>
      <c r="L233" t="n">
        <v>0</v>
      </c>
      <c r="M233" t="n">
        <v>0</v>
      </c>
      <c r="N233" t="n">
        <v>0</v>
      </c>
      <c r="O233" t="n">
        <v>0</v>
      </c>
      <c r="P233" t="n">
        <v>0</v>
      </c>
      <c r="Q233" t="n">
        <v>0</v>
      </c>
      <c r="R233" s="2" t="inlineStr"/>
    </row>
    <row r="234" ht="15" customHeight="1">
      <c r="A234" t="inlineStr">
        <is>
          <t>A 50431-2019</t>
        </is>
      </c>
      <c r="B234" s="1" t="n">
        <v>43735</v>
      </c>
      <c r="C234" s="1" t="n">
        <v>45338</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50669-2019</t>
        </is>
      </c>
      <c r="B235" s="1" t="n">
        <v>43737</v>
      </c>
      <c r="C235" s="1" t="n">
        <v>45338</v>
      </c>
      <c r="D235" t="inlineStr">
        <is>
          <t>DALARNAS LÄN</t>
        </is>
      </c>
      <c r="E235" t="inlineStr">
        <is>
          <t>ÄLVDALEN</t>
        </is>
      </c>
      <c r="G235" t="n">
        <v>6.1</v>
      </c>
      <c r="H235" t="n">
        <v>0</v>
      </c>
      <c r="I235" t="n">
        <v>0</v>
      </c>
      <c r="J235" t="n">
        <v>0</v>
      </c>
      <c r="K235" t="n">
        <v>0</v>
      </c>
      <c r="L235" t="n">
        <v>0</v>
      </c>
      <c r="M235" t="n">
        <v>0</v>
      </c>
      <c r="N235" t="n">
        <v>0</v>
      </c>
      <c r="O235" t="n">
        <v>0</v>
      </c>
      <c r="P235" t="n">
        <v>0</v>
      </c>
      <c r="Q235" t="n">
        <v>0</v>
      </c>
      <c r="R235" s="2" t="inlineStr"/>
    </row>
    <row r="236" ht="15" customHeight="1">
      <c r="A236" t="inlineStr">
        <is>
          <t>A 50670-2019</t>
        </is>
      </c>
      <c r="B236" s="1" t="n">
        <v>43738</v>
      </c>
      <c r="C236" s="1" t="n">
        <v>45338</v>
      </c>
      <c r="D236" t="inlineStr">
        <is>
          <t>DALARNAS LÄN</t>
        </is>
      </c>
      <c r="E236" t="inlineStr">
        <is>
          <t>ÄLVDALEN</t>
        </is>
      </c>
      <c r="G236" t="n">
        <v>8.1</v>
      </c>
      <c r="H236" t="n">
        <v>0</v>
      </c>
      <c r="I236" t="n">
        <v>0</v>
      </c>
      <c r="J236" t="n">
        <v>0</v>
      </c>
      <c r="K236" t="n">
        <v>0</v>
      </c>
      <c r="L236" t="n">
        <v>0</v>
      </c>
      <c r="M236" t="n">
        <v>0</v>
      </c>
      <c r="N236" t="n">
        <v>0</v>
      </c>
      <c r="O236" t="n">
        <v>0</v>
      </c>
      <c r="P236" t="n">
        <v>0</v>
      </c>
      <c r="Q236" t="n">
        <v>0</v>
      </c>
      <c r="R236" s="2" t="inlineStr"/>
    </row>
    <row r="237" ht="15" customHeight="1">
      <c r="A237" t="inlineStr">
        <is>
          <t>A 51354-2019</t>
        </is>
      </c>
      <c r="B237" s="1" t="n">
        <v>43740</v>
      </c>
      <c r="C237" s="1" t="n">
        <v>45338</v>
      </c>
      <c r="D237" t="inlineStr">
        <is>
          <t>DALARNAS LÄN</t>
        </is>
      </c>
      <c r="E237" t="inlineStr">
        <is>
          <t>ÄLVDALEN</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51798-2019</t>
        </is>
      </c>
      <c r="B238" s="1" t="n">
        <v>43741</v>
      </c>
      <c r="C238" s="1" t="n">
        <v>45338</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52131-2019</t>
        </is>
      </c>
      <c r="B239" s="1" t="n">
        <v>43742</v>
      </c>
      <c r="C239" s="1" t="n">
        <v>45338</v>
      </c>
      <c r="D239" t="inlineStr">
        <is>
          <t>DALARNAS LÄN</t>
        </is>
      </c>
      <c r="E239" t="inlineStr">
        <is>
          <t>ÄLVDALEN</t>
        </is>
      </c>
      <c r="F239" t="inlineStr">
        <is>
          <t>Sveaskog</t>
        </is>
      </c>
      <c r="G239" t="n">
        <v>14.5</v>
      </c>
      <c r="H239" t="n">
        <v>0</v>
      </c>
      <c r="I239" t="n">
        <v>0</v>
      </c>
      <c r="J239" t="n">
        <v>0</v>
      </c>
      <c r="K239" t="n">
        <v>0</v>
      </c>
      <c r="L239" t="n">
        <v>0</v>
      </c>
      <c r="M239" t="n">
        <v>0</v>
      </c>
      <c r="N239" t="n">
        <v>0</v>
      </c>
      <c r="O239" t="n">
        <v>0</v>
      </c>
      <c r="P239" t="n">
        <v>0</v>
      </c>
      <c r="Q239" t="n">
        <v>0</v>
      </c>
      <c r="R239" s="2" t="inlineStr"/>
    </row>
    <row r="240" ht="15" customHeight="1">
      <c r="A240" t="inlineStr">
        <is>
          <t>A 52466-2019</t>
        </is>
      </c>
      <c r="B240" s="1" t="n">
        <v>43745</v>
      </c>
      <c r="C240" s="1" t="n">
        <v>45338</v>
      </c>
      <c r="D240" t="inlineStr">
        <is>
          <t>DALARNAS LÄN</t>
        </is>
      </c>
      <c r="E240" t="inlineStr">
        <is>
          <t>ÄLVDALEN</t>
        </is>
      </c>
      <c r="G240" t="n">
        <v>2.8</v>
      </c>
      <c r="H240" t="n">
        <v>0</v>
      </c>
      <c r="I240" t="n">
        <v>0</v>
      </c>
      <c r="J240" t="n">
        <v>0</v>
      </c>
      <c r="K240" t="n">
        <v>0</v>
      </c>
      <c r="L240" t="n">
        <v>0</v>
      </c>
      <c r="M240" t="n">
        <v>0</v>
      </c>
      <c r="N240" t="n">
        <v>0</v>
      </c>
      <c r="O240" t="n">
        <v>0</v>
      </c>
      <c r="P240" t="n">
        <v>0</v>
      </c>
      <c r="Q240" t="n">
        <v>0</v>
      </c>
      <c r="R240" s="2" t="inlineStr"/>
    </row>
    <row r="241" ht="15" customHeight="1">
      <c r="A241" t="inlineStr">
        <is>
          <t>A 55649-2019</t>
        </is>
      </c>
      <c r="B241" s="1" t="n">
        <v>43760</v>
      </c>
      <c r="C241" s="1" t="n">
        <v>45338</v>
      </c>
      <c r="D241" t="inlineStr">
        <is>
          <t>DALARNAS LÄN</t>
        </is>
      </c>
      <c r="E241" t="inlineStr">
        <is>
          <t>ÄLVDALEN</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59488-2019</t>
        </is>
      </c>
      <c r="B242" s="1" t="n">
        <v>43776</v>
      </c>
      <c r="C242" s="1" t="n">
        <v>45338</v>
      </c>
      <c r="D242" t="inlineStr">
        <is>
          <t>DALARNAS LÄN</t>
        </is>
      </c>
      <c r="E242" t="inlineStr">
        <is>
          <t>ÄLVDALEN</t>
        </is>
      </c>
      <c r="F242" t="inlineStr">
        <is>
          <t>Bergvik skog väst AB</t>
        </is>
      </c>
      <c r="G242" t="n">
        <v>7.2</v>
      </c>
      <c r="H242" t="n">
        <v>0</v>
      </c>
      <c r="I242" t="n">
        <v>0</v>
      </c>
      <c r="J242" t="n">
        <v>0</v>
      </c>
      <c r="K242" t="n">
        <v>0</v>
      </c>
      <c r="L242" t="n">
        <v>0</v>
      </c>
      <c r="M242" t="n">
        <v>0</v>
      </c>
      <c r="N242" t="n">
        <v>0</v>
      </c>
      <c r="O242" t="n">
        <v>0</v>
      </c>
      <c r="P242" t="n">
        <v>0</v>
      </c>
      <c r="Q242" t="n">
        <v>0</v>
      </c>
      <c r="R242" s="2" t="inlineStr"/>
    </row>
    <row r="243" ht="15" customHeight="1">
      <c r="A243" t="inlineStr">
        <is>
          <t>A 59846-2019</t>
        </is>
      </c>
      <c r="B243" s="1" t="n">
        <v>43777</v>
      </c>
      <c r="C243" s="1" t="n">
        <v>45338</v>
      </c>
      <c r="D243" t="inlineStr">
        <is>
          <t>DALARNAS LÄN</t>
        </is>
      </c>
      <c r="E243" t="inlineStr">
        <is>
          <t>ÄLVDALEN</t>
        </is>
      </c>
      <c r="G243" t="n">
        <v>3.4</v>
      </c>
      <c r="H243" t="n">
        <v>0</v>
      </c>
      <c r="I243" t="n">
        <v>0</v>
      </c>
      <c r="J243" t="n">
        <v>0</v>
      </c>
      <c r="K243" t="n">
        <v>0</v>
      </c>
      <c r="L243" t="n">
        <v>0</v>
      </c>
      <c r="M243" t="n">
        <v>0</v>
      </c>
      <c r="N243" t="n">
        <v>0</v>
      </c>
      <c r="O243" t="n">
        <v>0</v>
      </c>
      <c r="P243" t="n">
        <v>0</v>
      </c>
      <c r="Q243" t="n">
        <v>0</v>
      </c>
      <c r="R243" s="2" t="inlineStr"/>
    </row>
    <row r="244" ht="15" customHeight="1">
      <c r="A244" t="inlineStr">
        <is>
          <t>A 59959-2019</t>
        </is>
      </c>
      <c r="B244" s="1" t="n">
        <v>43777</v>
      </c>
      <c r="C244" s="1" t="n">
        <v>45338</v>
      </c>
      <c r="D244" t="inlineStr">
        <is>
          <t>DALARNAS LÄN</t>
        </is>
      </c>
      <c r="E244" t="inlineStr">
        <is>
          <t>ÄLVDALEN</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59947-2019</t>
        </is>
      </c>
      <c r="B245" s="1" t="n">
        <v>43777</v>
      </c>
      <c r="C245" s="1" t="n">
        <v>45338</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59957-2019</t>
        </is>
      </c>
      <c r="B246" s="1" t="n">
        <v>43777</v>
      </c>
      <c r="C246" s="1" t="n">
        <v>45338</v>
      </c>
      <c r="D246" t="inlineStr">
        <is>
          <t>DALARNAS LÄN</t>
        </is>
      </c>
      <c r="E246" t="inlineStr">
        <is>
          <t>ÄLVDALEN</t>
        </is>
      </c>
      <c r="G246" t="n">
        <v>4.5</v>
      </c>
      <c r="H246" t="n">
        <v>0</v>
      </c>
      <c r="I246" t="n">
        <v>0</v>
      </c>
      <c r="J246" t="n">
        <v>0</v>
      </c>
      <c r="K246" t="n">
        <v>0</v>
      </c>
      <c r="L246" t="n">
        <v>0</v>
      </c>
      <c r="M246" t="n">
        <v>0</v>
      </c>
      <c r="N246" t="n">
        <v>0</v>
      </c>
      <c r="O246" t="n">
        <v>0</v>
      </c>
      <c r="P246" t="n">
        <v>0</v>
      </c>
      <c r="Q246" t="n">
        <v>0</v>
      </c>
      <c r="R246" s="2" t="inlineStr"/>
    </row>
    <row r="247" ht="15" customHeight="1">
      <c r="A247" t="inlineStr">
        <is>
          <t>A 60345-2019</t>
        </is>
      </c>
      <c r="B247" s="1" t="n">
        <v>43780</v>
      </c>
      <c r="C247" s="1" t="n">
        <v>45338</v>
      </c>
      <c r="D247" t="inlineStr">
        <is>
          <t>DALARNAS LÄN</t>
        </is>
      </c>
      <c r="E247" t="inlineStr">
        <is>
          <t>ÄLVDALEN</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61262-2019</t>
        </is>
      </c>
      <c r="B248" s="1" t="n">
        <v>43783</v>
      </c>
      <c r="C248" s="1" t="n">
        <v>45338</v>
      </c>
      <c r="D248" t="inlineStr">
        <is>
          <t>DALARNAS LÄN</t>
        </is>
      </c>
      <c r="E248" t="inlineStr">
        <is>
          <t>ÄLVDALEN</t>
        </is>
      </c>
      <c r="F248" t="inlineStr">
        <is>
          <t>Bergvik skog väst AB</t>
        </is>
      </c>
      <c r="G248" t="n">
        <v>12.9</v>
      </c>
      <c r="H248" t="n">
        <v>0</v>
      </c>
      <c r="I248" t="n">
        <v>0</v>
      </c>
      <c r="J248" t="n">
        <v>0</v>
      </c>
      <c r="K248" t="n">
        <v>0</v>
      </c>
      <c r="L248" t="n">
        <v>0</v>
      </c>
      <c r="M248" t="n">
        <v>0</v>
      </c>
      <c r="N248" t="n">
        <v>0</v>
      </c>
      <c r="O248" t="n">
        <v>0</v>
      </c>
      <c r="P248" t="n">
        <v>0</v>
      </c>
      <c r="Q248" t="n">
        <v>0</v>
      </c>
      <c r="R248" s="2" t="inlineStr"/>
    </row>
    <row r="249" ht="15" customHeight="1">
      <c r="A249" t="inlineStr">
        <is>
          <t>A 61235-2019</t>
        </is>
      </c>
      <c r="B249" s="1" t="n">
        <v>43783</v>
      </c>
      <c r="C249" s="1" t="n">
        <v>45338</v>
      </c>
      <c r="D249" t="inlineStr">
        <is>
          <t>DALARNAS LÄN</t>
        </is>
      </c>
      <c r="E249" t="inlineStr">
        <is>
          <t>ÄLVDALEN</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61312-2019</t>
        </is>
      </c>
      <c r="B250" s="1" t="n">
        <v>43783</v>
      </c>
      <c r="C250" s="1" t="n">
        <v>45338</v>
      </c>
      <c r="D250" t="inlineStr">
        <is>
          <t>DALARNAS LÄN</t>
        </is>
      </c>
      <c r="E250" t="inlineStr">
        <is>
          <t>ÄLVDALEN</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61303-2019</t>
        </is>
      </c>
      <c r="B251" s="1" t="n">
        <v>43783</v>
      </c>
      <c r="C251" s="1" t="n">
        <v>45338</v>
      </c>
      <c r="D251" t="inlineStr">
        <is>
          <t>DALARNAS LÄN</t>
        </is>
      </c>
      <c r="E251" t="inlineStr">
        <is>
          <t>ÄLVDALEN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62630-2019</t>
        </is>
      </c>
      <c r="B252" s="1" t="n">
        <v>43789</v>
      </c>
      <c r="C252" s="1" t="n">
        <v>45338</v>
      </c>
      <c r="D252" t="inlineStr">
        <is>
          <t>DALARNAS LÄN</t>
        </is>
      </c>
      <c r="E252" t="inlineStr">
        <is>
          <t>ÄLVDALEN</t>
        </is>
      </c>
      <c r="G252" t="n">
        <v>7.2</v>
      </c>
      <c r="H252" t="n">
        <v>0</v>
      </c>
      <c r="I252" t="n">
        <v>0</v>
      </c>
      <c r="J252" t="n">
        <v>0</v>
      </c>
      <c r="K252" t="n">
        <v>0</v>
      </c>
      <c r="L252" t="n">
        <v>0</v>
      </c>
      <c r="M252" t="n">
        <v>0</v>
      </c>
      <c r="N252" t="n">
        <v>0</v>
      </c>
      <c r="O252" t="n">
        <v>0</v>
      </c>
      <c r="P252" t="n">
        <v>0</v>
      </c>
      <c r="Q252" t="n">
        <v>0</v>
      </c>
      <c r="R252" s="2" t="inlineStr"/>
    </row>
    <row r="253" ht="15" customHeight="1">
      <c r="A253" t="inlineStr">
        <is>
          <t>A 62691-2019</t>
        </is>
      </c>
      <c r="B253" s="1" t="n">
        <v>43789</v>
      </c>
      <c r="C253" s="1" t="n">
        <v>45338</v>
      </c>
      <c r="D253" t="inlineStr">
        <is>
          <t>DALARNAS LÄN</t>
        </is>
      </c>
      <c r="E253" t="inlineStr">
        <is>
          <t>ÄLVDALEN</t>
        </is>
      </c>
      <c r="G253" t="n">
        <v>1.4</v>
      </c>
      <c r="H253" t="n">
        <v>0</v>
      </c>
      <c r="I253" t="n">
        <v>0</v>
      </c>
      <c r="J253" t="n">
        <v>0</v>
      </c>
      <c r="K253" t="n">
        <v>0</v>
      </c>
      <c r="L253" t="n">
        <v>0</v>
      </c>
      <c r="M253" t="n">
        <v>0</v>
      </c>
      <c r="N253" t="n">
        <v>0</v>
      </c>
      <c r="O253" t="n">
        <v>0</v>
      </c>
      <c r="P253" t="n">
        <v>0</v>
      </c>
      <c r="Q253" t="n">
        <v>0</v>
      </c>
      <c r="R253" s="2" t="inlineStr"/>
    </row>
    <row r="254" ht="15" customHeight="1">
      <c r="A254" t="inlineStr">
        <is>
          <t>A 63161-2019</t>
        </is>
      </c>
      <c r="B254" s="1" t="n">
        <v>43791</v>
      </c>
      <c r="C254" s="1" t="n">
        <v>45338</v>
      </c>
      <c r="D254" t="inlineStr">
        <is>
          <t>DALARNAS LÄN</t>
        </is>
      </c>
      <c r="E254" t="inlineStr">
        <is>
          <t>ÄLVDALEN</t>
        </is>
      </c>
      <c r="G254" t="n">
        <v>2.6</v>
      </c>
      <c r="H254" t="n">
        <v>0</v>
      </c>
      <c r="I254" t="n">
        <v>0</v>
      </c>
      <c r="J254" t="n">
        <v>0</v>
      </c>
      <c r="K254" t="n">
        <v>0</v>
      </c>
      <c r="L254" t="n">
        <v>0</v>
      </c>
      <c r="M254" t="n">
        <v>0</v>
      </c>
      <c r="N254" t="n">
        <v>0</v>
      </c>
      <c r="O254" t="n">
        <v>0</v>
      </c>
      <c r="P254" t="n">
        <v>0</v>
      </c>
      <c r="Q254" t="n">
        <v>0</v>
      </c>
      <c r="R254" s="2" t="inlineStr"/>
    </row>
    <row r="255" ht="15" customHeight="1">
      <c r="A255" t="inlineStr">
        <is>
          <t>A 63242-2019</t>
        </is>
      </c>
      <c r="B255" s="1" t="n">
        <v>43792</v>
      </c>
      <c r="C255" s="1" t="n">
        <v>45338</v>
      </c>
      <c r="D255" t="inlineStr">
        <is>
          <t>DALARNAS LÄN</t>
        </is>
      </c>
      <c r="E255" t="inlineStr">
        <is>
          <t>ÄLVDALEN</t>
        </is>
      </c>
      <c r="G255" t="n">
        <v>2.1</v>
      </c>
      <c r="H255" t="n">
        <v>0</v>
      </c>
      <c r="I255" t="n">
        <v>0</v>
      </c>
      <c r="J255" t="n">
        <v>0</v>
      </c>
      <c r="K255" t="n">
        <v>0</v>
      </c>
      <c r="L255" t="n">
        <v>0</v>
      </c>
      <c r="M255" t="n">
        <v>0</v>
      </c>
      <c r="N255" t="n">
        <v>0</v>
      </c>
      <c r="O255" t="n">
        <v>0</v>
      </c>
      <c r="P255" t="n">
        <v>0</v>
      </c>
      <c r="Q255" t="n">
        <v>0</v>
      </c>
      <c r="R255" s="2" t="inlineStr"/>
    </row>
    <row r="256" ht="15" customHeight="1">
      <c r="A256" t="inlineStr">
        <is>
          <t>A 63470-2019</t>
        </is>
      </c>
      <c r="B256" s="1" t="n">
        <v>43794</v>
      </c>
      <c r="C256" s="1" t="n">
        <v>45338</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63536-2019</t>
        </is>
      </c>
      <c r="B257" s="1" t="n">
        <v>43794</v>
      </c>
      <c r="C257" s="1" t="n">
        <v>45338</v>
      </c>
      <c r="D257" t="inlineStr">
        <is>
          <t>DALARNAS LÄN</t>
        </is>
      </c>
      <c r="E257" t="inlineStr">
        <is>
          <t>ÄLVDALEN</t>
        </is>
      </c>
      <c r="G257" t="n">
        <v>10.5</v>
      </c>
      <c r="H257" t="n">
        <v>0</v>
      </c>
      <c r="I257" t="n">
        <v>0</v>
      </c>
      <c r="J257" t="n">
        <v>0</v>
      </c>
      <c r="K257" t="n">
        <v>0</v>
      </c>
      <c r="L257" t="n">
        <v>0</v>
      </c>
      <c r="M257" t="n">
        <v>0</v>
      </c>
      <c r="N257" t="n">
        <v>0</v>
      </c>
      <c r="O257" t="n">
        <v>0</v>
      </c>
      <c r="P257" t="n">
        <v>0</v>
      </c>
      <c r="Q257" t="n">
        <v>0</v>
      </c>
      <c r="R257" s="2" t="inlineStr"/>
    </row>
    <row r="258" ht="15" customHeight="1">
      <c r="A258" t="inlineStr">
        <is>
          <t>A 63787-2019</t>
        </is>
      </c>
      <c r="B258" s="1" t="n">
        <v>43795</v>
      </c>
      <c r="C258" s="1" t="n">
        <v>45338</v>
      </c>
      <c r="D258" t="inlineStr">
        <is>
          <t>DALARNAS LÄN</t>
        </is>
      </c>
      <c r="E258" t="inlineStr">
        <is>
          <t>ÄLVDALEN</t>
        </is>
      </c>
      <c r="F258" t="inlineStr">
        <is>
          <t>Sveaskog</t>
        </is>
      </c>
      <c r="G258" t="n">
        <v>14.1</v>
      </c>
      <c r="H258" t="n">
        <v>0</v>
      </c>
      <c r="I258" t="n">
        <v>0</v>
      </c>
      <c r="J258" t="n">
        <v>0</v>
      </c>
      <c r="K258" t="n">
        <v>0</v>
      </c>
      <c r="L258" t="n">
        <v>0</v>
      </c>
      <c r="M258" t="n">
        <v>0</v>
      </c>
      <c r="N258" t="n">
        <v>0</v>
      </c>
      <c r="O258" t="n">
        <v>0</v>
      </c>
      <c r="P258" t="n">
        <v>0</v>
      </c>
      <c r="Q258" t="n">
        <v>0</v>
      </c>
      <c r="R258" s="2" t="inlineStr"/>
    </row>
    <row r="259" ht="15" customHeight="1">
      <c r="A259" t="inlineStr">
        <is>
          <t>A 65980-2019</t>
        </is>
      </c>
      <c r="B259" s="1" t="n">
        <v>43805</v>
      </c>
      <c r="C259" s="1" t="n">
        <v>45338</v>
      </c>
      <c r="D259" t="inlineStr">
        <is>
          <t>DALARNAS LÄN</t>
        </is>
      </c>
      <c r="E259" t="inlineStr">
        <is>
          <t>ÄLVDALEN</t>
        </is>
      </c>
      <c r="G259" t="n">
        <v>0.4</v>
      </c>
      <c r="H259" t="n">
        <v>0</v>
      </c>
      <c r="I259" t="n">
        <v>0</v>
      </c>
      <c r="J259" t="n">
        <v>0</v>
      </c>
      <c r="K259" t="n">
        <v>0</v>
      </c>
      <c r="L259" t="n">
        <v>0</v>
      </c>
      <c r="M259" t="n">
        <v>0</v>
      </c>
      <c r="N259" t="n">
        <v>0</v>
      </c>
      <c r="O259" t="n">
        <v>0</v>
      </c>
      <c r="P259" t="n">
        <v>0</v>
      </c>
      <c r="Q259" t="n">
        <v>0</v>
      </c>
      <c r="R259" s="2" t="inlineStr"/>
    </row>
    <row r="260" ht="15" customHeight="1">
      <c r="A260" t="inlineStr">
        <is>
          <t>A 68854-2019</t>
        </is>
      </c>
      <c r="B260" s="1" t="n">
        <v>43820</v>
      </c>
      <c r="C260" s="1" t="n">
        <v>45338</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68936-2019</t>
        </is>
      </c>
      <c r="B261" s="1" t="n">
        <v>43822</v>
      </c>
      <c r="C261" s="1" t="n">
        <v>45338</v>
      </c>
      <c r="D261" t="inlineStr">
        <is>
          <t>DALARNAS LÄN</t>
        </is>
      </c>
      <c r="E261" t="inlineStr">
        <is>
          <t>ÄLVDALEN</t>
        </is>
      </c>
      <c r="G261" t="n">
        <v>3.5</v>
      </c>
      <c r="H261" t="n">
        <v>0</v>
      </c>
      <c r="I261" t="n">
        <v>0</v>
      </c>
      <c r="J261" t="n">
        <v>0</v>
      </c>
      <c r="K261" t="n">
        <v>0</v>
      </c>
      <c r="L261" t="n">
        <v>0</v>
      </c>
      <c r="M261" t="n">
        <v>0</v>
      </c>
      <c r="N261" t="n">
        <v>0</v>
      </c>
      <c r="O261" t="n">
        <v>0</v>
      </c>
      <c r="P261" t="n">
        <v>0</v>
      </c>
      <c r="Q261" t="n">
        <v>0</v>
      </c>
      <c r="R261" s="2" t="inlineStr"/>
    </row>
    <row r="262" ht="15" customHeight="1">
      <c r="A262" t="inlineStr">
        <is>
          <t>A 2050-2020</t>
        </is>
      </c>
      <c r="B262" s="1" t="n">
        <v>43845</v>
      </c>
      <c r="C262" s="1" t="n">
        <v>45338</v>
      </c>
      <c r="D262" t="inlineStr">
        <is>
          <t>DALARNAS LÄN</t>
        </is>
      </c>
      <c r="E262" t="inlineStr">
        <is>
          <t>ÄLVDALEN</t>
        </is>
      </c>
      <c r="G262" t="n">
        <v>9.5</v>
      </c>
      <c r="H262" t="n">
        <v>0</v>
      </c>
      <c r="I262" t="n">
        <v>0</v>
      </c>
      <c r="J262" t="n">
        <v>0</v>
      </c>
      <c r="K262" t="n">
        <v>0</v>
      </c>
      <c r="L262" t="n">
        <v>0</v>
      </c>
      <c r="M262" t="n">
        <v>0</v>
      </c>
      <c r="N262" t="n">
        <v>0</v>
      </c>
      <c r="O262" t="n">
        <v>0</v>
      </c>
      <c r="P262" t="n">
        <v>0</v>
      </c>
      <c r="Q262" t="n">
        <v>0</v>
      </c>
      <c r="R262" s="2" t="inlineStr"/>
    </row>
    <row r="263" ht="15" customHeight="1">
      <c r="A263" t="inlineStr">
        <is>
          <t>A 3301-2020</t>
        </is>
      </c>
      <c r="B263" s="1" t="n">
        <v>43852</v>
      </c>
      <c r="C263" s="1" t="n">
        <v>45338</v>
      </c>
      <c r="D263" t="inlineStr">
        <is>
          <t>DALARNAS LÄN</t>
        </is>
      </c>
      <c r="E263" t="inlineStr">
        <is>
          <t>ÄLVDALEN</t>
        </is>
      </c>
      <c r="G263" t="n">
        <v>3.3</v>
      </c>
      <c r="H263" t="n">
        <v>0</v>
      </c>
      <c r="I263" t="n">
        <v>0</v>
      </c>
      <c r="J263" t="n">
        <v>0</v>
      </c>
      <c r="K263" t="n">
        <v>0</v>
      </c>
      <c r="L263" t="n">
        <v>0</v>
      </c>
      <c r="M263" t="n">
        <v>0</v>
      </c>
      <c r="N263" t="n">
        <v>0</v>
      </c>
      <c r="O263" t="n">
        <v>0</v>
      </c>
      <c r="P263" t="n">
        <v>0</v>
      </c>
      <c r="Q263" t="n">
        <v>0</v>
      </c>
      <c r="R263" s="2" t="inlineStr"/>
    </row>
    <row r="264" ht="15" customHeight="1">
      <c r="A264" t="inlineStr">
        <is>
          <t>A 3917-2020</t>
        </is>
      </c>
      <c r="B264" s="1" t="n">
        <v>43854</v>
      </c>
      <c r="C264" s="1" t="n">
        <v>45338</v>
      </c>
      <c r="D264" t="inlineStr">
        <is>
          <t>DALARNAS LÄN</t>
        </is>
      </c>
      <c r="E264" t="inlineStr">
        <is>
          <t>ÄLVDALEN</t>
        </is>
      </c>
      <c r="G264" t="n">
        <v>3.6</v>
      </c>
      <c r="H264" t="n">
        <v>0</v>
      </c>
      <c r="I264" t="n">
        <v>0</v>
      </c>
      <c r="J264" t="n">
        <v>0</v>
      </c>
      <c r="K264" t="n">
        <v>0</v>
      </c>
      <c r="L264" t="n">
        <v>0</v>
      </c>
      <c r="M264" t="n">
        <v>0</v>
      </c>
      <c r="N264" t="n">
        <v>0</v>
      </c>
      <c r="O264" t="n">
        <v>0</v>
      </c>
      <c r="P264" t="n">
        <v>0</v>
      </c>
      <c r="Q264" t="n">
        <v>0</v>
      </c>
      <c r="R264" s="2" t="inlineStr"/>
    </row>
    <row r="265" ht="15" customHeight="1">
      <c r="A265" t="inlineStr">
        <is>
          <t>A 6317-2020</t>
        </is>
      </c>
      <c r="B265" s="1" t="n">
        <v>43866</v>
      </c>
      <c r="C265" s="1" t="n">
        <v>45338</v>
      </c>
      <c r="D265" t="inlineStr">
        <is>
          <t>DALARNAS LÄN</t>
        </is>
      </c>
      <c r="E265" t="inlineStr">
        <is>
          <t>ÄLVDALEN</t>
        </is>
      </c>
      <c r="G265" t="n">
        <v>2.8</v>
      </c>
      <c r="H265" t="n">
        <v>0</v>
      </c>
      <c r="I265" t="n">
        <v>0</v>
      </c>
      <c r="J265" t="n">
        <v>0</v>
      </c>
      <c r="K265" t="n">
        <v>0</v>
      </c>
      <c r="L265" t="n">
        <v>0</v>
      </c>
      <c r="M265" t="n">
        <v>0</v>
      </c>
      <c r="N265" t="n">
        <v>0</v>
      </c>
      <c r="O265" t="n">
        <v>0</v>
      </c>
      <c r="P265" t="n">
        <v>0</v>
      </c>
      <c r="Q265" t="n">
        <v>0</v>
      </c>
      <c r="R265" s="2" t="inlineStr"/>
    </row>
    <row r="266" ht="15" customHeight="1">
      <c r="A266" t="inlineStr">
        <is>
          <t>A 6319-2020</t>
        </is>
      </c>
      <c r="B266" s="1" t="n">
        <v>43866</v>
      </c>
      <c r="C266" s="1" t="n">
        <v>45338</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8751-2020</t>
        </is>
      </c>
      <c r="B267" s="1" t="n">
        <v>43878</v>
      </c>
      <c r="C267" s="1" t="n">
        <v>45338</v>
      </c>
      <c r="D267" t="inlineStr">
        <is>
          <t>DALARNAS LÄN</t>
        </is>
      </c>
      <c r="E267" t="inlineStr">
        <is>
          <t>ÄLVDALEN</t>
        </is>
      </c>
      <c r="G267" t="n">
        <v>1.9</v>
      </c>
      <c r="H267" t="n">
        <v>0</v>
      </c>
      <c r="I267" t="n">
        <v>0</v>
      </c>
      <c r="J267" t="n">
        <v>0</v>
      </c>
      <c r="K267" t="n">
        <v>0</v>
      </c>
      <c r="L267" t="n">
        <v>0</v>
      </c>
      <c r="M267" t="n">
        <v>0</v>
      </c>
      <c r="N267" t="n">
        <v>0</v>
      </c>
      <c r="O267" t="n">
        <v>0</v>
      </c>
      <c r="P267" t="n">
        <v>0</v>
      </c>
      <c r="Q267" t="n">
        <v>0</v>
      </c>
      <c r="R267" s="2" t="inlineStr"/>
    </row>
    <row r="268" ht="15" customHeight="1">
      <c r="A268" t="inlineStr">
        <is>
          <t>A 8864-2020</t>
        </is>
      </c>
      <c r="B268" s="1" t="n">
        <v>43878</v>
      </c>
      <c r="C268" s="1" t="n">
        <v>45338</v>
      </c>
      <c r="D268" t="inlineStr">
        <is>
          <t>DALARNAS LÄN</t>
        </is>
      </c>
      <c r="E268" t="inlineStr">
        <is>
          <t>ÄLVDALEN</t>
        </is>
      </c>
      <c r="G268" t="n">
        <v>2.3</v>
      </c>
      <c r="H268" t="n">
        <v>0</v>
      </c>
      <c r="I268" t="n">
        <v>0</v>
      </c>
      <c r="J268" t="n">
        <v>0</v>
      </c>
      <c r="K268" t="n">
        <v>0</v>
      </c>
      <c r="L268" t="n">
        <v>0</v>
      </c>
      <c r="M268" t="n">
        <v>0</v>
      </c>
      <c r="N268" t="n">
        <v>0</v>
      </c>
      <c r="O268" t="n">
        <v>0</v>
      </c>
      <c r="P268" t="n">
        <v>0</v>
      </c>
      <c r="Q268" t="n">
        <v>0</v>
      </c>
      <c r="R268" s="2" t="inlineStr"/>
    </row>
    <row r="269" ht="15" customHeight="1">
      <c r="A269" t="inlineStr">
        <is>
          <t>A 10047-2020</t>
        </is>
      </c>
      <c r="B269" s="1" t="n">
        <v>43882</v>
      </c>
      <c r="C269" s="1" t="n">
        <v>45338</v>
      </c>
      <c r="D269" t="inlineStr">
        <is>
          <t>DALARNAS LÄN</t>
        </is>
      </c>
      <c r="E269" t="inlineStr">
        <is>
          <t>ÄLVDALEN</t>
        </is>
      </c>
      <c r="G269" t="n">
        <v>5.7</v>
      </c>
      <c r="H269" t="n">
        <v>0</v>
      </c>
      <c r="I269" t="n">
        <v>0</v>
      </c>
      <c r="J269" t="n">
        <v>0</v>
      </c>
      <c r="K269" t="n">
        <v>0</v>
      </c>
      <c r="L269" t="n">
        <v>0</v>
      </c>
      <c r="M269" t="n">
        <v>0</v>
      </c>
      <c r="N269" t="n">
        <v>0</v>
      </c>
      <c r="O269" t="n">
        <v>0</v>
      </c>
      <c r="P269" t="n">
        <v>0</v>
      </c>
      <c r="Q269" t="n">
        <v>0</v>
      </c>
      <c r="R269" s="2" t="inlineStr"/>
    </row>
    <row r="270" ht="15" customHeight="1">
      <c r="A270" t="inlineStr">
        <is>
          <t>A 12540-2020</t>
        </is>
      </c>
      <c r="B270" s="1" t="n">
        <v>43897</v>
      </c>
      <c r="C270" s="1" t="n">
        <v>45338</v>
      </c>
      <c r="D270" t="inlineStr">
        <is>
          <t>DALARNAS LÄN</t>
        </is>
      </c>
      <c r="E270" t="inlineStr">
        <is>
          <t>ÄLVDALEN</t>
        </is>
      </c>
      <c r="G270" t="n">
        <v>3.7</v>
      </c>
      <c r="H270" t="n">
        <v>0</v>
      </c>
      <c r="I270" t="n">
        <v>0</v>
      </c>
      <c r="J270" t="n">
        <v>0</v>
      </c>
      <c r="K270" t="n">
        <v>0</v>
      </c>
      <c r="L270" t="n">
        <v>0</v>
      </c>
      <c r="M270" t="n">
        <v>0</v>
      </c>
      <c r="N270" t="n">
        <v>0</v>
      </c>
      <c r="O270" t="n">
        <v>0</v>
      </c>
      <c r="P270" t="n">
        <v>0</v>
      </c>
      <c r="Q270" t="n">
        <v>0</v>
      </c>
      <c r="R270" s="2" t="inlineStr"/>
    </row>
    <row r="271" ht="15" customHeight="1">
      <c r="A271" t="inlineStr">
        <is>
          <t>A 15596-2020</t>
        </is>
      </c>
      <c r="B271" s="1" t="n">
        <v>43914</v>
      </c>
      <c r="C271" s="1" t="n">
        <v>45338</v>
      </c>
      <c r="D271" t="inlineStr">
        <is>
          <t>DALARNAS LÄN</t>
        </is>
      </c>
      <c r="E271" t="inlineStr">
        <is>
          <t>ÄLVDALEN</t>
        </is>
      </c>
      <c r="F271" t="inlineStr">
        <is>
          <t>Allmännings- och besparingsskogar</t>
        </is>
      </c>
      <c r="G271" t="n">
        <v>19.5</v>
      </c>
      <c r="H271" t="n">
        <v>0</v>
      </c>
      <c r="I271" t="n">
        <v>0</v>
      </c>
      <c r="J271" t="n">
        <v>0</v>
      </c>
      <c r="K271" t="n">
        <v>0</v>
      </c>
      <c r="L271" t="n">
        <v>0</v>
      </c>
      <c r="M271" t="n">
        <v>0</v>
      </c>
      <c r="N271" t="n">
        <v>0</v>
      </c>
      <c r="O271" t="n">
        <v>0</v>
      </c>
      <c r="P271" t="n">
        <v>0</v>
      </c>
      <c r="Q271" t="n">
        <v>0</v>
      </c>
      <c r="R271" s="2" t="inlineStr"/>
    </row>
    <row r="272" ht="15" customHeight="1">
      <c r="A272" t="inlineStr">
        <is>
          <t>A 16308-2020</t>
        </is>
      </c>
      <c r="B272" s="1" t="n">
        <v>43917</v>
      </c>
      <c r="C272" s="1" t="n">
        <v>45338</v>
      </c>
      <c r="D272" t="inlineStr">
        <is>
          <t>DALARNAS LÄN</t>
        </is>
      </c>
      <c r="E272" t="inlineStr">
        <is>
          <t>ÄLVDALEN</t>
        </is>
      </c>
      <c r="F272" t="inlineStr">
        <is>
          <t>Allmännings- och besparingsskogar</t>
        </is>
      </c>
      <c r="G272" t="n">
        <v>29.7</v>
      </c>
      <c r="H272" t="n">
        <v>0</v>
      </c>
      <c r="I272" t="n">
        <v>0</v>
      </c>
      <c r="J272" t="n">
        <v>0</v>
      </c>
      <c r="K272" t="n">
        <v>0</v>
      </c>
      <c r="L272" t="n">
        <v>0</v>
      </c>
      <c r="M272" t="n">
        <v>0</v>
      </c>
      <c r="N272" t="n">
        <v>0</v>
      </c>
      <c r="O272" t="n">
        <v>0</v>
      </c>
      <c r="P272" t="n">
        <v>0</v>
      </c>
      <c r="Q272" t="n">
        <v>0</v>
      </c>
      <c r="R272" s="2" t="inlineStr"/>
    </row>
    <row r="273" ht="15" customHeight="1">
      <c r="A273" t="inlineStr">
        <is>
          <t>A 16911-2020</t>
        </is>
      </c>
      <c r="B273" s="1" t="n">
        <v>43921</v>
      </c>
      <c r="C273" s="1" t="n">
        <v>45338</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17096-2020</t>
        </is>
      </c>
      <c r="B274" s="1" t="n">
        <v>43922</v>
      </c>
      <c r="C274" s="1" t="n">
        <v>45338</v>
      </c>
      <c r="D274" t="inlineStr">
        <is>
          <t>DALARNAS LÄN</t>
        </is>
      </c>
      <c r="E274" t="inlineStr">
        <is>
          <t>ÄLVDALEN</t>
        </is>
      </c>
      <c r="F274" t="inlineStr">
        <is>
          <t>Allmännings- och besparingsskogar</t>
        </is>
      </c>
      <c r="G274" t="n">
        <v>66.7</v>
      </c>
      <c r="H274" t="n">
        <v>0</v>
      </c>
      <c r="I274" t="n">
        <v>0</v>
      </c>
      <c r="J274" t="n">
        <v>0</v>
      </c>
      <c r="K274" t="n">
        <v>0</v>
      </c>
      <c r="L274" t="n">
        <v>0</v>
      </c>
      <c r="M274" t="n">
        <v>0</v>
      </c>
      <c r="N274" t="n">
        <v>0</v>
      </c>
      <c r="O274" t="n">
        <v>0</v>
      </c>
      <c r="P274" t="n">
        <v>0</v>
      </c>
      <c r="Q274" t="n">
        <v>0</v>
      </c>
      <c r="R274" s="2" t="inlineStr"/>
    </row>
    <row r="275" ht="15" customHeight="1">
      <c r="A275" t="inlineStr">
        <is>
          <t>A 17109-2020</t>
        </is>
      </c>
      <c r="B275" s="1" t="n">
        <v>43922</v>
      </c>
      <c r="C275" s="1" t="n">
        <v>45338</v>
      </c>
      <c r="D275" t="inlineStr">
        <is>
          <t>DALARNAS LÄN</t>
        </is>
      </c>
      <c r="E275" t="inlineStr">
        <is>
          <t>ÄLVDALEN</t>
        </is>
      </c>
      <c r="F275" t="inlineStr">
        <is>
          <t>Allmännings- och besparingsskogar</t>
        </is>
      </c>
      <c r="G275" t="n">
        <v>22.3</v>
      </c>
      <c r="H275" t="n">
        <v>0</v>
      </c>
      <c r="I275" t="n">
        <v>0</v>
      </c>
      <c r="J275" t="n">
        <v>0</v>
      </c>
      <c r="K275" t="n">
        <v>0</v>
      </c>
      <c r="L275" t="n">
        <v>0</v>
      </c>
      <c r="M275" t="n">
        <v>0</v>
      </c>
      <c r="N275" t="n">
        <v>0</v>
      </c>
      <c r="O275" t="n">
        <v>0</v>
      </c>
      <c r="P275" t="n">
        <v>0</v>
      </c>
      <c r="Q275" t="n">
        <v>0</v>
      </c>
      <c r="R275" s="2" t="inlineStr"/>
    </row>
    <row r="276" ht="15" customHeight="1">
      <c r="A276" t="inlineStr">
        <is>
          <t>A 17099-2020</t>
        </is>
      </c>
      <c r="B276" s="1" t="n">
        <v>43922</v>
      </c>
      <c r="C276" s="1" t="n">
        <v>45338</v>
      </c>
      <c r="D276" t="inlineStr">
        <is>
          <t>DALARNAS LÄN</t>
        </is>
      </c>
      <c r="E276" t="inlineStr">
        <is>
          <t>ÄLVDALEN</t>
        </is>
      </c>
      <c r="F276" t="inlineStr">
        <is>
          <t>Allmännings- och besparingsskogar</t>
        </is>
      </c>
      <c r="G276" t="n">
        <v>3.5</v>
      </c>
      <c r="H276" t="n">
        <v>0</v>
      </c>
      <c r="I276" t="n">
        <v>0</v>
      </c>
      <c r="J276" t="n">
        <v>0</v>
      </c>
      <c r="K276" t="n">
        <v>0</v>
      </c>
      <c r="L276" t="n">
        <v>0</v>
      </c>
      <c r="M276" t="n">
        <v>0</v>
      </c>
      <c r="N276" t="n">
        <v>0</v>
      </c>
      <c r="O276" t="n">
        <v>0</v>
      </c>
      <c r="P276" t="n">
        <v>0</v>
      </c>
      <c r="Q276" t="n">
        <v>0</v>
      </c>
      <c r="R276" s="2" t="inlineStr"/>
    </row>
    <row r="277" ht="15" customHeight="1">
      <c r="A277" t="inlineStr">
        <is>
          <t>A 17103-2020</t>
        </is>
      </c>
      <c r="B277" s="1" t="n">
        <v>43922</v>
      </c>
      <c r="C277" s="1" t="n">
        <v>45338</v>
      </c>
      <c r="D277" t="inlineStr">
        <is>
          <t>DALARNAS LÄN</t>
        </is>
      </c>
      <c r="E277" t="inlineStr">
        <is>
          <t>ÄLVDALEN</t>
        </is>
      </c>
      <c r="F277" t="inlineStr">
        <is>
          <t>Allmännings- och besparingsskogar</t>
        </is>
      </c>
      <c r="G277" t="n">
        <v>54.1</v>
      </c>
      <c r="H277" t="n">
        <v>0</v>
      </c>
      <c r="I277" t="n">
        <v>0</v>
      </c>
      <c r="J277" t="n">
        <v>0</v>
      </c>
      <c r="K277" t="n">
        <v>0</v>
      </c>
      <c r="L277" t="n">
        <v>0</v>
      </c>
      <c r="M277" t="n">
        <v>0</v>
      </c>
      <c r="N277" t="n">
        <v>0</v>
      </c>
      <c r="O277" t="n">
        <v>0</v>
      </c>
      <c r="P277" t="n">
        <v>0</v>
      </c>
      <c r="Q277" t="n">
        <v>0</v>
      </c>
      <c r="R277" s="2" t="inlineStr"/>
    </row>
    <row r="278" ht="15" customHeight="1">
      <c r="A278" t="inlineStr">
        <is>
          <t>A 17430-2020</t>
        </is>
      </c>
      <c r="B278" s="1" t="n">
        <v>43923</v>
      </c>
      <c r="C278" s="1" t="n">
        <v>45338</v>
      </c>
      <c r="D278" t="inlineStr">
        <is>
          <t>DALARNAS LÄN</t>
        </is>
      </c>
      <c r="E278" t="inlineStr">
        <is>
          <t>ÄLVDALEN</t>
        </is>
      </c>
      <c r="G278" t="n">
        <v>1.8</v>
      </c>
      <c r="H278" t="n">
        <v>0</v>
      </c>
      <c r="I278" t="n">
        <v>0</v>
      </c>
      <c r="J278" t="n">
        <v>0</v>
      </c>
      <c r="K278" t="n">
        <v>0</v>
      </c>
      <c r="L278" t="n">
        <v>0</v>
      </c>
      <c r="M278" t="n">
        <v>0</v>
      </c>
      <c r="N278" t="n">
        <v>0</v>
      </c>
      <c r="O278" t="n">
        <v>0</v>
      </c>
      <c r="P278" t="n">
        <v>0</v>
      </c>
      <c r="Q278" t="n">
        <v>0</v>
      </c>
      <c r="R278" s="2" t="inlineStr"/>
    </row>
    <row r="279" ht="15" customHeight="1">
      <c r="A279" t="inlineStr">
        <is>
          <t>A 18378-2020</t>
        </is>
      </c>
      <c r="B279" s="1" t="n">
        <v>43928</v>
      </c>
      <c r="C279" s="1" t="n">
        <v>45338</v>
      </c>
      <c r="D279" t="inlineStr">
        <is>
          <t>DALARNAS LÄN</t>
        </is>
      </c>
      <c r="E279" t="inlineStr">
        <is>
          <t>ÄLVDALEN</t>
        </is>
      </c>
      <c r="F279" t="inlineStr">
        <is>
          <t>Allmännings- och besparingsskogar</t>
        </is>
      </c>
      <c r="G279" t="n">
        <v>48.4</v>
      </c>
      <c r="H279" t="n">
        <v>0</v>
      </c>
      <c r="I279" t="n">
        <v>0</v>
      </c>
      <c r="J279" t="n">
        <v>0</v>
      </c>
      <c r="K279" t="n">
        <v>0</v>
      </c>
      <c r="L279" t="n">
        <v>0</v>
      </c>
      <c r="M279" t="n">
        <v>0</v>
      </c>
      <c r="N279" t="n">
        <v>0</v>
      </c>
      <c r="O279" t="n">
        <v>0</v>
      </c>
      <c r="P279" t="n">
        <v>0</v>
      </c>
      <c r="Q279" t="n">
        <v>0</v>
      </c>
      <c r="R279" s="2" t="inlineStr"/>
    </row>
    <row r="280" ht="15" customHeight="1">
      <c r="A280" t="inlineStr">
        <is>
          <t>A 23179-2020</t>
        </is>
      </c>
      <c r="B280" s="1" t="n">
        <v>43937</v>
      </c>
      <c r="C280" s="1" t="n">
        <v>45338</v>
      </c>
      <c r="D280" t="inlineStr">
        <is>
          <t>DALARNAS LÄN</t>
        </is>
      </c>
      <c r="E280" t="inlineStr">
        <is>
          <t>ÄLVDALEN</t>
        </is>
      </c>
      <c r="F280" t="inlineStr">
        <is>
          <t>Sveaskog</t>
        </is>
      </c>
      <c r="G280" t="n">
        <v>75.09999999999999</v>
      </c>
      <c r="H280" t="n">
        <v>0</v>
      </c>
      <c r="I280" t="n">
        <v>0</v>
      </c>
      <c r="J280" t="n">
        <v>0</v>
      </c>
      <c r="K280" t="n">
        <v>0</v>
      </c>
      <c r="L280" t="n">
        <v>0</v>
      </c>
      <c r="M280" t="n">
        <v>0</v>
      </c>
      <c r="N280" t="n">
        <v>0</v>
      </c>
      <c r="O280" t="n">
        <v>0</v>
      </c>
      <c r="P280" t="n">
        <v>0</v>
      </c>
      <c r="Q280" t="n">
        <v>0</v>
      </c>
      <c r="R280" s="2" t="inlineStr"/>
    </row>
    <row r="281" ht="15" customHeight="1">
      <c r="A281" t="inlineStr">
        <is>
          <t>A 20189-2020</t>
        </is>
      </c>
      <c r="B281" s="1" t="n">
        <v>43944</v>
      </c>
      <c r="C281" s="1" t="n">
        <v>45338</v>
      </c>
      <c r="D281" t="inlineStr">
        <is>
          <t>DALARNAS LÄN</t>
        </is>
      </c>
      <c r="E281" t="inlineStr">
        <is>
          <t>ÄLVDALEN</t>
        </is>
      </c>
      <c r="G281" t="n">
        <v>0.7</v>
      </c>
      <c r="H281" t="n">
        <v>0</v>
      </c>
      <c r="I281" t="n">
        <v>0</v>
      </c>
      <c r="J281" t="n">
        <v>0</v>
      </c>
      <c r="K281" t="n">
        <v>0</v>
      </c>
      <c r="L281" t="n">
        <v>0</v>
      </c>
      <c r="M281" t="n">
        <v>0</v>
      </c>
      <c r="N281" t="n">
        <v>0</v>
      </c>
      <c r="O281" t="n">
        <v>0</v>
      </c>
      <c r="P281" t="n">
        <v>0</v>
      </c>
      <c r="Q281" t="n">
        <v>0</v>
      </c>
      <c r="R281" s="2" t="inlineStr"/>
    </row>
    <row r="282" ht="15" customHeight="1">
      <c r="A282" t="inlineStr">
        <is>
          <t>A 20290-2020</t>
        </is>
      </c>
      <c r="B282" s="1" t="n">
        <v>43944</v>
      </c>
      <c r="C282" s="1" t="n">
        <v>45338</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21120-2020</t>
        </is>
      </c>
      <c r="B283" s="1" t="n">
        <v>43951</v>
      </c>
      <c r="C283" s="1" t="n">
        <v>45338</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21128-2020</t>
        </is>
      </c>
      <c r="B284" s="1" t="n">
        <v>43951</v>
      </c>
      <c r="C284" s="1" t="n">
        <v>45338</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21367-2020</t>
        </is>
      </c>
      <c r="B285" s="1" t="n">
        <v>43955</v>
      </c>
      <c r="C285" s="1" t="n">
        <v>45338</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21927-2020</t>
        </is>
      </c>
      <c r="B286" s="1" t="n">
        <v>43955</v>
      </c>
      <c r="C286" s="1" t="n">
        <v>45338</v>
      </c>
      <c r="D286" t="inlineStr">
        <is>
          <t>DALARNAS LÄN</t>
        </is>
      </c>
      <c r="E286" t="inlineStr">
        <is>
          <t>ÄLVDALEN</t>
        </is>
      </c>
      <c r="G286" t="n">
        <v>3.3</v>
      </c>
      <c r="H286" t="n">
        <v>0</v>
      </c>
      <c r="I286" t="n">
        <v>0</v>
      </c>
      <c r="J286" t="n">
        <v>0</v>
      </c>
      <c r="K286" t="n">
        <v>0</v>
      </c>
      <c r="L286" t="n">
        <v>0</v>
      </c>
      <c r="M286" t="n">
        <v>0</v>
      </c>
      <c r="N286" t="n">
        <v>0</v>
      </c>
      <c r="O286" t="n">
        <v>0</v>
      </c>
      <c r="P286" t="n">
        <v>0</v>
      </c>
      <c r="Q286" t="n">
        <v>0</v>
      </c>
      <c r="R286" s="2" t="inlineStr"/>
    </row>
    <row r="287" ht="15" customHeight="1">
      <c r="A287" t="inlineStr">
        <is>
          <t>A 23448-2020</t>
        </is>
      </c>
      <c r="B287" s="1" t="n">
        <v>43969</v>
      </c>
      <c r="C287" s="1" t="n">
        <v>45338</v>
      </c>
      <c r="D287" t="inlineStr">
        <is>
          <t>DALARNAS LÄN</t>
        </is>
      </c>
      <c r="E287" t="inlineStr">
        <is>
          <t>ÄLVDALEN</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25966-2020</t>
        </is>
      </c>
      <c r="B288" s="1" t="n">
        <v>43985</v>
      </c>
      <c r="C288" s="1" t="n">
        <v>45338</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26792-2020</t>
        </is>
      </c>
      <c r="B289" s="1" t="n">
        <v>43990</v>
      </c>
      <c r="C289" s="1" t="n">
        <v>45338</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26808-2020</t>
        </is>
      </c>
      <c r="B290" s="1" t="n">
        <v>43990</v>
      </c>
      <c r="C290" s="1" t="n">
        <v>45338</v>
      </c>
      <c r="D290" t="inlineStr">
        <is>
          <t>DALARNAS LÄN</t>
        </is>
      </c>
      <c r="E290" t="inlineStr">
        <is>
          <t>ÄLVDALEN</t>
        </is>
      </c>
      <c r="G290" t="n">
        <v>0.8</v>
      </c>
      <c r="H290" t="n">
        <v>0</v>
      </c>
      <c r="I290" t="n">
        <v>0</v>
      </c>
      <c r="J290" t="n">
        <v>0</v>
      </c>
      <c r="K290" t="n">
        <v>0</v>
      </c>
      <c r="L290" t="n">
        <v>0</v>
      </c>
      <c r="M290" t="n">
        <v>0</v>
      </c>
      <c r="N290" t="n">
        <v>0</v>
      </c>
      <c r="O290" t="n">
        <v>0</v>
      </c>
      <c r="P290" t="n">
        <v>0</v>
      </c>
      <c r="Q290" t="n">
        <v>0</v>
      </c>
      <c r="R290" s="2" t="inlineStr"/>
    </row>
    <row r="291" ht="15" customHeight="1">
      <c r="A291" t="inlineStr">
        <is>
          <t>A 26788-2020</t>
        </is>
      </c>
      <c r="B291" s="1" t="n">
        <v>43990</v>
      </c>
      <c r="C291" s="1" t="n">
        <v>45338</v>
      </c>
      <c r="D291" t="inlineStr">
        <is>
          <t>DALARNAS LÄN</t>
        </is>
      </c>
      <c r="E291" t="inlineStr">
        <is>
          <t>ÄLVDALEN</t>
        </is>
      </c>
      <c r="G291" t="n">
        <v>0.2</v>
      </c>
      <c r="H291" t="n">
        <v>0</v>
      </c>
      <c r="I291" t="n">
        <v>0</v>
      </c>
      <c r="J291" t="n">
        <v>0</v>
      </c>
      <c r="K291" t="n">
        <v>0</v>
      </c>
      <c r="L291" t="n">
        <v>0</v>
      </c>
      <c r="M291" t="n">
        <v>0</v>
      </c>
      <c r="N291" t="n">
        <v>0</v>
      </c>
      <c r="O291" t="n">
        <v>0</v>
      </c>
      <c r="P291" t="n">
        <v>0</v>
      </c>
      <c r="Q291" t="n">
        <v>0</v>
      </c>
      <c r="R291" s="2" t="inlineStr"/>
    </row>
    <row r="292" ht="15" customHeight="1">
      <c r="A292" t="inlineStr">
        <is>
          <t>A 26801-2020</t>
        </is>
      </c>
      <c r="B292" s="1" t="n">
        <v>43990</v>
      </c>
      <c r="C292" s="1" t="n">
        <v>45338</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27040-2020</t>
        </is>
      </c>
      <c r="B293" s="1" t="n">
        <v>43991</v>
      </c>
      <c r="C293" s="1" t="n">
        <v>45338</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27038-2020</t>
        </is>
      </c>
      <c r="B294" s="1" t="n">
        <v>43991</v>
      </c>
      <c r="C294" s="1" t="n">
        <v>45338</v>
      </c>
      <c r="D294" t="inlineStr">
        <is>
          <t>DALARNAS LÄN</t>
        </is>
      </c>
      <c r="E294" t="inlineStr">
        <is>
          <t>ÄLVDALEN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27041-2020</t>
        </is>
      </c>
      <c r="B295" s="1" t="n">
        <v>43991</v>
      </c>
      <c r="C295" s="1" t="n">
        <v>45338</v>
      </c>
      <c r="D295" t="inlineStr">
        <is>
          <t>DALARNAS LÄN</t>
        </is>
      </c>
      <c r="E295" t="inlineStr">
        <is>
          <t>ÄLVDALEN</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29545-2020</t>
        </is>
      </c>
      <c r="B296" s="1" t="n">
        <v>44005</v>
      </c>
      <c r="C296" s="1" t="n">
        <v>45338</v>
      </c>
      <c r="D296" t="inlineStr">
        <is>
          <t>DALARNAS LÄN</t>
        </is>
      </c>
      <c r="E296" t="inlineStr">
        <is>
          <t>ÄLVDALEN</t>
        </is>
      </c>
      <c r="F296" t="inlineStr">
        <is>
          <t>Bergvik skog väst AB</t>
        </is>
      </c>
      <c r="G296" t="n">
        <v>7.2</v>
      </c>
      <c r="H296" t="n">
        <v>0</v>
      </c>
      <c r="I296" t="n">
        <v>0</v>
      </c>
      <c r="J296" t="n">
        <v>0</v>
      </c>
      <c r="K296" t="n">
        <v>0</v>
      </c>
      <c r="L296" t="n">
        <v>0</v>
      </c>
      <c r="M296" t="n">
        <v>0</v>
      </c>
      <c r="N296" t="n">
        <v>0</v>
      </c>
      <c r="O296" t="n">
        <v>0</v>
      </c>
      <c r="P296" t="n">
        <v>0</v>
      </c>
      <c r="Q296" t="n">
        <v>0</v>
      </c>
      <c r="R296" s="2" t="inlineStr"/>
    </row>
    <row r="297" ht="15" customHeight="1">
      <c r="A297" t="inlineStr">
        <is>
          <t>A 29703-2020</t>
        </is>
      </c>
      <c r="B297" s="1" t="n">
        <v>44005</v>
      </c>
      <c r="C297" s="1" t="n">
        <v>45338</v>
      </c>
      <c r="D297" t="inlineStr">
        <is>
          <t>DALARNAS LÄN</t>
        </is>
      </c>
      <c r="E297" t="inlineStr">
        <is>
          <t>ÄLVDALEN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32286-2020</t>
        </is>
      </c>
      <c r="B298" s="1" t="n">
        <v>44015</v>
      </c>
      <c r="C298" s="1" t="n">
        <v>45338</v>
      </c>
      <c r="D298" t="inlineStr">
        <is>
          <t>DALARNAS LÄN</t>
        </is>
      </c>
      <c r="E298" t="inlineStr">
        <is>
          <t>ÄLVDALEN</t>
        </is>
      </c>
      <c r="F298" t="inlineStr">
        <is>
          <t>Sveaskog</t>
        </is>
      </c>
      <c r="G298" t="n">
        <v>10.5</v>
      </c>
      <c r="H298" t="n">
        <v>0</v>
      </c>
      <c r="I298" t="n">
        <v>0</v>
      </c>
      <c r="J298" t="n">
        <v>0</v>
      </c>
      <c r="K298" t="n">
        <v>0</v>
      </c>
      <c r="L298" t="n">
        <v>0</v>
      </c>
      <c r="M298" t="n">
        <v>0</v>
      </c>
      <c r="N298" t="n">
        <v>0</v>
      </c>
      <c r="O298" t="n">
        <v>0</v>
      </c>
      <c r="P298" t="n">
        <v>0</v>
      </c>
      <c r="Q298" t="n">
        <v>0</v>
      </c>
      <c r="R298" s="2" t="inlineStr"/>
    </row>
    <row r="299" ht="15" customHeight="1">
      <c r="A299" t="inlineStr">
        <is>
          <t>A 32282-2020</t>
        </is>
      </c>
      <c r="B299" s="1" t="n">
        <v>44015</v>
      </c>
      <c r="C299" s="1" t="n">
        <v>45338</v>
      </c>
      <c r="D299" t="inlineStr">
        <is>
          <t>DALARNAS LÄN</t>
        </is>
      </c>
      <c r="E299" t="inlineStr">
        <is>
          <t>ÄLVDALEN</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32285-2020</t>
        </is>
      </c>
      <c r="B300" s="1" t="n">
        <v>44015</v>
      </c>
      <c r="C300" s="1" t="n">
        <v>45338</v>
      </c>
      <c r="D300" t="inlineStr">
        <is>
          <t>DALARNAS LÄN</t>
        </is>
      </c>
      <c r="E300" t="inlineStr">
        <is>
          <t>ÄLVDALEN</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33816-2020</t>
        </is>
      </c>
      <c r="B301" s="1" t="n">
        <v>44027</v>
      </c>
      <c r="C301" s="1" t="n">
        <v>45338</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35833-2020</t>
        </is>
      </c>
      <c r="B302" s="1" t="n">
        <v>44047</v>
      </c>
      <c r="C302" s="1" t="n">
        <v>45338</v>
      </c>
      <c r="D302" t="inlineStr">
        <is>
          <t>DALARNAS LÄN</t>
        </is>
      </c>
      <c r="E302" t="inlineStr">
        <is>
          <t>ÄLVDALEN</t>
        </is>
      </c>
      <c r="G302" t="n">
        <v>5.8</v>
      </c>
      <c r="H302" t="n">
        <v>0</v>
      </c>
      <c r="I302" t="n">
        <v>0</v>
      </c>
      <c r="J302" t="n">
        <v>0</v>
      </c>
      <c r="K302" t="n">
        <v>0</v>
      </c>
      <c r="L302" t="n">
        <v>0</v>
      </c>
      <c r="M302" t="n">
        <v>0</v>
      </c>
      <c r="N302" t="n">
        <v>0</v>
      </c>
      <c r="O302" t="n">
        <v>0</v>
      </c>
      <c r="P302" t="n">
        <v>0</v>
      </c>
      <c r="Q302" t="n">
        <v>0</v>
      </c>
      <c r="R302" s="2" t="inlineStr"/>
    </row>
    <row r="303" ht="15" customHeight="1">
      <c r="A303" t="inlineStr">
        <is>
          <t>A 36741-2020</t>
        </is>
      </c>
      <c r="B303" s="1" t="n">
        <v>44053</v>
      </c>
      <c r="C303" s="1" t="n">
        <v>45338</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37580-2020</t>
        </is>
      </c>
      <c r="B304" s="1" t="n">
        <v>44056</v>
      </c>
      <c r="C304" s="1" t="n">
        <v>45338</v>
      </c>
      <c r="D304" t="inlineStr">
        <is>
          <t>DALARNAS LÄN</t>
        </is>
      </c>
      <c r="E304" t="inlineStr">
        <is>
          <t>ÄLVDALEN</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39203-2020</t>
        </is>
      </c>
      <c r="B305" s="1" t="n">
        <v>44063</v>
      </c>
      <c r="C305" s="1" t="n">
        <v>45338</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41831-2020</t>
        </is>
      </c>
      <c r="B306" s="1" t="n">
        <v>44074</v>
      </c>
      <c r="C306" s="1" t="n">
        <v>45338</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41814-2020</t>
        </is>
      </c>
      <c r="B307" s="1" t="n">
        <v>44074</v>
      </c>
      <c r="C307" s="1" t="n">
        <v>45338</v>
      </c>
      <c r="D307" t="inlineStr">
        <is>
          <t>DALARNAS LÄN</t>
        </is>
      </c>
      <c r="E307" t="inlineStr">
        <is>
          <t>ÄLVDALEN</t>
        </is>
      </c>
      <c r="G307" t="n">
        <v>0.3</v>
      </c>
      <c r="H307" t="n">
        <v>0</v>
      </c>
      <c r="I307" t="n">
        <v>0</v>
      </c>
      <c r="J307" t="n">
        <v>0</v>
      </c>
      <c r="K307" t="n">
        <v>0</v>
      </c>
      <c r="L307" t="n">
        <v>0</v>
      </c>
      <c r="M307" t="n">
        <v>0</v>
      </c>
      <c r="N307" t="n">
        <v>0</v>
      </c>
      <c r="O307" t="n">
        <v>0</v>
      </c>
      <c r="P307" t="n">
        <v>0</v>
      </c>
      <c r="Q307" t="n">
        <v>0</v>
      </c>
      <c r="R307" s="2" t="inlineStr"/>
    </row>
    <row r="308" ht="15" customHeight="1">
      <c r="A308" t="inlineStr">
        <is>
          <t>A 42861-2020</t>
        </is>
      </c>
      <c r="B308" s="1" t="n">
        <v>44078</v>
      </c>
      <c r="C308" s="1" t="n">
        <v>45338</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46881-2020</t>
        </is>
      </c>
      <c r="B309" s="1" t="n">
        <v>44096</v>
      </c>
      <c r="C309" s="1" t="n">
        <v>45338</v>
      </c>
      <c r="D309" t="inlineStr">
        <is>
          <t>DALARNAS LÄN</t>
        </is>
      </c>
      <c r="E309" t="inlineStr">
        <is>
          <t>ÄLVDALEN</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46893-2020</t>
        </is>
      </c>
      <c r="B310" s="1" t="n">
        <v>44096</v>
      </c>
      <c r="C310" s="1" t="n">
        <v>45338</v>
      </c>
      <c r="D310" t="inlineStr">
        <is>
          <t>DALARNAS LÄN</t>
        </is>
      </c>
      <c r="E310" t="inlineStr">
        <is>
          <t>ÄLVDALEN</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49737-2020</t>
        </is>
      </c>
      <c r="B311" s="1" t="n">
        <v>44106</v>
      </c>
      <c r="C311" s="1" t="n">
        <v>45338</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49587-2020</t>
        </is>
      </c>
      <c r="B312" s="1" t="n">
        <v>44106</v>
      </c>
      <c r="C312" s="1" t="n">
        <v>45338</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49734-2020</t>
        </is>
      </c>
      <c r="B313" s="1" t="n">
        <v>44106</v>
      </c>
      <c r="C313" s="1" t="n">
        <v>45338</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49956-2020</t>
        </is>
      </c>
      <c r="B314" s="1" t="n">
        <v>44109</v>
      </c>
      <c r="C314" s="1" t="n">
        <v>45338</v>
      </c>
      <c r="D314" t="inlineStr">
        <is>
          <t>DALARNAS LÄN</t>
        </is>
      </c>
      <c r="E314" t="inlineStr">
        <is>
          <t>ÄLVDALEN</t>
        </is>
      </c>
      <c r="F314" t="inlineStr">
        <is>
          <t>Övriga Aktiebolag</t>
        </is>
      </c>
      <c r="G314" t="n">
        <v>25.8</v>
      </c>
      <c r="H314" t="n">
        <v>0</v>
      </c>
      <c r="I314" t="n">
        <v>0</v>
      </c>
      <c r="J314" t="n">
        <v>0</v>
      </c>
      <c r="K314" t="n">
        <v>0</v>
      </c>
      <c r="L314" t="n">
        <v>0</v>
      </c>
      <c r="M314" t="n">
        <v>0</v>
      </c>
      <c r="N314" t="n">
        <v>0</v>
      </c>
      <c r="O314" t="n">
        <v>0</v>
      </c>
      <c r="P314" t="n">
        <v>0</v>
      </c>
      <c r="Q314" t="n">
        <v>0</v>
      </c>
      <c r="R314" s="2" t="inlineStr"/>
    </row>
    <row r="315" ht="15" customHeight="1">
      <c r="A315" t="inlineStr">
        <is>
          <t>A 49968-2020</t>
        </is>
      </c>
      <c r="B315" s="1" t="n">
        <v>44109</v>
      </c>
      <c r="C315" s="1" t="n">
        <v>45338</v>
      </c>
      <c r="D315" t="inlineStr">
        <is>
          <t>DALARNAS LÄN</t>
        </is>
      </c>
      <c r="E315" t="inlineStr">
        <is>
          <t>ÄLVDALEN</t>
        </is>
      </c>
      <c r="F315" t="inlineStr">
        <is>
          <t>Övriga Aktiebolag</t>
        </is>
      </c>
      <c r="G315" t="n">
        <v>11.8</v>
      </c>
      <c r="H315" t="n">
        <v>0</v>
      </c>
      <c r="I315" t="n">
        <v>0</v>
      </c>
      <c r="J315" t="n">
        <v>0</v>
      </c>
      <c r="K315" t="n">
        <v>0</v>
      </c>
      <c r="L315" t="n">
        <v>0</v>
      </c>
      <c r="M315" t="n">
        <v>0</v>
      </c>
      <c r="N315" t="n">
        <v>0</v>
      </c>
      <c r="O315" t="n">
        <v>0</v>
      </c>
      <c r="P315" t="n">
        <v>0</v>
      </c>
      <c r="Q315" t="n">
        <v>0</v>
      </c>
      <c r="R315" s="2" t="inlineStr"/>
    </row>
    <row r="316" ht="15" customHeight="1">
      <c r="A316" t="inlineStr">
        <is>
          <t>A 51519-2020</t>
        </is>
      </c>
      <c r="B316" s="1" t="n">
        <v>44113</v>
      </c>
      <c r="C316" s="1" t="n">
        <v>45338</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52401-2020</t>
        </is>
      </c>
      <c r="B317" s="1" t="n">
        <v>44113</v>
      </c>
      <c r="C317" s="1" t="n">
        <v>45338</v>
      </c>
      <c r="D317" t="inlineStr">
        <is>
          <t>DALARNAS LÄN</t>
        </is>
      </c>
      <c r="E317" t="inlineStr">
        <is>
          <t>ÄLVDALEN</t>
        </is>
      </c>
      <c r="G317" t="n">
        <v>4.4</v>
      </c>
      <c r="H317" t="n">
        <v>0</v>
      </c>
      <c r="I317" t="n">
        <v>0</v>
      </c>
      <c r="J317" t="n">
        <v>0</v>
      </c>
      <c r="K317" t="n">
        <v>0</v>
      </c>
      <c r="L317" t="n">
        <v>0</v>
      </c>
      <c r="M317" t="n">
        <v>0</v>
      </c>
      <c r="N317" t="n">
        <v>0</v>
      </c>
      <c r="O317" t="n">
        <v>0</v>
      </c>
      <c r="P317" t="n">
        <v>0</v>
      </c>
      <c r="Q317" t="n">
        <v>0</v>
      </c>
      <c r="R317" s="2" t="inlineStr"/>
    </row>
    <row r="318" ht="15" customHeight="1">
      <c r="A318" t="inlineStr">
        <is>
          <t>A 54138-2020</t>
        </is>
      </c>
      <c r="B318" s="1" t="n">
        <v>44125</v>
      </c>
      <c r="C318" s="1" t="n">
        <v>45338</v>
      </c>
      <c r="D318" t="inlineStr">
        <is>
          <t>DALARNAS LÄN</t>
        </is>
      </c>
      <c r="E318" t="inlineStr">
        <is>
          <t>ÄLVDALEN</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54338-2020</t>
        </is>
      </c>
      <c r="B319" s="1" t="n">
        <v>44126</v>
      </c>
      <c r="C319" s="1" t="n">
        <v>45338</v>
      </c>
      <c r="D319" t="inlineStr">
        <is>
          <t>DALARNAS LÄN</t>
        </is>
      </c>
      <c r="E319" t="inlineStr">
        <is>
          <t>ÄLVDALEN</t>
        </is>
      </c>
      <c r="G319" t="n">
        <v>3.4</v>
      </c>
      <c r="H319" t="n">
        <v>0</v>
      </c>
      <c r="I319" t="n">
        <v>0</v>
      </c>
      <c r="J319" t="n">
        <v>0</v>
      </c>
      <c r="K319" t="n">
        <v>0</v>
      </c>
      <c r="L319" t="n">
        <v>0</v>
      </c>
      <c r="M319" t="n">
        <v>0</v>
      </c>
      <c r="N319" t="n">
        <v>0</v>
      </c>
      <c r="O319" t="n">
        <v>0</v>
      </c>
      <c r="P319" t="n">
        <v>0</v>
      </c>
      <c r="Q319" t="n">
        <v>0</v>
      </c>
      <c r="R319" s="2" t="inlineStr"/>
    </row>
    <row r="320" ht="15" customHeight="1">
      <c r="A320" t="inlineStr">
        <is>
          <t>A 58004-2020</t>
        </is>
      </c>
      <c r="B320" s="1" t="n">
        <v>44140</v>
      </c>
      <c r="C320" s="1" t="n">
        <v>45338</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58571-2020</t>
        </is>
      </c>
      <c r="B321" s="1" t="n">
        <v>44145</v>
      </c>
      <c r="C321" s="1" t="n">
        <v>45338</v>
      </c>
      <c r="D321" t="inlineStr">
        <is>
          <t>DALARNAS LÄN</t>
        </is>
      </c>
      <c r="E321" t="inlineStr">
        <is>
          <t>ÄLVDALEN</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58573-2020</t>
        </is>
      </c>
      <c r="B322" s="1" t="n">
        <v>44145</v>
      </c>
      <c r="C322" s="1" t="n">
        <v>45338</v>
      </c>
      <c r="D322" t="inlineStr">
        <is>
          <t>DALARNAS LÄN</t>
        </is>
      </c>
      <c r="E322" t="inlineStr">
        <is>
          <t>ÄLVDALEN</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58719-2020</t>
        </is>
      </c>
      <c r="B323" s="1" t="n">
        <v>44146</v>
      </c>
      <c r="C323" s="1" t="n">
        <v>45338</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58718-2020</t>
        </is>
      </c>
      <c r="B324" s="1" t="n">
        <v>44146</v>
      </c>
      <c r="C324" s="1" t="n">
        <v>45338</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61160-2020</t>
        </is>
      </c>
      <c r="B325" s="1" t="n">
        <v>44153</v>
      </c>
      <c r="C325" s="1" t="n">
        <v>45338</v>
      </c>
      <c r="D325" t="inlineStr">
        <is>
          <t>DALARNAS LÄN</t>
        </is>
      </c>
      <c r="E325" t="inlineStr">
        <is>
          <t>ÄLVDALEN</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63296-2020</t>
        </is>
      </c>
      <c r="B326" s="1" t="n">
        <v>44165</v>
      </c>
      <c r="C326" s="1" t="n">
        <v>45338</v>
      </c>
      <c r="D326" t="inlineStr">
        <is>
          <t>DALARNAS LÄN</t>
        </is>
      </c>
      <c r="E326" t="inlineStr">
        <is>
          <t>ÄLVDALEN</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66589-2020</t>
        </is>
      </c>
      <c r="B327" s="1" t="n">
        <v>44179</v>
      </c>
      <c r="C327" s="1" t="n">
        <v>45338</v>
      </c>
      <c r="D327" t="inlineStr">
        <is>
          <t>DALARNAS LÄN</t>
        </is>
      </c>
      <c r="E327" t="inlineStr">
        <is>
          <t>ÄLVDALEN</t>
        </is>
      </c>
      <c r="G327" t="n">
        <v>3.3</v>
      </c>
      <c r="H327" t="n">
        <v>0</v>
      </c>
      <c r="I327" t="n">
        <v>0</v>
      </c>
      <c r="J327" t="n">
        <v>0</v>
      </c>
      <c r="K327" t="n">
        <v>0</v>
      </c>
      <c r="L327" t="n">
        <v>0</v>
      </c>
      <c r="M327" t="n">
        <v>0</v>
      </c>
      <c r="N327" t="n">
        <v>0</v>
      </c>
      <c r="O327" t="n">
        <v>0</v>
      </c>
      <c r="P327" t="n">
        <v>0</v>
      </c>
      <c r="Q327" t="n">
        <v>0</v>
      </c>
      <c r="R327" s="2" t="inlineStr"/>
    </row>
    <row r="328" ht="15" customHeight="1">
      <c r="A328" t="inlineStr">
        <is>
          <t>A 33-2021</t>
        </is>
      </c>
      <c r="B328" s="1" t="n">
        <v>44198</v>
      </c>
      <c r="C328" s="1" t="n">
        <v>45338</v>
      </c>
      <c r="D328" t="inlineStr">
        <is>
          <t>DALARNAS LÄN</t>
        </is>
      </c>
      <c r="E328" t="inlineStr">
        <is>
          <t>ÄLVDALEN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203-2021</t>
        </is>
      </c>
      <c r="B329" s="1" t="n">
        <v>44200</v>
      </c>
      <c r="C329" s="1" t="n">
        <v>45338</v>
      </c>
      <c r="D329" t="inlineStr">
        <is>
          <t>DALARNAS LÄN</t>
        </is>
      </c>
      <c r="E329" t="inlineStr">
        <is>
          <t>ÄLVDALEN</t>
        </is>
      </c>
      <c r="F329" t="inlineStr">
        <is>
          <t>Övriga statliga verk och myndigheter</t>
        </is>
      </c>
      <c r="G329" t="n">
        <v>19.1</v>
      </c>
      <c r="H329" t="n">
        <v>0</v>
      </c>
      <c r="I329" t="n">
        <v>0</v>
      </c>
      <c r="J329" t="n">
        <v>0</v>
      </c>
      <c r="K329" t="n">
        <v>0</v>
      </c>
      <c r="L329" t="n">
        <v>0</v>
      </c>
      <c r="M329" t="n">
        <v>0</v>
      </c>
      <c r="N329" t="n">
        <v>0</v>
      </c>
      <c r="O329" t="n">
        <v>0</v>
      </c>
      <c r="P329" t="n">
        <v>0</v>
      </c>
      <c r="Q329" t="n">
        <v>0</v>
      </c>
      <c r="R329" s="2" t="inlineStr"/>
    </row>
    <row r="330" ht="15" customHeight="1">
      <c r="A330" t="inlineStr">
        <is>
          <t>A 257-2021</t>
        </is>
      </c>
      <c r="B330" s="1" t="n">
        <v>44200</v>
      </c>
      <c r="C330" s="1" t="n">
        <v>45338</v>
      </c>
      <c r="D330" t="inlineStr">
        <is>
          <t>DALARNAS LÄN</t>
        </is>
      </c>
      <c r="E330" t="inlineStr">
        <is>
          <t>ÄLVDALEN</t>
        </is>
      </c>
      <c r="F330" t="inlineStr">
        <is>
          <t>Övriga statliga verk och myndigheter</t>
        </is>
      </c>
      <c r="G330" t="n">
        <v>6.1</v>
      </c>
      <c r="H330" t="n">
        <v>0</v>
      </c>
      <c r="I330" t="n">
        <v>0</v>
      </c>
      <c r="J330" t="n">
        <v>0</v>
      </c>
      <c r="K330" t="n">
        <v>0</v>
      </c>
      <c r="L330" t="n">
        <v>0</v>
      </c>
      <c r="M330" t="n">
        <v>0</v>
      </c>
      <c r="N330" t="n">
        <v>0</v>
      </c>
      <c r="O330" t="n">
        <v>0</v>
      </c>
      <c r="P330" t="n">
        <v>0</v>
      </c>
      <c r="Q330" t="n">
        <v>0</v>
      </c>
      <c r="R330" s="2" t="inlineStr"/>
    </row>
    <row r="331" ht="15" customHeight="1">
      <c r="A331" t="inlineStr">
        <is>
          <t>A 333-2021</t>
        </is>
      </c>
      <c r="B331" s="1" t="n">
        <v>44201</v>
      </c>
      <c r="C331" s="1" t="n">
        <v>45338</v>
      </c>
      <c r="D331" t="inlineStr">
        <is>
          <t>DALARNAS LÄN</t>
        </is>
      </c>
      <c r="E331" t="inlineStr">
        <is>
          <t>ÄLVDALEN</t>
        </is>
      </c>
      <c r="F331" t="inlineStr">
        <is>
          <t>Övriga statliga verk och myndigheter</t>
        </is>
      </c>
      <c r="G331" t="n">
        <v>5.4</v>
      </c>
      <c r="H331" t="n">
        <v>0</v>
      </c>
      <c r="I331" t="n">
        <v>0</v>
      </c>
      <c r="J331" t="n">
        <v>0</v>
      </c>
      <c r="K331" t="n">
        <v>0</v>
      </c>
      <c r="L331" t="n">
        <v>0</v>
      </c>
      <c r="M331" t="n">
        <v>0</v>
      </c>
      <c r="N331" t="n">
        <v>0</v>
      </c>
      <c r="O331" t="n">
        <v>0</v>
      </c>
      <c r="P331" t="n">
        <v>0</v>
      </c>
      <c r="Q331" t="n">
        <v>0</v>
      </c>
      <c r="R331" s="2" t="inlineStr"/>
    </row>
    <row r="332" ht="15" customHeight="1">
      <c r="A332" t="inlineStr">
        <is>
          <t>A 435-2021</t>
        </is>
      </c>
      <c r="B332" s="1" t="n">
        <v>44201</v>
      </c>
      <c r="C332" s="1" t="n">
        <v>45338</v>
      </c>
      <c r="D332" t="inlineStr">
        <is>
          <t>DALARNAS LÄN</t>
        </is>
      </c>
      <c r="E332" t="inlineStr">
        <is>
          <t>ÄLVDALEN</t>
        </is>
      </c>
      <c r="F332" t="inlineStr">
        <is>
          <t>Övriga statliga verk och myndigheter</t>
        </is>
      </c>
      <c r="G332" t="n">
        <v>1.7</v>
      </c>
      <c r="H332" t="n">
        <v>0</v>
      </c>
      <c r="I332" t="n">
        <v>0</v>
      </c>
      <c r="J332" t="n">
        <v>0</v>
      </c>
      <c r="K332" t="n">
        <v>0</v>
      </c>
      <c r="L332" t="n">
        <v>0</v>
      </c>
      <c r="M332" t="n">
        <v>0</v>
      </c>
      <c r="N332" t="n">
        <v>0</v>
      </c>
      <c r="O332" t="n">
        <v>0</v>
      </c>
      <c r="P332" t="n">
        <v>0</v>
      </c>
      <c r="Q332" t="n">
        <v>0</v>
      </c>
      <c r="R332" s="2" t="inlineStr"/>
    </row>
    <row r="333" ht="15" customHeight="1">
      <c r="A333" t="inlineStr">
        <is>
          <t>A 1871-2021</t>
        </is>
      </c>
      <c r="B333" s="1" t="n">
        <v>44210</v>
      </c>
      <c r="C333" s="1" t="n">
        <v>45338</v>
      </c>
      <c r="D333" t="inlineStr">
        <is>
          <t>DALARNAS LÄN</t>
        </is>
      </c>
      <c r="E333" t="inlineStr">
        <is>
          <t>ÄLVDALEN</t>
        </is>
      </c>
      <c r="F333" t="inlineStr">
        <is>
          <t>Övriga statliga verk och myndigheter</t>
        </is>
      </c>
      <c r="G333" t="n">
        <v>4.8</v>
      </c>
      <c r="H333" t="n">
        <v>0</v>
      </c>
      <c r="I333" t="n">
        <v>0</v>
      </c>
      <c r="J333" t="n">
        <v>0</v>
      </c>
      <c r="K333" t="n">
        <v>0</v>
      </c>
      <c r="L333" t="n">
        <v>0</v>
      </c>
      <c r="M333" t="n">
        <v>0</v>
      </c>
      <c r="N333" t="n">
        <v>0</v>
      </c>
      <c r="O333" t="n">
        <v>0</v>
      </c>
      <c r="P333" t="n">
        <v>0</v>
      </c>
      <c r="Q333" t="n">
        <v>0</v>
      </c>
      <c r="R333" s="2" t="inlineStr"/>
    </row>
    <row r="334" ht="15" customHeight="1">
      <c r="A334" t="inlineStr">
        <is>
          <t>A 1872-2021</t>
        </is>
      </c>
      <c r="B334" s="1" t="n">
        <v>44210</v>
      </c>
      <c r="C334" s="1" t="n">
        <v>45338</v>
      </c>
      <c r="D334" t="inlineStr">
        <is>
          <t>DALARNAS LÄN</t>
        </is>
      </c>
      <c r="E334" t="inlineStr">
        <is>
          <t>ÄLVDALEN</t>
        </is>
      </c>
      <c r="F334" t="inlineStr">
        <is>
          <t>Övriga statliga verk och myndigheter</t>
        </is>
      </c>
      <c r="G334" t="n">
        <v>19.6</v>
      </c>
      <c r="H334" t="n">
        <v>0</v>
      </c>
      <c r="I334" t="n">
        <v>0</v>
      </c>
      <c r="J334" t="n">
        <v>0</v>
      </c>
      <c r="K334" t="n">
        <v>0</v>
      </c>
      <c r="L334" t="n">
        <v>0</v>
      </c>
      <c r="M334" t="n">
        <v>0</v>
      </c>
      <c r="N334" t="n">
        <v>0</v>
      </c>
      <c r="O334" t="n">
        <v>0</v>
      </c>
      <c r="P334" t="n">
        <v>0</v>
      </c>
      <c r="Q334" t="n">
        <v>0</v>
      </c>
      <c r="R334" s="2" t="inlineStr"/>
    </row>
    <row r="335" ht="15" customHeight="1">
      <c r="A335" t="inlineStr">
        <is>
          <t>A 2219-2021</t>
        </is>
      </c>
      <c r="B335" s="1" t="n">
        <v>44210</v>
      </c>
      <c r="C335" s="1" t="n">
        <v>45338</v>
      </c>
      <c r="D335" t="inlineStr">
        <is>
          <t>DALARNAS LÄN</t>
        </is>
      </c>
      <c r="E335" t="inlineStr">
        <is>
          <t>ÄLVDALEN</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2690-2021</t>
        </is>
      </c>
      <c r="B336" s="1" t="n">
        <v>44214</v>
      </c>
      <c r="C336" s="1" t="n">
        <v>45338</v>
      </c>
      <c r="D336" t="inlineStr">
        <is>
          <t>DALARNAS LÄN</t>
        </is>
      </c>
      <c r="E336" t="inlineStr">
        <is>
          <t>ÄLVDALEN</t>
        </is>
      </c>
      <c r="F336" t="inlineStr">
        <is>
          <t>Allmännings- och besparingsskogar</t>
        </is>
      </c>
      <c r="G336" t="n">
        <v>70.3</v>
      </c>
      <c r="H336" t="n">
        <v>0</v>
      </c>
      <c r="I336" t="n">
        <v>0</v>
      </c>
      <c r="J336" t="n">
        <v>0</v>
      </c>
      <c r="K336" t="n">
        <v>0</v>
      </c>
      <c r="L336" t="n">
        <v>0</v>
      </c>
      <c r="M336" t="n">
        <v>0</v>
      </c>
      <c r="N336" t="n">
        <v>0</v>
      </c>
      <c r="O336" t="n">
        <v>0</v>
      </c>
      <c r="P336" t="n">
        <v>0</v>
      </c>
      <c r="Q336" t="n">
        <v>0</v>
      </c>
      <c r="R336" s="2" t="inlineStr"/>
    </row>
    <row r="337" ht="15" customHeight="1">
      <c r="A337" t="inlineStr">
        <is>
          <t>A 2746-2021</t>
        </is>
      </c>
      <c r="B337" s="1" t="n">
        <v>44215</v>
      </c>
      <c r="C337" s="1" t="n">
        <v>45338</v>
      </c>
      <c r="D337" t="inlineStr">
        <is>
          <t>DALARNAS LÄN</t>
        </is>
      </c>
      <c r="E337" t="inlineStr">
        <is>
          <t>ÄLVDALEN</t>
        </is>
      </c>
      <c r="F337" t="inlineStr">
        <is>
          <t>Kommuner</t>
        </is>
      </c>
      <c r="G337" t="n">
        <v>14.7</v>
      </c>
      <c r="H337" t="n">
        <v>0</v>
      </c>
      <c r="I337" t="n">
        <v>0</v>
      </c>
      <c r="J337" t="n">
        <v>0</v>
      </c>
      <c r="K337" t="n">
        <v>0</v>
      </c>
      <c r="L337" t="n">
        <v>0</v>
      </c>
      <c r="M337" t="n">
        <v>0</v>
      </c>
      <c r="N337" t="n">
        <v>0</v>
      </c>
      <c r="O337" t="n">
        <v>0</v>
      </c>
      <c r="P337" t="n">
        <v>0</v>
      </c>
      <c r="Q337" t="n">
        <v>0</v>
      </c>
      <c r="R337" s="2" t="inlineStr"/>
    </row>
    <row r="338" ht="15" customHeight="1">
      <c r="A338" t="inlineStr">
        <is>
          <t>A 4034-2021</t>
        </is>
      </c>
      <c r="B338" s="1" t="n">
        <v>44222</v>
      </c>
      <c r="C338" s="1" t="n">
        <v>45338</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4589-2021</t>
        </is>
      </c>
      <c r="B339" s="1" t="n">
        <v>44224</v>
      </c>
      <c r="C339" s="1" t="n">
        <v>45338</v>
      </c>
      <c r="D339" t="inlineStr">
        <is>
          <t>DALARNAS LÄN</t>
        </is>
      </c>
      <c r="E339" t="inlineStr">
        <is>
          <t>ÄLVDALEN</t>
        </is>
      </c>
      <c r="G339" t="n">
        <v>4.9</v>
      </c>
      <c r="H339" t="n">
        <v>0</v>
      </c>
      <c r="I339" t="n">
        <v>0</v>
      </c>
      <c r="J339" t="n">
        <v>0</v>
      </c>
      <c r="K339" t="n">
        <v>0</v>
      </c>
      <c r="L339" t="n">
        <v>0</v>
      </c>
      <c r="M339" t="n">
        <v>0</v>
      </c>
      <c r="N339" t="n">
        <v>0</v>
      </c>
      <c r="O339" t="n">
        <v>0</v>
      </c>
      <c r="P339" t="n">
        <v>0</v>
      </c>
      <c r="Q339" t="n">
        <v>0</v>
      </c>
      <c r="R339" s="2" t="inlineStr"/>
    </row>
    <row r="340" ht="15" customHeight="1">
      <c r="A340" t="inlineStr">
        <is>
          <t>A 5319-2021</t>
        </is>
      </c>
      <c r="B340" s="1" t="n">
        <v>44229</v>
      </c>
      <c r="C340" s="1" t="n">
        <v>45338</v>
      </c>
      <c r="D340" t="inlineStr">
        <is>
          <t>DALARNAS LÄN</t>
        </is>
      </c>
      <c r="E340" t="inlineStr">
        <is>
          <t>ÄLVDALEN</t>
        </is>
      </c>
      <c r="F340" t="inlineStr">
        <is>
          <t>Kommuner</t>
        </is>
      </c>
      <c r="G340" t="n">
        <v>15.3</v>
      </c>
      <c r="H340" t="n">
        <v>0</v>
      </c>
      <c r="I340" t="n">
        <v>0</v>
      </c>
      <c r="J340" t="n">
        <v>0</v>
      </c>
      <c r="K340" t="n">
        <v>0</v>
      </c>
      <c r="L340" t="n">
        <v>0</v>
      </c>
      <c r="M340" t="n">
        <v>0</v>
      </c>
      <c r="N340" t="n">
        <v>0</v>
      </c>
      <c r="O340" t="n">
        <v>0</v>
      </c>
      <c r="P340" t="n">
        <v>0</v>
      </c>
      <c r="Q340" t="n">
        <v>0</v>
      </c>
      <c r="R340" s="2" t="inlineStr"/>
    </row>
    <row r="341" ht="15" customHeight="1">
      <c r="A341" t="inlineStr">
        <is>
          <t>A 5567-2021</t>
        </is>
      </c>
      <c r="B341" s="1" t="n">
        <v>44230</v>
      </c>
      <c r="C341" s="1" t="n">
        <v>45338</v>
      </c>
      <c r="D341" t="inlineStr">
        <is>
          <t>DALARNAS LÄN</t>
        </is>
      </c>
      <c r="E341" t="inlineStr">
        <is>
          <t>ÄLVDALEN</t>
        </is>
      </c>
      <c r="F341" t="inlineStr">
        <is>
          <t>Övriga statliga verk och myndigheter</t>
        </is>
      </c>
      <c r="G341" t="n">
        <v>29.1</v>
      </c>
      <c r="H341" t="n">
        <v>0</v>
      </c>
      <c r="I341" t="n">
        <v>0</v>
      </c>
      <c r="J341" t="n">
        <v>0</v>
      </c>
      <c r="K341" t="n">
        <v>0</v>
      </c>
      <c r="L341" t="n">
        <v>0</v>
      </c>
      <c r="M341" t="n">
        <v>0</v>
      </c>
      <c r="N341" t="n">
        <v>0</v>
      </c>
      <c r="O341" t="n">
        <v>0</v>
      </c>
      <c r="P341" t="n">
        <v>0</v>
      </c>
      <c r="Q341" t="n">
        <v>0</v>
      </c>
      <c r="R341" s="2" t="inlineStr"/>
    </row>
    <row r="342" ht="15" customHeight="1">
      <c r="A342" t="inlineStr">
        <is>
          <t>A 7164-2021</t>
        </is>
      </c>
      <c r="B342" s="1" t="n">
        <v>44238</v>
      </c>
      <c r="C342" s="1" t="n">
        <v>45338</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7232-2021</t>
        </is>
      </c>
      <c r="B343" s="1" t="n">
        <v>44238</v>
      </c>
      <c r="C343" s="1" t="n">
        <v>45338</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11032-2021</t>
        </is>
      </c>
      <c r="B344" s="1" t="n">
        <v>44260</v>
      </c>
      <c r="C344" s="1" t="n">
        <v>45338</v>
      </c>
      <c r="D344" t="inlineStr">
        <is>
          <t>DALARNAS LÄN</t>
        </is>
      </c>
      <c r="E344" t="inlineStr">
        <is>
          <t>ÄLVDALEN</t>
        </is>
      </c>
      <c r="F344" t="inlineStr">
        <is>
          <t>Övriga statliga verk och myndigheter</t>
        </is>
      </c>
      <c r="G344" t="n">
        <v>35.9</v>
      </c>
      <c r="H344" t="n">
        <v>0</v>
      </c>
      <c r="I344" t="n">
        <v>0</v>
      </c>
      <c r="J344" t="n">
        <v>0</v>
      </c>
      <c r="K344" t="n">
        <v>0</v>
      </c>
      <c r="L344" t="n">
        <v>0</v>
      </c>
      <c r="M344" t="n">
        <v>0</v>
      </c>
      <c r="N344" t="n">
        <v>0</v>
      </c>
      <c r="O344" t="n">
        <v>0</v>
      </c>
      <c r="P344" t="n">
        <v>0</v>
      </c>
      <c r="Q344" t="n">
        <v>0</v>
      </c>
      <c r="R344" s="2" t="inlineStr"/>
    </row>
    <row r="345" ht="15" customHeight="1">
      <c r="A345" t="inlineStr">
        <is>
          <t>A 14290-2021</t>
        </is>
      </c>
      <c r="B345" s="1" t="n">
        <v>44278</v>
      </c>
      <c r="C345" s="1" t="n">
        <v>45338</v>
      </c>
      <c r="D345" t="inlineStr">
        <is>
          <t>DALARNAS LÄN</t>
        </is>
      </c>
      <c r="E345" t="inlineStr">
        <is>
          <t>ÄLVDALEN</t>
        </is>
      </c>
      <c r="G345" t="n">
        <v>1.9</v>
      </c>
      <c r="H345" t="n">
        <v>0</v>
      </c>
      <c r="I345" t="n">
        <v>0</v>
      </c>
      <c r="J345" t="n">
        <v>0</v>
      </c>
      <c r="K345" t="n">
        <v>0</v>
      </c>
      <c r="L345" t="n">
        <v>0</v>
      </c>
      <c r="M345" t="n">
        <v>0</v>
      </c>
      <c r="N345" t="n">
        <v>0</v>
      </c>
      <c r="O345" t="n">
        <v>0</v>
      </c>
      <c r="P345" t="n">
        <v>0</v>
      </c>
      <c r="Q345" t="n">
        <v>0</v>
      </c>
      <c r="R345" s="2" t="inlineStr"/>
    </row>
    <row r="346" ht="15" customHeight="1">
      <c r="A346" t="inlineStr">
        <is>
          <t>A 14548-2021</t>
        </is>
      </c>
      <c r="B346" s="1" t="n">
        <v>44279</v>
      </c>
      <c r="C346" s="1" t="n">
        <v>45338</v>
      </c>
      <c r="D346" t="inlineStr">
        <is>
          <t>DALARNAS LÄN</t>
        </is>
      </c>
      <c r="E346" t="inlineStr">
        <is>
          <t>ÄLVDALEN</t>
        </is>
      </c>
      <c r="G346" t="n">
        <v>6</v>
      </c>
      <c r="H346" t="n">
        <v>0</v>
      </c>
      <c r="I346" t="n">
        <v>0</v>
      </c>
      <c r="J346" t="n">
        <v>0</v>
      </c>
      <c r="K346" t="n">
        <v>0</v>
      </c>
      <c r="L346" t="n">
        <v>0</v>
      </c>
      <c r="M346" t="n">
        <v>0</v>
      </c>
      <c r="N346" t="n">
        <v>0</v>
      </c>
      <c r="O346" t="n">
        <v>0</v>
      </c>
      <c r="P346" t="n">
        <v>0</v>
      </c>
      <c r="Q346" t="n">
        <v>0</v>
      </c>
      <c r="R346" s="2" t="inlineStr"/>
    </row>
    <row r="347" ht="15" customHeight="1">
      <c r="A347" t="inlineStr">
        <is>
          <t>A 15045-2021</t>
        </is>
      </c>
      <c r="B347" s="1" t="n">
        <v>44281</v>
      </c>
      <c r="C347" s="1" t="n">
        <v>45338</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14995-2021</t>
        </is>
      </c>
      <c r="B348" s="1" t="n">
        <v>44281</v>
      </c>
      <c r="C348" s="1" t="n">
        <v>45338</v>
      </c>
      <c r="D348" t="inlineStr">
        <is>
          <t>DALARNAS LÄN</t>
        </is>
      </c>
      <c r="E348" t="inlineStr">
        <is>
          <t>ÄLVDALEN</t>
        </is>
      </c>
      <c r="G348" t="n">
        <v>17.8</v>
      </c>
      <c r="H348" t="n">
        <v>0</v>
      </c>
      <c r="I348" t="n">
        <v>0</v>
      </c>
      <c r="J348" t="n">
        <v>0</v>
      </c>
      <c r="K348" t="n">
        <v>0</v>
      </c>
      <c r="L348" t="n">
        <v>0</v>
      </c>
      <c r="M348" t="n">
        <v>0</v>
      </c>
      <c r="N348" t="n">
        <v>0</v>
      </c>
      <c r="O348" t="n">
        <v>0</v>
      </c>
      <c r="P348" t="n">
        <v>0</v>
      </c>
      <c r="Q348" t="n">
        <v>0</v>
      </c>
      <c r="R348" s="2" t="inlineStr"/>
    </row>
    <row r="349" ht="15" customHeight="1">
      <c r="A349" t="inlineStr">
        <is>
          <t>A 15251-2021</t>
        </is>
      </c>
      <c r="B349" s="1" t="n">
        <v>44284</v>
      </c>
      <c r="C349" s="1" t="n">
        <v>45338</v>
      </c>
      <c r="D349" t="inlineStr">
        <is>
          <t>DALARNAS LÄN</t>
        </is>
      </c>
      <c r="E349" t="inlineStr">
        <is>
          <t>ÄLVDALEN</t>
        </is>
      </c>
      <c r="G349" t="n">
        <v>6.1</v>
      </c>
      <c r="H349" t="n">
        <v>0</v>
      </c>
      <c r="I349" t="n">
        <v>0</v>
      </c>
      <c r="J349" t="n">
        <v>0</v>
      </c>
      <c r="K349" t="n">
        <v>0</v>
      </c>
      <c r="L349" t="n">
        <v>0</v>
      </c>
      <c r="M349" t="n">
        <v>0</v>
      </c>
      <c r="N349" t="n">
        <v>0</v>
      </c>
      <c r="O349" t="n">
        <v>0</v>
      </c>
      <c r="P349" t="n">
        <v>0</v>
      </c>
      <c r="Q349" t="n">
        <v>0</v>
      </c>
      <c r="R349" s="2" t="inlineStr"/>
    </row>
    <row r="350" ht="15" customHeight="1">
      <c r="A350" t="inlineStr">
        <is>
          <t>A 15952-2021</t>
        </is>
      </c>
      <c r="B350" s="1" t="n">
        <v>44286</v>
      </c>
      <c r="C350" s="1" t="n">
        <v>45338</v>
      </c>
      <c r="D350" t="inlineStr">
        <is>
          <t>DALARNAS LÄN</t>
        </is>
      </c>
      <c r="E350" t="inlineStr">
        <is>
          <t>ÄLVDALEN</t>
        </is>
      </c>
      <c r="F350" t="inlineStr">
        <is>
          <t>Övriga statliga verk och myndigheter</t>
        </is>
      </c>
      <c r="G350" t="n">
        <v>6.6</v>
      </c>
      <c r="H350" t="n">
        <v>0</v>
      </c>
      <c r="I350" t="n">
        <v>0</v>
      </c>
      <c r="J350" t="n">
        <v>0</v>
      </c>
      <c r="K350" t="n">
        <v>0</v>
      </c>
      <c r="L350" t="n">
        <v>0</v>
      </c>
      <c r="M350" t="n">
        <v>0</v>
      </c>
      <c r="N350" t="n">
        <v>0</v>
      </c>
      <c r="O350" t="n">
        <v>0</v>
      </c>
      <c r="P350" t="n">
        <v>0</v>
      </c>
      <c r="Q350" t="n">
        <v>0</v>
      </c>
      <c r="R350" s="2" t="inlineStr"/>
    </row>
    <row r="351" ht="15" customHeight="1">
      <c r="A351" t="inlineStr">
        <is>
          <t>A 16035-2021</t>
        </is>
      </c>
      <c r="B351" s="1" t="n">
        <v>44287</v>
      </c>
      <c r="C351" s="1" t="n">
        <v>45338</v>
      </c>
      <c r="D351" t="inlineStr">
        <is>
          <t>DALARNAS LÄN</t>
        </is>
      </c>
      <c r="E351" t="inlineStr">
        <is>
          <t>ÄLVDALEN</t>
        </is>
      </c>
      <c r="F351" t="inlineStr">
        <is>
          <t>Övriga statliga verk och myndigheter</t>
        </is>
      </c>
      <c r="G351" t="n">
        <v>2.2</v>
      </c>
      <c r="H351" t="n">
        <v>0</v>
      </c>
      <c r="I351" t="n">
        <v>0</v>
      </c>
      <c r="J351" t="n">
        <v>0</v>
      </c>
      <c r="K351" t="n">
        <v>0</v>
      </c>
      <c r="L351" t="n">
        <v>0</v>
      </c>
      <c r="M351" t="n">
        <v>0</v>
      </c>
      <c r="N351" t="n">
        <v>0</v>
      </c>
      <c r="O351" t="n">
        <v>0</v>
      </c>
      <c r="P351" t="n">
        <v>0</v>
      </c>
      <c r="Q351" t="n">
        <v>0</v>
      </c>
      <c r="R351" s="2" t="inlineStr"/>
    </row>
    <row r="352" ht="15" customHeight="1">
      <c r="A352" t="inlineStr">
        <is>
          <t>A 16262-2021</t>
        </is>
      </c>
      <c r="B352" s="1" t="n">
        <v>44292</v>
      </c>
      <c r="C352" s="1" t="n">
        <v>45338</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18961-2021</t>
        </is>
      </c>
      <c r="B353" s="1" t="n">
        <v>44308</v>
      </c>
      <c r="C353" s="1" t="n">
        <v>45338</v>
      </c>
      <c r="D353" t="inlineStr">
        <is>
          <t>DALARNAS LÄN</t>
        </is>
      </c>
      <c r="E353" t="inlineStr">
        <is>
          <t>ÄLVDALEN</t>
        </is>
      </c>
      <c r="F353" t="inlineStr">
        <is>
          <t>Övriga statliga verk och myndigheter</t>
        </is>
      </c>
      <c r="G353" t="n">
        <v>17.6</v>
      </c>
      <c r="H353" t="n">
        <v>0</v>
      </c>
      <c r="I353" t="n">
        <v>0</v>
      </c>
      <c r="J353" t="n">
        <v>0</v>
      </c>
      <c r="K353" t="n">
        <v>0</v>
      </c>
      <c r="L353" t="n">
        <v>0</v>
      </c>
      <c r="M353" t="n">
        <v>0</v>
      </c>
      <c r="N353" t="n">
        <v>0</v>
      </c>
      <c r="O353" t="n">
        <v>0</v>
      </c>
      <c r="P353" t="n">
        <v>0</v>
      </c>
      <c r="Q353" t="n">
        <v>0</v>
      </c>
      <c r="R353" s="2" t="inlineStr"/>
    </row>
    <row r="354" ht="15" customHeight="1">
      <c r="A354" t="inlineStr">
        <is>
          <t>A 19766-2021</t>
        </is>
      </c>
      <c r="B354" s="1" t="n">
        <v>44309</v>
      </c>
      <c r="C354" s="1" t="n">
        <v>45338</v>
      </c>
      <c r="D354" t="inlineStr">
        <is>
          <t>DALARNAS LÄN</t>
        </is>
      </c>
      <c r="E354" t="inlineStr">
        <is>
          <t>ÄLVDALEN</t>
        </is>
      </c>
      <c r="G354" t="n">
        <v>8.9</v>
      </c>
      <c r="H354" t="n">
        <v>0</v>
      </c>
      <c r="I354" t="n">
        <v>0</v>
      </c>
      <c r="J354" t="n">
        <v>0</v>
      </c>
      <c r="K354" t="n">
        <v>0</v>
      </c>
      <c r="L354" t="n">
        <v>0</v>
      </c>
      <c r="M354" t="n">
        <v>0</v>
      </c>
      <c r="N354" t="n">
        <v>0</v>
      </c>
      <c r="O354" t="n">
        <v>0</v>
      </c>
      <c r="P354" t="n">
        <v>0</v>
      </c>
      <c r="Q354" t="n">
        <v>0</v>
      </c>
      <c r="R354" s="2" t="inlineStr"/>
    </row>
    <row r="355" ht="15" customHeight="1">
      <c r="A355" t="inlineStr">
        <is>
          <t>A 19763-2021</t>
        </is>
      </c>
      <c r="B355" s="1" t="n">
        <v>44309</v>
      </c>
      <c r="C355" s="1" t="n">
        <v>45338</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19313-2021</t>
        </is>
      </c>
      <c r="B356" s="1" t="n">
        <v>44309</v>
      </c>
      <c r="C356" s="1" t="n">
        <v>45338</v>
      </c>
      <c r="D356" t="inlineStr">
        <is>
          <t>DALARNAS LÄN</t>
        </is>
      </c>
      <c r="E356" t="inlineStr">
        <is>
          <t>ÄLVDALEN</t>
        </is>
      </c>
      <c r="G356" t="n">
        <v>0.2</v>
      </c>
      <c r="H356" t="n">
        <v>0</v>
      </c>
      <c r="I356" t="n">
        <v>0</v>
      </c>
      <c r="J356" t="n">
        <v>0</v>
      </c>
      <c r="K356" t="n">
        <v>0</v>
      </c>
      <c r="L356" t="n">
        <v>0</v>
      </c>
      <c r="M356" t="n">
        <v>0</v>
      </c>
      <c r="N356" t="n">
        <v>0</v>
      </c>
      <c r="O356" t="n">
        <v>0</v>
      </c>
      <c r="P356" t="n">
        <v>0</v>
      </c>
      <c r="Q356" t="n">
        <v>0</v>
      </c>
      <c r="R356" s="2" t="inlineStr"/>
    </row>
    <row r="357" ht="15" customHeight="1">
      <c r="A357" t="inlineStr">
        <is>
          <t>A 19312-2021</t>
        </is>
      </c>
      <c r="B357" s="1" t="n">
        <v>44309</v>
      </c>
      <c r="C357" s="1" t="n">
        <v>45338</v>
      </c>
      <c r="D357" t="inlineStr">
        <is>
          <t>DALARNAS LÄN</t>
        </is>
      </c>
      <c r="E357" t="inlineStr">
        <is>
          <t>ÄLVDALEN</t>
        </is>
      </c>
      <c r="G357" t="n">
        <v>0.4</v>
      </c>
      <c r="H357" t="n">
        <v>0</v>
      </c>
      <c r="I357" t="n">
        <v>0</v>
      </c>
      <c r="J357" t="n">
        <v>0</v>
      </c>
      <c r="K357" t="n">
        <v>0</v>
      </c>
      <c r="L357" t="n">
        <v>0</v>
      </c>
      <c r="M357" t="n">
        <v>0</v>
      </c>
      <c r="N357" t="n">
        <v>0</v>
      </c>
      <c r="O357" t="n">
        <v>0</v>
      </c>
      <c r="P357" t="n">
        <v>0</v>
      </c>
      <c r="Q357" t="n">
        <v>0</v>
      </c>
      <c r="R357" s="2" t="inlineStr"/>
    </row>
    <row r="358" ht="15" customHeight="1">
      <c r="A358" t="inlineStr">
        <is>
          <t>A 19761-2021</t>
        </is>
      </c>
      <c r="B358" s="1" t="n">
        <v>44309</v>
      </c>
      <c r="C358" s="1" t="n">
        <v>45338</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19759-2021</t>
        </is>
      </c>
      <c r="B359" s="1" t="n">
        <v>44309</v>
      </c>
      <c r="C359" s="1" t="n">
        <v>45338</v>
      </c>
      <c r="D359" t="inlineStr">
        <is>
          <t>DALARNAS LÄN</t>
        </is>
      </c>
      <c r="E359" t="inlineStr">
        <is>
          <t>ÄLVDALEN</t>
        </is>
      </c>
      <c r="G359" t="n">
        <v>1.3</v>
      </c>
      <c r="H359" t="n">
        <v>0</v>
      </c>
      <c r="I359" t="n">
        <v>0</v>
      </c>
      <c r="J359" t="n">
        <v>0</v>
      </c>
      <c r="K359" t="n">
        <v>0</v>
      </c>
      <c r="L359" t="n">
        <v>0</v>
      </c>
      <c r="M359" t="n">
        <v>0</v>
      </c>
      <c r="N359" t="n">
        <v>0</v>
      </c>
      <c r="O359" t="n">
        <v>0</v>
      </c>
      <c r="P359" t="n">
        <v>0</v>
      </c>
      <c r="Q359" t="n">
        <v>0</v>
      </c>
      <c r="R359" s="2" t="inlineStr"/>
    </row>
    <row r="360" ht="15" customHeight="1">
      <c r="A360" t="inlineStr">
        <is>
          <t>A 20050-2021</t>
        </is>
      </c>
      <c r="B360" s="1" t="n">
        <v>44314</v>
      </c>
      <c r="C360" s="1" t="n">
        <v>45338</v>
      </c>
      <c r="D360" t="inlineStr">
        <is>
          <t>DALARNAS LÄN</t>
        </is>
      </c>
      <c r="E360" t="inlineStr">
        <is>
          <t>ÄLVDALEN</t>
        </is>
      </c>
      <c r="G360" t="n">
        <v>1.6</v>
      </c>
      <c r="H360" t="n">
        <v>0</v>
      </c>
      <c r="I360" t="n">
        <v>0</v>
      </c>
      <c r="J360" t="n">
        <v>0</v>
      </c>
      <c r="K360" t="n">
        <v>0</v>
      </c>
      <c r="L360" t="n">
        <v>0</v>
      </c>
      <c r="M360" t="n">
        <v>0</v>
      </c>
      <c r="N360" t="n">
        <v>0</v>
      </c>
      <c r="O360" t="n">
        <v>0</v>
      </c>
      <c r="P360" t="n">
        <v>0</v>
      </c>
      <c r="Q360" t="n">
        <v>0</v>
      </c>
      <c r="R360" s="2" t="inlineStr"/>
    </row>
    <row r="361" ht="15" customHeight="1">
      <c r="A361" t="inlineStr">
        <is>
          <t>A 20162-2021</t>
        </is>
      </c>
      <c r="B361" s="1" t="n">
        <v>44314</v>
      </c>
      <c r="C361" s="1" t="n">
        <v>45338</v>
      </c>
      <c r="D361" t="inlineStr">
        <is>
          <t>DALARNAS LÄN</t>
        </is>
      </c>
      <c r="E361" t="inlineStr">
        <is>
          <t>ÄLVDALEN</t>
        </is>
      </c>
      <c r="G361" t="n">
        <v>3.9</v>
      </c>
      <c r="H361" t="n">
        <v>0</v>
      </c>
      <c r="I361" t="n">
        <v>0</v>
      </c>
      <c r="J361" t="n">
        <v>0</v>
      </c>
      <c r="K361" t="n">
        <v>0</v>
      </c>
      <c r="L361" t="n">
        <v>0</v>
      </c>
      <c r="M361" t="n">
        <v>0</v>
      </c>
      <c r="N361" t="n">
        <v>0</v>
      </c>
      <c r="O361" t="n">
        <v>0</v>
      </c>
      <c r="P361" t="n">
        <v>0</v>
      </c>
      <c r="Q361" t="n">
        <v>0</v>
      </c>
      <c r="R361" s="2" t="inlineStr"/>
    </row>
    <row r="362" ht="15" customHeight="1">
      <c r="A362" t="inlineStr">
        <is>
          <t>A 21832-2021</t>
        </is>
      </c>
      <c r="B362" s="1" t="n">
        <v>44322</v>
      </c>
      <c r="C362" s="1" t="n">
        <v>45338</v>
      </c>
      <c r="D362" t="inlineStr">
        <is>
          <t>DALARNAS LÄN</t>
        </is>
      </c>
      <c r="E362" t="inlineStr">
        <is>
          <t>ÄLVDALEN</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22454-2021</t>
        </is>
      </c>
      <c r="B363" s="1" t="n">
        <v>44326</v>
      </c>
      <c r="C363" s="1" t="n">
        <v>45338</v>
      </c>
      <c r="D363" t="inlineStr">
        <is>
          <t>DALARNAS LÄN</t>
        </is>
      </c>
      <c r="E363" t="inlineStr">
        <is>
          <t>ÄLVDALEN</t>
        </is>
      </c>
      <c r="F363" t="inlineStr">
        <is>
          <t>Allmännings- och besparingsskogar</t>
        </is>
      </c>
      <c r="G363" t="n">
        <v>4.3</v>
      </c>
      <c r="H363" t="n">
        <v>0</v>
      </c>
      <c r="I363" t="n">
        <v>0</v>
      </c>
      <c r="J363" t="n">
        <v>0</v>
      </c>
      <c r="K363" t="n">
        <v>0</v>
      </c>
      <c r="L363" t="n">
        <v>0</v>
      </c>
      <c r="M363" t="n">
        <v>0</v>
      </c>
      <c r="N363" t="n">
        <v>0</v>
      </c>
      <c r="O363" t="n">
        <v>0</v>
      </c>
      <c r="P363" t="n">
        <v>0</v>
      </c>
      <c r="Q363" t="n">
        <v>0</v>
      </c>
      <c r="R363" s="2" t="inlineStr"/>
    </row>
    <row r="364" ht="15" customHeight="1">
      <c r="A364" t="inlineStr">
        <is>
          <t>A 22761-2021</t>
        </is>
      </c>
      <c r="B364" s="1" t="n">
        <v>44327</v>
      </c>
      <c r="C364" s="1" t="n">
        <v>45338</v>
      </c>
      <c r="D364" t="inlineStr">
        <is>
          <t>DALARNAS LÄN</t>
        </is>
      </c>
      <c r="E364" t="inlineStr">
        <is>
          <t>ÄLVDALEN</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22760-2021</t>
        </is>
      </c>
      <c r="B365" s="1" t="n">
        <v>44327</v>
      </c>
      <c r="C365" s="1" t="n">
        <v>45338</v>
      </c>
      <c r="D365" t="inlineStr">
        <is>
          <t>DALARNAS LÄN</t>
        </is>
      </c>
      <c r="E365" t="inlineStr">
        <is>
          <t>ÄLVDALEN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22651-2021</t>
        </is>
      </c>
      <c r="B366" s="1" t="n">
        <v>44327</v>
      </c>
      <c r="C366" s="1" t="n">
        <v>45338</v>
      </c>
      <c r="D366" t="inlineStr">
        <is>
          <t>DALARNAS LÄN</t>
        </is>
      </c>
      <c r="E366" t="inlineStr">
        <is>
          <t>ÄLVDALEN</t>
        </is>
      </c>
      <c r="G366" t="n">
        <v>5.9</v>
      </c>
      <c r="H366" t="n">
        <v>0</v>
      </c>
      <c r="I366" t="n">
        <v>0</v>
      </c>
      <c r="J366" t="n">
        <v>0</v>
      </c>
      <c r="K366" t="n">
        <v>0</v>
      </c>
      <c r="L366" t="n">
        <v>0</v>
      </c>
      <c r="M366" t="n">
        <v>0</v>
      </c>
      <c r="N366" t="n">
        <v>0</v>
      </c>
      <c r="O366" t="n">
        <v>0</v>
      </c>
      <c r="P366" t="n">
        <v>0</v>
      </c>
      <c r="Q366" t="n">
        <v>0</v>
      </c>
      <c r="R366" s="2" t="inlineStr"/>
    </row>
    <row r="367" ht="15" customHeight="1">
      <c r="A367" t="inlineStr">
        <is>
          <t>A 24849-2021</t>
        </is>
      </c>
      <c r="B367" s="1" t="n">
        <v>44340</v>
      </c>
      <c r="C367" s="1" t="n">
        <v>45338</v>
      </c>
      <c r="D367" t="inlineStr">
        <is>
          <t>DALARNAS LÄN</t>
        </is>
      </c>
      <c r="E367" t="inlineStr">
        <is>
          <t>ÄLVDALEN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26080-2021</t>
        </is>
      </c>
      <c r="B368" s="1" t="n">
        <v>44344</v>
      </c>
      <c r="C368" s="1" t="n">
        <v>45338</v>
      </c>
      <c r="D368" t="inlineStr">
        <is>
          <t>DALARNAS LÄN</t>
        </is>
      </c>
      <c r="E368" t="inlineStr">
        <is>
          <t>ÄLVDALEN</t>
        </is>
      </c>
      <c r="G368" t="n">
        <v>2.3</v>
      </c>
      <c r="H368" t="n">
        <v>0</v>
      </c>
      <c r="I368" t="n">
        <v>0</v>
      </c>
      <c r="J368" t="n">
        <v>0</v>
      </c>
      <c r="K368" t="n">
        <v>0</v>
      </c>
      <c r="L368" t="n">
        <v>0</v>
      </c>
      <c r="M368" t="n">
        <v>0</v>
      </c>
      <c r="N368" t="n">
        <v>0</v>
      </c>
      <c r="O368" t="n">
        <v>0</v>
      </c>
      <c r="P368" t="n">
        <v>0</v>
      </c>
      <c r="Q368" t="n">
        <v>0</v>
      </c>
      <c r="R368" s="2" t="inlineStr"/>
    </row>
    <row r="369" ht="15" customHeight="1">
      <c r="A369" t="inlineStr">
        <is>
          <t>A 26249-2021</t>
        </is>
      </c>
      <c r="B369" s="1" t="n">
        <v>44347</v>
      </c>
      <c r="C369" s="1" t="n">
        <v>45338</v>
      </c>
      <c r="D369" t="inlineStr">
        <is>
          <t>DALARNAS LÄN</t>
        </is>
      </c>
      <c r="E369" t="inlineStr">
        <is>
          <t>ÄLVDALEN</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26734-2021</t>
        </is>
      </c>
      <c r="B370" s="1" t="n">
        <v>44349</v>
      </c>
      <c r="C370" s="1" t="n">
        <v>45338</v>
      </c>
      <c r="D370" t="inlineStr">
        <is>
          <t>DALARNAS LÄN</t>
        </is>
      </c>
      <c r="E370" t="inlineStr">
        <is>
          <t>ÄLVDALEN</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26726-2021</t>
        </is>
      </c>
      <c r="B371" s="1" t="n">
        <v>44349</v>
      </c>
      <c r="C371" s="1" t="n">
        <v>45338</v>
      </c>
      <c r="D371" t="inlineStr">
        <is>
          <t>DALARNAS LÄN</t>
        </is>
      </c>
      <c r="E371" t="inlineStr">
        <is>
          <t>ÄLVDALEN</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26874-2021</t>
        </is>
      </c>
      <c r="B372" s="1" t="n">
        <v>44349</v>
      </c>
      <c r="C372" s="1" t="n">
        <v>45338</v>
      </c>
      <c r="D372" t="inlineStr">
        <is>
          <t>DALARNAS LÄN</t>
        </is>
      </c>
      <c r="E372" t="inlineStr">
        <is>
          <t>ÄLVDALEN</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27022-2021</t>
        </is>
      </c>
      <c r="B373" s="1" t="n">
        <v>44350</v>
      </c>
      <c r="C373" s="1" t="n">
        <v>45338</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28011-2021</t>
        </is>
      </c>
      <c r="B374" s="1" t="n">
        <v>44355</v>
      </c>
      <c r="C374" s="1" t="n">
        <v>45338</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28712-2021</t>
        </is>
      </c>
      <c r="B375" s="1" t="n">
        <v>44357</v>
      </c>
      <c r="C375" s="1" t="n">
        <v>45338</v>
      </c>
      <c r="D375" t="inlineStr">
        <is>
          <t>DALARNAS LÄN</t>
        </is>
      </c>
      <c r="E375" t="inlineStr">
        <is>
          <t>ÄLVDALEN</t>
        </is>
      </c>
      <c r="G375" t="n">
        <v>2</v>
      </c>
      <c r="H375" t="n">
        <v>0</v>
      </c>
      <c r="I375" t="n">
        <v>0</v>
      </c>
      <c r="J375" t="n">
        <v>0</v>
      </c>
      <c r="K375" t="n">
        <v>0</v>
      </c>
      <c r="L375" t="n">
        <v>0</v>
      </c>
      <c r="M375" t="n">
        <v>0</v>
      </c>
      <c r="N375" t="n">
        <v>0</v>
      </c>
      <c r="O375" t="n">
        <v>0</v>
      </c>
      <c r="P375" t="n">
        <v>0</v>
      </c>
      <c r="Q375" t="n">
        <v>0</v>
      </c>
      <c r="R375" s="2" t="inlineStr"/>
    </row>
    <row r="376" ht="15" customHeight="1">
      <c r="A376" t="inlineStr">
        <is>
          <t>A 30255-2021</t>
        </is>
      </c>
      <c r="B376" s="1" t="n">
        <v>44363</v>
      </c>
      <c r="C376" s="1" t="n">
        <v>45338</v>
      </c>
      <c r="D376" t="inlineStr">
        <is>
          <t>DALARNAS LÄN</t>
        </is>
      </c>
      <c r="E376" t="inlineStr">
        <is>
          <t>ÄLVDALEN</t>
        </is>
      </c>
      <c r="F376" t="inlineStr">
        <is>
          <t>Sveaskog</t>
        </is>
      </c>
      <c r="G376" t="n">
        <v>4.1</v>
      </c>
      <c r="H376" t="n">
        <v>0</v>
      </c>
      <c r="I376" t="n">
        <v>0</v>
      </c>
      <c r="J376" t="n">
        <v>0</v>
      </c>
      <c r="K376" t="n">
        <v>0</v>
      </c>
      <c r="L376" t="n">
        <v>0</v>
      </c>
      <c r="M376" t="n">
        <v>0</v>
      </c>
      <c r="N376" t="n">
        <v>0</v>
      </c>
      <c r="O376" t="n">
        <v>0</v>
      </c>
      <c r="P376" t="n">
        <v>0</v>
      </c>
      <c r="Q376" t="n">
        <v>0</v>
      </c>
      <c r="R376" s="2" t="inlineStr"/>
    </row>
    <row r="377" ht="15" customHeight="1">
      <c r="A377" t="inlineStr">
        <is>
          <t>A 30254-2021</t>
        </is>
      </c>
      <c r="B377" s="1" t="n">
        <v>44363</v>
      </c>
      <c r="C377" s="1" t="n">
        <v>45338</v>
      </c>
      <c r="D377" t="inlineStr">
        <is>
          <t>DALARNAS LÄN</t>
        </is>
      </c>
      <c r="E377" t="inlineStr">
        <is>
          <t>ÄLVDALEN</t>
        </is>
      </c>
      <c r="F377" t="inlineStr">
        <is>
          <t>Sveaskog</t>
        </is>
      </c>
      <c r="G377" t="n">
        <v>8.1</v>
      </c>
      <c r="H377" t="n">
        <v>0</v>
      </c>
      <c r="I377" t="n">
        <v>0</v>
      </c>
      <c r="J377" t="n">
        <v>0</v>
      </c>
      <c r="K377" t="n">
        <v>0</v>
      </c>
      <c r="L377" t="n">
        <v>0</v>
      </c>
      <c r="M377" t="n">
        <v>0</v>
      </c>
      <c r="N377" t="n">
        <v>0</v>
      </c>
      <c r="O377" t="n">
        <v>0</v>
      </c>
      <c r="P377" t="n">
        <v>0</v>
      </c>
      <c r="Q377" t="n">
        <v>0</v>
      </c>
      <c r="R377" s="2" t="inlineStr"/>
    </row>
    <row r="378" ht="15" customHeight="1">
      <c r="A378" t="inlineStr">
        <is>
          <t>A 30249-2021</t>
        </is>
      </c>
      <c r="B378" s="1" t="n">
        <v>44363</v>
      </c>
      <c r="C378" s="1" t="n">
        <v>45338</v>
      </c>
      <c r="D378" t="inlineStr">
        <is>
          <t>DALARNAS LÄN</t>
        </is>
      </c>
      <c r="E378" t="inlineStr">
        <is>
          <t>ÄLVDALEN</t>
        </is>
      </c>
      <c r="F378" t="inlineStr">
        <is>
          <t>Sveaskog</t>
        </is>
      </c>
      <c r="G378" t="n">
        <v>0.2</v>
      </c>
      <c r="H378" t="n">
        <v>0</v>
      </c>
      <c r="I378" t="n">
        <v>0</v>
      </c>
      <c r="J378" t="n">
        <v>0</v>
      </c>
      <c r="K378" t="n">
        <v>0</v>
      </c>
      <c r="L378" t="n">
        <v>0</v>
      </c>
      <c r="M378" t="n">
        <v>0</v>
      </c>
      <c r="N378" t="n">
        <v>0</v>
      </c>
      <c r="O378" t="n">
        <v>0</v>
      </c>
      <c r="P378" t="n">
        <v>0</v>
      </c>
      <c r="Q378" t="n">
        <v>0</v>
      </c>
      <c r="R378" s="2" t="inlineStr"/>
    </row>
    <row r="379" ht="15" customHeight="1">
      <c r="A379" t="inlineStr">
        <is>
          <t>A 30355-2021</t>
        </is>
      </c>
      <c r="B379" s="1" t="n">
        <v>44364</v>
      </c>
      <c r="C379" s="1" t="n">
        <v>45338</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30797-2021</t>
        </is>
      </c>
      <c r="B380" s="1" t="n">
        <v>44365</v>
      </c>
      <c r="C380" s="1" t="n">
        <v>45338</v>
      </c>
      <c r="D380" t="inlineStr">
        <is>
          <t>DALARNAS LÄN</t>
        </is>
      </c>
      <c r="E380" t="inlineStr">
        <is>
          <t>ÄLVDALEN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30799-2021</t>
        </is>
      </c>
      <c r="B381" s="1" t="n">
        <v>44365</v>
      </c>
      <c r="C381" s="1" t="n">
        <v>45338</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30972-2021</t>
        </is>
      </c>
      <c r="B382" s="1" t="n">
        <v>44365</v>
      </c>
      <c r="C382" s="1" t="n">
        <v>45338</v>
      </c>
      <c r="D382" t="inlineStr">
        <is>
          <t>DALARNAS LÄN</t>
        </is>
      </c>
      <c r="E382" t="inlineStr">
        <is>
          <t>ÄLVDALEN</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30969-2021</t>
        </is>
      </c>
      <c r="B383" s="1" t="n">
        <v>44365</v>
      </c>
      <c r="C383" s="1" t="n">
        <v>45338</v>
      </c>
      <c r="D383" t="inlineStr">
        <is>
          <t>DALARNAS LÄN</t>
        </is>
      </c>
      <c r="E383" t="inlineStr">
        <is>
          <t>ÄLVDALEN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31167-2021</t>
        </is>
      </c>
      <c r="B384" s="1" t="n">
        <v>44368</v>
      </c>
      <c r="C384" s="1" t="n">
        <v>45338</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31714-2021</t>
        </is>
      </c>
      <c r="B385" s="1" t="n">
        <v>44369</v>
      </c>
      <c r="C385" s="1" t="n">
        <v>45338</v>
      </c>
      <c r="D385" t="inlineStr">
        <is>
          <t>DALARNAS LÄN</t>
        </is>
      </c>
      <c r="E385" t="inlineStr">
        <is>
          <t>ÄLVDALEN</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32009-2021</t>
        </is>
      </c>
      <c r="B386" s="1" t="n">
        <v>44370</v>
      </c>
      <c r="C386" s="1" t="n">
        <v>45338</v>
      </c>
      <c r="D386" t="inlineStr">
        <is>
          <t>DALARNAS LÄN</t>
        </is>
      </c>
      <c r="E386" t="inlineStr">
        <is>
          <t>ÄLVDALEN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32362-2021</t>
        </is>
      </c>
      <c r="B387" s="1" t="n">
        <v>44371</v>
      </c>
      <c r="C387" s="1" t="n">
        <v>45338</v>
      </c>
      <c r="D387" t="inlineStr">
        <is>
          <t>DALARNAS LÄN</t>
        </is>
      </c>
      <c r="E387" t="inlineStr">
        <is>
          <t>ÄLVDALEN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33690-2021</t>
        </is>
      </c>
      <c r="B388" s="1" t="n">
        <v>44378</v>
      </c>
      <c r="C388" s="1" t="n">
        <v>45338</v>
      </c>
      <c r="D388" t="inlineStr">
        <is>
          <t>DALARNAS LÄN</t>
        </is>
      </c>
      <c r="E388" t="inlineStr">
        <is>
          <t>ÄLVDALEN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33689-2021</t>
        </is>
      </c>
      <c r="B389" s="1" t="n">
        <v>44378</v>
      </c>
      <c r="C389" s="1" t="n">
        <v>45338</v>
      </c>
      <c r="D389" t="inlineStr">
        <is>
          <t>DALARNAS LÄN</t>
        </is>
      </c>
      <c r="E389" t="inlineStr">
        <is>
          <t>ÄLVDALEN</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36134-2021</t>
        </is>
      </c>
      <c r="B390" s="1" t="n">
        <v>44389</v>
      </c>
      <c r="C390" s="1" t="n">
        <v>45338</v>
      </c>
      <c r="D390" t="inlineStr">
        <is>
          <t>DALARNAS LÄN</t>
        </is>
      </c>
      <c r="E390" t="inlineStr">
        <is>
          <t>ÄLVDALEN</t>
        </is>
      </c>
      <c r="G390" t="n">
        <v>0.5</v>
      </c>
      <c r="H390" t="n">
        <v>0</v>
      </c>
      <c r="I390" t="n">
        <v>0</v>
      </c>
      <c r="J390" t="n">
        <v>0</v>
      </c>
      <c r="K390" t="n">
        <v>0</v>
      </c>
      <c r="L390" t="n">
        <v>0</v>
      </c>
      <c r="M390" t="n">
        <v>0</v>
      </c>
      <c r="N390" t="n">
        <v>0</v>
      </c>
      <c r="O390" t="n">
        <v>0</v>
      </c>
      <c r="P390" t="n">
        <v>0</v>
      </c>
      <c r="Q390" t="n">
        <v>0</v>
      </c>
      <c r="R390" s="2" t="inlineStr"/>
    </row>
    <row r="391" ht="15" customHeight="1">
      <c r="A391" t="inlineStr">
        <is>
          <t>A 36574-2021</t>
        </is>
      </c>
      <c r="B391" s="1" t="n">
        <v>44391</v>
      </c>
      <c r="C391" s="1" t="n">
        <v>45338</v>
      </c>
      <c r="D391" t="inlineStr">
        <is>
          <t>DALARNAS LÄN</t>
        </is>
      </c>
      <c r="E391" t="inlineStr">
        <is>
          <t>ÄLVDALEN</t>
        </is>
      </c>
      <c r="F391" t="inlineStr">
        <is>
          <t>Sveaskog</t>
        </is>
      </c>
      <c r="G391" t="n">
        <v>26.2</v>
      </c>
      <c r="H391" t="n">
        <v>0</v>
      </c>
      <c r="I391" t="n">
        <v>0</v>
      </c>
      <c r="J391" t="n">
        <v>0</v>
      </c>
      <c r="K391" t="n">
        <v>0</v>
      </c>
      <c r="L391" t="n">
        <v>0</v>
      </c>
      <c r="M391" t="n">
        <v>0</v>
      </c>
      <c r="N391" t="n">
        <v>0</v>
      </c>
      <c r="O391" t="n">
        <v>0</v>
      </c>
      <c r="P391" t="n">
        <v>0</v>
      </c>
      <c r="Q391" t="n">
        <v>0</v>
      </c>
      <c r="R391" s="2" t="inlineStr"/>
    </row>
    <row r="392" ht="15" customHeight="1">
      <c r="A392" t="inlineStr">
        <is>
          <t>A 36825-2021</t>
        </is>
      </c>
      <c r="B392" s="1" t="n">
        <v>44393</v>
      </c>
      <c r="C392" s="1" t="n">
        <v>45338</v>
      </c>
      <c r="D392" t="inlineStr">
        <is>
          <t>DALARNAS LÄN</t>
        </is>
      </c>
      <c r="E392" t="inlineStr">
        <is>
          <t>ÄLVDALEN</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36846-2021</t>
        </is>
      </c>
      <c r="B393" s="1" t="n">
        <v>44393</v>
      </c>
      <c r="C393" s="1" t="n">
        <v>45338</v>
      </c>
      <c r="D393" t="inlineStr">
        <is>
          <t>DALARNAS LÄN</t>
        </is>
      </c>
      <c r="E393" t="inlineStr">
        <is>
          <t>ÄLVDALEN</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36826-2021</t>
        </is>
      </c>
      <c r="B394" s="1" t="n">
        <v>44393</v>
      </c>
      <c r="C394" s="1" t="n">
        <v>45338</v>
      </c>
      <c r="D394" t="inlineStr">
        <is>
          <t>DALARNAS LÄN</t>
        </is>
      </c>
      <c r="E394" t="inlineStr">
        <is>
          <t>ÄLVDALEN</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36824-2021</t>
        </is>
      </c>
      <c r="B395" s="1" t="n">
        <v>44393</v>
      </c>
      <c r="C395" s="1" t="n">
        <v>45338</v>
      </c>
      <c r="D395" t="inlineStr">
        <is>
          <t>DALARNAS LÄN</t>
        </is>
      </c>
      <c r="E395" t="inlineStr">
        <is>
          <t>ÄLVDALEN</t>
        </is>
      </c>
      <c r="F395" t="inlineStr">
        <is>
          <t>Sveaskog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37009-2021</t>
        </is>
      </c>
      <c r="B396" s="1" t="n">
        <v>44393</v>
      </c>
      <c r="C396" s="1" t="n">
        <v>45338</v>
      </c>
      <c r="D396" t="inlineStr">
        <is>
          <t>DALARNAS LÄN</t>
        </is>
      </c>
      <c r="E396" t="inlineStr">
        <is>
          <t>ÄLVDALEN</t>
        </is>
      </c>
      <c r="F396" t="inlineStr">
        <is>
          <t>Bergvik skog öst AB</t>
        </is>
      </c>
      <c r="G396" t="n">
        <v>3.3</v>
      </c>
      <c r="H396" t="n">
        <v>0</v>
      </c>
      <c r="I396" t="n">
        <v>0</v>
      </c>
      <c r="J396" t="n">
        <v>0</v>
      </c>
      <c r="K396" t="n">
        <v>0</v>
      </c>
      <c r="L396" t="n">
        <v>0</v>
      </c>
      <c r="M396" t="n">
        <v>0</v>
      </c>
      <c r="N396" t="n">
        <v>0</v>
      </c>
      <c r="O396" t="n">
        <v>0</v>
      </c>
      <c r="P396" t="n">
        <v>0</v>
      </c>
      <c r="Q396" t="n">
        <v>0</v>
      </c>
      <c r="R396" s="2" t="inlineStr"/>
    </row>
    <row r="397" ht="15" customHeight="1">
      <c r="A397" t="inlineStr">
        <is>
          <t>A 37490-2021</t>
        </is>
      </c>
      <c r="B397" s="1" t="n">
        <v>44399</v>
      </c>
      <c r="C397" s="1" t="n">
        <v>45338</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39064-2021</t>
        </is>
      </c>
      <c r="B398" s="1" t="n">
        <v>44411</v>
      </c>
      <c r="C398" s="1" t="n">
        <v>45338</v>
      </c>
      <c r="D398" t="inlineStr">
        <is>
          <t>DALARNAS LÄN</t>
        </is>
      </c>
      <c r="E398" t="inlineStr">
        <is>
          <t>ÄLVDALEN</t>
        </is>
      </c>
      <c r="F398" t="inlineStr">
        <is>
          <t>Övriga statliga verk och myndigheter</t>
        </is>
      </c>
      <c r="G398" t="n">
        <v>4.5</v>
      </c>
      <c r="H398" t="n">
        <v>0</v>
      </c>
      <c r="I398" t="n">
        <v>0</v>
      </c>
      <c r="J398" t="n">
        <v>0</v>
      </c>
      <c r="K398" t="n">
        <v>0</v>
      </c>
      <c r="L398" t="n">
        <v>0</v>
      </c>
      <c r="M398" t="n">
        <v>0</v>
      </c>
      <c r="N398" t="n">
        <v>0</v>
      </c>
      <c r="O398" t="n">
        <v>0</v>
      </c>
      <c r="P398" t="n">
        <v>0</v>
      </c>
      <c r="Q398" t="n">
        <v>0</v>
      </c>
      <c r="R398" s="2" t="inlineStr"/>
    </row>
    <row r="399" ht="15" customHeight="1">
      <c r="A399" t="inlineStr">
        <is>
          <t>A 38957-2021</t>
        </is>
      </c>
      <c r="B399" s="1" t="n">
        <v>44411</v>
      </c>
      <c r="C399" s="1" t="n">
        <v>45338</v>
      </c>
      <c r="D399" t="inlineStr">
        <is>
          <t>DALARNAS LÄN</t>
        </is>
      </c>
      <c r="E399" t="inlineStr">
        <is>
          <t>ÄLVDALEN</t>
        </is>
      </c>
      <c r="G399" t="n">
        <v>4.6</v>
      </c>
      <c r="H399" t="n">
        <v>0</v>
      </c>
      <c r="I399" t="n">
        <v>0</v>
      </c>
      <c r="J399" t="n">
        <v>0</v>
      </c>
      <c r="K399" t="n">
        <v>0</v>
      </c>
      <c r="L399" t="n">
        <v>0</v>
      </c>
      <c r="M399" t="n">
        <v>0</v>
      </c>
      <c r="N399" t="n">
        <v>0</v>
      </c>
      <c r="O399" t="n">
        <v>0</v>
      </c>
      <c r="P399" t="n">
        <v>0</v>
      </c>
      <c r="Q399" t="n">
        <v>0</v>
      </c>
      <c r="R399" s="2" t="inlineStr"/>
    </row>
    <row r="400" ht="15" customHeight="1">
      <c r="A400" t="inlineStr">
        <is>
          <t>A 39199-2021</t>
        </is>
      </c>
      <c r="B400" s="1" t="n">
        <v>44412</v>
      </c>
      <c r="C400" s="1" t="n">
        <v>45338</v>
      </c>
      <c r="D400" t="inlineStr">
        <is>
          <t>DALARNAS LÄN</t>
        </is>
      </c>
      <c r="E400" t="inlineStr">
        <is>
          <t>ÄLVDALEN</t>
        </is>
      </c>
      <c r="F400" t="inlineStr">
        <is>
          <t>Övriga statliga verk och myndigheter</t>
        </is>
      </c>
      <c r="G400" t="n">
        <v>5.2</v>
      </c>
      <c r="H400" t="n">
        <v>0</v>
      </c>
      <c r="I400" t="n">
        <v>0</v>
      </c>
      <c r="J400" t="n">
        <v>0</v>
      </c>
      <c r="K400" t="n">
        <v>0</v>
      </c>
      <c r="L400" t="n">
        <v>0</v>
      </c>
      <c r="M400" t="n">
        <v>0</v>
      </c>
      <c r="N400" t="n">
        <v>0</v>
      </c>
      <c r="O400" t="n">
        <v>0</v>
      </c>
      <c r="P400" t="n">
        <v>0</v>
      </c>
      <c r="Q400" t="n">
        <v>0</v>
      </c>
      <c r="R400" s="2" t="inlineStr"/>
    </row>
    <row r="401" ht="15" customHeight="1">
      <c r="A401" t="inlineStr">
        <is>
          <t>A 39267-2021</t>
        </is>
      </c>
      <c r="B401" s="1" t="n">
        <v>44413</v>
      </c>
      <c r="C401" s="1" t="n">
        <v>45338</v>
      </c>
      <c r="D401" t="inlineStr">
        <is>
          <t>DALARNAS LÄN</t>
        </is>
      </c>
      <c r="E401" t="inlineStr">
        <is>
          <t>ÄLVDALEN</t>
        </is>
      </c>
      <c r="G401" t="n">
        <v>2.4</v>
      </c>
      <c r="H401" t="n">
        <v>0</v>
      </c>
      <c r="I401" t="n">
        <v>0</v>
      </c>
      <c r="J401" t="n">
        <v>0</v>
      </c>
      <c r="K401" t="n">
        <v>0</v>
      </c>
      <c r="L401" t="n">
        <v>0</v>
      </c>
      <c r="M401" t="n">
        <v>0</v>
      </c>
      <c r="N401" t="n">
        <v>0</v>
      </c>
      <c r="O401" t="n">
        <v>0</v>
      </c>
      <c r="P401" t="n">
        <v>0</v>
      </c>
      <c r="Q401" t="n">
        <v>0</v>
      </c>
      <c r="R401" s="2" t="inlineStr"/>
    </row>
    <row r="402" ht="15" customHeight="1">
      <c r="A402" t="inlineStr">
        <is>
          <t>A 40234-2021</t>
        </is>
      </c>
      <c r="B402" s="1" t="n">
        <v>44419</v>
      </c>
      <c r="C402" s="1" t="n">
        <v>45338</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40235-2021</t>
        </is>
      </c>
      <c r="B403" s="1" t="n">
        <v>44419</v>
      </c>
      <c r="C403" s="1" t="n">
        <v>45338</v>
      </c>
      <c r="D403" t="inlineStr">
        <is>
          <t>DALARNAS LÄN</t>
        </is>
      </c>
      <c r="E403" t="inlineStr">
        <is>
          <t>ÄLVDALEN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40919-2021</t>
        </is>
      </c>
      <c r="B404" s="1" t="n">
        <v>44421</v>
      </c>
      <c r="C404" s="1" t="n">
        <v>45338</v>
      </c>
      <c r="D404" t="inlineStr">
        <is>
          <t>DALARNAS LÄN</t>
        </is>
      </c>
      <c r="E404" t="inlineStr">
        <is>
          <t>ÄLVDALEN</t>
        </is>
      </c>
      <c r="F404" t="inlineStr">
        <is>
          <t>Kyrkan</t>
        </is>
      </c>
      <c r="G404" t="n">
        <v>3.4</v>
      </c>
      <c r="H404" t="n">
        <v>0</v>
      </c>
      <c r="I404" t="n">
        <v>0</v>
      </c>
      <c r="J404" t="n">
        <v>0</v>
      </c>
      <c r="K404" t="n">
        <v>0</v>
      </c>
      <c r="L404" t="n">
        <v>0</v>
      </c>
      <c r="M404" t="n">
        <v>0</v>
      </c>
      <c r="N404" t="n">
        <v>0</v>
      </c>
      <c r="O404" t="n">
        <v>0</v>
      </c>
      <c r="P404" t="n">
        <v>0</v>
      </c>
      <c r="Q404" t="n">
        <v>0</v>
      </c>
      <c r="R404" s="2" t="inlineStr"/>
    </row>
    <row r="405" ht="15" customHeight="1">
      <c r="A405" t="inlineStr">
        <is>
          <t>A 41020-2021</t>
        </is>
      </c>
      <c r="B405" s="1" t="n">
        <v>44421</v>
      </c>
      <c r="C405" s="1" t="n">
        <v>45338</v>
      </c>
      <c r="D405" t="inlineStr">
        <is>
          <t>DALARNAS LÄN</t>
        </is>
      </c>
      <c r="E405" t="inlineStr">
        <is>
          <t>ÄLVDALEN</t>
        </is>
      </c>
      <c r="G405" t="n">
        <v>5.5</v>
      </c>
      <c r="H405" t="n">
        <v>0</v>
      </c>
      <c r="I405" t="n">
        <v>0</v>
      </c>
      <c r="J405" t="n">
        <v>0</v>
      </c>
      <c r="K405" t="n">
        <v>0</v>
      </c>
      <c r="L405" t="n">
        <v>0</v>
      </c>
      <c r="M405" t="n">
        <v>0</v>
      </c>
      <c r="N405" t="n">
        <v>0</v>
      </c>
      <c r="O405" t="n">
        <v>0</v>
      </c>
      <c r="P405" t="n">
        <v>0</v>
      </c>
      <c r="Q405" t="n">
        <v>0</v>
      </c>
      <c r="R405" s="2" t="inlineStr"/>
    </row>
    <row r="406" ht="15" customHeight="1">
      <c r="A406" t="inlineStr">
        <is>
          <t>A 43972-2021</t>
        </is>
      </c>
      <c r="B406" s="1" t="n">
        <v>44434</v>
      </c>
      <c r="C406" s="1" t="n">
        <v>45338</v>
      </c>
      <c r="D406" t="inlineStr">
        <is>
          <t>DALARNAS LÄN</t>
        </is>
      </c>
      <c r="E406" t="inlineStr">
        <is>
          <t>ÄLVDALEN</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44386-2021</t>
        </is>
      </c>
      <c r="B407" s="1" t="n">
        <v>44435</v>
      </c>
      <c r="C407" s="1" t="n">
        <v>45338</v>
      </c>
      <c r="D407" t="inlineStr">
        <is>
          <t>DALARNAS LÄN</t>
        </is>
      </c>
      <c r="E407" t="inlineStr">
        <is>
          <t>ÄLVDALEN</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44413-2021</t>
        </is>
      </c>
      <c r="B408" s="1" t="n">
        <v>44435</v>
      </c>
      <c r="C408" s="1" t="n">
        <v>45338</v>
      </c>
      <c r="D408" t="inlineStr">
        <is>
          <t>DALARNAS LÄN</t>
        </is>
      </c>
      <c r="E408" t="inlineStr">
        <is>
          <t>ÄLVDALEN</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48558-2021</t>
        </is>
      </c>
      <c r="B409" s="1" t="n">
        <v>44452</v>
      </c>
      <c r="C409" s="1" t="n">
        <v>45338</v>
      </c>
      <c r="D409" t="inlineStr">
        <is>
          <t>DALARNAS LÄN</t>
        </is>
      </c>
      <c r="E409" t="inlineStr">
        <is>
          <t>ÄLVDALEN</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48608-2021</t>
        </is>
      </c>
      <c r="B410" s="1" t="n">
        <v>44452</v>
      </c>
      <c r="C410" s="1" t="n">
        <v>45338</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48772-2021</t>
        </is>
      </c>
      <c r="B411" s="1" t="n">
        <v>44452</v>
      </c>
      <c r="C411" s="1" t="n">
        <v>45338</v>
      </c>
      <c r="D411" t="inlineStr">
        <is>
          <t>DALARNAS LÄN</t>
        </is>
      </c>
      <c r="E411" t="inlineStr">
        <is>
          <t>ÄLVDALEN</t>
        </is>
      </c>
      <c r="F411" t="inlineStr">
        <is>
          <t>Allmännings- och besparingsskogar</t>
        </is>
      </c>
      <c r="G411" t="n">
        <v>18.6</v>
      </c>
      <c r="H411" t="n">
        <v>0</v>
      </c>
      <c r="I411" t="n">
        <v>0</v>
      </c>
      <c r="J411" t="n">
        <v>0</v>
      </c>
      <c r="K411" t="n">
        <v>0</v>
      </c>
      <c r="L411" t="n">
        <v>0</v>
      </c>
      <c r="M411" t="n">
        <v>0</v>
      </c>
      <c r="N411" t="n">
        <v>0</v>
      </c>
      <c r="O411" t="n">
        <v>0</v>
      </c>
      <c r="P411" t="n">
        <v>0</v>
      </c>
      <c r="Q411" t="n">
        <v>0</v>
      </c>
      <c r="R411" s="2" t="inlineStr"/>
    </row>
    <row r="412" ht="15" customHeight="1">
      <c r="A412" t="inlineStr">
        <is>
          <t>A 49495-2021</t>
        </is>
      </c>
      <c r="B412" s="1" t="n">
        <v>44455</v>
      </c>
      <c r="C412" s="1" t="n">
        <v>45338</v>
      </c>
      <c r="D412" t="inlineStr">
        <is>
          <t>DALARNAS LÄN</t>
        </is>
      </c>
      <c r="E412" t="inlineStr">
        <is>
          <t>ÄLVDALEN</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49862-2021</t>
        </is>
      </c>
      <c r="B413" s="1" t="n">
        <v>44455</v>
      </c>
      <c r="C413" s="1" t="n">
        <v>45338</v>
      </c>
      <c r="D413" t="inlineStr">
        <is>
          <t>DALARNAS LÄN</t>
        </is>
      </c>
      <c r="E413" t="inlineStr">
        <is>
          <t>ÄLVDALEN</t>
        </is>
      </c>
      <c r="F413" t="inlineStr">
        <is>
          <t>Allmännings- och besparingsskogar</t>
        </is>
      </c>
      <c r="G413" t="n">
        <v>51.2</v>
      </c>
      <c r="H413" t="n">
        <v>0</v>
      </c>
      <c r="I413" t="n">
        <v>0</v>
      </c>
      <c r="J413" t="n">
        <v>0</v>
      </c>
      <c r="K413" t="n">
        <v>0</v>
      </c>
      <c r="L413" t="n">
        <v>0</v>
      </c>
      <c r="M413" t="n">
        <v>0</v>
      </c>
      <c r="N413" t="n">
        <v>0</v>
      </c>
      <c r="O413" t="n">
        <v>0</v>
      </c>
      <c r="P413" t="n">
        <v>0</v>
      </c>
      <c r="Q413" t="n">
        <v>0</v>
      </c>
      <c r="R413" s="2" t="inlineStr"/>
    </row>
    <row r="414" ht="15" customHeight="1">
      <c r="A414" t="inlineStr">
        <is>
          <t>A 50265-2021</t>
        </is>
      </c>
      <c r="B414" s="1" t="n">
        <v>44459</v>
      </c>
      <c r="C414" s="1" t="n">
        <v>45338</v>
      </c>
      <c r="D414" t="inlineStr">
        <is>
          <t>DALARNAS LÄN</t>
        </is>
      </c>
      <c r="E414" t="inlineStr">
        <is>
          <t>ÄLVDALEN</t>
        </is>
      </c>
      <c r="F414" t="inlineStr">
        <is>
          <t>Sveaskog</t>
        </is>
      </c>
      <c r="G414" t="n">
        <v>9.5</v>
      </c>
      <c r="H414" t="n">
        <v>0</v>
      </c>
      <c r="I414" t="n">
        <v>0</v>
      </c>
      <c r="J414" t="n">
        <v>0</v>
      </c>
      <c r="K414" t="n">
        <v>0</v>
      </c>
      <c r="L414" t="n">
        <v>0</v>
      </c>
      <c r="M414" t="n">
        <v>0</v>
      </c>
      <c r="N414" t="n">
        <v>0</v>
      </c>
      <c r="O414" t="n">
        <v>0</v>
      </c>
      <c r="P414" t="n">
        <v>0</v>
      </c>
      <c r="Q414" t="n">
        <v>0</v>
      </c>
      <c r="R414" s="2" t="inlineStr"/>
    </row>
    <row r="415" ht="15" customHeight="1">
      <c r="A415" t="inlineStr">
        <is>
          <t>A 50341-2021</t>
        </is>
      </c>
      <c r="B415" s="1" t="n">
        <v>44459</v>
      </c>
      <c r="C415" s="1" t="n">
        <v>45338</v>
      </c>
      <c r="D415" t="inlineStr">
        <is>
          <t>DALARNAS LÄN</t>
        </is>
      </c>
      <c r="E415" t="inlineStr">
        <is>
          <t>ÄLVDALEN</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50349-2021</t>
        </is>
      </c>
      <c r="B416" s="1" t="n">
        <v>44459</v>
      </c>
      <c r="C416" s="1" t="n">
        <v>45338</v>
      </c>
      <c r="D416" t="inlineStr">
        <is>
          <t>DALARNAS LÄN</t>
        </is>
      </c>
      <c r="E416" t="inlineStr">
        <is>
          <t>ÄLVDALEN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50708-2021</t>
        </is>
      </c>
      <c r="B417" s="1" t="n">
        <v>44459</v>
      </c>
      <c r="C417" s="1" t="n">
        <v>45338</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51161-2021</t>
        </is>
      </c>
      <c r="B418" s="1" t="n">
        <v>44461</v>
      </c>
      <c r="C418" s="1" t="n">
        <v>45338</v>
      </c>
      <c r="D418" t="inlineStr">
        <is>
          <t>DALARNAS LÄN</t>
        </is>
      </c>
      <c r="E418" t="inlineStr">
        <is>
          <t>ÄLVDALEN</t>
        </is>
      </c>
      <c r="G418" t="n">
        <v>2</v>
      </c>
      <c r="H418" t="n">
        <v>0</v>
      </c>
      <c r="I418" t="n">
        <v>0</v>
      </c>
      <c r="J418" t="n">
        <v>0</v>
      </c>
      <c r="K418" t="n">
        <v>0</v>
      </c>
      <c r="L418" t="n">
        <v>0</v>
      </c>
      <c r="M418" t="n">
        <v>0</v>
      </c>
      <c r="N418" t="n">
        <v>0</v>
      </c>
      <c r="O418" t="n">
        <v>0</v>
      </c>
      <c r="P418" t="n">
        <v>0</v>
      </c>
      <c r="Q418" t="n">
        <v>0</v>
      </c>
      <c r="R418" s="2" t="inlineStr"/>
    </row>
    <row r="419" ht="15" customHeight="1">
      <c r="A419" t="inlineStr">
        <is>
          <t>A 51844-2021</t>
        </is>
      </c>
      <c r="B419" s="1" t="n">
        <v>44462</v>
      </c>
      <c r="C419" s="1" t="n">
        <v>45338</v>
      </c>
      <c r="D419" t="inlineStr">
        <is>
          <t>DALARNAS LÄN</t>
        </is>
      </c>
      <c r="E419" t="inlineStr">
        <is>
          <t>ÄLVDALEN</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52124-2021</t>
        </is>
      </c>
      <c r="B420" s="1" t="n">
        <v>44463</v>
      </c>
      <c r="C420" s="1" t="n">
        <v>45338</v>
      </c>
      <c r="D420" t="inlineStr">
        <is>
          <t>DALARNAS LÄN</t>
        </is>
      </c>
      <c r="E420" t="inlineStr">
        <is>
          <t>ÄLVDALEN</t>
        </is>
      </c>
      <c r="G420" t="n">
        <v>2.5</v>
      </c>
      <c r="H420" t="n">
        <v>0</v>
      </c>
      <c r="I420" t="n">
        <v>0</v>
      </c>
      <c r="J420" t="n">
        <v>0</v>
      </c>
      <c r="K420" t="n">
        <v>0</v>
      </c>
      <c r="L420" t="n">
        <v>0</v>
      </c>
      <c r="M420" t="n">
        <v>0</v>
      </c>
      <c r="N420" t="n">
        <v>0</v>
      </c>
      <c r="O420" t="n">
        <v>0</v>
      </c>
      <c r="P420" t="n">
        <v>0</v>
      </c>
      <c r="Q420" t="n">
        <v>0</v>
      </c>
      <c r="R420" s="2" t="inlineStr"/>
    </row>
    <row r="421" ht="15" customHeight="1">
      <c r="A421" t="inlineStr">
        <is>
          <t>A 52877-2021</t>
        </is>
      </c>
      <c r="B421" s="1" t="n">
        <v>44467</v>
      </c>
      <c r="C421" s="1" t="n">
        <v>45338</v>
      </c>
      <c r="D421" t="inlineStr">
        <is>
          <t>DALARNAS LÄN</t>
        </is>
      </c>
      <c r="E421" t="inlineStr">
        <is>
          <t>ÄLVDALEN</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52866-2021</t>
        </is>
      </c>
      <c r="B422" s="1" t="n">
        <v>44467</v>
      </c>
      <c r="C422" s="1" t="n">
        <v>45338</v>
      </c>
      <c r="D422" t="inlineStr">
        <is>
          <t>DALARNAS LÄN</t>
        </is>
      </c>
      <c r="E422" t="inlineStr">
        <is>
          <t>ÄLVDALEN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52873-2021</t>
        </is>
      </c>
      <c r="B423" s="1" t="n">
        <v>44467</v>
      </c>
      <c r="C423" s="1" t="n">
        <v>45338</v>
      </c>
      <c r="D423" t="inlineStr">
        <is>
          <t>DALARNAS LÄN</t>
        </is>
      </c>
      <c r="E423" t="inlineStr">
        <is>
          <t>ÄLVDALEN</t>
        </is>
      </c>
      <c r="F423" t="inlineStr">
        <is>
          <t>Sveaskog</t>
        </is>
      </c>
      <c r="G423" t="n">
        <v>14.2</v>
      </c>
      <c r="H423" t="n">
        <v>0</v>
      </c>
      <c r="I423" t="n">
        <v>0</v>
      </c>
      <c r="J423" t="n">
        <v>0</v>
      </c>
      <c r="K423" t="n">
        <v>0</v>
      </c>
      <c r="L423" t="n">
        <v>0</v>
      </c>
      <c r="M423" t="n">
        <v>0</v>
      </c>
      <c r="N423" t="n">
        <v>0</v>
      </c>
      <c r="O423" t="n">
        <v>0</v>
      </c>
      <c r="P423" t="n">
        <v>0</v>
      </c>
      <c r="Q423" t="n">
        <v>0</v>
      </c>
      <c r="R423" s="2" t="inlineStr"/>
    </row>
    <row r="424" ht="15" customHeight="1">
      <c r="A424" t="inlineStr">
        <is>
          <t>A 54292-2021</t>
        </is>
      </c>
      <c r="B424" s="1" t="n">
        <v>44471</v>
      </c>
      <c r="C424" s="1" t="n">
        <v>45338</v>
      </c>
      <c r="D424" t="inlineStr">
        <is>
          <t>DALARNAS LÄN</t>
        </is>
      </c>
      <c r="E424" t="inlineStr">
        <is>
          <t>ÄLVDALEN</t>
        </is>
      </c>
      <c r="G424" t="n">
        <v>3.1</v>
      </c>
      <c r="H424" t="n">
        <v>0</v>
      </c>
      <c r="I424" t="n">
        <v>0</v>
      </c>
      <c r="J424" t="n">
        <v>0</v>
      </c>
      <c r="K424" t="n">
        <v>0</v>
      </c>
      <c r="L424" t="n">
        <v>0</v>
      </c>
      <c r="M424" t="n">
        <v>0</v>
      </c>
      <c r="N424" t="n">
        <v>0</v>
      </c>
      <c r="O424" t="n">
        <v>0</v>
      </c>
      <c r="P424" t="n">
        <v>0</v>
      </c>
      <c r="Q424" t="n">
        <v>0</v>
      </c>
      <c r="R424" s="2" t="inlineStr"/>
    </row>
    <row r="425" ht="15" customHeight="1">
      <c r="A425" t="inlineStr">
        <is>
          <t>A 54387-2021</t>
        </is>
      </c>
      <c r="B425" s="1" t="n">
        <v>44473</v>
      </c>
      <c r="C425" s="1" t="n">
        <v>45338</v>
      </c>
      <c r="D425" t="inlineStr">
        <is>
          <t>DALARNAS LÄN</t>
        </is>
      </c>
      <c r="E425" t="inlineStr">
        <is>
          <t>ÄLVDALEN</t>
        </is>
      </c>
      <c r="F425" t="inlineStr">
        <is>
          <t>Bergvik skog öst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45338</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55990-2021</t>
        </is>
      </c>
      <c r="B427" s="1" t="n">
        <v>44477</v>
      </c>
      <c r="C427" s="1" t="n">
        <v>45338</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56041-2021</t>
        </is>
      </c>
      <c r="B428" s="1" t="n">
        <v>44477</v>
      </c>
      <c r="C428" s="1" t="n">
        <v>45338</v>
      </c>
      <c r="D428" t="inlineStr">
        <is>
          <t>DALARNAS LÄN</t>
        </is>
      </c>
      <c r="E428" t="inlineStr">
        <is>
          <t>ÄLVDALEN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56047-2021</t>
        </is>
      </c>
      <c r="B429" s="1" t="n">
        <v>44477</v>
      </c>
      <c r="C429" s="1" t="n">
        <v>45338</v>
      </c>
      <c r="D429" t="inlineStr">
        <is>
          <t>DALARNAS LÄN</t>
        </is>
      </c>
      <c r="E429" t="inlineStr">
        <is>
          <t>ÄLVDALEN</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56045-2021</t>
        </is>
      </c>
      <c r="B430" s="1" t="n">
        <v>44477</v>
      </c>
      <c r="C430" s="1" t="n">
        <v>45338</v>
      </c>
      <c r="D430" t="inlineStr">
        <is>
          <t>DALARNAS LÄN</t>
        </is>
      </c>
      <c r="E430" t="inlineStr">
        <is>
          <t>ÄLVDALEN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56691-2021</t>
        </is>
      </c>
      <c r="B431" s="1" t="n">
        <v>44481</v>
      </c>
      <c r="C431" s="1" t="n">
        <v>45338</v>
      </c>
      <c r="D431" t="inlineStr">
        <is>
          <t>DALARNAS LÄN</t>
        </is>
      </c>
      <c r="E431" t="inlineStr">
        <is>
          <t>ÄLVDALEN</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57783-2021</t>
        </is>
      </c>
      <c r="B432" s="1" t="n">
        <v>44484</v>
      </c>
      <c r="C432" s="1" t="n">
        <v>45338</v>
      </c>
      <c r="D432" t="inlineStr">
        <is>
          <t>DALARNAS LÄN</t>
        </is>
      </c>
      <c r="E432" t="inlineStr">
        <is>
          <t>ÄLVDALEN</t>
        </is>
      </c>
      <c r="G432" t="n">
        <v>6.9</v>
      </c>
      <c r="H432" t="n">
        <v>0</v>
      </c>
      <c r="I432" t="n">
        <v>0</v>
      </c>
      <c r="J432" t="n">
        <v>0</v>
      </c>
      <c r="K432" t="n">
        <v>0</v>
      </c>
      <c r="L432" t="n">
        <v>0</v>
      </c>
      <c r="M432" t="n">
        <v>0</v>
      </c>
      <c r="N432" t="n">
        <v>0</v>
      </c>
      <c r="O432" t="n">
        <v>0</v>
      </c>
      <c r="P432" t="n">
        <v>0</v>
      </c>
      <c r="Q432" t="n">
        <v>0</v>
      </c>
      <c r="R432" s="2" t="inlineStr"/>
    </row>
    <row r="433" ht="15" customHeight="1">
      <c r="A433" t="inlineStr">
        <is>
          <t>A 57799-2021</t>
        </is>
      </c>
      <c r="B433" s="1" t="n">
        <v>44484</v>
      </c>
      <c r="C433" s="1" t="n">
        <v>45338</v>
      </c>
      <c r="D433" t="inlineStr">
        <is>
          <t>DALARNAS LÄN</t>
        </is>
      </c>
      <c r="E433" t="inlineStr">
        <is>
          <t>ÄLVDALEN</t>
        </is>
      </c>
      <c r="F433" t="inlineStr">
        <is>
          <t>Allmännings- och besparingsskogar</t>
        </is>
      </c>
      <c r="G433" t="n">
        <v>18.7</v>
      </c>
      <c r="H433" t="n">
        <v>0</v>
      </c>
      <c r="I433" t="n">
        <v>0</v>
      </c>
      <c r="J433" t="n">
        <v>0</v>
      </c>
      <c r="K433" t="n">
        <v>0</v>
      </c>
      <c r="L433" t="n">
        <v>0</v>
      </c>
      <c r="M433" t="n">
        <v>0</v>
      </c>
      <c r="N433" t="n">
        <v>0</v>
      </c>
      <c r="O433" t="n">
        <v>0</v>
      </c>
      <c r="P433" t="n">
        <v>0</v>
      </c>
      <c r="Q433" t="n">
        <v>0</v>
      </c>
      <c r="R433" s="2" t="inlineStr"/>
    </row>
    <row r="434" ht="15" customHeight="1">
      <c r="A434" t="inlineStr">
        <is>
          <t>A 58509-2021</t>
        </is>
      </c>
      <c r="B434" s="1" t="n">
        <v>44488</v>
      </c>
      <c r="C434" s="1" t="n">
        <v>45338</v>
      </c>
      <c r="D434" t="inlineStr">
        <is>
          <t>DALARNAS LÄN</t>
        </is>
      </c>
      <c r="E434" t="inlineStr">
        <is>
          <t>ÄLVDALEN</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59658-2021</t>
        </is>
      </c>
      <c r="B435" s="1" t="n">
        <v>44494</v>
      </c>
      <c r="C435" s="1" t="n">
        <v>45338</v>
      </c>
      <c r="D435" t="inlineStr">
        <is>
          <t>DALARNAS LÄN</t>
        </is>
      </c>
      <c r="E435" t="inlineStr">
        <is>
          <t>ÄLVDALEN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60258-2021</t>
        </is>
      </c>
      <c r="B436" s="1" t="n">
        <v>44495</v>
      </c>
      <c r="C436" s="1" t="n">
        <v>45338</v>
      </c>
      <c r="D436" t="inlineStr">
        <is>
          <t>DALARNAS LÄN</t>
        </is>
      </c>
      <c r="E436" t="inlineStr">
        <is>
          <t>ÄLVDALEN</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60265-2021</t>
        </is>
      </c>
      <c r="B437" s="1" t="n">
        <v>44495</v>
      </c>
      <c r="C437" s="1" t="n">
        <v>45338</v>
      </c>
      <c r="D437" t="inlineStr">
        <is>
          <t>DALARNAS LÄN</t>
        </is>
      </c>
      <c r="E437" t="inlineStr">
        <is>
          <t>ÄLVDALEN</t>
        </is>
      </c>
      <c r="F437" t="inlineStr">
        <is>
          <t>Allmännings- och besparingsskogar</t>
        </is>
      </c>
      <c r="G437" t="n">
        <v>10</v>
      </c>
      <c r="H437" t="n">
        <v>0</v>
      </c>
      <c r="I437" t="n">
        <v>0</v>
      </c>
      <c r="J437" t="n">
        <v>0</v>
      </c>
      <c r="K437" t="n">
        <v>0</v>
      </c>
      <c r="L437" t="n">
        <v>0</v>
      </c>
      <c r="M437" t="n">
        <v>0</v>
      </c>
      <c r="N437" t="n">
        <v>0</v>
      </c>
      <c r="O437" t="n">
        <v>0</v>
      </c>
      <c r="P437" t="n">
        <v>0</v>
      </c>
      <c r="Q437" t="n">
        <v>0</v>
      </c>
      <c r="R437" s="2" t="inlineStr"/>
    </row>
    <row r="438" ht="15" customHeight="1">
      <c r="A438" t="inlineStr">
        <is>
          <t>A 60642-2021</t>
        </is>
      </c>
      <c r="B438" s="1" t="n">
        <v>44496</v>
      </c>
      <c r="C438" s="1" t="n">
        <v>45338</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61315-2021</t>
        </is>
      </c>
      <c r="B439" s="1" t="n">
        <v>44498</v>
      </c>
      <c r="C439" s="1" t="n">
        <v>45338</v>
      </c>
      <c r="D439" t="inlineStr">
        <is>
          <t>DALARNAS LÄN</t>
        </is>
      </c>
      <c r="E439" t="inlineStr">
        <is>
          <t>ÄLVDALEN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61563-2021</t>
        </is>
      </c>
      <c r="B440" s="1" t="n">
        <v>44501</v>
      </c>
      <c r="C440" s="1" t="n">
        <v>45338</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62024-2021</t>
        </is>
      </c>
      <c r="B441" s="1" t="n">
        <v>44502</v>
      </c>
      <c r="C441" s="1" t="n">
        <v>45338</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62643-2021</t>
        </is>
      </c>
      <c r="B442" s="1" t="n">
        <v>44503</v>
      </c>
      <c r="C442" s="1" t="n">
        <v>45338</v>
      </c>
      <c r="D442" t="inlineStr">
        <is>
          <t>DALARNAS LÄN</t>
        </is>
      </c>
      <c r="E442" t="inlineStr">
        <is>
          <t>ÄLVDALEN</t>
        </is>
      </c>
      <c r="F442" t="inlineStr">
        <is>
          <t>Sveaskog</t>
        </is>
      </c>
      <c r="G442" t="n">
        <v>48.7</v>
      </c>
      <c r="H442" t="n">
        <v>0</v>
      </c>
      <c r="I442" t="n">
        <v>0</v>
      </c>
      <c r="J442" t="n">
        <v>0</v>
      </c>
      <c r="K442" t="n">
        <v>0</v>
      </c>
      <c r="L442" t="n">
        <v>0</v>
      </c>
      <c r="M442" t="n">
        <v>0</v>
      </c>
      <c r="N442" t="n">
        <v>0</v>
      </c>
      <c r="O442" t="n">
        <v>0</v>
      </c>
      <c r="P442" t="n">
        <v>0</v>
      </c>
      <c r="Q442" t="n">
        <v>0</v>
      </c>
      <c r="R442" s="2" t="inlineStr"/>
    </row>
    <row r="443" ht="15" customHeight="1">
      <c r="A443" t="inlineStr">
        <is>
          <t>A 62680-2021</t>
        </is>
      </c>
      <c r="B443" s="1" t="n">
        <v>44504</v>
      </c>
      <c r="C443" s="1" t="n">
        <v>45338</v>
      </c>
      <c r="D443" t="inlineStr">
        <is>
          <t>DALARNAS LÄN</t>
        </is>
      </c>
      <c r="E443" t="inlineStr">
        <is>
          <t>ÄLVDALEN</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63079-2021</t>
        </is>
      </c>
      <c r="B444" s="1" t="n">
        <v>44505</v>
      </c>
      <c r="C444" s="1" t="n">
        <v>45338</v>
      </c>
      <c r="D444" t="inlineStr">
        <is>
          <t>DALARNAS LÄN</t>
        </is>
      </c>
      <c r="E444" t="inlineStr">
        <is>
          <t>ÄLVDALEN</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63114-2021</t>
        </is>
      </c>
      <c r="B445" s="1" t="n">
        <v>44505</v>
      </c>
      <c r="C445" s="1" t="n">
        <v>45338</v>
      </c>
      <c r="D445" t="inlineStr">
        <is>
          <t>DALARNAS LÄN</t>
        </is>
      </c>
      <c r="E445" t="inlineStr">
        <is>
          <t>ÄLVDALEN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63120-2021</t>
        </is>
      </c>
      <c r="B446" s="1" t="n">
        <v>44505</v>
      </c>
      <c r="C446" s="1" t="n">
        <v>45338</v>
      </c>
      <c r="D446" t="inlineStr">
        <is>
          <t>DALARNAS LÄN</t>
        </is>
      </c>
      <c r="E446" t="inlineStr">
        <is>
          <t>ÄLVDALEN</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63273-2021</t>
        </is>
      </c>
      <c r="B447" s="1" t="n">
        <v>44508</v>
      </c>
      <c r="C447" s="1" t="n">
        <v>45338</v>
      </c>
      <c r="D447" t="inlineStr">
        <is>
          <t>DALARNAS LÄN</t>
        </is>
      </c>
      <c r="E447" t="inlineStr">
        <is>
          <t>ÄLVDALEN</t>
        </is>
      </c>
      <c r="F447" t="inlineStr">
        <is>
          <t>Bergvik skog väst AB</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63242-2021</t>
        </is>
      </c>
      <c r="B448" s="1" t="n">
        <v>44508</v>
      </c>
      <c r="C448" s="1" t="n">
        <v>45338</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63250-2021</t>
        </is>
      </c>
      <c r="B449" s="1" t="n">
        <v>44508</v>
      </c>
      <c r="C449" s="1" t="n">
        <v>45338</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63325-2021</t>
        </is>
      </c>
      <c r="B450" s="1" t="n">
        <v>44508</v>
      </c>
      <c r="C450" s="1" t="n">
        <v>45338</v>
      </c>
      <c r="D450" t="inlineStr">
        <is>
          <t>DALARNAS LÄN</t>
        </is>
      </c>
      <c r="E450" t="inlineStr">
        <is>
          <t>ÄLVDALEN</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66634-2021</t>
        </is>
      </c>
      <c r="B451" s="1" t="n">
        <v>44519</v>
      </c>
      <c r="C451" s="1" t="n">
        <v>45338</v>
      </c>
      <c r="D451" t="inlineStr">
        <is>
          <t>DALARNAS LÄN</t>
        </is>
      </c>
      <c r="E451" t="inlineStr">
        <is>
          <t>ÄLVDALEN</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66887-2021</t>
        </is>
      </c>
      <c r="B452" s="1" t="n">
        <v>44522</v>
      </c>
      <c r="C452" s="1" t="n">
        <v>45338</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68204-2021</t>
        </is>
      </c>
      <c r="B453" s="1" t="n">
        <v>44526</v>
      </c>
      <c r="C453" s="1" t="n">
        <v>45338</v>
      </c>
      <c r="D453" t="inlineStr">
        <is>
          <t>DALARNAS LÄN</t>
        </is>
      </c>
      <c r="E453" t="inlineStr">
        <is>
          <t>ÄLVDALEN</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68219-2021</t>
        </is>
      </c>
      <c r="B454" s="1" t="n">
        <v>44526</v>
      </c>
      <c r="C454" s="1" t="n">
        <v>45338</v>
      </c>
      <c r="D454" t="inlineStr">
        <is>
          <t>DALARNAS LÄN</t>
        </is>
      </c>
      <c r="E454" t="inlineStr">
        <is>
          <t>ÄLVDALEN</t>
        </is>
      </c>
      <c r="F454" t="inlineStr">
        <is>
          <t>Kyrkan</t>
        </is>
      </c>
      <c r="G454" t="n">
        <v>2.7</v>
      </c>
      <c r="H454" t="n">
        <v>0</v>
      </c>
      <c r="I454" t="n">
        <v>0</v>
      </c>
      <c r="J454" t="n">
        <v>0</v>
      </c>
      <c r="K454" t="n">
        <v>0</v>
      </c>
      <c r="L454" t="n">
        <v>0</v>
      </c>
      <c r="M454" t="n">
        <v>0</v>
      </c>
      <c r="N454" t="n">
        <v>0</v>
      </c>
      <c r="O454" t="n">
        <v>0</v>
      </c>
      <c r="P454" t="n">
        <v>0</v>
      </c>
      <c r="Q454" t="n">
        <v>0</v>
      </c>
      <c r="R454" s="2" t="inlineStr"/>
    </row>
    <row r="455" ht="15" customHeight="1">
      <c r="A455" t="inlineStr">
        <is>
          <t>A 68383-2021</t>
        </is>
      </c>
      <c r="B455" s="1" t="n">
        <v>44529</v>
      </c>
      <c r="C455" s="1" t="n">
        <v>45338</v>
      </c>
      <c r="D455" t="inlineStr">
        <is>
          <t>DALARNAS LÄN</t>
        </is>
      </c>
      <c r="E455" t="inlineStr">
        <is>
          <t>ÄLVDALEN</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70140-2021</t>
        </is>
      </c>
      <c r="B456" s="1" t="n">
        <v>44533</v>
      </c>
      <c r="C456" s="1" t="n">
        <v>45338</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70252-2021</t>
        </is>
      </c>
      <c r="B457" s="1" t="n">
        <v>44536</v>
      </c>
      <c r="C457" s="1" t="n">
        <v>45338</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70990-2021</t>
        </is>
      </c>
      <c r="B458" s="1" t="n">
        <v>44538</v>
      </c>
      <c r="C458" s="1" t="n">
        <v>45338</v>
      </c>
      <c r="D458" t="inlineStr">
        <is>
          <t>DALARNAS LÄN</t>
        </is>
      </c>
      <c r="E458" t="inlineStr">
        <is>
          <t>ÄLVDALEN</t>
        </is>
      </c>
      <c r="F458" t="inlineStr">
        <is>
          <t>Kyrkan</t>
        </is>
      </c>
      <c r="G458" t="n">
        <v>3.5</v>
      </c>
      <c r="H458" t="n">
        <v>0</v>
      </c>
      <c r="I458" t="n">
        <v>0</v>
      </c>
      <c r="J458" t="n">
        <v>0</v>
      </c>
      <c r="K458" t="n">
        <v>0</v>
      </c>
      <c r="L458" t="n">
        <v>0</v>
      </c>
      <c r="M458" t="n">
        <v>0</v>
      </c>
      <c r="N458" t="n">
        <v>0</v>
      </c>
      <c r="O458" t="n">
        <v>0</v>
      </c>
      <c r="P458" t="n">
        <v>0</v>
      </c>
      <c r="Q458" t="n">
        <v>0</v>
      </c>
      <c r="R458" s="2" t="inlineStr"/>
    </row>
    <row r="459" ht="15" customHeight="1">
      <c r="A459" t="inlineStr">
        <is>
          <t>A 71282-2021</t>
        </is>
      </c>
      <c r="B459" s="1" t="n">
        <v>44539</v>
      </c>
      <c r="C459" s="1" t="n">
        <v>45338</v>
      </c>
      <c r="D459" t="inlineStr">
        <is>
          <t>DALARNAS LÄN</t>
        </is>
      </c>
      <c r="E459" t="inlineStr">
        <is>
          <t>ÄLVDALEN</t>
        </is>
      </c>
      <c r="G459" t="n">
        <v>1.3</v>
      </c>
      <c r="H459" t="n">
        <v>0</v>
      </c>
      <c r="I459" t="n">
        <v>0</v>
      </c>
      <c r="J459" t="n">
        <v>0</v>
      </c>
      <c r="K459" t="n">
        <v>0</v>
      </c>
      <c r="L459" t="n">
        <v>0</v>
      </c>
      <c r="M459" t="n">
        <v>0</v>
      </c>
      <c r="N459" t="n">
        <v>0</v>
      </c>
      <c r="O459" t="n">
        <v>0</v>
      </c>
      <c r="P459" t="n">
        <v>0</v>
      </c>
      <c r="Q459" t="n">
        <v>0</v>
      </c>
      <c r="R459" s="2" t="inlineStr"/>
    </row>
    <row r="460" ht="15" customHeight="1">
      <c r="A460" t="inlineStr">
        <is>
          <t>A 71652-2021</t>
        </is>
      </c>
      <c r="B460" s="1" t="n">
        <v>44543</v>
      </c>
      <c r="C460" s="1" t="n">
        <v>45338</v>
      </c>
      <c r="D460" t="inlineStr">
        <is>
          <t>DALARNAS LÄN</t>
        </is>
      </c>
      <c r="E460" t="inlineStr">
        <is>
          <t>ÄLVDALEN</t>
        </is>
      </c>
      <c r="G460" t="n">
        <v>4.3</v>
      </c>
      <c r="H460" t="n">
        <v>0</v>
      </c>
      <c r="I460" t="n">
        <v>0</v>
      </c>
      <c r="J460" t="n">
        <v>0</v>
      </c>
      <c r="K460" t="n">
        <v>0</v>
      </c>
      <c r="L460" t="n">
        <v>0</v>
      </c>
      <c r="M460" t="n">
        <v>0</v>
      </c>
      <c r="N460" t="n">
        <v>0</v>
      </c>
      <c r="O460" t="n">
        <v>0</v>
      </c>
      <c r="P460" t="n">
        <v>0</v>
      </c>
      <c r="Q460" t="n">
        <v>0</v>
      </c>
      <c r="R460" s="2" t="inlineStr"/>
    </row>
    <row r="461" ht="15" customHeight="1">
      <c r="A461" t="inlineStr">
        <is>
          <t>A 72813-2021</t>
        </is>
      </c>
      <c r="B461" s="1" t="n">
        <v>44546</v>
      </c>
      <c r="C461" s="1" t="n">
        <v>45338</v>
      </c>
      <c r="D461" t="inlineStr">
        <is>
          <t>DALARNAS LÄN</t>
        </is>
      </c>
      <c r="E461" t="inlineStr">
        <is>
          <t>ÄLVDALEN</t>
        </is>
      </c>
      <c r="G461" t="n">
        <v>4.2</v>
      </c>
      <c r="H461" t="n">
        <v>0</v>
      </c>
      <c r="I461" t="n">
        <v>0</v>
      </c>
      <c r="J461" t="n">
        <v>0</v>
      </c>
      <c r="K461" t="n">
        <v>0</v>
      </c>
      <c r="L461" t="n">
        <v>0</v>
      </c>
      <c r="M461" t="n">
        <v>0</v>
      </c>
      <c r="N461" t="n">
        <v>0</v>
      </c>
      <c r="O461" t="n">
        <v>0</v>
      </c>
      <c r="P461" t="n">
        <v>0</v>
      </c>
      <c r="Q461" t="n">
        <v>0</v>
      </c>
      <c r="R461" s="2" t="inlineStr"/>
    </row>
    <row r="462" ht="15" customHeight="1">
      <c r="A462" t="inlineStr">
        <is>
          <t>A 72846-2021</t>
        </is>
      </c>
      <c r="B462" s="1" t="n">
        <v>44547</v>
      </c>
      <c r="C462" s="1" t="n">
        <v>45338</v>
      </c>
      <c r="D462" t="inlineStr">
        <is>
          <t>DALARNAS LÄN</t>
        </is>
      </c>
      <c r="E462" t="inlineStr">
        <is>
          <t>ÄLVDALEN</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73691-2021</t>
        </is>
      </c>
      <c r="B463" s="1" t="n">
        <v>44552</v>
      </c>
      <c r="C463" s="1" t="n">
        <v>45338</v>
      </c>
      <c r="D463" t="inlineStr">
        <is>
          <t>DALARNAS LÄN</t>
        </is>
      </c>
      <c r="E463" t="inlineStr">
        <is>
          <t>ÄLVDALEN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73676-2021</t>
        </is>
      </c>
      <c r="B464" s="1" t="n">
        <v>44552</v>
      </c>
      <c r="C464" s="1" t="n">
        <v>45338</v>
      </c>
      <c r="D464" t="inlineStr">
        <is>
          <t>DALARNAS LÄN</t>
        </is>
      </c>
      <c r="E464" t="inlineStr">
        <is>
          <t>ÄLVDALEN</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74322-2021</t>
        </is>
      </c>
      <c r="B465" s="1" t="n">
        <v>44558</v>
      </c>
      <c r="C465" s="1" t="n">
        <v>45338</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74324-2021</t>
        </is>
      </c>
      <c r="B466" s="1" t="n">
        <v>44558</v>
      </c>
      <c r="C466" s="1" t="n">
        <v>45338</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713-2022</t>
        </is>
      </c>
      <c r="B467" s="1" t="n">
        <v>44568</v>
      </c>
      <c r="C467" s="1" t="n">
        <v>45338</v>
      </c>
      <c r="D467" t="inlineStr">
        <is>
          <t>DALARNAS LÄN</t>
        </is>
      </c>
      <c r="E467" t="inlineStr">
        <is>
          <t>ÄLVDALEN</t>
        </is>
      </c>
      <c r="G467" t="n">
        <v>1.6</v>
      </c>
      <c r="H467" t="n">
        <v>0</v>
      </c>
      <c r="I467" t="n">
        <v>0</v>
      </c>
      <c r="J467" t="n">
        <v>0</v>
      </c>
      <c r="K467" t="n">
        <v>0</v>
      </c>
      <c r="L467" t="n">
        <v>0</v>
      </c>
      <c r="M467" t="n">
        <v>0</v>
      </c>
      <c r="N467" t="n">
        <v>0</v>
      </c>
      <c r="O467" t="n">
        <v>0</v>
      </c>
      <c r="P467" t="n">
        <v>0</v>
      </c>
      <c r="Q467" t="n">
        <v>0</v>
      </c>
      <c r="R467" s="2" t="inlineStr"/>
    </row>
    <row r="468" ht="15" customHeight="1">
      <c r="A468" t="inlineStr">
        <is>
          <t>A 5422-2022</t>
        </is>
      </c>
      <c r="B468" s="1" t="n">
        <v>44595</v>
      </c>
      <c r="C468" s="1" t="n">
        <v>45338</v>
      </c>
      <c r="D468" t="inlineStr">
        <is>
          <t>DALARNAS LÄN</t>
        </is>
      </c>
      <c r="E468" t="inlineStr">
        <is>
          <t>ÄLVDALEN</t>
        </is>
      </c>
      <c r="F468" t="inlineStr">
        <is>
          <t>Allmännings- och besparingsskogar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5549-2022</t>
        </is>
      </c>
      <c r="B469" s="1" t="n">
        <v>44595</v>
      </c>
      <c r="C469" s="1" t="n">
        <v>45338</v>
      </c>
      <c r="D469" t="inlineStr">
        <is>
          <t>DALARNAS LÄN</t>
        </is>
      </c>
      <c r="E469" t="inlineStr">
        <is>
          <t>ÄLVDALEN</t>
        </is>
      </c>
      <c r="F469" t="inlineStr">
        <is>
          <t>Allmännings- och besparingsskogar</t>
        </is>
      </c>
      <c r="G469" t="n">
        <v>3.2</v>
      </c>
      <c r="H469" t="n">
        <v>0</v>
      </c>
      <c r="I469" t="n">
        <v>0</v>
      </c>
      <c r="J469" t="n">
        <v>0</v>
      </c>
      <c r="K469" t="n">
        <v>0</v>
      </c>
      <c r="L469" t="n">
        <v>0</v>
      </c>
      <c r="M469" t="n">
        <v>0</v>
      </c>
      <c r="N469" t="n">
        <v>0</v>
      </c>
      <c r="O469" t="n">
        <v>0</v>
      </c>
      <c r="P469" t="n">
        <v>0</v>
      </c>
      <c r="Q469" t="n">
        <v>0</v>
      </c>
      <c r="R469" s="2" t="inlineStr"/>
    </row>
    <row r="470" ht="15" customHeight="1">
      <c r="A470" t="inlineStr">
        <is>
          <t>A 5981-2022</t>
        </is>
      </c>
      <c r="B470" s="1" t="n">
        <v>44599</v>
      </c>
      <c r="C470" s="1" t="n">
        <v>45338</v>
      </c>
      <c r="D470" t="inlineStr">
        <is>
          <t>DALARNAS LÄN</t>
        </is>
      </c>
      <c r="E470" t="inlineStr">
        <is>
          <t>ÄLVDALEN</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6270-2022</t>
        </is>
      </c>
      <c r="B471" s="1" t="n">
        <v>44600</v>
      </c>
      <c r="C471" s="1" t="n">
        <v>45338</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7530-2022</t>
        </is>
      </c>
      <c r="B472" s="1" t="n">
        <v>44607</v>
      </c>
      <c r="C472" s="1" t="n">
        <v>45338</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11180-2022</t>
        </is>
      </c>
      <c r="B473" s="1" t="n">
        <v>44629</v>
      </c>
      <c r="C473" s="1" t="n">
        <v>45338</v>
      </c>
      <c r="D473" t="inlineStr">
        <is>
          <t>DALARNAS LÄN</t>
        </is>
      </c>
      <c r="E473" t="inlineStr">
        <is>
          <t>ÄLVDALEN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12066-2022</t>
        </is>
      </c>
      <c r="B474" s="1" t="n">
        <v>44636</v>
      </c>
      <c r="C474" s="1" t="n">
        <v>45338</v>
      </c>
      <c r="D474" t="inlineStr">
        <is>
          <t>DALARNAS LÄN</t>
        </is>
      </c>
      <c r="E474" t="inlineStr">
        <is>
          <t>ÄLVDALEN</t>
        </is>
      </c>
      <c r="G474" t="n">
        <v>4.4</v>
      </c>
      <c r="H474" t="n">
        <v>0</v>
      </c>
      <c r="I474" t="n">
        <v>0</v>
      </c>
      <c r="J474" t="n">
        <v>0</v>
      </c>
      <c r="K474" t="n">
        <v>0</v>
      </c>
      <c r="L474" t="n">
        <v>0</v>
      </c>
      <c r="M474" t="n">
        <v>0</v>
      </c>
      <c r="N474" t="n">
        <v>0</v>
      </c>
      <c r="O474" t="n">
        <v>0</v>
      </c>
      <c r="P474" t="n">
        <v>0</v>
      </c>
      <c r="Q474" t="n">
        <v>0</v>
      </c>
      <c r="R474" s="2" t="inlineStr"/>
    </row>
    <row r="475" ht="15" customHeight="1">
      <c r="A475" t="inlineStr">
        <is>
          <t>A 12995-2022</t>
        </is>
      </c>
      <c r="B475" s="1" t="n">
        <v>44643</v>
      </c>
      <c r="C475" s="1" t="n">
        <v>45338</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13000-2022</t>
        </is>
      </c>
      <c r="B476" s="1" t="n">
        <v>44643</v>
      </c>
      <c r="C476" s="1" t="n">
        <v>45338</v>
      </c>
      <c r="D476" t="inlineStr">
        <is>
          <t>DALARNAS LÄN</t>
        </is>
      </c>
      <c r="E476" t="inlineStr">
        <is>
          <t>ÄLVDALEN</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14089-2022</t>
        </is>
      </c>
      <c r="B477" s="1" t="n">
        <v>44651</v>
      </c>
      <c r="C477" s="1" t="n">
        <v>45338</v>
      </c>
      <c r="D477" t="inlineStr">
        <is>
          <t>DALARNAS LÄN</t>
        </is>
      </c>
      <c r="E477" t="inlineStr">
        <is>
          <t>ÄLVDALEN</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14235-2022</t>
        </is>
      </c>
      <c r="B478" s="1" t="n">
        <v>44651</v>
      </c>
      <c r="C478" s="1" t="n">
        <v>45338</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14795-2022</t>
        </is>
      </c>
      <c r="B479" s="1" t="n">
        <v>44656</v>
      </c>
      <c r="C479" s="1" t="n">
        <v>45338</v>
      </c>
      <c r="D479" t="inlineStr">
        <is>
          <t>DALARNAS LÄN</t>
        </is>
      </c>
      <c r="E479" t="inlineStr">
        <is>
          <t>ÄLVDALEN</t>
        </is>
      </c>
      <c r="F479" t="inlineStr">
        <is>
          <t>Övriga statliga verk och myndigheter</t>
        </is>
      </c>
      <c r="G479" t="n">
        <v>15.9</v>
      </c>
      <c r="H479" t="n">
        <v>0</v>
      </c>
      <c r="I479" t="n">
        <v>0</v>
      </c>
      <c r="J479" t="n">
        <v>0</v>
      </c>
      <c r="K479" t="n">
        <v>0</v>
      </c>
      <c r="L479" t="n">
        <v>0</v>
      </c>
      <c r="M479" t="n">
        <v>0</v>
      </c>
      <c r="N479" t="n">
        <v>0</v>
      </c>
      <c r="O479" t="n">
        <v>0</v>
      </c>
      <c r="P479" t="n">
        <v>0</v>
      </c>
      <c r="Q479" t="n">
        <v>0</v>
      </c>
      <c r="R479" s="2" t="inlineStr"/>
    </row>
    <row r="480" ht="15" customHeight="1">
      <c r="A480" t="inlineStr">
        <is>
          <t>A 15603-2022</t>
        </is>
      </c>
      <c r="B480" s="1" t="n">
        <v>44662</v>
      </c>
      <c r="C480" s="1" t="n">
        <v>45338</v>
      </c>
      <c r="D480" t="inlineStr">
        <is>
          <t>DALARNAS LÄN</t>
        </is>
      </c>
      <c r="E480" t="inlineStr">
        <is>
          <t>ÄLVDALEN</t>
        </is>
      </c>
      <c r="G480" t="n">
        <v>2.6</v>
      </c>
      <c r="H480" t="n">
        <v>0</v>
      </c>
      <c r="I480" t="n">
        <v>0</v>
      </c>
      <c r="J480" t="n">
        <v>0</v>
      </c>
      <c r="K480" t="n">
        <v>0</v>
      </c>
      <c r="L480" t="n">
        <v>0</v>
      </c>
      <c r="M480" t="n">
        <v>0</v>
      </c>
      <c r="N480" t="n">
        <v>0</v>
      </c>
      <c r="O480" t="n">
        <v>0</v>
      </c>
      <c r="P480" t="n">
        <v>0</v>
      </c>
      <c r="Q480" t="n">
        <v>0</v>
      </c>
      <c r="R480" s="2" t="inlineStr"/>
    </row>
    <row r="481" ht="15" customHeight="1">
      <c r="A481" t="inlineStr">
        <is>
          <t>A 17346-2022</t>
        </is>
      </c>
      <c r="B481" s="1" t="n">
        <v>44678</v>
      </c>
      <c r="C481" s="1" t="n">
        <v>45338</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17627-2022</t>
        </is>
      </c>
      <c r="B482" s="1" t="n">
        <v>44680</v>
      </c>
      <c r="C482" s="1" t="n">
        <v>45338</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18436-2022</t>
        </is>
      </c>
      <c r="B483" s="1" t="n">
        <v>44686</v>
      </c>
      <c r="C483" s="1" t="n">
        <v>45338</v>
      </c>
      <c r="D483" t="inlineStr">
        <is>
          <t>DALARNAS LÄN</t>
        </is>
      </c>
      <c r="E483" t="inlineStr">
        <is>
          <t>ÄLVDALEN</t>
        </is>
      </c>
      <c r="G483" t="n">
        <v>6.4</v>
      </c>
      <c r="H483" t="n">
        <v>0</v>
      </c>
      <c r="I483" t="n">
        <v>0</v>
      </c>
      <c r="J483" t="n">
        <v>0</v>
      </c>
      <c r="K483" t="n">
        <v>0</v>
      </c>
      <c r="L483" t="n">
        <v>0</v>
      </c>
      <c r="M483" t="n">
        <v>0</v>
      </c>
      <c r="N483" t="n">
        <v>0</v>
      </c>
      <c r="O483" t="n">
        <v>0</v>
      </c>
      <c r="P483" t="n">
        <v>0</v>
      </c>
      <c r="Q483" t="n">
        <v>0</v>
      </c>
      <c r="R483" s="2" t="inlineStr"/>
    </row>
    <row r="484" ht="15" customHeight="1">
      <c r="A484" t="inlineStr">
        <is>
          <t>A 18911-2022</t>
        </is>
      </c>
      <c r="B484" s="1" t="n">
        <v>44690</v>
      </c>
      <c r="C484" s="1" t="n">
        <v>45338</v>
      </c>
      <c r="D484" t="inlineStr">
        <is>
          <t>DALARNAS LÄN</t>
        </is>
      </c>
      <c r="E484" t="inlineStr">
        <is>
          <t>ÄLVDALEN</t>
        </is>
      </c>
      <c r="G484" t="n">
        <v>4.8</v>
      </c>
      <c r="H484" t="n">
        <v>0</v>
      </c>
      <c r="I484" t="n">
        <v>0</v>
      </c>
      <c r="J484" t="n">
        <v>0</v>
      </c>
      <c r="K484" t="n">
        <v>0</v>
      </c>
      <c r="L484" t="n">
        <v>0</v>
      </c>
      <c r="M484" t="n">
        <v>0</v>
      </c>
      <c r="N484" t="n">
        <v>0</v>
      </c>
      <c r="O484" t="n">
        <v>0</v>
      </c>
      <c r="P484" t="n">
        <v>0</v>
      </c>
      <c r="Q484" t="n">
        <v>0</v>
      </c>
      <c r="R484" s="2" t="inlineStr"/>
    </row>
    <row r="485" ht="15" customHeight="1">
      <c r="A485" t="inlineStr">
        <is>
          <t>A 19192-2022</t>
        </is>
      </c>
      <c r="B485" s="1" t="n">
        <v>44691</v>
      </c>
      <c r="C485" s="1" t="n">
        <v>45338</v>
      </c>
      <c r="D485" t="inlineStr">
        <is>
          <t>DALARNAS LÄN</t>
        </is>
      </c>
      <c r="E485" t="inlineStr">
        <is>
          <t>ÄLVDALEN</t>
        </is>
      </c>
      <c r="F485" t="inlineStr">
        <is>
          <t>Allmännings- och besparingsskogar</t>
        </is>
      </c>
      <c r="G485" t="n">
        <v>47.7</v>
      </c>
      <c r="H485" t="n">
        <v>0</v>
      </c>
      <c r="I485" t="n">
        <v>0</v>
      </c>
      <c r="J485" t="n">
        <v>0</v>
      </c>
      <c r="K485" t="n">
        <v>0</v>
      </c>
      <c r="L485" t="n">
        <v>0</v>
      </c>
      <c r="M485" t="n">
        <v>0</v>
      </c>
      <c r="N485" t="n">
        <v>0</v>
      </c>
      <c r="O485" t="n">
        <v>0</v>
      </c>
      <c r="P485" t="n">
        <v>0</v>
      </c>
      <c r="Q485" t="n">
        <v>0</v>
      </c>
      <c r="R485" s="2" t="inlineStr"/>
    </row>
    <row r="486" ht="15" customHeight="1">
      <c r="A486" t="inlineStr">
        <is>
          <t>A 19933-2022</t>
        </is>
      </c>
      <c r="B486" s="1" t="n">
        <v>44697</v>
      </c>
      <c r="C486" s="1" t="n">
        <v>45338</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19939-2022</t>
        </is>
      </c>
      <c r="B487" s="1" t="n">
        <v>44697</v>
      </c>
      <c r="C487" s="1" t="n">
        <v>45338</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19918-2022</t>
        </is>
      </c>
      <c r="B488" s="1" t="n">
        <v>44697</v>
      </c>
      <c r="C488" s="1" t="n">
        <v>45338</v>
      </c>
      <c r="D488" t="inlineStr">
        <is>
          <t>DALARNAS LÄN</t>
        </is>
      </c>
      <c r="E488" t="inlineStr">
        <is>
          <t>ÄLVDALEN</t>
        </is>
      </c>
      <c r="F488" t="inlineStr">
        <is>
          <t>Sveaskog</t>
        </is>
      </c>
      <c r="G488" t="n">
        <v>20.8</v>
      </c>
      <c r="H488" t="n">
        <v>0</v>
      </c>
      <c r="I488" t="n">
        <v>0</v>
      </c>
      <c r="J488" t="n">
        <v>0</v>
      </c>
      <c r="K488" t="n">
        <v>0</v>
      </c>
      <c r="L488" t="n">
        <v>0</v>
      </c>
      <c r="M488" t="n">
        <v>0</v>
      </c>
      <c r="N488" t="n">
        <v>0</v>
      </c>
      <c r="O488" t="n">
        <v>0</v>
      </c>
      <c r="P488" t="n">
        <v>0</v>
      </c>
      <c r="Q488" t="n">
        <v>0</v>
      </c>
      <c r="R488" s="2" t="inlineStr"/>
    </row>
    <row r="489" ht="15" customHeight="1">
      <c r="A489" t="inlineStr">
        <is>
          <t>A 20561-2022</t>
        </is>
      </c>
      <c r="B489" s="1" t="n">
        <v>44700</v>
      </c>
      <c r="C489" s="1" t="n">
        <v>45338</v>
      </c>
      <c r="D489" t="inlineStr">
        <is>
          <t>DALARNAS LÄN</t>
        </is>
      </c>
      <c r="E489" t="inlineStr">
        <is>
          <t>ÄLVDALEN</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21280-2022</t>
        </is>
      </c>
      <c r="B490" s="1" t="n">
        <v>44705</v>
      </c>
      <c r="C490" s="1" t="n">
        <v>45338</v>
      </c>
      <c r="D490" t="inlineStr">
        <is>
          <t>DALARNAS LÄN</t>
        </is>
      </c>
      <c r="E490" t="inlineStr">
        <is>
          <t>ÄLVDALEN</t>
        </is>
      </c>
      <c r="G490" t="n">
        <v>4.5</v>
      </c>
      <c r="H490" t="n">
        <v>0</v>
      </c>
      <c r="I490" t="n">
        <v>0</v>
      </c>
      <c r="J490" t="n">
        <v>0</v>
      </c>
      <c r="K490" t="n">
        <v>0</v>
      </c>
      <c r="L490" t="n">
        <v>0</v>
      </c>
      <c r="M490" t="n">
        <v>0</v>
      </c>
      <c r="N490" t="n">
        <v>0</v>
      </c>
      <c r="O490" t="n">
        <v>0</v>
      </c>
      <c r="P490" t="n">
        <v>0</v>
      </c>
      <c r="Q490" t="n">
        <v>0</v>
      </c>
      <c r="R490" s="2" t="inlineStr"/>
    </row>
    <row r="491" ht="15" customHeight="1">
      <c r="A491" t="inlineStr">
        <is>
          <t>A 21279-2022</t>
        </is>
      </c>
      <c r="B491" s="1" t="n">
        <v>44705</v>
      </c>
      <c r="C491" s="1" t="n">
        <v>45338</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21630-2022</t>
        </is>
      </c>
      <c r="B492" s="1" t="n">
        <v>44706</v>
      </c>
      <c r="C492" s="1" t="n">
        <v>45338</v>
      </c>
      <c r="D492" t="inlineStr">
        <is>
          <t>DALARNAS LÄN</t>
        </is>
      </c>
      <c r="E492" t="inlineStr">
        <is>
          <t>ÄLVDALEN</t>
        </is>
      </c>
      <c r="F492" t="inlineStr">
        <is>
          <t>Övriga statliga verk och myndigheter</t>
        </is>
      </c>
      <c r="G492" t="n">
        <v>5.2</v>
      </c>
      <c r="H492" t="n">
        <v>0</v>
      </c>
      <c r="I492" t="n">
        <v>0</v>
      </c>
      <c r="J492" t="n">
        <v>0</v>
      </c>
      <c r="K492" t="n">
        <v>0</v>
      </c>
      <c r="L492" t="n">
        <v>0</v>
      </c>
      <c r="M492" t="n">
        <v>0</v>
      </c>
      <c r="N492" t="n">
        <v>0</v>
      </c>
      <c r="O492" t="n">
        <v>0</v>
      </c>
      <c r="P492" t="n">
        <v>0</v>
      </c>
      <c r="Q492" t="n">
        <v>0</v>
      </c>
      <c r="R492" s="2" t="inlineStr"/>
    </row>
    <row r="493" ht="15" customHeight="1">
      <c r="A493" t="inlineStr">
        <is>
          <t>A 22063-2022</t>
        </is>
      </c>
      <c r="B493" s="1" t="n">
        <v>44711</v>
      </c>
      <c r="C493" s="1" t="n">
        <v>45338</v>
      </c>
      <c r="D493" t="inlineStr">
        <is>
          <t>DALARNAS LÄN</t>
        </is>
      </c>
      <c r="E493" t="inlineStr">
        <is>
          <t>ÄLVDALEN</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22062-2022</t>
        </is>
      </c>
      <c r="B494" s="1" t="n">
        <v>44711</v>
      </c>
      <c r="C494" s="1" t="n">
        <v>45338</v>
      </c>
      <c r="D494" t="inlineStr">
        <is>
          <t>DALARNAS LÄN</t>
        </is>
      </c>
      <c r="E494" t="inlineStr">
        <is>
          <t>ÄLVDALEN</t>
        </is>
      </c>
      <c r="F494" t="inlineStr">
        <is>
          <t>Bergvik skog väst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25162-2022</t>
        </is>
      </c>
      <c r="B495" s="1" t="n">
        <v>44729</v>
      </c>
      <c r="C495" s="1" t="n">
        <v>45338</v>
      </c>
      <c r="D495" t="inlineStr">
        <is>
          <t>DALARNAS LÄN</t>
        </is>
      </c>
      <c r="E495" t="inlineStr">
        <is>
          <t>ÄLVDALEN</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25121-2022</t>
        </is>
      </c>
      <c r="B496" s="1" t="n">
        <v>44729</v>
      </c>
      <c r="C496" s="1" t="n">
        <v>45338</v>
      </c>
      <c r="D496" t="inlineStr">
        <is>
          <t>DALARNAS LÄN</t>
        </is>
      </c>
      <c r="E496" t="inlineStr">
        <is>
          <t>ÄLVDALEN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25602-2022</t>
        </is>
      </c>
      <c r="B497" s="1" t="n">
        <v>44732</v>
      </c>
      <c r="C497" s="1" t="n">
        <v>45338</v>
      </c>
      <c r="D497" t="inlineStr">
        <is>
          <t>DALARNAS LÄN</t>
        </is>
      </c>
      <c r="E497" t="inlineStr">
        <is>
          <t>ÄLVDALEN</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26622-2022</t>
        </is>
      </c>
      <c r="B498" s="1" t="n">
        <v>44739</v>
      </c>
      <c r="C498" s="1" t="n">
        <v>45338</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27480-2022</t>
        </is>
      </c>
      <c r="B499" s="1" t="n">
        <v>44742</v>
      </c>
      <c r="C499" s="1" t="n">
        <v>45338</v>
      </c>
      <c r="D499" t="inlineStr">
        <is>
          <t>DALARNAS LÄN</t>
        </is>
      </c>
      <c r="E499" t="inlineStr">
        <is>
          <t>ÄLVDALEN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27488-2022</t>
        </is>
      </c>
      <c r="B500" s="1" t="n">
        <v>44742</v>
      </c>
      <c r="C500" s="1" t="n">
        <v>45338</v>
      </c>
      <c r="D500" t="inlineStr">
        <is>
          <t>DALARNAS LÄN</t>
        </is>
      </c>
      <c r="E500" t="inlineStr">
        <is>
          <t>ÄLVDALEN</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29561-2022</t>
        </is>
      </c>
      <c r="B501" s="1" t="n">
        <v>44754</v>
      </c>
      <c r="C501" s="1" t="n">
        <v>45338</v>
      </c>
      <c r="D501" t="inlineStr">
        <is>
          <t>DALARNAS LÄN</t>
        </is>
      </c>
      <c r="E501" t="inlineStr">
        <is>
          <t>ÄLVDALEN</t>
        </is>
      </c>
      <c r="G501" t="n">
        <v>6.6</v>
      </c>
      <c r="H501" t="n">
        <v>0</v>
      </c>
      <c r="I501" t="n">
        <v>0</v>
      </c>
      <c r="J501" t="n">
        <v>0</v>
      </c>
      <c r="K501" t="n">
        <v>0</v>
      </c>
      <c r="L501" t="n">
        <v>0</v>
      </c>
      <c r="M501" t="n">
        <v>0</v>
      </c>
      <c r="N501" t="n">
        <v>0</v>
      </c>
      <c r="O501" t="n">
        <v>0</v>
      </c>
      <c r="P501" t="n">
        <v>0</v>
      </c>
      <c r="Q501" t="n">
        <v>0</v>
      </c>
      <c r="R501" s="2" t="inlineStr"/>
    </row>
    <row r="502" ht="15" customHeight="1">
      <c r="A502" t="inlineStr">
        <is>
          <t>A 29558-2022</t>
        </is>
      </c>
      <c r="B502" s="1" t="n">
        <v>44754</v>
      </c>
      <c r="C502" s="1" t="n">
        <v>45338</v>
      </c>
      <c r="D502" t="inlineStr">
        <is>
          <t>DALARNAS LÄN</t>
        </is>
      </c>
      <c r="E502" t="inlineStr">
        <is>
          <t>ÄLVDALEN</t>
        </is>
      </c>
      <c r="G502" t="n">
        <v>2.5</v>
      </c>
      <c r="H502" t="n">
        <v>0</v>
      </c>
      <c r="I502" t="n">
        <v>0</v>
      </c>
      <c r="J502" t="n">
        <v>0</v>
      </c>
      <c r="K502" t="n">
        <v>0</v>
      </c>
      <c r="L502" t="n">
        <v>0</v>
      </c>
      <c r="M502" t="n">
        <v>0</v>
      </c>
      <c r="N502" t="n">
        <v>0</v>
      </c>
      <c r="O502" t="n">
        <v>0</v>
      </c>
      <c r="P502" t="n">
        <v>0</v>
      </c>
      <c r="Q502" t="n">
        <v>0</v>
      </c>
      <c r="R502" s="2" t="inlineStr"/>
    </row>
    <row r="503" ht="15" customHeight="1">
      <c r="A503" t="inlineStr">
        <is>
          <t>A 29565-2022</t>
        </is>
      </c>
      <c r="B503" s="1" t="n">
        <v>44754</v>
      </c>
      <c r="C503" s="1" t="n">
        <v>45338</v>
      </c>
      <c r="D503" t="inlineStr">
        <is>
          <t>DALARNAS LÄN</t>
        </is>
      </c>
      <c r="E503" t="inlineStr">
        <is>
          <t>ÄLVDALEN</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29566-2022</t>
        </is>
      </c>
      <c r="B504" s="1" t="n">
        <v>44754</v>
      </c>
      <c r="C504" s="1" t="n">
        <v>45338</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29711-2022</t>
        </is>
      </c>
      <c r="B505" s="1" t="n">
        <v>44755</v>
      </c>
      <c r="C505" s="1" t="n">
        <v>45338</v>
      </c>
      <c r="D505" t="inlineStr">
        <is>
          <t>DALARNAS LÄN</t>
        </is>
      </c>
      <c r="E505" t="inlineStr">
        <is>
          <t>ÄLVDALEN</t>
        </is>
      </c>
      <c r="G505" t="n">
        <v>8</v>
      </c>
      <c r="H505" t="n">
        <v>0</v>
      </c>
      <c r="I505" t="n">
        <v>0</v>
      </c>
      <c r="J505" t="n">
        <v>0</v>
      </c>
      <c r="K505" t="n">
        <v>0</v>
      </c>
      <c r="L505" t="n">
        <v>0</v>
      </c>
      <c r="M505" t="n">
        <v>0</v>
      </c>
      <c r="N505" t="n">
        <v>0</v>
      </c>
      <c r="O505" t="n">
        <v>0</v>
      </c>
      <c r="P505" t="n">
        <v>0</v>
      </c>
      <c r="Q505" t="n">
        <v>0</v>
      </c>
      <c r="R505" s="2" t="inlineStr"/>
    </row>
    <row r="506" ht="15" customHeight="1">
      <c r="A506" t="inlineStr">
        <is>
          <t>A 29713-2022</t>
        </is>
      </c>
      <c r="B506" s="1" t="n">
        <v>44755</v>
      </c>
      <c r="C506" s="1" t="n">
        <v>45338</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29804-2022</t>
        </is>
      </c>
      <c r="B507" s="1" t="n">
        <v>44755</v>
      </c>
      <c r="C507" s="1" t="n">
        <v>45338</v>
      </c>
      <c r="D507" t="inlineStr">
        <is>
          <t>DALARNAS LÄN</t>
        </is>
      </c>
      <c r="E507" t="inlineStr">
        <is>
          <t>ÄLVDALEN</t>
        </is>
      </c>
      <c r="F507" t="inlineStr">
        <is>
          <t>Allmännings- och besparingsskogar</t>
        </is>
      </c>
      <c r="G507" t="n">
        <v>11.4</v>
      </c>
      <c r="H507" t="n">
        <v>0</v>
      </c>
      <c r="I507" t="n">
        <v>0</v>
      </c>
      <c r="J507" t="n">
        <v>0</v>
      </c>
      <c r="K507" t="n">
        <v>0</v>
      </c>
      <c r="L507" t="n">
        <v>0</v>
      </c>
      <c r="M507" t="n">
        <v>0</v>
      </c>
      <c r="N507" t="n">
        <v>0</v>
      </c>
      <c r="O507" t="n">
        <v>0</v>
      </c>
      <c r="P507" t="n">
        <v>0</v>
      </c>
      <c r="Q507" t="n">
        <v>0</v>
      </c>
      <c r="R507" s="2" t="inlineStr"/>
    </row>
    <row r="508" ht="15" customHeight="1">
      <c r="A508" t="inlineStr">
        <is>
          <t>A 29710-2022</t>
        </is>
      </c>
      <c r="B508" s="1" t="n">
        <v>44755</v>
      </c>
      <c r="C508" s="1" t="n">
        <v>45338</v>
      </c>
      <c r="D508" t="inlineStr">
        <is>
          <t>DALARNAS LÄN</t>
        </is>
      </c>
      <c r="E508" t="inlineStr">
        <is>
          <t>ÄLVDALEN</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29806-2022</t>
        </is>
      </c>
      <c r="B509" s="1" t="n">
        <v>44755</v>
      </c>
      <c r="C509" s="1" t="n">
        <v>45338</v>
      </c>
      <c r="D509" t="inlineStr">
        <is>
          <t>DALARNAS LÄN</t>
        </is>
      </c>
      <c r="E509" t="inlineStr">
        <is>
          <t>ÄLVDALEN</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29716-2022</t>
        </is>
      </c>
      <c r="B510" s="1" t="n">
        <v>44755</v>
      </c>
      <c r="C510" s="1" t="n">
        <v>45338</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29849-2022</t>
        </is>
      </c>
      <c r="B511" s="1" t="n">
        <v>44756</v>
      </c>
      <c r="C511" s="1" t="n">
        <v>45338</v>
      </c>
      <c r="D511" t="inlineStr">
        <is>
          <t>DALARNAS LÄN</t>
        </is>
      </c>
      <c r="E511" t="inlineStr">
        <is>
          <t>ÄLVDALEN</t>
        </is>
      </c>
      <c r="F511" t="inlineStr">
        <is>
          <t>Allmännings- och besparingsskogar</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29974-2022</t>
        </is>
      </c>
      <c r="B512" s="1" t="n">
        <v>44756</v>
      </c>
      <c r="C512" s="1" t="n">
        <v>45338</v>
      </c>
      <c r="D512" t="inlineStr">
        <is>
          <t>DALARNAS LÄN</t>
        </is>
      </c>
      <c r="E512" t="inlineStr">
        <is>
          <t>ÄLVDALEN</t>
        </is>
      </c>
      <c r="F512" t="inlineStr">
        <is>
          <t>Allmännings- och besparingsskogar</t>
        </is>
      </c>
      <c r="G512" t="n">
        <v>30</v>
      </c>
      <c r="H512" t="n">
        <v>0</v>
      </c>
      <c r="I512" t="n">
        <v>0</v>
      </c>
      <c r="J512" t="n">
        <v>0</v>
      </c>
      <c r="K512" t="n">
        <v>0</v>
      </c>
      <c r="L512" t="n">
        <v>0</v>
      </c>
      <c r="M512" t="n">
        <v>0</v>
      </c>
      <c r="N512" t="n">
        <v>0</v>
      </c>
      <c r="O512" t="n">
        <v>0</v>
      </c>
      <c r="P512" t="n">
        <v>0</v>
      </c>
      <c r="Q512" t="n">
        <v>0</v>
      </c>
      <c r="R512" s="2" t="inlineStr"/>
    </row>
    <row r="513" ht="15" customHeight="1">
      <c r="A513" t="inlineStr">
        <is>
          <t>A 30831-2022</t>
        </is>
      </c>
      <c r="B513" s="1" t="n">
        <v>44767</v>
      </c>
      <c r="C513" s="1" t="n">
        <v>45338</v>
      </c>
      <c r="D513" t="inlineStr">
        <is>
          <t>DALARNAS LÄN</t>
        </is>
      </c>
      <c r="E513" t="inlineStr">
        <is>
          <t>ÄLVDALEN</t>
        </is>
      </c>
      <c r="F513" t="inlineStr">
        <is>
          <t>Allmännings- och besparingsskogar</t>
        </is>
      </c>
      <c r="G513" t="n">
        <v>22.7</v>
      </c>
      <c r="H513" t="n">
        <v>0</v>
      </c>
      <c r="I513" t="n">
        <v>0</v>
      </c>
      <c r="J513" t="n">
        <v>0</v>
      </c>
      <c r="K513" t="n">
        <v>0</v>
      </c>
      <c r="L513" t="n">
        <v>0</v>
      </c>
      <c r="M513" t="n">
        <v>0</v>
      </c>
      <c r="N513" t="n">
        <v>0</v>
      </c>
      <c r="O513" t="n">
        <v>0</v>
      </c>
      <c r="P513" t="n">
        <v>0</v>
      </c>
      <c r="Q513" t="n">
        <v>0</v>
      </c>
      <c r="R513" s="2" t="inlineStr"/>
    </row>
    <row r="514" ht="15" customHeight="1">
      <c r="A514" t="inlineStr">
        <is>
          <t>A 31266-2022</t>
        </is>
      </c>
      <c r="B514" s="1" t="n">
        <v>44771</v>
      </c>
      <c r="C514" s="1" t="n">
        <v>45338</v>
      </c>
      <c r="D514" t="inlineStr">
        <is>
          <t>DALARNAS LÄN</t>
        </is>
      </c>
      <c r="E514" t="inlineStr">
        <is>
          <t>ÄLVDALEN</t>
        </is>
      </c>
      <c r="F514" t="inlineStr">
        <is>
          <t>Allmännings- och besparingsskogar</t>
        </is>
      </c>
      <c r="G514" t="n">
        <v>20.8</v>
      </c>
      <c r="H514" t="n">
        <v>0</v>
      </c>
      <c r="I514" t="n">
        <v>0</v>
      </c>
      <c r="J514" t="n">
        <v>0</v>
      </c>
      <c r="K514" t="n">
        <v>0</v>
      </c>
      <c r="L514" t="n">
        <v>0</v>
      </c>
      <c r="M514" t="n">
        <v>0</v>
      </c>
      <c r="N514" t="n">
        <v>0</v>
      </c>
      <c r="O514" t="n">
        <v>0</v>
      </c>
      <c r="P514" t="n">
        <v>0</v>
      </c>
      <c r="Q514" t="n">
        <v>0</v>
      </c>
      <c r="R514" s="2" t="inlineStr"/>
    </row>
    <row r="515" ht="15" customHeight="1">
      <c r="A515" t="inlineStr">
        <is>
          <t>A 32385-2022</t>
        </is>
      </c>
      <c r="B515" s="1" t="n">
        <v>44782</v>
      </c>
      <c r="C515" s="1" t="n">
        <v>45338</v>
      </c>
      <c r="D515" t="inlineStr">
        <is>
          <t>DALARNAS LÄN</t>
        </is>
      </c>
      <c r="E515" t="inlineStr">
        <is>
          <t>ÄLVDALEN</t>
        </is>
      </c>
      <c r="F515" t="inlineStr">
        <is>
          <t>Övriga statliga verk och myndigheter</t>
        </is>
      </c>
      <c r="G515" t="n">
        <v>9</v>
      </c>
      <c r="H515" t="n">
        <v>0</v>
      </c>
      <c r="I515" t="n">
        <v>0</v>
      </c>
      <c r="J515" t="n">
        <v>0</v>
      </c>
      <c r="K515" t="n">
        <v>0</v>
      </c>
      <c r="L515" t="n">
        <v>0</v>
      </c>
      <c r="M515" t="n">
        <v>0</v>
      </c>
      <c r="N515" t="n">
        <v>0</v>
      </c>
      <c r="O515" t="n">
        <v>0</v>
      </c>
      <c r="P515" t="n">
        <v>0</v>
      </c>
      <c r="Q515" t="n">
        <v>0</v>
      </c>
      <c r="R515" s="2" t="inlineStr"/>
    </row>
    <row r="516" ht="15" customHeight="1">
      <c r="A516" t="inlineStr">
        <is>
          <t>A 32467-2022</t>
        </is>
      </c>
      <c r="B516" s="1" t="n">
        <v>44782</v>
      </c>
      <c r="C516" s="1" t="n">
        <v>45338</v>
      </c>
      <c r="D516" t="inlineStr">
        <is>
          <t>DALARNAS LÄN</t>
        </is>
      </c>
      <c r="E516" t="inlineStr">
        <is>
          <t>ÄLVDALEN</t>
        </is>
      </c>
      <c r="F516" t="inlineStr">
        <is>
          <t>Bergvik skog väst AB</t>
        </is>
      </c>
      <c r="G516" t="n">
        <v>4.5</v>
      </c>
      <c r="H516" t="n">
        <v>0</v>
      </c>
      <c r="I516" t="n">
        <v>0</v>
      </c>
      <c r="J516" t="n">
        <v>0</v>
      </c>
      <c r="K516" t="n">
        <v>0</v>
      </c>
      <c r="L516" t="n">
        <v>0</v>
      </c>
      <c r="M516" t="n">
        <v>0</v>
      </c>
      <c r="N516" t="n">
        <v>0</v>
      </c>
      <c r="O516" t="n">
        <v>0</v>
      </c>
      <c r="P516" t="n">
        <v>0</v>
      </c>
      <c r="Q516" t="n">
        <v>0</v>
      </c>
      <c r="R516" s="2" t="inlineStr"/>
    </row>
    <row r="517" ht="15" customHeight="1">
      <c r="A517" t="inlineStr">
        <is>
          <t>A 32468-2022</t>
        </is>
      </c>
      <c r="B517" s="1" t="n">
        <v>44782</v>
      </c>
      <c r="C517" s="1" t="n">
        <v>45338</v>
      </c>
      <c r="D517" t="inlineStr">
        <is>
          <t>DALARNAS LÄN</t>
        </is>
      </c>
      <c r="E517" t="inlineStr">
        <is>
          <t>ÄLVDALEN</t>
        </is>
      </c>
      <c r="F517" t="inlineStr">
        <is>
          <t>Bergvik skog väst AB</t>
        </is>
      </c>
      <c r="G517" t="n">
        <v>1.8</v>
      </c>
      <c r="H517" t="n">
        <v>0</v>
      </c>
      <c r="I517" t="n">
        <v>0</v>
      </c>
      <c r="J517" t="n">
        <v>0</v>
      </c>
      <c r="K517" t="n">
        <v>0</v>
      </c>
      <c r="L517" t="n">
        <v>0</v>
      </c>
      <c r="M517" t="n">
        <v>0</v>
      </c>
      <c r="N517" t="n">
        <v>0</v>
      </c>
      <c r="O517" t="n">
        <v>0</v>
      </c>
      <c r="P517" t="n">
        <v>0</v>
      </c>
      <c r="Q517" t="n">
        <v>0</v>
      </c>
      <c r="R517" s="2" t="inlineStr"/>
    </row>
    <row r="518" ht="15" customHeight="1">
      <c r="A518" t="inlineStr">
        <is>
          <t>A 32848-2022</t>
        </is>
      </c>
      <c r="B518" s="1" t="n">
        <v>44784</v>
      </c>
      <c r="C518" s="1" t="n">
        <v>45338</v>
      </c>
      <c r="D518" t="inlineStr">
        <is>
          <t>DALARNAS LÄN</t>
        </is>
      </c>
      <c r="E518" t="inlineStr">
        <is>
          <t>ÄLVDALEN</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32894-2022</t>
        </is>
      </c>
      <c r="B519" s="1" t="n">
        <v>44784</v>
      </c>
      <c r="C519" s="1" t="n">
        <v>45338</v>
      </c>
      <c r="D519" t="inlineStr">
        <is>
          <t>DALARNAS LÄN</t>
        </is>
      </c>
      <c r="E519" t="inlineStr">
        <is>
          <t>ÄLVDALEN</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33425-2022</t>
        </is>
      </c>
      <c r="B520" s="1" t="n">
        <v>44788</v>
      </c>
      <c r="C520" s="1" t="n">
        <v>45338</v>
      </c>
      <c r="D520" t="inlineStr">
        <is>
          <t>DALARNAS LÄN</t>
        </is>
      </c>
      <c r="E520" t="inlineStr">
        <is>
          <t>ÄLVDALEN</t>
        </is>
      </c>
      <c r="F520" t="inlineStr">
        <is>
          <t>Bergvik skog öst AB</t>
        </is>
      </c>
      <c r="G520" t="n">
        <v>21.2</v>
      </c>
      <c r="H520" t="n">
        <v>0</v>
      </c>
      <c r="I520" t="n">
        <v>0</v>
      </c>
      <c r="J520" t="n">
        <v>0</v>
      </c>
      <c r="K520" t="n">
        <v>0</v>
      </c>
      <c r="L520" t="n">
        <v>0</v>
      </c>
      <c r="M520" t="n">
        <v>0</v>
      </c>
      <c r="N520" t="n">
        <v>0</v>
      </c>
      <c r="O520" t="n">
        <v>0</v>
      </c>
      <c r="P520" t="n">
        <v>0</v>
      </c>
      <c r="Q520" t="n">
        <v>0</v>
      </c>
      <c r="R520" s="2" t="inlineStr"/>
    </row>
    <row r="521" ht="15" customHeight="1">
      <c r="A521" t="inlineStr">
        <is>
          <t>A 36161-2022</t>
        </is>
      </c>
      <c r="B521" s="1" t="n">
        <v>44803</v>
      </c>
      <c r="C521" s="1" t="n">
        <v>45338</v>
      </c>
      <c r="D521" t="inlineStr">
        <is>
          <t>DALARNAS LÄN</t>
        </is>
      </c>
      <c r="E521" t="inlineStr">
        <is>
          <t>ÄLVDALEN</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36513-2022</t>
        </is>
      </c>
      <c r="B522" s="1" t="n">
        <v>44804</v>
      </c>
      <c r="C522" s="1" t="n">
        <v>45338</v>
      </c>
      <c r="D522" t="inlineStr">
        <is>
          <t>DALARNAS LÄN</t>
        </is>
      </c>
      <c r="E522" t="inlineStr">
        <is>
          <t>ÄLVDALEN</t>
        </is>
      </c>
      <c r="G522" t="n">
        <v>3.1</v>
      </c>
      <c r="H522" t="n">
        <v>0</v>
      </c>
      <c r="I522" t="n">
        <v>0</v>
      </c>
      <c r="J522" t="n">
        <v>0</v>
      </c>
      <c r="K522" t="n">
        <v>0</v>
      </c>
      <c r="L522" t="n">
        <v>0</v>
      </c>
      <c r="M522" t="n">
        <v>0</v>
      </c>
      <c r="N522" t="n">
        <v>0</v>
      </c>
      <c r="O522" t="n">
        <v>0</v>
      </c>
      <c r="P522" t="n">
        <v>0</v>
      </c>
      <c r="Q522" t="n">
        <v>0</v>
      </c>
      <c r="R522" s="2" t="inlineStr"/>
    </row>
    <row r="523" ht="15" customHeight="1">
      <c r="A523" t="inlineStr">
        <is>
          <t>A 37399-2022</t>
        </is>
      </c>
      <c r="B523" s="1" t="n">
        <v>44809</v>
      </c>
      <c r="C523" s="1" t="n">
        <v>45338</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37740-2022</t>
        </is>
      </c>
      <c r="B524" s="1" t="n">
        <v>44810</v>
      </c>
      <c r="C524" s="1" t="n">
        <v>45338</v>
      </c>
      <c r="D524" t="inlineStr">
        <is>
          <t>DALARNAS LÄN</t>
        </is>
      </c>
      <c r="E524" t="inlineStr">
        <is>
          <t>ÄLVDALEN</t>
        </is>
      </c>
      <c r="F524" t="inlineStr">
        <is>
          <t>Bergvik skog väst AB</t>
        </is>
      </c>
      <c r="G524" t="n">
        <v>4</v>
      </c>
      <c r="H524" t="n">
        <v>0</v>
      </c>
      <c r="I524" t="n">
        <v>0</v>
      </c>
      <c r="J524" t="n">
        <v>0</v>
      </c>
      <c r="K524" t="n">
        <v>0</v>
      </c>
      <c r="L524" t="n">
        <v>0</v>
      </c>
      <c r="M524" t="n">
        <v>0</v>
      </c>
      <c r="N524" t="n">
        <v>0</v>
      </c>
      <c r="O524" t="n">
        <v>0</v>
      </c>
      <c r="P524" t="n">
        <v>0</v>
      </c>
      <c r="Q524" t="n">
        <v>0</v>
      </c>
      <c r="R524" s="2" t="inlineStr"/>
    </row>
    <row r="525" ht="15" customHeight="1">
      <c r="A525" t="inlineStr">
        <is>
          <t>A 37957-2022</t>
        </is>
      </c>
      <c r="B525" s="1" t="n">
        <v>44811</v>
      </c>
      <c r="C525" s="1" t="n">
        <v>45338</v>
      </c>
      <c r="D525" t="inlineStr">
        <is>
          <t>DALARNAS LÄN</t>
        </is>
      </c>
      <c r="E525" t="inlineStr">
        <is>
          <t>ÄLVDALEN</t>
        </is>
      </c>
      <c r="F525" t="inlineStr">
        <is>
          <t>Bergvik skog väst AB</t>
        </is>
      </c>
      <c r="G525" t="n">
        <v>1.3</v>
      </c>
      <c r="H525" t="n">
        <v>0</v>
      </c>
      <c r="I525" t="n">
        <v>0</v>
      </c>
      <c r="J525" t="n">
        <v>0</v>
      </c>
      <c r="K525" t="n">
        <v>0</v>
      </c>
      <c r="L525" t="n">
        <v>0</v>
      </c>
      <c r="M525" t="n">
        <v>0</v>
      </c>
      <c r="N525" t="n">
        <v>0</v>
      </c>
      <c r="O525" t="n">
        <v>0</v>
      </c>
      <c r="P525" t="n">
        <v>0</v>
      </c>
      <c r="Q525" t="n">
        <v>0</v>
      </c>
      <c r="R525" s="2" t="inlineStr"/>
    </row>
    <row r="526" ht="15" customHeight="1">
      <c r="A526" t="inlineStr">
        <is>
          <t>A 37959-2022</t>
        </is>
      </c>
      <c r="B526" s="1" t="n">
        <v>44811</v>
      </c>
      <c r="C526" s="1" t="n">
        <v>45338</v>
      </c>
      <c r="D526" t="inlineStr">
        <is>
          <t>DALARNAS LÄN</t>
        </is>
      </c>
      <c r="E526" t="inlineStr">
        <is>
          <t>ÄLVDALEN</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38957-2022</t>
        </is>
      </c>
      <c r="B527" s="1" t="n">
        <v>44816</v>
      </c>
      <c r="C527" s="1" t="n">
        <v>45338</v>
      </c>
      <c r="D527" t="inlineStr">
        <is>
          <t>DALARNAS LÄN</t>
        </is>
      </c>
      <c r="E527" t="inlineStr">
        <is>
          <t>ÄLVDALEN</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39308-2022</t>
        </is>
      </c>
      <c r="B528" s="1" t="n">
        <v>44817</v>
      </c>
      <c r="C528" s="1" t="n">
        <v>45338</v>
      </c>
      <c r="D528" t="inlineStr">
        <is>
          <t>DALARNAS LÄN</t>
        </is>
      </c>
      <c r="E528" t="inlineStr">
        <is>
          <t>ÄLVDALEN</t>
        </is>
      </c>
      <c r="F528" t="inlineStr">
        <is>
          <t>Bergvik skog väst AB</t>
        </is>
      </c>
      <c r="G528" t="n">
        <v>3.2</v>
      </c>
      <c r="H528" t="n">
        <v>0</v>
      </c>
      <c r="I528" t="n">
        <v>0</v>
      </c>
      <c r="J528" t="n">
        <v>0</v>
      </c>
      <c r="K528" t="n">
        <v>0</v>
      </c>
      <c r="L528" t="n">
        <v>0</v>
      </c>
      <c r="M528" t="n">
        <v>0</v>
      </c>
      <c r="N528" t="n">
        <v>0</v>
      </c>
      <c r="O528" t="n">
        <v>0</v>
      </c>
      <c r="P528" t="n">
        <v>0</v>
      </c>
      <c r="Q528" t="n">
        <v>0</v>
      </c>
      <c r="R528" s="2" t="inlineStr"/>
    </row>
    <row r="529" ht="15" customHeight="1">
      <c r="A529" t="inlineStr">
        <is>
          <t>A 39311-2022</t>
        </is>
      </c>
      <c r="B529" s="1" t="n">
        <v>44817</v>
      </c>
      <c r="C529" s="1" t="n">
        <v>45338</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40003-2022</t>
        </is>
      </c>
      <c r="B530" s="1" t="n">
        <v>44820</v>
      </c>
      <c r="C530" s="1" t="n">
        <v>45338</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40726-2022</t>
        </is>
      </c>
      <c r="B531" s="1" t="n">
        <v>44824</v>
      </c>
      <c r="C531" s="1" t="n">
        <v>45338</v>
      </c>
      <c r="D531" t="inlineStr">
        <is>
          <t>DALARNAS LÄN</t>
        </is>
      </c>
      <c r="E531" t="inlineStr">
        <is>
          <t>ÄLVDALEN</t>
        </is>
      </c>
      <c r="F531" t="inlineStr">
        <is>
          <t>Övriga statliga verk och myndigheter</t>
        </is>
      </c>
      <c r="G531" t="n">
        <v>12.5</v>
      </c>
      <c r="H531" t="n">
        <v>0</v>
      </c>
      <c r="I531" t="n">
        <v>0</v>
      </c>
      <c r="J531" t="n">
        <v>0</v>
      </c>
      <c r="K531" t="n">
        <v>0</v>
      </c>
      <c r="L531" t="n">
        <v>0</v>
      </c>
      <c r="M531" t="n">
        <v>0</v>
      </c>
      <c r="N531" t="n">
        <v>0</v>
      </c>
      <c r="O531" t="n">
        <v>0</v>
      </c>
      <c r="P531" t="n">
        <v>0</v>
      </c>
      <c r="Q531" t="n">
        <v>0</v>
      </c>
      <c r="R531" s="2" t="inlineStr"/>
    </row>
    <row r="532" ht="15" customHeight="1">
      <c r="A532" t="inlineStr">
        <is>
          <t>A 40720-2022</t>
        </is>
      </c>
      <c r="B532" s="1" t="n">
        <v>44824</v>
      </c>
      <c r="C532" s="1" t="n">
        <v>45338</v>
      </c>
      <c r="D532" t="inlineStr">
        <is>
          <t>DALARNAS LÄN</t>
        </is>
      </c>
      <c r="E532" t="inlineStr">
        <is>
          <t>ÄLVDALEN</t>
        </is>
      </c>
      <c r="F532" t="inlineStr">
        <is>
          <t>Övriga statliga verk och myndigheter</t>
        </is>
      </c>
      <c r="G532" t="n">
        <v>6.7</v>
      </c>
      <c r="H532" t="n">
        <v>0</v>
      </c>
      <c r="I532" t="n">
        <v>0</v>
      </c>
      <c r="J532" t="n">
        <v>0</v>
      </c>
      <c r="K532" t="n">
        <v>0</v>
      </c>
      <c r="L532" t="n">
        <v>0</v>
      </c>
      <c r="M532" t="n">
        <v>0</v>
      </c>
      <c r="N532" t="n">
        <v>0</v>
      </c>
      <c r="O532" t="n">
        <v>0</v>
      </c>
      <c r="P532" t="n">
        <v>0</v>
      </c>
      <c r="Q532" t="n">
        <v>0</v>
      </c>
      <c r="R532" s="2" t="inlineStr"/>
    </row>
    <row r="533" ht="15" customHeight="1">
      <c r="A533" t="inlineStr">
        <is>
          <t>A 40723-2022</t>
        </is>
      </c>
      <c r="B533" s="1" t="n">
        <v>44824</v>
      </c>
      <c r="C533" s="1" t="n">
        <v>45338</v>
      </c>
      <c r="D533" t="inlineStr">
        <is>
          <t>DALARNAS LÄN</t>
        </is>
      </c>
      <c r="E533" t="inlineStr">
        <is>
          <t>ÄLVDALEN</t>
        </is>
      </c>
      <c r="F533" t="inlineStr">
        <is>
          <t>Övriga statliga verk och myndigheter</t>
        </is>
      </c>
      <c r="G533" t="n">
        <v>14.7</v>
      </c>
      <c r="H533" t="n">
        <v>0</v>
      </c>
      <c r="I533" t="n">
        <v>0</v>
      </c>
      <c r="J533" t="n">
        <v>0</v>
      </c>
      <c r="K533" t="n">
        <v>0</v>
      </c>
      <c r="L533" t="n">
        <v>0</v>
      </c>
      <c r="M533" t="n">
        <v>0</v>
      </c>
      <c r="N533" t="n">
        <v>0</v>
      </c>
      <c r="O533" t="n">
        <v>0</v>
      </c>
      <c r="P533" t="n">
        <v>0</v>
      </c>
      <c r="Q533" t="n">
        <v>0</v>
      </c>
      <c r="R533" s="2" t="inlineStr"/>
    </row>
    <row r="534" ht="15" customHeight="1">
      <c r="A534" t="inlineStr">
        <is>
          <t>A 41856-2022</t>
        </is>
      </c>
      <c r="B534" s="1" t="n">
        <v>44829</v>
      </c>
      <c r="C534" s="1" t="n">
        <v>45338</v>
      </c>
      <c r="D534" t="inlineStr">
        <is>
          <t>DALARNAS LÄN</t>
        </is>
      </c>
      <c r="E534" t="inlineStr">
        <is>
          <t>ÄLVDALEN</t>
        </is>
      </c>
      <c r="G534" t="n">
        <v>9.1</v>
      </c>
      <c r="H534" t="n">
        <v>0</v>
      </c>
      <c r="I534" t="n">
        <v>0</v>
      </c>
      <c r="J534" t="n">
        <v>0</v>
      </c>
      <c r="K534" t="n">
        <v>0</v>
      </c>
      <c r="L534" t="n">
        <v>0</v>
      </c>
      <c r="M534" t="n">
        <v>0</v>
      </c>
      <c r="N534" t="n">
        <v>0</v>
      </c>
      <c r="O534" t="n">
        <v>0</v>
      </c>
      <c r="P534" t="n">
        <v>0</v>
      </c>
      <c r="Q534" t="n">
        <v>0</v>
      </c>
      <c r="R534" s="2" t="inlineStr"/>
    </row>
    <row r="535" ht="15" customHeight="1">
      <c r="A535" t="inlineStr">
        <is>
          <t>A 41855-2022</t>
        </is>
      </c>
      <c r="B535" s="1" t="n">
        <v>44829</v>
      </c>
      <c r="C535" s="1" t="n">
        <v>45338</v>
      </c>
      <c r="D535" t="inlineStr">
        <is>
          <t>DALARNAS LÄN</t>
        </is>
      </c>
      <c r="E535" t="inlineStr">
        <is>
          <t>ÄLVDALEN</t>
        </is>
      </c>
      <c r="G535" t="n">
        <v>19.3</v>
      </c>
      <c r="H535" t="n">
        <v>0</v>
      </c>
      <c r="I535" t="n">
        <v>0</v>
      </c>
      <c r="J535" t="n">
        <v>0</v>
      </c>
      <c r="K535" t="n">
        <v>0</v>
      </c>
      <c r="L535" t="n">
        <v>0</v>
      </c>
      <c r="M535" t="n">
        <v>0</v>
      </c>
      <c r="N535" t="n">
        <v>0</v>
      </c>
      <c r="O535" t="n">
        <v>0</v>
      </c>
      <c r="P535" t="n">
        <v>0</v>
      </c>
      <c r="Q535" t="n">
        <v>0</v>
      </c>
      <c r="R535" s="2" t="inlineStr"/>
    </row>
    <row r="536" ht="15" customHeight="1">
      <c r="A536" t="inlineStr">
        <is>
          <t>A 43191-2022</t>
        </is>
      </c>
      <c r="B536" s="1" t="n">
        <v>44834</v>
      </c>
      <c r="C536" s="1" t="n">
        <v>45338</v>
      </c>
      <c r="D536" t="inlineStr">
        <is>
          <t>DALARNAS LÄN</t>
        </is>
      </c>
      <c r="E536" t="inlineStr">
        <is>
          <t>ÄLVDALEN</t>
        </is>
      </c>
      <c r="G536" t="n">
        <v>1.3</v>
      </c>
      <c r="H536" t="n">
        <v>0</v>
      </c>
      <c r="I536" t="n">
        <v>0</v>
      </c>
      <c r="J536" t="n">
        <v>0</v>
      </c>
      <c r="K536" t="n">
        <v>0</v>
      </c>
      <c r="L536" t="n">
        <v>0</v>
      </c>
      <c r="M536" t="n">
        <v>0</v>
      </c>
      <c r="N536" t="n">
        <v>0</v>
      </c>
      <c r="O536" t="n">
        <v>0</v>
      </c>
      <c r="P536" t="n">
        <v>0</v>
      </c>
      <c r="Q536" t="n">
        <v>0</v>
      </c>
      <c r="R536" s="2" t="inlineStr"/>
    </row>
    <row r="537" ht="15" customHeight="1">
      <c r="A537" t="inlineStr">
        <is>
          <t>A 43649-2022</t>
        </is>
      </c>
      <c r="B537" s="1" t="n">
        <v>44837</v>
      </c>
      <c r="C537" s="1" t="n">
        <v>45338</v>
      </c>
      <c r="D537" t="inlineStr">
        <is>
          <t>DALARNAS LÄN</t>
        </is>
      </c>
      <c r="E537" t="inlineStr">
        <is>
          <t>ÄLVDALEN</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43628-2022</t>
        </is>
      </c>
      <c r="B538" s="1" t="n">
        <v>44837</v>
      </c>
      <c r="C538" s="1" t="n">
        <v>45338</v>
      </c>
      <c r="D538" t="inlineStr">
        <is>
          <t>DALARNAS LÄN</t>
        </is>
      </c>
      <c r="E538" t="inlineStr">
        <is>
          <t>ÄLVDALEN</t>
        </is>
      </c>
      <c r="G538" t="n">
        <v>5.8</v>
      </c>
      <c r="H538" t="n">
        <v>0</v>
      </c>
      <c r="I538" t="n">
        <v>0</v>
      </c>
      <c r="J538" t="n">
        <v>0</v>
      </c>
      <c r="K538" t="n">
        <v>0</v>
      </c>
      <c r="L538" t="n">
        <v>0</v>
      </c>
      <c r="M538" t="n">
        <v>0</v>
      </c>
      <c r="N538" t="n">
        <v>0</v>
      </c>
      <c r="O538" t="n">
        <v>0</v>
      </c>
      <c r="P538" t="n">
        <v>0</v>
      </c>
      <c r="Q538" t="n">
        <v>0</v>
      </c>
      <c r="R538" s="2" t="inlineStr"/>
    </row>
    <row r="539" ht="15" customHeight="1">
      <c r="A539" t="inlineStr">
        <is>
          <t>A 43647-2022</t>
        </is>
      </c>
      <c r="B539" s="1" t="n">
        <v>44837</v>
      </c>
      <c r="C539" s="1" t="n">
        <v>45338</v>
      </c>
      <c r="D539" t="inlineStr">
        <is>
          <t>DALARNAS LÄN</t>
        </is>
      </c>
      <c r="E539" t="inlineStr">
        <is>
          <t>ÄLVDALEN</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43616-2022</t>
        </is>
      </c>
      <c r="B540" s="1" t="n">
        <v>44837</v>
      </c>
      <c r="C540" s="1" t="n">
        <v>45338</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44119-2022</t>
        </is>
      </c>
      <c r="B541" s="1" t="n">
        <v>44839</v>
      </c>
      <c r="C541" s="1" t="n">
        <v>45338</v>
      </c>
      <c r="D541" t="inlineStr">
        <is>
          <t>DALARNAS LÄN</t>
        </is>
      </c>
      <c r="E541" t="inlineStr">
        <is>
          <t>ÄLVDALEN</t>
        </is>
      </c>
      <c r="G541" t="n">
        <v>3.2</v>
      </c>
      <c r="H541" t="n">
        <v>0</v>
      </c>
      <c r="I541" t="n">
        <v>0</v>
      </c>
      <c r="J541" t="n">
        <v>0</v>
      </c>
      <c r="K541" t="n">
        <v>0</v>
      </c>
      <c r="L541" t="n">
        <v>0</v>
      </c>
      <c r="M541" t="n">
        <v>0</v>
      </c>
      <c r="N541" t="n">
        <v>0</v>
      </c>
      <c r="O541" t="n">
        <v>0</v>
      </c>
      <c r="P541" t="n">
        <v>0</v>
      </c>
      <c r="Q541" t="n">
        <v>0</v>
      </c>
      <c r="R541" s="2" t="inlineStr"/>
    </row>
    <row r="542" ht="15" customHeight="1">
      <c r="A542" t="inlineStr">
        <is>
          <t>A 45044-2022</t>
        </is>
      </c>
      <c r="B542" s="1" t="n">
        <v>44841</v>
      </c>
      <c r="C542" s="1" t="n">
        <v>45338</v>
      </c>
      <c r="D542" t="inlineStr">
        <is>
          <t>DALARNAS LÄN</t>
        </is>
      </c>
      <c r="E542" t="inlineStr">
        <is>
          <t>ÄLVDALEN</t>
        </is>
      </c>
      <c r="F542" t="inlineStr">
        <is>
          <t>Bergvik skog väst AB</t>
        </is>
      </c>
      <c r="G542" t="n">
        <v>8.9</v>
      </c>
      <c r="H542" t="n">
        <v>0</v>
      </c>
      <c r="I542" t="n">
        <v>0</v>
      </c>
      <c r="J542" t="n">
        <v>0</v>
      </c>
      <c r="K542" t="n">
        <v>0</v>
      </c>
      <c r="L542" t="n">
        <v>0</v>
      </c>
      <c r="M542" t="n">
        <v>0</v>
      </c>
      <c r="N542" t="n">
        <v>0</v>
      </c>
      <c r="O542" t="n">
        <v>0</v>
      </c>
      <c r="P542" t="n">
        <v>0</v>
      </c>
      <c r="Q542" t="n">
        <v>0</v>
      </c>
      <c r="R542" s="2" t="inlineStr"/>
    </row>
    <row r="543" ht="15" customHeight="1">
      <c r="A543" t="inlineStr">
        <is>
          <t>A 45050-2022</t>
        </is>
      </c>
      <c r="B543" s="1" t="n">
        <v>44841</v>
      </c>
      <c r="C543" s="1" t="n">
        <v>45338</v>
      </c>
      <c r="D543" t="inlineStr">
        <is>
          <t>DALARNAS LÄN</t>
        </is>
      </c>
      <c r="E543" t="inlineStr">
        <is>
          <t>ÄLVDALEN</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45049-2022</t>
        </is>
      </c>
      <c r="B544" s="1" t="n">
        <v>44841</v>
      </c>
      <c r="C544" s="1" t="n">
        <v>45338</v>
      </c>
      <c r="D544" t="inlineStr">
        <is>
          <t>DALARNAS LÄN</t>
        </is>
      </c>
      <c r="E544" t="inlineStr">
        <is>
          <t>ÄLVDALEN</t>
        </is>
      </c>
      <c r="F544" t="inlineStr">
        <is>
          <t>Bergvik skog väst AB</t>
        </is>
      </c>
      <c r="G544" t="n">
        <v>19.8</v>
      </c>
      <c r="H544" t="n">
        <v>0</v>
      </c>
      <c r="I544" t="n">
        <v>0</v>
      </c>
      <c r="J544" t="n">
        <v>0</v>
      </c>
      <c r="K544" t="n">
        <v>0</v>
      </c>
      <c r="L544" t="n">
        <v>0</v>
      </c>
      <c r="M544" t="n">
        <v>0</v>
      </c>
      <c r="N544" t="n">
        <v>0</v>
      </c>
      <c r="O544" t="n">
        <v>0</v>
      </c>
      <c r="P544" t="n">
        <v>0</v>
      </c>
      <c r="Q544" t="n">
        <v>0</v>
      </c>
      <c r="R544" s="2" t="inlineStr"/>
    </row>
    <row r="545" ht="15" customHeight="1">
      <c r="A545" t="inlineStr">
        <is>
          <t>A 45167-2022</t>
        </is>
      </c>
      <c r="B545" s="1" t="n">
        <v>44844</v>
      </c>
      <c r="C545" s="1" t="n">
        <v>45338</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45228-2022</t>
        </is>
      </c>
      <c r="B546" s="1" t="n">
        <v>44844</v>
      </c>
      <c r="C546" s="1" t="n">
        <v>45338</v>
      </c>
      <c r="D546" t="inlineStr">
        <is>
          <t>DALARNAS LÄN</t>
        </is>
      </c>
      <c r="E546" t="inlineStr">
        <is>
          <t>ÄLVDALEN</t>
        </is>
      </c>
      <c r="F546" t="inlineStr">
        <is>
          <t>Bergvik skog väst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45227-2022</t>
        </is>
      </c>
      <c r="B547" s="1" t="n">
        <v>44844</v>
      </c>
      <c r="C547" s="1" t="n">
        <v>45338</v>
      </c>
      <c r="D547" t="inlineStr">
        <is>
          <t>DALARNAS LÄN</t>
        </is>
      </c>
      <c r="E547" t="inlineStr">
        <is>
          <t>ÄLVDALEN</t>
        </is>
      </c>
      <c r="F547" t="inlineStr">
        <is>
          <t>Bergvik skog väst AB</t>
        </is>
      </c>
      <c r="G547" t="n">
        <v>22.3</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v>
      </c>
      <c r="C548" s="1" t="n">
        <v>45338</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45157-2022</t>
        </is>
      </c>
      <c r="B549" s="1" t="n">
        <v>44844</v>
      </c>
      <c r="C549" s="1" t="n">
        <v>45338</v>
      </c>
      <c r="D549" t="inlineStr">
        <is>
          <t>DALARNAS LÄN</t>
        </is>
      </c>
      <c r="E549" t="inlineStr">
        <is>
          <t>ÄLVDALEN</t>
        </is>
      </c>
      <c r="G549" t="n">
        <v>7.9</v>
      </c>
      <c r="H549" t="n">
        <v>0</v>
      </c>
      <c r="I549" t="n">
        <v>0</v>
      </c>
      <c r="J549" t="n">
        <v>0</v>
      </c>
      <c r="K549" t="n">
        <v>0</v>
      </c>
      <c r="L549" t="n">
        <v>0</v>
      </c>
      <c r="M549" t="n">
        <v>0</v>
      </c>
      <c r="N549" t="n">
        <v>0</v>
      </c>
      <c r="O549" t="n">
        <v>0</v>
      </c>
      <c r="P549" t="n">
        <v>0</v>
      </c>
      <c r="Q549" t="n">
        <v>0</v>
      </c>
      <c r="R549" s="2" t="inlineStr"/>
    </row>
    <row r="550" ht="15" customHeight="1">
      <c r="A550" t="inlineStr">
        <is>
          <t>A 45165-2022</t>
        </is>
      </c>
      <c r="B550" s="1" t="n">
        <v>44844</v>
      </c>
      <c r="C550" s="1" t="n">
        <v>45338</v>
      </c>
      <c r="D550" t="inlineStr">
        <is>
          <t>DALARNAS LÄN</t>
        </is>
      </c>
      <c r="E550" t="inlineStr">
        <is>
          <t>ÄLVDALEN</t>
        </is>
      </c>
      <c r="G550" t="n">
        <v>5.2</v>
      </c>
      <c r="H550" t="n">
        <v>0</v>
      </c>
      <c r="I550" t="n">
        <v>0</v>
      </c>
      <c r="J550" t="n">
        <v>0</v>
      </c>
      <c r="K550" t="n">
        <v>0</v>
      </c>
      <c r="L550" t="n">
        <v>0</v>
      </c>
      <c r="M550" t="n">
        <v>0</v>
      </c>
      <c r="N550" t="n">
        <v>0</v>
      </c>
      <c r="O550" t="n">
        <v>0</v>
      </c>
      <c r="P550" t="n">
        <v>0</v>
      </c>
      <c r="Q550" t="n">
        <v>0</v>
      </c>
      <c r="R550" s="2" t="inlineStr"/>
    </row>
    <row r="551" ht="15" customHeight="1">
      <c r="A551" t="inlineStr">
        <is>
          <t>A 45233-2022</t>
        </is>
      </c>
      <c r="B551" s="1" t="n">
        <v>44844</v>
      </c>
      <c r="C551" s="1" t="n">
        <v>45338</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45783-2022</t>
        </is>
      </c>
      <c r="B552" s="1" t="n">
        <v>44846</v>
      </c>
      <c r="C552" s="1" t="n">
        <v>45338</v>
      </c>
      <c r="D552" t="inlineStr">
        <is>
          <t>DALARNAS LÄN</t>
        </is>
      </c>
      <c r="E552" t="inlineStr">
        <is>
          <t>ÄLVDALEN</t>
        </is>
      </c>
      <c r="G552" t="n">
        <v>9.1</v>
      </c>
      <c r="H552" t="n">
        <v>0</v>
      </c>
      <c r="I552" t="n">
        <v>0</v>
      </c>
      <c r="J552" t="n">
        <v>0</v>
      </c>
      <c r="K552" t="n">
        <v>0</v>
      </c>
      <c r="L552" t="n">
        <v>0</v>
      </c>
      <c r="M552" t="n">
        <v>0</v>
      </c>
      <c r="N552" t="n">
        <v>0</v>
      </c>
      <c r="O552" t="n">
        <v>0</v>
      </c>
      <c r="P552" t="n">
        <v>0</v>
      </c>
      <c r="Q552" t="n">
        <v>0</v>
      </c>
      <c r="R552" s="2" t="inlineStr"/>
    </row>
    <row r="553" ht="15" customHeight="1">
      <c r="A553" t="inlineStr">
        <is>
          <t>A 45785-2022</t>
        </is>
      </c>
      <c r="B553" s="1" t="n">
        <v>44846</v>
      </c>
      <c r="C553" s="1" t="n">
        <v>45338</v>
      </c>
      <c r="D553" t="inlineStr">
        <is>
          <t>DALARNAS LÄN</t>
        </is>
      </c>
      <c r="E553" t="inlineStr">
        <is>
          <t>ÄLVDALEN</t>
        </is>
      </c>
      <c r="G553" t="n">
        <v>0.5</v>
      </c>
      <c r="H553" t="n">
        <v>0</v>
      </c>
      <c r="I553" t="n">
        <v>0</v>
      </c>
      <c r="J553" t="n">
        <v>0</v>
      </c>
      <c r="K553" t="n">
        <v>0</v>
      </c>
      <c r="L553" t="n">
        <v>0</v>
      </c>
      <c r="M553" t="n">
        <v>0</v>
      </c>
      <c r="N553" t="n">
        <v>0</v>
      </c>
      <c r="O553" t="n">
        <v>0</v>
      </c>
      <c r="P553" t="n">
        <v>0</v>
      </c>
      <c r="Q553" t="n">
        <v>0</v>
      </c>
      <c r="R553" s="2" t="inlineStr"/>
    </row>
    <row r="554" ht="15" customHeight="1">
      <c r="A554" t="inlineStr">
        <is>
          <t>A 47878-2022</t>
        </is>
      </c>
      <c r="B554" s="1" t="n">
        <v>44855</v>
      </c>
      <c r="C554" s="1" t="n">
        <v>45338</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48849-2022</t>
        </is>
      </c>
      <c r="B555" s="1" t="n">
        <v>44859</v>
      </c>
      <c r="C555" s="1" t="n">
        <v>45338</v>
      </c>
      <c r="D555" t="inlineStr">
        <is>
          <t>DALARNAS LÄN</t>
        </is>
      </c>
      <c r="E555" t="inlineStr">
        <is>
          <t>ÄLVDALEN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50037-2022</t>
        </is>
      </c>
      <c r="B556" s="1" t="n">
        <v>44865</v>
      </c>
      <c r="C556" s="1" t="n">
        <v>45338</v>
      </c>
      <c r="D556" t="inlineStr">
        <is>
          <t>DALARNAS LÄN</t>
        </is>
      </c>
      <c r="E556" t="inlineStr">
        <is>
          <t>ÄLVDALEN</t>
        </is>
      </c>
      <c r="F556" t="inlineStr">
        <is>
          <t>Allmännings- och besparingsskogar</t>
        </is>
      </c>
      <c r="G556" t="n">
        <v>5.8</v>
      </c>
      <c r="H556" t="n">
        <v>0</v>
      </c>
      <c r="I556" t="n">
        <v>0</v>
      </c>
      <c r="J556" t="n">
        <v>0</v>
      </c>
      <c r="K556" t="n">
        <v>0</v>
      </c>
      <c r="L556" t="n">
        <v>0</v>
      </c>
      <c r="M556" t="n">
        <v>0</v>
      </c>
      <c r="N556" t="n">
        <v>0</v>
      </c>
      <c r="O556" t="n">
        <v>0</v>
      </c>
      <c r="P556" t="n">
        <v>0</v>
      </c>
      <c r="Q556" t="n">
        <v>0</v>
      </c>
      <c r="R556" s="2" t="inlineStr"/>
    </row>
    <row r="557" ht="15" customHeight="1">
      <c r="A557" t="inlineStr">
        <is>
          <t>A 50209-2022</t>
        </is>
      </c>
      <c r="B557" s="1" t="n">
        <v>44865</v>
      </c>
      <c r="C557" s="1" t="n">
        <v>45338</v>
      </c>
      <c r="D557" t="inlineStr">
        <is>
          <t>DALARNAS LÄN</t>
        </is>
      </c>
      <c r="E557" t="inlineStr">
        <is>
          <t>ÄLVDALEN</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50464-2022</t>
        </is>
      </c>
      <c r="B558" s="1" t="n">
        <v>44866</v>
      </c>
      <c r="C558" s="1" t="n">
        <v>45338</v>
      </c>
      <c r="D558" t="inlineStr">
        <is>
          <t>DALARNAS LÄN</t>
        </is>
      </c>
      <c r="E558" t="inlineStr">
        <is>
          <t>ÄLVDALEN</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50885-2022</t>
        </is>
      </c>
      <c r="B559" s="1" t="n">
        <v>44867</v>
      </c>
      <c r="C559" s="1" t="n">
        <v>45338</v>
      </c>
      <c r="D559" t="inlineStr">
        <is>
          <t>DALARNAS LÄN</t>
        </is>
      </c>
      <c r="E559" t="inlineStr">
        <is>
          <t>ÄLVDALEN</t>
        </is>
      </c>
      <c r="F559" t="inlineStr">
        <is>
          <t>Bergvik skog väst AB</t>
        </is>
      </c>
      <c r="G559" t="n">
        <v>5</v>
      </c>
      <c r="H559" t="n">
        <v>0</v>
      </c>
      <c r="I559" t="n">
        <v>0</v>
      </c>
      <c r="J559" t="n">
        <v>0</v>
      </c>
      <c r="K559" t="n">
        <v>0</v>
      </c>
      <c r="L559" t="n">
        <v>0</v>
      </c>
      <c r="M559" t="n">
        <v>0</v>
      </c>
      <c r="N559" t="n">
        <v>0</v>
      </c>
      <c r="O559" t="n">
        <v>0</v>
      </c>
      <c r="P559" t="n">
        <v>0</v>
      </c>
      <c r="Q559" t="n">
        <v>0</v>
      </c>
      <c r="R559" s="2" t="inlineStr"/>
    </row>
    <row r="560" ht="15" customHeight="1">
      <c r="A560" t="inlineStr">
        <is>
          <t>A 50774-2022</t>
        </is>
      </c>
      <c r="B560" s="1" t="n">
        <v>44867</v>
      </c>
      <c r="C560" s="1" t="n">
        <v>45338</v>
      </c>
      <c r="D560" t="inlineStr">
        <is>
          <t>DALARNAS LÄN</t>
        </is>
      </c>
      <c r="E560" t="inlineStr">
        <is>
          <t>ÄLVDALEN</t>
        </is>
      </c>
      <c r="G560" t="n">
        <v>1.6</v>
      </c>
      <c r="H560" t="n">
        <v>0</v>
      </c>
      <c r="I560" t="n">
        <v>0</v>
      </c>
      <c r="J560" t="n">
        <v>0</v>
      </c>
      <c r="K560" t="n">
        <v>0</v>
      </c>
      <c r="L560" t="n">
        <v>0</v>
      </c>
      <c r="M560" t="n">
        <v>0</v>
      </c>
      <c r="N560" t="n">
        <v>0</v>
      </c>
      <c r="O560" t="n">
        <v>0</v>
      </c>
      <c r="P560" t="n">
        <v>0</v>
      </c>
      <c r="Q560" t="n">
        <v>0</v>
      </c>
      <c r="R560" s="2" t="inlineStr"/>
    </row>
    <row r="561" ht="15" customHeight="1">
      <c r="A561" t="inlineStr">
        <is>
          <t>A 51259-2022</t>
        </is>
      </c>
      <c r="B561" s="1" t="n">
        <v>44868</v>
      </c>
      <c r="C561" s="1" t="n">
        <v>45338</v>
      </c>
      <c r="D561" t="inlineStr">
        <is>
          <t>DALARNAS LÄN</t>
        </is>
      </c>
      <c r="E561" t="inlineStr">
        <is>
          <t>ÄLVDALEN</t>
        </is>
      </c>
      <c r="F561" t="inlineStr">
        <is>
          <t>Övriga statliga verk och myndigheter</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51193-2022</t>
        </is>
      </c>
      <c r="B562" s="1" t="n">
        <v>44868</v>
      </c>
      <c r="C562" s="1" t="n">
        <v>45338</v>
      </c>
      <c r="D562" t="inlineStr">
        <is>
          <t>DALARNAS LÄN</t>
        </is>
      </c>
      <c r="E562" t="inlineStr">
        <is>
          <t>ÄLVDALEN</t>
        </is>
      </c>
      <c r="F562" t="inlineStr">
        <is>
          <t>Övriga Aktiebolag</t>
        </is>
      </c>
      <c r="G562" t="n">
        <v>17.7</v>
      </c>
      <c r="H562" t="n">
        <v>0</v>
      </c>
      <c r="I562" t="n">
        <v>0</v>
      </c>
      <c r="J562" t="n">
        <v>0</v>
      </c>
      <c r="K562" t="n">
        <v>0</v>
      </c>
      <c r="L562" t="n">
        <v>0</v>
      </c>
      <c r="M562" t="n">
        <v>0</v>
      </c>
      <c r="N562" t="n">
        <v>0</v>
      </c>
      <c r="O562" t="n">
        <v>0</v>
      </c>
      <c r="P562" t="n">
        <v>0</v>
      </c>
      <c r="Q562" t="n">
        <v>0</v>
      </c>
      <c r="R562" s="2" t="inlineStr"/>
    </row>
    <row r="563" ht="15" customHeight="1">
      <c r="A563" t="inlineStr">
        <is>
          <t>A 51484-2022</t>
        </is>
      </c>
      <c r="B563" s="1" t="n">
        <v>44869</v>
      </c>
      <c r="C563" s="1" t="n">
        <v>45338</v>
      </c>
      <c r="D563" t="inlineStr">
        <is>
          <t>DALARNAS LÄN</t>
        </is>
      </c>
      <c r="E563" t="inlineStr">
        <is>
          <t>ÄLVDALEN</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51504-2022</t>
        </is>
      </c>
      <c r="B564" s="1" t="n">
        <v>44869</v>
      </c>
      <c r="C564" s="1" t="n">
        <v>45338</v>
      </c>
      <c r="D564" t="inlineStr">
        <is>
          <t>DALARNAS LÄN</t>
        </is>
      </c>
      <c r="E564" t="inlineStr">
        <is>
          <t>ÄLVDALEN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51483-2022</t>
        </is>
      </c>
      <c r="B565" s="1" t="n">
        <v>44869</v>
      </c>
      <c r="C565" s="1" t="n">
        <v>45338</v>
      </c>
      <c r="D565" t="inlineStr">
        <is>
          <t>DALARNAS LÄN</t>
        </is>
      </c>
      <c r="E565" t="inlineStr">
        <is>
          <t>ÄLVDALEN</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52107-2022</t>
        </is>
      </c>
      <c r="B566" s="1" t="n">
        <v>44873</v>
      </c>
      <c r="C566" s="1" t="n">
        <v>45338</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52064-2022</t>
        </is>
      </c>
      <c r="B567" s="1" t="n">
        <v>44873</v>
      </c>
      <c r="C567" s="1" t="n">
        <v>45338</v>
      </c>
      <c r="D567" t="inlineStr">
        <is>
          <t>DALARNAS LÄN</t>
        </is>
      </c>
      <c r="E567" t="inlineStr">
        <is>
          <t>ÄLVDALEN</t>
        </is>
      </c>
      <c r="G567" t="n">
        <v>0.3</v>
      </c>
      <c r="H567" t="n">
        <v>0</v>
      </c>
      <c r="I567" t="n">
        <v>0</v>
      </c>
      <c r="J567" t="n">
        <v>0</v>
      </c>
      <c r="K567" t="n">
        <v>0</v>
      </c>
      <c r="L567" t="n">
        <v>0</v>
      </c>
      <c r="M567" t="n">
        <v>0</v>
      </c>
      <c r="N567" t="n">
        <v>0</v>
      </c>
      <c r="O567" t="n">
        <v>0</v>
      </c>
      <c r="P567" t="n">
        <v>0</v>
      </c>
      <c r="Q567" t="n">
        <v>0</v>
      </c>
      <c r="R567" s="2" t="inlineStr"/>
    </row>
    <row r="568" ht="15" customHeight="1">
      <c r="A568" t="inlineStr">
        <is>
          <t>A 52060-2022</t>
        </is>
      </c>
      <c r="B568" s="1" t="n">
        <v>44873</v>
      </c>
      <c r="C568" s="1" t="n">
        <v>45338</v>
      </c>
      <c r="D568" t="inlineStr">
        <is>
          <t>DALARNAS LÄN</t>
        </is>
      </c>
      <c r="E568" t="inlineStr">
        <is>
          <t>ÄLVDALEN</t>
        </is>
      </c>
      <c r="G568" t="n">
        <v>1</v>
      </c>
      <c r="H568" t="n">
        <v>0</v>
      </c>
      <c r="I568" t="n">
        <v>0</v>
      </c>
      <c r="J568" t="n">
        <v>0</v>
      </c>
      <c r="K568" t="n">
        <v>0</v>
      </c>
      <c r="L568" t="n">
        <v>0</v>
      </c>
      <c r="M568" t="n">
        <v>0</v>
      </c>
      <c r="N568" t="n">
        <v>0</v>
      </c>
      <c r="O568" t="n">
        <v>0</v>
      </c>
      <c r="P568" t="n">
        <v>0</v>
      </c>
      <c r="Q568" t="n">
        <v>0</v>
      </c>
      <c r="R568" s="2" t="inlineStr"/>
    </row>
    <row r="569" ht="15" customHeight="1">
      <c r="A569" t="inlineStr">
        <is>
          <t>A 52249-2022</t>
        </is>
      </c>
      <c r="B569" s="1" t="n">
        <v>44873</v>
      </c>
      <c r="C569" s="1" t="n">
        <v>45338</v>
      </c>
      <c r="D569" t="inlineStr">
        <is>
          <t>DALARNAS LÄN</t>
        </is>
      </c>
      <c r="E569" t="inlineStr">
        <is>
          <t>ÄLVDALEN</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52503-2022</t>
        </is>
      </c>
      <c r="B570" s="1" t="n">
        <v>44874</v>
      </c>
      <c r="C570" s="1" t="n">
        <v>45338</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52477-2022</t>
        </is>
      </c>
      <c r="B571" s="1" t="n">
        <v>44874</v>
      </c>
      <c r="C571" s="1" t="n">
        <v>45338</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52469-2022</t>
        </is>
      </c>
      <c r="B572" s="1" t="n">
        <v>44874</v>
      </c>
      <c r="C572" s="1" t="n">
        <v>45338</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52965-2022</t>
        </is>
      </c>
      <c r="B573" s="1" t="n">
        <v>44875</v>
      </c>
      <c r="C573" s="1" t="n">
        <v>45338</v>
      </c>
      <c r="D573" t="inlineStr">
        <is>
          <t>DALARNAS LÄN</t>
        </is>
      </c>
      <c r="E573" t="inlineStr">
        <is>
          <t>ÄLVDALEN</t>
        </is>
      </c>
      <c r="F573" t="inlineStr">
        <is>
          <t>Övriga statliga verk och myndigheter</t>
        </is>
      </c>
      <c r="G573" t="n">
        <v>8.4</v>
      </c>
      <c r="H573" t="n">
        <v>0</v>
      </c>
      <c r="I573" t="n">
        <v>0</v>
      </c>
      <c r="J573" t="n">
        <v>0</v>
      </c>
      <c r="K573" t="n">
        <v>0</v>
      </c>
      <c r="L573" t="n">
        <v>0</v>
      </c>
      <c r="M573" t="n">
        <v>0</v>
      </c>
      <c r="N573" t="n">
        <v>0</v>
      </c>
      <c r="O573" t="n">
        <v>0</v>
      </c>
      <c r="P573" t="n">
        <v>0</v>
      </c>
      <c r="Q573" t="n">
        <v>0</v>
      </c>
      <c r="R573" s="2" t="inlineStr"/>
    </row>
    <row r="574" ht="15" customHeight="1">
      <c r="A574" t="inlineStr">
        <is>
          <t>A 53345-2022</t>
        </is>
      </c>
      <c r="B574" s="1" t="n">
        <v>44879</v>
      </c>
      <c r="C574" s="1" t="n">
        <v>45338</v>
      </c>
      <c r="D574" t="inlineStr">
        <is>
          <t>DALARNAS LÄN</t>
        </is>
      </c>
      <c r="E574" t="inlineStr">
        <is>
          <t>ÄLVDALEN</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54407-2022</t>
        </is>
      </c>
      <c r="B575" s="1" t="n">
        <v>44882</v>
      </c>
      <c r="C575" s="1" t="n">
        <v>45338</v>
      </c>
      <c r="D575" t="inlineStr">
        <is>
          <t>DALARNAS LÄN</t>
        </is>
      </c>
      <c r="E575" t="inlineStr">
        <is>
          <t>ÄLVDALEN</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55015-2022</t>
        </is>
      </c>
      <c r="B576" s="1" t="n">
        <v>44886</v>
      </c>
      <c r="C576" s="1" t="n">
        <v>45338</v>
      </c>
      <c r="D576" t="inlineStr">
        <is>
          <t>DALARNAS LÄN</t>
        </is>
      </c>
      <c r="E576" t="inlineStr">
        <is>
          <t>ÄLVDALEN</t>
        </is>
      </c>
      <c r="F576" t="inlineStr">
        <is>
          <t>Bergvik skog öst AB</t>
        </is>
      </c>
      <c r="G576" t="n">
        <v>3.1</v>
      </c>
      <c r="H576" t="n">
        <v>0</v>
      </c>
      <c r="I576" t="n">
        <v>0</v>
      </c>
      <c r="J576" t="n">
        <v>0</v>
      </c>
      <c r="K576" t="n">
        <v>0</v>
      </c>
      <c r="L576" t="n">
        <v>0</v>
      </c>
      <c r="M576" t="n">
        <v>0</v>
      </c>
      <c r="N576" t="n">
        <v>0</v>
      </c>
      <c r="O576" t="n">
        <v>0</v>
      </c>
      <c r="P576" t="n">
        <v>0</v>
      </c>
      <c r="Q576" t="n">
        <v>0</v>
      </c>
      <c r="R576" s="2" t="inlineStr"/>
    </row>
    <row r="577" ht="15" customHeight="1">
      <c r="A577" t="inlineStr">
        <is>
          <t>A 56207-2022</t>
        </is>
      </c>
      <c r="B577" s="1" t="n">
        <v>44890</v>
      </c>
      <c r="C577" s="1" t="n">
        <v>45338</v>
      </c>
      <c r="D577" t="inlineStr">
        <is>
          <t>DALARNAS LÄN</t>
        </is>
      </c>
      <c r="E577" t="inlineStr">
        <is>
          <t>ÄLVDALEN</t>
        </is>
      </c>
      <c r="G577" t="n">
        <v>5.2</v>
      </c>
      <c r="H577" t="n">
        <v>0</v>
      </c>
      <c r="I577" t="n">
        <v>0</v>
      </c>
      <c r="J577" t="n">
        <v>0</v>
      </c>
      <c r="K577" t="n">
        <v>0</v>
      </c>
      <c r="L577" t="n">
        <v>0</v>
      </c>
      <c r="M577" t="n">
        <v>0</v>
      </c>
      <c r="N577" t="n">
        <v>0</v>
      </c>
      <c r="O577" t="n">
        <v>0</v>
      </c>
      <c r="P577" t="n">
        <v>0</v>
      </c>
      <c r="Q577" t="n">
        <v>0</v>
      </c>
      <c r="R577" s="2" t="inlineStr"/>
    </row>
    <row r="578" ht="15" customHeight="1">
      <c r="A578" t="inlineStr">
        <is>
          <t>A 56206-2022</t>
        </is>
      </c>
      <c r="B578" s="1" t="n">
        <v>44890</v>
      </c>
      <c r="C578" s="1" t="n">
        <v>45338</v>
      </c>
      <c r="D578" t="inlineStr">
        <is>
          <t>DALARNAS LÄN</t>
        </is>
      </c>
      <c r="E578" t="inlineStr">
        <is>
          <t>ÄLVDALEN</t>
        </is>
      </c>
      <c r="G578" t="n">
        <v>4.1</v>
      </c>
      <c r="H578" t="n">
        <v>0</v>
      </c>
      <c r="I578" t="n">
        <v>0</v>
      </c>
      <c r="J578" t="n">
        <v>0</v>
      </c>
      <c r="K578" t="n">
        <v>0</v>
      </c>
      <c r="L578" t="n">
        <v>0</v>
      </c>
      <c r="M578" t="n">
        <v>0</v>
      </c>
      <c r="N578" t="n">
        <v>0</v>
      </c>
      <c r="O578" t="n">
        <v>0</v>
      </c>
      <c r="P578" t="n">
        <v>0</v>
      </c>
      <c r="Q578" t="n">
        <v>0</v>
      </c>
      <c r="R578" s="2" t="inlineStr"/>
    </row>
    <row r="579" ht="15" customHeight="1">
      <c r="A579" t="inlineStr">
        <is>
          <t>A 56882-2022</t>
        </is>
      </c>
      <c r="B579" s="1" t="n">
        <v>44894</v>
      </c>
      <c r="C579" s="1" t="n">
        <v>45338</v>
      </c>
      <c r="D579" t="inlineStr">
        <is>
          <t>DALARNAS LÄN</t>
        </is>
      </c>
      <c r="E579" t="inlineStr">
        <is>
          <t>ÄLVDALEN</t>
        </is>
      </c>
      <c r="G579" t="n">
        <v>7.4</v>
      </c>
      <c r="H579" t="n">
        <v>0</v>
      </c>
      <c r="I579" t="n">
        <v>0</v>
      </c>
      <c r="J579" t="n">
        <v>0</v>
      </c>
      <c r="K579" t="n">
        <v>0</v>
      </c>
      <c r="L579" t="n">
        <v>0</v>
      </c>
      <c r="M579" t="n">
        <v>0</v>
      </c>
      <c r="N579" t="n">
        <v>0</v>
      </c>
      <c r="O579" t="n">
        <v>0</v>
      </c>
      <c r="P579" t="n">
        <v>0</v>
      </c>
      <c r="Q579" t="n">
        <v>0</v>
      </c>
      <c r="R579" s="2" t="inlineStr"/>
    </row>
    <row r="580" ht="15" customHeight="1">
      <c r="A580" t="inlineStr">
        <is>
          <t>A 57148-2022</t>
        </is>
      </c>
      <c r="B580" s="1" t="n">
        <v>44895</v>
      </c>
      <c r="C580" s="1" t="n">
        <v>45338</v>
      </c>
      <c r="D580" t="inlineStr">
        <is>
          <t>DALARNAS LÄN</t>
        </is>
      </c>
      <c r="E580" t="inlineStr">
        <is>
          <t>ÄLVDALEN</t>
        </is>
      </c>
      <c r="F580" t="inlineStr">
        <is>
          <t>Allmännings- och besparingsskogar</t>
        </is>
      </c>
      <c r="G580" t="n">
        <v>13.3</v>
      </c>
      <c r="H580" t="n">
        <v>0</v>
      </c>
      <c r="I580" t="n">
        <v>0</v>
      </c>
      <c r="J580" t="n">
        <v>0</v>
      </c>
      <c r="K580" t="n">
        <v>0</v>
      </c>
      <c r="L580" t="n">
        <v>0</v>
      </c>
      <c r="M580" t="n">
        <v>0</v>
      </c>
      <c r="N580" t="n">
        <v>0</v>
      </c>
      <c r="O580" t="n">
        <v>0</v>
      </c>
      <c r="P580" t="n">
        <v>0</v>
      </c>
      <c r="Q580" t="n">
        <v>0</v>
      </c>
      <c r="R580" s="2" t="inlineStr"/>
    </row>
    <row r="581" ht="15" customHeight="1">
      <c r="A581" t="inlineStr">
        <is>
          <t>A 58848-2022</t>
        </is>
      </c>
      <c r="B581" s="1" t="n">
        <v>44896</v>
      </c>
      <c r="C581" s="1" t="n">
        <v>45338</v>
      </c>
      <c r="D581" t="inlineStr">
        <is>
          <t>DALARNAS LÄN</t>
        </is>
      </c>
      <c r="E581" t="inlineStr">
        <is>
          <t>ÄLVDALEN</t>
        </is>
      </c>
      <c r="F581" t="inlineStr">
        <is>
          <t>Övriga statliga verk och myndigheter</t>
        </is>
      </c>
      <c r="G581" t="n">
        <v>18.1</v>
      </c>
      <c r="H581" t="n">
        <v>0</v>
      </c>
      <c r="I581" t="n">
        <v>0</v>
      </c>
      <c r="J581" t="n">
        <v>0</v>
      </c>
      <c r="K581" t="n">
        <v>0</v>
      </c>
      <c r="L581" t="n">
        <v>0</v>
      </c>
      <c r="M581" t="n">
        <v>0</v>
      </c>
      <c r="N581" t="n">
        <v>0</v>
      </c>
      <c r="O581" t="n">
        <v>0</v>
      </c>
      <c r="P581" t="n">
        <v>0</v>
      </c>
      <c r="Q581" t="n">
        <v>0</v>
      </c>
      <c r="R581" s="2" t="inlineStr"/>
    </row>
    <row r="582" ht="15" customHeight="1">
      <c r="A582" t="inlineStr">
        <is>
          <t>A 58355-2022</t>
        </is>
      </c>
      <c r="B582" s="1" t="n">
        <v>44901</v>
      </c>
      <c r="C582" s="1" t="n">
        <v>45338</v>
      </c>
      <c r="D582" t="inlineStr">
        <is>
          <t>DALARNAS LÄN</t>
        </is>
      </c>
      <c r="E582" t="inlineStr">
        <is>
          <t>ÄLVDALEN</t>
        </is>
      </c>
      <c r="F582" t="inlineStr">
        <is>
          <t>Allmännings- och besparingsskogar</t>
        </is>
      </c>
      <c r="G582" t="n">
        <v>23.8</v>
      </c>
      <c r="H582" t="n">
        <v>0</v>
      </c>
      <c r="I582" t="n">
        <v>0</v>
      </c>
      <c r="J582" t="n">
        <v>0</v>
      </c>
      <c r="K582" t="n">
        <v>0</v>
      </c>
      <c r="L582" t="n">
        <v>0</v>
      </c>
      <c r="M582" t="n">
        <v>0</v>
      </c>
      <c r="N582" t="n">
        <v>0</v>
      </c>
      <c r="O582" t="n">
        <v>0</v>
      </c>
      <c r="P582" t="n">
        <v>0</v>
      </c>
      <c r="Q582" t="n">
        <v>0</v>
      </c>
      <c r="R582" s="2" t="inlineStr"/>
    </row>
    <row r="583" ht="15" customHeight="1">
      <c r="A583" t="inlineStr">
        <is>
          <t>A 58569-2022</t>
        </is>
      </c>
      <c r="B583" s="1" t="n">
        <v>44902</v>
      </c>
      <c r="C583" s="1" t="n">
        <v>45338</v>
      </c>
      <c r="D583" t="inlineStr">
        <is>
          <t>DALARNAS LÄN</t>
        </is>
      </c>
      <c r="E583" t="inlineStr">
        <is>
          <t>ÄLVDALEN</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58904-2022</t>
        </is>
      </c>
      <c r="B584" s="1" t="n">
        <v>44903</v>
      </c>
      <c r="C584" s="1" t="n">
        <v>45338</v>
      </c>
      <c r="D584" t="inlineStr">
        <is>
          <t>DALARNAS LÄN</t>
        </is>
      </c>
      <c r="E584" t="inlineStr">
        <is>
          <t>ÄLVDALEN</t>
        </is>
      </c>
      <c r="F584" t="inlineStr">
        <is>
          <t>Allmännings- och besparingsskogar</t>
        </is>
      </c>
      <c r="G584" t="n">
        <v>2.2</v>
      </c>
      <c r="H584" t="n">
        <v>0</v>
      </c>
      <c r="I584" t="n">
        <v>0</v>
      </c>
      <c r="J584" t="n">
        <v>0</v>
      </c>
      <c r="K584" t="n">
        <v>0</v>
      </c>
      <c r="L584" t="n">
        <v>0</v>
      </c>
      <c r="M584" t="n">
        <v>0</v>
      </c>
      <c r="N584" t="n">
        <v>0</v>
      </c>
      <c r="O584" t="n">
        <v>0</v>
      </c>
      <c r="P584" t="n">
        <v>0</v>
      </c>
      <c r="Q584" t="n">
        <v>0</v>
      </c>
      <c r="R584" s="2" t="inlineStr"/>
    </row>
    <row r="585" ht="15" customHeight="1">
      <c r="A585" t="inlineStr">
        <is>
          <t>A 59108-2022</t>
        </is>
      </c>
      <c r="B585" s="1" t="n">
        <v>44904</v>
      </c>
      <c r="C585" s="1" t="n">
        <v>45338</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59207-2022</t>
        </is>
      </c>
      <c r="B586" s="1" t="n">
        <v>44904</v>
      </c>
      <c r="C586" s="1" t="n">
        <v>45338</v>
      </c>
      <c r="D586" t="inlineStr">
        <is>
          <t>DALARNAS LÄN</t>
        </is>
      </c>
      <c r="E586" t="inlineStr">
        <is>
          <t>ÄLVDALEN</t>
        </is>
      </c>
      <c r="G586" t="n">
        <v>4.7</v>
      </c>
      <c r="H586" t="n">
        <v>0</v>
      </c>
      <c r="I586" t="n">
        <v>0</v>
      </c>
      <c r="J586" t="n">
        <v>0</v>
      </c>
      <c r="K586" t="n">
        <v>0</v>
      </c>
      <c r="L586" t="n">
        <v>0</v>
      </c>
      <c r="M586" t="n">
        <v>0</v>
      </c>
      <c r="N586" t="n">
        <v>0</v>
      </c>
      <c r="O586" t="n">
        <v>0</v>
      </c>
      <c r="P586" t="n">
        <v>0</v>
      </c>
      <c r="Q586" t="n">
        <v>0</v>
      </c>
      <c r="R586" s="2" t="inlineStr"/>
    </row>
    <row r="587" ht="15" customHeight="1">
      <c r="A587" t="inlineStr">
        <is>
          <t>A 59209-2022</t>
        </is>
      </c>
      <c r="B587" s="1" t="n">
        <v>44904</v>
      </c>
      <c r="C587" s="1" t="n">
        <v>45338</v>
      </c>
      <c r="D587" t="inlineStr">
        <is>
          <t>DALARNAS LÄN</t>
        </is>
      </c>
      <c r="E587" t="inlineStr">
        <is>
          <t>ÄLVDALEN</t>
        </is>
      </c>
      <c r="G587" t="n">
        <v>2.6</v>
      </c>
      <c r="H587" t="n">
        <v>0</v>
      </c>
      <c r="I587" t="n">
        <v>0</v>
      </c>
      <c r="J587" t="n">
        <v>0</v>
      </c>
      <c r="K587" t="n">
        <v>0</v>
      </c>
      <c r="L587" t="n">
        <v>0</v>
      </c>
      <c r="M587" t="n">
        <v>0</v>
      </c>
      <c r="N587" t="n">
        <v>0</v>
      </c>
      <c r="O587" t="n">
        <v>0</v>
      </c>
      <c r="P587" t="n">
        <v>0</v>
      </c>
      <c r="Q587" t="n">
        <v>0</v>
      </c>
      <c r="R587" s="2" t="inlineStr"/>
    </row>
    <row r="588" ht="15" customHeight="1">
      <c r="A588" t="inlineStr">
        <is>
          <t>A 59464-2022</t>
        </is>
      </c>
      <c r="B588" s="1" t="n">
        <v>44907</v>
      </c>
      <c r="C588" s="1" t="n">
        <v>45338</v>
      </c>
      <c r="D588" t="inlineStr">
        <is>
          <t>DALARNAS LÄN</t>
        </is>
      </c>
      <c r="E588" t="inlineStr">
        <is>
          <t>ÄLVDALEN</t>
        </is>
      </c>
      <c r="F588" t="inlineStr">
        <is>
          <t>Allmännings- och besparingsskogar</t>
        </is>
      </c>
      <c r="G588" t="n">
        <v>29.7</v>
      </c>
      <c r="H588" t="n">
        <v>0</v>
      </c>
      <c r="I588" t="n">
        <v>0</v>
      </c>
      <c r="J588" t="n">
        <v>0</v>
      </c>
      <c r="K588" t="n">
        <v>0</v>
      </c>
      <c r="L588" t="n">
        <v>0</v>
      </c>
      <c r="M588" t="n">
        <v>0</v>
      </c>
      <c r="N588" t="n">
        <v>0</v>
      </c>
      <c r="O588" t="n">
        <v>0</v>
      </c>
      <c r="P588" t="n">
        <v>0</v>
      </c>
      <c r="Q588" t="n">
        <v>0</v>
      </c>
      <c r="R588" s="2" t="inlineStr"/>
    </row>
    <row r="589" ht="15" customHeight="1">
      <c r="A589" t="inlineStr">
        <is>
          <t>A 61450-2022</t>
        </is>
      </c>
      <c r="B589" s="1" t="n">
        <v>44910</v>
      </c>
      <c r="C589" s="1" t="n">
        <v>45338</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61466-2022</t>
        </is>
      </c>
      <c r="B590" s="1" t="n">
        <v>44910</v>
      </c>
      <c r="C590" s="1" t="n">
        <v>45338</v>
      </c>
      <c r="D590" t="inlineStr">
        <is>
          <t>DALARNAS LÄN</t>
        </is>
      </c>
      <c r="E590" t="inlineStr">
        <is>
          <t>ÄLVDALEN</t>
        </is>
      </c>
      <c r="G590" t="n">
        <v>0.8</v>
      </c>
      <c r="H590" t="n">
        <v>0</v>
      </c>
      <c r="I590" t="n">
        <v>0</v>
      </c>
      <c r="J590" t="n">
        <v>0</v>
      </c>
      <c r="K590" t="n">
        <v>0</v>
      </c>
      <c r="L590" t="n">
        <v>0</v>
      </c>
      <c r="M590" t="n">
        <v>0</v>
      </c>
      <c r="N590" t="n">
        <v>0</v>
      </c>
      <c r="O590" t="n">
        <v>0</v>
      </c>
      <c r="P590" t="n">
        <v>0</v>
      </c>
      <c r="Q590" t="n">
        <v>0</v>
      </c>
      <c r="R590" s="2" t="inlineStr"/>
    </row>
    <row r="591" ht="15" customHeight="1">
      <c r="A591" t="inlineStr">
        <is>
          <t>A 60447-2022</t>
        </is>
      </c>
      <c r="B591" s="1" t="n">
        <v>44911</v>
      </c>
      <c r="C591" s="1" t="n">
        <v>45338</v>
      </c>
      <c r="D591" t="inlineStr">
        <is>
          <t>DALARNAS LÄN</t>
        </is>
      </c>
      <c r="E591" t="inlineStr">
        <is>
          <t>ÄLVDALEN</t>
        </is>
      </c>
      <c r="F591" t="inlineStr">
        <is>
          <t>Allmännings- och besparingsskogar</t>
        </is>
      </c>
      <c r="G591" t="n">
        <v>11.4</v>
      </c>
      <c r="H591" t="n">
        <v>0</v>
      </c>
      <c r="I591" t="n">
        <v>0</v>
      </c>
      <c r="J591" t="n">
        <v>0</v>
      </c>
      <c r="K591" t="n">
        <v>0</v>
      </c>
      <c r="L591" t="n">
        <v>0</v>
      </c>
      <c r="M591" t="n">
        <v>0</v>
      </c>
      <c r="N591" t="n">
        <v>0</v>
      </c>
      <c r="O591" t="n">
        <v>0</v>
      </c>
      <c r="P591" t="n">
        <v>0</v>
      </c>
      <c r="Q591" t="n">
        <v>0</v>
      </c>
      <c r="R591" s="2" t="inlineStr"/>
    </row>
    <row r="592" ht="15" customHeight="1">
      <c r="A592" t="inlineStr">
        <is>
          <t>A 60793-2022</t>
        </is>
      </c>
      <c r="B592" s="1" t="n">
        <v>44911</v>
      </c>
      <c r="C592" s="1" t="n">
        <v>45338</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61264-2022</t>
        </is>
      </c>
      <c r="B593" s="1" t="n">
        <v>44915</v>
      </c>
      <c r="C593" s="1" t="n">
        <v>45338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62315-2022</t>
        </is>
      </c>
      <c r="B594" s="1" t="n">
        <v>44916</v>
      </c>
      <c r="C594" s="1" t="n">
        <v>45338</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62314-2022</t>
        </is>
      </c>
      <c r="B595" s="1" t="n">
        <v>44916</v>
      </c>
      <c r="C595" s="1" t="n">
        <v>45338</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61888-2022</t>
        </is>
      </c>
      <c r="B596" s="1" t="n">
        <v>44917</v>
      </c>
      <c r="C596" s="1" t="n">
        <v>45338</v>
      </c>
      <c r="D596" t="inlineStr">
        <is>
          <t>DALARNAS LÄN</t>
        </is>
      </c>
      <c r="E596" t="inlineStr">
        <is>
          <t>ÄLVDALEN</t>
        </is>
      </c>
      <c r="F596" t="inlineStr">
        <is>
          <t>Allmännings- och besparingsskogar</t>
        </is>
      </c>
      <c r="G596" t="n">
        <v>17.7</v>
      </c>
      <c r="H596" t="n">
        <v>0</v>
      </c>
      <c r="I596" t="n">
        <v>0</v>
      </c>
      <c r="J596" t="n">
        <v>0</v>
      </c>
      <c r="K596" t="n">
        <v>0</v>
      </c>
      <c r="L596" t="n">
        <v>0</v>
      </c>
      <c r="M596" t="n">
        <v>0</v>
      </c>
      <c r="N596" t="n">
        <v>0</v>
      </c>
      <c r="O596" t="n">
        <v>0</v>
      </c>
      <c r="P596" t="n">
        <v>0</v>
      </c>
      <c r="Q596" t="n">
        <v>0</v>
      </c>
      <c r="R596" s="2" t="inlineStr"/>
    </row>
    <row r="597" ht="15" customHeight="1">
      <c r="A597" t="inlineStr">
        <is>
          <t>A 62355-2022</t>
        </is>
      </c>
      <c r="B597" s="1" t="n">
        <v>44923</v>
      </c>
      <c r="C597" s="1" t="n">
        <v>45338</v>
      </c>
      <c r="D597" t="inlineStr">
        <is>
          <t>DALARNAS LÄN</t>
        </is>
      </c>
      <c r="E597" t="inlineStr">
        <is>
          <t>ÄLVDALEN</t>
        </is>
      </c>
      <c r="G597" t="n">
        <v>4.3</v>
      </c>
      <c r="H597" t="n">
        <v>0</v>
      </c>
      <c r="I597" t="n">
        <v>0</v>
      </c>
      <c r="J597" t="n">
        <v>0</v>
      </c>
      <c r="K597" t="n">
        <v>0</v>
      </c>
      <c r="L597" t="n">
        <v>0</v>
      </c>
      <c r="M597" t="n">
        <v>0</v>
      </c>
      <c r="N597" t="n">
        <v>0</v>
      </c>
      <c r="O597" t="n">
        <v>0</v>
      </c>
      <c r="P597" t="n">
        <v>0</v>
      </c>
      <c r="Q597" t="n">
        <v>0</v>
      </c>
      <c r="R597" s="2" t="inlineStr"/>
    </row>
    <row r="598" ht="15" customHeight="1">
      <c r="A598" t="inlineStr">
        <is>
          <t>A 431-2023</t>
        </is>
      </c>
      <c r="B598" s="1" t="n">
        <v>44923</v>
      </c>
      <c r="C598" s="1" t="n">
        <v>45338</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62512-2022</t>
        </is>
      </c>
      <c r="B599" s="1" t="n">
        <v>44924</v>
      </c>
      <c r="C599" s="1" t="n">
        <v>45338</v>
      </c>
      <c r="D599" t="inlineStr">
        <is>
          <t>DALARNAS LÄN</t>
        </is>
      </c>
      <c r="E599" t="inlineStr">
        <is>
          <t>ÄLVDALEN</t>
        </is>
      </c>
      <c r="F599" t="inlineStr">
        <is>
          <t>Övriga statliga verk och myndigheter</t>
        </is>
      </c>
      <c r="G599" t="n">
        <v>15.1</v>
      </c>
      <c r="H599" t="n">
        <v>0</v>
      </c>
      <c r="I599" t="n">
        <v>0</v>
      </c>
      <c r="J599" t="n">
        <v>0</v>
      </c>
      <c r="K599" t="n">
        <v>0</v>
      </c>
      <c r="L599" t="n">
        <v>0</v>
      </c>
      <c r="M599" t="n">
        <v>0</v>
      </c>
      <c r="N599" t="n">
        <v>0</v>
      </c>
      <c r="O599" t="n">
        <v>0</v>
      </c>
      <c r="P599" t="n">
        <v>0</v>
      </c>
      <c r="Q599" t="n">
        <v>0</v>
      </c>
      <c r="R599" s="2" t="inlineStr"/>
    </row>
    <row r="600" ht="15" customHeight="1">
      <c r="A600" t="inlineStr">
        <is>
          <t>A 416-2023</t>
        </is>
      </c>
      <c r="B600" s="1" t="n">
        <v>44929</v>
      </c>
      <c r="C600" s="1" t="n">
        <v>45338</v>
      </c>
      <c r="D600" t="inlineStr">
        <is>
          <t>DALARNAS LÄN</t>
        </is>
      </c>
      <c r="E600" t="inlineStr">
        <is>
          <t>ÄLVDALEN</t>
        </is>
      </c>
      <c r="F600" t="inlineStr">
        <is>
          <t>Allmännings- och besparingsskogar</t>
        </is>
      </c>
      <c r="G600" t="n">
        <v>1.1</v>
      </c>
      <c r="H600" t="n">
        <v>0</v>
      </c>
      <c r="I600" t="n">
        <v>0</v>
      </c>
      <c r="J600" t="n">
        <v>0</v>
      </c>
      <c r="K600" t="n">
        <v>0</v>
      </c>
      <c r="L600" t="n">
        <v>0</v>
      </c>
      <c r="M600" t="n">
        <v>0</v>
      </c>
      <c r="N600" t="n">
        <v>0</v>
      </c>
      <c r="O600" t="n">
        <v>0</v>
      </c>
      <c r="P600" t="n">
        <v>0</v>
      </c>
      <c r="Q600" t="n">
        <v>0</v>
      </c>
      <c r="R600" s="2" t="inlineStr"/>
    </row>
    <row r="601" ht="15" customHeight="1">
      <c r="A601" t="inlineStr">
        <is>
          <t>A 642-2023</t>
        </is>
      </c>
      <c r="B601" s="1" t="n">
        <v>44930</v>
      </c>
      <c r="C601" s="1" t="n">
        <v>45338</v>
      </c>
      <c r="D601" t="inlineStr">
        <is>
          <t>DALARNAS LÄN</t>
        </is>
      </c>
      <c r="E601" t="inlineStr">
        <is>
          <t>ÄLVDALEN</t>
        </is>
      </c>
      <c r="F601" t="inlineStr">
        <is>
          <t>Allmännings- och besparingsskogar</t>
        </is>
      </c>
      <c r="G601" t="n">
        <v>0.9</v>
      </c>
      <c r="H601" t="n">
        <v>0</v>
      </c>
      <c r="I601" t="n">
        <v>0</v>
      </c>
      <c r="J601" t="n">
        <v>0</v>
      </c>
      <c r="K601" t="n">
        <v>0</v>
      </c>
      <c r="L601" t="n">
        <v>0</v>
      </c>
      <c r="M601" t="n">
        <v>0</v>
      </c>
      <c r="N601" t="n">
        <v>0</v>
      </c>
      <c r="O601" t="n">
        <v>0</v>
      </c>
      <c r="P601" t="n">
        <v>0</v>
      </c>
      <c r="Q601" t="n">
        <v>0</v>
      </c>
      <c r="R601" s="2" t="inlineStr"/>
    </row>
    <row r="602" ht="15" customHeight="1">
      <c r="A602" t="inlineStr">
        <is>
          <t>A 558-2023</t>
        </is>
      </c>
      <c r="B602" s="1" t="n">
        <v>44930</v>
      </c>
      <c r="C602" s="1" t="n">
        <v>45338</v>
      </c>
      <c r="D602" t="inlineStr">
        <is>
          <t>DALARNAS LÄN</t>
        </is>
      </c>
      <c r="E602" t="inlineStr">
        <is>
          <t>ÄLVDALEN</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621-2023</t>
        </is>
      </c>
      <c r="B603" s="1" t="n">
        <v>44930</v>
      </c>
      <c r="C603" s="1" t="n">
        <v>45338</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786-2023</t>
        </is>
      </c>
      <c r="B604" s="1" t="n">
        <v>44931</v>
      </c>
      <c r="C604" s="1" t="n">
        <v>45338</v>
      </c>
      <c r="D604" t="inlineStr">
        <is>
          <t>DALARNAS LÄN</t>
        </is>
      </c>
      <c r="E604" t="inlineStr">
        <is>
          <t>ÄLVDALEN</t>
        </is>
      </c>
      <c r="F604" t="inlineStr">
        <is>
          <t>Allmännings- och besparingsskogar</t>
        </is>
      </c>
      <c r="G604" t="n">
        <v>5.3</v>
      </c>
      <c r="H604" t="n">
        <v>0</v>
      </c>
      <c r="I604" t="n">
        <v>0</v>
      </c>
      <c r="J604" t="n">
        <v>0</v>
      </c>
      <c r="K604" t="n">
        <v>0</v>
      </c>
      <c r="L604" t="n">
        <v>0</v>
      </c>
      <c r="M604" t="n">
        <v>0</v>
      </c>
      <c r="N604" t="n">
        <v>0</v>
      </c>
      <c r="O604" t="n">
        <v>0</v>
      </c>
      <c r="P604" t="n">
        <v>0</v>
      </c>
      <c r="Q604" t="n">
        <v>0</v>
      </c>
      <c r="R604" s="2" t="inlineStr"/>
    </row>
    <row r="605" ht="15" customHeight="1">
      <c r="A605" t="inlineStr">
        <is>
          <t>A 785-2023</t>
        </is>
      </c>
      <c r="B605" s="1" t="n">
        <v>44931</v>
      </c>
      <c r="C605" s="1" t="n">
        <v>45338</v>
      </c>
      <c r="D605" t="inlineStr">
        <is>
          <t>DALARNAS LÄN</t>
        </is>
      </c>
      <c r="E605" t="inlineStr">
        <is>
          <t>ÄLVDALEN</t>
        </is>
      </c>
      <c r="G605" t="n">
        <v>9.1</v>
      </c>
      <c r="H605" t="n">
        <v>0</v>
      </c>
      <c r="I605" t="n">
        <v>0</v>
      </c>
      <c r="J605" t="n">
        <v>0</v>
      </c>
      <c r="K605" t="n">
        <v>0</v>
      </c>
      <c r="L605" t="n">
        <v>0</v>
      </c>
      <c r="M605" t="n">
        <v>0</v>
      </c>
      <c r="N605" t="n">
        <v>0</v>
      </c>
      <c r="O605" t="n">
        <v>0</v>
      </c>
      <c r="P605" t="n">
        <v>0</v>
      </c>
      <c r="Q605" t="n">
        <v>0</v>
      </c>
      <c r="R605" s="2" t="inlineStr"/>
    </row>
    <row r="606" ht="15" customHeight="1">
      <c r="A606" t="inlineStr">
        <is>
          <t>A 1523-2023</t>
        </is>
      </c>
      <c r="B606" s="1" t="n">
        <v>44937</v>
      </c>
      <c r="C606" s="1" t="n">
        <v>45338</v>
      </c>
      <c r="D606" t="inlineStr">
        <is>
          <t>DALARNAS LÄN</t>
        </is>
      </c>
      <c r="E606" t="inlineStr">
        <is>
          <t>ÄLVDALEN</t>
        </is>
      </c>
      <c r="F606" t="inlineStr">
        <is>
          <t>Allmännings- och besparingsskogar</t>
        </is>
      </c>
      <c r="G606" t="n">
        <v>32.9</v>
      </c>
      <c r="H606" t="n">
        <v>0</v>
      </c>
      <c r="I606" t="n">
        <v>0</v>
      </c>
      <c r="J606" t="n">
        <v>0</v>
      </c>
      <c r="K606" t="n">
        <v>0</v>
      </c>
      <c r="L606" t="n">
        <v>0</v>
      </c>
      <c r="M606" t="n">
        <v>0</v>
      </c>
      <c r="N606" t="n">
        <v>0</v>
      </c>
      <c r="O606" t="n">
        <v>0</v>
      </c>
      <c r="P606" t="n">
        <v>0</v>
      </c>
      <c r="Q606" t="n">
        <v>0</v>
      </c>
      <c r="R606" s="2" t="inlineStr"/>
    </row>
    <row r="607" ht="15" customHeight="1">
      <c r="A607" t="inlineStr">
        <is>
          <t>A 2306-2023</t>
        </is>
      </c>
      <c r="B607" s="1" t="n">
        <v>44942</v>
      </c>
      <c r="C607" s="1" t="n">
        <v>45338</v>
      </c>
      <c r="D607" t="inlineStr">
        <is>
          <t>DALARNAS LÄN</t>
        </is>
      </c>
      <c r="E607" t="inlineStr">
        <is>
          <t>ÄLVDALEN</t>
        </is>
      </c>
      <c r="G607" t="n">
        <v>9.4</v>
      </c>
      <c r="H607" t="n">
        <v>0</v>
      </c>
      <c r="I607" t="n">
        <v>0</v>
      </c>
      <c r="J607" t="n">
        <v>0</v>
      </c>
      <c r="K607" t="n">
        <v>0</v>
      </c>
      <c r="L607" t="n">
        <v>0</v>
      </c>
      <c r="M607" t="n">
        <v>0</v>
      </c>
      <c r="N607" t="n">
        <v>0</v>
      </c>
      <c r="O607" t="n">
        <v>0</v>
      </c>
      <c r="P607" t="n">
        <v>0</v>
      </c>
      <c r="Q607" t="n">
        <v>0</v>
      </c>
      <c r="R607" s="2" t="inlineStr"/>
    </row>
    <row r="608" ht="15" customHeight="1">
      <c r="A608" t="inlineStr">
        <is>
          <t>A 2311-2023</t>
        </is>
      </c>
      <c r="B608" s="1" t="n">
        <v>44942</v>
      </c>
      <c r="C608" s="1" t="n">
        <v>45338</v>
      </c>
      <c r="D608" t="inlineStr">
        <is>
          <t>DALARNAS LÄN</t>
        </is>
      </c>
      <c r="E608" t="inlineStr">
        <is>
          <t>ÄLVDALEN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3937-2023</t>
        </is>
      </c>
      <c r="B609" s="1" t="n">
        <v>44952</v>
      </c>
      <c r="C609" s="1" t="n">
        <v>45338</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4190-2023</t>
        </is>
      </c>
      <c r="B610" s="1" t="n">
        <v>44953</v>
      </c>
      <c r="C610" s="1" t="n">
        <v>45338</v>
      </c>
      <c r="D610" t="inlineStr">
        <is>
          <t>DALARNAS LÄN</t>
        </is>
      </c>
      <c r="E610" t="inlineStr">
        <is>
          <t>ÄLVDALEN</t>
        </is>
      </c>
      <c r="G610" t="n">
        <v>2.9</v>
      </c>
      <c r="H610" t="n">
        <v>0</v>
      </c>
      <c r="I610" t="n">
        <v>0</v>
      </c>
      <c r="J610" t="n">
        <v>0</v>
      </c>
      <c r="K610" t="n">
        <v>0</v>
      </c>
      <c r="L610" t="n">
        <v>0</v>
      </c>
      <c r="M610" t="n">
        <v>0</v>
      </c>
      <c r="N610" t="n">
        <v>0</v>
      </c>
      <c r="O610" t="n">
        <v>0</v>
      </c>
      <c r="P610" t="n">
        <v>0</v>
      </c>
      <c r="Q610" t="n">
        <v>0</v>
      </c>
      <c r="R610" s="2" t="inlineStr"/>
    </row>
    <row r="611" ht="15" customHeight="1">
      <c r="A611" t="inlineStr">
        <is>
          <t>A 4674-2023</t>
        </is>
      </c>
      <c r="B611" s="1" t="n">
        <v>44957</v>
      </c>
      <c r="C611" s="1" t="n">
        <v>45338</v>
      </c>
      <c r="D611" t="inlineStr">
        <is>
          <t>DALARNAS LÄN</t>
        </is>
      </c>
      <c r="E611" t="inlineStr">
        <is>
          <t>ÄLVDALEN</t>
        </is>
      </c>
      <c r="G611" t="n">
        <v>1.3</v>
      </c>
      <c r="H611" t="n">
        <v>0</v>
      </c>
      <c r="I611" t="n">
        <v>0</v>
      </c>
      <c r="J611" t="n">
        <v>0</v>
      </c>
      <c r="K611" t="n">
        <v>0</v>
      </c>
      <c r="L611" t="n">
        <v>0</v>
      </c>
      <c r="M611" t="n">
        <v>0</v>
      </c>
      <c r="N611" t="n">
        <v>0</v>
      </c>
      <c r="O611" t="n">
        <v>0</v>
      </c>
      <c r="P611" t="n">
        <v>0</v>
      </c>
      <c r="Q611" t="n">
        <v>0</v>
      </c>
      <c r="R611" s="2" t="inlineStr"/>
    </row>
    <row r="612" ht="15" customHeight="1">
      <c r="A612" t="inlineStr">
        <is>
          <t>A 5476-2023</t>
        </is>
      </c>
      <c r="B612" s="1" t="n">
        <v>44960</v>
      </c>
      <c r="C612" s="1" t="n">
        <v>45338</v>
      </c>
      <c r="D612" t="inlineStr">
        <is>
          <t>DALARNAS LÄN</t>
        </is>
      </c>
      <c r="E612" t="inlineStr">
        <is>
          <t>ÄLVDALEN</t>
        </is>
      </c>
      <c r="F612" t="inlineStr">
        <is>
          <t>Allmännings- och besparingsskogar</t>
        </is>
      </c>
      <c r="G612" t="n">
        <v>2.2</v>
      </c>
      <c r="H612" t="n">
        <v>0</v>
      </c>
      <c r="I612" t="n">
        <v>0</v>
      </c>
      <c r="J612" t="n">
        <v>0</v>
      </c>
      <c r="K612" t="n">
        <v>0</v>
      </c>
      <c r="L612" t="n">
        <v>0</v>
      </c>
      <c r="M612" t="n">
        <v>0</v>
      </c>
      <c r="N612" t="n">
        <v>0</v>
      </c>
      <c r="O612" t="n">
        <v>0</v>
      </c>
      <c r="P612" t="n">
        <v>0</v>
      </c>
      <c r="Q612" t="n">
        <v>0</v>
      </c>
      <c r="R612" s="2" t="inlineStr"/>
    </row>
    <row r="613" ht="15" customHeight="1">
      <c r="A613" t="inlineStr">
        <is>
          <t>A 5826-2023</t>
        </is>
      </c>
      <c r="B613" s="1" t="n">
        <v>44963</v>
      </c>
      <c r="C613" s="1" t="n">
        <v>45338</v>
      </c>
      <c r="D613" t="inlineStr">
        <is>
          <t>DALARNAS LÄN</t>
        </is>
      </c>
      <c r="E613" t="inlineStr">
        <is>
          <t>ÄLVDALEN</t>
        </is>
      </c>
      <c r="G613" t="n">
        <v>1.7</v>
      </c>
      <c r="H613" t="n">
        <v>0</v>
      </c>
      <c r="I613" t="n">
        <v>0</v>
      </c>
      <c r="J613" t="n">
        <v>0</v>
      </c>
      <c r="K613" t="n">
        <v>0</v>
      </c>
      <c r="L613" t="n">
        <v>0</v>
      </c>
      <c r="M613" t="n">
        <v>0</v>
      </c>
      <c r="N613" t="n">
        <v>0</v>
      </c>
      <c r="O613" t="n">
        <v>0</v>
      </c>
      <c r="P613" t="n">
        <v>0</v>
      </c>
      <c r="Q613" t="n">
        <v>0</v>
      </c>
      <c r="R613" s="2" t="inlineStr"/>
    </row>
    <row r="614" ht="15" customHeight="1">
      <c r="A614" t="inlineStr">
        <is>
          <t>A 6072-2023</t>
        </is>
      </c>
      <c r="B614" s="1" t="n">
        <v>44964</v>
      </c>
      <c r="C614" s="1" t="n">
        <v>45338</v>
      </c>
      <c r="D614" t="inlineStr">
        <is>
          <t>DALARNAS LÄN</t>
        </is>
      </c>
      <c r="E614" t="inlineStr">
        <is>
          <t>ÄLVDALEN</t>
        </is>
      </c>
      <c r="G614" t="n">
        <v>1.1</v>
      </c>
      <c r="H614" t="n">
        <v>0</v>
      </c>
      <c r="I614" t="n">
        <v>0</v>
      </c>
      <c r="J614" t="n">
        <v>0</v>
      </c>
      <c r="K614" t="n">
        <v>0</v>
      </c>
      <c r="L614" t="n">
        <v>0</v>
      </c>
      <c r="M614" t="n">
        <v>0</v>
      </c>
      <c r="N614" t="n">
        <v>0</v>
      </c>
      <c r="O614" t="n">
        <v>0</v>
      </c>
      <c r="P614" t="n">
        <v>0</v>
      </c>
      <c r="Q614" t="n">
        <v>0</v>
      </c>
      <c r="R614" s="2" t="inlineStr"/>
    </row>
    <row r="615" ht="15" customHeight="1">
      <c r="A615" t="inlineStr">
        <is>
          <t>A 7836-2023</t>
        </is>
      </c>
      <c r="B615" s="1" t="n">
        <v>44973</v>
      </c>
      <c r="C615" s="1" t="n">
        <v>45338</v>
      </c>
      <c r="D615" t="inlineStr">
        <is>
          <t>DALARNAS LÄN</t>
        </is>
      </c>
      <c r="E615" t="inlineStr">
        <is>
          <t>ÄLVDALEN</t>
        </is>
      </c>
      <c r="G615" t="n">
        <v>6.1</v>
      </c>
      <c r="H615" t="n">
        <v>0</v>
      </c>
      <c r="I615" t="n">
        <v>0</v>
      </c>
      <c r="J615" t="n">
        <v>0</v>
      </c>
      <c r="K615" t="n">
        <v>0</v>
      </c>
      <c r="L615" t="n">
        <v>0</v>
      </c>
      <c r="M615" t="n">
        <v>0</v>
      </c>
      <c r="N615" t="n">
        <v>0</v>
      </c>
      <c r="O615" t="n">
        <v>0</v>
      </c>
      <c r="P615" t="n">
        <v>0</v>
      </c>
      <c r="Q615" t="n">
        <v>0</v>
      </c>
      <c r="R615" s="2" t="inlineStr"/>
    </row>
    <row r="616" ht="15" customHeight="1">
      <c r="A616" t="inlineStr">
        <is>
          <t>A 9801-2023</t>
        </is>
      </c>
      <c r="B616" s="1" t="n">
        <v>44978</v>
      </c>
      <c r="C616" s="1" t="n">
        <v>45338</v>
      </c>
      <c r="D616" t="inlineStr">
        <is>
          <t>DALARNAS LÄN</t>
        </is>
      </c>
      <c r="E616" t="inlineStr">
        <is>
          <t>ÄLVDALEN</t>
        </is>
      </c>
      <c r="G616" t="n">
        <v>7</v>
      </c>
      <c r="H616" t="n">
        <v>0</v>
      </c>
      <c r="I616" t="n">
        <v>0</v>
      </c>
      <c r="J616" t="n">
        <v>0</v>
      </c>
      <c r="K616" t="n">
        <v>0</v>
      </c>
      <c r="L616" t="n">
        <v>0</v>
      </c>
      <c r="M616" t="n">
        <v>0</v>
      </c>
      <c r="N616" t="n">
        <v>0</v>
      </c>
      <c r="O616" t="n">
        <v>0</v>
      </c>
      <c r="P616" t="n">
        <v>0</v>
      </c>
      <c r="Q616" t="n">
        <v>0</v>
      </c>
      <c r="R616" s="2" t="inlineStr"/>
    </row>
    <row r="617" ht="15" customHeight="1">
      <c r="A617" t="inlineStr">
        <is>
          <t>A 9719-2023</t>
        </is>
      </c>
      <c r="B617" s="1" t="n">
        <v>44978</v>
      </c>
      <c r="C617" s="1" t="n">
        <v>45338</v>
      </c>
      <c r="D617" t="inlineStr">
        <is>
          <t>DALARNAS LÄN</t>
        </is>
      </c>
      <c r="E617" t="inlineStr">
        <is>
          <t>ÄLVDALEN</t>
        </is>
      </c>
      <c r="G617" t="n">
        <v>20.2</v>
      </c>
      <c r="H617" t="n">
        <v>0</v>
      </c>
      <c r="I617" t="n">
        <v>0</v>
      </c>
      <c r="J617" t="n">
        <v>0</v>
      </c>
      <c r="K617" t="n">
        <v>0</v>
      </c>
      <c r="L617" t="n">
        <v>0</v>
      </c>
      <c r="M617" t="n">
        <v>0</v>
      </c>
      <c r="N617" t="n">
        <v>0</v>
      </c>
      <c r="O617" t="n">
        <v>0</v>
      </c>
      <c r="P617" t="n">
        <v>0</v>
      </c>
      <c r="Q617" t="n">
        <v>0</v>
      </c>
      <c r="R617" s="2" t="inlineStr"/>
    </row>
    <row r="618" ht="15" customHeight="1">
      <c r="A618" t="inlineStr">
        <is>
          <t>A 13124-2023</t>
        </is>
      </c>
      <c r="B618" s="1" t="n">
        <v>45002</v>
      </c>
      <c r="C618" s="1" t="n">
        <v>45338</v>
      </c>
      <c r="D618" t="inlineStr">
        <is>
          <t>DALARNAS LÄN</t>
        </is>
      </c>
      <c r="E618" t="inlineStr">
        <is>
          <t>ÄLVDALEN</t>
        </is>
      </c>
      <c r="G618" t="n">
        <v>4.5</v>
      </c>
      <c r="H618" t="n">
        <v>0</v>
      </c>
      <c r="I618" t="n">
        <v>0</v>
      </c>
      <c r="J618" t="n">
        <v>0</v>
      </c>
      <c r="K618" t="n">
        <v>0</v>
      </c>
      <c r="L618" t="n">
        <v>0</v>
      </c>
      <c r="M618" t="n">
        <v>0</v>
      </c>
      <c r="N618" t="n">
        <v>0</v>
      </c>
      <c r="O618" t="n">
        <v>0</v>
      </c>
      <c r="P618" t="n">
        <v>0</v>
      </c>
      <c r="Q618" t="n">
        <v>0</v>
      </c>
      <c r="R618" s="2" t="inlineStr"/>
    </row>
    <row r="619" ht="15" customHeight="1">
      <c r="A619" t="inlineStr">
        <is>
          <t>A 14938-2023</t>
        </is>
      </c>
      <c r="B619" s="1" t="n">
        <v>45015</v>
      </c>
      <c r="C619" s="1" t="n">
        <v>45338</v>
      </c>
      <c r="D619" t="inlineStr">
        <is>
          <t>DALARNAS LÄN</t>
        </is>
      </c>
      <c r="E619" t="inlineStr">
        <is>
          <t>ÄLVDALEN</t>
        </is>
      </c>
      <c r="G619" t="n">
        <v>1.8</v>
      </c>
      <c r="H619" t="n">
        <v>0</v>
      </c>
      <c r="I619" t="n">
        <v>0</v>
      </c>
      <c r="J619" t="n">
        <v>0</v>
      </c>
      <c r="K619" t="n">
        <v>0</v>
      </c>
      <c r="L619" t="n">
        <v>0</v>
      </c>
      <c r="M619" t="n">
        <v>0</v>
      </c>
      <c r="N619" t="n">
        <v>0</v>
      </c>
      <c r="O619" t="n">
        <v>0</v>
      </c>
      <c r="P619" t="n">
        <v>0</v>
      </c>
      <c r="Q619" t="n">
        <v>0</v>
      </c>
      <c r="R619" s="2" t="inlineStr"/>
    </row>
    <row r="620" ht="15" customHeight="1">
      <c r="A620" t="inlineStr">
        <is>
          <t>A 17051-2023</t>
        </is>
      </c>
      <c r="B620" s="1" t="n">
        <v>45034</v>
      </c>
      <c r="C620" s="1" t="n">
        <v>45338</v>
      </c>
      <c r="D620" t="inlineStr">
        <is>
          <t>DALARNAS LÄN</t>
        </is>
      </c>
      <c r="E620" t="inlineStr">
        <is>
          <t>ÄLVDALEN</t>
        </is>
      </c>
      <c r="G620" t="n">
        <v>4.2</v>
      </c>
      <c r="H620" t="n">
        <v>0</v>
      </c>
      <c r="I620" t="n">
        <v>0</v>
      </c>
      <c r="J620" t="n">
        <v>0</v>
      </c>
      <c r="K620" t="n">
        <v>0</v>
      </c>
      <c r="L620" t="n">
        <v>0</v>
      </c>
      <c r="M620" t="n">
        <v>0</v>
      </c>
      <c r="N620" t="n">
        <v>0</v>
      </c>
      <c r="O620" t="n">
        <v>0</v>
      </c>
      <c r="P620" t="n">
        <v>0</v>
      </c>
      <c r="Q620" t="n">
        <v>0</v>
      </c>
      <c r="R620" s="2" t="inlineStr"/>
    </row>
    <row r="621" ht="15" customHeight="1">
      <c r="A621" t="inlineStr">
        <is>
          <t>A 19182-2023</t>
        </is>
      </c>
      <c r="B621" s="1" t="n">
        <v>45048</v>
      </c>
      <c r="C621" s="1" t="n">
        <v>45338</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19546-2023</t>
        </is>
      </c>
      <c r="B622" s="1" t="n">
        <v>45050</v>
      </c>
      <c r="C622" s="1" t="n">
        <v>45338</v>
      </c>
      <c r="D622" t="inlineStr">
        <is>
          <t>DALARNAS LÄN</t>
        </is>
      </c>
      <c r="E622" t="inlineStr">
        <is>
          <t>ÄLVDALEN</t>
        </is>
      </c>
      <c r="G622" t="n">
        <v>5.9</v>
      </c>
      <c r="H622" t="n">
        <v>0</v>
      </c>
      <c r="I622" t="n">
        <v>0</v>
      </c>
      <c r="J622" t="n">
        <v>0</v>
      </c>
      <c r="K622" t="n">
        <v>0</v>
      </c>
      <c r="L622" t="n">
        <v>0</v>
      </c>
      <c r="M622" t="n">
        <v>0</v>
      </c>
      <c r="N622" t="n">
        <v>0</v>
      </c>
      <c r="O622" t="n">
        <v>0</v>
      </c>
      <c r="P622" t="n">
        <v>0</v>
      </c>
      <c r="Q622" t="n">
        <v>0</v>
      </c>
      <c r="R622" s="2" t="inlineStr"/>
    </row>
    <row r="623" ht="15" customHeight="1">
      <c r="A623" t="inlineStr">
        <is>
          <t>A 19992-2023</t>
        </is>
      </c>
      <c r="B623" s="1" t="n">
        <v>45054</v>
      </c>
      <c r="C623" s="1" t="n">
        <v>45338</v>
      </c>
      <c r="D623" t="inlineStr">
        <is>
          <t>DALARNAS LÄN</t>
        </is>
      </c>
      <c r="E623" t="inlineStr">
        <is>
          <t>ÄLVDALEN</t>
        </is>
      </c>
      <c r="G623" t="n">
        <v>3.9</v>
      </c>
      <c r="H623" t="n">
        <v>0</v>
      </c>
      <c r="I623" t="n">
        <v>0</v>
      </c>
      <c r="J623" t="n">
        <v>0</v>
      </c>
      <c r="K623" t="n">
        <v>0</v>
      </c>
      <c r="L623" t="n">
        <v>0</v>
      </c>
      <c r="M623" t="n">
        <v>0</v>
      </c>
      <c r="N623" t="n">
        <v>0</v>
      </c>
      <c r="O623" t="n">
        <v>0</v>
      </c>
      <c r="P623" t="n">
        <v>0</v>
      </c>
      <c r="Q623" t="n">
        <v>0</v>
      </c>
      <c r="R623" s="2" t="inlineStr"/>
    </row>
    <row r="624" ht="15" customHeight="1">
      <c r="A624" t="inlineStr">
        <is>
          <t>A 20551-2023</t>
        </is>
      </c>
      <c r="B624" s="1" t="n">
        <v>45057</v>
      </c>
      <c r="C624" s="1" t="n">
        <v>45338</v>
      </c>
      <c r="D624" t="inlineStr">
        <is>
          <t>DALARNAS LÄN</t>
        </is>
      </c>
      <c r="E624" t="inlineStr">
        <is>
          <t>ÄLVDALEN</t>
        </is>
      </c>
      <c r="G624" t="n">
        <v>29.8</v>
      </c>
      <c r="H624" t="n">
        <v>0</v>
      </c>
      <c r="I624" t="n">
        <v>0</v>
      </c>
      <c r="J624" t="n">
        <v>0</v>
      </c>
      <c r="K624" t="n">
        <v>0</v>
      </c>
      <c r="L624" t="n">
        <v>0</v>
      </c>
      <c r="M624" t="n">
        <v>0</v>
      </c>
      <c r="N624" t="n">
        <v>0</v>
      </c>
      <c r="O624" t="n">
        <v>0</v>
      </c>
      <c r="P624" t="n">
        <v>0</v>
      </c>
      <c r="Q624" t="n">
        <v>0</v>
      </c>
      <c r="R624" s="2" t="inlineStr"/>
    </row>
    <row r="625" ht="15" customHeight="1">
      <c r="A625" t="inlineStr">
        <is>
          <t>A 21936-2023</t>
        </is>
      </c>
      <c r="B625" s="1" t="n">
        <v>45068</v>
      </c>
      <c r="C625" s="1" t="n">
        <v>45338</v>
      </c>
      <c r="D625" t="inlineStr">
        <is>
          <t>DALARNAS LÄN</t>
        </is>
      </c>
      <c r="E625" t="inlineStr">
        <is>
          <t>ÄLVDALEN</t>
        </is>
      </c>
      <c r="F625" t="inlineStr">
        <is>
          <t>Bergvik skog väst AB</t>
        </is>
      </c>
      <c r="G625" t="n">
        <v>7.5</v>
      </c>
      <c r="H625" t="n">
        <v>0</v>
      </c>
      <c r="I625" t="n">
        <v>0</v>
      </c>
      <c r="J625" t="n">
        <v>0</v>
      </c>
      <c r="K625" t="n">
        <v>0</v>
      </c>
      <c r="L625" t="n">
        <v>0</v>
      </c>
      <c r="M625" t="n">
        <v>0</v>
      </c>
      <c r="N625" t="n">
        <v>0</v>
      </c>
      <c r="O625" t="n">
        <v>0</v>
      </c>
      <c r="P625" t="n">
        <v>0</v>
      </c>
      <c r="Q625" t="n">
        <v>0</v>
      </c>
      <c r="R625" s="2" t="inlineStr"/>
    </row>
    <row r="626" ht="15" customHeight="1">
      <c r="A626" t="inlineStr">
        <is>
          <t>A 22792-2023</t>
        </is>
      </c>
      <c r="B626" s="1" t="n">
        <v>45072</v>
      </c>
      <c r="C626" s="1" t="n">
        <v>45338</v>
      </c>
      <c r="D626" t="inlineStr">
        <is>
          <t>DALARNAS LÄN</t>
        </is>
      </c>
      <c r="E626" t="inlineStr">
        <is>
          <t>ÄLVDALEN</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22847-2023</t>
        </is>
      </c>
      <c r="B627" s="1" t="n">
        <v>45072</v>
      </c>
      <c r="C627" s="1" t="n">
        <v>45338</v>
      </c>
      <c r="D627" t="inlineStr">
        <is>
          <t>DALARNAS LÄN</t>
        </is>
      </c>
      <c r="E627" t="inlineStr">
        <is>
          <t>ÄLVDALEN</t>
        </is>
      </c>
      <c r="F627" t="inlineStr">
        <is>
          <t>Bergvik skog väst AB</t>
        </is>
      </c>
      <c r="G627" t="n">
        <v>8.1</v>
      </c>
      <c r="H627" t="n">
        <v>0</v>
      </c>
      <c r="I627" t="n">
        <v>0</v>
      </c>
      <c r="J627" t="n">
        <v>0</v>
      </c>
      <c r="K627" t="n">
        <v>0</v>
      </c>
      <c r="L627" t="n">
        <v>0</v>
      </c>
      <c r="M627" t="n">
        <v>0</v>
      </c>
      <c r="N627" t="n">
        <v>0</v>
      </c>
      <c r="O627" t="n">
        <v>0</v>
      </c>
      <c r="P627" t="n">
        <v>0</v>
      </c>
      <c r="Q627" t="n">
        <v>0</v>
      </c>
      <c r="R627" s="2" t="inlineStr"/>
    </row>
    <row r="628" ht="15" customHeight="1">
      <c r="A628" t="inlineStr">
        <is>
          <t>A 23129-2023</t>
        </is>
      </c>
      <c r="B628" s="1" t="n">
        <v>45075</v>
      </c>
      <c r="C628" s="1" t="n">
        <v>45338</v>
      </c>
      <c r="D628" t="inlineStr">
        <is>
          <t>DALARNAS LÄN</t>
        </is>
      </c>
      <c r="E628" t="inlineStr">
        <is>
          <t>ÄLVDALEN</t>
        </is>
      </c>
      <c r="G628" t="n">
        <v>0.8</v>
      </c>
      <c r="H628" t="n">
        <v>0</v>
      </c>
      <c r="I628" t="n">
        <v>0</v>
      </c>
      <c r="J628" t="n">
        <v>0</v>
      </c>
      <c r="K628" t="n">
        <v>0</v>
      </c>
      <c r="L628" t="n">
        <v>0</v>
      </c>
      <c r="M628" t="n">
        <v>0</v>
      </c>
      <c r="N628" t="n">
        <v>0</v>
      </c>
      <c r="O628" t="n">
        <v>0</v>
      </c>
      <c r="P628" t="n">
        <v>0</v>
      </c>
      <c r="Q628" t="n">
        <v>0</v>
      </c>
      <c r="R628" s="2" t="inlineStr"/>
    </row>
    <row r="629" ht="15" customHeight="1">
      <c r="A629" t="inlineStr">
        <is>
          <t>A 23369-2023</t>
        </is>
      </c>
      <c r="B629" s="1" t="n">
        <v>45076</v>
      </c>
      <c r="C629" s="1" t="n">
        <v>45338</v>
      </c>
      <c r="D629" t="inlineStr">
        <is>
          <t>DALARNAS LÄN</t>
        </is>
      </c>
      <c r="E629" t="inlineStr">
        <is>
          <t>ÄLVDALEN</t>
        </is>
      </c>
      <c r="G629" t="n">
        <v>1.5</v>
      </c>
      <c r="H629" t="n">
        <v>0</v>
      </c>
      <c r="I629" t="n">
        <v>0</v>
      </c>
      <c r="J629" t="n">
        <v>0</v>
      </c>
      <c r="K629" t="n">
        <v>0</v>
      </c>
      <c r="L629" t="n">
        <v>0</v>
      </c>
      <c r="M629" t="n">
        <v>0</v>
      </c>
      <c r="N629" t="n">
        <v>0</v>
      </c>
      <c r="O629" t="n">
        <v>0</v>
      </c>
      <c r="P629" t="n">
        <v>0</v>
      </c>
      <c r="Q629" t="n">
        <v>0</v>
      </c>
      <c r="R629" s="2" t="inlineStr"/>
    </row>
    <row r="630" ht="15" customHeight="1">
      <c r="A630" t="inlineStr">
        <is>
          <t>A 23570-2023</t>
        </is>
      </c>
      <c r="B630" s="1" t="n">
        <v>45077</v>
      </c>
      <c r="C630" s="1" t="n">
        <v>45338</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23565-2023</t>
        </is>
      </c>
      <c r="B631" s="1" t="n">
        <v>45077</v>
      </c>
      <c r="C631" s="1" t="n">
        <v>45338</v>
      </c>
      <c r="D631" t="inlineStr">
        <is>
          <t>DALARNAS LÄN</t>
        </is>
      </c>
      <c r="E631" t="inlineStr">
        <is>
          <t>ÄLVDALEN</t>
        </is>
      </c>
      <c r="G631" t="n">
        <v>3.6</v>
      </c>
      <c r="H631" t="n">
        <v>0</v>
      </c>
      <c r="I631" t="n">
        <v>0</v>
      </c>
      <c r="J631" t="n">
        <v>0</v>
      </c>
      <c r="K631" t="n">
        <v>0</v>
      </c>
      <c r="L631" t="n">
        <v>0</v>
      </c>
      <c r="M631" t="n">
        <v>0</v>
      </c>
      <c r="N631" t="n">
        <v>0</v>
      </c>
      <c r="O631" t="n">
        <v>0</v>
      </c>
      <c r="P631" t="n">
        <v>0</v>
      </c>
      <c r="Q631" t="n">
        <v>0</v>
      </c>
      <c r="R631" s="2" t="inlineStr"/>
    </row>
    <row r="632" ht="15" customHeight="1">
      <c r="A632" t="inlineStr">
        <is>
          <t>A 23872-2023</t>
        </is>
      </c>
      <c r="B632" s="1" t="n">
        <v>45078</v>
      </c>
      <c r="C632" s="1" t="n">
        <v>45338</v>
      </c>
      <c r="D632" t="inlineStr">
        <is>
          <t>DALARNAS LÄN</t>
        </is>
      </c>
      <c r="E632" t="inlineStr">
        <is>
          <t>ÄLVDALEN</t>
        </is>
      </c>
      <c r="F632" t="inlineStr">
        <is>
          <t>Allmännings- och besparingsskogar</t>
        </is>
      </c>
      <c r="G632" t="n">
        <v>79.5</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45338</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45338</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45338</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45338</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45338</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45338</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45338</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45338</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45338</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45338</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45338</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45338</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45338</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45338</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45338</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45338</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45338</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45338</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45338</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45338</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45338</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45338</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45338</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45338</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45338</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45338</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45338</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45338</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45338</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45338</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45338</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45338</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45338</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45338</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45338</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45338</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45338</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45338</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45338</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45338</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45338</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45338</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45338</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45338</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45338</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45338</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45338</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45338</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45338</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45338</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45338</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45338</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45338</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45338</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45338</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45338</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45338</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45338</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45338</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45338</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45338</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45338</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45338</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45338</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45338</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45338</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45338</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45338</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45338</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45338</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45338</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45338</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45338</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45338</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40996-2023</t>
        </is>
      </c>
      <c r="B707" s="1" t="n">
        <v>45173</v>
      </c>
      <c r="C707" s="1" t="n">
        <v>45338</v>
      </c>
      <c r="D707" t="inlineStr">
        <is>
          <t>DALARNAS LÄN</t>
        </is>
      </c>
      <c r="E707" t="inlineStr">
        <is>
          <t>ÄLVDALEN</t>
        </is>
      </c>
      <c r="F707" t="inlineStr">
        <is>
          <t>Bergvik skog väst AB</t>
        </is>
      </c>
      <c r="G707" t="n">
        <v>8</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45338</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45338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45338</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45338</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43473-2023</t>
        </is>
      </c>
      <c r="B712" s="1" t="n">
        <v>45184</v>
      </c>
      <c r="C712" s="1" t="n">
        <v>45338</v>
      </c>
      <c r="D712" t="inlineStr">
        <is>
          <t>DALARNAS LÄN</t>
        </is>
      </c>
      <c r="E712" t="inlineStr">
        <is>
          <t>ÄLVDALEN</t>
        </is>
      </c>
      <c r="G712" t="n">
        <v>33.5</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45338</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45338</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45338</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45338</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45338</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45338</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45338</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45338</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45338</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45338</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45338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45338</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45338</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45338</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45338</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45338</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45338</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45338</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45338</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45338</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45338</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45338</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45338</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45338</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45338</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45338</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45338</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45338</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45338</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45338</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45338</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45338</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45338</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45338</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45338</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45338</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45338</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45338</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45338</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45338</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45338</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45338</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45338</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45338</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45338</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45338</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45338</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45338</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54736-2023</t>
        </is>
      </c>
      <c r="B761" s="1" t="n">
        <v>45236</v>
      </c>
      <c r="C761" s="1" t="n">
        <v>45338</v>
      </c>
      <c r="D761" t="inlineStr">
        <is>
          <t>DALARNAS LÄN</t>
        </is>
      </c>
      <c r="E761" t="inlineStr">
        <is>
          <t>ÄLVDALEN</t>
        </is>
      </c>
      <c r="F761" t="inlineStr">
        <is>
          <t>Allmännings- och besparingsskogar</t>
        </is>
      </c>
      <c r="G761" t="n">
        <v>28.5</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45338</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45338</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45338</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45338</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45338</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45338</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45338</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45338</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45338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45338</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45338</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45338</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45338</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45338</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45338</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45338</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45338</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45338</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45338</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45338</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45338</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45338</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45338</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59190-2023</t>
        </is>
      </c>
      <c r="B785" s="1" t="n">
        <v>45253</v>
      </c>
      <c r="C785" s="1" t="n">
        <v>45338</v>
      </c>
      <c r="D785" t="inlineStr">
        <is>
          <t>DALARNAS LÄN</t>
        </is>
      </c>
      <c r="E785" t="inlineStr">
        <is>
          <t>ÄLVDALEN</t>
        </is>
      </c>
      <c r="F785" t="inlineStr">
        <is>
          <t>Allmännings- och besparingsskogar</t>
        </is>
      </c>
      <c r="G785" t="n">
        <v>27.8</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45338</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45338</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45338</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45338</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45338</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45338</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45338</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45338</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60655-2023</t>
        </is>
      </c>
      <c r="B794" s="1" t="n">
        <v>45260</v>
      </c>
      <c r="C794" s="1" t="n">
        <v>45338</v>
      </c>
      <c r="D794" t="inlineStr">
        <is>
          <t>DALARNAS LÄN</t>
        </is>
      </c>
      <c r="E794" t="inlineStr">
        <is>
          <t>ÄLVDALEN</t>
        </is>
      </c>
      <c r="G794" t="n">
        <v>3</v>
      </c>
      <c r="H794" t="n">
        <v>0</v>
      </c>
      <c r="I794" t="n">
        <v>0</v>
      </c>
      <c r="J794" t="n">
        <v>0</v>
      </c>
      <c r="K794" t="n">
        <v>0</v>
      </c>
      <c r="L794" t="n">
        <v>0</v>
      </c>
      <c r="M794" t="n">
        <v>0</v>
      </c>
      <c r="N794" t="n">
        <v>0</v>
      </c>
      <c r="O794" t="n">
        <v>0</v>
      </c>
      <c r="P794" t="n">
        <v>0</v>
      </c>
      <c r="Q794" t="n">
        <v>0</v>
      </c>
      <c r="R794" s="2" t="inlineStr"/>
    </row>
    <row r="795" ht="15" customHeight="1">
      <c r="A795" t="inlineStr">
        <is>
          <t>A 60716-2023</t>
        </is>
      </c>
      <c r="B795" s="1" t="n">
        <v>45260</v>
      </c>
      <c r="C795" s="1" t="n">
        <v>45338</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45338</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45338</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45338</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45338</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63494-2023</t>
        </is>
      </c>
      <c r="B800" s="1" t="n">
        <v>45274</v>
      </c>
      <c r="C800" s="1" t="n">
        <v>45338</v>
      </c>
      <c r="D800" t="inlineStr">
        <is>
          <t>DALARNAS LÄN</t>
        </is>
      </c>
      <c r="E800" t="inlineStr">
        <is>
          <t>ÄLVDALEN</t>
        </is>
      </c>
      <c r="F800" t="inlineStr">
        <is>
          <t>Allmännings- och besparingsskogar</t>
        </is>
      </c>
      <c r="G800" t="n">
        <v>14.9</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45338</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45338</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505-2024</t>
        </is>
      </c>
      <c r="B803" s="1" t="n">
        <v>45299</v>
      </c>
      <c r="C803" s="1" t="n">
        <v>45338</v>
      </c>
      <c r="D803" t="inlineStr">
        <is>
          <t>DALARNAS LÄN</t>
        </is>
      </c>
      <c r="E803" t="inlineStr">
        <is>
          <t>ÄLVDALEN</t>
        </is>
      </c>
      <c r="G803" t="n">
        <v>1.4</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45338</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45338</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45338</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1804-2024</t>
        </is>
      </c>
      <c r="B807" s="1" t="n">
        <v>45307</v>
      </c>
      <c r="C807" s="1" t="n">
        <v>45338</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45338</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2375-2024</t>
        </is>
      </c>
      <c r="B809" s="1" t="n">
        <v>45310</v>
      </c>
      <c r="C809" s="1" t="n">
        <v>45338</v>
      </c>
      <c r="D809" t="inlineStr">
        <is>
          <t>DALARNAS LÄN</t>
        </is>
      </c>
      <c r="E809" t="inlineStr">
        <is>
          <t>ÄLVDALEN</t>
        </is>
      </c>
      <c r="G809" t="n">
        <v>5.4</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45338</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45338</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45338</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45338</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45338</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45338</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45338</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3916-2024</t>
        </is>
      </c>
      <c r="B817" s="1" t="n">
        <v>45322</v>
      </c>
      <c r="C817" s="1" t="n">
        <v>45338</v>
      </c>
      <c r="D817" t="inlineStr">
        <is>
          <t>DALARNAS LÄN</t>
        </is>
      </c>
      <c r="E817" t="inlineStr">
        <is>
          <t>ÄLVDALEN</t>
        </is>
      </c>
      <c r="G817" t="n">
        <v>3.7</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45338</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45338</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45338</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3914-2024</t>
        </is>
      </c>
      <c r="B821" s="1" t="n">
        <v>45322</v>
      </c>
      <c r="C821" s="1" t="n">
        <v>45338</v>
      </c>
      <c r="D821" t="inlineStr">
        <is>
          <t>DALARNAS LÄN</t>
        </is>
      </c>
      <c r="E821" t="inlineStr">
        <is>
          <t>ÄLVDALEN</t>
        </is>
      </c>
      <c r="G821" t="n">
        <v>0.3</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45338</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45338</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45338</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45338</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45338</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45338</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45338</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45338</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45338</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45338</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45338</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c r="A833" t="inlineStr">
        <is>
          <t>A 6230-2024</t>
        </is>
      </c>
      <c r="B833" s="1" t="n">
        <v>45337</v>
      </c>
      <c r="C833" s="1" t="n">
        <v>45338</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2024-02-16T16:05:19Z</dcterms:created>
  <dcterms:modified xmlns:dcterms="http://purl.org/dc/terms/" xmlns:xsi="http://www.w3.org/2001/XMLSchema-instance" xsi:type="dcterms:W3CDTF">2024-02-16T16:05:19Z</dcterms:modified>
</cp:coreProperties>
</file>