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46081</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46081</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46081</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46081</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46081</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46081</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46081</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46081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46081</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46081</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46081</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46081</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63895-2023</t>
        </is>
      </c>
      <c r="B18" s="1" t="n">
        <v>45278</v>
      </c>
      <c r="C18" s="1" t="n">
        <v>46081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46081</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46081</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46081</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46081</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46081</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46081</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46081</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46081</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46081</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46081</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46081</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46081</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46081</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46081</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46081</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46081</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46081</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46081</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57095-2025</t>
        </is>
      </c>
      <c r="B37" s="1" t="n">
        <v>45979.43158564815</v>
      </c>
      <c r="C37" s="1" t="n">
        <v>46081</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2249-2026</t>
        </is>
      </c>
      <c r="B38" s="1" t="n">
        <v>46036.55042824074</v>
      </c>
      <c r="C38" s="1" t="n">
        <v>46081</v>
      </c>
      <c r="D38" t="inlineStr">
        <is>
          <t>DALARNAS LÄN</t>
        </is>
      </c>
      <c r="E38" t="inlineStr">
        <is>
          <t>ÄLVDALEN</t>
        </is>
      </c>
      <c r="F38" t="inlineStr">
        <is>
          <t>Allmännings- och besparingsskogar</t>
        </is>
      </c>
      <c r="G38" t="n">
        <v>9.199999999999999</v>
      </c>
      <c r="H38" t="n">
        <v>3</v>
      </c>
      <c r="I38" t="n">
        <v>2</v>
      </c>
      <c r="J38" t="n">
        <v>7</v>
      </c>
      <c r="K38" t="n">
        <v>2</v>
      </c>
      <c r="L38" t="n">
        <v>0</v>
      </c>
      <c r="M38" t="n">
        <v>0</v>
      </c>
      <c r="N38" t="n">
        <v>0</v>
      </c>
      <c r="O38" t="n">
        <v>9</v>
      </c>
      <c r="P38" t="n">
        <v>2</v>
      </c>
      <c r="Q38" t="n">
        <v>12</v>
      </c>
      <c r="R38" s="2" t="inlineStr">
        <is>
          <t>Rynkskinn
Ulltickeporing
Doftskinn
Garnlav
Granticka
Spillkråka
Tretåig hackspett
Ullticka
Vitgrynig nållav
Gulnål
Vedticka
Tjäder</t>
        </is>
      </c>
      <c r="S38">
        <f>HYPERLINK("https://klasma.github.io/Logging_2039/artfynd/A 2249-2026 artfynd.xlsx", "A 2249-2026")</f>
        <v/>
      </c>
      <c r="T38">
        <f>HYPERLINK("https://klasma.github.io/Logging_2039/kartor/A 2249-2026 karta.png", "A 2249-2026")</f>
        <v/>
      </c>
      <c r="V38">
        <f>HYPERLINK("https://klasma.github.io/Logging_2039/klagomål/A 2249-2026 FSC-klagomål.docx", "A 2249-2026")</f>
        <v/>
      </c>
      <c r="W38">
        <f>HYPERLINK("https://klasma.github.io/Logging_2039/klagomålsmail/A 2249-2026 FSC-klagomål mail.docx", "A 2249-2026")</f>
        <v/>
      </c>
      <c r="X38">
        <f>HYPERLINK("https://klasma.github.io/Logging_2039/tillsyn/A 2249-2026 tillsynsbegäran.docx", "A 2249-2026")</f>
        <v/>
      </c>
      <c r="Y38">
        <f>HYPERLINK("https://klasma.github.io/Logging_2039/tillsynsmail/A 2249-2026 tillsynsbegäran mail.docx", "A 2249-2026")</f>
        <v/>
      </c>
      <c r="Z38">
        <f>HYPERLINK("https://klasma.github.io/Logging_2039/fåglar/A 2249-2026 prioriterade fågelarter.docx", "A 2249-2026")</f>
        <v/>
      </c>
    </row>
    <row r="39" ht="15" customHeight="1">
      <c r="A39" t="inlineStr">
        <is>
          <t>A 37730-2023</t>
        </is>
      </c>
      <c r="B39" s="1" t="n">
        <v>45159</v>
      </c>
      <c r="C39" s="1" t="n">
        <v>46081</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41638-2025</t>
        </is>
      </c>
      <c r="B40" s="1" t="n">
        <v>45901</v>
      </c>
      <c r="C40" s="1" t="n">
        <v>46081</v>
      </c>
      <c r="D40" t="inlineStr">
        <is>
          <t>DALARNAS LÄN</t>
        </is>
      </c>
      <c r="E40" t="inlineStr">
        <is>
          <t>ÄLVDALEN</t>
        </is>
      </c>
      <c r="F40" t="inlineStr">
        <is>
          <t>Övriga statliga verk och myndigheter</t>
        </is>
      </c>
      <c r="G40" t="n">
        <v>24.3</v>
      </c>
      <c r="H40" t="n">
        <v>0</v>
      </c>
      <c r="I40" t="n">
        <v>2</v>
      </c>
      <c r="J40" t="n">
        <v>8</v>
      </c>
      <c r="K40" t="n">
        <v>2</v>
      </c>
      <c r="L40" t="n">
        <v>0</v>
      </c>
      <c r="M40" t="n">
        <v>0</v>
      </c>
      <c r="N40" t="n">
        <v>0</v>
      </c>
      <c r="O40" t="n">
        <v>10</v>
      </c>
      <c r="P40" t="n">
        <v>2</v>
      </c>
      <c r="Q40" t="n">
        <v>12</v>
      </c>
      <c r="R40" s="2" t="inlineStr">
        <is>
          <t>Spadskinn
Tajgataggsvamp
Blanksvart spiklav
Dvärgbägarlav
Garnlav
Kolflarnlav
Mörk kolflarnlav
Tallriska
Vedflamlav
Vitplätt
Dropptaggsvamp
Vedticka</t>
        </is>
      </c>
      <c r="S40">
        <f>HYPERLINK("https://klasma.github.io/Logging_2039/artfynd/A 41638-2025 artfynd.xlsx", "A 41638-2025")</f>
        <v/>
      </c>
      <c r="T40">
        <f>HYPERLINK("https://klasma.github.io/Logging_2039/kartor/A 41638-2025 karta.png", "A 41638-2025")</f>
        <v/>
      </c>
      <c r="V40">
        <f>HYPERLINK("https://klasma.github.io/Logging_2039/klagomål/A 41638-2025 FSC-klagomål.docx", "A 41638-2025")</f>
        <v/>
      </c>
      <c r="W40">
        <f>HYPERLINK("https://klasma.github.io/Logging_2039/klagomålsmail/A 41638-2025 FSC-klagomål mail.docx", "A 41638-2025")</f>
        <v/>
      </c>
      <c r="X40">
        <f>HYPERLINK("https://klasma.github.io/Logging_2039/tillsyn/A 41638-2025 tillsynsbegäran.docx", "A 41638-2025")</f>
        <v/>
      </c>
      <c r="Y40">
        <f>HYPERLINK("https://klasma.github.io/Logging_2039/tillsynsmail/A 41638-2025 tillsynsbegäran mail.docx", "A 41638-2025")</f>
        <v/>
      </c>
    </row>
    <row r="41" ht="15" customHeight="1">
      <c r="A41" t="inlineStr">
        <is>
          <t>A 30214-2023</t>
        </is>
      </c>
      <c r="B41" s="1" t="n">
        <v>45110</v>
      </c>
      <c r="C41" s="1" t="n">
        <v>46081</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29154-2025</t>
        </is>
      </c>
      <c r="B42" s="1" t="n">
        <v>45821.65135416666</v>
      </c>
      <c r="C42" s="1" t="n">
        <v>46081</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47008-2025</t>
        </is>
      </c>
      <c r="B43" s="1" t="n">
        <v>45929.56971064815</v>
      </c>
      <c r="C43" s="1" t="n">
        <v>46081</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46081</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46081</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46081</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43867-2025</t>
        </is>
      </c>
      <c r="B47" s="1" t="n">
        <v>45912</v>
      </c>
      <c r="C47" s="1" t="n">
        <v>46081</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46081</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46081</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46081</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16370-2024</t>
        </is>
      </c>
      <c r="B51" s="1" t="n">
        <v>45407</v>
      </c>
      <c r="C51" s="1" t="n">
        <v>46081</v>
      </c>
      <c r="D51" t="inlineStr">
        <is>
          <t>DALARNAS LÄN</t>
        </is>
      </c>
      <c r="E51" t="inlineStr">
        <is>
          <t>ÄLVDALEN</t>
        </is>
      </c>
      <c r="F51" t="inlineStr">
        <is>
          <t>Sveaskog</t>
        </is>
      </c>
      <c r="G51" t="n">
        <v>11.8</v>
      </c>
      <c r="H51" t="n">
        <v>0</v>
      </c>
      <c r="I51" t="n">
        <v>3</v>
      </c>
      <c r="J51" t="n">
        <v>5</v>
      </c>
      <c r="K51" t="n">
        <v>2</v>
      </c>
      <c r="L51" t="n">
        <v>0</v>
      </c>
      <c r="M51" t="n">
        <v>0</v>
      </c>
      <c r="N51" t="n">
        <v>0</v>
      </c>
      <c r="O51" t="n">
        <v>7</v>
      </c>
      <c r="P51" t="n">
        <v>2</v>
      </c>
      <c r="Q51" t="n">
        <v>10</v>
      </c>
      <c r="R51" s="2" t="inlineStr">
        <is>
          <t>Fläckporing
Gräddporing
Dvärgbägarlav
Garnlav
Lunglav
Mörk kolflarnlav
Skrovellav
Dropptaggsvamp
Skarp dropptaggsvamp
Stuplav</t>
        </is>
      </c>
      <c r="S51">
        <f>HYPERLINK("https://klasma.github.io/Logging_2039/artfynd/A 16370-2024 artfynd.xlsx", "A 16370-2024")</f>
        <v/>
      </c>
      <c r="T51">
        <f>HYPERLINK("https://klasma.github.io/Logging_2039/kartor/A 16370-2024 karta.png", "A 16370-2024")</f>
        <v/>
      </c>
      <c r="V51">
        <f>HYPERLINK("https://klasma.github.io/Logging_2039/klagomål/A 16370-2024 FSC-klagomål.docx", "A 16370-2024")</f>
        <v/>
      </c>
      <c r="W51">
        <f>HYPERLINK("https://klasma.github.io/Logging_2039/klagomålsmail/A 16370-2024 FSC-klagomål mail.docx", "A 16370-2024")</f>
        <v/>
      </c>
      <c r="X51">
        <f>HYPERLINK("https://klasma.github.io/Logging_2039/tillsyn/A 16370-2024 tillsynsbegäran.docx", "A 16370-2024")</f>
        <v/>
      </c>
      <c r="Y51">
        <f>HYPERLINK("https://klasma.github.io/Logging_2039/tillsynsmail/A 16370-2024 tillsynsbegäran mail.docx", "A 16370-2024")</f>
        <v/>
      </c>
    </row>
    <row r="52" ht="15" customHeight="1">
      <c r="A52" t="inlineStr">
        <is>
          <t>A 31658-2025</t>
        </is>
      </c>
      <c r="B52" s="1" t="n">
        <v>45834.34892361111</v>
      </c>
      <c r="C52" s="1" t="n">
        <v>46081</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39762-2025</t>
        </is>
      </c>
      <c r="B53" s="1" t="n">
        <v>45891</v>
      </c>
      <c r="C53" s="1" t="n">
        <v>46081</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46081</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46081</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61999-2025</t>
        </is>
      </c>
      <c r="B56" s="1" t="n">
        <v>46003.64638888889</v>
      </c>
      <c r="C56" s="1" t="n">
        <v>46081</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30220-2023</t>
        </is>
      </c>
      <c r="B57" s="1" t="n">
        <v>45110.64706018518</v>
      </c>
      <c r="C57" s="1" t="n">
        <v>46081</v>
      </c>
      <c r="D57" t="inlineStr">
        <is>
          <t>DALARNAS LÄN</t>
        </is>
      </c>
      <c r="E57" t="inlineStr">
        <is>
          <t>ÄLVDALEN</t>
        </is>
      </c>
      <c r="F57" t="inlineStr">
        <is>
          <t>Allmännings- och besparingsskogar</t>
        </is>
      </c>
      <c r="G57" t="n">
        <v>13</v>
      </c>
      <c r="H57" t="n">
        <v>0</v>
      </c>
      <c r="I57" t="n">
        <v>2</v>
      </c>
      <c r="J57" t="n">
        <v>6</v>
      </c>
      <c r="K57" t="n">
        <v>2</v>
      </c>
      <c r="L57" t="n">
        <v>0</v>
      </c>
      <c r="M57" t="n">
        <v>0</v>
      </c>
      <c r="N57" t="n">
        <v>0</v>
      </c>
      <c r="O57" t="n">
        <v>8</v>
      </c>
      <c r="P57" t="n">
        <v>2</v>
      </c>
      <c r="Q57" t="n">
        <v>10</v>
      </c>
      <c r="R57" s="2" t="inlineStr">
        <is>
          <t>Goliatmusseron
Smalfotad taggsvamp
Blå taggsvamp
Kolflarnlav
Orange taggsvamp
Talltaggsvamp
Vedskivlav
Vitplätt
Dropptaggsvamp
Skarp dropptaggsvamp</t>
        </is>
      </c>
      <c r="S57">
        <f>HYPERLINK("https://klasma.github.io/Logging_2039/artfynd/A 30220-2023 artfynd.xlsx", "A 30220-2023")</f>
        <v/>
      </c>
      <c r="T57">
        <f>HYPERLINK("https://klasma.github.io/Logging_2039/kartor/A 30220-2023 karta.png", "A 30220-2023")</f>
        <v/>
      </c>
      <c r="V57">
        <f>HYPERLINK("https://klasma.github.io/Logging_2039/klagomål/A 30220-2023 FSC-klagomål.docx", "A 30220-2023")</f>
        <v/>
      </c>
      <c r="W57">
        <f>HYPERLINK("https://klasma.github.io/Logging_2039/klagomålsmail/A 30220-2023 FSC-klagomål mail.docx", "A 30220-2023")</f>
        <v/>
      </c>
      <c r="X57">
        <f>HYPERLINK("https://klasma.github.io/Logging_2039/tillsyn/A 30220-2023 tillsynsbegäran.docx", "A 30220-2023")</f>
        <v/>
      </c>
      <c r="Y57">
        <f>HYPERLINK("https://klasma.github.io/Logging_2039/tillsynsmail/A 30220-2023 tillsynsbegäran mail.docx", "A 30220-2023")</f>
        <v/>
      </c>
    </row>
    <row r="58" ht="15" customHeight="1">
      <c r="A58" t="inlineStr">
        <is>
          <t>A 1159-2026</t>
        </is>
      </c>
      <c r="B58" s="1" t="n">
        <v>46031.32924768519</v>
      </c>
      <c r="C58" s="1" t="n">
        <v>46081</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34765-2025</t>
        </is>
      </c>
      <c r="B59" s="1" t="n">
        <v>45848</v>
      </c>
      <c r="C59" s="1" t="n">
        <v>46081</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41753-2025</t>
        </is>
      </c>
      <c r="B60" s="1" t="n">
        <v>45902.49891203704</v>
      </c>
      <c r="C60" s="1" t="n">
        <v>46081</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33487-2025</t>
        </is>
      </c>
      <c r="B61" s="1" t="n">
        <v>45841.50515046297</v>
      </c>
      <c r="C61" s="1" t="n">
        <v>46081</v>
      </c>
      <c r="D61" t="inlineStr">
        <is>
          <t>DALARNAS LÄN</t>
        </is>
      </c>
      <c r="E61" t="inlineStr">
        <is>
          <t>ÄLVDALEN</t>
        </is>
      </c>
      <c r="F61" t="inlineStr">
        <is>
          <t>Sveaskog</t>
        </is>
      </c>
      <c r="G61" t="n">
        <v>15.2</v>
      </c>
      <c r="H61" t="n">
        <v>4</v>
      </c>
      <c r="I61" t="n">
        <v>2</v>
      </c>
      <c r="J61" t="n">
        <v>5</v>
      </c>
      <c r="K61" t="n">
        <v>0</v>
      </c>
      <c r="L61" t="n">
        <v>1</v>
      </c>
      <c r="M61" t="n">
        <v>0</v>
      </c>
      <c r="N61" t="n">
        <v>0</v>
      </c>
      <c r="O61" t="n">
        <v>6</v>
      </c>
      <c r="P61" t="n">
        <v>1</v>
      </c>
      <c r="Q61" t="n">
        <v>9</v>
      </c>
      <c r="R61" s="2" t="inlineStr">
        <is>
          <t>Mosippa
Dvärgbägarlav
Kolflarnlav
Mörk kolflarnlav
Talltita
Vedflamlav
Dropptaggsvamp
Plattlummer
Fläcknycklar</t>
        </is>
      </c>
      <c r="S61">
        <f>HYPERLINK("https://klasma.github.io/Logging_2039/artfynd/A 33487-2025 artfynd.xlsx", "A 33487-2025")</f>
        <v/>
      </c>
      <c r="T61">
        <f>HYPERLINK("https://klasma.github.io/Logging_2039/kartor/A 33487-2025 karta.png", "A 33487-2025")</f>
        <v/>
      </c>
      <c r="V61">
        <f>HYPERLINK("https://klasma.github.io/Logging_2039/klagomål/A 33487-2025 FSC-klagomål.docx", "A 33487-2025")</f>
        <v/>
      </c>
      <c r="W61">
        <f>HYPERLINK("https://klasma.github.io/Logging_2039/klagomålsmail/A 33487-2025 FSC-klagomål mail.docx", "A 33487-2025")</f>
        <v/>
      </c>
      <c r="X61">
        <f>HYPERLINK("https://klasma.github.io/Logging_2039/tillsyn/A 33487-2025 tillsynsbegäran.docx", "A 33487-2025")</f>
        <v/>
      </c>
      <c r="Y61">
        <f>HYPERLINK("https://klasma.github.io/Logging_2039/tillsynsmail/A 33487-2025 tillsynsbegäran mail.docx", "A 33487-2025")</f>
        <v/>
      </c>
      <c r="Z61">
        <f>HYPERLINK("https://klasma.github.io/Logging_2039/fåglar/A 33487-2025 prioriterade fågelarter.docx", "A 33487-2025")</f>
        <v/>
      </c>
    </row>
    <row r="62" ht="15" customHeight="1">
      <c r="A62" t="inlineStr">
        <is>
          <t>A 15738-2025</t>
        </is>
      </c>
      <c r="B62" s="1" t="n">
        <v>45748.54524305555</v>
      </c>
      <c r="C62" s="1" t="n">
        <v>46081</v>
      </c>
      <c r="D62" t="inlineStr">
        <is>
          <t>DALARNAS LÄN</t>
        </is>
      </c>
      <c r="E62" t="inlineStr">
        <is>
          <t>ÄLVDALEN</t>
        </is>
      </c>
      <c r="G62" t="n">
        <v>4.5</v>
      </c>
      <c r="H62" t="n">
        <v>2</v>
      </c>
      <c r="I62" t="n">
        <v>3</v>
      </c>
      <c r="J62" t="n">
        <v>6</v>
      </c>
      <c r="K62" t="n">
        <v>0</v>
      </c>
      <c r="L62" t="n">
        <v>0</v>
      </c>
      <c r="M62" t="n">
        <v>0</v>
      </c>
      <c r="N62" t="n">
        <v>0</v>
      </c>
      <c r="O62" t="n">
        <v>6</v>
      </c>
      <c r="P62" t="n">
        <v>0</v>
      </c>
      <c r="Q62" t="n">
        <v>9</v>
      </c>
      <c r="R62" s="2" t="inlineStr">
        <is>
          <t>Doftskinn
Garnlav
Spillkråka
Talltita
Ullticka
Vedskivlav
Bronshjon
Dropptaggsvamp
Mindre märgborre</t>
        </is>
      </c>
      <c r="S62">
        <f>HYPERLINK("https://klasma.github.io/Logging_2039/artfynd/A 15738-2025 artfynd.xlsx", "A 15738-2025")</f>
        <v/>
      </c>
      <c r="T62">
        <f>HYPERLINK("https://klasma.github.io/Logging_2039/kartor/A 15738-2025 karta.png", "A 15738-2025")</f>
        <v/>
      </c>
      <c r="V62">
        <f>HYPERLINK("https://klasma.github.io/Logging_2039/klagomål/A 15738-2025 FSC-klagomål.docx", "A 15738-2025")</f>
        <v/>
      </c>
      <c r="W62">
        <f>HYPERLINK("https://klasma.github.io/Logging_2039/klagomålsmail/A 15738-2025 FSC-klagomål mail.docx", "A 15738-2025")</f>
        <v/>
      </c>
      <c r="X62">
        <f>HYPERLINK("https://klasma.github.io/Logging_2039/tillsyn/A 15738-2025 tillsynsbegäran.docx", "A 15738-2025")</f>
        <v/>
      </c>
      <c r="Y62">
        <f>HYPERLINK("https://klasma.github.io/Logging_2039/tillsynsmail/A 15738-2025 tillsynsbegäran mail.docx", "A 15738-2025")</f>
        <v/>
      </c>
      <c r="Z62">
        <f>HYPERLINK("https://klasma.github.io/Logging_2039/fåglar/A 15738-2025 prioriterade fågelarter.docx", "A 15738-2025")</f>
        <v/>
      </c>
    </row>
    <row r="63" ht="15" customHeight="1">
      <c r="A63" t="inlineStr">
        <is>
          <t>A 66637-2021</t>
        </is>
      </c>
      <c r="B63" s="1" t="n">
        <v>44519</v>
      </c>
      <c r="C63" s="1" t="n">
        <v>46081</v>
      </c>
      <c r="D63" t="inlineStr">
        <is>
          <t>DALARNAS LÄN</t>
        </is>
      </c>
      <c r="E63" t="inlineStr">
        <is>
          <t>ÄLVDALEN</t>
        </is>
      </c>
      <c r="F63" t="inlineStr">
        <is>
          <t>Sveaskog</t>
        </is>
      </c>
      <c r="G63" t="n">
        <v>4.7</v>
      </c>
      <c r="H63" t="n">
        <v>0</v>
      </c>
      <c r="I63" t="n">
        <v>3</v>
      </c>
      <c r="J63" t="n">
        <v>6</v>
      </c>
      <c r="K63" t="n">
        <v>0</v>
      </c>
      <c r="L63" t="n">
        <v>0</v>
      </c>
      <c r="M63" t="n">
        <v>0</v>
      </c>
      <c r="N63" t="n">
        <v>0</v>
      </c>
      <c r="O63" t="n">
        <v>6</v>
      </c>
      <c r="P63" t="n">
        <v>0</v>
      </c>
      <c r="Q63" t="n">
        <v>9</v>
      </c>
      <c r="R63" s="2" t="inlineStr">
        <is>
          <t>Dvärgbägarlav
Kolflarnlav
Mörk kolflarnlav
Nordtagging
Vedskivlav
Vitplätt
Dropptaggsvamp
Nästlav
Vedticka</t>
        </is>
      </c>
      <c r="S63">
        <f>HYPERLINK("https://klasma.github.io/Logging_2039/artfynd/A 66637-2021 artfynd.xlsx", "A 66637-2021")</f>
        <v/>
      </c>
      <c r="T63">
        <f>HYPERLINK("https://klasma.github.io/Logging_2039/kartor/A 66637-2021 karta.png", "A 66637-2021")</f>
        <v/>
      </c>
      <c r="V63">
        <f>HYPERLINK("https://klasma.github.io/Logging_2039/klagomål/A 66637-2021 FSC-klagomål.docx", "A 66637-2021")</f>
        <v/>
      </c>
      <c r="W63">
        <f>HYPERLINK("https://klasma.github.io/Logging_2039/klagomålsmail/A 66637-2021 FSC-klagomål mail.docx", "A 66637-2021")</f>
        <v/>
      </c>
      <c r="X63">
        <f>HYPERLINK("https://klasma.github.io/Logging_2039/tillsyn/A 66637-2021 tillsynsbegäran.docx", "A 66637-2021")</f>
        <v/>
      </c>
      <c r="Y63">
        <f>HYPERLINK("https://klasma.github.io/Logging_2039/tillsynsmail/A 66637-2021 tillsynsbegäran mail.docx", "A 66637-2021")</f>
        <v/>
      </c>
    </row>
    <row r="64" ht="15" customHeight="1">
      <c r="A64" t="inlineStr">
        <is>
          <t>A 38582-2023</t>
        </is>
      </c>
      <c r="B64" s="1" t="n">
        <v>45162</v>
      </c>
      <c r="C64" s="1" t="n">
        <v>46081</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41913-2022</t>
        </is>
      </c>
      <c r="B65" s="1" t="n">
        <v>44830</v>
      </c>
      <c r="C65" s="1" t="n">
        <v>46081</v>
      </c>
      <c r="D65" t="inlineStr">
        <is>
          <t>DALARNAS LÄN</t>
        </is>
      </c>
      <c r="E65" t="inlineStr">
        <is>
          <t>ÄLVDALEN</t>
        </is>
      </c>
      <c r="F65" t="inlineStr">
        <is>
          <t>Sveaskog</t>
        </is>
      </c>
      <c r="G65" t="n">
        <v>5.6</v>
      </c>
      <c r="H65" t="n">
        <v>1</v>
      </c>
      <c r="I65" t="n">
        <v>1</v>
      </c>
      <c r="J65" t="n">
        <v>6</v>
      </c>
      <c r="K65" t="n">
        <v>2</v>
      </c>
      <c r="L65" t="n">
        <v>0</v>
      </c>
      <c r="M65" t="n">
        <v>0</v>
      </c>
      <c r="N65" t="n">
        <v>0</v>
      </c>
      <c r="O65" t="n">
        <v>8</v>
      </c>
      <c r="P65" t="n">
        <v>2</v>
      </c>
      <c r="Q65" t="n">
        <v>9</v>
      </c>
      <c r="R65" s="2" t="inlineStr">
        <is>
          <t>Fläckporing
Tajgataggsvamp
Blanksvart spiklav
Orange taggsvamp
Tretåig hackspett
Vaddporing
Vedflamlav
Vedskivlav
Dropptaggsvamp</t>
        </is>
      </c>
      <c r="S65">
        <f>HYPERLINK("https://klasma.github.io/Logging_2039/artfynd/A 41913-2022 artfynd.xlsx", "A 41913-2022")</f>
        <v/>
      </c>
      <c r="T65">
        <f>HYPERLINK("https://klasma.github.io/Logging_2039/kartor/A 41913-2022 karta.png", "A 41913-2022")</f>
        <v/>
      </c>
      <c r="V65">
        <f>HYPERLINK("https://klasma.github.io/Logging_2039/klagomål/A 41913-2022 FSC-klagomål.docx", "A 41913-2022")</f>
        <v/>
      </c>
      <c r="W65">
        <f>HYPERLINK("https://klasma.github.io/Logging_2039/klagomålsmail/A 41913-2022 FSC-klagomål mail.docx", "A 41913-2022")</f>
        <v/>
      </c>
      <c r="X65">
        <f>HYPERLINK("https://klasma.github.io/Logging_2039/tillsyn/A 41913-2022 tillsynsbegäran.docx", "A 41913-2022")</f>
        <v/>
      </c>
      <c r="Y65">
        <f>HYPERLINK("https://klasma.github.io/Logging_2039/tillsynsmail/A 41913-2022 tillsynsbegäran mail.docx", "A 41913-2022")</f>
        <v/>
      </c>
      <c r="Z65">
        <f>HYPERLINK("https://klasma.github.io/Logging_2039/fåglar/A 41913-2022 prioriterade fågelarter.docx", "A 41913-2022")</f>
        <v/>
      </c>
    </row>
    <row r="66" ht="15" customHeight="1">
      <c r="A66" t="inlineStr">
        <is>
          <t>A 17715-2024</t>
        </is>
      </c>
      <c r="B66" s="1" t="n">
        <v>45415</v>
      </c>
      <c r="C66" s="1" t="n">
        <v>46081</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46081</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46081</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46081</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46081</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46081</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46081</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71652-2021</t>
        </is>
      </c>
      <c r="B73" s="1" t="n">
        <v>44543</v>
      </c>
      <c r="C73" s="1" t="n">
        <v>46081</v>
      </c>
      <c r="D73" t="inlineStr">
        <is>
          <t>DALARNAS LÄN</t>
        </is>
      </c>
      <c r="E73" t="inlineStr">
        <is>
          <t>ÄLVDALEN</t>
        </is>
      </c>
      <c r="G73" t="n">
        <v>4.3</v>
      </c>
      <c r="H73" t="n">
        <v>3</v>
      </c>
      <c r="I73" t="n">
        <v>2</v>
      </c>
      <c r="J73" t="n">
        <v>6</v>
      </c>
      <c r="K73" t="n">
        <v>0</v>
      </c>
      <c r="L73" t="n">
        <v>0</v>
      </c>
      <c r="M73" t="n">
        <v>0</v>
      </c>
      <c r="N73" t="n">
        <v>0</v>
      </c>
      <c r="O73" t="n">
        <v>6</v>
      </c>
      <c r="P73" t="n">
        <v>0</v>
      </c>
      <c r="Q73" t="n">
        <v>8</v>
      </c>
      <c r="R73" s="2" t="inlineStr">
        <is>
          <t>Garnlav
Kolflarnlav
Spillkråka
Talltita
Tretåig hackspett
Vedskivlav
Björksplintborre
Mindre märgborre</t>
        </is>
      </c>
      <c r="S73">
        <f>HYPERLINK("https://klasma.github.io/Logging_2039/artfynd/A 71652-2021 artfynd.xlsx", "A 71652-2021")</f>
        <v/>
      </c>
      <c r="T73">
        <f>HYPERLINK("https://klasma.github.io/Logging_2039/kartor/A 71652-2021 karta.png", "A 71652-2021")</f>
        <v/>
      </c>
      <c r="V73">
        <f>HYPERLINK("https://klasma.github.io/Logging_2039/klagomål/A 71652-2021 FSC-klagomål.docx", "A 71652-2021")</f>
        <v/>
      </c>
      <c r="W73">
        <f>HYPERLINK("https://klasma.github.io/Logging_2039/klagomålsmail/A 71652-2021 FSC-klagomål mail.docx", "A 71652-2021")</f>
        <v/>
      </c>
      <c r="X73">
        <f>HYPERLINK("https://klasma.github.io/Logging_2039/tillsyn/A 71652-2021 tillsynsbegäran.docx", "A 71652-2021")</f>
        <v/>
      </c>
      <c r="Y73">
        <f>HYPERLINK("https://klasma.github.io/Logging_2039/tillsynsmail/A 71652-2021 tillsynsbegäran mail.docx", "A 71652-2021")</f>
        <v/>
      </c>
      <c r="Z73">
        <f>HYPERLINK("https://klasma.github.io/Logging_2039/fåglar/A 71652-2021 prioriterade fågelarter.docx", "A 71652-2021")</f>
        <v/>
      </c>
    </row>
    <row r="74" ht="15" customHeight="1">
      <c r="A74" t="inlineStr">
        <is>
          <t>A 51041-2025</t>
        </is>
      </c>
      <c r="B74" s="1" t="n">
        <v>45947</v>
      </c>
      <c r="C74" s="1" t="n">
        <v>46081</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25754-2025</t>
        </is>
      </c>
      <c r="B75" s="1" t="n">
        <v>45804.32020833333</v>
      </c>
      <c r="C75" s="1" t="n">
        <v>46081</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9783-2024</t>
        </is>
      </c>
      <c r="B76" s="1" t="n">
        <v>45362</v>
      </c>
      <c r="C76" s="1" t="n">
        <v>46081</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46305-2025</t>
        </is>
      </c>
      <c r="B77" s="1" t="n">
        <v>45925.4190625</v>
      </c>
      <c r="C77" s="1" t="n">
        <v>46081</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33882-2024</t>
        </is>
      </c>
      <c r="B78" s="1" t="n">
        <v>45522</v>
      </c>
      <c r="C78" s="1" t="n">
        <v>46081</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14277-2024</t>
        </is>
      </c>
      <c r="B79" s="1" t="n">
        <v>45393</v>
      </c>
      <c r="C79" s="1" t="n">
        <v>46081</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39267-2021</t>
        </is>
      </c>
      <c r="B80" s="1" t="n">
        <v>44413</v>
      </c>
      <c r="C80" s="1" t="n">
        <v>46081</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46081</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46081</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41750-2025</t>
        </is>
      </c>
      <c r="B83" s="1" t="n">
        <v>45902.49466435185</v>
      </c>
      <c r="C83" s="1" t="n">
        <v>46081</v>
      </c>
      <c r="D83" t="inlineStr">
        <is>
          <t>DALARNAS LÄN</t>
        </is>
      </c>
      <c r="E83" t="inlineStr">
        <is>
          <t>ÄLVDALEN</t>
        </is>
      </c>
      <c r="G83" t="n">
        <v>1.2</v>
      </c>
      <c r="H83" t="n">
        <v>0</v>
      </c>
      <c r="I83" t="n">
        <v>1</v>
      </c>
      <c r="J83" t="n">
        <v>4</v>
      </c>
      <c r="K83" t="n">
        <v>1</v>
      </c>
      <c r="L83" t="n">
        <v>0</v>
      </c>
      <c r="M83" t="n">
        <v>0</v>
      </c>
      <c r="N83" t="n">
        <v>0</v>
      </c>
      <c r="O83" t="n">
        <v>5</v>
      </c>
      <c r="P83" t="n">
        <v>1</v>
      </c>
      <c r="Q83" t="n">
        <v>6</v>
      </c>
      <c r="R83" s="2" t="inlineStr">
        <is>
          <t>Gräddporing
Dvärgbägarlav
Kolflarnlav
Mörk kolflarnlav
Vedflamlav
Dropptaggsvamp</t>
        </is>
      </c>
      <c r="S83">
        <f>HYPERLINK("https://klasma.github.io/Logging_2039/artfynd/A 41750-2025 artfynd.xlsx", "A 41750-2025")</f>
        <v/>
      </c>
      <c r="T83">
        <f>HYPERLINK("https://klasma.github.io/Logging_2039/kartor/A 41750-2025 karta.png", "A 41750-2025")</f>
        <v/>
      </c>
      <c r="V83">
        <f>HYPERLINK("https://klasma.github.io/Logging_2039/klagomål/A 41750-2025 FSC-klagomål.docx", "A 41750-2025")</f>
        <v/>
      </c>
      <c r="W83">
        <f>HYPERLINK("https://klasma.github.io/Logging_2039/klagomålsmail/A 41750-2025 FSC-klagomål mail.docx", "A 41750-2025")</f>
        <v/>
      </c>
      <c r="X83">
        <f>HYPERLINK("https://klasma.github.io/Logging_2039/tillsyn/A 41750-2025 tillsynsbegäran.docx", "A 41750-2025")</f>
        <v/>
      </c>
      <c r="Y83">
        <f>HYPERLINK("https://klasma.github.io/Logging_2039/tillsynsmail/A 41750-2025 tillsynsbegäran mail.docx", "A 41750-2025")</f>
        <v/>
      </c>
    </row>
    <row r="84" ht="15" customHeight="1">
      <c r="A84" t="inlineStr">
        <is>
          <t>A 22701-2024</t>
        </is>
      </c>
      <c r="B84" s="1" t="n">
        <v>45448</v>
      </c>
      <c r="C84" s="1" t="n">
        <v>46081</v>
      </c>
      <c r="D84" t="inlineStr">
        <is>
          <t>DALARNAS LÄN</t>
        </is>
      </c>
      <c r="E84" t="inlineStr">
        <is>
          <t>ÄLVDALEN</t>
        </is>
      </c>
      <c r="F84" t="inlineStr">
        <is>
          <t>Sveaskog</t>
        </is>
      </c>
      <c r="G84" t="n">
        <v>2.7</v>
      </c>
      <c r="H84" t="n">
        <v>0</v>
      </c>
      <c r="I84" t="n">
        <v>2</v>
      </c>
      <c r="J84" t="n">
        <v>1</v>
      </c>
      <c r="K84" t="n">
        <v>3</v>
      </c>
      <c r="L84" t="n">
        <v>0</v>
      </c>
      <c r="M84" t="n">
        <v>0</v>
      </c>
      <c r="N84" t="n">
        <v>0</v>
      </c>
      <c r="O84" t="n">
        <v>4</v>
      </c>
      <c r="P84" t="n">
        <v>3</v>
      </c>
      <c r="Q84" t="n">
        <v>6</v>
      </c>
      <c r="R84" s="2" t="inlineStr">
        <is>
          <t>Smalfotad taggsvamp
Tajgataggsvamp
Tallstocksticka
Dvärgbägarlav
Dropptaggsvamp
Skarp dropptaggsvamp</t>
        </is>
      </c>
      <c r="S84">
        <f>HYPERLINK("https://klasma.github.io/Logging_2039/artfynd/A 22701-2024 artfynd.xlsx", "A 22701-2024")</f>
        <v/>
      </c>
      <c r="T84">
        <f>HYPERLINK("https://klasma.github.io/Logging_2039/kartor/A 22701-2024 karta.png", "A 22701-2024")</f>
        <v/>
      </c>
      <c r="V84">
        <f>HYPERLINK("https://klasma.github.io/Logging_2039/klagomål/A 22701-2024 FSC-klagomål.docx", "A 22701-2024")</f>
        <v/>
      </c>
      <c r="W84">
        <f>HYPERLINK("https://klasma.github.io/Logging_2039/klagomålsmail/A 22701-2024 FSC-klagomål mail.docx", "A 22701-2024")</f>
        <v/>
      </c>
      <c r="X84">
        <f>HYPERLINK("https://klasma.github.io/Logging_2039/tillsyn/A 22701-2024 tillsynsbegäran.docx", "A 22701-2024")</f>
        <v/>
      </c>
      <c r="Y84">
        <f>HYPERLINK("https://klasma.github.io/Logging_2039/tillsynsmail/A 22701-2024 tillsynsbegäran mail.docx", "A 22701-2024")</f>
        <v/>
      </c>
    </row>
    <row r="85" ht="15" customHeight="1">
      <c r="A85" t="inlineStr">
        <is>
          <t>A 31821-2025</t>
        </is>
      </c>
      <c r="B85" s="1" t="n">
        <v>45834.57958333333</v>
      </c>
      <c r="C85" s="1" t="n">
        <v>46081</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31631-2025</t>
        </is>
      </c>
      <c r="B86" s="1" t="n">
        <v>45834</v>
      </c>
      <c r="C86" s="1" t="n">
        <v>46081</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33638-2025</t>
        </is>
      </c>
      <c r="B87" s="1" t="n">
        <v>45841.64807870371</v>
      </c>
      <c r="C87" s="1" t="n">
        <v>46081</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33822-2025</t>
        </is>
      </c>
      <c r="B88" s="1" t="n">
        <v>45842.46769675926</v>
      </c>
      <c r="C88" s="1" t="n">
        <v>46081</v>
      </c>
      <c r="D88" t="inlineStr">
        <is>
          <t>DALARNAS LÄN</t>
        </is>
      </c>
      <c r="E88" t="inlineStr">
        <is>
          <t>ÄLVDALEN</t>
        </is>
      </c>
      <c r="F88" t="inlineStr">
        <is>
          <t>Sveaskog</t>
        </is>
      </c>
      <c r="G88" t="n">
        <v>3.9</v>
      </c>
      <c r="H88" t="n">
        <v>0</v>
      </c>
      <c r="I88" t="n">
        <v>1</v>
      </c>
      <c r="J88" t="n">
        <v>5</v>
      </c>
      <c r="K88" t="n">
        <v>0</v>
      </c>
      <c r="L88" t="n">
        <v>0</v>
      </c>
      <c r="M88" t="n">
        <v>0</v>
      </c>
      <c r="N88" t="n">
        <v>0</v>
      </c>
      <c r="O88" t="n">
        <v>5</v>
      </c>
      <c r="P88" t="n">
        <v>0</v>
      </c>
      <c r="Q88" t="n">
        <v>6</v>
      </c>
      <c r="R88" s="2" t="inlineStr">
        <is>
          <t>Blå taggsvamp
Kolflarnlav
Motaggsvamp
Mörk kolflarnlav
Vedflamlav
Skarp dropptaggsvamp</t>
        </is>
      </c>
      <c r="S88">
        <f>HYPERLINK("https://klasma.github.io/Logging_2039/artfynd/A 33822-2025 artfynd.xlsx", "A 33822-2025")</f>
        <v/>
      </c>
      <c r="T88">
        <f>HYPERLINK("https://klasma.github.io/Logging_2039/kartor/A 33822-2025 karta.png", "A 33822-2025")</f>
        <v/>
      </c>
      <c r="V88">
        <f>HYPERLINK("https://klasma.github.io/Logging_2039/klagomål/A 33822-2025 FSC-klagomål.docx", "A 33822-2025")</f>
        <v/>
      </c>
      <c r="W88">
        <f>HYPERLINK("https://klasma.github.io/Logging_2039/klagomålsmail/A 33822-2025 FSC-klagomål mail.docx", "A 33822-2025")</f>
        <v/>
      </c>
      <c r="X88">
        <f>HYPERLINK("https://klasma.github.io/Logging_2039/tillsyn/A 33822-2025 tillsynsbegäran.docx", "A 33822-2025")</f>
        <v/>
      </c>
      <c r="Y88">
        <f>HYPERLINK("https://klasma.github.io/Logging_2039/tillsynsmail/A 33822-2025 tillsynsbegäran mail.docx", "A 33822-2025")</f>
        <v/>
      </c>
    </row>
    <row r="89" ht="15" customHeight="1">
      <c r="A89" t="inlineStr">
        <is>
          <t>A 19534-2025</t>
        </is>
      </c>
      <c r="B89" s="1" t="n">
        <v>45770.47667824074</v>
      </c>
      <c r="C89" s="1" t="n">
        <v>46081</v>
      </c>
      <c r="D89" t="inlineStr">
        <is>
          <t>DALARNAS LÄN</t>
        </is>
      </c>
      <c r="E89" t="inlineStr">
        <is>
          <t>ÄLVDALEN</t>
        </is>
      </c>
      <c r="F89" t="inlineStr">
        <is>
          <t>Sveaskog</t>
        </is>
      </c>
      <c r="G89" t="n">
        <v>34</v>
      </c>
      <c r="H89" t="n">
        <v>1</v>
      </c>
      <c r="I89" t="n">
        <v>1</v>
      </c>
      <c r="J89" t="n">
        <v>5</v>
      </c>
      <c r="K89" t="n">
        <v>0</v>
      </c>
      <c r="L89" t="n">
        <v>0</v>
      </c>
      <c r="M89" t="n">
        <v>0</v>
      </c>
      <c r="N89" t="n">
        <v>0</v>
      </c>
      <c r="O89" t="n">
        <v>5</v>
      </c>
      <c r="P89" t="n">
        <v>0</v>
      </c>
      <c r="Q89" t="n">
        <v>6</v>
      </c>
      <c r="R89" s="2" t="inlineStr">
        <is>
          <t>Dvärgbägarlav
Kolflarnlav
Mörk kolflarnlav
Varglav
Vedflamlav
Dropptaggsvamp</t>
        </is>
      </c>
      <c r="S89">
        <f>HYPERLINK("https://klasma.github.io/Logging_2039/artfynd/A 19534-2025 artfynd.xlsx", "A 19534-2025")</f>
        <v/>
      </c>
      <c r="T89">
        <f>HYPERLINK("https://klasma.github.io/Logging_2039/kartor/A 19534-2025 karta.png", "A 19534-2025")</f>
        <v/>
      </c>
      <c r="V89">
        <f>HYPERLINK("https://klasma.github.io/Logging_2039/klagomål/A 19534-2025 FSC-klagomål.docx", "A 19534-2025")</f>
        <v/>
      </c>
      <c r="W89">
        <f>HYPERLINK("https://klasma.github.io/Logging_2039/klagomålsmail/A 19534-2025 FSC-klagomål mail.docx", "A 19534-2025")</f>
        <v/>
      </c>
      <c r="X89">
        <f>HYPERLINK("https://klasma.github.io/Logging_2039/tillsyn/A 19534-2025 tillsynsbegäran.docx", "A 19534-2025")</f>
        <v/>
      </c>
      <c r="Y89">
        <f>HYPERLINK("https://klasma.github.io/Logging_2039/tillsynsmail/A 19534-2025 tillsynsbegäran mail.docx", "A 19534-2025")</f>
        <v/>
      </c>
    </row>
    <row r="90" ht="15" customHeight="1">
      <c r="A90" t="inlineStr">
        <is>
          <t>A 40417-2025</t>
        </is>
      </c>
      <c r="B90" s="1" t="n">
        <v>45895</v>
      </c>
      <c r="C90" s="1" t="n">
        <v>46081</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54671-2021</t>
        </is>
      </c>
      <c r="B91" s="1" t="n">
        <v>44473</v>
      </c>
      <c r="C91" s="1" t="n">
        <v>46081</v>
      </c>
      <c r="D91" t="inlineStr">
        <is>
          <t>DALARNAS LÄN</t>
        </is>
      </c>
      <c r="E91" t="inlineStr">
        <is>
          <t>ÄLVDALEN</t>
        </is>
      </c>
      <c r="G91" t="n">
        <v>26.4</v>
      </c>
      <c r="H91" t="n">
        <v>0</v>
      </c>
      <c r="I91" t="n">
        <v>0</v>
      </c>
      <c r="J91" t="n">
        <v>4</v>
      </c>
      <c r="K91" t="n">
        <v>1</v>
      </c>
      <c r="L91" t="n">
        <v>1</v>
      </c>
      <c r="M91" t="n">
        <v>0</v>
      </c>
      <c r="N91" t="n">
        <v>0</v>
      </c>
      <c r="O91" t="n">
        <v>6</v>
      </c>
      <c r="P91" t="n">
        <v>2</v>
      </c>
      <c r="Q91" t="n">
        <v>6</v>
      </c>
      <c r="R91" s="2" t="inlineStr">
        <is>
          <t>Timmerskapania
Fläckporing
Granticka
Kolflarnlav
Mörk kolflarnlav
Ullticka</t>
        </is>
      </c>
      <c r="S91">
        <f>HYPERLINK("https://klasma.github.io/Logging_2039/artfynd/A 54671-2021 artfynd.xlsx", "A 54671-2021")</f>
        <v/>
      </c>
      <c r="T91">
        <f>HYPERLINK("https://klasma.github.io/Logging_2039/kartor/A 54671-2021 karta.png", "A 54671-2021")</f>
        <v/>
      </c>
      <c r="V91">
        <f>HYPERLINK("https://klasma.github.io/Logging_2039/klagomål/A 54671-2021 FSC-klagomål.docx", "A 54671-2021")</f>
        <v/>
      </c>
      <c r="W91">
        <f>HYPERLINK("https://klasma.github.io/Logging_2039/klagomålsmail/A 54671-2021 FSC-klagomål mail.docx", "A 54671-2021")</f>
        <v/>
      </c>
      <c r="X91">
        <f>HYPERLINK("https://klasma.github.io/Logging_2039/tillsyn/A 54671-2021 tillsynsbegäran.docx", "A 54671-2021")</f>
        <v/>
      </c>
      <c r="Y91">
        <f>HYPERLINK("https://klasma.github.io/Logging_2039/tillsynsmail/A 54671-2021 tillsynsbegäran mail.docx", "A 54671-2021")</f>
        <v/>
      </c>
    </row>
    <row r="92" ht="15" customHeight="1">
      <c r="A92" t="inlineStr">
        <is>
          <t>A 58889-2025</t>
        </is>
      </c>
      <c r="B92" s="1" t="n">
        <v>45987.48891203704</v>
      </c>
      <c r="C92" s="1" t="n">
        <v>46081</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59303-2025</t>
        </is>
      </c>
      <c r="B93" s="1" t="n">
        <v>45988</v>
      </c>
      <c r="C93" s="1" t="n">
        <v>46081</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46081</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39278-2022</t>
        </is>
      </c>
      <c r="B95" s="1" t="n">
        <v>44817</v>
      </c>
      <c r="C95" s="1" t="n">
        <v>46081</v>
      </c>
      <c r="D95" t="inlineStr">
        <is>
          <t>DALARNAS LÄN</t>
        </is>
      </c>
      <c r="E95" t="inlineStr">
        <is>
          <t>ÄLVDALEN</t>
        </is>
      </c>
      <c r="G95" t="n">
        <v>20.3</v>
      </c>
      <c r="H95" t="n">
        <v>1</v>
      </c>
      <c r="I95" t="n">
        <v>0</v>
      </c>
      <c r="J95" t="n">
        <v>4</v>
      </c>
      <c r="K95" t="n">
        <v>2</v>
      </c>
      <c r="L95" t="n">
        <v>0</v>
      </c>
      <c r="M95" t="n">
        <v>0</v>
      </c>
      <c r="N95" t="n">
        <v>0</v>
      </c>
      <c r="O95" t="n">
        <v>6</v>
      </c>
      <c r="P95" t="n">
        <v>2</v>
      </c>
      <c r="Q95" t="n">
        <v>6</v>
      </c>
      <c r="R95" s="2" t="inlineStr">
        <is>
          <t>Rynkskinn
Sprickporing
Granticka
Gränsticka
Tretåig hackspett
Violettgrå tagellav</t>
        </is>
      </c>
      <c r="S95">
        <f>HYPERLINK("https://klasma.github.io/Logging_2039/artfynd/A 39278-2022 artfynd.xlsx", "A 39278-2022")</f>
        <v/>
      </c>
      <c r="T95">
        <f>HYPERLINK("https://klasma.github.io/Logging_2039/kartor/A 39278-2022 karta.png", "A 39278-2022")</f>
        <v/>
      </c>
      <c r="V95">
        <f>HYPERLINK("https://klasma.github.io/Logging_2039/klagomål/A 39278-2022 FSC-klagomål.docx", "A 39278-2022")</f>
        <v/>
      </c>
      <c r="W95">
        <f>HYPERLINK("https://klasma.github.io/Logging_2039/klagomålsmail/A 39278-2022 FSC-klagomål mail.docx", "A 39278-2022")</f>
        <v/>
      </c>
      <c r="X95">
        <f>HYPERLINK("https://klasma.github.io/Logging_2039/tillsyn/A 39278-2022 tillsynsbegäran.docx", "A 39278-2022")</f>
        <v/>
      </c>
      <c r="Y95">
        <f>HYPERLINK("https://klasma.github.io/Logging_2039/tillsynsmail/A 39278-2022 tillsynsbegäran mail.docx", "A 39278-2022")</f>
        <v/>
      </c>
      <c r="Z95">
        <f>HYPERLINK("https://klasma.github.io/Logging_2039/fåglar/A 39278-2022 prioriterade fågelarter.docx", "A 39278-2022")</f>
        <v/>
      </c>
    </row>
    <row r="96" ht="15" customHeight="1">
      <c r="A96" t="inlineStr">
        <is>
          <t>A 41782-2025</t>
        </is>
      </c>
      <c r="B96" s="1" t="n">
        <v>45902.58693287037</v>
      </c>
      <c r="C96" s="1" t="n">
        <v>46081</v>
      </c>
      <c r="D96" t="inlineStr">
        <is>
          <t>DALARNAS LÄN</t>
        </is>
      </c>
      <c r="E96" t="inlineStr">
        <is>
          <t>ÄLVDALEN</t>
        </is>
      </c>
      <c r="F96" t="inlineStr">
        <is>
          <t>Sveaskog</t>
        </is>
      </c>
      <c r="G96" t="n">
        <v>22.8</v>
      </c>
      <c r="H96" t="n">
        <v>2</v>
      </c>
      <c r="I96" t="n">
        <v>3</v>
      </c>
      <c r="J96" t="n">
        <v>2</v>
      </c>
      <c r="K96" t="n">
        <v>0</v>
      </c>
      <c r="L96" t="n">
        <v>0</v>
      </c>
      <c r="M96" t="n">
        <v>0</v>
      </c>
      <c r="N96" t="n">
        <v>0</v>
      </c>
      <c r="O96" t="n">
        <v>2</v>
      </c>
      <c r="P96" t="n">
        <v>0</v>
      </c>
      <c r="Q96" t="n">
        <v>5</v>
      </c>
      <c r="R96" s="2" t="inlineStr">
        <is>
          <t>Blå taggsvamp
Talltita
Dropptaggsvamp
Plattlummer
Skarp dropptaggsvamp</t>
        </is>
      </c>
      <c r="S96">
        <f>HYPERLINK("https://klasma.github.io/Logging_2039/artfynd/A 41782-2025 artfynd.xlsx", "A 41782-2025")</f>
        <v/>
      </c>
      <c r="T96">
        <f>HYPERLINK("https://klasma.github.io/Logging_2039/kartor/A 41782-2025 karta.png", "A 41782-2025")</f>
        <v/>
      </c>
      <c r="V96">
        <f>HYPERLINK("https://klasma.github.io/Logging_2039/klagomål/A 41782-2025 FSC-klagomål.docx", "A 41782-2025")</f>
        <v/>
      </c>
      <c r="W96">
        <f>HYPERLINK("https://klasma.github.io/Logging_2039/klagomålsmail/A 41782-2025 FSC-klagomål mail.docx", "A 41782-2025")</f>
        <v/>
      </c>
      <c r="X96">
        <f>HYPERLINK("https://klasma.github.io/Logging_2039/tillsyn/A 41782-2025 tillsynsbegäran.docx", "A 41782-2025")</f>
        <v/>
      </c>
      <c r="Y96">
        <f>HYPERLINK("https://klasma.github.io/Logging_2039/tillsynsmail/A 41782-2025 tillsynsbegäran mail.docx", "A 41782-2025")</f>
        <v/>
      </c>
      <c r="Z96">
        <f>HYPERLINK("https://klasma.github.io/Logging_2039/fåglar/A 41782-2025 prioriterade fågelarter.docx", "A 41782-2025")</f>
        <v/>
      </c>
    </row>
    <row r="97" ht="15" customHeight="1">
      <c r="A97" t="inlineStr">
        <is>
          <t>A 16894-2025</t>
        </is>
      </c>
      <c r="B97" s="1" t="n">
        <v>45755.33045138889</v>
      </c>
      <c r="C97" s="1" t="n">
        <v>46081</v>
      </c>
      <c r="D97" t="inlineStr">
        <is>
          <t>DALARNAS LÄN</t>
        </is>
      </c>
      <c r="E97" t="inlineStr">
        <is>
          <t>ÄLVDALEN</t>
        </is>
      </c>
      <c r="F97" t="inlineStr">
        <is>
          <t>Sveaskog</t>
        </is>
      </c>
      <c r="G97" t="n">
        <v>17.3</v>
      </c>
      <c r="H97" t="n">
        <v>0</v>
      </c>
      <c r="I97" t="n">
        <v>1</v>
      </c>
      <c r="J97" t="n">
        <v>4</v>
      </c>
      <c r="K97" t="n">
        <v>0</v>
      </c>
      <c r="L97" t="n">
        <v>0</v>
      </c>
      <c r="M97" t="n">
        <v>0</v>
      </c>
      <c r="N97" t="n">
        <v>0</v>
      </c>
      <c r="O97" t="n">
        <v>4</v>
      </c>
      <c r="P97" t="n">
        <v>0</v>
      </c>
      <c r="Q97" t="n">
        <v>5</v>
      </c>
      <c r="R97" s="2" t="inlineStr">
        <is>
          <t>Dvärgbägarlav
Kolflarnlav
Mörk kolflarnlav
Vedflamlav
Dropptaggsvamp</t>
        </is>
      </c>
      <c r="S97">
        <f>HYPERLINK("https://klasma.github.io/Logging_2039/artfynd/A 16894-2025 artfynd.xlsx", "A 16894-2025")</f>
        <v/>
      </c>
      <c r="T97">
        <f>HYPERLINK("https://klasma.github.io/Logging_2039/kartor/A 16894-2025 karta.png", "A 16894-2025")</f>
        <v/>
      </c>
      <c r="V97">
        <f>HYPERLINK("https://klasma.github.io/Logging_2039/klagomål/A 16894-2025 FSC-klagomål.docx", "A 16894-2025")</f>
        <v/>
      </c>
      <c r="W97">
        <f>HYPERLINK("https://klasma.github.io/Logging_2039/klagomålsmail/A 16894-2025 FSC-klagomål mail.docx", "A 16894-2025")</f>
        <v/>
      </c>
      <c r="X97">
        <f>HYPERLINK("https://klasma.github.io/Logging_2039/tillsyn/A 16894-2025 tillsynsbegäran.docx", "A 16894-2025")</f>
        <v/>
      </c>
      <c r="Y97">
        <f>HYPERLINK("https://klasma.github.io/Logging_2039/tillsynsmail/A 16894-2025 tillsynsbegäran mail.docx", "A 16894-2025")</f>
        <v/>
      </c>
    </row>
    <row r="98" ht="15" customHeight="1">
      <c r="A98" t="inlineStr">
        <is>
          <t>A 38585-2023</t>
        </is>
      </c>
      <c r="B98" s="1" t="n">
        <v>45162</v>
      </c>
      <c r="C98" s="1" t="n">
        <v>46081</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61591-2025</t>
        </is>
      </c>
      <c r="B99" s="1" t="n">
        <v>46002.34777777778</v>
      </c>
      <c r="C99" s="1" t="n">
        <v>46081</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49053-2023</t>
        </is>
      </c>
      <c r="B100" s="1" t="n">
        <v>45210</v>
      </c>
      <c r="C100" s="1" t="n">
        <v>46081</v>
      </c>
      <c r="D100" t="inlineStr">
        <is>
          <t>DALARNAS LÄN</t>
        </is>
      </c>
      <c r="E100" t="inlineStr">
        <is>
          <t>ÄLVDALEN</t>
        </is>
      </c>
      <c r="F100" t="inlineStr">
        <is>
          <t>Sveaskog</t>
        </is>
      </c>
      <c r="G100" t="n">
        <v>3.6</v>
      </c>
      <c r="H100" t="n">
        <v>0</v>
      </c>
      <c r="I100" t="n">
        <v>2</v>
      </c>
      <c r="J100" t="n">
        <v>3</v>
      </c>
      <c r="K100" t="n">
        <v>0</v>
      </c>
      <c r="L100" t="n">
        <v>0</v>
      </c>
      <c r="M100" t="n">
        <v>0</v>
      </c>
      <c r="N100" t="n">
        <v>0</v>
      </c>
      <c r="O100" t="n">
        <v>3</v>
      </c>
      <c r="P100" t="n">
        <v>0</v>
      </c>
      <c r="Q100" t="n">
        <v>5</v>
      </c>
      <c r="R100" s="2" t="inlineStr">
        <is>
          <t>Kolflarnlav
Nordtagging
Vedflamlav
Dropptaggsvamp
Skarp dropptaggsvamp</t>
        </is>
      </c>
      <c r="S100">
        <f>HYPERLINK("https://klasma.github.io/Logging_2039/artfynd/A 49053-2023 artfynd.xlsx", "A 49053-2023")</f>
        <v/>
      </c>
      <c r="T100">
        <f>HYPERLINK("https://klasma.github.io/Logging_2039/kartor/A 49053-2023 karta.png", "A 49053-2023")</f>
        <v/>
      </c>
      <c r="V100">
        <f>HYPERLINK("https://klasma.github.io/Logging_2039/klagomål/A 49053-2023 FSC-klagomål.docx", "A 49053-2023")</f>
        <v/>
      </c>
      <c r="W100">
        <f>HYPERLINK("https://klasma.github.io/Logging_2039/klagomålsmail/A 49053-2023 FSC-klagomål mail.docx", "A 49053-2023")</f>
        <v/>
      </c>
      <c r="X100">
        <f>HYPERLINK("https://klasma.github.io/Logging_2039/tillsyn/A 49053-2023 tillsynsbegäran.docx", "A 49053-2023")</f>
        <v/>
      </c>
      <c r="Y100">
        <f>HYPERLINK("https://klasma.github.io/Logging_2039/tillsynsmail/A 49053-2023 tillsynsbegäran mail.docx", "A 49053-2023")</f>
        <v/>
      </c>
    </row>
    <row r="101" ht="15" customHeight="1">
      <c r="A101" t="inlineStr">
        <is>
          <t>A 62684-2025</t>
        </is>
      </c>
      <c r="B101" s="1" t="n">
        <v>46008.45831018518</v>
      </c>
      <c r="C101" s="1" t="n">
        <v>46081</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19616-2024</t>
        </is>
      </c>
      <c r="B102" s="1" t="n">
        <v>45432.31541666666</v>
      </c>
      <c r="C102" s="1" t="n">
        <v>46081</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2221-2026</t>
        </is>
      </c>
      <c r="B103" s="1" t="n">
        <v>46036.50204861111</v>
      </c>
      <c r="C103" s="1" t="n">
        <v>46081</v>
      </c>
      <c r="D103" t="inlineStr">
        <is>
          <t>DALARNAS LÄN</t>
        </is>
      </c>
      <c r="E103" t="inlineStr">
        <is>
          <t>ÄLVDALEN</t>
        </is>
      </c>
      <c r="F103" t="inlineStr">
        <is>
          <t>Allmännings- och besparingsskogar</t>
        </is>
      </c>
      <c r="G103" t="n">
        <v>3</v>
      </c>
      <c r="H103" t="n">
        <v>1</v>
      </c>
      <c r="I103" t="n">
        <v>0</v>
      </c>
      <c r="J103" t="n">
        <v>4</v>
      </c>
      <c r="K103" t="n">
        <v>0</v>
      </c>
      <c r="L103" t="n">
        <v>0</v>
      </c>
      <c r="M103" t="n">
        <v>0</v>
      </c>
      <c r="N103" t="n">
        <v>0</v>
      </c>
      <c r="O103" t="n">
        <v>4</v>
      </c>
      <c r="P103" t="n">
        <v>0</v>
      </c>
      <c r="Q103" t="n">
        <v>5</v>
      </c>
      <c r="R103" s="2" t="inlineStr">
        <is>
          <t>Garnlav
Kolflarnlav
Vedflamlav
Vedskivlav
Orre</t>
        </is>
      </c>
      <c r="S103">
        <f>HYPERLINK("https://klasma.github.io/Logging_2039/artfynd/A 2221-2026 artfynd.xlsx", "A 2221-2026")</f>
        <v/>
      </c>
      <c r="T103">
        <f>HYPERLINK("https://klasma.github.io/Logging_2039/kartor/A 2221-2026 karta.png", "A 2221-2026")</f>
        <v/>
      </c>
      <c r="V103">
        <f>HYPERLINK("https://klasma.github.io/Logging_2039/klagomål/A 2221-2026 FSC-klagomål.docx", "A 2221-2026")</f>
        <v/>
      </c>
      <c r="W103">
        <f>HYPERLINK("https://klasma.github.io/Logging_2039/klagomålsmail/A 2221-2026 FSC-klagomål mail.docx", "A 2221-2026")</f>
        <v/>
      </c>
      <c r="X103">
        <f>HYPERLINK("https://klasma.github.io/Logging_2039/tillsyn/A 2221-2026 tillsynsbegäran.docx", "A 2221-2026")</f>
        <v/>
      </c>
      <c r="Y103">
        <f>HYPERLINK("https://klasma.github.io/Logging_2039/tillsynsmail/A 2221-2026 tillsynsbegäran mail.docx", "A 2221-2026")</f>
        <v/>
      </c>
      <c r="Z103">
        <f>HYPERLINK("https://klasma.github.io/Logging_2039/fåglar/A 2221-2026 prioriterade fågelarter.docx", "A 2221-2026")</f>
        <v/>
      </c>
    </row>
    <row r="104" ht="15" customHeight="1">
      <c r="A104" t="inlineStr">
        <is>
          <t>A 25089-2024</t>
        </is>
      </c>
      <c r="B104" s="1" t="n">
        <v>45462.39879629629</v>
      </c>
      <c r="C104" s="1" t="n">
        <v>46081</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10282-2024</t>
        </is>
      </c>
      <c r="B105" s="1" t="n">
        <v>45365</v>
      </c>
      <c r="C105" s="1" t="n">
        <v>46081</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36580-2024</t>
        </is>
      </c>
      <c r="B106" s="1" t="n">
        <v>45537.50400462963</v>
      </c>
      <c r="C106" s="1" t="n">
        <v>46081</v>
      </c>
      <c r="D106" t="inlineStr">
        <is>
          <t>DALARNAS LÄN</t>
        </is>
      </c>
      <c r="E106" t="inlineStr">
        <is>
          <t>ÄLVDALEN</t>
        </is>
      </c>
      <c r="F106" t="inlineStr">
        <is>
          <t>Sveaskog</t>
        </is>
      </c>
      <c r="G106" t="n">
        <v>4.2</v>
      </c>
      <c r="H106" t="n">
        <v>0</v>
      </c>
      <c r="I106" t="n">
        <v>0</v>
      </c>
      <c r="J106" t="n">
        <v>4</v>
      </c>
      <c r="K106" t="n">
        <v>0</v>
      </c>
      <c r="L106" t="n">
        <v>0</v>
      </c>
      <c r="M106" t="n">
        <v>0</v>
      </c>
      <c r="N106" t="n">
        <v>0</v>
      </c>
      <c r="O106" t="n">
        <v>4</v>
      </c>
      <c r="P106" t="n">
        <v>0</v>
      </c>
      <c r="Q106" t="n">
        <v>4</v>
      </c>
      <c r="R106" s="2" t="inlineStr">
        <is>
          <t>Garnlav
Kolflarnlav
Mörk kolflarnlav
Vedflamlav</t>
        </is>
      </c>
      <c r="S106">
        <f>HYPERLINK("https://klasma.github.io/Logging_2039/artfynd/A 36580-2024 artfynd.xlsx", "A 36580-2024")</f>
        <v/>
      </c>
      <c r="T106">
        <f>HYPERLINK("https://klasma.github.io/Logging_2039/kartor/A 36580-2024 karta.png", "A 36580-2024")</f>
        <v/>
      </c>
      <c r="V106">
        <f>HYPERLINK("https://klasma.github.io/Logging_2039/klagomål/A 36580-2024 FSC-klagomål.docx", "A 36580-2024")</f>
        <v/>
      </c>
      <c r="W106">
        <f>HYPERLINK("https://klasma.github.io/Logging_2039/klagomålsmail/A 36580-2024 FSC-klagomål mail.docx", "A 36580-2024")</f>
        <v/>
      </c>
      <c r="X106">
        <f>HYPERLINK("https://klasma.github.io/Logging_2039/tillsyn/A 36580-2024 tillsynsbegäran.docx", "A 36580-2024")</f>
        <v/>
      </c>
      <c r="Y106">
        <f>HYPERLINK("https://klasma.github.io/Logging_2039/tillsynsmail/A 36580-2024 tillsynsbegäran mail.docx", "A 36580-2024")</f>
        <v/>
      </c>
    </row>
    <row r="107" ht="15" customHeight="1">
      <c r="A107" t="inlineStr">
        <is>
          <t>A 43344-2025</t>
        </is>
      </c>
      <c r="B107" s="1" t="n">
        <v>45910.76924768519</v>
      </c>
      <c r="C107" s="1" t="n">
        <v>46081</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32207-2024</t>
        </is>
      </c>
      <c r="B108" s="1" t="n">
        <v>45511.67440972223</v>
      </c>
      <c r="C108" s="1" t="n">
        <v>46081</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29252-2023</t>
        </is>
      </c>
      <c r="B109" s="1" t="n">
        <v>45105</v>
      </c>
      <c r="C109" s="1" t="n">
        <v>46081</v>
      </c>
      <c r="D109" t="inlineStr">
        <is>
          <t>DALARNAS LÄN</t>
        </is>
      </c>
      <c r="E109" t="inlineStr">
        <is>
          <t>ÄLVDALEN</t>
        </is>
      </c>
      <c r="F109" t="inlineStr">
        <is>
          <t>Allmännings- och besparingsskogar</t>
        </is>
      </c>
      <c r="G109" t="n">
        <v>3.5</v>
      </c>
      <c r="H109" t="n">
        <v>1</v>
      </c>
      <c r="I109" t="n">
        <v>0</v>
      </c>
      <c r="J109" t="n">
        <v>4</v>
      </c>
      <c r="K109" t="n">
        <v>0</v>
      </c>
      <c r="L109" t="n">
        <v>0</v>
      </c>
      <c r="M109" t="n">
        <v>0</v>
      </c>
      <c r="N109" t="n">
        <v>0</v>
      </c>
      <c r="O109" t="n">
        <v>4</v>
      </c>
      <c r="P109" t="n">
        <v>0</v>
      </c>
      <c r="Q109" t="n">
        <v>4</v>
      </c>
      <c r="R109" s="2" t="inlineStr">
        <is>
          <t>Knottrig blåslav
Kolflarnlav
Varglav
Vedflamlav</t>
        </is>
      </c>
      <c r="S109">
        <f>HYPERLINK("https://klasma.github.io/Logging_2039/artfynd/A 29252-2023 artfynd.xlsx", "A 29252-2023")</f>
        <v/>
      </c>
      <c r="T109">
        <f>HYPERLINK("https://klasma.github.io/Logging_2039/kartor/A 29252-2023 karta.png", "A 29252-2023")</f>
        <v/>
      </c>
      <c r="V109">
        <f>HYPERLINK("https://klasma.github.io/Logging_2039/klagomål/A 29252-2023 FSC-klagomål.docx", "A 29252-2023")</f>
        <v/>
      </c>
      <c r="W109">
        <f>HYPERLINK("https://klasma.github.io/Logging_2039/klagomålsmail/A 29252-2023 FSC-klagomål mail.docx", "A 29252-2023")</f>
        <v/>
      </c>
      <c r="X109">
        <f>HYPERLINK("https://klasma.github.io/Logging_2039/tillsyn/A 29252-2023 tillsynsbegäran.docx", "A 29252-2023")</f>
        <v/>
      </c>
      <c r="Y109">
        <f>HYPERLINK("https://klasma.github.io/Logging_2039/tillsynsmail/A 29252-2023 tillsynsbegäran mail.docx", "A 29252-2023")</f>
        <v/>
      </c>
    </row>
    <row r="110" ht="15" customHeight="1">
      <c r="A110" t="inlineStr">
        <is>
          <t>A 51896-2025</t>
        </is>
      </c>
      <c r="B110" s="1" t="n">
        <v>45952.43372685185</v>
      </c>
      <c r="C110" s="1" t="n">
        <v>46081</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46081</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32204-2024</t>
        </is>
      </c>
      <c r="B112" s="1" t="n">
        <v>45511.67277777778</v>
      </c>
      <c r="C112" s="1" t="n">
        <v>46081</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Blanksvart spiklav
Kolflarnlav
Mörk kolflarnlav
Vedflamlav</t>
        </is>
      </c>
      <c r="S112">
        <f>HYPERLINK("https://klasma.github.io/Logging_2039/artfynd/A 32204-2024 artfynd.xlsx", "A 32204-2024")</f>
        <v/>
      </c>
      <c r="T112">
        <f>HYPERLINK("https://klasma.github.io/Logging_2039/kartor/A 32204-2024 karta.png", "A 32204-2024")</f>
        <v/>
      </c>
      <c r="V112">
        <f>HYPERLINK("https://klasma.github.io/Logging_2039/klagomål/A 32204-2024 FSC-klagomål.docx", "A 32204-2024")</f>
        <v/>
      </c>
      <c r="W112">
        <f>HYPERLINK("https://klasma.github.io/Logging_2039/klagomålsmail/A 32204-2024 FSC-klagomål mail.docx", "A 32204-2024")</f>
        <v/>
      </c>
      <c r="X112">
        <f>HYPERLINK("https://klasma.github.io/Logging_2039/tillsyn/A 32204-2024 tillsynsbegäran.docx", "A 32204-2024")</f>
        <v/>
      </c>
      <c r="Y112">
        <f>HYPERLINK("https://klasma.github.io/Logging_2039/tillsynsmail/A 32204-2024 tillsynsbegäran mail.docx", "A 32204-2024")</f>
        <v/>
      </c>
    </row>
    <row r="113" ht="15" customHeight="1">
      <c r="A113" t="inlineStr">
        <is>
          <t>A 61583-2025</t>
        </is>
      </c>
      <c r="B113" s="1" t="n">
        <v>46002.34027777778</v>
      </c>
      <c r="C113" s="1" t="n">
        <v>46081</v>
      </c>
      <c r="D113" t="inlineStr">
        <is>
          <t>DALARNAS LÄN</t>
        </is>
      </c>
      <c r="E113" t="inlineStr">
        <is>
          <t>ÄLVDALEN</t>
        </is>
      </c>
      <c r="F113" t="inlineStr">
        <is>
          <t>Sveaskog</t>
        </is>
      </c>
      <c r="G113" t="n">
        <v>6.7</v>
      </c>
      <c r="H113" t="n">
        <v>2</v>
      </c>
      <c r="I113" t="n">
        <v>1</v>
      </c>
      <c r="J113" t="n">
        <v>3</v>
      </c>
      <c r="K113" t="n">
        <v>0</v>
      </c>
      <c r="L113" t="n">
        <v>0</v>
      </c>
      <c r="M113" t="n">
        <v>0</v>
      </c>
      <c r="N113" t="n">
        <v>0</v>
      </c>
      <c r="O113" t="n">
        <v>3</v>
      </c>
      <c r="P113" t="n">
        <v>0</v>
      </c>
      <c r="Q113" t="n">
        <v>4</v>
      </c>
      <c r="R113" s="2" t="inlineStr">
        <is>
          <t>Kolflarnlav
Mörk kolflarnlav
Varglav
Plattlummer</t>
        </is>
      </c>
      <c r="S113">
        <f>HYPERLINK("https://klasma.github.io/Logging_2039/artfynd/A 61583-2025 artfynd.xlsx", "A 61583-2025")</f>
        <v/>
      </c>
      <c r="T113">
        <f>HYPERLINK("https://klasma.github.io/Logging_2039/kartor/A 61583-2025 karta.png", "A 61583-2025")</f>
        <v/>
      </c>
      <c r="V113">
        <f>HYPERLINK("https://klasma.github.io/Logging_2039/klagomål/A 61583-2025 FSC-klagomål.docx", "A 61583-2025")</f>
        <v/>
      </c>
      <c r="W113">
        <f>HYPERLINK("https://klasma.github.io/Logging_2039/klagomålsmail/A 61583-2025 FSC-klagomål mail.docx", "A 61583-2025")</f>
        <v/>
      </c>
      <c r="X113">
        <f>HYPERLINK("https://klasma.github.io/Logging_2039/tillsyn/A 61583-2025 tillsynsbegäran.docx", "A 61583-2025")</f>
        <v/>
      </c>
      <c r="Y113">
        <f>HYPERLINK("https://klasma.github.io/Logging_2039/tillsynsmail/A 61583-2025 tillsynsbegäran mail.docx", "A 61583-2025")</f>
        <v/>
      </c>
    </row>
    <row r="114" ht="15" customHeight="1">
      <c r="A114" t="inlineStr">
        <is>
          <t>A 61585-2025</t>
        </is>
      </c>
      <c r="B114" s="1" t="n">
        <v>46002.34267361111</v>
      </c>
      <c r="C114" s="1" t="n">
        <v>46081</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63327-2025</t>
        </is>
      </c>
      <c r="B115" s="1" t="n">
        <v>46010.63902777778</v>
      </c>
      <c r="C115" s="1" t="n">
        <v>46081</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7921-2026</t>
        </is>
      </c>
      <c r="B116" s="1" t="n">
        <v>46063</v>
      </c>
      <c r="C116" s="1" t="n">
        <v>46081</v>
      </c>
      <c r="D116" t="inlineStr">
        <is>
          <t>DALARNAS LÄN</t>
        </is>
      </c>
      <c r="E116" t="inlineStr">
        <is>
          <t>ÄLVDALEN</t>
        </is>
      </c>
      <c r="F116" t="inlineStr">
        <is>
          <t>Övriga Aktiebolag</t>
        </is>
      </c>
      <c r="G116" t="n">
        <v>6.6</v>
      </c>
      <c r="H116" t="n">
        <v>0</v>
      </c>
      <c r="I116" t="n">
        <v>2</v>
      </c>
      <c r="J116" t="n">
        <v>2</v>
      </c>
      <c r="K116" t="n">
        <v>0</v>
      </c>
      <c r="L116" t="n">
        <v>0</v>
      </c>
      <c r="M116" t="n">
        <v>0</v>
      </c>
      <c r="N116" t="n">
        <v>0</v>
      </c>
      <c r="O116" t="n">
        <v>2</v>
      </c>
      <c r="P116" t="n">
        <v>0</v>
      </c>
      <c r="Q116" t="n">
        <v>4</v>
      </c>
      <c r="R116" s="2" t="inlineStr">
        <is>
          <t>Knottrig blåslav
Lunglav
Bårdlav
Stuplav</t>
        </is>
      </c>
      <c r="S116">
        <f>HYPERLINK("https://klasma.github.io/Logging_2039/artfynd/A 7921-2026 artfynd.xlsx", "A 7921-2026")</f>
        <v/>
      </c>
      <c r="T116">
        <f>HYPERLINK("https://klasma.github.io/Logging_2039/kartor/A 7921-2026 karta.png", "A 7921-2026")</f>
        <v/>
      </c>
      <c r="V116">
        <f>HYPERLINK("https://klasma.github.io/Logging_2039/klagomål/A 7921-2026 FSC-klagomål.docx", "A 7921-2026")</f>
        <v/>
      </c>
      <c r="W116">
        <f>HYPERLINK("https://klasma.github.io/Logging_2039/klagomålsmail/A 7921-2026 FSC-klagomål mail.docx", "A 7921-2026")</f>
        <v/>
      </c>
      <c r="X116">
        <f>HYPERLINK("https://klasma.github.io/Logging_2039/tillsyn/A 7921-2026 tillsynsbegäran.docx", "A 7921-2026")</f>
        <v/>
      </c>
      <c r="Y116">
        <f>HYPERLINK("https://klasma.github.io/Logging_2039/tillsynsmail/A 7921-2026 tillsynsbegäran mail.docx", "A 7921-2026")</f>
        <v/>
      </c>
    </row>
    <row r="117" ht="15" customHeight="1">
      <c r="A117" t="inlineStr">
        <is>
          <t>A 38819-2024</t>
        </is>
      </c>
      <c r="B117" s="1" t="n">
        <v>45547.5541087963</v>
      </c>
      <c r="C117" s="1" t="n">
        <v>46081</v>
      </c>
      <c r="D117" t="inlineStr">
        <is>
          <t>DALARNAS LÄN</t>
        </is>
      </c>
      <c r="E117" t="inlineStr">
        <is>
          <t>ÄLVDALEN</t>
        </is>
      </c>
      <c r="F117" t="inlineStr">
        <is>
          <t>Sveaskog</t>
        </is>
      </c>
      <c r="G117" t="n">
        <v>2.9</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38819-2024 artfynd.xlsx", "A 38819-2024")</f>
        <v/>
      </c>
      <c r="T117">
        <f>HYPERLINK("https://klasma.github.io/Logging_2039/kartor/A 38819-2024 karta.png", "A 38819-2024")</f>
        <v/>
      </c>
      <c r="V117">
        <f>HYPERLINK("https://klasma.github.io/Logging_2039/klagomål/A 38819-2024 FSC-klagomål.docx", "A 38819-2024")</f>
        <v/>
      </c>
      <c r="W117">
        <f>HYPERLINK("https://klasma.github.io/Logging_2039/klagomålsmail/A 38819-2024 FSC-klagomål mail.docx", "A 38819-2024")</f>
        <v/>
      </c>
      <c r="X117">
        <f>HYPERLINK("https://klasma.github.io/Logging_2039/tillsyn/A 38819-2024 tillsynsbegäran.docx", "A 38819-2024")</f>
        <v/>
      </c>
      <c r="Y117">
        <f>HYPERLINK("https://klasma.github.io/Logging_2039/tillsynsmail/A 38819-2024 tillsynsbegäran mail.docx", "A 38819-2024")</f>
        <v/>
      </c>
    </row>
    <row r="118" ht="15" customHeight="1">
      <c r="A118" t="inlineStr">
        <is>
          <t>A 57505-2024</t>
        </is>
      </c>
      <c r="B118" s="1" t="n">
        <v>45630</v>
      </c>
      <c r="C118" s="1" t="n">
        <v>46081</v>
      </c>
      <c r="D118" t="inlineStr">
        <is>
          <t>DALARNAS LÄN</t>
        </is>
      </c>
      <c r="E118" t="inlineStr">
        <is>
          <t>ÄLVDALEN</t>
        </is>
      </c>
      <c r="F118" t="inlineStr">
        <is>
          <t>Allmännings- och besparingsskogar</t>
        </is>
      </c>
      <c r="G118" t="n">
        <v>2.3</v>
      </c>
      <c r="H118" t="n">
        <v>0</v>
      </c>
      <c r="I118" t="n">
        <v>2</v>
      </c>
      <c r="J118" t="n">
        <v>2</v>
      </c>
      <c r="K118" t="n">
        <v>0</v>
      </c>
      <c r="L118" t="n">
        <v>0</v>
      </c>
      <c r="M118" t="n">
        <v>0</v>
      </c>
      <c r="N118" t="n">
        <v>0</v>
      </c>
      <c r="O118" t="n">
        <v>2</v>
      </c>
      <c r="P118" t="n">
        <v>0</v>
      </c>
      <c r="Q118" t="n">
        <v>4</v>
      </c>
      <c r="R118" s="2" t="inlineStr">
        <is>
          <t>Skrovellav
Vedskivlav
Bronshjon
Vågbandad barkbock</t>
        </is>
      </c>
      <c r="S118">
        <f>HYPERLINK("https://klasma.github.io/Logging_2039/artfynd/A 57505-2024 artfynd.xlsx", "A 57505-2024")</f>
        <v/>
      </c>
      <c r="T118">
        <f>HYPERLINK("https://klasma.github.io/Logging_2039/kartor/A 57505-2024 karta.png", "A 57505-2024")</f>
        <v/>
      </c>
      <c r="V118">
        <f>HYPERLINK("https://klasma.github.io/Logging_2039/klagomål/A 57505-2024 FSC-klagomål.docx", "A 57505-2024")</f>
        <v/>
      </c>
      <c r="W118">
        <f>HYPERLINK("https://klasma.github.io/Logging_2039/klagomålsmail/A 57505-2024 FSC-klagomål mail.docx", "A 57505-2024")</f>
        <v/>
      </c>
      <c r="X118">
        <f>HYPERLINK("https://klasma.github.io/Logging_2039/tillsyn/A 57505-2024 tillsynsbegäran.docx", "A 57505-2024")</f>
        <v/>
      </c>
      <c r="Y118">
        <f>HYPERLINK("https://klasma.github.io/Logging_2039/tillsynsmail/A 57505-2024 tillsynsbegäran mail.docx", "A 57505-2024")</f>
        <v/>
      </c>
    </row>
    <row r="119" ht="15" customHeight="1">
      <c r="A119" t="inlineStr">
        <is>
          <t>A 22291-2025</t>
        </is>
      </c>
      <c r="B119" s="1" t="n">
        <v>45786.34568287037</v>
      </c>
      <c r="C119" s="1" t="n">
        <v>46081</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25090-2025</t>
        </is>
      </c>
      <c r="B120" s="1" t="n">
        <v>45800.31733796297</v>
      </c>
      <c r="C120" s="1" t="n">
        <v>46081</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41921-2022</t>
        </is>
      </c>
      <c r="B121" s="1" t="n">
        <v>44830</v>
      </c>
      <c r="C121" s="1" t="n">
        <v>46081</v>
      </c>
      <c r="D121" t="inlineStr">
        <is>
          <t>DALARNAS LÄN</t>
        </is>
      </c>
      <c r="E121" t="inlineStr">
        <is>
          <t>ÄLVDALEN</t>
        </is>
      </c>
      <c r="F121" t="inlineStr">
        <is>
          <t>Sveaskog</t>
        </is>
      </c>
      <c r="G121" t="n">
        <v>5.4</v>
      </c>
      <c r="H121" t="n">
        <v>1</v>
      </c>
      <c r="I121" t="n">
        <v>0</v>
      </c>
      <c r="J121" t="n">
        <v>3</v>
      </c>
      <c r="K121" t="n">
        <v>0</v>
      </c>
      <c r="L121" t="n">
        <v>0</v>
      </c>
      <c r="M121" t="n">
        <v>0</v>
      </c>
      <c r="N121" t="n">
        <v>0</v>
      </c>
      <c r="O121" t="n">
        <v>3</v>
      </c>
      <c r="P121" t="n">
        <v>0</v>
      </c>
      <c r="Q121" t="n">
        <v>3</v>
      </c>
      <c r="R121" s="2" t="inlineStr">
        <is>
          <t>Blågrå svartspik
Tretåig hackspett
Vedskivlav</t>
        </is>
      </c>
      <c r="S121">
        <f>HYPERLINK("https://klasma.github.io/Logging_2039/artfynd/A 41921-2022 artfynd.xlsx", "A 41921-2022")</f>
        <v/>
      </c>
      <c r="T121">
        <f>HYPERLINK("https://klasma.github.io/Logging_2039/kartor/A 41921-2022 karta.png", "A 41921-2022")</f>
        <v/>
      </c>
      <c r="V121">
        <f>HYPERLINK("https://klasma.github.io/Logging_2039/klagomål/A 41921-2022 FSC-klagomål.docx", "A 41921-2022")</f>
        <v/>
      </c>
      <c r="W121">
        <f>HYPERLINK("https://klasma.github.io/Logging_2039/klagomålsmail/A 41921-2022 FSC-klagomål mail.docx", "A 41921-2022")</f>
        <v/>
      </c>
      <c r="X121">
        <f>HYPERLINK("https://klasma.github.io/Logging_2039/tillsyn/A 41921-2022 tillsynsbegäran.docx", "A 41921-2022")</f>
        <v/>
      </c>
      <c r="Y121">
        <f>HYPERLINK("https://klasma.github.io/Logging_2039/tillsynsmail/A 41921-2022 tillsynsbegäran mail.docx", "A 41921-2022")</f>
        <v/>
      </c>
      <c r="Z121">
        <f>HYPERLINK("https://klasma.github.io/Logging_2039/fåglar/A 41921-2022 prioriterade fågelarter.docx", "A 41921-2022")</f>
        <v/>
      </c>
    </row>
    <row r="122" ht="15" customHeight="1">
      <c r="A122" t="inlineStr">
        <is>
          <t>A 35141-2023</t>
        </is>
      </c>
      <c r="B122" s="1" t="n">
        <v>45145</v>
      </c>
      <c r="C122" s="1" t="n">
        <v>46081</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25758-2025</t>
        </is>
      </c>
      <c r="B123" s="1" t="n">
        <v>45804.33314814815</v>
      </c>
      <c r="C123" s="1" t="n">
        <v>46081</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44128-2023</t>
        </is>
      </c>
      <c r="B124" s="1" t="n">
        <v>45188.45712962963</v>
      </c>
      <c r="C124" s="1" t="n">
        <v>46081</v>
      </c>
      <c r="D124" t="inlineStr">
        <is>
          <t>DALARNAS LÄN</t>
        </is>
      </c>
      <c r="E124" t="inlineStr">
        <is>
          <t>ÄLVDALEN</t>
        </is>
      </c>
      <c r="F124" t="inlineStr">
        <is>
          <t>Sveaskog</t>
        </is>
      </c>
      <c r="G124" t="n">
        <v>1.8</v>
      </c>
      <c r="H124" t="n">
        <v>0</v>
      </c>
      <c r="I124" t="n">
        <v>1</v>
      </c>
      <c r="J124" t="n">
        <v>2</v>
      </c>
      <c r="K124" t="n">
        <v>0</v>
      </c>
      <c r="L124" t="n">
        <v>0</v>
      </c>
      <c r="M124" t="n">
        <v>0</v>
      </c>
      <c r="N124" t="n">
        <v>0</v>
      </c>
      <c r="O124" t="n">
        <v>2</v>
      </c>
      <c r="P124" t="n">
        <v>0</v>
      </c>
      <c r="Q124" t="n">
        <v>3</v>
      </c>
      <c r="R124" s="2" t="inlineStr">
        <is>
          <t>Blanksvart spiklav
Talltaggsvamp
Skarp dropptaggsvamp</t>
        </is>
      </c>
      <c r="S124">
        <f>HYPERLINK("https://klasma.github.io/Logging_2039/artfynd/A 44128-2023 artfynd.xlsx", "A 44128-2023")</f>
        <v/>
      </c>
      <c r="T124">
        <f>HYPERLINK("https://klasma.github.io/Logging_2039/kartor/A 44128-2023 karta.png", "A 44128-2023")</f>
        <v/>
      </c>
      <c r="V124">
        <f>HYPERLINK("https://klasma.github.io/Logging_2039/klagomål/A 44128-2023 FSC-klagomål.docx", "A 44128-2023")</f>
        <v/>
      </c>
      <c r="W124">
        <f>HYPERLINK("https://klasma.github.io/Logging_2039/klagomålsmail/A 44128-2023 FSC-klagomål mail.docx", "A 44128-2023")</f>
        <v/>
      </c>
      <c r="X124">
        <f>HYPERLINK("https://klasma.github.io/Logging_2039/tillsyn/A 44128-2023 tillsynsbegäran.docx", "A 44128-2023")</f>
        <v/>
      </c>
      <c r="Y124">
        <f>HYPERLINK("https://klasma.github.io/Logging_2039/tillsynsmail/A 44128-2023 tillsynsbegäran mail.docx", "A 44128-2023")</f>
        <v/>
      </c>
    </row>
    <row r="125" ht="15" customHeight="1">
      <c r="A125" t="inlineStr">
        <is>
          <t>A 26751-2025</t>
        </is>
      </c>
      <c r="B125" s="1" t="n">
        <v>45810.55134259259</v>
      </c>
      <c r="C125" s="1" t="n">
        <v>46081</v>
      </c>
      <c r="D125" t="inlineStr">
        <is>
          <t>DALARNAS LÄN</t>
        </is>
      </c>
      <c r="E125" t="inlineStr">
        <is>
          <t>ÄLVDALEN</t>
        </is>
      </c>
      <c r="F125" t="inlineStr">
        <is>
          <t>Allmännings- och besparingsskogar</t>
        </is>
      </c>
      <c r="G125" t="n">
        <v>3.6</v>
      </c>
      <c r="H125" t="n">
        <v>1</v>
      </c>
      <c r="I125" t="n">
        <v>1</v>
      </c>
      <c r="J125" t="n">
        <v>2</v>
      </c>
      <c r="K125" t="n">
        <v>0</v>
      </c>
      <c r="L125" t="n">
        <v>0</v>
      </c>
      <c r="M125" t="n">
        <v>0</v>
      </c>
      <c r="N125" t="n">
        <v>0</v>
      </c>
      <c r="O125" t="n">
        <v>2</v>
      </c>
      <c r="P125" t="n">
        <v>0</v>
      </c>
      <c r="Q125" t="n">
        <v>3</v>
      </c>
      <c r="R125" s="2" t="inlineStr">
        <is>
          <t>Garnlav
Skrovellav
Spindelblomster</t>
        </is>
      </c>
      <c r="S125">
        <f>HYPERLINK("https://klasma.github.io/Logging_2039/artfynd/A 26751-2025 artfynd.xlsx", "A 26751-2025")</f>
        <v/>
      </c>
      <c r="T125">
        <f>HYPERLINK("https://klasma.github.io/Logging_2039/kartor/A 26751-2025 karta.png", "A 26751-2025")</f>
        <v/>
      </c>
      <c r="V125">
        <f>HYPERLINK("https://klasma.github.io/Logging_2039/klagomål/A 26751-2025 FSC-klagomål.docx", "A 26751-2025")</f>
        <v/>
      </c>
      <c r="W125">
        <f>HYPERLINK("https://klasma.github.io/Logging_2039/klagomålsmail/A 26751-2025 FSC-klagomål mail.docx", "A 26751-2025")</f>
        <v/>
      </c>
      <c r="X125">
        <f>HYPERLINK("https://klasma.github.io/Logging_2039/tillsyn/A 26751-2025 tillsynsbegäran.docx", "A 26751-2025")</f>
        <v/>
      </c>
      <c r="Y125">
        <f>HYPERLINK("https://klasma.github.io/Logging_2039/tillsynsmail/A 26751-2025 tillsynsbegäran mail.docx", "A 26751-2025")</f>
        <v/>
      </c>
    </row>
    <row r="126" ht="15" customHeight="1">
      <c r="A126" t="inlineStr">
        <is>
          <t>A 27933-2025</t>
        </is>
      </c>
      <c r="B126" s="1" t="n">
        <v>45817.49630787037</v>
      </c>
      <c r="C126" s="1" t="n">
        <v>46081</v>
      </c>
      <c r="D126" t="inlineStr">
        <is>
          <t>DALARNAS LÄN</t>
        </is>
      </c>
      <c r="E126" t="inlineStr">
        <is>
          <t>ÄLVDALEN</t>
        </is>
      </c>
      <c r="F126" t="inlineStr">
        <is>
          <t>Sveaskog</t>
        </is>
      </c>
      <c r="G126" t="n">
        <v>2.5</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27933-2025 artfynd.xlsx", "A 27933-2025")</f>
        <v/>
      </c>
      <c r="T126">
        <f>HYPERLINK("https://klasma.github.io/Logging_2039/kartor/A 27933-2025 karta.png", "A 27933-2025")</f>
        <v/>
      </c>
      <c r="V126">
        <f>HYPERLINK("https://klasma.github.io/Logging_2039/klagomål/A 27933-2025 FSC-klagomål.docx", "A 27933-2025")</f>
        <v/>
      </c>
      <c r="W126">
        <f>HYPERLINK("https://klasma.github.io/Logging_2039/klagomålsmail/A 27933-2025 FSC-klagomål mail.docx", "A 27933-2025")</f>
        <v/>
      </c>
      <c r="X126">
        <f>HYPERLINK("https://klasma.github.io/Logging_2039/tillsyn/A 27933-2025 tillsynsbegäran.docx", "A 27933-2025")</f>
        <v/>
      </c>
      <c r="Y126">
        <f>HYPERLINK("https://klasma.github.io/Logging_2039/tillsynsmail/A 27933-2025 tillsynsbegäran mail.docx", "A 27933-2025")</f>
        <v/>
      </c>
    </row>
    <row r="127" ht="15" customHeight="1">
      <c r="A127" t="inlineStr">
        <is>
          <t>A 33645-2025</t>
        </is>
      </c>
      <c r="B127" s="1" t="n">
        <v>45841.65282407407</v>
      </c>
      <c r="C127" s="1" t="n">
        <v>46081</v>
      </c>
      <c r="D127" t="inlineStr">
        <is>
          <t>DALARNAS LÄN</t>
        </is>
      </c>
      <c r="E127" t="inlineStr">
        <is>
          <t>ÄLVDALEN</t>
        </is>
      </c>
      <c r="F127" t="inlineStr">
        <is>
          <t>Sveaskog</t>
        </is>
      </c>
      <c r="G127" t="n">
        <v>1.6</v>
      </c>
      <c r="H127" t="n">
        <v>0</v>
      </c>
      <c r="I127" t="n">
        <v>0</v>
      </c>
      <c r="J127" t="n">
        <v>3</v>
      </c>
      <c r="K127" t="n">
        <v>0</v>
      </c>
      <c r="L127" t="n">
        <v>0</v>
      </c>
      <c r="M127" t="n">
        <v>0</v>
      </c>
      <c r="N127" t="n">
        <v>0</v>
      </c>
      <c r="O127" t="n">
        <v>3</v>
      </c>
      <c r="P127" t="n">
        <v>0</v>
      </c>
      <c r="Q127" t="n">
        <v>3</v>
      </c>
      <c r="R127" s="2" t="inlineStr">
        <is>
          <t>Dvärgbägarlav
Kolflarnlav
Vedflamlav</t>
        </is>
      </c>
      <c r="S127">
        <f>HYPERLINK("https://klasma.github.io/Logging_2039/artfynd/A 33645-2025 artfynd.xlsx", "A 33645-2025")</f>
        <v/>
      </c>
      <c r="T127">
        <f>HYPERLINK("https://klasma.github.io/Logging_2039/kartor/A 33645-2025 karta.png", "A 33645-2025")</f>
        <v/>
      </c>
      <c r="V127">
        <f>HYPERLINK("https://klasma.github.io/Logging_2039/klagomål/A 33645-2025 FSC-klagomål.docx", "A 33645-2025")</f>
        <v/>
      </c>
      <c r="W127">
        <f>HYPERLINK("https://klasma.github.io/Logging_2039/klagomålsmail/A 33645-2025 FSC-klagomål mail.docx", "A 33645-2025")</f>
        <v/>
      </c>
      <c r="X127">
        <f>HYPERLINK("https://klasma.github.io/Logging_2039/tillsyn/A 33645-2025 tillsynsbegäran.docx", "A 33645-2025")</f>
        <v/>
      </c>
      <c r="Y127">
        <f>HYPERLINK("https://klasma.github.io/Logging_2039/tillsynsmail/A 33645-2025 tillsynsbegäran mail.docx", "A 33645-2025")</f>
        <v/>
      </c>
    </row>
    <row r="128" ht="15" customHeight="1">
      <c r="A128" t="inlineStr">
        <is>
          <t>A 51732-2021</t>
        </is>
      </c>
      <c r="B128" s="1" t="n">
        <v>44461</v>
      </c>
      <c r="C128" s="1" t="n">
        <v>46081</v>
      </c>
      <c r="D128" t="inlineStr">
        <is>
          <t>DALARNAS LÄN</t>
        </is>
      </c>
      <c r="E128" t="inlineStr">
        <is>
          <t>ÄLVDALEN</t>
        </is>
      </c>
      <c r="F128" t="inlineStr">
        <is>
          <t>Övriga statliga verk och myndigheter</t>
        </is>
      </c>
      <c r="G128" t="n">
        <v>5</v>
      </c>
      <c r="H128" t="n">
        <v>0</v>
      </c>
      <c r="I128" t="n">
        <v>2</v>
      </c>
      <c r="J128" t="n">
        <v>1</v>
      </c>
      <c r="K128" t="n">
        <v>0</v>
      </c>
      <c r="L128" t="n">
        <v>0</v>
      </c>
      <c r="M128" t="n">
        <v>0</v>
      </c>
      <c r="N128" t="n">
        <v>0</v>
      </c>
      <c r="O128" t="n">
        <v>1</v>
      </c>
      <c r="P128" t="n">
        <v>0</v>
      </c>
      <c r="Q128" t="n">
        <v>3</v>
      </c>
      <c r="R128" s="2" t="inlineStr">
        <is>
          <t>Garnlav
Svavelriska
Vedticka</t>
        </is>
      </c>
      <c r="S128">
        <f>HYPERLINK("https://klasma.github.io/Logging_2039/artfynd/A 51732-2021 artfynd.xlsx", "A 51732-2021")</f>
        <v/>
      </c>
      <c r="T128">
        <f>HYPERLINK("https://klasma.github.io/Logging_2039/kartor/A 51732-2021 karta.png", "A 51732-2021")</f>
        <v/>
      </c>
      <c r="V128">
        <f>HYPERLINK("https://klasma.github.io/Logging_2039/klagomål/A 51732-2021 FSC-klagomål.docx", "A 51732-2021")</f>
        <v/>
      </c>
      <c r="W128">
        <f>HYPERLINK("https://klasma.github.io/Logging_2039/klagomålsmail/A 51732-2021 FSC-klagomål mail.docx", "A 51732-2021")</f>
        <v/>
      </c>
      <c r="X128">
        <f>HYPERLINK("https://klasma.github.io/Logging_2039/tillsyn/A 51732-2021 tillsynsbegäran.docx", "A 51732-2021")</f>
        <v/>
      </c>
      <c r="Y128">
        <f>HYPERLINK("https://klasma.github.io/Logging_2039/tillsynsmail/A 51732-2021 tillsynsbegäran mail.docx", "A 51732-2021")</f>
        <v/>
      </c>
    </row>
    <row r="129" ht="15" customHeight="1">
      <c r="A129" t="inlineStr">
        <is>
          <t>A 43740-2024</t>
        </is>
      </c>
      <c r="B129" s="1" t="n">
        <v>45569.65748842592</v>
      </c>
      <c r="C129" s="1" t="n">
        <v>46081</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49125-2025</t>
        </is>
      </c>
      <c r="B130" s="1" t="n">
        <v>45937.86962962963</v>
      </c>
      <c r="C130" s="1" t="n">
        <v>46081</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55218-2025</t>
        </is>
      </c>
      <c r="B131" s="1" t="n">
        <v>45968.58936342593</v>
      </c>
      <c r="C131" s="1" t="n">
        <v>46081</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46081</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41909-2022</t>
        </is>
      </c>
      <c r="B133" s="1" t="n">
        <v>44830</v>
      </c>
      <c r="C133" s="1" t="n">
        <v>46081</v>
      </c>
      <c r="D133" t="inlineStr">
        <is>
          <t>DALARNAS LÄN</t>
        </is>
      </c>
      <c r="E133" t="inlineStr">
        <is>
          <t>ÄLVDALEN</t>
        </is>
      </c>
      <c r="F133" t="inlineStr">
        <is>
          <t>Sveaskog</t>
        </is>
      </c>
      <c r="G133" t="n">
        <v>3.5</v>
      </c>
      <c r="H133" t="n">
        <v>1</v>
      </c>
      <c r="I133" t="n">
        <v>0</v>
      </c>
      <c r="J133" t="n">
        <v>2</v>
      </c>
      <c r="K133" t="n">
        <v>1</v>
      </c>
      <c r="L133" t="n">
        <v>0</v>
      </c>
      <c r="M133" t="n">
        <v>0</v>
      </c>
      <c r="N133" t="n">
        <v>0</v>
      </c>
      <c r="O133" t="n">
        <v>3</v>
      </c>
      <c r="P133" t="n">
        <v>1</v>
      </c>
      <c r="Q133" t="n">
        <v>3</v>
      </c>
      <c r="R133" s="2" t="inlineStr">
        <is>
          <t>Tajgataggsvamp
Blanksvart spiklav
Talltita</t>
        </is>
      </c>
      <c r="S133">
        <f>HYPERLINK("https://klasma.github.io/Logging_2039/artfynd/A 41909-2022 artfynd.xlsx", "A 41909-2022")</f>
        <v/>
      </c>
      <c r="T133">
        <f>HYPERLINK("https://klasma.github.io/Logging_2039/kartor/A 41909-2022 karta.png", "A 41909-2022")</f>
        <v/>
      </c>
      <c r="V133">
        <f>HYPERLINK("https://klasma.github.io/Logging_2039/klagomål/A 41909-2022 FSC-klagomål.docx", "A 41909-2022")</f>
        <v/>
      </c>
      <c r="W133">
        <f>HYPERLINK("https://klasma.github.io/Logging_2039/klagomålsmail/A 41909-2022 FSC-klagomål mail.docx", "A 41909-2022")</f>
        <v/>
      </c>
      <c r="X133">
        <f>HYPERLINK("https://klasma.github.io/Logging_2039/tillsyn/A 41909-2022 tillsynsbegäran.docx", "A 41909-2022")</f>
        <v/>
      </c>
      <c r="Y133">
        <f>HYPERLINK("https://klasma.github.io/Logging_2039/tillsynsmail/A 41909-2022 tillsynsbegäran mail.docx", "A 41909-2022")</f>
        <v/>
      </c>
      <c r="Z133">
        <f>HYPERLINK("https://klasma.github.io/Logging_2039/fåglar/A 41909-2022 prioriterade fågelarter.docx", "A 41909-2022")</f>
        <v/>
      </c>
    </row>
    <row r="134" ht="15" customHeight="1">
      <c r="A134" t="inlineStr">
        <is>
          <t>A 31057-2024</t>
        </is>
      </c>
      <c r="B134" s="1" t="n">
        <v>45502.37813657407</v>
      </c>
      <c r="C134" s="1" t="n">
        <v>46081</v>
      </c>
      <c r="D134" t="inlineStr">
        <is>
          <t>DALARNAS LÄN</t>
        </is>
      </c>
      <c r="E134" t="inlineStr">
        <is>
          <t>ÄLVDALEN</t>
        </is>
      </c>
      <c r="F134" t="inlineStr">
        <is>
          <t>Sveaskog</t>
        </is>
      </c>
      <c r="G134" t="n">
        <v>2.4</v>
      </c>
      <c r="H134" t="n">
        <v>0</v>
      </c>
      <c r="I134" t="n">
        <v>1</v>
      </c>
      <c r="J134" t="n">
        <v>2</v>
      </c>
      <c r="K134" t="n">
        <v>0</v>
      </c>
      <c r="L134" t="n">
        <v>0</v>
      </c>
      <c r="M134" t="n">
        <v>0</v>
      </c>
      <c r="N134" t="n">
        <v>0</v>
      </c>
      <c r="O134" t="n">
        <v>2</v>
      </c>
      <c r="P134" t="n">
        <v>0</v>
      </c>
      <c r="Q134" t="n">
        <v>3</v>
      </c>
      <c r="R134" s="2" t="inlineStr">
        <is>
          <t>Blå taggsvamp
Kolflarnlav
Skarp dropptaggsvamp</t>
        </is>
      </c>
      <c r="S134">
        <f>HYPERLINK("https://klasma.github.io/Logging_2039/artfynd/A 31057-2024 artfynd.xlsx", "A 31057-2024")</f>
        <v/>
      </c>
      <c r="T134">
        <f>HYPERLINK("https://klasma.github.io/Logging_2039/kartor/A 31057-2024 karta.png", "A 31057-2024")</f>
        <v/>
      </c>
      <c r="V134">
        <f>HYPERLINK("https://klasma.github.io/Logging_2039/klagomål/A 31057-2024 FSC-klagomål.docx", "A 31057-2024")</f>
        <v/>
      </c>
      <c r="W134">
        <f>HYPERLINK("https://klasma.github.io/Logging_2039/klagomålsmail/A 31057-2024 FSC-klagomål mail.docx", "A 31057-2024")</f>
        <v/>
      </c>
      <c r="X134">
        <f>HYPERLINK("https://klasma.github.io/Logging_2039/tillsyn/A 31057-2024 tillsynsbegäran.docx", "A 31057-2024")</f>
        <v/>
      </c>
      <c r="Y134">
        <f>HYPERLINK("https://klasma.github.io/Logging_2039/tillsynsmail/A 31057-2024 tillsynsbegäran mail.docx", "A 31057-2024")</f>
        <v/>
      </c>
    </row>
    <row r="135" ht="15" customHeight="1">
      <c r="A135" t="inlineStr">
        <is>
          <t>A 32403-2023</t>
        </is>
      </c>
      <c r="B135" s="1" t="n">
        <v>45120</v>
      </c>
      <c r="C135" s="1" t="n">
        <v>46081</v>
      </c>
      <c r="D135" t="inlineStr">
        <is>
          <t>DALARNAS LÄN</t>
        </is>
      </c>
      <c r="E135" t="inlineStr">
        <is>
          <t>ÄLVDALEN</t>
        </is>
      </c>
      <c r="F135" t="inlineStr">
        <is>
          <t>Sveaskog</t>
        </is>
      </c>
      <c r="G135" t="n">
        <v>3</v>
      </c>
      <c r="H135" t="n">
        <v>0</v>
      </c>
      <c r="I135" t="n">
        <v>0</v>
      </c>
      <c r="J135" t="n">
        <v>3</v>
      </c>
      <c r="K135" t="n">
        <v>0</v>
      </c>
      <c r="L135" t="n">
        <v>0</v>
      </c>
      <c r="M135" t="n">
        <v>0</v>
      </c>
      <c r="N135" t="n">
        <v>0</v>
      </c>
      <c r="O135" t="n">
        <v>3</v>
      </c>
      <c r="P135" t="n">
        <v>0</v>
      </c>
      <c r="Q135" t="n">
        <v>3</v>
      </c>
      <c r="R135" s="2" t="inlineStr">
        <is>
          <t>Kolflarnlav
Vedflamlav
Vedskivlav</t>
        </is>
      </c>
      <c r="S135">
        <f>HYPERLINK("https://klasma.github.io/Logging_2039/artfynd/A 32403-2023 artfynd.xlsx", "A 32403-2023")</f>
        <v/>
      </c>
      <c r="T135">
        <f>HYPERLINK("https://klasma.github.io/Logging_2039/kartor/A 32403-2023 karta.png", "A 32403-2023")</f>
        <v/>
      </c>
      <c r="V135">
        <f>HYPERLINK("https://klasma.github.io/Logging_2039/klagomål/A 32403-2023 FSC-klagomål.docx", "A 32403-2023")</f>
        <v/>
      </c>
      <c r="W135">
        <f>HYPERLINK("https://klasma.github.io/Logging_2039/klagomålsmail/A 32403-2023 FSC-klagomål mail.docx", "A 32403-2023")</f>
        <v/>
      </c>
      <c r="X135">
        <f>HYPERLINK("https://klasma.github.io/Logging_2039/tillsyn/A 32403-2023 tillsynsbegäran.docx", "A 32403-2023")</f>
        <v/>
      </c>
      <c r="Y135">
        <f>HYPERLINK("https://klasma.github.io/Logging_2039/tillsynsmail/A 32403-2023 tillsynsbegäran mail.docx", "A 32403-2023")</f>
        <v/>
      </c>
    </row>
    <row r="136" ht="15" customHeight="1">
      <c r="A136" t="inlineStr">
        <is>
          <t>A 18839-2024</t>
        </is>
      </c>
      <c r="B136" s="1" t="n">
        <v>45426</v>
      </c>
      <c r="C136" s="1" t="n">
        <v>46081</v>
      </c>
      <c r="D136" t="inlineStr">
        <is>
          <t>DALARNAS LÄN</t>
        </is>
      </c>
      <c r="E136" t="inlineStr">
        <is>
          <t>ÄLVDALEN</t>
        </is>
      </c>
      <c r="F136" t="inlineStr">
        <is>
          <t>Sveaskog</t>
        </is>
      </c>
      <c r="G136" t="n">
        <v>1.3</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18839-2024 artfynd.xlsx", "A 18839-2024")</f>
        <v/>
      </c>
      <c r="T136">
        <f>HYPERLINK("https://klasma.github.io/Logging_2039/kartor/A 18839-2024 karta.png", "A 18839-2024")</f>
        <v/>
      </c>
      <c r="V136">
        <f>HYPERLINK("https://klasma.github.io/Logging_2039/klagomål/A 18839-2024 FSC-klagomål.docx", "A 18839-2024")</f>
        <v/>
      </c>
      <c r="W136">
        <f>HYPERLINK("https://klasma.github.io/Logging_2039/klagomålsmail/A 18839-2024 FSC-klagomål mail.docx", "A 18839-2024")</f>
        <v/>
      </c>
      <c r="X136">
        <f>HYPERLINK("https://klasma.github.io/Logging_2039/tillsyn/A 18839-2024 tillsynsbegäran.docx", "A 18839-2024")</f>
        <v/>
      </c>
      <c r="Y136">
        <f>HYPERLINK("https://klasma.github.io/Logging_2039/tillsynsmail/A 18839-2024 tillsynsbegäran mail.docx", "A 18839-2024")</f>
        <v/>
      </c>
    </row>
    <row r="137" ht="15" customHeight="1">
      <c r="A137" t="inlineStr">
        <is>
          <t>A 7024-2024</t>
        </is>
      </c>
      <c r="B137" s="1" t="n">
        <v>45343.57924768519</v>
      </c>
      <c r="C137" s="1" t="n">
        <v>46081</v>
      </c>
      <c r="D137" t="inlineStr">
        <is>
          <t>DALARNAS LÄN</t>
        </is>
      </c>
      <c r="E137" t="inlineStr">
        <is>
          <t>ÄLVDALEN</t>
        </is>
      </c>
      <c r="F137" t="inlineStr">
        <is>
          <t>Sveaskog</t>
        </is>
      </c>
      <c r="G137" t="n">
        <v>30.1</v>
      </c>
      <c r="H137" t="n">
        <v>0</v>
      </c>
      <c r="I137" t="n">
        <v>0</v>
      </c>
      <c r="J137" t="n">
        <v>2</v>
      </c>
      <c r="K137" t="n">
        <v>1</v>
      </c>
      <c r="L137" t="n">
        <v>0</v>
      </c>
      <c r="M137" t="n">
        <v>0</v>
      </c>
      <c r="N137" t="n">
        <v>0</v>
      </c>
      <c r="O137" t="n">
        <v>3</v>
      </c>
      <c r="P137" t="n">
        <v>1</v>
      </c>
      <c r="Q137" t="n">
        <v>3</v>
      </c>
      <c r="R137" s="2" t="inlineStr">
        <is>
          <t>Gräddporing
Nordtagging
Vaddporing</t>
        </is>
      </c>
      <c r="S137">
        <f>HYPERLINK("https://klasma.github.io/Logging_2039/artfynd/A 7024-2024 artfynd.xlsx", "A 7024-2024")</f>
        <v/>
      </c>
      <c r="T137">
        <f>HYPERLINK("https://klasma.github.io/Logging_2039/kartor/A 7024-2024 karta.png", "A 7024-2024")</f>
        <v/>
      </c>
      <c r="V137">
        <f>HYPERLINK("https://klasma.github.io/Logging_2039/klagomål/A 7024-2024 FSC-klagomål.docx", "A 7024-2024")</f>
        <v/>
      </c>
      <c r="W137">
        <f>HYPERLINK("https://klasma.github.io/Logging_2039/klagomålsmail/A 7024-2024 FSC-klagomål mail.docx", "A 7024-2024")</f>
        <v/>
      </c>
      <c r="X137">
        <f>HYPERLINK("https://klasma.github.io/Logging_2039/tillsyn/A 7024-2024 tillsynsbegäran.docx", "A 7024-2024")</f>
        <v/>
      </c>
      <c r="Y137">
        <f>HYPERLINK("https://klasma.github.io/Logging_2039/tillsynsmail/A 7024-2024 tillsynsbegäran mail.docx", "A 7024-2024")</f>
        <v/>
      </c>
    </row>
    <row r="138" ht="15" customHeight="1">
      <c r="A138" t="inlineStr">
        <is>
          <t>A 67709-2021</t>
        </is>
      </c>
      <c r="B138" s="1" t="n">
        <v>44525</v>
      </c>
      <c r="C138" s="1" t="n">
        <v>46081</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46081</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46081</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46081</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46081</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32206-2024</t>
        </is>
      </c>
      <c r="B143" s="1" t="n">
        <v>45511.67366898148</v>
      </c>
      <c r="C143" s="1" t="n">
        <v>46081</v>
      </c>
      <c r="D143" t="inlineStr">
        <is>
          <t>DALARNAS LÄN</t>
        </is>
      </c>
      <c r="E143" t="inlineStr">
        <is>
          <t>ÄLVDALEN</t>
        </is>
      </c>
      <c r="F143" t="inlineStr">
        <is>
          <t>Sveaskog</t>
        </is>
      </c>
      <c r="G143" t="n">
        <v>8.1</v>
      </c>
      <c r="H143" t="n">
        <v>0</v>
      </c>
      <c r="I143" t="n">
        <v>0</v>
      </c>
      <c r="J143" t="n">
        <v>2</v>
      </c>
      <c r="K143" t="n">
        <v>0</v>
      </c>
      <c r="L143" t="n">
        <v>0</v>
      </c>
      <c r="M143" t="n">
        <v>0</v>
      </c>
      <c r="N143" t="n">
        <v>0</v>
      </c>
      <c r="O143" t="n">
        <v>2</v>
      </c>
      <c r="P143" t="n">
        <v>0</v>
      </c>
      <c r="Q143" t="n">
        <v>2</v>
      </c>
      <c r="R143" s="2" t="inlineStr">
        <is>
          <t>Blanksvart spiklav
Dvärgbägarlav</t>
        </is>
      </c>
      <c r="S143">
        <f>HYPERLINK("https://klasma.github.io/Logging_2039/artfynd/A 32206-2024 artfynd.xlsx", "A 32206-2024")</f>
        <v/>
      </c>
      <c r="T143">
        <f>HYPERLINK("https://klasma.github.io/Logging_2039/kartor/A 32206-2024 karta.png", "A 32206-2024")</f>
        <v/>
      </c>
      <c r="V143">
        <f>HYPERLINK("https://klasma.github.io/Logging_2039/klagomål/A 32206-2024 FSC-klagomål.docx", "A 32206-2024")</f>
        <v/>
      </c>
      <c r="W143">
        <f>HYPERLINK("https://klasma.github.io/Logging_2039/klagomålsmail/A 32206-2024 FSC-klagomål mail.docx", "A 32206-2024")</f>
        <v/>
      </c>
      <c r="X143">
        <f>HYPERLINK("https://klasma.github.io/Logging_2039/tillsyn/A 32206-2024 tillsynsbegäran.docx", "A 32206-2024")</f>
        <v/>
      </c>
      <c r="Y143">
        <f>HYPERLINK("https://klasma.github.io/Logging_2039/tillsynsmail/A 32206-2024 tillsynsbegäran mail.docx", "A 32206-2024")</f>
        <v/>
      </c>
    </row>
    <row r="144" ht="15" customHeight="1">
      <c r="A144" t="inlineStr">
        <is>
          <t>A 52490-2022</t>
        </is>
      </c>
      <c r="B144" s="1" t="n">
        <v>44874</v>
      </c>
      <c r="C144" s="1" t="n">
        <v>46081</v>
      </c>
      <c r="D144" t="inlineStr">
        <is>
          <t>DALARNAS LÄN</t>
        </is>
      </c>
      <c r="E144" t="inlineStr">
        <is>
          <t>ÄLVDALEN</t>
        </is>
      </c>
      <c r="G144" t="n">
        <v>4.3</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52490-2022 artfynd.xlsx", "A 52490-2022")</f>
        <v/>
      </c>
      <c r="T144">
        <f>HYPERLINK("https://klasma.github.io/Logging_2039/kartor/A 52490-2022 karta.png", "A 52490-2022")</f>
        <v/>
      </c>
      <c r="V144">
        <f>HYPERLINK("https://klasma.github.io/Logging_2039/klagomål/A 52490-2022 FSC-klagomål.docx", "A 52490-2022")</f>
        <v/>
      </c>
      <c r="W144">
        <f>HYPERLINK("https://klasma.github.io/Logging_2039/klagomålsmail/A 52490-2022 FSC-klagomål mail.docx", "A 52490-2022")</f>
        <v/>
      </c>
      <c r="X144">
        <f>HYPERLINK("https://klasma.github.io/Logging_2039/tillsyn/A 52490-2022 tillsynsbegäran.docx", "A 52490-2022")</f>
        <v/>
      </c>
      <c r="Y144">
        <f>HYPERLINK("https://klasma.github.io/Logging_2039/tillsynsmail/A 52490-2022 tillsynsbegäran mail.docx", "A 52490-2022")</f>
        <v/>
      </c>
    </row>
    <row r="145" ht="15" customHeight="1">
      <c r="A145" t="inlineStr">
        <is>
          <t>A 27937-2025</t>
        </is>
      </c>
      <c r="B145" s="1" t="n">
        <v>45817.50025462963</v>
      </c>
      <c r="C145" s="1" t="n">
        <v>46081</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31264-2025</t>
        </is>
      </c>
      <c r="B146" s="1" t="n">
        <v>45833.3283912037</v>
      </c>
      <c r="C146" s="1" t="n">
        <v>46081</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59429-2024</t>
        </is>
      </c>
      <c r="B147" s="1" t="n">
        <v>45638.42091435185</v>
      </c>
      <c r="C147" s="1" t="n">
        <v>46081</v>
      </c>
      <c r="D147" t="inlineStr">
        <is>
          <t>DALARNAS LÄN</t>
        </is>
      </c>
      <c r="E147" t="inlineStr">
        <is>
          <t>ÄLVDALEN</t>
        </is>
      </c>
      <c r="F147" t="inlineStr">
        <is>
          <t>Allmännings- och besparingsskogar</t>
        </is>
      </c>
      <c r="G147" t="n">
        <v>4.9</v>
      </c>
      <c r="H147" t="n">
        <v>0</v>
      </c>
      <c r="I147" t="n">
        <v>0</v>
      </c>
      <c r="J147" t="n">
        <v>2</v>
      </c>
      <c r="K147" t="n">
        <v>0</v>
      </c>
      <c r="L147" t="n">
        <v>0</v>
      </c>
      <c r="M147" t="n">
        <v>0</v>
      </c>
      <c r="N147" t="n">
        <v>0</v>
      </c>
      <c r="O147" t="n">
        <v>2</v>
      </c>
      <c r="P147" t="n">
        <v>0</v>
      </c>
      <c r="Q147" t="n">
        <v>2</v>
      </c>
      <c r="R147" s="2" t="inlineStr">
        <is>
          <t>Garnlav
Skrovellav</t>
        </is>
      </c>
      <c r="S147">
        <f>HYPERLINK("https://klasma.github.io/Logging_2039/artfynd/A 59429-2024 artfynd.xlsx", "A 59429-2024")</f>
        <v/>
      </c>
      <c r="T147">
        <f>HYPERLINK("https://klasma.github.io/Logging_2039/kartor/A 59429-2024 karta.png", "A 59429-2024")</f>
        <v/>
      </c>
      <c r="V147">
        <f>HYPERLINK("https://klasma.github.io/Logging_2039/klagomål/A 59429-2024 FSC-klagomål.docx", "A 59429-2024")</f>
        <v/>
      </c>
      <c r="W147">
        <f>HYPERLINK("https://klasma.github.io/Logging_2039/klagomålsmail/A 59429-2024 FSC-klagomål mail.docx", "A 59429-2024")</f>
        <v/>
      </c>
      <c r="X147">
        <f>HYPERLINK("https://klasma.github.io/Logging_2039/tillsyn/A 59429-2024 tillsynsbegäran.docx", "A 59429-2024")</f>
        <v/>
      </c>
      <c r="Y147">
        <f>HYPERLINK("https://klasma.github.io/Logging_2039/tillsynsmail/A 59429-2024 tillsynsbegäran mail.docx", "A 59429-2024")</f>
        <v/>
      </c>
    </row>
    <row r="148" ht="15" customHeight="1">
      <c r="A148" t="inlineStr">
        <is>
          <t>A 54632-2021</t>
        </is>
      </c>
      <c r="B148" s="1" t="n">
        <v>44473</v>
      </c>
      <c r="C148" s="1" t="n">
        <v>46081</v>
      </c>
      <c r="D148" t="inlineStr">
        <is>
          <t>DALARNAS LÄN</t>
        </is>
      </c>
      <c r="E148" t="inlineStr">
        <is>
          <t>ÄLVDALEN</t>
        </is>
      </c>
      <c r="G148" t="n">
        <v>4.3</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27967-2023</t>
        </is>
      </c>
      <c r="B149" s="1" t="n">
        <v>45098.70354166667</v>
      </c>
      <c r="C149" s="1" t="n">
        <v>46081</v>
      </c>
      <c r="D149" t="inlineStr">
        <is>
          <t>DALARNAS LÄN</t>
        </is>
      </c>
      <c r="E149" t="inlineStr">
        <is>
          <t>ÄLVDALEN</t>
        </is>
      </c>
      <c r="F149" t="inlineStr">
        <is>
          <t>Sveaskog</t>
        </is>
      </c>
      <c r="G149" t="n">
        <v>1.9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HYPERLINK("https://klasma.github.io/Logging_2039/artfynd/A 27967-2023 artfynd.xlsx", "A 27967-2023")</f>
        <v/>
      </c>
      <c r="T149">
        <f>HYPERLINK("https://klasma.github.io/Logging_2039/kartor/A 27967-2023 karta.png", "A 27967-2023")</f>
        <v/>
      </c>
      <c r="V149">
        <f>HYPERLINK("https://klasma.github.io/Logging_2039/klagomål/A 27967-2023 FSC-klagomål.docx", "A 27967-2023")</f>
        <v/>
      </c>
      <c r="W149">
        <f>HYPERLINK("https://klasma.github.io/Logging_2039/klagomålsmail/A 27967-2023 FSC-klagomål mail.docx", "A 27967-2023")</f>
        <v/>
      </c>
      <c r="X149">
        <f>HYPERLINK("https://klasma.github.io/Logging_2039/tillsyn/A 27967-2023 tillsynsbegäran.docx", "A 27967-2023")</f>
        <v/>
      </c>
      <c r="Y149">
        <f>HYPERLINK("https://klasma.github.io/Logging_2039/tillsynsmail/A 27967-2023 tillsynsbegäran mail.docx", "A 27967-2023")</f>
        <v/>
      </c>
    </row>
    <row r="150" ht="15" customHeight="1">
      <c r="A150" t="inlineStr">
        <is>
          <t>A 40461-2025</t>
        </is>
      </c>
      <c r="B150" s="1" t="n">
        <v>45895</v>
      </c>
      <c r="C150" s="1" t="n">
        <v>46081</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55225-2025</t>
        </is>
      </c>
      <c r="B151" s="1" t="n">
        <v>45968.59571759259</v>
      </c>
      <c r="C151" s="1" t="n">
        <v>46081</v>
      </c>
      <c r="D151" t="inlineStr">
        <is>
          <t>DALARNAS LÄN</t>
        </is>
      </c>
      <c r="E151" t="inlineStr">
        <is>
          <t>ÄLVDALEN</t>
        </is>
      </c>
      <c r="F151" t="inlineStr">
        <is>
          <t>Sveaskog</t>
        </is>
      </c>
      <c r="G151" t="n">
        <v>2.2</v>
      </c>
      <c r="H151" t="n">
        <v>0</v>
      </c>
      <c r="I151" t="n">
        <v>0</v>
      </c>
      <c r="J151" t="n">
        <v>2</v>
      </c>
      <c r="K151" t="n">
        <v>0</v>
      </c>
      <c r="L151" t="n">
        <v>0</v>
      </c>
      <c r="M151" t="n">
        <v>0</v>
      </c>
      <c r="N151" t="n">
        <v>0</v>
      </c>
      <c r="O151" t="n">
        <v>2</v>
      </c>
      <c r="P151" t="n">
        <v>0</v>
      </c>
      <c r="Q151" t="n">
        <v>2</v>
      </c>
      <c r="R151" s="2" t="inlineStr">
        <is>
          <t>Dvärgbägarlav
Kolflarnlav</t>
        </is>
      </c>
      <c r="S151">
        <f>HYPERLINK("https://klasma.github.io/Logging_2039/artfynd/A 55225-2025 artfynd.xlsx", "A 55225-2025")</f>
        <v/>
      </c>
      <c r="T151">
        <f>HYPERLINK("https://klasma.github.io/Logging_2039/kartor/A 55225-2025 karta.png", "A 55225-2025")</f>
        <v/>
      </c>
      <c r="V151">
        <f>HYPERLINK("https://klasma.github.io/Logging_2039/klagomål/A 55225-2025 FSC-klagomål.docx", "A 55225-2025")</f>
        <v/>
      </c>
      <c r="W151">
        <f>HYPERLINK("https://klasma.github.io/Logging_2039/klagomålsmail/A 55225-2025 FSC-klagomål mail.docx", "A 55225-2025")</f>
        <v/>
      </c>
      <c r="X151">
        <f>HYPERLINK("https://klasma.github.io/Logging_2039/tillsyn/A 55225-2025 tillsynsbegäran.docx", "A 55225-2025")</f>
        <v/>
      </c>
      <c r="Y151">
        <f>HYPERLINK("https://klasma.github.io/Logging_2039/tillsynsmail/A 55225-2025 tillsynsbegäran mail.docx", "A 55225-2025")</f>
        <v/>
      </c>
    </row>
    <row r="152" ht="15" customHeight="1">
      <c r="A152" t="inlineStr">
        <is>
          <t>A 55227-2025</t>
        </is>
      </c>
      <c r="B152" s="1" t="n">
        <v>45968.59744212963</v>
      </c>
      <c r="C152" s="1" t="n">
        <v>46081</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58476-2025</t>
        </is>
      </c>
      <c r="B153" s="1" t="n">
        <v>45985.64229166666</v>
      </c>
      <c r="C153" s="1" t="n">
        <v>46081</v>
      </c>
      <c r="D153" t="inlineStr">
        <is>
          <t>DALARNAS LÄN</t>
        </is>
      </c>
      <c r="E153" t="inlineStr">
        <is>
          <t>ÄLVDALEN</t>
        </is>
      </c>
      <c r="F153" t="inlineStr">
        <is>
          <t>Allmännings- och besparingsskogar</t>
        </is>
      </c>
      <c r="G153" t="n">
        <v>17.9</v>
      </c>
      <c r="H153" t="n">
        <v>2</v>
      </c>
      <c r="I153" t="n">
        <v>0</v>
      </c>
      <c r="J153" t="n">
        <v>0</v>
      </c>
      <c r="K153" t="n">
        <v>0</v>
      </c>
      <c r="L153" t="n">
        <v>0</v>
      </c>
      <c r="M153" t="n">
        <v>0</v>
      </c>
      <c r="N153" t="n">
        <v>0</v>
      </c>
      <c r="O153" t="n">
        <v>0</v>
      </c>
      <c r="P153" t="n">
        <v>0</v>
      </c>
      <c r="Q153" t="n">
        <v>2</v>
      </c>
      <c r="R153" s="2" t="inlineStr">
        <is>
          <t>Tjäder
Huggorm</t>
        </is>
      </c>
      <c r="S153">
        <f>HYPERLINK("https://klasma.github.io/Logging_2039/artfynd/A 58476-2025 artfynd.xlsx", "A 58476-2025")</f>
        <v/>
      </c>
      <c r="T153">
        <f>HYPERLINK("https://klasma.github.io/Logging_2039/kartor/A 58476-2025 karta.png", "A 58476-2025")</f>
        <v/>
      </c>
      <c r="V153">
        <f>HYPERLINK("https://klasma.github.io/Logging_2039/klagomål/A 58476-2025 FSC-klagomål.docx", "A 58476-2025")</f>
        <v/>
      </c>
      <c r="W153">
        <f>HYPERLINK("https://klasma.github.io/Logging_2039/klagomålsmail/A 58476-2025 FSC-klagomål mail.docx", "A 58476-2025")</f>
        <v/>
      </c>
      <c r="X153">
        <f>HYPERLINK("https://klasma.github.io/Logging_2039/tillsyn/A 58476-2025 tillsynsbegäran.docx", "A 58476-2025")</f>
        <v/>
      </c>
      <c r="Y153">
        <f>HYPERLINK("https://klasma.github.io/Logging_2039/tillsynsmail/A 58476-2025 tillsynsbegäran mail.docx", "A 58476-2025")</f>
        <v/>
      </c>
      <c r="Z153">
        <f>HYPERLINK("https://klasma.github.io/Logging_2039/fåglar/A 58476-2025 prioriterade fågelarter.docx", "A 58476-2025")</f>
        <v/>
      </c>
    </row>
    <row r="154" ht="15" customHeight="1">
      <c r="A154" t="inlineStr">
        <is>
          <t>A 59951-2025</t>
        </is>
      </c>
      <c r="B154" s="1" t="n">
        <v>45993.45759259259</v>
      </c>
      <c r="C154" s="1" t="n">
        <v>46081</v>
      </c>
      <c r="D154" t="inlineStr">
        <is>
          <t>DALARNAS LÄN</t>
        </is>
      </c>
      <c r="E154" t="inlineStr">
        <is>
          <t>ÄLVDALEN</t>
        </is>
      </c>
      <c r="F154" t="inlineStr">
        <is>
          <t>Bergvik skog väst AB</t>
        </is>
      </c>
      <c r="G154" t="n">
        <v>13</v>
      </c>
      <c r="H154" t="n">
        <v>0</v>
      </c>
      <c r="I154" t="n">
        <v>0</v>
      </c>
      <c r="J154" t="n">
        <v>2</v>
      </c>
      <c r="K154" t="n">
        <v>0</v>
      </c>
      <c r="L154" t="n">
        <v>0</v>
      </c>
      <c r="M154" t="n">
        <v>0</v>
      </c>
      <c r="N154" t="n">
        <v>0</v>
      </c>
      <c r="O154" t="n">
        <v>2</v>
      </c>
      <c r="P154" t="n">
        <v>0</v>
      </c>
      <c r="Q154" t="n">
        <v>2</v>
      </c>
      <c r="R154" s="2" t="inlineStr">
        <is>
          <t>Garnlav
Mörk kolflarnlav</t>
        </is>
      </c>
      <c r="S154">
        <f>HYPERLINK("https://klasma.github.io/Logging_2039/artfynd/A 59951-2025 artfynd.xlsx", "A 59951-2025")</f>
        <v/>
      </c>
      <c r="T154">
        <f>HYPERLINK("https://klasma.github.io/Logging_2039/kartor/A 59951-2025 karta.png", "A 59951-2025")</f>
        <v/>
      </c>
      <c r="V154">
        <f>HYPERLINK("https://klasma.github.io/Logging_2039/klagomål/A 59951-2025 FSC-klagomål.docx", "A 59951-2025")</f>
        <v/>
      </c>
      <c r="W154">
        <f>HYPERLINK("https://klasma.github.io/Logging_2039/klagomålsmail/A 59951-2025 FSC-klagomål mail.docx", "A 59951-2025")</f>
        <v/>
      </c>
      <c r="X154">
        <f>HYPERLINK("https://klasma.github.io/Logging_2039/tillsyn/A 59951-2025 tillsynsbegäran.docx", "A 59951-2025")</f>
        <v/>
      </c>
      <c r="Y154">
        <f>HYPERLINK("https://klasma.github.io/Logging_2039/tillsynsmail/A 59951-2025 tillsynsbegäran mail.docx", "A 59951-2025")</f>
        <v/>
      </c>
    </row>
    <row r="155" ht="15" customHeight="1">
      <c r="A155" t="inlineStr">
        <is>
          <t>A 21629-2022</t>
        </is>
      </c>
      <c r="B155" s="1" t="n">
        <v>44706</v>
      </c>
      <c r="C155" s="1" t="n">
        <v>46081</v>
      </c>
      <c r="D155" t="inlineStr">
        <is>
          <t>DALARNAS LÄN</t>
        </is>
      </c>
      <c r="E155" t="inlineStr">
        <is>
          <t>ÄLVDALEN</t>
        </is>
      </c>
      <c r="F155" t="inlineStr">
        <is>
          <t>Övriga statliga verk och myndigheter</t>
        </is>
      </c>
      <c r="G155" t="n">
        <v>19.2</v>
      </c>
      <c r="H155" t="n">
        <v>0</v>
      </c>
      <c r="I155" t="n">
        <v>1</v>
      </c>
      <c r="J155" t="n">
        <v>1</v>
      </c>
      <c r="K155" t="n">
        <v>0</v>
      </c>
      <c r="L155" t="n">
        <v>0</v>
      </c>
      <c r="M155" t="n">
        <v>0</v>
      </c>
      <c r="N155" t="n">
        <v>0</v>
      </c>
      <c r="O155" t="n">
        <v>1</v>
      </c>
      <c r="P155" t="n">
        <v>0</v>
      </c>
      <c r="Q155" t="n">
        <v>2</v>
      </c>
      <c r="R155" s="2" t="inlineStr">
        <is>
          <t>Vitgrynig nållav
Kransrams</t>
        </is>
      </c>
      <c r="S155">
        <f>HYPERLINK("https://klasma.github.io/Logging_2039/artfynd/A 21629-2022 artfynd.xlsx", "A 21629-2022")</f>
        <v/>
      </c>
      <c r="T155">
        <f>HYPERLINK("https://klasma.github.io/Logging_2039/kartor/A 21629-2022 karta.png", "A 21629-2022")</f>
        <v/>
      </c>
      <c r="V155">
        <f>HYPERLINK("https://klasma.github.io/Logging_2039/klagomål/A 21629-2022 FSC-klagomål.docx", "A 21629-2022")</f>
        <v/>
      </c>
      <c r="W155">
        <f>HYPERLINK("https://klasma.github.io/Logging_2039/klagomålsmail/A 21629-2022 FSC-klagomål mail.docx", "A 21629-2022")</f>
        <v/>
      </c>
      <c r="X155">
        <f>HYPERLINK("https://klasma.github.io/Logging_2039/tillsyn/A 21629-2022 tillsynsbegäran.docx", "A 21629-2022")</f>
        <v/>
      </c>
      <c r="Y155">
        <f>HYPERLINK("https://klasma.github.io/Logging_2039/tillsynsmail/A 21629-2022 tillsynsbegäran mail.docx", "A 21629-2022")</f>
        <v/>
      </c>
    </row>
    <row r="156" ht="15" customHeight="1">
      <c r="A156" t="inlineStr">
        <is>
          <t>A 40231-2021</t>
        </is>
      </c>
      <c r="B156" s="1" t="n">
        <v>44419.31553240741</v>
      </c>
      <c r="C156" s="1" t="n">
        <v>46081</v>
      </c>
      <c r="D156" t="inlineStr">
        <is>
          <t>DALARNAS LÄN</t>
        </is>
      </c>
      <c r="E156" t="inlineStr">
        <is>
          <t>ÄLVDALEN</t>
        </is>
      </c>
      <c r="F156" t="inlineStr">
        <is>
          <t>Sveaskog</t>
        </is>
      </c>
      <c r="G156" t="n">
        <v>4.1</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40231-2021 artfynd.xlsx", "A 40231-2021")</f>
        <v/>
      </c>
      <c r="T156">
        <f>HYPERLINK("https://klasma.github.io/Logging_2039/kartor/A 40231-2021 karta.png", "A 40231-2021")</f>
        <v/>
      </c>
      <c r="V156">
        <f>HYPERLINK("https://klasma.github.io/Logging_2039/klagomål/A 40231-2021 FSC-klagomål.docx", "A 40231-2021")</f>
        <v/>
      </c>
      <c r="W156">
        <f>HYPERLINK("https://klasma.github.io/Logging_2039/klagomålsmail/A 40231-2021 FSC-klagomål mail.docx", "A 40231-2021")</f>
        <v/>
      </c>
      <c r="X156">
        <f>HYPERLINK("https://klasma.github.io/Logging_2039/tillsyn/A 40231-2021 tillsynsbegäran.docx", "A 40231-2021")</f>
        <v/>
      </c>
      <c r="Y156">
        <f>HYPERLINK("https://klasma.github.io/Logging_2039/tillsynsmail/A 40231-2021 tillsynsbegäran mail.docx", "A 40231-2021")</f>
        <v/>
      </c>
    </row>
    <row r="157" ht="15" customHeight="1">
      <c r="A157" t="inlineStr">
        <is>
          <t>A 42848-2023</t>
        </is>
      </c>
      <c r="B157" s="1" t="n">
        <v>45182</v>
      </c>
      <c r="C157" s="1" t="n">
        <v>46081</v>
      </c>
      <c r="D157" t="inlineStr">
        <is>
          <t>DALARNAS LÄN</t>
        </is>
      </c>
      <c r="E157" t="inlineStr">
        <is>
          <t>ÄLVDALEN</t>
        </is>
      </c>
      <c r="F157" t="inlineStr">
        <is>
          <t>Allmännings- och besparingsskogar</t>
        </is>
      </c>
      <c r="G157" t="n">
        <v>1.9</v>
      </c>
      <c r="H157" t="n">
        <v>0</v>
      </c>
      <c r="I157" t="n">
        <v>1</v>
      </c>
      <c r="J157" t="n">
        <v>1</v>
      </c>
      <c r="K157" t="n">
        <v>0</v>
      </c>
      <c r="L157" t="n">
        <v>0</v>
      </c>
      <c r="M157" t="n">
        <v>0</v>
      </c>
      <c r="N157" t="n">
        <v>0</v>
      </c>
      <c r="O157" t="n">
        <v>1</v>
      </c>
      <c r="P157" t="n">
        <v>0</v>
      </c>
      <c r="Q157" t="n">
        <v>2</v>
      </c>
      <c r="R157" s="2" t="inlineStr">
        <is>
          <t>Blå taggsvamp
Dropptaggsvamp</t>
        </is>
      </c>
      <c r="S157">
        <f>HYPERLINK("https://klasma.github.io/Logging_2039/artfynd/A 42848-2023 artfynd.xlsx", "A 42848-2023")</f>
        <v/>
      </c>
      <c r="T157">
        <f>HYPERLINK("https://klasma.github.io/Logging_2039/kartor/A 42848-2023 karta.png", "A 42848-2023")</f>
        <v/>
      </c>
      <c r="V157">
        <f>HYPERLINK("https://klasma.github.io/Logging_2039/klagomål/A 42848-2023 FSC-klagomål.docx", "A 42848-2023")</f>
        <v/>
      </c>
      <c r="W157">
        <f>HYPERLINK("https://klasma.github.io/Logging_2039/klagomålsmail/A 42848-2023 FSC-klagomål mail.docx", "A 42848-2023")</f>
        <v/>
      </c>
      <c r="X157">
        <f>HYPERLINK("https://klasma.github.io/Logging_2039/tillsyn/A 42848-2023 tillsynsbegäran.docx", "A 42848-2023")</f>
        <v/>
      </c>
      <c r="Y157">
        <f>HYPERLINK("https://klasma.github.io/Logging_2039/tillsynsmail/A 42848-2023 tillsynsbegäran mail.docx", "A 42848-2023")</f>
        <v/>
      </c>
    </row>
    <row r="158" ht="15" customHeight="1">
      <c r="A158" t="inlineStr">
        <is>
          <t>A 30727-2024</t>
        </is>
      </c>
      <c r="B158" s="1" t="n">
        <v>45496.55789351852</v>
      </c>
      <c r="C158" s="1" t="n">
        <v>46081</v>
      </c>
      <c r="D158" t="inlineStr">
        <is>
          <t>DALARNAS LÄN</t>
        </is>
      </c>
      <c r="E158" t="inlineStr">
        <is>
          <t>ÄLVDALEN</t>
        </is>
      </c>
      <c r="F158" t="inlineStr">
        <is>
          <t>Allmännings- och besparingsskogar</t>
        </is>
      </c>
      <c r="G158" t="n">
        <v>35.7</v>
      </c>
      <c r="H158" t="n">
        <v>1</v>
      </c>
      <c r="I158" t="n">
        <v>0</v>
      </c>
      <c r="J158" t="n">
        <v>2</v>
      </c>
      <c r="K158" t="n">
        <v>0</v>
      </c>
      <c r="L158" t="n">
        <v>0</v>
      </c>
      <c r="M158" t="n">
        <v>0</v>
      </c>
      <c r="N158" t="n">
        <v>0</v>
      </c>
      <c r="O158" t="n">
        <v>2</v>
      </c>
      <c r="P158" t="n">
        <v>0</v>
      </c>
      <c r="Q158" t="n">
        <v>2</v>
      </c>
      <c r="R158" s="2" t="inlineStr">
        <is>
          <t>Garnlav
Spillkråka</t>
        </is>
      </c>
      <c r="S158">
        <f>HYPERLINK("https://klasma.github.io/Logging_2039/artfynd/A 30727-2024 artfynd.xlsx", "A 30727-2024")</f>
        <v/>
      </c>
      <c r="T158">
        <f>HYPERLINK("https://klasma.github.io/Logging_2039/kartor/A 30727-2024 karta.png", "A 30727-2024")</f>
        <v/>
      </c>
      <c r="V158">
        <f>HYPERLINK("https://klasma.github.io/Logging_2039/klagomål/A 30727-2024 FSC-klagomål.docx", "A 30727-2024")</f>
        <v/>
      </c>
      <c r="W158">
        <f>HYPERLINK("https://klasma.github.io/Logging_2039/klagomålsmail/A 30727-2024 FSC-klagomål mail.docx", "A 30727-2024")</f>
        <v/>
      </c>
      <c r="X158">
        <f>HYPERLINK("https://klasma.github.io/Logging_2039/tillsyn/A 30727-2024 tillsynsbegäran.docx", "A 30727-2024")</f>
        <v/>
      </c>
      <c r="Y158">
        <f>HYPERLINK("https://klasma.github.io/Logging_2039/tillsynsmail/A 30727-2024 tillsynsbegäran mail.docx", "A 30727-2024")</f>
        <v/>
      </c>
      <c r="Z158">
        <f>HYPERLINK("https://klasma.github.io/Logging_2039/fåglar/A 30727-2024 prioriterade fågelarter.docx", "A 30727-2024")</f>
        <v/>
      </c>
    </row>
    <row r="159" ht="15" customHeight="1">
      <c r="A159" t="inlineStr">
        <is>
          <t>A 50251-2022</t>
        </is>
      </c>
      <c r="B159" s="1" t="n">
        <v>44865</v>
      </c>
      <c r="C159" s="1" t="n">
        <v>46081</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31761-2021</t>
        </is>
      </c>
      <c r="B160" s="1" t="n">
        <v>44370</v>
      </c>
      <c r="C160" s="1" t="n">
        <v>46081</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30971-2021</t>
        </is>
      </c>
      <c r="B161" s="1" t="n">
        <v>44365.90097222223</v>
      </c>
      <c r="C161" s="1" t="n">
        <v>46081</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46081</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46081</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46081</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46081</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46081</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46081</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46081</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46081</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46081</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55062-2022</t>
        </is>
      </c>
      <c r="B171" s="1" t="n">
        <v>44881</v>
      </c>
      <c r="C171" s="1" t="n">
        <v>46081</v>
      </c>
      <c r="D171" t="inlineStr">
        <is>
          <t>DALARNAS LÄN</t>
        </is>
      </c>
      <c r="E171" t="inlineStr">
        <is>
          <t>ÄLVDALEN</t>
        </is>
      </c>
      <c r="F171" t="inlineStr">
        <is>
          <t>Övriga statliga verk och myndigheter</t>
        </is>
      </c>
      <c r="G171" t="n">
        <v>28.1</v>
      </c>
      <c r="H171" t="n">
        <v>1</v>
      </c>
      <c r="I171" t="n">
        <v>0</v>
      </c>
      <c r="J171" t="n">
        <v>1</v>
      </c>
      <c r="K171" t="n">
        <v>0</v>
      </c>
      <c r="L171" t="n">
        <v>0</v>
      </c>
      <c r="M171" t="n">
        <v>0</v>
      </c>
      <c r="N171" t="n">
        <v>0</v>
      </c>
      <c r="O171" t="n">
        <v>1</v>
      </c>
      <c r="P171" t="n">
        <v>0</v>
      </c>
      <c r="Q171" t="n">
        <v>1</v>
      </c>
      <c r="R171" s="2" t="inlineStr">
        <is>
          <t>Utter</t>
        </is>
      </c>
      <c r="S171">
        <f>HYPERLINK("https://klasma.github.io/Logging_2039/artfynd/A 55062-2022 artfynd.xlsx", "A 55062-2022")</f>
        <v/>
      </c>
      <c r="T171">
        <f>HYPERLINK("https://klasma.github.io/Logging_2039/kartor/A 55062-2022 karta.png", "A 55062-2022")</f>
        <v/>
      </c>
      <c r="V171">
        <f>HYPERLINK("https://klasma.github.io/Logging_2039/klagomål/A 55062-2022 FSC-klagomål.docx", "A 55062-2022")</f>
        <v/>
      </c>
      <c r="W171">
        <f>HYPERLINK("https://klasma.github.io/Logging_2039/klagomålsmail/A 55062-2022 FSC-klagomål mail.docx", "A 55062-2022")</f>
        <v/>
      </c>
      <c r="X171">
        <f>HYPERLINK("https://klasma.github.io/Logging_2039/tillsyn/A 55062-2022 tillsynsbegäran.docx", "A 55062-2022")</f>
        <v/>
      </c>
      <c r="Y171">
        <f>HYPERLINK("https://klasma.github.io/Logging_2039/tillsynsmail/A 55062-2022 tillsynsbegäran mail.docx", "A 55062-2022")</f>
        <v/>
      </c>
    </row>
    <row r="172" ht="15" customHeight="1">
      <c r="A172" t="inlineStr">
        <is>
          <t>A 31145-2024</t>
        </is>
      </c>
      <c r="B172" s="1" t="n">
        <v>45502.85956018518</v>
      </c>
      <c r="C172" s="1" t="n">
        <v>46081</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27923-2025</t>
        </is>
      </c>
      <c r="B173" s="1" t="n">
        <v>45817.48814814815</v>
      </c>
      <c r="C173" s="1" t="n">
        <v>46081</v>
      </c>
      <c r="D173" t="inlineStr">
        <is>
          <t>DALARNAS LÄN</t>
        </is>
      </c>
      <c r="E173" t="inlineStr">
        <is>
          <t>ÄLVDALEN</t>
        </is>
      </c>
      <c r="G173" t="n">
        <v>2.9</v>
      </c>
      <c r="H173" t="n">
        <v>1</v>
      </c>
      <c r="I173" t="n">
        <v>0</v>
      </c>
      <c r="J173" t="n">
        <v>0</v>
      </c>
      <c r="K173" t="n">
        <v>0</v>
      </c>
      <c r="L173" t="n">
        <v>0</v>
      </c>
      <c r="M173" t="n">
        <v>0</v>
      </c>
      <c r="N173" t="n">
        <v>0</v>
      </c>
      <c r="O173" t="n">
        <v>0</v>
      </c>
      <c r="P173" t="n">
        <v>0</v>
      </c>
      <c r="Q173" t="n">
        <v>1</v>
      </c>
      <c r="R173" s="2" t="inlineStr">
        <is>
          <t>Lavskrika</t>
        </is>
      </c>
      <c r="S173">
        <f>HYPERLINK("https://klasma.github.io/Logging_2039/artfynd/A 27923-2025 artfynd.xlsx", "A 27923-2025")</f>
        <v/>
      </c>
      <c r="T173">
        <f>HYPERLINK("https://klasma.github.io/Logging_2039/kartor/A 27923-2025 karta.png", "A 27923-2025")</f>
        <v/>
      </c>
      <c r="V173">
        <f>HYPERLINK("https://klasma.github.io/Logging_2039/klagomål/A 27923-2025 FSC-klagomål.docx", "A 27923-2025")</f>
        <v/>
      </c>
      <c r="W173">
        <f>HYPERLINK("https://klasma.github.io/Logging_2039/klagomålsmail/A 27923-2025 FSC-klagomål mail.docx", "A 27923-2025")</f>
        <v/>
      </c>
      <c r="X173">
        <f>HYPERLINK("https://klasma.github.io/Logging_2039/tillsyn/A 27923-2025 tillsynsbegäran.docx", "A 27923-2025")</f>
        <v/>
      </c>
      <c r="Y173">
        <f>HYPERLINK("https://klasma.github.io/Logging_2039/tillsynsmail/A 27923-2025 tillsynsbegäran mail.docx", "A 27923-2025")</f>
        <v/>
      </c>
      <c r="Z173">
        <f>HYPERLINK("https://klasma.github.io/Logging_2039/fåglar/A 27923-2025 prioriterade fågelarter.docx", "A 27923-2025")</f>
        <v/>
      </c>
    </row>
    <row r="174" ht="15" customHeight="1">
      <c r="A174" t="inlineStr">
        <is>
          <t>A 27929-2025</t>
        </is>
      </c>
      <c r="B174" s="1" t="n">
        <v>45817.49222222222</v>
      </c>
      <c r="C174" s="1" t="n">
        <v>46081</v>
      </c>
      <c r="D174" t="inlineStr">
        <is>
          <t>DALARNAS LÄN</t>
        </is>
      </c>
      <c r="E174" t="inlineStr">
        <is>
          <t>ÄLVDALEN</t>
        </is>
      </c>
      <c r="F174" t="inlineStr">
        <is>
          <t>Sveaskog</t>
        </is>
      </c>
      <c r="G174" t="n">
        <v>2.7</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27929-2025 artfynd.xlsx", "A 27929-2025")</f>
        <v/>
      </c>
      <c r="T174">
        <f>HYPERLINK("https://klasma.github.io/Logging_2039/kartor/A 27929-2025 karta.png", "A 27929-2025")</f>
        <v/>
      </c>
      <c r="V174">
        <f>HYPERLINK("https://klasma.github.io/Logging_2039/klagomål/A 27929-2025 FSC-klagomål.docx", "A 27929-2025")</f>
        <v/>
      </c>
      <c r="W174">
        <f>HYPERLINK("https://klasma.github.io/Logging_2039/klagomålsmail/A 27929-2025 FSC-klagomål mail.docx", "A 27929-2025")</f>
        <v/>
      </c>
      <c r="X174">
        <f>HYPERLINK("https://klasma.github.io/Logging_2039/tillsyn/A 27929-2025 tillsynsbegäran.docx", "A 27929-2025")</f>
        <v/>
      </c>
      <c r="Y174">
        <f>HYPERLINK("https://klasma.github.io/Logging_2039/tillsynsmail/A 27929-2025 tillsynsbegäran mail.docx", "A 27929-2025")</f>
        <v/>
      </c>
    </row>
    <row r="175" ht="15" customHeight="1">
      <c r="A175" t="inlineStr">
        <is>
          <t>A 32199-2024</t>
        </is>
      </c>
      <c r="B175" s="1" t="n">
        <v>45511.66325231481</v>
      </c>
      <c r="C175" s="1" t="n">
        <v>46081</v>
      </c>
      <c r="D175" t="inlineStr">
        <is>
          <t>DALARNAS LÄN</t>
        </is>
      </c>
      <c r="E175" t="inlineStr">
        <is>
          <t>ÄLVDALEN</t>
        </is>
      </c>
      <c r="F175" t="inlineStr">
        <is>
          <t>Sveaskog</t>
        </is>
      </c>
      <c r="G175" t="n">
        <v>4.6</v>
      </c>
      <c r="H175" t="n">
        <v>1</v>
      </c>
      <c r="I175" t="n">
        <v>0</v>
      </c>
      <c r="J175" t="n">
        <v>1</v>
      </c>
      <c r="K175" t="n">
        <v>0</v>
      </c>
      <c r="L175" t="n">
        <v>0</v>
      </c>
      <c r="M175" t="n">
        <v>0</v>
      </c>
      <c r="N175" t="n">
        <v>0</v>
      </c>
      <c r="O175" t="n">
        <v>1</v>
      </c>
      <c r="P175" t="n">
        <v>0</v>
      </c>
      <c r="Q175" t="n">
        <v>1</v>
      </c>
      <c r="R175" s="2" t="inlineStr">
        <is>
          <t>Varglav</t>
        </is>
      </c>
      <c r="S175">
        <f>HYPERLINK("https://klasma.github.io/Logging_2039/artfynd/A 32199-2024 artfynd.xlsx", "A 32199-2024")</f>
        <v/>
      </c>
      <c r="T175">
        <f>HYPERLINK("https://klasma.github.io/Logging_2039/kartor/A 32199-2024 karta.png", "A 32199-2024")</f>
        <v/>
      </c>
      <c r="V175">
        <f>HYPERLINK("https://klasma.github.io/Logging_2039/klagomål/A 32199-2024 FSC-klagomål.docx", "A 32199-2024")</f>
        <v/>
      </c>
      <c r="W175">
        <f>HYPERLINK("https://klasma.github.io/Logging_2039/klagomålsmail/A 32199-2024 FSC-klagomål mail.docx", "A 32199-2024")</f>
        <v/>
      </c>
      <c r="X175">
        <f>HYPERLINK("https://klasma.github.io/Logging_2039/tillsyn/A 32199-2024 tillsynsbegäran.docx", "A 32199-2024")</f>
        <v/>
      </c>
      <c r="Y175">
        <f>HYPERLINK("https://klasma.github.io/Logging_2039/tillsynsmail/A 32199-2024 tillsynsbegäran mail.docx", "A 32199-2024")</f>
        <v/>
      </c>
    </row>
    <row r="176" ht="15" customHeight="1">
      <c r="A176" t="inlineStr">
        <is>
          <t>A 50385-2024</t>
        </is>
      </c>
      <c r="B176" s="1" t="n">
        <v>45600</v>
      </c>
      <c r="C176" s="1" t="n">
        <v>46081</v>
      </c>
      <c r="D176" t="inlineStr">
        <is>
          <t>DALARNAS LÄN</t>
        </is>
      </c>
      <c r="E176" t="inlineStr">
        <is>
          <t>ÄLVDALEN</t>
        </is>
      </c>
      <c r="F176" t="inlineStr">
        <is>
          <t>Övriga statliga verk och myndigheter</t>
        </is>
      </c>
      <c r="G176" t="n">
        <v>13.9</v>
      </c>
      <c r="H176" t="n">
        <v>0</v>
      </c>
      <c r="I176" t="n">
        <v>0</v>
      </c>
      <c r="J176" t="n">
        <v>1</v>
      </c>
      <c r="K176" t="n">
        <v>0</v>
      </c>
      <c r="L176" t="n">
        <v>0</v>
      </c>
      <c r="M176" t="n">
        <v>0</v>
      </c>
      <c r="N176" t="n">
        <v>0</v>
      </c>
      <c r="O176" t="n">
        <v>1</v>
      </c>
      <c r="P176" t="n">
        <v>0</v>
      </c>
      <c r="Q176" t="n">
        <v>1</v>
      </c>
      <c r="R176" s="2" t="inlineStr">
        <is>
          <t>Gammelgransskål</t>
        </is>
      </c>
      <c r="S176">
        <f>HYPERLINK("https://klasma.github.io/Logging_2039/artfynd/A 50385-2024 artfynd.xlsx", "A 50385-2024")</f>
        <v/>
      </c>
      <c r="T176">
        <f>HYPERLINK("https://klasma.github.io/Logging_2039/kartor/A 50385-2024 karta.png", "A 50385-2024")</f>
        <v/>
      </c>
      <c r="V176">
        <f>HYPERLINK("https://klasma.github.io/Logging_2039/klagomål/A 50385-2024 FSC-klagomål.docx", "A 50385-2024")</f>
        <v/>
      </c>
      <c r="W176">
        <f>HYPERLINK("https://klasma.github.io/Logging_2039/klagomålsmail/A 50385-2024 FSC-klagomål mail.docx", "A 50385-2024")</f>
        <v/>
      </c>
      <c r="X176">
        <f>HYPERLINK("https://klasma.github.io/Logging_2039/tillsyn/A 50385-2024 tillsynsbegäran.docx", "A 50385-2024")</f>
        <v/>
      </c>
      <c r="Y176">
        <f>HYPERLINK("https://klasma.github.io/Logging_2039/tillsynsmail/A 50385-2024 tillsynsbegäran mail.docx", "A 50385-2024")</f>
        <v/>
      </c>
    </row>
    <row r="177" ht="15" customHeight="1">
      <c r="A177" t="inlineStr">
        <is>
          <t>A 41728-2025</t>
        </is>
      </c>
      <c r="B177" s="1" t="n">
        <v>45902.45748842593</v>
      </c>
      <c r="C177" s="1" t="n">
        <v>46081</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41932-2025</t>
        </is>
      </c>
      <c r="B178" s="1" t="n">
        <v>45903.43458333334</v>
      </c>
      <c r="C178" s="1" t="n">
        <v>46081</v>
      </c>
      <c r="D178" t="inlineStr">
        <is>
          <t>DALARNAS LÄN</t>
        </is>
      </c>
      <c r="E178" t="inlineStr">
        <is>
          <t>ÄLVDALEN</t>
        </is>
      </c>
      <c r="F178" t="inlineStr">
        <is>
          <t>Sveaskog</t>
        </is>
      </c>
      <c r="G178" t="n">
        <v>5.5</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41932-2025 artfynd.xlsx", "A 41932-2025")</f>
        <v/>
      </c>
      <c r="T178">
        <f>HYPERLINK("https://klasma.github.io/Logging_2039/kartor/A 41932-2025 karta.png", "A 41932-2025")</f>
        <v/>
      </c>
      <c r="V178">
        <f>HYPERLINK("https://klasma.github.io/Logging_2039/klagomål/A 41932-2025 FSC-klagomål.docx", "A 41932-2025")</f>
        <v/>
      </c>
      <c r="W178">
        <f>HYPERLINK("https://klasma.github.io/Logging_2039/klagomålsmail/A 41932-2025 FSC-klagomål mail.docx", "A 41932-2025")</f>
        <v/>
      </c>
      <c r="X178">
        <f>HYPERLINK("https://klasma.github.io/Logging_2039/tillsyn/A 41932-2025 tillsynsbegäran.docx", "A 41932-2025")</f>
        <v/>
      </c>
      <c r="Y178">
        <f>HYPERLINK("https://klasma.github.io/Logging_2039/tillsynsmail/A 41932-2025 tillsynsbegäran mail.docx", "A 41932-2025")</f>
        <v/>
      </c>
    </row>
    <row r="179" ht="15" customHeight="1">
      <c r="A179" t="inlineStr">
        <is>
          <t>A 35352-2025</t>
        </is>
      </c>
      <c r="B179" s="1" t="n">
        <v>45853</v>
      </c>
      <c r="C179" s="1" t="n">
        <v>46081</v>
      </c>
      <c r="D179" t="inlineStr">
        <is>
          <t>DALARNAS LÄN</t>
        </is>
      </c>
      <c r="E179" t="inlineStr">
        <is>
          <t>ÄLVDALEN</t>
        </is>
      </c>
      <c r="F179" t="inlineStr">
        <is>
          <t>Sveaskog</t>
        </is>
      </c>
      <c r="G179" t="n">
        <v>0.7</v>
      </c>
      <c r="H179" t="n">
        <v>0</v>
      </c>
      <c r="I179" t="n">
        <v>0</v>
      </c>
      <c r="J179" t="n">
        <v>0</v>
      </c>
      <c r="K179" t="n">
        <v>1</v>
      </c>
      <c r="L179" t="n">
        <v>0</v>
      </c>
      <c r="M179" t="n">
        <v>0</v>
      </c>
      <c r="N179" t="n">
        <v>0</v>
      </c>
      <c r="O179" t="n">
        <v>1</v>
      </c>
      <c r="P179" t="n">
        <v>1</v>
      </c>
      <c r="Q179" t="n">
        <v>1</v>
      </c>
      <c r="R179" s="2" t="inlineStr">
        <is>
          <t>Gräddporing</t>
        </is>
      </c>
      <c r="S179">
        <f>HYPERLINK("https://klasma.github.io/Logging_2039/artfynd/A 35352-2025 artfynd.xlsx", "A 35352-2025")</f>
        <v/>
      </c>
      <c r="T179">
        <f>HYPERLINK("https://klasma.github.io/Logging_2039/kartor/A 35352-2025 karta.png", "A 35352-2025")</f>
        <v/>
      </c>
      <c r="V179">
        <f>HYPERLINK("https://klasma.github.io/Logging_2039/klagomål/A 35352-2025 FSC-klagomål.docx", "A 35352-2025")</f>
        <v/>
      </c>
      <c r="W179">
        <f>HYPERLINK("https://klasma.github.io/Logging_2039/klagomålsmail/A 35352-2025 FSC-klagomål mail.docx", "A 35352-2025")</f>
        <v/>
      </c>
      <c r="X179">
        <f>HYPERLINK("https://klasma.github.io/Logging_2039/tillsyn/A 35352-2025 tillsynsbegäran.docx", "A 35352-2025")</f>
        <v/>
      </c>
      <c r="Y179">
        <f>HYPERLINK("https://klasma.github.io/Logging_2039/tillsynsmail/A 35352-2025 tillsynsbegäran mail.docx", "A 35352-2025")</f>
        <v/>
      </c>
    </row>
    <row r="180" ht="15" customHeight="1">
      <c r="A180" t="inlineStr">
        <is>
          <t>A 36574-2021</t>
        </is>
      </c>
      <c r="B180" s="1" t="n">
        <v>44391</v>
      </c>
      <c r="C180" s="1" t="n">
        <v>46081</v>
      </c>
      <c r="D180" t="inlineStr">
        <is>
          <t>DALARNAS LÄN</t>
        </is>
      </c>
      <c r="E180" t="inlineStr">
        <is>
          <t>ÄLVDALEN</t>
        </is>
      </c>
      <c r="F180" t="inlineStr">
        <is>
          <t>Sveaskog</t>
        </is>
      </c>
      <c r="G180" t="n">
        <v>26.2</v>
      </c>
      <c r="H180" t="n">
        <v>1</v>
      </c>
      <c r="I180" t="n">
        <v>0</v>
      </c>
      <c r="J180" t="n">
        <v>0</v>
      </c>
      <c r="K180" t="n">
        <v>0</v>
      </c>
      <c r="L180" t="n">
        <v>0</v>
      </c>
      <c r="M180" t="n">
        <v>0</v>
      </c>
      <c r="N180" t="n">
        <v>0</v>
      </c>
      <c r="O180" t="n">
        <v>0</v>
      </c>
      <c r="P180" t="n">
        <v>0</v>
      </c>
      <c r="Q180" t="n">
        <v>1</v>
      </c>
      <c r="R180" s="2" t="inlineStr">
        <is>
          <t>Lavskrika</t>
        </is>
      </c>
      <c r="S180">
        <f>HYPERLINK("https://klasma.github.io/Logging_2039/artfynd/A 36574-2021 artfynd.xlsx", "A 36574-2021")</f>
        <v/>
      </c>
      <c r="T180">
        <f>HYPERLINK("https://klasma.github.io/Logging_2039/kartor/A 36574-2021 karta.png", "A 36574-2021")</f>
        <v/>
      </c>
      <c r="V180">
        <f>HYPERLINK("https://klasma.github.io/Logging_2039/klagomål/A 36574-2021 FSC-klagomål.docx", "A 36574-2021")</f>
        <v/>
      </c>
      <c r="W180">
        <f>HYPERLINK("https://klasma.github.io/Logging_2039/klagomålsmail/A 36574-2021 FSC-klagomål mail.docx", "A 36574-2021")</f>
        <v/>
      </c>
      <c r="X180">
        <f>HYPERLINK("https://klasma.github.io/Logging_2039/tillsyn/A 36574-2021 tillsynsbegäran.docx", "A 36574-2021")</f>
        <v/>
      </c>
      <c r="Y180">
        <f>HYPERLINK("https://klasma.github.io/Logging_2039/tillsynsmail/A 36574-2021 tillsynsbegäran mail.docx", "A 36574-2021")</f>
        <v/>
      </c>
      <c r="Z180">
        <f>HYPERLINK("https://klasma.github.io/Logging_2039/fåglar/A 36574-2021 prioriterade fågelarter.docx", "A 36574-2021")</f>
        <v/>
      </c>
    </row>
    <row r="181" ht="15" customHeight="1">
      <c r="A181" t="inlineStr">
        <is>
          <t>A 49141-2025</t>
        </is>
      </c>
      <c r="B181" s="1" t="n">
        <v>45938.31905092593</v>
      </c>
      <c r="C181" s="1" t="n">
        <v>46081</v>
      </c>
      <c r="D181" t="inlineStr">
        <is>
          <t>DALARNAS LÄN</t>
        </is>
      </c>
      <c r="E181" t="inlineStr">
        <is>
          <t>ÄLVDALEN</t>
        </is>
      </c>
      <c r="F181" t="inlineStr">
        <is>
          <t>Allmännings- och besparingsskogar</t>
        </is>
      </c>
      <c r="G181" t="n">
        <v>0.8</v>
      </c>
      <c r="H181" t="n">
        <v>0</v>
      </c>
      <c r="I181" t="n">
        <v>0</v>
      </c>
      <c r="J181" t="n">
        <v>1</v>
      </c>
      <c r="K181" t="n">
        <v>0</v>
      </c>
      <c r="L181" t="n">
        <v>0</v>
      </c>
      <c r="M181" t="n">
        <v>0</v>
      </c>
      <c r="N181" t="n">
        <v>0</v>
      </c>
      <c r="O181" t="n">
        <v>1</v>
      </c>
      <c r="P181" t="n">
        <v>0</v>
      </c>
      <c r="Q181" t="n">
        <v>1</v>
      </c>
      <c r="R181" s="2" t="inlineStr">
        <is>
          <t>Garnlav</t>
        </is>
      </c>
      <c r="S181">
        <f>HYPERLINK("https://klasma.github.io/Logging_2039/artfynd/A 49141-2025 artfynd.xlsx", "A 49141-2025")</f>
        <v/>
      </c>
      <c r="T181">
        <f>HYPERLINK("https://klasma.github.io/Logging_2039/kartor/A 49141-2025 karta.png", "A 49141-2025")</f>
        <v/>
      </c>
      <c r="V181">
        <f>HYPERLINK("https://klasma.github.io/Logging_2039/klagomål/A 49141-2025 FSC-klagomål.docx", "A 49141-2025")</f>
        <v/>
      </c>
      <c r="W181">
        <f>HYPERLINK("https://klasma.github.io/Logging_2039/klagomålsmail/A 49141-2025 FSC-klagomål mail.docx", "A 49141-2025")</f>
        <v/>
      </c>
      <c r="X181">
        <f>HYPERLINK("https://klasma.github.io/Logging_2039/tillsyn/A 49141-2025 tillsynsbegäran.docx", "A 49141-2025")</f>
        <v/>
      </c>
      <c r="Y181">
        <f>HYPERLINK("https://klasma.github.io/Logging_2039/tillsynsmail/A 49141-2025 tillsynsbegäran mail.docx", "A 49141-2025")</f>
        <v/>
      </c>
    </row>
    <row r="182" ht="15" customHeight="1">
      <c r="A182" t="inlineStr">
        <is>
          <t>A 23872-2023</t>
        </is>
      </c>
      <c r="B182" s="1" t="n">
        <v>45078</v>
      </c>
      <c r="C182" s="1" t="n">
        <v>46081</v>
      </c>
      <c r="D182" t="inlineStr">
        <is>
          <t>DALARNAS LÄN</t>
        </is>
      </c>
      <c r="E182" t="inlineStr">
        <is>
          <t>ÄLVDALEN</t>
        </is>
      </c>
      <c r="F182" t="inlineStr">
        <is>
          <t>Allmännings- och besparingsskogar</t>
        </is>
      </c>
      <c r="G182" t="n">
        <v>79.5</v>
      </c>
      <c r="H182" t="n">
        <v>1</v>
      </c>
      <c r="I182" t="n">
        <v>0</v>
      </c>
      <c r="J182" t="n">
        <v>0</v>
      </c>
      <c r="K182" t="n">
        <v>0</v>
      </c>
      <c r="L182" t="n">
        <v>0</v>
      </c>
      <c r="M182" t="n">
        <v>0</v>
      </c>
      <c r="N182" t="n">
        <v>0</v>
      </c>
      <c r="O182" t="n">
        <v>0</v>
      </c>
      <c r="P182" t="n">
        <v>0</v>
      </c>
      <c r="Q182" t="n">
        <v>1</v>
      </c>
      <c r="R182" s="2" t="inlineStr">
        <is>
          <t>Vanlig groda</t>
        </is>
      </c>
      <c r="S182">
        <f>HYPERLINK("https://klasma.github.io/Logging_2039/artfynd/A 23872-2023 artfynd.xlsx", "A 23872-2023")</f>
        <v/>
      </c>
      <c r="T182">
        <f>HYPERLINK("https://klasma.github.io/Logging_2039/kartor/A 23872-2023 karta.png", "A 23872-2023")</f>
        <v/>
      </c>
      <c r="V182">
        <f>HYPERLINK("https://klasma.github.io/Logging_2039/klagomål/A 23872-2023 FSC-klagomål.docx", "A 23872-2023")</f>
        <v/>
      </c>
      <c r="W182">
        <f>HYPERLINK("https://klasma.github.io/Logging_2039/klagomålsmail/A 23872-2023 FSC-klagomål mail.docx", "A 23872-2023")</f>
        <v/>
      </c>
      <c r="X182">
        <f>HYPERLINK("https://klasma.github.io/Logging_2039/tillsyn/A 23872-2023 tillsynsbegäran.docx", "A 23872-2023")</f>
        <v/>
      </c>
      <c r="Y182">
        <f>HYPERLINK("https://klasma.github.io/Logging_2039/tillsynsmail/A 23872-2023 tillsynsbegäran mail.docx", "A 23872-2023")</f>
        <v/>
      </c>
    </row>
    <row r="183" ht="15" customHeight="1">
      <c r="A183" t="inlineStr">
        <is>
          <t>A 59380-2025</t>
        </is>
      </c>
      <c r="B183" s="1" t="n">
        <v>45989.4540625</v>
      </c>
      <c r="C183" s="1" t="n">
        <v>46081</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60082-2025</t>
        </is>
      </c>
      <c r="B184" s="1" t="n">
        <v>45993</v>
      </c>
      <c r="C184" s="1" t="n">
        <v>46081</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50981-2024</t>
        </is>
      </c>
      <c r="B185" s="1" t="n">
        <v>45603.36233796296</v>
      </c>
      <c r="C185" s="1" t="n">
        <v>46081</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19614-2024</t>
        </is>
      </c>
      <c r="B186" s="1" t="n">
        <v>45432.30798611111</v>
      </c>
      <c r="C186" s="1" t="n">
        <v>46081</v>
      </c>
      <c r="D186" t="inlineStr">
        <is>
          <t>DALARNAS LÄN</t>
        </is>
      </c>
      <c r="E186" t="inlineStr">
        <is>
          <t>ÄLVDALEN</t>
        </is>
      </c>
      <c r="F186" t="inlineStr">
        <is>
          <t>Sveaskog</t>
        </is>
      </c>
      <c r="G186" t="n">
        <v>2.9</v>
      </c>
      <c r="H186" t="n">
        <v>0</v>
      </c>
      <c r="I186" t="n">
        <v>0</v>
      </c>
      <c r="J186" t="n">
        <v>1</v>
      </c>
      <c r="K186" t="n">
        <v>0</v>
      </c>
      <c r="L186" t="n">
        <v>0</v>
      </c>
      <c r="M186" t="n">
        <v>0</v>
      </c>
      <c r="N186" t="n">
        <v>0</v>
      </c>
      <c r="O186" t="n">
        <v>1</v>
      </c>
      <c r="P186" t="n">
        <v>0</v>
      </c>
      <c r="Q186" t="n">
        <v>1</v>
      </c>
      <c r="R186" s="2" t="inlineStr">
        <is>
          <t>Mörk kolflarnlav</t>
        </is>
      </c>
      <c r="S186">
        <f>HYPERLINK("https://klasma.github.io/Logging_2039/artfynd/A 19614-2024 artfynd.xlsx", "A 19614-2024")</f>
        <v/>
      </c>
      <c r="T186">
        <f>HYPERLINK("https://klasma.github.io/Logging_2039/kartor/A 19614-2024 karta.png", "A 19614-2024")</f>
        <v/>
      </c>
      <c r="V186">
        <f>HYPERLINK("https://klasma.github.io/Logging_2039/klagomål/A 19614-2024 FSC-klagomål.docx", "A 19614-2024")</f>
        <v/>
      </c>
      <c r="W186">
        <f>HYPERLINK("https://klasma.github.io/Logging_2039/klagomålsmail/A 19614-2024 FSC-klagomål mail.docx", "A 19614-2024")</f>
        <v/>
      </c>
      <c r="X186">
        <f>HYPERLINK("https://klasma.github.io/Logging_2039/tillsyn/A 19614-2024 tillsynsbegäran.docx", "A 19614-2024")</f>
        <v/>
      </c>
      <c r="Y186">
        <f>HYPERLINK("https://klasma.github.io/Logging_2039/tillsynsmail/A 19614-2024 tillsynsbegäran mail.docx", "A 19614-2024")</f>
        <v/>
      </c>
    </row>
    <row r="187" ht="15" customHeight="1">
      <c r="A187" t="inlineStr">
        <is>
          <t>A 45201-2024</t>
        </is>
      </c>
      <c r="B187" s="1" t="n">
        <v>45575</v>
      </c>
      <c r="C187" s="1" t="n">
        <v>46081</v>
      </c>
      <c r="D187" t="inlineStr">
        <is>
          <t>DALARNAS LÄN</t>
        </is>
      </c>
      <c r="E187" t="inlineStr">
        <is>
          <t>ÄLVDALEN</t>
        </is>
      </c>
      <c r="G187" t="n">
        <v>24.5</v>
      </c>
      <c r="H187" t="n">
        <v>1</v>
      </c>
      <c r="I187" t="n">
        <v>0</v>
      </c>
      <c r="J187" t="n">
        <v>1</v>
      </c>
      <c r="K187" t="n">
        <v>0</v>
      </c>
      <c r="L187" t="n">
        <v>0</v>
      </c>
      <c r="M187" t="n">
        <v>0</v>
      </c>
      <c r="N187" t="n">
        <v>0</v>
      </c>
      <c r="O187" t="n">
        <v>1</v>
      </c>
      <c r="P187" t="n">
        <v>0</v>
      </c>
      <c r="Q187" t="n">
        <v>1</v>
      </c>
      <c r="R187" s="2" t="inlineStr">
        <is>
          <t>Varglav</t>
        </is>
      </c>
      <c r="S187">
        <f>HYPERLINK("https://klasma.github.io/Logging_2039/artfynd/A 45201-2024 artfynd.xlsx", "A 45201-2024")</f>
        <v/>
      </c>
      <c r="T187">
        <f>HYPERLINK("https://klasma.github.io/Logging_2039/kartor/A 45201-2024 karta.png", "A 45201-2024")</f>
        <v/>
      </c>
      <c r="V187">
        <f>HYPERLINK("https://klasma.github.io/Logging_2039/klagomål/A 45201-2024 FSC-klagomål.docx", "A 45201-2024")</f>
        <v/>
      </c>
      <c r="W187">
        <f>HYPERLINK("https://klasma.github.io/Logging_2039/klagomålsmail/A 45201-2024 FSC-klagomål mail.docx", "A 45201-2024")</f>
        <v/>
      </c>
      <c r="X187">
        <f>HYPERLINK("https://klasma.github.io/Logging_2039/tillsyn/A 45201-2024 tillsynsbegäran.docx", "A 45201-2024")</f>
        <v/>
      </c>
      <c r="Y187">
        <f>HYPERLINK("https://klasma.github.io/Logging_2039/tillsynsmail/A 45201-2024 tillsynsbegäran mail.docx", "A 45201-2024")</f>
        <v/>
      </c>
    </row>
    <row r="188" ht="15" customHeight="1">
      <c r="A188" t="inlineStr">
        <is>
          <t>A 45202-2024</t>
        </is>
      </c>
      <c r="B188" s="1" t="n">
        <v>45575</v>
      </c>
      <c r="C188" s="1" t="n">
        <v>46081</v>
      </c>
      <c r="D188" t="inlineStr">
        <is>
          <t>DALARNAS LÄN</t>
        </is>
      </c>
      <c r="E188" t="inlineStr">
        <is>
          <t>ÄLVDALEN</t>
        </is>
      </c>
      <c r="G188" t="n">
        <v>182.1</v>
      </c>
      <c r="H188" t="n">
        <v>1</v>
      </c>
      <c r="I188" t="n">
        <v>0</v>
      </c>
      <c r="J188" t="n">
        <v>0</v>
      </c>
      <c r="K188" t="n">
        <v>0</v>
      </c>
      <c r="L188" t="n">
        <v>0</v>
      </c>
      <c r="M188" t="n">
        <v>0</v>
      </c>
      <c r="N188" t="n">
        <v>0</v>
      </c>
      <c r="O188" t="n">
        <v>0</v>
      </c>
      <c r="P188" t="n">
        <v>0</v>
      </c>
      <c r="Q188" t="n">
        <v>1</v>
      </c>
      <c r="R188" s="2" t="inlineStr">
        <is>
          <t>Lavskrika</t>
        </is>
      </c>
      <c r="S188">
        <f>HYPERLINK("https://klasma.github.io/Logging_2039/artfynd/A 45202-2024 artfynd.xlsx", "A 45202-2024")</f>
        <v/>
      </c>
      <c r="T188">
        <f>HYPERLINK("https://klasma.github.io/Logging_2039/kartor/A 45202-2024 karta.png", "A 45202-2024")</f>
        <v/>
      </c>
      <c r="V188">
        <f>HYPERLINK("https://klasma.github.io/Logging_2039/klagomål/A 45202-2024 FSC-klagomål.docx", "A 45202-2024")</f>
        <v/>
      </c>
      <c r="W188">
        <f>HYPERLINK("https://klasma.github.io/Logging_2039/klagomålsmail/A 45202-2024 FSC-klagomål mail.docx", "A 45202-2024")</f>
        <v/>
      </c>
      <c r="X188">
        <f>HYPERLINK("https://klasma.github.io/Logging_2039/tillsyn/A 45202-2024 tillsynsbegäran.docx", "A 45202-2024")</f>
        <v/>
      </c>
      <c r="Y188">
        <f>HYPERLINK("https://klasma.github.io/Logging_2039/tillsynsmail/A 45202-2024 tillsynsbegäran mail.docx", "A 45202-2024")</f>
        <v/>
      </c>
      <c r="Z188">
        <f>HYPERLINK("https://klasma.github.io/Logging_2039/fåglar/A 45202-2024 prioriterade fågelarter.docx", "A 45202-2024")</f>
        <v/>
      </c>
    </row>
    <row r="189" ht="15" customHeight="1">
      <c r="A189" t="inlineStr">
        <is>
          <t>A 11061-2021</t>
        </is>
      </c>
      <c r="B189" s="1" t="n">
        <v>44260</v>
      </c>
      <c r="C189" s="1" t="n">
        <v>46081</v>
      </c>
      <c r="D189" t="inlineStr">
        <is>
          <t>DALARNAS LÄN</t>
        </is>
      </c>
      <c r="E189" t="inlineStr">
        <is>
          <t>ÄLVDALEN</t>
        </is>
      </c>
      <c r="F189" t="inlineStr">
        <is>
          <t>Övriga statliga verk och myndigheter</t>
        </is>
      </c>
      <c r="G189" t="n">
        <v>43.7</v>
      </c>
      <c r="H189" t="n">
        <v>1</v>
      </c>
      <c r="I189" t="n">
        <v>0</v>
      </c>
      <c r="J189" t="n">
        <v>0</v>
      </c>
      <c r="K189" t="n">
        <v>0</v>
      </c>
      <c r="L189" t="n">
        <v>0</v>
      </c>
      <c r="M189" t="n">
        <v>0</v>
      </c>
      <c r="N189" t="n">
        <v>0</v>
      </c>
      <c r="O189" t="n">
        <v>0</v>
      </c>
      <c r="P189" t="n">
        <v>0</v>
      </c>
      <c r="Q189" t="n">
        <v>1</v>
      </c>
      <c r="R189" s="2" t="inlineStr">
        <is>
          <t>Större vattensalamander</t>
        </is>
      </c>
      <c r="S189">
        <f>HYPERLINK("https://klasma.github.io/Logging_2039/artfynd/A 11061-2021 artfynd.xlsx", "A 11061-2021")</f>
        <v/>
      </c>
      <c r="T189">
        <f>HYPERLINK("https://klasma.github.io/Logging_2039/kartor/A 11061-2021 karta.png", "A 11061-2021")</f>
        <v/>
      </c>
      <c r="V189">
        <f>HYPERLINK("https://klasma.github.io/Logging_2039/klagomål/A 11061-2021 FSC-klagomål.docx", "A 11061-2021")</f>
        <v/>
      </c>
      <c r="W189">
        <f>HYPERLINK("https://klasma.github.io/Logging_2039/klagomålsmail/A 11061-2021 FSC-klagomål mail.docx", "A 11061-2021")</f>
        <v/>
      </c>
      <c r="X189">
        <f>HYPERLINK("https://klasma.github.io/Logging_2039/tillsyn/A 11061-2021 tillsynsbegäran.docx", "A 11061-2021")</f>
        <v/>
      </c>
      <c r="Y189">
        <f>HYPERLINK("https://klasma.github.io/Logging_2039/tillsynsmail/A 11061-2021 tillsynsbegäran mail.docx", "A 11061-2021")</f>
        <v/>
      </c>
    </row>
    <row r="190" ht="15" customHeight="1">
      <c r="A190" t="inlineStr">
        <is>
          <t>A 662-2025</t>
        </is>
      </c>
      <c r="B190" s="1" t="n">
        <v>45664</v>
      </c>
      <c r="C190" s="1" t="n">
        <v>46081</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30691-2024</t>
        </is>
      </c>
      <c r="B191" s="1" t="n">
        <v>45496.26998842593</v>
      </c>
      <c r="C191" s="1" t="n">
        <v>46081</v>
      </c>
      <c r="D191" t="inlineStr">
        <is>
          <t>DALARNAS LÄN</t>
        </is>
      </c>
      <c r="E191" t="inlineStr">
        <is>
          <t>ÄLVDALEN</t>
        </is>
      </c>
      <c r="G191" t="n">
        <v>2.9</v>
      </c>
      <c r="H191" t="n">
        <v>0</v>
      </c>
      <c r="I191" t="n">
        <v>1</v>
      </c>
      <c r="J191" t="n">
        <v>0</v>
      </c>
      <c r="K191" t="n">
        <v>0</v>
      </c>
      <c r="L191" t="n">
        <v>0</v>
      </c>
      <c r="M191" t="n">
        <v>0</v>
      </c>
      <c r="N191" t="n">
        <v>0</v>
      </c>
      <c r="O191" t="n">
        <v>0</v>
      </c>
      <c r="P191" t="n">
        <v>0</v>
      </c>
      <c r="Q191" t="n">
        <v>1</v>
      </c>
      <c r="R191" s="2" t="inlineStr">
        <is>
          <t>Dropptaggsvamp</t>
        </is>
      </c>
      <c r="S191">
        <f>HYPERLINK("https://klasma.github.io/Logging_2039/artfynd/A 30691-2024 artfynd.xlsx", "A 30691-2024")</f>
        <v/>
      </c>
      <c r="T191">
        <f>HYPERLINK("https://klasma.github.io/Logging_2039/kartor/A 30691-2024 karta.png", "A 30691-2024")</f>
        <v/>
      </c>
      <c r="V191">
        <f>HYPERLINK("https://klasma.github.io/Logging_2039/klagomål/A 30691-2024 FSC-klagomål.docx", "A 30691-2024")</f>
        <v/>
      </c>
      <c r="W191">
        <f>HYPERLINK("https://klasma.github.io/Logging_2039/klagomålsmail/A 30691-2024 FSC-klagomål mail.docx", "A 30691-2024")</f>
        <v/>
      </c>
      <c r="X191">
        <f>HYPERLINK("https://klasma.github.io/Logging_2039/tillsyn/A 30691-2024 tillsynsbegäran.docx", "A 30691-2024")</f>
        <v/>
      </c>
      <c r="Y191">
        <f>HYPERLINK("https://klasma.github.io/Logging_2039/tillsynsmail/A 30691-2024 tillsynsbegäran mail.docx", "A 30691-2024")</f>
        <v/>
      </c>
    </row>
    <row r="192" ht="15" customHeight="1">
      <c r="A192" t="inlineStr">
        <is>
          <t>A 22286-2025</t>
        </is>
      </c>
      <c r="B192" s="1" t="n">
        <v>45786.34402777778</v>
      </c>
      <c r="C192" s="1" t="n">
        <v>46081</v>
      </c>
      <c r="D192" t="inlineStr">
        <is>
          <t>DALARNAS LÄN</t>
        </is>
      </c>
      <c r="E192" t="inlineStr">
        <is>
          <t>ÄLVDALEN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HYPERLINK("https://klasma.github.io/Logging_2039/artfynd/A 22286-2025 artfynd.xlsx", "A 22286-2025")</f>
        <v/>
      </c>
      <c r="T192">
        <f>HYPERLINK("https://klasma.github.io/Logging_2039/kartor/A 22286-2025 karta.png", "A 22286-2025")</f>
        <v/>
      </c>
      <c r="V192">
        <f>HYPERLINK("https://klasma.github.io/Logging_2039/klagomål/A 22286-2025 FSC-klagomål.docx", "A 22286-2025")</f>
        <v/>
      </c>
      <c r="W192">
        <f>HYPERLINK("https://klasma.github.io/Logging_2039/klagomålsmail/A 22286-2025 FSC-klagomål mail.docx", "A 22286-2025")</f>
        <v/>
      </c>
      <c r="X192">
        <f>HYPERLINK("https://klasma.github.io/Logging_2039/tillsyn/A 22286-2025 tillsynsbegäran.docx", "A 22286-2025")</f>
        <v/>
      </c>
      <c r="Y192">
        <f>HYPERLINK("https://klasma.github.io/Logging_2039/tillsynsmail/A 22286-2025 tillsynsbegäran mail.docx", "A 22286-2025")</f>
        <v/>
      </c>
    </row>
    <row r="193" ht="15" customHeight="1">
      <c r="A193" t="inlineStr">
        <is>
          <t>A 19313-2021</t>
        </is>
      </c>
      <c r="B193" s="1" t="n">
        <v>44309</v>
      </c>
      <c r="C193" s="1" t="n">
        <v>46081</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46081</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46081</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46081</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46081</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46081</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46081</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46081</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46081</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46081</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46081</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46081</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46081</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46081</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46081</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46081</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46081</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46081</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46081</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46081</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46081</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46081</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46081</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46081</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46081</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46081</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46081</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46081</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46081</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52064-2022</t>
        </is>
      </c>
      <c r="B222" s="1" t="n">
        <v>44873.34854166667</v>
      </c>
      <c r="C222" s="1" t="n">
        <v>46081</v>
      </c>
      <c r="D222" t="inlineStr">
        <is>
          <t>DALARNAS LÄN</t>
        </is>
      </c>
      <c r="E222" t="inlineStr">
        <is>
          <t>ÄLVDALEN</t>
        </is>
      </c>
      <c r="G222" t="n">
        <v>0.3</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46081</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46081</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46081</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46081</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46081</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46081</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46081</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46081</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46081</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46081</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46081</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52877-2021</t>
        </is>
      </c>
      <c r="B234" s="1" t="n">
        <v>44467.47215277778</v>
      </c>
      <c r="C234" s="1" t="n">
        <v>46081</v>
      </c>
      <c r="D234" t="inlineStr">
        <is>
          <t>DALARNAS LÄN</t>
        </is>
      </c>
      <c r="E234" t="inlineStr">
        <is>
          <t>ÄLVDALEN</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46081</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46081</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46081</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46081</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46081</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46081</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46081</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46081</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46081</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46081</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46081</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46081</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46081</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46081</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46081</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46081</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46081</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46081</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46081</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46081</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46081</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57783-2021</t>
        </is>
      </c>
      <c r="B256" s="1" t="n">
        <v>44484</v>
      </c>
      <c r="C256" s="1" t="n">
        <v>46081</v>
      </c>
      <c r="D256" t="inlineStr">
        <is>
          <t>DALARNAS LÄN</t>
        </is>
      </c>
      <c r="E256" t="inlineStr">
        <is>
          <t>ÄLVDALEN</t>
        </is>
      </c>
      <c r="G256" t="n">
        <v>6.9</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46081</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46081</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46081</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46081</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46081</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46081</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15045-2021</t>
        </is>
      </c>
      <c r="B263" s="1" t="n">
        <v>44281</v>
      </c>
      <c r="C263" s="1" t="n">
        <v>46081</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46081</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46081</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46081</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46081</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46081</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46081</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46081</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46081</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46081</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46081</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46081</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46081</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30969-2021</t>
        </is>
      </c>
      <c r="B276" s="1" t="n">
        <v>44365.89862268518</v>
      </c>
      <c r="C276" s="1" t="n">
        <v>46081</v>
      </c>
      <c r="D276" t="inlineStr">
        <is>
          <t>DALARNAS LÄN</t>
        </is>
      </c>
      <c r="E276" t="inlineStr">
        <is>
          <t>ÄLVDALEN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46081</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46559-2023</t>
        </is>
      </c>
      <c r="B278" s="1" t="n">
        <v>45187</v>
      </c>
      <c r="C278" s="1" t="n">
        <v>46081</v>
      </c>
      <c r="D278" t="inlineStr">
        <is>
          <t>DALARNAS LÄN</t>
        </is>
      </c>
      <c r="E278" t="inlineStr">
        <is>
          <t>ÄLVDALEN</t>
        </is>
      </c>
      <c r="G278" t="n">
        <v>9.6</v>
      </c>
      <c r="H278" t="n">
        <v>0</v>
      </c>
      <c r="I278" t="n">
        <v>0</v>
      </c>
      <c r="J278" t="n">
        <v>0</v>
      </c>
      <c r="K278" t="n">
        <v>0</v>
      </c>
      <c r="L278" t="n">
        <v>0</v>
      </c>
      <c r="M278" t="n">
        <v>0</v>
      </c>
      <c r="N278" t="n">
        <v>0</v>
      </c>
      <c r="O278" t="n">
        <v>0</v>
      </c>
      <c r="P278" t="n">
        <v>0</v>
      </c>
      <c r="Q278" t="n">
        <v>0</v>
      </c>
      <c r="R278" s="2" t="inlineStr"/>
    </row>
    <row r="279" ht="15" customHeight="1">
      <c r="A279" t="inlineStr">
        <is>
          <t>A 27480-2022</t>
        </is>
      </c>
      <c r="B279" s="1" t="n">
        <v>44742.60590277778</v>
      </c>
      <c r="C279" s="1" t="n">
        <v>46081</v>
      </c>
      <c r="D279" t="inlineStr">
        <is>
          <t>DALARNAS LÄN</t>
        </is>
      </c>
      <c r="E279" t="inlineStr">
        <is>
          <t>ÄLVDALEN</t>
        </is>
      </c>
      <c r="F279" t="inlineStr">
        <is>
          <t>Bergvik skog väst AB</t>
        </is>
      </c>
      <c r="G279" t="n">
        <v>4.1</v>
      </c>
      <c r="H279" t="n">
        <v>0</v>
      </c>
      <c r="I279" t="n">
        <v>0</v>
      </c>
      <c r="J279" t="n">
        <v>0</v>
      </c>
      <c r="K279" t="n">
        <v>0</v>
      </c>
      <c r="L279" t="n">
        <v>0</v>
      </c>
      <c r="M279" t="n">
        <v>0</v>
      </c>
      <c r="N279" t="n">
        <v>0</v>
      </c>
      <c r="O279" t="n">
        <v>0</v>
      </c>
      <c r="P279" t="n">
        <v>0</v>
      </c>
      <c r="Q279" t="n">
        <v>0</v>
      </c>
      <c r="R279" s="2" t="inlineStr"/>
    </row>
    <row r="280" ht="15" customHeight="1">
      <c r="A280" t="inlineStr">
        <is>
          <t>A 19992-2023</t>
        </is>
      </c>
      <c r="B280" s="1" t="n">
        <v>45054.61501157407</v>
      </c>
      <c r="C280" s="1" t="n">
        <v>46081</v>
      </c>
      <c r="D280" t="inlineStr">
        <is>
          <t>DALARNAS LÄN</t>
        </is>
      </c>
      <c r="E280" t="inlineStr">
        <is>
          <t>ÄLVDALEN</t>
        </is>
      </c>
      <c r="G280" t="n">
        <v>3.9</v>
      </c>
      <c r="H280" t="n">
        <v>0</v>
      </c>
      <c r="I280" t="n">
        <v>0</v>
      </c>
      <c r="J280" t="n">
        <v>0</v>
      </c>
      <c r="K280" t="n">
        <v>0</v>
      </c>
      <c r="L280" t="n">
        <v>0</v>
      </c>
      <c r="M280" t="n">
        <v>0</v>
      </c>
      <c r="N280" t="n">
        <v>0</v>
      </c>
      <c r="O280" t="n">
        <v>0</v>
      </c>
      <c r="P280" t="n">
        <v>0</v>
      </c>
      <c r="Q280" t="n">
        <v>0</v>
      </c>
      <c r="R280" s="2" t="inlineStr"/>
    </row>
    <row r="281" ht="15" customHeight="1">
      <c r="A281" t="inlineStr">
        <is>
          <t>A 30355-2021</t>
        </is>
      </c>
      <c r="B281" s="1" t="n">
        <v>44364</v>
      </c>
      <c r="C281" s="1" t="n">
        <v>46081</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45245-2022</t>
        </is>
      </c>
      <c r="B282" s="1" t="n">
        <v>44844.48002314815</v>
      </c>
      <c r="C282" s="1" t="n">
        <v>46081</v>
      </c>
      <c r="D282" t="inlineStr">
        <is>
          <t>DALARNAS LÄN</t>
        </is>
      </c>
      <c r="E282" t="inlineStr">
        <is>
          <t>ÄLVDALEN</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49063-2023</t>
        </is>
      </c>
      <c r="B283" s="1" t="n">
        <v>45210</v>
      </c>
      <c r="C283" s="1" t="n">
        <v>46081</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2381-2024</t>
        </is>
      </c>
      <c r="B284" s="1" t="n">
        <v>45310.64228009259</v>
      </c>
      <c r="C284" s="1" t="n">
        <v>46081</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7232-2025</t>
        </is>
      </c>
      <c r="B285" s="1" t="n">
        <v>45702.51415509259</v>
      </c>
      <c r="C285" s="1" t="n">
        <v>46081</v>
      </c>
      <c r="D285" t="inlineStr">
        <is>
          <t>DALARNAS LÄN</t>
        </is>
      </c>
      <c r="E285" t="inlineStr">
        <is>
          <t>ÄLVDALEN</t>
        </is>
      </c>
      <c r="F285" t="inlineStr">
        <is>
          <t>Allmännings- och besparingsskogar</t>
        </is>
      </c>
      <c r="G285" t="n">
        <v>1.4</v>
      </c>
      <c r="H285" t="n">
        <v>0</v>
      </c>
      <c r="I285" t="n">
        <v>0</v>
      </c>
      <c r="J285" t="n">
        <v>0</v>
      </c>
      <c r="K285" t="n">
        <v>0</v>
      </c>
      <c r="L285" t="n">
        <v>0</v>
      </c>
      <c r="M285" t="n">
        <v>0</v>
      </c>
      <c r="N285" t="n">
        <v>0</v>
      </c>
      <c r="O285" t="n">
        <v>0</v>
      </c>
      <c r="P285" t="n">
        <v>0</v>
      </c>
      <c r="Q285" t="n">
        <v>0</v>
      </c>
      <c r="R285" s="2" t="inlineStr"/>
    </row>
    <row r="286" ht="15" customHeight="1">
      <c r="A286" t="inlineStr">
        <is>
          <t>A 26080-2021</t>
        </is>
      </c>
      <c r="B286" s="1" t="n">
        <v>44344</v>
      </c>
      <c r="C286" s="1" t="n">
        <v>46081</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53408-2023</t>
        </is>
      </c>
      <c r="B287" s="1" t="n">
        <v>45229</v>
      </c>
      <c r="C287" s="1" t="n">
        <v>46081</v>
      </c>
      <c r="D287" t="inlineStr">
        <is>
          <t>DALARNAS LÄN</t>
        </is>
      </c>
      <c r="E287" t="inlineStr">
        <is>
          <t>ÄLVDALEN</t>
        </is>
      </c>
      <c r="G287" t="n">
        <v>2</v>
      </c>
      <c r="H287" t="n">
        <v>0</v>
      </c>
      <c r="I287" t="n">
        <v>0</v>
      </c>
      <c r="J287" t="n">
        <v>0</v>
      </c>
      <c r="K287" t="n">
        <v>0</v>
      </c>
      <c r="L287" t="n">
        <v>0</v>
      </c>
      <c r="M287" t="n">
        <v>0</v>
      </c>
      <c r="N287" t="n">
        <v>0</v>
      </c>
      <c r="O287" t="n">
        <v>0</v>
      </c>
      <c r="P287" t="n">
        <v>0</v>
      </c>
      <c r="Q287" t="n">
        <v>0</v>
      </c>
      <c r="R287" s="2" t="inlineStr"/>
    </row>
    <row r="288" ht="15" customHeight="1">
      <c r="A288" t="inlineStr">
        <is>
          <t>A 18075-2024</t>
        </is>
      </c>
      <c r="B288" s="1" t="n">
        <v>45420.43453703704</v>
      </c>
      <c r="C288" s="1" t="n">
        <v>46081</v>
      </c>
      <c r="D288" t="inlineStr">
        <is>
          <t>DALARNAS LÄN</t>
        </is>
      </c>
      <c r="E288" t="inlineStr">
        <is>
          <t>ÄLVDALEN</t>
        </is>
      </c>
      <c r="F288" t="inlineStr">
        <is>
          <t>Bergvik skog väst AB</t>
        </is>
      </c>
      <c r="G288" t="n">
        <v>8.6</v>
      </c>
      <c r="H288" t="n">
        <v>0</v>
      </c>
      <c r="I288" t="n">
        <v>0</v>
      </c>
      <c r="J288" t="n">
        <v>0</v>
      </c>
      <c r="K288" t="n">
        <v>0</v>
      </c>
      <c r="L288" t="n">
        <v>0</v>
      </c>
      <c r="M288" t="n">
        <v>0</v>
      </c>
      <c r="N288" t="n">
        <v>0</v>
      </c>
      <c r="O288" t="n">
        <v>0</v>
      </c>
      <c r="P288" t="n">
        <v>0</v>
      </c>
      <c r="Q288" t="n">
        <v>0</v>
      </c>
      <c r="R288" s="2" t="inlineStr"/>
    </row>
    <row r="289" ht="15" customHeight="1">
      <c r="A289" t="inlineStr">
        <is>
          <t>A 21832-2021</t>
        </is>
      </c>
      <c r="B289" s="1" t="n">
        <v>44322.6378125</v>
      </c>
      <c r="C289" s="1" t="n">
        <v>46081</v>
      </c>
      <c r="D289" t="inlineStr">
        <is>
          <t>DALARNAS LÄN</t>
        </is>
      </c>
      <c r="E289" t="inlineStr">
        <is>
          <t>ÄLVDALEN</t>
        </is>
      </c>
      <c r="F289" t="inlineStr">
        <is>
          <t>Allmännings- och besparingsskogar</t>
        </is>
      </c>
      <c r="G289" t="n">
        <v>2.5</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46081</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46081</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33102-2023</t>
        </is>
      </c>
      <c r="B292" s="1" t="n">
        <v>45114</v>
      </c>
      <c r="C292" s="1" t="n">
        <v>46081</v>
      </c>
      <c r="D292" t="inlineStr">
        <is>
          <t>DALARNAS LÄN</t>
        </is>
      </c>
      <c r="E292" t="inlineStr">
        <is>
          <t>ÄLVDALEN</t>
        </is>
      </c>
      <c r="G292" t="n">
        <v>1.6</v>
      </c>
      <c r="H292" t="n">
        <v>0</v>
      </c>
      <c r="I292" t="n">
        <v>0</v>
      </c>
      <c r="J292" t="n">
        <v>0</v>
      </c>
      <c r="K292" t="n">
        <v>0</v>
      </c>
      <c r="L292" t="n">
        <v>0</v>
      </c>
      <c r="M292" t="n">
        <v>0</v>
      </c>
      <c r="N292" t="n">
        <v>0</v>
      </c>
      <c r="O292" t="n">
        <v>0</v>
      </c>
      <c r="P292" t="n">
        <v>0</v>
      </c>
      <c r="Q292" t="n">
        <v>0</v>
      </c>
      <c r="R292" s="2" t="inlineStr"/>
    </row>
    <row r="293" ht="15" customHeight="1">
      <c r="A293" t="inlineStr">
        <is>
          <t>A 32361-2024</t>
        </is>
      </c>
      <c r="B293" s="1" t="n">
        <v>45512.56725694444</v>
      </c>
      <c r="C293" s="1" t="n">
        <v>46081</v>
      </c>
      <c r="D293" t="inlineStr">
        <is>
          <t>DALARNAS LÄN</t>
        </is>
      </c>
      <c r="E293" t="inlineStr">
        <is>
          <t>ÄLVDALEN</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32363-2024</t>
        </is>
      </c>
      <c r="B294" s="1" t="n">
        <v>45512</v>
      </c>
      <c r="C294" s="1" t="n">
        <v>46081</v>
      </c>
      <c r="D294" t="inlineStr">
        <is>
          <t>DALARNAS LÄN</t>
        </is>
      </c>
      <c r="E294" t="inlineStr">
        <is>
          <t>ÄLVDALEN</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38277-2024</t>
        </is>
      </c>
      <c r="B295" s="1" t="n">
        <v>45545.61171296296</v>
      </c>
      <c r="C295" s="1" t="n">
        <v>46081</v>
      </c>
      <c r="D295" t="inlineStr">
        <is>
          <t>DALARNAS LÄN</t>
        </is>
      </c>
      <c r="E295" t="inlineStr">
        <is>
          <t>ÄLVDALEN</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27615-2023</t>
        </is>
      </c>
      <c r="B296" s="1" t="n">
        <v>45097</v>
      </c>
      <c r="C296" s="1" t="n">
        <v>46081</v>
      </c>
      <c r="D296" t="inlineStr">
        <is>
          <t>DALARNAS LÄN</t>
        </is>
      </c>
      <c r="E296" t="inlineStr">
        <is>
          <t>ÄLVDALEN</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31047-2024</t>
        </is>
      </c>
      <c r="B297" s="1" t="n">
        <v>45502.33021990741</v>
      </c>
      <c r="C297" s="1" t="n">
        <v>46081</v>
      </c>
      <c r="D297" t="inlineStr">
        <is>
          <t>DALARNAS LÄN</t>
        </is>
      </c>
      <c r="E297" t="inlineStr">
        <is>
          <t>ÄLVDALEN</t>
        </is>
      </c>
      <c r="F297" t="inlineStr">
        <is>
          <t>Sveaskog</t>
        </is>
      </c>
      <c r="G297" t="n">
        <v>8</v>
      </c>
      <c r="H297" t="n">
        <v>0</v>
      </c>
      <c r="I297" t="n">
        <v>0</v>
      </c>
      <c r="J297" t="n">
        <v>0</v>
      </c>
      <c r="K297" t="n">
        <v>0</v>
      </c>
      <c r="L297" t="n">
        <v>0</v>
      </c>
      <c r="M297" t="n">
        <v>0</v>
      </c>
      <c r="N297" t="n">
        <v>0</v>
      </c>
      <c r="O297" t="n">
        <v>0</v>
      </c>
      <c r="P297" t="n">
        <v>0</v>
      </c>
      <c r="Q297" t="n">
        <v>0</v>
      </c>
      <c r="R297" s="2" t="inlineStr"/>
    </row>
    <row r="298" ht="15" customHeight="1">
      <c r="A298" t="inlineStr">
        <is>
          <t>A 55778-2021</t>
        </is>
      </c>
      <c r="B298" s="1" t="n">
        <v>44476</v>
      </c>
      <c r="C298" s="1" t="n">
        <v>46081</v>
      </c>
      <c r="D298" t="inlineStr">
        <is>
          <t>DALARNAS LÄN</t>
        </is>
      </c>
      <c r="E298" t="inlineStr">
        <is>
          <t>ÄLVDALEN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45167-2022</t>
        </is>
      </c>
      <c r="B299" s="1" t="n">
        <v>44844</v>
      </c>
      <c r="C299" s="1" t="n">
        <v>46081</v>
      </c>
      <c r="D299" t="inlineStr">
        <is>
          <t>DALARNAS LÄN</t>
        </is>
      </c>
      <c r="E299" t="inlineStr">
        <is>
          <t>ÄLVDALEN</t>
        </is>
      </c>
      <c r="G299" t="n">
        <v>1.2</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46081</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30143-2024</t>
        </is>
      </c>
      <c r="B301" s="1" t="n">
        <v>45488</v>
      </c>
      <c r="C301" s="1" t="n">
        <v>46081</v>
      </c>
      <c r="D301" t="inlineStr">
        <is>
          <t>DALARNAS LÄN</t>
        </is>
      </c>
      <c r="E301" t="inlineStr">
        <is>
          <t>ÄLVDALEN</t>
        </is>
      </c>
      <c r="G301" t="n">
        <v>1</v>
      </c>
      <c r="H301" t="n">
        <v>0</v>
      </c>
      <c r="I301" t="n">
        <v>0</v>
      </c>
      <c r="J301" t="n">
        <v>0</v>
      </c>
      <c r="K301" t="n">
        <v>0</v>
      </c>
      <c r="L301" t="n">
        <v>0</v>
      </c>
      <c r="M301" t="n">
        <v>0</v>
      </c>
      <c r="N301" t="n">
        <v>0</v>
      </c>
      <c r="O301" t="n">
        <v>0</v>
      </c>
      <c r="P301" t="n">
        <v>0</v>
      </c>
      <c r="Q301" t="n">
        <v>0</v>
      </c>
      <c r="R301" s="2" t="inlineStr"/>
    </row>
    <row r="302" ht="15" customHeight="1">
      <c r="A302" t="inlineStr">
        <is>
          <t>A 30146-2024</t>
        </is>
      </c>
      <c r="B302" s="1" t="n">
        <v>45488</v>
      </c>
      <c r="C302" s="1" t="n">
        <v>46081</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30147-2024</t>
        </is>
      </c>
      <c r="B303" s="1" t="n">
        <v>45488</v>
      </c>
      <c r="C303" s="1" t="n">
        <v>46081</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5170-2024</t>
        </is>
      </c>
      <c r="B304" s="1" t="n">
        <v>45330.55390046296</v>
      </c>
      <c r="C304" s="1" t="n">
        <v>46081</v>
      </c>
      <c r="D304" t="inlineStr">
        <is>
          <t>DALARNAS LÄN</t>
        </is>
      </c>
      <c r="E304" t="inlineStr">
        <is>
          <t>ÄLVDALEN</t>
        </is>
      </c>
      <c r="G304" t="n">
        <v>15.8</v>
      </c>
      <c r="H304" t="n">
        <v>0</v>
      </c>
      <c r="I304" t="n">
        <v>0</v>
      </c>
      <c r="J304" t="n">
        <v>0</v>
      </c>
      <c r="K304" t="n">
        <v>0</v>
      </c>
      <c r="L304" t="n">
        <v>0</v>
      </c>
      <c r="M304" t="n">
        <v>0</v>
      </c>
      <c r="N304" t="n">
        <v>0</v>
      </c>
      <c r="O304" t="n">
        <v>0</v>
      </c>
      <c r="P304" t="n">
        <v>0</v>
      </c>
      <c r="Q304" t="n">
        <v>0</v>
      </c>
      <c r="R304" s="2" t="inlineStr"/>
    </row>
    <row r="305" ht="15" customHeight="1">
      <c r="A305" t="inlineStr">
        <is>
          <t>A 47936-2024</t>
        </is>
      </c>
      <c r="B305" s="1" t="n">
        <v>45589.34738425926</v>
      </c>
      <c r="C305" s="1" t="n">
        <v>46081</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29129-2024</t>
        </is>
      </c>
      <c r="B306" s="1" t="n">
        <v>45482.35762731481</v>
      </c>
      <c r="C306" s="1" t="n">
        <v>46081</v>
      </c>
      <c r="D306" t="inlineStr">
        <is>
          <t>DALARNAS LÄN</t>
        </is>
      </c>
      <c r="E306" t="inlineStr">
        <is>
          <t>ÄLVDALEN</t>
        </is>
      </c>
      <c r="F306" t="inlineStr">
        <is>
          <t>Allmännings- och besparingsskogar</t>
        </is>
      </c>
      <c r="G306" t="n">
        <v>19.8</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46081</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39006-2024</t>
        </is>
      </c>
      <c r="B308" s="1" t="n">
        <v>45548.42846064815</v>
      </c>
      <c r="C308" s="1" t="n">
        <v>46081</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62355-2022</t>
        </is>
      </c>
      <c r="B309" s="1" t="n">
        <v>44923</v>
      </c>
      <c r="C309" s="1" t="n">
        <v>46081</v>
      </c>
      <c r="D309" t="inlineStr">
        <is>
          <t>DALARNAS LÄN</t>
        </is>
      </c>
      <c r="E309" t="inlineStr">
        <is>
          <t>ÄLVDALEN</t>
        </is>
      </c>
      <c r="G309" t="n">
        <v>4.3</v>
      </c>
      <c r="H309" t="n">
        <v>0</v>
      </c>
      <c r="I309" t="n">
        <v>0</v>
      </c>
      <c r="J309" t="n">
        <v>0</v>
      </c>
      <c r="K309" t="n">
        <v>0</v>
      </c>
      <c r="L309" t="n">
        <v>0</v>
      </c>
      <c r="M309" t="n">
        <v>0</v>
      </c>
      <c r="N309" t="n">
        <v>0</v>
      </c>
      <c r="O309" t="n">
        <v>0</v>
      </c>
      <c r="P309" t="n">
        <v>0</v>
      </c>
      <c r="Q309" t="n">
        <v>0</v>
      </c>
      <c r="R309" s="2" t="inlineStr"/>
    </row>
    <row r="310" ht="15" customHeight="1">
      <c r="A310" t="inlineStr">
        <is>
          <t>A 52060-2022</t>
        </is>
      </c>
      <c r="B310" s="1" t="n">
        <v>44873.34417824074</v>
      </c>
      <c r="C310" s="1" t="n">
        <v>46081</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36462-2024</t>
        </is>
      </c>
      <c r="B311" s="1" t="n">
        <v>45537.35211805555</v>
      </c>
      <c r="C311" s="1" t="n">
        <v>46081</v>
      </c>
      <c r="D311" t="inlineStr">
        <is>
          <t>DALARNAS LÄN</t>
        </is>
      </c>
      <c r="E311" t="inlineStr">
        <is>
          <t>ÄLVDALEN</t>
        </is>
      </c>
      <c r="G311" t="n">
        <v>5</v>
      </c>
      <c r="H311" t="n">
        <v>0</v>
      </c>
      <c r="I311" t="n">
        <v>0</v>
      </c>
      <c r="J311" t="n">
        <v>0</v>
      </c>
      <c r="K311" t="n">
        <v>0</v>
      </c>
      <c r="L311" t="n">
        <v>0</v>
      </c>
      <c r="M311" t="n">
        <v>0</v>
      </c>
      <c r="N311" t="n">
        <v>0</v>
      </c>
      <c r="O311" t="n">
        <v>0</v>
      </c>
      <c r="P311" t="n">
        <v>0</v>
      </c>
      <c r="Q311" t="n">
        <v>0</v>
      </c>
      <c r="R311" s="2" t="inlineStr"/>
    </row>
    <row r="312" ht="15" customHeight="1">
      <c r="A312" t="inlineStr">
        <is>
          <t>A 68204-2021</t>
        </is>
      </c>
      <c r="B312" s="1" t="n">
        <v>44526</v>
      </c>
      <c r="C312" s="1" t="n">
        <v>46081</v>
      </c>
      <c r="D312" t="inlineStr">
        <is>
          <t>DALARNAS LÄN</t>
        </is>
      </c>
      <c r="E312" t="inlineStr">
        <is>
          <t>ÄLVDALEN</t>
        </is>
      </c>
      <c r="F312" t="inlineStr">
        <is>
          <t>Kyrkan</t>
        </is>
      </c>
      <c r="G312" t="n">
        <v>5</v>
      </c>
      <c r="H312" t="n">
        <v>0</v>
      </c>
      <c r="I312" t="n">
        <v>0</v>
      </c>
      <c r="J312" t="n">
        <v>0</v>
      </c>
      <c r="K312" t="n">
        <v>0</v>
      </c>
      <c r="L312" t="n">
        <v>0</v>
      </c>
      <c r="M312" t="n">
        <v>0</v>
      </c>
      <c r="N312" t="n">
        <v>0</v>
      </c>
      <c r="O312" t="n">
        <v>0</v>
      </c>
      <c r="P312" t="n">
        <v>0</v>
      </c>
      <c r="Q312" t="n">
        <v>0</v>
      </c>
      <c r="R312" s="2" t="inlineStr"/>
    </row>
    <row r="313" ht="15" customHeight="1">
      <c r="A313" t="inlineStr">
        <is>
          <t>A 25823-2025</t>
        </is>
      </c>
      <c r="B313" s="1" t="n">
        <v>45804.4396412037</v>
      </c>
      <c r="C313" s="1" t="n">
        <v>46081</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50037-2022</t>
        </is>
      </c>
      <c r="B314" s="1" t="n">
        <v>44865.46136574074</v>
      </c>
      <c r="C314" s="1" t="n">
        <v>46081</v>
      </c>
      <c r="D314" t="inlineStr">
        <is>
          <t>DALARNAS LÄN</t>
        </is>
      </c>
      <c r="E314" t="inlineStr">
        <is>
          <t>ÄLVDALEN</t>
        </is>
      </c>
      <c r="F314" t="inlineStr">
        <is>
          <t>Allmännings- och besparingsskogar</t>
        </is>
      </c>
      <c r="G314" t="n">
        <v>5.8</v>
      </c>
      <c r="H314" t="n">
        <v>0</v>
      </c>
      <c r="I314" t="n">
        <v>0</v>
      </c>
      <c r="J314" t="n">
        <v>0</v>
      </c>
      <c r="K314" t="n">
        <v>0</v>
      </c>
      <c r="L314" t="n">
        <v>0</v>
      </c>
      <c r="M314" t="n">
        <v>0</v>
      </c>
      <c r="N314" t="n">
        <v>0</v>
      </c>
      <c r="O314" t="n">
        <v>0</v>
      </c>
      <c r="P314" t="n">
        <v>0</v>
      </c>
      <c r="Q314" t="n">
        <v>0</v>
      </c>
      <c r="R314" s="2" t="inlineStr"/>
    </row>
    <row r="315" ht="15" customHeight="1">
      <c r="A315" t="inlineStr">
        <is>
          <t>A 61575-2024</t>
        </is>
      </c>
      <c r="B315" s="1" t="n">
        <v>45646.61907407407</v>
      </c>
      <c r="C315" s="1" t="n">
        <v>46081</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771-2025</t>
        </is>
      </c>
      <c r="B316" s="1" t="n">
        <v>45665.46518518519</v>
      </c>
      <c r="C316" s="1" t="n">
        <v>46081</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14489-2025</t>
        </is>
      </c>
      <c r="B317" s="1" t="n">
        <v>45741.60680555556</v>
      </c>
      <c r="C317" s="1" t="n">
        <v>46081</v>
      </c>
      <c r="D317" t="inlineStr">
        <is>
          <t>DALARNAS LÄN</t>
        </is>
      </c>
      <c r="E317" t="inlineStr">
        <is>
          <t>ÄLVDALEN</t>
        </is>
      </c>
      <c r="G317" t="n">
        <v>7.9</v>
      </c>
      <c r="H317" t="n">
        <v>0</v>
      </c>
      <c r="I317" t="n">
        <v>0</v>
      </c>
      <c r="J317" t="n">
        <v>0</v>
      </c>
      <c r="K317" t="n">
        <v>0</v>
      </c>
      <c r="L317" t="n">
        <v>0</v>
      </c>
      <c r="M317" t="n">
        <v>0</v>
      </c>
      <c r="N317" t="n">
        <v>0</v>
      </c>
      <c r="O317" t="n">
        <v>0</v>
      </c>
      <c r="P317" t="n">
        <v>0</v>
      </c>
      <c r="Q317" t="n">
        <v>0</v>
      </c>
      <c r="R317" s="2" t="inlineStr"/>
    </row>
    <row r="318" ht="15" customHeight="1">
      <c r="A318" t="inlineStr">
        <is>
          <t>A 26285-2025</t>
        </is>
      </c>
      <c r="B318" s="1" t="n">
        <v>45805.61885416666</v>
      </c>
      <c r="C318" s="1" t="n">
        <v>46081</v>
      </c>
      <c r="D318" t="inlineStr">
        <is>
          <t>DALARNAS LÄN</t>
        </is>
      </c>
      <c r="E318" t="inlineStr">
        <is>
          <t>ÄLVDALEN</t>
        </is>
      </c>
      <c r="G318" t="n">
        <v>1.5</v>
      </c>
      <c r="H318" t="n">
        <v>0</v>
      </c>
      <c r="I318" t="n">
        <v>0</v>
      </c>
      <c r="J318" t="n">
        <v>0</v>
      </c>
      <c r="K318" t="n">
        <v>0</v>
      </c>
      <c r="L318" t="n">
        <v>0</v>
      </c>
      <c r="M318" t="n">
        <v>0</v>
      </c>
      <c r="N318" t="n">
        <v>0</v>
      </c>
      <c r="O318" t="n">
        <v>0</v>
      </c>
      <c r="P318" t="n">
        <v>0</v>
      </c>
      <c r="Q318" t="n">
        <v>0</v>
      </c>
      <c r="R318" s="2" t="inlineStr"/>
    </row>
    <row r="319" ht="15" customHeight="1">
      <c r="A319" t="inlineStr">
        <is>
          <t>A 41137-2024</t>
        </is>
      </c>
      <c r="B319" s="1" t="n">
        <v>45559.46734953704</v>
      </c>
      <c r="C319" s="1" t="n">
        <v>46081</v>
      </c>
      <c r="D319" t="inlineStr">
        <is>
          <t>DALARNAS LÄN</t>
        </is>
      </c>
      <c r="E319" t="inlineStr">
        <is>
          <t>ÄLVDALEN</t>
        </is>
      </c>
      <c r="G319" t="n">
        <v>4.8</v>
      </c>
      <c r="H319" t="n">
        <v>0</v>
      </c>
      <c r="I319" t="n">
        <v>0</v>
      </c>
      <c r="J319" t="n">
        <v>0</v>
      </c>
      <c r="K319" t="n">
        <v>0</v>
      </c>
      <c r="L319" t="n">
        <v>0</v>
      </c>
      <c r="M319" t="n">
        <v>0</v>
      </c>
      <c r="N319" t="n">
        <v>0</v>
      </c>
      <c r="O319" t="n">
        <v>0</v>
      </c>
      <c r="P319" t="n">
        <v>0</v>
      </c>
      <c r="Q319" t="n">
        <v>0</v>
      </c>
      <c r="R319" s="2" t="inlineStr"/>
    </row>
    <row r="320" ht="15" customHeight="1">
      <c r="A320" t="inlineStr">
        <is>
          <t>A 8069-2025</t>
        </is>
      </c>
      <c r="B320" s="1" t="n">
        <v>45707.64342592593</v>
      </c>
      <c r="C320" s="1" t="n">
        <v>46081</v>
      </c>
      <c r="D320" t="inlineStr">
        <is>
          <t>DALARNAS LÄN</t>
        </is>
      </c>
      <c r="E320" t="inlineStr">
        <is>
          <t>ÄLVDALEN</t>
        </is>
      </c>
      <c r="F320" t="inlineStr">
        <is>
          <t>Allmännings- och besparingsskogar</t>
        </is>
      </c>
      <c r="G320" t="n">
        <v>4.2</v>
      </c>
      <c r="H320" t="n">
        <v>0</v>
      </c>
      <c r="I320" t="n">
        <v>0</v>
      </c>
      <c r="J320" t="n">
        <v>0</v>
      </c>
      <c r="K320" t="n">
        <v>0</v>
      </c>
      <c r="L320" t="n">
        <v>0</v>
      </c>
      <c r="M320" t="n">
        <v>0</v>
      </c>
      <c r="N320" t="n">
        <v>0</v>
      </c>
      <c r="O320" t="n">
        <v>0</v>
      </c>
      <c r="P320" t="n">
        <v>0</v>
      </c>
      <c r="Q320" t="n">
        <v>0</v>
      </c>
      <c r="R320" s="2" t="inlineStr"/>
    </row>
    <row r="321" ht="15" customHeight="1">
      <c r="A321" t="inlineStr">
        <is>
          <t>A 2546-2025</t>
        </is>
      </c>
      <c r="B321" s="1" t="n">
        <v>45674.62240740741</v>
      </c>
      <c r="C321" s="1" t="n">
        <v>46081</v>
      </c>
      <c r="D321" t="inlineStr">
        <is>
          <t>DALARNAS LÄN</t>
        </is>
      </c>
      <c r="E321" t="inlineStr">
        <is>
          <t>ÄLVDALEN</t>
        </is>
      </c>
      <c r="G321" t="n">
        <v>2</v>
      </c>
      <c r="H321" t="n">
        <v>0</v>
      </c>
      <c r="I321" t="n">
        <v>0</v>
      </c>
      <c r="J321" t="n">
        <v>0</v>
      </c>
      <c r="K321" t="n">
        <v>0</v>
      </c>
      <c r="L321" t="n">
        <v>0</v>
      </c>
      <c r="M321" t="n">
        <v>0</v>
      </c>
      <c r="N321" t="n">
        <v>0</v>
      </c>
      <c r="O321" t="n">
        <v>0</v>
      </c>
      <c r="P321" t="n">
        <v>0</v>
      </c>
      <c r="Q321" t="n">
        <v>0</v>
      </c>
      <c r="R321" s="2" t="inlineStr"/>
    </row>
    <row r="322" ht="15" customHeight="1">
      <c r="A322" t="inlineStr">
        <is>
          <t>A 26704-2025</t>
        </is>
      </c>
      <c r="B322" s="1" t="n">
        <v>45810.45271990741</v>
      </c>
      <c r="C322" s="1" t="n">
        <v>46081</v>
      </c>
      <c r="D322" t="inlineStr">
        <is>
          <t>DALARNAS LÄN</t>
        </is>
      </c>
      <c r="E322" t="inlineStr">
        <is>
          <t>ÄLVDALEN</t>
        </is>
      </c>
      <c r="F322" t="inlineStr">
        <is>
          <t>Bergvik skog väst AB</t>
        </is>
      </c>
      <c r="G322" t="n">
        <v>32.3</v>
      </c>
      <c r="H322" t="n">
        <v>0</v>
      </c>
      <c r="I322" t="n">
        <v>0</v>
      </c>
      <c r="J322" t="n">
        <v>0</v>
      </c>
      <c r="K322" t="n">
        <v>0</v>
      </c>
      <c r="L322" t="n">
        <v>0</v>
      </c>
      <c r="M322" t="n">
        <v>0</v>
      </c>
      <c r="N322" t="n">
        <v>0</v>
      </c>
      <c r="O322" t="n">
        <v>0</v>
      </c>
      <c r="P322" t="n">
        <v>0</v>
      </c>
      <c r="Q322" t="n">
        <v>0</v>
      </c>
      <c r="R322" s="2" t="inlineStr"/>
    </row>
    <row r="323" ht="15" customHeight="1">
      <c r="A323" t="inlineStr">
        <is>
          <t>A 43351-2024</t>
        </is>
      </c>
      <c r="B323" s="1" t="n">
        <v>45568.56023148148</v>
      </c>
      <c r="C323" s="1" t="n">
        <v>46081</v>
      </c>
      <c r="D323" t="inlineStr">
        <is>
          <t>DALARNAS LÄN</t>
        </is>
      </c>
      <c r="E323" t="inlineStr">
        <is>
          <t>ÄLVDALEN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39064-2021</t>
        </is>
      </c>
      <c r="B324" s="1" t="n">
        <v>44411</v>
      </c>
      <c r="C324" s="1" t="n">
        <v>46081</v>
      </c>
      <c r="D324" t="inlineStr">
        <is>
          <t>DALARNAS LÄN</t>
        </is>
      </c>
      <c r="E324" t="inlineStr">
        <is>
          <t>ÄLVDALEN</t>
        </is>
      </c>
      <c r="F324" t="inlineStr">
        <is>
          <t>Övriga statliga verk och myndigheter</t>
        </is>
      </c>
      <c r="G324" t="n">
        <v>4.5</v>
      </c>
      <c r="H324" t="n">
        <v>0</v>
      </c>
      <c r="I324" t="n">
        <v>0</v>
      </c>
      <c r="J324" t="n">
        <v>0</v>
      </c>
      <c r="K324" t="n">
        <v>0</v>
      </c>
      <c r="L324" t="n">
        <v>0</v>
      </c>
      <c r="M324" t="n">
        <v>0</v>
      </c>
      <c r="N324" t="n">
        <v>0</v>
      </c>
      <c r="O324" t="n">
        <v>0</v>
      </c>
      <c r="P324" t="n">
        <v>0</v>
      </c>
      <c r="Q324" t="n">
        <v>0</v>
      </c>
      <c r="R324" s="2" t="inlineStr"/>
    </row>
    <row r="325" ht="15" customHeight="1">
      <c r="A325" t="inlineStr">
        <is>
          <t>A 52469-2022</t>
        </is>
      </c>
      <c r="B325" s="1" t="n">
        <v>44874</v>
      </c>
      <c r="C325" s="1" t="n">
        <v>46081</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30411-2024</t>
        </is>
      </c>
      <c r="B326" s="1" t="n">
        <v>45491.62447916667</v>
      </c>
      <c r="C326" s="1" t="n">
        <v>46081</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32740-2024</t>
        </is>
      </c>
      <c r="B327" s="1" t="n">
        <v>45516.43834490741</v>
      </c>
      <c r="C327" s="1" t="n">
        <v>46081</v>
      </c>
      <c r="D327" t="inlineStr">
        <is>
          <t>DALARNAS LÄN</t>
        </is>
      </c>
      <c r="E327" t="inlineStr">
        <is>
          <t>ÄLVDALEN</t>
        </is>
      </c>
      <c r="G327" t="n">
        <v>2.1</v>
      </c>
      <c r="H327" t="n">
        <v>0</v>
      </c>
      <c r="I327" t="n">
        <v>0</v>
      </c>
      <c r="J327" t="n">
        <v>0</v>
      </c>
      <c r="K327" t="n">
        <v>0</v>
      </c>
      <c r="L327" t="n">
        <v>0</v>
      </c>
      <c r="M327" t="n">
        <v>0</v>
      </c>
      <c r="N327" t="n">
        <v>0</v>
      </c>
      <c r="O327" t="n">
        <v>0</v>
      </c>
      <c r="P327" t="n">
        <v>0</v>
      </c>
      <c r="Q327" t="n">
        <v>0</v>
      </c>
      <c r="R327" s="2" t="inlineStr"/>
    </row>
    <row r="328" ht="15" customHeight="1">
      <c r="A328" t="inlineStr">
        <is>
          <t>A 39041-2025</t>
        </is>
      </c>
      <c r="B328" s="1" t="n">
        <v>45888</v>
      </c>
      <c r="C328" s="1" t="n">
        <v>46081</v>
      </c>
      <c r="D328" t="inlineStr">
        <is>
          <t>DALARNAS LÄN</t>
        </is>
      </c>
      <c r="E328" t="inlineStr">
        <is>
          <t>ÄLVDALEN</t>
        </is>
      </c>
      <c r="G328" t="n">
        <v>4.7</v>
      </c>
      <c r="H328" t="n">
        <v>0</v>
      </c>
      <c r="I328" t="n">
        <v>0</v>
      </c>
      <c r="J328" t="n">
        <v>0</v>
      </c>
      <c r="K328" t="n">
        <v>0</v>
      </c>
      <c r="L328" t="n">
        <v>0</v>
      </c>
      <c r="M328" t="n">
        <v>0</v>
      </c>
      <c r="N328" t="n">
        <v>0</v>
      </c>
      <c r="O328" t="n">
        <v>0</v>
      </c>
      <c r="P328" t="n">
        <v>0</v>
      </c>
      <c r="Q328" t="n">
        <v>0</v>
      </c>
      <c r="R328" s="2" t="inlineStr"/>
    </row>
    <row r="329" ht="15" customHeight="1">
      <c r="A329" t="inlineStr">
        <is>
          <t>A 27230-2025</t>
        </is>
      </c>
      <c r="B329" s="1" t="n">
        <v>45812.43825231482</v>
      </c>
      <c r="C329" s="1" t="n">
        <v>46081</v>
      </c>
      <c r="D329" t="inlineStr">
        <is>
          <t>DALARNAS LÄN</t>
        </is>
      </c>
      <c r="E329" t="inlineStr">
        <is>
          <t>ÄLVDALEN</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27261-2025</t>
        </is>
      </c>
      <c r="B330" s="1" t="n">
        <v>45812.47674768518</v>
      </c>
      <c r="C330" s="1" t="n">
        <v>46081</v>
      </c>
      <c r="D330" t="inlineStr">
        <is>
          <t>DALARNAS LÄN</t>
        </is>
      </c>
      <c r="E330" t="inlineStr">
        <is>
          <t>ÄLVDALEN</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46081</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38754-2025</t>
        </is>
      </c>
      <c r="B332" s="1" t="n">
        <v>45887.39354166666</v>
      </c>
      <c r="C332" s="1" t="n">
        <v>46081</v>
      </c>
      <c r="D332" t="inlineStr">
        <is>
          <t>DALARNAS LÄN</t>
        </is>
      </c>
      <c r="E332" t="inlineStr">
        <is>
          <t>ÄLVDALEN</t>
        </is>
      </c>
      <c r="F332" t="inlineStr">
        <is>
          <t>Bergvik skog väst AB</t>
        </is>
      </c>
      <c r="G332" t="n">
        <v>7.1</v>
      </c>
      <c r="H332" t="n">
        <v>0</v>
      </c>
      <c r="I332" t="n">
        <v>0</v>
      </c>
      <c r="J332" t="n">
        <v>0</v>
      </c>
      <c r="K332" t="n">
        <v>0</v>
      </c>
      <c r="L332" t="n">
        <v>0</v>
      </c>
      <c r="M332" t="n">
        <v>0</v>
      </c>
      <c r="N332" t="n">
        <v>0</v>
      </c>
      <c r="O332" t="n">
        <v>0</v>
      </c>
      <c r="P332" t="n">
        <v>0</v>
      </c>
      <c r="Q332" t="n">
        <v>0</v>
      </c>
      <c r="R332" s="2" t="inlineStr"/>
    </row>
    <row r="333" ht="15" customHeight="1">
      <c r="A333" t="inlineStr">
        <is>
          <t>A 26656-2025</t>
        </is>
      </c>
      <c r="B333" s="1" t="n">
        <v>45810</v>
      </c>
      <c r="C333" s="1" t="n">
        <v>46081</v>
      </c>
      <c r="D333" t="inlineStr">
        <is>
          <t>DALARNAS LÄN</t>
        </is>
      </c>
      <c r="E333" t="inlineStr">
        <is>
          <t>ÄLVDALEN</t>
        </is>
      </c>
      <c r="G333" t="n">
        <v>1.8</v>
      </c>
      <c r="H333" t="n">
        <v>0</v>
      </c>
      <c r="I333" t="n">
        <v>0</v>
      </c>
      <c r="J333" t="n">
        <v>0</v>
      </c>
      <c r="K333" t="n">
        <v>0</v>
      </c>
      <c r="L333" t="n">
        <v>0</v>
      </c>
      <c r="M333" t="n">
        <v>0</v>
      </c>
      <c r="N333" t="n">
        <v>0</v>
      </c>
      <c r="O333" t="n">
        <v>0</v>
      </c>
      <c r="P333" t="n">
        <v>0</v>
      </c>
      <c r="Q333" t="n">
        <v>0</v>
      </c>
      <c r="R333" s="2" t="inlineStr"/>
    </row>
    <row r="334" ht="15" customHeight="1">
      <c r="A334" t="inlineStr">
        <is>
          <t>A 43900-2024</t>
        </is>
      </c>
      <c r="B334" s="1" t="n">
        <v>45572.41975694444</v>
      </c>
      <c r="C334" s="1" t="n">
        <v>46081</v>
      </c>
      <c r="D334" t="inlineStr">
        <is>
          <t>DALARNAS LÄN</t>
        </is>
      </c>
      <c r="E334" t="inlineStr">
        <is>
          <t>ÄLVDALEN</t>
        </is>
      </c>
      <c r="F334" t="inlineStr">
        <is>
          <t>Bergvik skog väst AB</t>
        </is>
      </c>
      <c r="G334" t="n">
        <v>7.3</v>
      </c>
      <c r="H334" t="n">
        <v>0</v>
      </c>
      <c r="I334" t="n">
        <v>0</v>
      </c>
      <c r="J334" t="n">
        <v>0</v>
      </c>
      <c r="K334" t="n">
        <v>0</v>
      </c>
      <c r="L334" t="n">
        <v>0</v>
      </c>
      <c r="M334" t="n">
        <v>0</v>
      </c>
      <c r="N334" t="n">
        <v>0</v>
      </c>
      <c r="O334" t="n">
        <v>0</v>
      </c>
      <c r="P334" t="n">
        <v>0</v>
      </c>
      <c r="Q334" t="n">
        <v>0</v>
      </c>
      <c r="R334" s="2" t="inlineStr"/>
    </row>
    <row r="335" ht="15" customHeight="1">
      <c r="A335" t="inlineStr">
        <is>
          <t>A 59108-2022</t>
        </is>
      </c>
      <c r="B335" s="1" t="n">
        <v>44904</v>
      </c>
      <c r="C335" s="1" t="n">
        <v>46081</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7998-2024</t>
        </is>
      </c>
      <c r="B336" s="1" t="n">
        <v>45350.6433912037</v>
      </c>
      <c r="C336" s="1" t="n">
        <v>46081</v>
      </c>
      <c r="D336" t="inlineStr">
        <is>
          <t>DALARNAS LÄN</t>
        </is>
      </c>
      <c r="E336" t="inlineStr">
        <is>
          <t>ÄLVDALEN</t>
        </is>
      </c>
      <c r="F336" t="inlineStr">
        <is>
          <t>Kommuner</t>
        </is>
      </c>
      <c r="G336" t="n">
        <v>7.9</v>
      </c>
      <c r="H336" t="n">
        <v>0</v>
      </c>
      <c r="I336" t="n">
        <v>0</v>
      </c>
      <c r="J336" t="n">
        <v>0</v>
      </c>
      <c r="K336" t="n">
        <v>0</v>
      </c>
      <c r="L336" t="n">
        <v>0</v>
      </c>
      <c r="M336" t="n">
        <v>0</v>
      </c>
      <c r="N336" t="n">
        <v>0</v>
      </c>
      <c r="O336" t="n">
        <v>0</v>
      </c>
      <c r="P336" t="n">
        <v>0</v>
      </c>
      <c r="Q336" t="n">
        <v>0</v>
      </c>
      <c r="R336" s="2" t="inlineStr"/>
    </row>
    <row r="337" ht="15" customHeight="1">
      <c r="A337" t="inlineStr">
        <is>
          <t>A 59668-2024</t>
        </is>
      </c>
      <c r="B337" s="1" t="n">
        <v>45639.37899305556</v>
      </c>
      <c r="C337" s="1" t="n">
        <v>46081</v>
      </c>
      <c r="D337" t="inlineStr">
        <is>
          <t>DALARNAS LÄN</t>
        </is>
      </c>
      <c r="E337" t="inlineStr">
        <is>
          <t>ÄLVDALEN</t>
        </is>
      </c>
      <c r="G337" t="n">
        <v>2.5</v>
      </c>
      <c r="H337" t="n">
        <v>0</v>
      </c>
      <c r="I337" t="n">
        <v>0</v>
      </c>
      <c r="J337" t="n">
        <v>0</v>
      </c>
      <c r="K337" t="n">
        <v>0</v>
      </c>
      <c r="L337" t="n">
        <v>0</v>
      </c>
      <c r="M337" t="n">
        <v>0</v>
      </c>
      <c r="N337" t="n">
        <v>0</v>
      </c>
      <c r="O337" t="n">
        <v>0</v>
      </c>
      <c r="P337" t="n">
        <v>0</v>
      </c>
      <c r="Q337" t="n">
        <v>0</v>
      </c>
      <c r="R337" s="2" t="inlineStr"/>
    </row>
    <row r="338" ht="15" customHeight="1">
      <c r="A338" t="inlineStr">
        <is>
          <t>A 59671-2024</t>
        </is>
      </c>
      <c r="B338" s="1" t="n">
        <v>45639.3862962963</v>
      </c>
      <c r="C338" s="1" t="n">
        <v>46081</v>
      </c>
      <c r="D338" t="inlineStr">
        <is>
          <t>DALARNAS LÄN</t>
        </is>
      </c>
      <c r="E338" t="inlineStr">
        <is>
          <t>ÄLVDALEN</t>
        </is>
      </c>
      <c r="G338" t="n">
        <v>2.2</v>
      </c>
      <c r="H338" t="n">
        <v>0</v>
      </c>
      <c r="I338" t="n">
        <v>0</v>
      </c>
      <c r="J338" t="n">
        <v>0</v>
      </c>
      <c r="K338" t="n">
        <v>0</v>
      </c>
      <c r="L338" t="n">
        <v>0</v>
      </c>
      <c r="M338" t="n">
        <v>0</v>
      </c>
      <c r="N338" t="n">
        <v>0</v>
      </c>
      <c r="O338" t="n">
        <v>0</v>
      </c>
      <c r="P338" t="n">
        <v>0</v>
      </c>
      <c r="Q338" t="n">
        <v>0</v>
      </c>
      <c r="R338" s="2" t="inlineStr"/>
    </row>
    <row r="339" ht="15" customHeight="1">
      <c r="A339" t="inlineStr">
        <is>
          <t>A 49723-2023</t>
        </is>
      </c>
      <c r="B339" s="1" t="n">
        <v>45212</v>
      </c>
      <c r="C339" s="1" t="n">
        <v>46081</v>
      </c>
      <c r="D339" t="inlineStr">
        <is>
          <t>DALARNAS LÄN</t>
        </is>
      </c>
      <c r="E339" t="inlineStr">
        <is>
          <t>ÄLVDALEN</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43903-2024</t>
        </is>
      </c>
      <c r="B340" s="1" t="n">
        <v>45572</v>
      </c>
      <c r="C340" s="1" t="n">
        <v>46081</v>
      </c>
      <c r="D340" t="inlineStr">
        <is>
          <t>DALARNAS LÄN</t>
        </is>
      </c>
      <c r="E340" t="inlineStr">
        <is>
          <t>ÄLVDALEN</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27739-2025</t>
        </is>
      </c>
      <c r="B341" s="1" t="n">
        <v>45815.49082175926</v>
      </c>
      <c r="C341" s="1" t="n">
        <v>46081</v>
      </c>
      <c r="D341" t="inlineStr">
        <is>
          <t>DALARNAS LÄN</t>
        </is>
      </c>
      <c r="E341" t="inlineStr">
        <is>
          <t>ÄLVDALEN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5885-2024</t>
        </is>
      </c>
      <c r="B342" s="1" t="n">
        <v>45335</v>
      </c>
      <c r="C342" s="1" t="n">
        <v>46081</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39893-2025</t>
        </is>
      </c>
      <c r="B343" s="1" t="n">
        <v>45891.63013888889</v>
      </c>
      <c r="C343" s="1" t="n">
        <v>46081</v>
      </c>
      <c r="D343" t="inlineStr">
        <is>
          <t>DALARNAS LÄN</t>
        </is>
      </c>
      <c r="E343" t="inlineStr">
        <is>
          <t>ÄLVDALEN</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3904-2024</t>
        </is>
      </c>
      <c r="B344" s="1" t="n">
        <v>45322</v>
      </c>
      <c r="C344" s="1" t="n">
        <v>46081</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27918-2025</t>
        </is>
      </c>
      <c r="B345" s="1" t="n">
        <v>45817.48231481481</v>
      </c>
      <c r="C345" s="1" t="n">
        <v>46081</v>
      </c>
      <c r="D345" t="inlineStr">
        <is>
          <t>DALARNAS LÄN</t>
        </is>
      </c>
      <c r="E345" t="inlineStr">
        <is>
          <t>ÄLVDALEN</t>
        </is>
      </c>
      <c r="G345" t="n">
        <v>5.6</v>
      </c>
      <c r="H345" t="n">
        <v>0</v>
      </c>
      <c r="I345" t="n">
        <v>0</v>
      </c>
      <c r="J345" t="n">
        <v>0</v>
      </c>
      <c r="K345" t="n">
        <v>0</v>
      </c>
      <c r="L345" t="n">
        <v>0</v>
      </c>
      <c r="M345" t="n">
        <v>0</v>
      </c>
      <c r="N345" t="n">
        <v>0</v>
      </c>
      <c r="O345" t="n">
        <v>0</v>
      </c>
      <c r="P345" t="n">
        <v>0</v>
      </c>
      <c r="Q345" t="n">
        <v>0</v>
      </c>
      <c r="R345" s="2" t="inlineStr"/>
    </row>
    <row r="346" ht="15" customHeight="1">
      <c r="A346" t="inlineStr">
        <is>
          <t>A 8492-2025</t>
        </is>
      </c>
      <c r="B346" s="1" t="n">
        <v>45709.50980324074</v>
      </c>
      <c r="C346" s="1" t="n">
        <v>46081</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28838-2025</t>
        </is>
      </c>
      <c r="B347" s="1" t="n">
        <v>45820.56359953704</v>
      </c>
      <c r="C347" s="1" t="n">
        <v>46081</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28844-2025</t>
        </is>
      </c>
      <c r="B348" s="1" t="n">
        <v>45820.57053240741</v>
      </c>
      <c r="C348" s="1" t="n">
        <v>46081</v>
      </c>
      <c r="D348" t="inlineStr">
        <is>
          <t>DALARNAS LÄN</t>
        </is>
      </c>
      <c r="E348" t="inlineStr">
        <is>
          <t>ÄLVDALEN</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28842-2025</t>
        </is>
      </c>
      <c r="B349" s="1" t="n">
        <v>45820.56780092593</v>
      </c>
      <c r="C349" s="1" t="n">
        <v>46081</v>
      </c>
      <c r="D349" t="inlineStr">
        <is>
          <t>DALARNAS LÄN</t>
        </is>
      </c>
      <c r="E349" t="inlineStr">
        <is>
          <t>ÄLVDALEN</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47087-2024</t>
        </is>
      </c>
      <c r="B350" s="1" t="n">
        <v>45586.50946759259</v>
      </c>
      <c r="C350" s="1" t="n">
        <v>46081</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39789-2025</t>
        </is>
      </c>
      <c r="B351" s="1" t="n">
        <v>45891.48471064815</v>
      </c>
      <c r="C351" s="1" t="n">
        <v>46081</v>
      </c>
      <c r="D351" t="inlineStr">
        <is>
          <t>DALARNAS LÄN</t>
        </is>
      </c>
      <c r="E351" t="inlineStr">
        <is>
          <t>ÄLVDALEN</t>
        </is>
      </c>
      <c r="G351" t="n">
        <v>2.2</v>
      </c>
      <c r="H351" t="n">
        <v>0</v>
      </c>
      <c r="I351" t="n">
        <v>0</v>
      </c>
      <c r="J351" t="n">
        <v>0</v>
      </c>
      <c r="K351" t="n">
        <v>0</v>
      </c>
      <c r="L351" t="n">
        <v>0</v>
      </c>
      <c r="M351" t="n">
        <v>0</v>
      </c>
      <c r="N351" t="n">
        <v>0</v>
      </c>
      <c r="O351" t="n">
        <v>0</v>
      </c>
      <c r="P351" t="n">
        <v>0</v>
      </c>
      <c r="Q351" t="n">
        <v>0</v>
      </c>
      <c r="R351" s="2" t="inlineStr"/>
    </row>
    <row r="352" ht="15" customHeight="1">
      <c r="A352" t="inlineStr">
        <is>
          <t>A 40081-2025</t>
        </is>
      </c>
      <c r="B352" s="1" t="n">
        <v>45894.46609953704</v>
      </c>
      <c r="C352" s="1" t="n">
        <v>46081</v>
      </c>
      <c r="D352" t="inlineStr">
        <is>
          <t>DALARNAS LÄN</t>
        </is>
      </c>
      <c r="E352" t="inlineStr">
        <is>
          <t>ÄLVDALEN</t>
        </is>
      </c>
      <c r="F352" t="inlineStr">
        <is>
          <t>Övriga statliga verk och myndigheter</t>
        </is>
      </c>
      <c r="G352" t="n">
        <v>1.4</v>
      </c>
      <c r="H352" t="n">
        <v>0</v>
      </c>
      <c r="I352" t="n">
        <v>0</v>
      </c>
      <c r="J352" t="n">
        <v>0</v>
      </c>
      <c r="K352" t="n">
        <v>0</v>
      </c>
      <c r="L352" t="n">
        <v>0</v>
      </c>
      <c r="M352" t="n">
        <v>0</v>
      </c>
      <c r="N352" t="n">
        <v>0</v>
      </c>
      <c r="O352" t="n">
        <v>0</v>
      </c>
      <c r="P352" t="n">
        <v>0</v>
      </c>
      <c r="Q352" t="n">
        <v>0</v>
      </c>
      <c r="R352" s="2" t="inlineStr"/>
    </row>
    <row r="353" ht="15" customHeight="1">
      <c r="A353" t="inlineStr">
        <is>
          <t>A 39755-2025</t>
        </is>
      </c>
      <c r="B353" s="1" t="n">
        <v>45891</v>
      </c>
      <c r="C353" s="1" t="n">
        <v>46081</v>
      </c>
      <c r="D353" t="inlineStr">
        <is>
          <t>DALARNAS LÄN</t>
        </is>
      </c>
      <c r="E353" t="inlineStr">
        <is>
          <t>ÄLVDALEN</t>
        </is>
      </c>
      <c r="G353" t="n">
        <v>1.2</v>
      </c>
      <c r="H353" t="n">
        <v>0</v>
      </c>
      <c r="I353" t="n">
        <v>0</v>
      </c>
      <c r="J353" t="n">
        <v>0</v>
      </c>
      <c r="K353" t="n">
        <v>0</v>
      </c>
      <c r="L353" t="n">
        <v>0</v>
      </c>
      <c r="M353" t="n">
        <v>0</v>
      </c>
      <c r="N353" t="n">
        <v>0</v>
      </c>
      <c r="O353" t="n">
        <v>0</v>
      </c>
      <c r="P353" t="n">
        <v>0</v>
      </c>
      <c r="Q353" t="n">
        <v>0</v>
      </c>
      <c r="R353" s="2" t="inlineStr"/>
    </row>
    <row r="354" ht="15" customHeight="1">
      <c r="A354" t="inlineStr">
        <is>
          <t>A 30025-2025</t>
        </is>
      </c>
      <c r="B354" s="1" t="n">
        <v>45826.56265046296</v>
      </c>
      <c r="C354" s="1" t="n">
        <v>46081</v>
      </c>
      <c r="D354" t="inlineStr">
        <is>
          <t>DALARNAS LÄN</t>
        </is>
      </c>
      <c r="E354" t="inlineStr">
        <is>
          <t>ÄLVDALEN</t>
        </is>
      </c>
      <c r="G354" t="n">
        <v>9</v>
      </c>
      <c r="H354" t="n">
        <v>0</v>
      </c>
      <c r="I354" t="n">
        <v>0</v>
      </c>
      <c r="J354" t="n">
        <v>0</v>
      </c>
      <c r="K354" t="n">
        <v>0</v>
      </c>
      <c r="L354" t="n">
        <v>0</v>
      </c>
      <c r="M354" t="n">
        <v>0</v>
      </c>
      <c r="N354" t="n">
        <v>0</v>
      </c>
      <c r="O354" t="n">
        <v>0</v>
      </c>
      <c r="P354" t="n">
        <v>0</v>
      </c>
      <c r="Q354" t="n">
        <v>0</v>
      </c>
      <c r="R354" s="2" t="inlineStr"/>
    </row>
    <row r="355" ht="15" customHeight="1">
      <c r="A355" t="inlineStr">
        <is>
          <t>A 30032-2025</t>
        </is>
      </c>
      <c r="B355" s="1" t="n">
        <v>45826.56873842593</v>
      </c>
      <c r="C355" s="1" t="n">
        <v>46081</v>
      </c>
      <c r="D355" t="inlineStr">
        <is>
          <t>DALARNAS LÄN</t>
        </is>
      </c>
      <c r="E355" t="inlineStr">
        <is>
          <t>ÄLVDALEN</t>
        </is>
      </c>
      <c r="G355" t="n">
        <v>5.5</v>
      </c>
      <c r="H355" t="n">
        <v>0</v>
      </c>
      <c r="I355" t="n">
        <v>0</v>
      </c>
      <c r="J355" t="n">
        <v>0</v>
      </c>
      <c r="K355" t="n">
        <v>0</v>
      </c>
      <c r="L355" t="n">
        <v>0</v>
      </c>
      <c r="M355" t="n">
        <v>0</v>
      </c>
      <c r="N355" t="n">
        <v>0</v>
      </c>
      <c r="O355" t="n">
        <v>0</v>
      </c>
      <c r="P355" t="n">
        <v>0</v>
      </c>
      <c r="Q355" t="n">
        <v>0</v>
      </c>
      <c r="R355" s="2" t="inlineStr"/>
    </row>
    <row r="356" ht="15" customHeight="1">
      <c r="A356" t="inlineStr">
        <is>
          <t>A 40954-2025</t>
        </is>
      </c>
      <c r="B356" s="1" t="n">
        <v>45897.67196759259</v>
      </c>
      <c r="C356" s="1" t="n">
        <v>46081</v>
      </c>
      <c r="D356" t="inlineStr">
        <is>
          <t>DALARNAS LÄN</t>
        </is>
      </c>
      <c r="E356" t="inlineStr">
        <is>
          <t>ÄLVDALEN</t>
        </is>
      </c>
      <c r="G356" t="n">
        <v>2.9</v>
      </c>
      <c r="H356" t="n">
        <v>0</v>
      </c>
      <c r="I356" t="n">
        <v>0</v>
      </c>
      <c r="J356" t="n">
        <v>0</v>
      </c>
      <c r="K356" t="n">
        <v>0</v>
      </c>
      <c r="L356" t="n">
        <v>0</v>
      </c>
      <c r="M356" t="n">
        <v>0</v>
      </c>
      <c r="N356" t="n">
        <v>0</v>
      </c>
      <c r="O356" t="n">
        <v>0</v>
      </c>
      <c r="P356" t="n">
        <v>0</v>
      </c>
      <c r="Q356" t="n">
        <v>0</v>
      </c>
      <c r="R356" s="2" t="inlineStr"/>
    </row>
    <row r="357" ht="15" customHeight="1">
      <c r="A357" t="inlineStr">
        <is>
          <t>A 59209-2022</t>
        </is>
      </c>
      <c r="B357" s="1" t="n">
        <v>44904</v>
      </c>
      <c r="C357" s="1" t="n">
        <v>46081</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41115-2025</t>
        </is>
      </c>
      <c r="B358" s="1" t="n">
        <v>45898.46256944445</v>
      </c>
      <c r="C358" s="1" t="n">
        <v>46081</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41566-2025</t>
        </is>
      </c>
      <c r="B359" s="1" t="n">
        <v>45901.6049537037</v>
      </c>
      <c r="C359" s="1" t="n">
        <v>46081</v>
      </c>
      <c r="D359" t="inlineStr">
        <is>
          <t>DALARNAS LÄN</t>
        </is>
      </c>
      <c r="E359" t="inlineStr">
        <is>
          <t>ÄLVDALEN</t>
        </is>
      </c>
      <c r="G359" t="n">
        <v>2.6</v>
      </c>
      <c r="H359" t="n">
        <v>0</v>
      </c>
      <c r="I359" t="n">
        <v>0</v>
      </c>
      <c r="J359" t="n">
        <v>0</v>
      </c>
      <c r="K359" t="n">
        <v>0</v>
      </c>
      <c r="L359" t="n">
        <v>0</v>
      </c>
      <c r="M359" t="n">
        <v>0</v>
      </c>
      <c r="N359" t="n">
        <v>0</v>
      </c>
      <c r="O359" t="n">
        <v>0</v>
      </c>
      <c r="P359" t="n">
        <v>0</v>
      </c>
      <c r="Q359" t="n">
        <v>0</v>
      </c>
      <c r="R359" s="2" t="inlineStr"/>
    </row>
    <row r="360" ht="15" customHeight="1">
      <c r="A360" t="inlineStr">
        <is>
          <t>A 41571-2025</t>
        </is>
      </c>
      <c r="B360" s="1" t="n">
        <v>45901.61150462963</v>
      </c>
      <c r="C360" s="1" t="n">
        <v>46081</v>
      </c>
      <c r="D360" t="inlineStr">
        <is>
          <t>DALARNAS LÄN</t>
        </is>
      </c>
      <c r="E360" t="inlineStr">
        <is>
          <t>ÄLVDALEN</t>
        </is>
      </c>
      <c r="G360" t="n">
        <v>1.8</v>
      </c>
      <c r="H360" t="n">
        <v>0</v>
      </c>
      <c r="I360" t="n">
        <v>0</v>
      </c>
      <c r="J360" t="n">
        <v>0</v>
      </c>
      <c r="K360" t="n">
        <v>0</v>
      </c>
      <c r="L360" t="n">
        <v>0</v>
      </c>
      <c r="M360" t="n">
        <v>0</v>
      </c>
      <c r="N360" t="n">
        <v>0</v>
      </c>
      <c r="O360" t="n">
        <v>0</v>
      </c>
      <c r="P360" t="n">
        <v>0</v>
      </c>
      <c r="Q360" t="n">
        <v>0</v>
      </c>
      <c r="R360" s="2" t="inlineStr"/>
    </row>
    <row r="361" ht="15" customHeight="1">
      <c r="A361" t="inlineStr">
        <is>
          <t>A 54493-2023</t>
        </is>
      </c>
      <c r="B361" s="1" t="n">
        <v>45233.50606481481</v>
      </c>
      <c r="C361" s="1" t="n">
        <v>46081</v>
      </c>
      <c r="D361" t="inlineStr">
        <is>
          <t>DALARNAS LÄN</t>
        </is>
      </c>
      <c r="E361" t="inlineStr">
        <is>
          <t>ÄLVDALEN</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45155-2023</t>
        </is>
      </c>
      <c r="B362" s="1" t="n">
        <v>45187</v>
      </c>
      <c r="C362" s="1" t="n">
        <v>46081</v>
      </c>
      <c r="D362" t="inlineStr">
        <is>
          <t>DALARNAS LÄN</t>
        </is>
      </c>
      <c r="E362" t="inlineStr">
        <is>
          <t>ÄLVDALEN</t>
        </is>
      </c>
      <c r="G362" t="n">
        <v>40.1</v>
      </c>
      <c r="H362" t="n">
        <v>0</v>
      </c>
      <c r="I362" t="n">
        <v>0</v>
      </c>
      <c r="J362" t="n">
        <v>0</v>
      </c>
      <c r="K362" t="n">
        <v>0</v>
      </c>
      <c r="L362" t="n">
        <v>0</v>
      </c>
      <c r="M362" t="n">
        <v>0</v>
      </c>
      <c r="N362" t="n">
        <v>0</v>
      </c>
      <c r="O362" t="n">
        <v>0</v>
      </c>
      <c r="P362" t="n">
        <v>0</v>
      </c>
      <c r="Q362" t="n">
        <v>0</v>
      </c>
      <c r="R362" s="2" t="inlineStr"/>
    </row>
    <row r="363" ht="15" customHeight="1">
      <c r="A363" t="inlineStr">
        <is>
          <t>A 30502-2025</t>
        </is>
      </c>
      <c r="B363" s="1" t="n">
        <v>45830.82903935185</v>
      </c>
      <c r="C363" s="1" t="n">
        <v>46081</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31796-2025</t>
        </is>
      </c>
      <c r="B364" s="1" t="n">
        <v>45834.54943287037</v>
      </c>
      <c r="C364" s="1" t="n">
        <v>46081</v>
      </c>
      <c r="D364" t="inlineStr">
        <is>
          <t>DALARNAS LÄN</t>
        </is>
      </c>
      <c r="E364" t="inlineStr">
        <is>
          <t>ÄLVDALEN</t>
        </is>
      </c>
      <c r="G364" t="n">
        <v>65.5</v>
      </c>
      <c r="H364" t="n">
        <v>0</v>
      </c>
      <c r="I364" t="n">
        <v>0</v>
      </c>
      <c r="J364" t="n">
        <v>0</v>
      </c>
      <c r="K364" t="n">
        <v>0</v>
      </c>
      <c r="L364" t="n">
        <v>0</v>
      </c>
      <c r="M364" t="n">
        <v>0</v>
      </c>
      <c r="N364" t="n">
        <v>0</v>
      </c>
      <c r="O364" t="n">
        <v>0</v>
      </c>
      <c r="P364" t="n">
        <v>0</v>
      </c>
      <c r="Q364" t="n">
        <v>0</v>
      </c>
      <c r="R364" s="2" t="inlineStr"/>
    </row>
    <row r="365" ht="15" customHeight="1">
      <c r="A365" t="inlineStr">
        <is>
          <t>A 19588-2025</t>
        </is>
      </c>
      <c r="B365" s="1" t="n">
        <v>45770</v>
      </c>
      <c r="C365" s="1" t="n">
        <v>46081</v>
      </c>
      <c r="D365" t="inlineStr">
        <is>
          <t>DALARNAS LÄN</t>
        </is>
      </c>
      <c r="E365" t="inlineStr">
        <is>
          <t>ÄLVDALEN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7917-2025</t>
        </is>
      </c>
      <c r="B366" s="1" t="n">
        <v>45707.35225694445</v>
      </c>
      <c r="C366" s="1" t="n">
        <v>46081</v>
      </c>
      <c r="D366" t="inlineStr">
        <is>
          <t>DALARNAS LÄN</t>
        </is>
      </c>
      <c r="E366" t="inlineStr">
        <is>
          <t>ÄLVDALEN</t>
        </is>
      </c>
      <c r="G366" t="n">
        <v>4.2</v>
      </c>
      <c r="H366" t="n">
        <v>0</v>
      </c>
      <c r="I366" t="n">
        <v>0</v>
      </c>
      <c r="J366" t="n">
        <v>0</v>
      </c>
      <c r="K366" t="n">
        <v>0</v>
      </c>
      <c r="L366" t="n">
        <v>0</v>
      </c>
      <c r="M366" t="n">
        <v>0</v>
      </c>
      <c r="N366" t="n">
        <v>0</v>
      </c>
      <c r="O366" t="n">
        <v>0</v>
      </c>
      <c r="P366" t="n">
        <v>0</v>
      </c>
      <c r="Q366" t="n">
        <v>0</v>
      </c>
      <c r="R366" s="2" t="inlineStr"/>
    </row>
    <row r="367" ht="15" customHeight="1">
      <c r="A367" t="inlineStr">
        <is>
          <t>A 7937-2025</t>
        </is>
      </c>
      <c r="B367" s="1" t="n">
        <v>45707.3953125</v>
      </c>
      <c r="C367" s="1" t="n">
        <v>46081</v>
      </c>
      <c r="D367" t="inlineStr">
        <is>
          <t>DALARNAS LÄN</t>
        </is>
      </c>
      <c r="E367" t="inlineStr">
        <is>
          <t>ÄLVDALEN</t>
        </is>
      </c>
      <c r="F367" t="inlineStr">
        <is>
          <t>Allmännings- och besparingsskogar</t>
        </is>
      </c>
      <c r="G367" t="n">
        <v>1.2</v>
      </c>
      <c r="H367" t="n">
        <v>0</v>
      </c>
      <c r="I367" t="n">
        <v>0</v>
      </c>
      <c r="J367" t="n">
        <v>0</v>
      </c>
      <c r="K367" t="n">
        <v>0</v>
      </c>
      <c r="L367" t="n">
        <v>0</v>
      </c>
      <c r="M367" t="n">
        <v>0</v>
      </c>
      <c r="N367" t="n">
        <v>0</v>
      </c>
      <c r="O367" t="n">
        <v>0</v>
      </c>
      <c r="P367" t="n">
        <v>0</v>
      </c>
      <c r="Q367" t="n">
        <v>0</v>
      </c>
      <c r="R367" s="2" t="inlineStr"/>
    </row>
    <row r="368" ht="15" customHeight="1">
      <c r="A368" t="inlineStr">
        <is>
          <t>A 32063-2025</t>
        </is>
      </c>
      <c r="B368" s="1" t="n">
        <v>45835.44703703704</v>
      </c>
      <c r="C368" s="1" t="n">
        <v>46081</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39283-2024</t>
        </is>
      </c>
      <c r="B369" s="1" t="n">
        <v>45551.36314814815</v>
      </c>
      <c r="C369" s="1" t="n">
        <v>46081</v>
      </c>
      <c r="D369" t="inlineStr">
        <is>
          <t>DALARNAS LÄN</t>
        </is>
      </c>
      <c r="E369" t="inlineStr">
        <is>
          <t>ÄLVDALEN</t>
        </is>
      </c>
      <c r="G369" t="n">
        <v>0.6</v>
      </c>
      <c r="H369" t="n">
        <v>0</v>
      </c>
      <c r="I369" t="n">
        <v>0</v>
      </c>
      <c r="J369" t="n">
        <v>0</v>
      </c>
      <c r="K369" t="n">
        <v>0</v>
      </c>
      <c r="L369" t="n">
        <v>0</v>
      </c>
      <c r="M369" t="n">
        <v>0</v>
      </c>
      <c r="N369" t="n">
        <v>0</v>
      </c>
      <c r="O369" t="n">
        <v>0</v>
      </c>
      <c r="P369" t="n">
        <v>0</v>
      </c>
      <c r="Q369" t="n">
        <v>0</v>
      </c>
      <c r="R369" s="2" t="inlineStr"/>
    </row>
    <row r="370" ht="15" customHeight="1">
      <c r="A370" t="inlineStr">
        <is>
          <t>A 32668-2025</t>
        </is>
      </c>
      <c r="B370" s="1" t="n">
        <v>45838.69678240741</v>
      </c>
      <c r="C370" s="1" t="n">
        <v>46081</v>
      </c>
      <c r="D370" t="inlineStr">
        <is>
          <t>DALARNAS LÄN</t>
        </is>
      </c>
      <c r="E370" t="inlineStr">
        <is>
          <t>ÄLVDALEN</t>
        </is>
      </c>
      <c r="F370" t="inlineStr">
        <is>
          <t>Övriga Aktiebolag</t>
        </is>
      </c>
      <c r="G370" t="n">
        <v>29.5</v>
      </c>
      <c r="H370" t="n">
        <v>0</v>
      </c>
      <c r="I370" t="n">
        <v>0</v>
      </c>
      <c r="J370" t="n">
        <v>0</v>
      </c>
      <c r="K370" t="n">
        <v>0</v>
      </c>
      <c r="L370" t="n">
        <v>0</v>
      </c>
      <c r="M370" t="n">
        <v>0</v>
      </c>
      <c r="N370" t="n">
        <v>0</v>
      </c>
      <c r="O370" t="n">
        <v>0</v>
      </c>
      <c r="P370" t="n">
        <v>0</v>
      </c>
      <c r="Q370" t="n">
        <v>0</v>
      </c>
      <c r="R370" s="2" t="inlineStr"/>
    </row>
    <row r="371" ht="15" customHeight="1">
      <c r="A371" t="inlineStr">
        <is>
          <t>A 7576-2024</t>
        </is>
      </c>
      <c r="B371" s="1" t="n">
        <v>45348.47555555555</v>
      </c>
      <c r="C371" s="1" t="n">
        <v>46081</v>
      </c>
      <c r="D371" t="inlineStr">
        <is>
          <t>DALARNAS LÄN</t>
        </is>
      </c>
      <c r="E371" t="inlineStr">
        <is>
          <t>ÄLVDALEN</t>
        </is>
      </c>
      <c r="G371" t="n">
        <v>11.1</v>
      </c>
      <c r="H371" t="n">
        <v>0</v>
      </c>
      <c r="I371" t="n">
        <v>0</v>
      </c>
      <c r="J371" t="n">
        <v>0</v>
      </c>
      <c r="K371" t="n">
        <v>0</v>
      </c>
      <c r="L371" t="n">
        <v>0</v>
      </c>
      <c r="M371" t="n">
        <v>0</v>
      </c>
      <c r="N371" t="n">
        <v>0</v>
      </c>
      <c r="O371" t="n">
        <v>0</v>
      </c>
      <c r="P371" t="n">
        <v>0</v>
      </c>
      <c r="Q371" t="n">
        <v>0</v>
      </c>
      <c r="R371" s="2" t="inlineStr"/>
    </row>
    <row r="372" ht="15" customHeight="1">
      <c r="A372" t="inlineStr">
        <is>
          <t>A 62315-2022</t>
        </is>
      </c>
      <c r="B372" s="1" t="n">
        <v>44916</v>
      </c>
      <c r="C372" s="1" t="n">
        <v>46081</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1790-2024</t>
        </is>
      </c>
      <c r="B373" s="1" t="n">
        <v>45307.5731712963</v>
      </c>
      <c r="C373" s="1" t="n">
        <v>46081</v>
      </c>
      <c r="D373" t="inlineStr">
        <is>
          <t>DALARNAS LÄN</t>
        </is>
      </c>
      <c r="E373" t="inlineStr">
        <is>
          <t>ÄLVDALEN</t>
        </is>
      </c>
      <c r="G373" t="n">
        <v>1.9</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46081</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43342-2025</t>
        </is>
      </c>
      <c r="B375" s="1" t="n">
        <v>45910.7628125</v>
      </c>
      <c r="C375" s="1" t="n">
        <v>46081</v>
      </c>
      <c r="D375" t="inlineStr">
        <is>
          <t>DALARNAS LÄN</t>
        </is>
      </c>
      <c r="E375" t="inlineStr">
        <is>
          <t>ÄLVDALEN</t>
        </is>
      </c>
      <c r="G375" t="n">
        <v>2.9</v>
      </c>
      <c r="H375" t="n">
        <v>0</v>
      </c>
      <c r="I375" t="n">
        <v>0</v>
      </c>
      <c r="J375" t="n">
        <v>0</v>
      </c>
      <c r="K375" t="n">
        <v>0</v>
      </c>
      <c r="L375" t="n">
        <v>0</v>
      </c>
      <c r="M375" t="n">
        <v>0</v>
      </c>
      <c r="N375" t="n">
        <v>0</v>
      </c>
      <c r="O375" t="n">
        <v>0</v>
      </c>
      <c r="P375" t="n">
        <v>0</v>
      </c>
      <c r="Q375" t="n">
        <v>0</v>
      </c>
      <c r="R375" s="2" t="inlineStr"/>
    </row>
    <row r="376" ht="15" customHeight="1">
      <c r="A376" t="inlineStr">
        <is>
          <t>A 52167-2024</t>
        </is>
      </c>
      <c r="B376" s="1" t="n">
        <v>45608.53949074074</v>
      </c>
      <c r="C376" s="1" t="n">
        <v>46081</v>
      </c>
      <c r="D376" t="inlineStr">
        <is>
          <t>DALARNAS LÄN</t>
        </is>
      </c>
      <c r="E376" t="inlineStr">
        <is>
          <t>ÄLVDALEN</t>
        </is>
      </c>
      <c r="G376" t="n">
        <v>0.6</v>
      </c>
      <c r="H376" t="n">
        <v>0</v>
      </c>
      <c r="I376" t="n">
        <v>0</v>
      </c>
      <c r="J376" t="n">
        <v>0</v>
      </c>
      <c r="K376" t="n">
        <v>0</v>
      </c>
      <c r="L376" t="n">
        <v>0</v>
      </c>
      <c r="M376" t="n">
        <v>0</v>
      </c>
      <c r="N376" t="n">
        <v>0</v>
      </c>
      <c r="O376" t="n">
        <v>0</v>
      </c>
      <c r="P376" t="n">
        <v>0</v>
      </c>
      <c r="Q376" t="n">
        <v>0</v>
      </c>
      <c r="R376" s="2" t="inlineStr"/>
    </row>
    <row r="377" ht="15" customHeight="1">
      <c r="A377" t="inlineStr">
        <is>
          <t>A 43514-2025</t>
        </is>
      </c>
      <c r="B377" s="1" t="n">
        <v>45911.56475694444</v>
      </c>
      <c r="C377" s="1" t="n">
        <v>46081</v>
      </c>
      <c r="D377" t="inlineStr">
        <is>
          <t>DALARNAS LÄN</t>
        </is>
      </c>
      <c r="E377" t="inlineStr">
        <is>
          <t>ÄLVDALEN</t>
        </is>
      </c>
      <c r="F377" t="inlineStr">
        <is>
          <t>Allmännings- och besparingsskogar</t>
        </is>
      </c>
      <c r="G377" t="n">
        <v>1.3</v>
      </c>
      <c r="H377" t="n">
        <v>0</v>
      </c>
      <c r="I377" t="n">
        <v>0</v>
      </c>
      <c r="J377" t="n">
        <v>0</v>
      </c>
      <c r="K377" t="n">
        <v>0</v>
      </c>
      <c r="L377" t="n">
        <v>0</v>
      </c>
      <c r="M377" t="n">
        <v>0</v>
      </c>
      <c r="N377" t="n">
        <v>0</v>
      </c>
      <c r="O377" t="n">
        <v>0</v>
      </c>
      <c r="P377" t="n">
        <v>0</v>
      </c>
      <c r="Q377" t="n">
        <v>0</v>
      </c>
      <c r="R377" s="2" t="inlineStr"/>
    </row>
    <row r="378" ht="15" customHeight="1">
      <c r="A378" t="inlineStr">
        <is>
          <t>A 43581-2025</t>
        </is>
      </c>
      <c r="B378" s="1" t="n">
        <v>45911.64846064815</v>
      </c>
      <c r="C378" s="1" t="n">
        <v>46081</v>
      </c>
      <c r="D378" t="inlineStr">
        <is>
          <t>DALARNAS LÄN</t>
        </is>
      </c>
      <c r="E378" t="inlineStr">
        <is>
          <t>ÄLVDALEN</t>
        </is>
      </c>
      <c r="G378" t="n">
        <v>1.7</v>
      </c>
      <c r="H378" t="n">
        <v>0</v>
      </c>
      <c r="I378" t="n">
        <v>0</v>
      </c>
      <c r="J378" t="n">
        <v>0</v>
      </c>
      <c r="K378" t="n">
        <v>0</v>
      </c>
      <c r="L378" t="n">
        <v>0</v>
      </c>
      <c r="M378" t="n">
        <v>0</v>
      </c>
      <c r="N378" t="n">
        <v>0</v>
      </c>
      <c r="O378" t="n">
        <v>0</v>
      </c>
      <c r="P378" t="n">
        <v>0</v>
      </c>
      <c r="Q378" t="n">
        <v>0</v>
      </c>
      <c r="R378" s="2" t="inlineStr"/>
    </row>
    <row r="379" ht="15" customHeight="1">
      <c r="A379" t="inlineStr">
        <is>
          <t>A 43585-2025</t>
        </is>
      </c>
      <c r="B379" s="1" t="n">
        <v>45911.65087962963</v>
      </c>
      <c r="C379" s="1" t="n">
        <v>46081</v>
      </c>
      <c r="D379" t="inlineStr">
        <is>
          <t>DALARNAS LÄN</t>
        </is>
      </c>
      <c r="E379" t="inlineStr">
        <is>
          <t>ÄLVDALEN</t>
        </is>
      </c>
      <c r="G379" t="n">
        <v>2.8</v>
      </c>
      <c r="H379" t="n">
        <v>0</v>
      </c>
      <c r="I379" t="n">
        <v>0</v>
      </c>
      <c r="J379" t="n">
        <v>0</v>
      </c>
      <c r="K379" t="n">
        <v>0</v>
      </c>
      <c r="L379" t="n">
        <v>0</v>
      </c>
      <c r="M379" t="n">
        <v>0</v>
      </c>
      <c r="N379" t="n">
        <v>0</v>
      </c>
      <c r="O379" t="n">
        <v>0</v>
      </c>
      <c r="P379" t="n">
        <v>0</v>
      </c>
      <c r="Q379" t="n">
        <v>0</v>
      </c>
      <c r="R379" s="2" t="inlineStr"/>
    </row>
    <row r="380" ht="15" customHeight="1">
      <c r="A380" t="inlineStr">
        <is>
          <t>A 34314-2025</t>
        </is>
      </c>
      <c r="B380" s="1" t="n">
        <v>45846</v>
      </c>
      <c r="C380" s="1" t="n">
        <v>46081</v>
      </c>
      <c r="D380" t="inlineStr">
        <is>
          <t>DALARNAS LÄN</t>
        </is>
      </c>
      <c r="E380" t="inlineStr">
        <is>
          <t>ÄLVDALEN</t>
        </is>
      </c>
      <c r="F380" t="inlineStr">
        <is>
          <t>Bergvik skog väst AB</t>
        </is>
      </c>
      <c r="G380" t="n">
        <v>6</v>
      </c>
      <c r="H380" t="n">
        <v>0</v>
      </c>
      <c r="I380" t="n">
        <v>0</v>
      </c>
      <c r="J380" t="n">
        <v>0</v>
      </c>
      <c r="K380" t="n">
        <v>0</v>
      </c>
      <c r="L380" t="n">
        <v>0</v>
      </c>
      <c r="M380" t="n">
        <v>0</v>
      </c>
      <c r="N380" t="n">
        <v>0</v>
      </c>
      <c r="O380" t="n">
        <v>0</v>
      </c>
      <c r="P380" t="n">
        <v>0</v>
      </c>
      <c r="Q380" t="n">
        <v>0</v>
      </c>
      <c r="R380" s="2" t="inlineStr"/>
    </row>
    <row r="381" ht="15" customHeight="1">
      <c r="A381" t="inlineStr">
        <is>
          <t>A 34739-2025</t>
        </is>
      </c>
      <c r="B381" s="1" t="n">
        <v>45848.60682870371</v>
      </c>
      <c r="C381" s="1" t="n">
        <v>46081</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34778-2025</t>
        </is>
      </c>
      <c r="B382" s="1" t="n">
        <v>45848.66840277778</v>
      </c>
      <c r="C382" s="1" t="n">
        <v>46081</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34697-2025</t>
        </is>
      </c>
      <c r="B383" s="1" t="n">
        <v>45848.46181712963</v>
      </c>
      <c r="C383" s="1" t="n">
        <v>46081</v>
      </c>
      <c r="D383" t="inlineStr">
        <is>
          <t>DALARNAS LÄN</t>
        </is>
      </c>
      <c r="E383" t="inlineStr">
        <is>
          <t>ÄLVDALEN</t>
        </is>
      </c>
      <c r="F383" t="inlineStr">
        <is>
          <t>Allmännings- och besparingsskogar</t>
        </is>
      </c>
      <c r="G383" t="n">
        <v>7.8</v>
      </c>
      <c r="H383" t="n">
        <v>0</v>
      </c>
      <c r="I383" t="n">
        <v>0</v>
      </c>
      <c r="J383" t="n">
        <v>0</v>
      </c>
      <c r="K383" t="n">
        <v>0</v>
      </c>
      <c r="L383" t="n">
        <v>0</v>
      </c>
      <c r="M383" t="n">
        <v>0</v>
      </c>
      <c r="N383" t="n">
        <v>0</v>
      </c>
      <c r="O383" t="n">
        <v>0</v>
      </c>
      <c r="P383" t="n">
        <v>0</v>
      </c>
      <c r="Q383" t="n">
        <v>0</v>
      </c>
      <c r="R383" s="2" t="inlineStr"/>
    </row>
    <row r="384" ht="15" customHeight="1">
      <c r="A384" t="inlineStr">
        <is>
          <t>A 34705-2025</t>
        </is>
      </c>
      <c r="B384" s="1" t="n">
        <v>45848.49012731481</v>
      </c>
      <c r="C384" s="1" t="n">
        <v>46081</v>
      </c>
      <c r="D384" t="inlineStr">
        <is>
          <t>DALARNAS LÄN</t>
        </is>
      </c>
      <c r="E384" t="inlineStr">
        <is>
          <t>ÄLVDALEN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34645-2025</t>
        </is>
      </c>
      <c r="B385" s="1" t="n">
        <v>45848.33440972222</v>
      </c>
      <c r="C385" s="1" t="n">
        <v>46081</v>
      </c>
      <c r="D385" t="inlineStr">
        <is>
          <t>DALARNAS LÄN</t>
        </is>
      </c>
      <c r="E385" t="inlineStr">
        <is>
          <t>ÄLVDALEN</t>
        </is>
      </c>
      <c r="G385" t="n">
        <v>7.1</v>
      </c>
      <c r="H385" t="n">
        <v>0</v>
      </c>
      <c r="I385" t="n">
        <v>0</v>
      </c>
      <c r="J385" t="n">
        <v>0</v>
      </c>
      <c r="K385" t="n">
        <v>0</v>
      </c>
      <c r="L385" t="n">
        <v>0</v>
      </c>
      <c r="M385" t="n">
        <v>0</v>
      </c>
      <c r="N385" t="n">
        <v>0</v>
      </c>
      <c r="O385" t="n">
        <v>0</v>
      </c>
      <c r="P385" t="n">
        <v>0</v>
      </c>
      <c r="Q385" t="n">
        <v>0</v>
      </c>
      <c r="R385" s="2" t="inlineStr"/>
    </row>
    <row r="386" ht="15" customHeight="1">
      <c r="A386" t="inlineStr">
        <is>
          <t>A 34526-2025</t>
        </is>
      </c>
      <c r="B386" s="1" t="n">
        <v>45847.47820601852</v>
      </c>
      <c r="C386" s="1" t="n">
        <v>46081</v>
      </c>
      <c r="D386" t="inlineStr">
        <is>
          <t>DALARNAS LÄN</t>
        </is>
      </c>
      <c r="E386" t="inlineStr">
        <is>
          <t>ÄLVDALEN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59444-2024</t>
        </is>
      </c>
      <c r="B387" s="1" t="n">
        <v>45638.45292824074</v>
      </c>
      <c r="C387" s="1" t="n">
        <v>46081</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59483-2024</t>
        </is>
      </c>
      <c r="B388" s="1" t="n">
        <v>45638.52847222222</v>
      </c>
      <c r="C388" s="1" t="n">
        <v>46081</v>
      </c>
      <c r="D388" t="inlineStr">
        <is>
          <t>DALARNAS LÄN</t>
        </is>
      </c>
      <c r="E388" t="inlineStr">
        <is>
          <t>ÄLVDALEN</t>
        </is>
      </c>
      <c r="F388" t="inlineStr">
        <is>
          <t>Allmännings- och besparingsskogar</t>
        </is>
      </c>
      <c r="G388" t="n">
        <v>6.9</v>
      </c>
      <c r="H388" t="n">
        <v>0</v>
      </c>
      <c r="I388" t="n">
        <v>0</v>
      </c>
      <c r="J388" t="n">
        <v>0</v>
      </c>
      <c r="K388" t="n">
        <v>0</v>
      </c>
      <c r="L388" t="n">
        <v>0</v>
      </c>
      <c r="M388" t="n">
        <v>0</v>
      </c>
      <c r="N388" t="n">
        <v>0</v>
      </c>
      <c r="O388" t="n">
        <v>0</v>
      </c>
      <c r="P388" t="n">
        <v>0</v>
      </c>
      <c r="Q388" t="n">
        <v>0</v>
      </c>
      <c r="R388" s="2" t="inlineStr"/>
    </row>
    <row r="389" ht="15" customHeight="1">
      <c r="A389" t="inlineStr">
        <is>
          <t>A 34850-2025</t>
        </is>
      </c>
      <c r="B389" s="1" t="n">
        <v>45849.42398148148</v>
      </c>
      <c r="C389" s="1" t="n">
        <v>46081</v>
      </c>
      <c r="D389" t="inlineStr">
        <is>
          <t>DALARNAS LÄN</t>
        </is>
      </c>
      <c r="E389" t="inlineStr">
        <is>
          <t>ÄLVDALEN</t>
        </is>
      </c>
      <c r="F389" t="inlineStr">
        <is>
          <t>Allmännings- och besparingsskogar</t>
        </is>
      </c>
      <c r="G389" t="n">
        <v>12.1</v>
      </c>
      <c r="H389" t="n">
        <v>0</v>
      </c>
      <c r="I389" t="n">
        <v>0</v>
      </c>
      <c r="J389" t="n">
        <v>0</v>
      </c>
      <c r="K389" t="n">
        <v>0</v>
      </c>
      <c r="L389" t="n">
        <v>0</v>
      </c>
      <c r="M389" t="n">
        <v>0</v>
      </c>
      <c r="N389" t="n">
        <v>0</v>
      </c>
      <c r="O389" t="n">
        <v>0</v>
      </c>
      <c r="P389" t="n">
        <v>0</v>
      </c>
      <c r="Q389" t="n">
        <v>0</v>
      </c>
      <c r="R389" s="2" t="inlineStr"/>
    </row>
    <row r="390" ht="15" customHeight="1">
      <c r="A390" t="inlineStr">
        <is>
          <t>A 34914-2025</t>
        </is>
      </c>
      <c r="B390" s="1" t="n">
        <v>45849.54108796296</v>
      </c>
      <c r="C390" s="1" t="n">
        <v>46081</v>
      </c>
      <c r="D390" t="inlineStr">
        <is>
          <t>DALARNAS LÄN</t>
        </is>
      </c>
      <c r="E390" t="inlineStr">
        <is>
          <t>ÄLVDALEN</t>
        </is>
      </c>
      <c r="F390" t="inlineStr">
        <is>
          <t>Allmännings- och besparingsskogar</t>
        </is>
      </c>
      <c r="G390" t="n">
        <v>19.2</v>
      </c>
      <c r="H390" t="n">
        <v>0</v>
      </c>
      <c r="I390" t="n">
        <v>0</v>
      </c>
      <c r="J390" t="n">
        <v>0</v>
      </c>
      <c r="K390" t="n">
        <v>0</v>
      </c>
      <c r="L390" t="n">
        <v>0</v>
      </c>
      <c r="M390" t="n">
        <v>0</v>
      </c>
      <c r="N390" t="n">
        <v>0</v>
      </c>
      <c r="O390" t="n">
        <v>0</v>
      </c>
      <c r="P390" t="n">
        <v>0</v>
      </c>
      <c r="Q390" t="n">
        <v>0</v>
      </c>
      <c r="R390" s="2" t="inlineStr"/>
    </row>
    <row r="391" ht="15" customHeight="1">
      <c r="A391" t="inlineStr">
        <is>
          <t>A 61072-2024</t>
        </is>
      </c>
      <c r="B391" s="1" t="n">
        <v>45645.50583333334</v>
      </c>
      <c r="C391" s="1" t="n">
        <v>46081</v>
      </c>
      <c r="D391" t="inlineStr">
        <is>
          <t>DALARNAS LÄN</t>
        </is>
      </c>
      <c r="E391" t="inlineStr">
        <is>
          <t>ÄLVDALEN</t>
        </is>
      </c>
      <c r="G391" t="n">
        <v>3.9</v>
      </c>
      <c r="H391" t="n">
        <v>0</v>
      </c>
      <c r="I391" t="n">
        <v>0</v>
      </c>
      <c r="J391" t="n">
        <v>0</v>
      </c>
      <c r="K391" t="n">
        <v>0</v>
      </c>
      <c r="L391" t="n">
        <v>0</v>
      </c>
      <c r="M391" t="n">
        <v>0</v>
      </c>
      <c r="N391" t="n">
        <v>0</v>
      </c>
      <c r="O391" t="n">
        <v>0</v>
      </c>
      <c r="P391" t="n">
        <v>0</v>
      </c>
      <c r="Q391" t="n">
        <v>0</v>
      </c>
      <c r="R391" s="2" t="inlineStr"/>
    </row>
    <row r="392" ht="15" customHeight="1">
      <c r="A392" t="inlineStr">
        <is>
          <t>A 27187-2025</t>
        </is>
      </c>
      <c r="B392" s="1" t="n">
        <v>45812</v>
      </c>
      <c r="C392" s="1" t="n">
        <v>46081</v>
      </c>
      <c r="D392" t="inlineStr">
        <is>
          <t>DALARNAS LÄN</t>
        </is>
      </c>
      <c r="E392" t="inlineStr">
        <is>
          <t>ÄLVDALEN</t>
        </is>
      </c>
      <c r="F392" t="inlineStr">
        <is>
          <t>Allmännings- och besparingsskogar</t>
        </is>
      </c>
      <c r="G392" t="n">
        <v>3</v>
      </c>
      <c r="H392" t="n">
        <v>0</v>
      </c>
      <c r="I392" t="n">
        <v>0</v>
      </c>
      <c r="J392" t="n">
        <v>0</v>
      </c>
      <c r="K392" t="n">
        <v>0</v>
      </c>
      <c r="L392" t="n">
        <v>0</v>
      </c>
      <c r="M392" t="n">
        <v>0</v>
      </c>
      <c r="N392" t="n">
        <v>0</v>
      </c>
      <c r="O392" t="n">
        <v>0</v>
      </c>
      <c r="P392" t="n">
        <v>0</v>
      </c>
      <c r="Q392" t="n">
        <v>0</v>
      </c>
      <c r="R392" s="2" t="inlineStr"/>
    </row>
    <row r="393" ht="15" customHeight="1">
      <c r="A393" t="inlineStr">
        <is>
          <t>A 43998-2025</t>
        </is>
      </c>
      <c r="B393" s="1" t="n">
        <v>45915</v>
      </c>
      <c r="C393" s="1" t="n">
        <v>46081</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31332-2023</t>
        </is>
      </c>
      <c r="B394" s="1" t="n">
        <v>45114</v>
      </c>
      <c r="C394" s="1" t="n">
        <v>46081</v>
      </c>
      <c r="D394" t="inlineStr">
        <is>
          <t>DALARNAS LÄN</t>
        </is>
      </c>
      <c r="E394" t="inlineStr">
        <is>
          <t>ÄLVDALEN</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15952-2021</t>
        </is>
      </c>
      <c r="B395" s="1" t="n">
        <v>44286</v>
      </c>
      <c r="C395" s="1" t="n">
        <v>46081</v>
      </c>
      <c r="D395" t="inlineStr">
        <is>
          <t>DALARNAS LÄN</t>
        </is>
      </c>
      <c r="E395" t="inlineStr">
        <is>
          <t>ÄLVDALEN</t>
        </is>
      </c>
      <c r="F395" t="inlineStr">
        <is>
          <t>Övriga statliga verk och myndigheter</t>
        </is>
      </c>
      <c r="G395" t="n">
        <v>6.6</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46081</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30799-2021</t>
        </is>
      </c>
      <c r="B397" s="1" t="n">
        <v>44365.51483796296</v>
      </c>
      <c r="C397" s="1" t="n">
        <v>46081</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61070-2024</t>
        </is>
      </c>
      <c r="B398" s="1" t="n">
        <v>45645.50170138889</v>
      </c>
      <c r="C398" s="1" t="n">
        <v>46081</v>
      </c>
      <c r="D398" t="inlineStr">
        <is>
          <t>DALARNAS LÄN</t>
        </is>
      </c>
      <c r="E398" t="inlineStr">
        <is>
          <t>ÄLVDALEN</t>
        </is>
      </c>
      <c r="G398" t="n">
        <v>5.6</v>
      </c>
      <c r="H398" t="n">
        <v>0</v>
      </c>
      <c r="I398" t="n">
        <v>0</v>
      </c>
      <c r="J398" t="n">
        <v>0</v>
      </c>
      <c r="K398" t="n">
        <v>0</v>
      </c>
      <c r="L398" t="n">
        <v>0</v>
      </c>
      <c r="M398" t="n">
        <v>0</v>
      </c>
      <c r="N398" t="n">
        <v>0</v>
      </c>
      <c r="O398" t="n">
        <v>0</v>
      </c>
      <c r="P398" t="n">
        <v>0</v>
      </c>
      <c r="Q398" t="n">
        <v>0</v>
      </c>
      <c r="R398" s="2" t="inlineStr"/>
    </row>
    <row r="399" ht="15" customHeight="1">
      <c r="A399" t="inlineStr">
        <is>
          <t>A 19578-2025</t>
        </is>
      </c>
      <c r="B399" s="1" t="n">
        <v>45770</v>
      </c>
      <c r="C399" s="1" t="n">
        <v>46081</v>
      </c>
      <c r="D399" t="inlineStr">
        <is>
          <t>DALARNAS LÄN</t>
        </is>
      </c>
      <c r="E399" t="inlineStr">
        <is>
          <t>ÄLVDALEN</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19583-2025</t>
        </is>
      </c>
      <c r="B400" s="1" t="n">
        <v>45770</v>
      </c>
      <c r="C400" s="1" t="n">
        <v>46081</v>
      </c>
      <c r="D400" t="inlineStr">
        <is>
          <t>DALARNAS LÄN</t>
        </is>
      </c>
      <c r="E400" t="inlineStr">
        <is>
          <t>ÄLVDALEN</t>
        </is>
      </c>
      <c r="F400" t="inlineStr">
        <is>
          <t>Sveaskog</t>
        </is>
      </c>
      <c r="G400" t="n">
        <v>24.1</v>
      </c>
      <c r="H400" t="n">
        <v>0</v>
      </c>
      <c r="I400" t="n">
        <v>0</v>
      </c>
      <c r="J400" t="n">
        <v>0</v>
      </c>
      <c r="K400" t="n">
        <v>0</v>
      </c>
      <c r="L400" t="n">
        <v>0</v>
      </c>
      <c r="M400" t="n">
        <v>0</v>
      </c>
      <c r="N400" t="n">
        <v>0</v>
      </c>
      <c r="O400" t="n">
        <v>0</v>
      </c>
      <c r="P400" t="n">
        <v>0</v>
      </c>
      <c r="Q400" t="n">
        <v>0</v>
      </c>
      <c r="R400" s="2" t="inlineStr"/>
    </row>
    <row r="401" ht="15" customHeight="1">
      <c r="A401" t="inlineStr">
        <is>
          <t>A 19761-2021</t>
        </is>
      </c>
      <c r="B401" s="1" t="n">
        <v>44309</v>
      </c>
      <c r="C401" s="1" t="n">
        <v>46081</v>
      </c>
      <c r="D401" t="inlineStr">
        <is>
          <t>DALARNAS LÄN</t>
        </is>
      </c>
      <c r="E401" t="inlineStr">
        <is>
          <t>ÄLVDALEN</t>
        </is>
      </c>
      <c r="G401" t="n">
        <v>4.3</v>
      </c>
      <c r="H401" t="n">
        <v>0</v>
      </c>
      <c r="I401" t="n">
        <v>0</v>
      </c>
      <c r="J401" t="n">
        <v>0</v>
      </c>
      <c r="K401" t="n">
        <v>0</v>
      </c>
      <c r="L401" t="n">
        <v>0</v>
      </c>
      <c r="M401" t="n">
        <v>0</v>
      </c>
      <c r="N401" t="n">
        <v>0</v>
      </c>
      <c r="O401" t="n">
        <v>0</v>
      </c>
      <c r="P401" t="n">
        <v>0</v>
      </c>
      <c r="Q401" t="n">
        <v>0</v>
      </c>
      <c r="R401" s="2" t="inlineStr"/>
    </row>
    <row r="402" ht="15" customHeight="1">
      <c r="A402" t="inlineStr">
        <is>
          <t>A 45156-2025</t>
        </is>
      </c>
      <c r="B402" s="1" t="n">
        <v>45919.48063657407</v>
      </c>
      <c r="C402" s="1" t="n">
        <v>46081</v>
      </c>
      <c r="D402" t="inlineStr">
        <is>
          <t>DALARNAS LÄN</t>
        </is>
      </c>
      <c r="E402" t="inlineStr">
        <is>
          <t>ÄLVDALEN</t>
        </is>
      </c>
      <c r="F402" t="inlineStr">
        <is>
          <t>Allmännings- och besparingsskogar</t>
        </is>
      </c>
      <c r="G402" t="n">
        <v>3.8</v>
      </c>
      <c r="H402" t="n">
        <v>0</v>
      </c>
      <c r="I402" t="n">
        <v>0</v>
      </c>
      <c r="J402" t="n">
        <v>0</v>
      </c>
      <c r="K402" t="n">
        <v>0</v>
      </c>
      <c r="L402" t="n">
        <v>0</v>
      </c>
      <c r="M402" t="n">
        <v>0</v>
      </c>
      <c r="N402" t="n">
        <v>0</v>
      </c>
      <c r="O402" t="n">
        <v>0</v>
      </c>
      <c r="P402" t="n">
        <v>0</v>
      </c>
      <c r="Q402" t="n">
        <v>0</v>
      </c>
      <c r="R402" s="2" t="inlineStr"/>
    </row>
    <row r="403" ht="15" customHeight="1">
      <c r="A403" t="inlineStr">
        <is>
          <t>A 29713-2022</t>
        </is>
      </c>
      <c r="B403" s="1" t="n">
        <v>44755</v>
      </c>
      <c r="C403" s="1" t="n">
        <v>46081</v>
      </c>
      <c r="D403" t="inlineStr">
        <is>
          <t>DALARNAS LÄN</t>
        </is>
      </c>
      <c r="E403" t="inlineStr">
        <is>
          <t>ÄLVDALEN</t>
        </is>
      </c>
      <c r="G403" t="n">
        <v>2.8</v>
      </c>
      <c r="H403" t="n">
        <v>0</v>
      </c>
      <c r="I403" t="n">
        <v>0</v>
      </c>
      <c r="J403" t="n">
        <v>0</v>
      </c>
      <c r="K403" t="n">
        <v>0</v>
      </c>
      <c r="L403" t="n">
        <v>0</v>
      </c>
      <c r="M403" t="n">
        <v>0</v>
      </c>
      <c r="N403" t="n">
        <v>0</v>
      </c>
      <c r="O403" t="n">
        <v>0</v>
      </c>
      <c r="P403" t="n">
        <v>0</v>
      </c>
      <c r="Q403" t="n">
        <v>0</v>
      </c>
      <c r="R403" s="2" t="inlineStr"/>
    </row>
    <row r="404" ht="15" customHeight="1">
      <c r="A404" t="inlineStr">
        <is>
          <t>A 45173-2025</t>
        </is>
      </c>
      <c r="B404" s="1" t="n">
        <v>45919.51228009259</v>
      </c>
      <c r="C404" s="1" t="n">
        <v>46081</v>
      </c>
      <c r="D404" t="inlineStr">
        <is>
          <t>DALARNAS LÄN</t>
        </is>
      </c>
      <c r="E404" t="inlineStr">
        <is>
          <t>ÄLVDALEN</t>
        </is>
      </c>
      <c r="F404" t="inlineStr">
        <is>
          <t>Allmännings- och besparingsskogar</t>
        </is>
      </c>
      <c r="G404" t="n">
        <v>40.5</v>
      </c>
      <c r="H404" t="n">
        <v>0</v>
      </c>
      <c r="I404" t="n">
        <v>0</v>
      </c>
      <c r="J404" t="n">
        <v>0</v>
      </c>
      <c r="K404" t="n">
        <v>0</v>
      </c>
      <c r="L404" t="n">
        <v>0</v>
      </c>
      <c r="M404" t="n">
        <v>0</v>
      </c>
      <c r="N404" t="n">
        <v>0</v>
      </c>
      <c r="O404" t="n">
        <v>0</v>
      </c>
      <c r="P404" t="n">
        <v>0</v>
      </c>
      <c r="Q404" t="n">
        <v>0</v>
      </c>
      <c r="R404" s="2" t="inlineStr"/>
    </row>
    <row r="405" ht="15" customHeight="1">
      <c r="A405" t="inlineStr">
        <is>
          <t>A 36257-2025</t>
        </is>
      </c>
      <c r="B405" s="1" t="n">
        <v>45867.591875</v>
      </c>
      <c r="C405" s="1" t="n">
        <v>46081</v>
      </c>
      <c r="D405" t="inlineStr">
        <is>
          <t>DALARNAS LÄN</t>
        </is>
      </c>
      <c r="E405" t="inlineStr">
        <is>
          <t>ÄLVDALEN</t>
        </is>
      </c>
      <c r="F405" t="inlineStr">
        <is>
          <t>Allmännings- och besparingsskogar</t>
        </is>
      </c>
      <c r="G405" t="n">
        <v>1.9</v>
      </c>
      <c r="H405" t="n">
        <v>0</v>
      </c>
      <c r="I405" t="n">
        <v>0</v>
      </c>
      <c r="J405" t="n">
        <v>0</v>
      </c>
      <c r="K405" t="n">
        <v>0</v>
      </c>
      <c r="L405" t="n">
        <v>0</v>
      </c>
      <c r="M405" t="n">
        <v>0</v>
      </c>
      <c r="N405" t="n">
        <v>0</v>
      </c>
      <c r="O405" t="n">
        <v>0</v>
      </c>
      <c r="P405" t="n">
        <v>0</v>
      </c>
      <c r="Q405" t="n">
        <v>0</v>
      </c>
      <c r="R405" s="2" t="inlineStr"/>
    </row>
    <row r="406" ht="15" customHeight="1">
      <c r="A406" t="inlineStr">
        <is>
          <t>A 627-2025</t>
        </is>
      </c>
      <c r="B406" s="1" t="n">
        <v>45660</v>
      </c>
      <c r="C406" s="1" t="n">
        <v>46081</v>
      </c>
      <c r="D406" t="inlineStr">
        <is>
          <t>DALARNAS LÄN</t>
        </is>
      </c>
      <c r="E406" t="inlineStr">
        <is>
          <t>ÄLVDALEN</t>
        </is>
      </c>
      <c r="F406" t="inlineStr">
        <is>
          <t>Allmännings- och besparingsskogar</t>
        </is>
      </c>
      <c r="G406" t="n">
        <v>0.9</v>
      </c>
      <c r="H406" t="n">
        <v>0</v>
      </c>
      <c r="I406" t="n">
        <v>0</v>
      </c>
      <c r="J406" t="n">
        <v>0</v>
      </c>
      <c r="K406" t="n">
        <v>0</v>
      </c>
      <c r="L406" t="n">
        <v>0</v>
      </c>
      <c r="M406" t="n">
        <v>0</v>
      </c>
      <c r="N406" t="n">
        <v>0</v>
      </c>
      <c r="O406" t="n">
        <v>0</v>
      </c>
      <c r="P406" t="n">
        <v>0</v>
      </c>
      <c r="Q406" t="n">
        <v>0</v>
      </c>
      <c r="R406" s="2" t="inlineStr"/>
    </row>
    <row r="407" ht="15" customHeight="1">
      <c r="A407" t="inlineStr">
        <is>
          <t>A 17558-2024</t>
        </is>
      </c>
      <c r="B407" s="1" t="n">
        <v>45415.66295138889</v>
      </c>
      <c r="C407" s="1" t="n">
        <v>46081</v>
      </c>
      <c r="D407" t="inlineStr">
        <is>
          <t>DALARNAS LÄN</t>
        </is>
      </c>
      <c r="E407" t="inlineStr">
        <is>
          <t>ÄLVDALEN</t>
        </is>
      </c>
      <c r="G407" t="n">
        <v>2.2</v>
      </c>
      <c r="H407" t="n">
        <v>0</v>
      </c>
      <c r="I407" t="n">
        <v>0</v>
      </c>
      <c r="J407" t="n">
        <v>0</v>
      </c>
      <c r="K407" t="n">
        <v>0</v>
      </c>
      <c r="L407" t="n">
        <v>0</v>
      </c>
      <c r="M407" t="n">
        <v>0</v>
      </c>
      <c r="N407" t="n">
        <v>0</v>
      </c>
      <c r="O407" t="n">
        <v>0</v>
      </c>
      <c r="P407" t="n">
        <v>0</v>
      </c>
      <c r="Q407" t="n">
        <v>0</v>
      </c>
      <c r="R407" s="2" t="inlineStr"/>
    </row>
    <row r="408" ht="15" customHeight="1">
      <c r="A408" t="inlineStr">
        <is>
          <t>A 10817-2025</t>
        </is>
      </c>
      <c r="B408" s="1" t="n">
        <v>45722.54625</v>
      </c>
      <c r="C408" s="1" t="n">
        <v>46081</v>
      </c>
      <c r="D408" t="inlineStr">
        <is>
          <t>DALARNAS LÄN</t>
        </is>
      </c>
      <c r="E408" t="inlineStr">
        <is>
          <t>ÄLVDALEN</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10831-2025</t>
        </is>
      </c>
      <c r="B409" s="1" t="n">
        <v>45722.56425925926</v>
      </c>
      <c r="C409" s="1" t="n">
        <v>46081</v>
      </c>
      <c r="D409" t="inlineStr">
        <is>
          <t>DALARNAS LÄN</t>
        </is>
      </c>
      <c r="E409" t="inlineStr">
        <is>
          <t>ÄLVDALEN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46409-2025</t>
        </is>
      </c>
      <c r="B410" s="1" t="n">
        <v>45925.56752314815</v>
      </c>
      <c r="C410" s="1" t="n">
        <v>46081</v>
      </c>
      <c r="D410" t="inlineStr">
        <is>
          <t>DALARNAS LÄN</t>
        </is>
      </c>
      <c r="E410" t="inlineStr">
        <is>
          <t>ÄLVDALEN</t>
        </is>
      </c>
      <c r="G410" t="n">
        <v>2.6</v>
      </c>
      <c r="H410" t="n">
        <v>0</v>
      </c>
      <c r="I410" t="n">
        <v>0</v>
      </c>
      <c r="J410" t="n">
        <v>0</v>
      </c>
      <c r="K410" t="n">
        <v>0</v>
      </c>
      <c r="L410" t="n">
        <v>0</v>
      </c>
      <c r="M410" t="n">
        <v>0</v>
      </c>
      <c r="N410" t="n">
        <v>0</v>
      </c>
      <c r="O410" t="n">
        <v>0</v>
      </c>
      <c r="P410" t="n">
        <v>0</v>
      </c>
      <c r="Q410" t="n">
        <v>0</v>
      </c>
      <c r="R410" s="2" t="inlineStr"/>
    </row>
    <row r="411" ht="15" customHeight="1">
      <c r="A411" t="inlineStr">
        <is>
          <t>A 46582-2025</t>
        </is>
      </c>
      <c r="B411" s="1" t="n">
        <v>45926.37971064815</v>
      </c>
      <c r="C411" s="1" t="n">
        <v>46081</v>
      </c>
      <c r="D411" t="inlineStr">
        <is>
          <t>DALARNAS LÄN</t>
        </is>
      </c>
      <c r="E411" t="inlineStr">
        <is>
          <t>ÄLVDALEN</t>
        </is>
      </c>
      <c r="F411" t="inlineStr">
        <is>
          <t>Allmännings- och besparingsskogar</t>
        </is>
      </c>
      <c r="G411" t="n">
        <v>20.7</v>
      </c>
      <c r="H411" t="n">
        <v>0</v>
      </c>
      <c r="I411" t="n">
        <v>0</v>
      </c>
      <c r="J411" t="n">
        <v>0</v>
      </c>
      <c r="K411" t="n">
        <v>0</v>
      </c>
      <c r="L411" t="n">
        <v>0</v>
      </c>
      <c r="M411" t="n">
        <v>0</v>
      </c>
      <c r="N411" t="n">
        <v>0</v>
      </c>
      <c r="O411" t="n">
        <v>0</v>
      </c>
      <c r="P411" t="n">
        <v>0</v>
      </c>
      <c r="Q411" t="n">
        <v>0</v>
      </c>
      <c r="R411" s="2" t="inlineStr"/>
    </row>
    <row r="412" ht="15" customHeight="1">
      <c r="A412" t="inlineStr">
        <is>
          <t>A 15251-2021</t>
        </is>
      </c>
      <c r="B412" s="1" t="n">
        <v>44284</v>
      </c>
      <c r="C412" s="1" t="n">
        <v>46081</v>
      </c>
      <c r="D412" t="inlineStr">
        <is>
          <t>DALARNAS LÄN</t>
        </is>
      </c>
      <c r="E412" t="inlineStr">
        <is>
          <t>ÄLVDALEN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47018-2025</t>
        </is>
      </c>
      <c r="B413" s="1" t="n">
        <v>45929.57569444444</v>
      </c>
      <c r="C413" s="1" t="n">
        <v>46081</v>
      </c>
      <c r="D413" t="inlineStr">
        <is>
          <t>DALARNAS LÄN</t>
        </is>
      </c>
      <c r="E413" t="inlineStr">
        <is>
          <t>ÄLVDALEN</t>
        </is>
      </c>
      <c r="F413" t="inlineStr">
        <is>
          <t>Allmännings- och besparingsskogar</t>
        </is>
      </c>
      <c r="G413" t="n">
        <v>3.4</v>
      </c>
      <c r="H413" t="n">
        <v>0</v>
      </c>
      <c r="I413" t="n">
        <v>0</v>
      </c>
      <c r="J413" t="n">
        <v>0</v>
      </c>
      <c r="K413" t="n">
        <v>0</v>
      </c>
      <c r="L413" t="n">
        <v>0</v>
      </c>
      <c r="M413" t="n">
        <v>0</v>
      </c>
      <c r="N413" t="n">
        <v>0</v>
      </c>
      <c r="O413" t="n">
        <v>0</v>
      </c>
      <c r="P413" t="n">
        <v>0</v>
      </c>
      <c r="Q413" t="n">
        <v>0</v>
      </c>
      <c r="R413" s="2" t="inlineStr"/>
    </row>
    <row r="414" ht="15" customHeight="1">
      <c r="A414" t="inlineStr">
        <is>
          <t>A 47081-2023</t>
        </is>
      </c>
      <c r="B414" s="1" t="n">
        <v>45201.61148148148</v>
      </c>
      <c r="C414" s="1" t="n">
        <v>46081</v>
      </c>
      <c r="D414" t="inlineStr">
        <is>
          <t>DALARNAS LÄN</t>
        </is>
      </c>
      <c r="E414" t="inlineStr">
        <is>
          <t>ÄLVDALEN</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46882-2025</t>
        </is>
      </c>
      <c r="B415" s="1" t="n">
        <v>45929.36357638889</v>
      </c>
      <c r="C415" s="1" t="n">
        <v>46081</v>
      </c>
      <c r="D415" t="inlineStr">
        <is>
          <t>DALARNAS LÄN</t>
        </is>
      </c>
      <c r="E415" t="inlineStr">
        <is>
          <t>ÄLVDALEN</t>
        </is>
      </c>
      <c r="F415" t="inlineStr">
        <is>
          <t>Allmännings- och besparingsskogar</t>
        </is>
      </c>
      <c r="G415" t="n">
        <v>4.9</v>
      </c>
      <c r="H415" t="n">
        <v>0</v>
      </c>
      <c r="I415" t="n">
        <v>0</v>
      </c>
      <c r="J415" t="n">
        <v>0</v>
      </c>
      <c r="K415" t="n">
        <v>0</v>
      </c>
      <c r="L415" t="n">
        <v>0</v>
      </c>
      <c r="M415" t="n">
        <v>0</v>
      </c>
      <c r="N415" t="n">
        <v>0</v>
      </c>
      <c r="O415" t="n">
        <v>0</v>
      </c>
      <c r="P415" t="n">
        <v>0</v>
      </c>
      <c r="Q415" t="n">
        <v>0</v>
      </c>
      <c r="R415" s="2" t="inlineStr"/>
    </row>
    <row r="416" ht="15" customHeight="1">
      <c r="A416" t="inlineStr">
        <is>
          <t>A 23369-2023</t>
        </is>
      </c>
      <c r="B416" s="1" t="n">
        <v>45076</v>
      </c>
      <c r="C416" s="1" t="n">
        <v>46081</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36830-2025</t>
        </is>
      </c>
      <c r="B417" s="1" t="n">
        <v>45874.34365740741</v>
      </c>
      <c r="C417" s="1" t="n">
        <v>46081</v>
      </c>
      <c r="D417" t="inlineStr">
        <is>
          <t>DALARNAS LÄN</t>
        </is>
      </c>
      <c r="E417" t="inlineStr">
        <is>
          <t>ÄLVDALEN</t>
        </is>
      </c>
      <c r="F417" t="inlineStr">
        <is>
          <t>Bergvik skog väst AB</t>
        </is>
      </c>
      <c r="G417" t="n">
        <v>5</v>
      </c>
      <c r="H417" t="n">
        <v>0</v>
      </c>
      <c r="I417" t="n">
        <v>0</v>
      </c>
      <c r="J417" t="n">
        <v>0</v>
      </c>
      <c r="K417" t="n">
        <v>0</v>
      </c>
      <c r="L417" t="n">
        <v>0</v>
      </c>
      <c r="M417" t="n">
        <v>0</v>
      </c>
      <c r="N417" t="n">
        <v>0</v>
      </c>
      <c r="O417" t="n">
        <v>0</v>
      </c>
      <c r="P417" t="n">
        <v>0</v>
      </c>
      <c r="Q417" t="n">
        <v>0</v>
      </c>
      <c r="R417" s="2" t="inlineStr"/>
    </row>
    <row r="418" ht="15" customHeight="1">
      <c r="A418" t="inlineStr">
        <is>
          <t>A 22454-2021</t>
        </is>
      </c>
      <c r="B418" s="1" t="n">
        <v>44326</v>
      </c>
      <c r="C418" s="1" t="n">
        <v>46081</v>
      </c>
      <c r="D418" t="inlineStr">
        <is>
          <t>DALARNAS LÄN</t>
        </is>
      </c>
      <c r="E418" t="inlineStr">
        <is>
          <t>ÄLVDALEN</t>
        </is>
      </c>
      <c r="F418" t="inlineStr">
        <is>
          <t>Allmännings- och besparingsskogar</t>
        </is>
      </c>
      <c r="G418" t="n">
        <v>4.3</v>
      </c>
      <c r="H418" t="n">
        <v>0</v>
      </c>
      <c r="I418" t="n">
        <v>0</v>
      </c>
      <c r="J418" t="n">
        <v>0</v>
      </c>
      <c r="K418" t="n">
        <v>0</v>
      </c>
      <c r="L418" t="n">
        <v>0</v>
      </c>
      <c r="M418" t="n">
        <v>0</v>
      </c>
      <c r="N418" t="n">
        <v>0</v>
      </c>
      <c r="O418" t="n">
        <v>0</v>
      </c>
      <c r="P418" t="n">
        <v>0</v>
      </c>
      <c r="Q418" t="n">
        <v>0</v>
      </c>
      <c r="R418" s="2" t="inlineStr"/>
    </row>
    <row r="419" ht="15" customHeight="1">
      <c r="A419" t="inlineStr">
        <is>
          <t>A 9719-2023</t>
        </is>
      </c>
      <c r="B419" s="1" t="n">
        <v>44978</v>
      </c>
      <c r="C419" s="1" t="n">
        <v>46081</v>
      </c>
      <c r="D419" t="inlineStr">
        <is>
          <t>DALARNAS LÄN</t>
        </is>
      </c>
      <c r="E419" t="inlineStr">
        <is>
          <t>ÄLVDALEN</t>
        </is>
      </c>
      <c r="G419" t="n">
        <v>20.2</v>
      </c>
      <c r="H419" t="n">
        <v>0</v>
      </c>
      <c r="I419" t="n">
        <v>0</v>
      </c>
      <c r="J419" t="n">
        <v>0</v>
      </c>
      <c r="K419" t="n">
        <v>0</v>
      </c>
      <c r="L419" t="n">
        <v>0</v>
      </c>
      <c r="M419" t="n">
        <v>0</v>
      </c>
      <c r="N419" t="n">
        <v>0</v>
      </c>
      <c r="O419" t="n">
        <v>0</v>
      </c>
      <c r="P419" t="n">
        <v>0</v>
      </c>
      <c r="Q419" t="n">
        <v>0</v>
      </c>
      <c r="R419" s="2" t="inlineStr"/>
    </row>
    <row r="420" ht="15" customHeight="1">
      <c r="A420" t="inlineStr">
        <is>
          <t>A 40003-2022</t>
        </is>
      </c>
      <c r="B420" s="1" t="n">
        <v>44820.36509259259</v>
      </c>
      <c r="C420" s="1" t="n">
        <v>46081</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43990-2024</t>
        </is>
      </c>
      <c r="B421" s="1" t="n">
        <v>45572</v>
      </c>
      <c r="C421" s="1" t="n">
        <v>46081</v>
      </c>
      <c r="D421" t="inlineStr">
        <is>
          <t>DALARNAS LÄN</t>
        </is>
      </c>
      <c r="E421" t="inlineStr">
        <is>
          <t>ÄLVDALEN</t>
        </is>
      </c>
      <c r="F421" t="inlineStr">
        <is>
          <t>Kommuner</t>
        </is>
      </c>
      <c r="G421" t="n">
        <v>0</v>
      </c>
      <c r="H421" t="n">
        <v>0</v>
      </c>
      <c r="I421" t="n">
        <v>0</v>
      </c>
      <c r="J421" t="n">
        <v>0</v>
      </c>
      <c r="K421" t="n">
        <v>0</v>
      </c>
      <c r="L421" t="n">
        <v>0</v>
      </c>
      <c r="M421" t="n">
        <v>0</v>
      </c>
      <c r="N421" t="n">
        <v>0</v>
      </c>
      <c r="O421" t="n">
        <v>0</v>
      </c>
      <c r="P421" t="n">
        <v>0</v>
      </c>
      <c r="Q421" t="n">
        <v>0</v>
      </c>
      <c r="R421" s="2" t="inlineStr"/>
    </row>
    <row r="422" ht="15" customHeight="1">
      <c r="A422" t="inlineStr">
        <is>
          <t>A 47692-2025</t>
        </is>
      </c>
      <c r="B422" s="1" t="n">
        <v>45931.59818287037</v>
      </c>
      <c r="C422" s="1" t="n">
        <v>46081</v>
      </c>
      <c r="D422" t="inlineStr">
        <is>
          <t>DALARNAS LÄN</t>
        </is>
      </c>
      <c r="E422" t="inlineStr">
        <is>
          <t>ÄLVDALEN</t>
        </is>
      </c>
      <c r="G422" t="n">
        <v>0.4</v>
      </c>
      <c r="H422" t="n">
        <v>0</v>
      </c>
      <c r="I422" t="n">
        <v>0</v>
      </c>
      <c r="J422" t="n">
        <v>0</v>
      </c>
      <c r="K422" t="n">
        <v>0</v>
      </c>
      <c r="L422" t="n">
        <v>0</v>
      </c>
      <c r="M422" t="n">
        <v>0</v>
      </c>
      <c r="N422" t="n">
        <v>0</v>
      </c>
      <c r="O422" t="n">
        <v>0</v>
      </c>
      <c r="P422" t="n">
        <v>0</v>
      </c>
      <c r="Q422" t="n">
        <v>0</v>
      </c>
      <c r="R422" s="2" t="inlineStr"/>
    </row>
    <row r="423" ht="15" customHeight="1">
      <c r="A423" t="inlineStr">
        <is>
          <t>A 48849-2022</t>
        </is>
      </c>
      <c r="B423" s="1" t="n">
        <v>44859</v>
      </c>
      <c r="C423" s="1" t="n">
        <v>46081</v>
      </c>
      <c r="D423" t="inlineStr">
        <is>
          <t>DALARNAS LÄN</t>
        </is>
      </c>
      <c r="E423" t="inlineStr">
        <is>
          <t>ÄLVDALEN</t>
        </is>
      </c>
      <c r="F423" t="inlineStr">
        <is>
          <t>Allmännings- och besparingsskogar</t>
        </is>
      </c>
      <c r="G423" t="n">
        <v>2.4</v>
      </c>
      <c r="H423" t="n">
        <v>0</v>
      </c>
      <c r="I423" t="n">
        <v>0</v>
      </c>
      <c r="J423" t="n">
        <v>0</v>
      </c>
      <c r="K423" t="n">
        <v>0</v>
      </c>
      <c r="L423" t="n">
        <v>0</v>
      </c>
      <c r="M423" t="n">
        <v>0</v>
      </c>
      <c r="N423" t="n">
        <v>0</v>
      </c>
      <c r="O423" t="n">
        <v>0</v>
      </c>
      <c r="P423" t="n">
        <v>0</v>
      </c>
      <c r="Q423" t="n">
        <v>0</v>
      </c>
      <c r="R423" s="2" t="inlineStr"/>
    </row>
    <row r="424" ht="15" customHeight="1">
      <c r="A424" t="inlineStr">
        <is>
          <t>A 37186-2025</t>
        </is>
      </c>
      <c r="B424" s="1" t="n">
        <v>45875.63905092593</v>
      </c>
      <c r="C424" s="1" t="n">
        <v>46081</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36593-2023</t>
        </is>
      </c>
      <c r="B425" s="1" t="n">
        <v>45153.47732638889</v>
      </c>
      <c r="C425" s="1" t="n">
        <v>46081</v>
      </c>
      <c r="D425" t="inlineStr">
        <is>
          <t>DALARNAS LÄN</t>
        </is>
      </c>
      <c r="E425" t="inlineStr">
        <is>
          <t>ÄLVDALEN</t>
        </is>
      </c>
      <c r="G425" t="n">
        <v>0.9</v>
      </c>
      <c r="H425" t="n">
        <v>0</v>
      </c>
      <c r="I425" t="n">
        <v>0</v>
      </c>
      <c r="J425" t="n">
        <v>0</v>
      </c>
      <c r="K425" t="n">
        <v>0</v>
      </c>
      <c r="L425" t="n">
        <v>0</v>
      </c>
      <c r="M425" t="n">
        <v>0</v>
      </c>
      <c r="N425" t="n">
        <v>0</v>
      </c>
      <c r="O425" t="n">
        <v>0</v>
      </c>
      <c r="P425" t="n">
        <v>0</v>
      </c>
      <c r="Q425" t="n">
        <v>0</v>
      </c>
      <c r="R425" s="2" t="inlineStr"/>
    </row>
    <row r="426" ht="15" customHeight="1">
      <c r="A426" t="inlineStr">
        <is>
          <t>A 48017-2025</t>
        </is>
      </c>
      <c r="B426" s="1" t="n">
        <v>45932.64740740741</v>
      </c>
      <c r="C426" s="1" t="n">
        <v>46081</v>
      </c>
      <c r="D426" t="inlineStr">
        <is>
          <t>DALARNAS LÄN</t>
        </is>
      </c>
      <c r="E426" t="inlineStr">
        <is>
          <t>ÄLVDALEN</t>
        </is>
      </c>
      <c r="G426" t="n">
        <v>4.5</v>
      </c>
      <c r="H426" t="n">
        <v>0</v>
      </c>
      <c r="I426" t="n">
        <v>0</v>
      </c>
      <c r="J426" t="n">
        <v>0</v>
      </c>
      <c r="K426" t="n">
        <v>0</v>
      </c>
      <c r="L426" t="n">
        <v>0</v>
      </c>
      <c r="M426" t="n">
        <v>0</v>
      </c>
      <c r="N426" t="n">
        <v>0</v>
      </c>
      <c r="O426" t="n">
        <v>0</v>
      </c>
      <c r="P426" t="n">
        <v>0</v>
      </c>
      <c r="Q426" t="n">
        <v>0</v>
      </c>
      <c r="R426" s="2" t="inlineStr"/>
    </row>
    <row r="427" ht="15" customHeight="1">
      <c r="A427" t="inlineStr">
        <is>
          <t>A 8538-2025</t>
        </is>
      </c>
      <c r="B427" s="1" t="n">
        <v>45709.59030092593</v>
      </c>
      <c r="C427" s="1" t="n">
        <v>46081</v>
      </c>
      <c r="D427" t="inlineStr">
        <is>
          <t>DALARNAS LÄN</t>
        </is>
      </c>
      <c r="E427" t="inlineStr">
        <is>
          <t>ÄLVDALEN</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36284-2024</t>
        </is>
      </c>
      <c r="B428" s="1" t="n">
        <v>45534.5897337963</v>
      </c>
      <c r="C428" s="1" t="n">
        <v>46081</v>
      </c>
      <c r="D428" t="inlineStr">
        <is>
          <t>DALARNAS LÄN</t>
        </is>
      </c>
      <c r="E428" t="inlineStr">
        <is>
          <t>ÄLVDALEN</t>
        </is>
      </c>
      <c r="G428" t="n">
        <v>3.4</v>
      </c>
      <c r="H428" t="n">
        <v>0</v>
      </c>
      <c r="I428" t="n">
        <v>0</v>
      </c>
      <c r="J428" t="n">
        <v>0</v>
      </c>
      <c r="K428" t="n">
        <v>0</v>
      </c>
      <c r="L428" t="n">
        <v>0</v>
      </c>
      <c r="M428" t="n">
        <v>0</v>
      </c>
      <c r="N428" t="n">
        <v>0</v>
      </c>
      <c r="O428" t="n">
        <v>0</v>
      </c>
      <c r="P428" t="n">
        <v>0</v>
      </c>
      <c r="Q428" t="n">
        <v>0</v>
      </c>
      <c r="R428" s="2" t="inlineStr"/>
    </row>
    <row r="429" ht="15" customHeight="1">
      <c r="A429" t="inlineStr">
        <is>
          <t>A 54632-2021</t>
        </is>
      </c>
      <c r="B429" s="1" t="n">
        <v>44473</v>
      </c>
      <c r="C429" s="1" t="n">
        <v>46081</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c r="T429">
        <f>HYPERLINK("https://klasma.github.io/Logging_2039/kartor/A 54632-2021 karta.png", "A 54632-2021")</f>
        <v/>
      </c>
      <c r="V429">
        <f>HYPERLINK("https://klasma.github.io/Logging_2039/klagomål/A 54632-2021 FSC-klagomål.docx", "A 54632-2021")</f>
        <v/>
      </c>
      <c r="W429">
        <f>HYPERLINK("https://klasma.github.io/Logging_2039/klagomålsmail/A 54632-2021 FSC-klagomål mail.docx", "A 54632-2021")</f>
        <v/>
      </c>
      <c r="X429">
        <f>HYPERLINK("https://klasma.github.io/Logging_2039/tillsyn/A 54632-2021 tillsynsbegäran.docx", "A 54632-2021")</f>
        <v/>
      </c>
      <c r="Y429">
        <f>HYPERLINK("https://klasma.github.io/Logging_2039/tillsynsmail/A 54632-2021 tillsynsbegäran mail.docx", "A 54632-2021")</f>
        <v/>
      </c>
    </row>
    <row r="430" ht="15" customHeight="1">
      <c r="A430" t="inlineStr">
        <is>
          <t>A 37873-2025</t>
        </is>
      </c>
      <c r="B430" s="1" t="n">
        <v>45881</v>
      </c>
      <c r="C430" s="1" t="n">
        <v>46081</v>
      </c>
      <c r="D430" t="inlineStr">
        <is>
          <t>DALARNAS LÄN</t>
        </is>
      </c>
      <c r="E430" t="inlineStr">
        <is>
          <t>ÄLVDALEN</t>
        </is>
      </c>
      <c r="F430" t="inlineStr">
        <is>
          <t>Övriga Aktiebolag</t>
        </is>
      </c>
      <c r="G430" t="n">
        <v>40.7</v>
      </c>
      <c r="H430" t="n">
        <v>0</v>
      </c>
      <c r="I430" t="n">
        <v>0</v>
      </c>
      <c r="J430" t="n">
        <v>0</v>
      </c>
      <c r="K430" t="n">
        <v>0</v>
      </c>
      <c r="L430" t="n">
        <v>0</v>
      </c>
      <c r="M430" t="n">
        <v>0</v>
      </c>
      <c r="N430" t="n">
        <v>0</v>
      </c>
      <c r="O430" t="n">
        <v>0</v>
      </c>
      <c r="P430" t="n">
        <v>0</v>
      </c>
      <c r="Q430" t="n">
        <v>0</v>
      </c>
      <c r="R430" s="2" t="inlineStr"/>
    </row>
    <row r="431" ht="15" customHeight="1">
      <c r="A431" t="inlineStr">
        <is>
          <t>A 47707-2025</t>
        </is>
      </c>
      <c r="B431" s="1" t="n">
        <v>45931.6125462963</v>
      </c>
      <c r="C431" s="1" t="n">
        <v>46081</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37874-2025</t>
        </is>
      </c>
      <c r="B432" s="1" t="n">
        <v>45881</v>
      </c>
      <c r="C432" s="1" t="n">
        <v>46081</v>
      </c>
      <c r="D432" t="inlineStr">
        <is>
          <t>DALARNAS LÄN</t>
        </is>
      </c>
      <c r="E432" t="inlineStr">
        <is>
          <t>ÄLVDALEN</t>
        </is>
      </c>
      <c r="F432" t="inlineStr">
        <is>
          <t>Övriga Aktiebolag</t>
        </is>
      </c>
      <c r="G432" t="n">
        <v>33.5</v>
      </c>
      <c r="H432" t="n">
        <v>0</v>
      </c>
      <c r="I432" t="n">
        <v>0</v>
      </c>
      <c r="J432" t="n">
        <v>0</v>
      </c>
      <c r="K432" t="n">
        <v>0</v>
      </c>
      <c r="L432" t="n">
        <v>0</v>
      </c>
      <c r="M432" t="n">
        <v>0</v>
      </c>
      <c r="N432" t="n">
        <v>0</v>
      </c>
      <c r="O432" t="n">
        <v>0</v>
      </c>
      <c r="P432" t="n">
        <v>0</v>
      </c>
      <c r="Q432" t="n">
        <v>0</v>
      </c>
      <c r="R432" s="2" t="inlineStr"/>
    </row>
    <row r="433" ht="15" customHeight="1">
      <c r="A433" t="inlineStr">
        <is>
          <t>A 19587-2025</t>
        </is>
      </c>
      <c r="B433" s="1" t="n">
        <v>45770.56820601852</v>
      </c>
      <c r="C433" s="1" t="n">
        <v>46081</v>
      </c>
      <c r="D433" t="inlineStr">
        <is>
          <t>DALARNAS LÄN</t>
        </is>
      </c>
      <c r="E433" t="inlineStr">
        <is>
          <t>ÄLVDALEN</t>
        </is>
      </c>
      <c r="F433" t="inlineStr">
        <is>
          <t>Allmännings- och besparingsskogar</t>
        </is>
      </c>
      <c r="G433" t="n">
        <v>1.4</v>
      </c>
      <c r="H433" t="n">
        <v>0</v>
      </c>
      <c r="I433" t="n">
        <v>0</v>
      </c>
      <c r="J433" t="n">
        <v>0</v>
      </c>
      <c r="K433" t="n">
        <v>0</v>
      </c>
      <c r="L433" t="n">
        <v>0</v>
      </c>
      <c r="M433" t="n">
        <v>0</v>
      </c>
      <c r="N433" t="n">
        <v>0</v>
      </c>
      <c r="O433" t="n">
        <v>0</v>
      </c>
      <c r="P433" t="n">
        <v>0</v>
      </c>
      <c r="Q433" t="n">
        <v>0</v>
      </c>
      <c r="R433" s="2" t="inlineStr"/>
    </row>
    <row r="434" ht="15" customHeight="1">
      <c r="A434" t="inlineStr">
        <is>
          <t>A 747-2025</t>
        </is>
      </c>
      <c r="B434" s="1" t="n">
        <v>45665.43965277778</v>
      </c>
      <c r="C434" s="1" t="n">
        <v>46081</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3196-2025</t>
        </is>
      </c>
      <c r="B435" s="1" t="n">
        <v>45679.42957175926</v>
      </c>
      <c r="C435" s="1" t="n">
        <v>46081</v>
      </c>
      <c r="D435" t="inlineStr">
        <is>
          <t>DALARNAS LÄN</t>
        </is>
      </c>
      <c r="E435" t="inlineStr">
        <is>
          <t>ÄLVDALEN</t>
        </is>
      </c>
      <c r="G435" t="n">
        <v>5.2</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46081</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48197-2025</t>
        </is>
      </c>
      <c r="B437" s="1" t="n">
        <v>45933.47471064814</v>
      </c>
      <c r="C437" s="1" t="n">
        <v>46081</v>
      </c>
      <c r="D437" t="inlineStr">
        <is>
          <t>DALARNAS LÄN</t>
        </is>
      </c>
      <c r="E437" t="inlineStr">
        <is>
          <t>ÄLVDALEN</t>
        </is>
      </c>
      <c r="F437" t="inlineStr">
        <is>
          <t>Bergvik skog öst AB</t>
        </is>
      </c>
      <c r="G437" t="n">
        <v>5.6</v>
      </c>
      <c r="H437" t="n">
        <v>0</v>
      </c>
      <c r="I437" t="n">
        <v>0</v>
      </c>
      <c r="J437" t="n">
        <v>0</v>
      </c>
      <c r="K437" t="n">
        <v>0</v>
      </c>
      <c r="L437" t="n">
        <v>0</v>
      </c>
      <c r="M437" t="n">
        <v>0</v>
      </c>
      <c r="N437" t="n">
        <v>0</v>
      </c>
      <c r="O437" t="n">
        <v>0</v>
      </c>
      <c r="P437" t="n">
        <v>0</v>
      </c>
      <c r="Q437" t="n">
        <v>0</v>
      </c>
      <c r="R437" s="2" t="inlineStr"/>
    </row>
    <row r="438" ht="15" customHeight="1">
      <c r="A438" t="inlineStr">
        <is>
          <t>A 54219-2025</t>
        </is>
      </c>
      <c r="B438" s="1" t="n">
        <v>45964</v>
      </c>
      <c r="C438" s="1" t="n">
        <v>46081</v>
      </c>
      <c r="D438" t="inlineStr">
        <is>
          <t>DALARNAS LÄN</t>
        </is>
      </c>
      <c r="E438" t="inlineStr">
        <is>
          <t>ÄLVDALEN</t>
        </is>
      </c>
      <c r="G438" t="n">
        <v>11.5</v>
      </c>
      <c r="H438" t="n">
        <v>0</v>
      </c>
      <c r="I438" t="n">
        <v>0</v>
      </c>
      <c r="J438" t="n">
        <v>0</v>
      </c>
      <c r="K438" t="n">
        <v>0</v>
      </c>
      <c r="L438" t="n">
        <v>0</v>
      </c>
      <c r="M438" t="n">
        <v>0</v>
      </c>
      <c r="N438" t="n">
        <v>0</v>
      </c>
      <c r="O438" t="n">
        <v>0</v>
      </c>
      <c r="P438" t="n">
        <v>0</v>
      </c>
      <c r="Q438" t="n">
        <v>0</v>
      </c>
      <c r="R438" s="2" t="inlineStr"/>
    </row>
    <row r="439" ht="15" customHeight="1">
      <c r="A439" t="inlineStr">
        <is>
          <t>A 19182-2023</t>
        </is>
      </c>
      <c r="B439" s="1" t="n">
        <v>45048</v>
      </c>
      <c r="C439" s="1" t="n">
        <v>46081</v>
      </c>
      <c r="D439" t="inlineStr">
        <is>
          <t>DALARNAS LÄN</t>
        </is>
      </c>
      <c r="E439" t="inlineStr">
        <is>
          <t>ÄLVDALEN</t>
        </is>
      </c>
      <c r="G439" t="n">
        <v>0.6</v>
      </c>
      <c r="H439" t="n">
        <v>0</v>
      </c>
      <c r="I439" t="n">
        <v>0</v>
      </c>
      <c r="J439" t="n">
        <v>0</v>
      </c>
      <c r="K439" t="n">
        <v>0</v>
      </c>
      <c r="L439" t="n">
        <v>0</v>
      </c>
      <c r="M439" t="n">
        <v>0</v>
      </c>
      <c r="N439" t="n">
        <v>0</v>
      </c>
      <c r="O439" t="n">
        <v>0</v>
      </c>
      <c r="P439" t="n">
        <v>0</v>
      </c>
      <c r="Q439" t="n">
        <v>0</v>
      </c>
      <c r="R439" s="2" t="inlineStr"/>
    </row>
    <row r="440" ht="15" customHeight="1">
      <c r="A440" t="inlineStr">
        <is>
          <t>A 52249-2022</t>
        </is>
      </c>
      <c r="B440" s="1" t="n">
        <v>44873</v>
      </c>
      <c r="C440" s="1" t="n">
        <v>46081</v>
      </c>
      <c r="D440" t="inlineStr">
        <is>
          <t>DALARNAS LÄN</t>
        </is>
      </c>
      <c r="E440" t="inlineStr">
        <is>
          <t>ÄLVDALEN</t>
        </is>
      </c>
      <c r="F440" t="inlineStr">
        <is>
          <t>Sveaskog</t>
        </is>
      </c>
      <c r="G440" t="n">
        <v>0.4</v>
      </c>
      <c r="H440" t="n">
        <v>0</v>
      </c>
      <c r="I440" t="n">
        <v>0</v>
      </c>
      <c r="J440" t="n">
        <v>0</v>
      </c>
      <c r="K440" t="n">
        <v>0</v>
      </c>
      <c r="L440" t="n">
        <v>0</v>
      </c>
      <c r="M440" t="n">
        <v>0</v>
      </c>
      <c r="N440" t="n">
        <v>0</v>
      </c>
      <c r="O440" t="n">
        <v>0</v>
      </c>
      <c r="P440" t="n">
        <v>0</v>
      </c>
      <c r="Q440" t="n">
        <v>0</v>
      </c>
      <c r="R440" s="2" t="inlineStr"/>
    </row>
    <row r="441" ht="15" customHeight="1">
      <c r="A441" t="inlineStr">
        <is>
          <t>A 6230-2024</t>
        </is>
      </c>
      <c r="B441" s="1" t="n">
        <v>45337</v>
      </c>
      <c r="C441" s="1" t="n">
        <v>46081</v>
      </c>
      <c r="D441" t="inlineStr">
        <is>
          <t>DALARNAS LÄN</t>
        </is>
      </c>
      <c r="E441" t="inlineStr">
        <is>
          <t>ÄLVDALEN</t>
        </is>
      </c>
      <c r="G441" t="n">
        <v>6.2</v>
      </c>
      <c r="H441" t="n">
        <v>0</v>
      </c>
      <c r="I441" t="n">
        <v>0</v>
      </c>
      <c r="J441" t="n">
        <v>0</v>
      </c>
      <c r="K441" t="n">
        <v>0</v>
      </c>
      <c r="L441" t="n">
        <v>0</v>
      </c>
      <c r="M441" t="n">
        <v>0</v>
      </c>
      <c r="N441" t="n">
        <v>0</v>
      </c>
      <c r="O441" t="n">
        <v>0</v>
      </c>
      <c r="P441" t="n">
        <v>0</v>
      </c>
      <c r="Q441" t="n">
        <v>0</v>
      </c>
      <c r="R441" s="2" t="inlineStr"/>
    </row>
    <row r="442" ht="15" customHeight="1">
      <c r="A442" t="inlineStr">
        <is>
          <t>A 48135-2025</t>
        </is>
      </c>
      <c r="B442" s="1" t="n">
        <v>45933.37452546296</v>
      </c>
      <c r="C442" s="1" t="n">
        <v>46081</v>
      </c>
      <c r="D442" t="inlineStr">
        <is>
          <t>DALARNAS LÄN</t>
        </is>
      </c>
      <c r="E442" t="inlineStr">
        <is>
          <t>ÄLVDALEN</t>
        </is>
      </c>
      <c r="G442" t="n">
        <v>2.4</v>
      </c>
      <c r="H442" t="n">
        <v>0</v>
      </c>
      <c r="I442" t="n">
        <v>0</v>
      </c>
      <c r="J442" t="n">
        <v>0</v>
      </c>
      <c r="K442" t="n">
        <v>0</v>
      </c>
      <c r="L442" t="n">
        <v>0</v>
      </c>
      <c r="M442" t="n">
        <v>0</v>
      </c>
      <c r="N442" t="n">
        <v>0</v>
      </c>
      <c r="O442" t="n">
        <v>0</v>
      </c>
      <c r="P442" t="n">
        <v>0</v>
      </c>
      <c r="Q442" t="n">
        <v>0</v>
      </c>
      <c r="R442" s="2" t="inlineStr"/>
    </row>
    <row r="443" ht="15" customHeight="1">
      <c r="A443" t="inlineStr">
        <is>
          <t>A 68383-2021</t>
        </is>
      </c>
      <c r="B443" s="1" t="n">
        <v>44529</v>
      </c>
      <c r="C443" s="1" t="n">
        <v>46081</v>
      </c>
      <c r="D443" t="inlineStr">
        <is>
          <t>DALARNAS LÄN</t>
        </is>
      </c>
      <c r="E443" t="inlineStr">
        <is>
          <t>ÄLVDALEN</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30225-2023</t>
        </is>
      </c>
      <c r="B444" s="1" t="n">
        <v>45110.64971064815</v>
      </c>
      <c r="C444" s="1" t="n">
        <v>46081</v>
      </c>
      <c r="D444" t="inlineStr">
        <is>
          <t>DALARNAS LÄN</t>
        </is>
      </c>
      <c r="E444" t="inlineStr">
        <is>
          <t>ÄLVDALEN</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38814-2025</t>
        </is>
      </c>
      <c r="B445" s="1" t="n">
        <v>45887</v>
      </c>
      <c r="C445" s="1" t="n">
        <v>46081</v>
      </c>
      <c r="D445" t="inlineStr">
        <is>
          <t>DALARNAS LÄN</t>
        </is>
      </c>
      <c r="E445" t="inlineStr">
        <is>
          <t>ÄLVDALEN</t>
        </is>
      </c>
      <c r="G445" t="n">
        <v>1.9</v>
      </c>
      <c r="H445" t="n">
        <v>0</v>
      </c>
      <c r="I445" t="n">
        <v>0</v>
      </c>
      <c r="J445" t="n">
        <v>0</v>
      </c>
      <c r="K445" t="n">
        <v>0</v>
      </c>
      <c r="L445" t="n">
        <v>0</v>
      </c>
      <c r="M445" t="n">
        <v>0</v>
      </c>
      <c r="N445" t="n">
        <v>0</v>
      </c>
      <c r="O445" t="n">
        <v>0</v>
      </c>
      <c r="P445" t="n">
        <v>0</v>
      </c>
      <c r="Q445" t="n">
        <v>0</v>
      </c>
      <c r="R445" s="2" t="inlineStr"/>
    </row>
    <row r="446" ht="15" customHeight="1">
      <c r="A446" t="inlineStr">
        <is>
          <t>A 19567-2025</t>
        </is>
      </c>
      <c r="B446" s="1" t="n">
        <v>45770.5349537037</v>
      </c>
      <c r="C446" s="1" t="n">
        <v>46081</v>
      </c>
      <c r="D446" t="inlineStr">
        <is>
          <t>DALARNAS LÄN</t>
        </is>
      </c>
      <c r="E446" t="inlineStr">
        <is>
          <t>ÄLVDALEN</t>
        </is>
      </c>
      <c r="F446" t="inlineStr">
        <is>
          <t>Allmännings- och besparingsskogar</t>
        </is>
      </c>
      <c r="G446" t="n">
        <v>3.7</v>
      </c>
      <c r="H446" t="n">
        <v>0</v>
      </c>
      <c r="I446" t="n">
        <v>0</v>
      </c>
      <c r="J446" t="n">
        <v>0</v>
      </c>
      <c r="K446" t="n">
        <v>0</v>
      </c>
      <c r="L446" t="n">
        <v>0</v>
      </c>
      <c r="M446" t="n">
        <v>0</v>
      </c>
      <c r="N446" t="n">
        <v>0</v>
      </c>
      <c r="O446" t="n">
        <v>0</v>
      </c>
      <c r="P446" t="n">
        <v>0</v>
      </c>
      <c r="Q446" t="n">
        <v>0</v>
      </c>
      <c r="R446" s="2" t="inlineStr"/>
    </row>
    <row r="447" ht="15" customHeight="1">
      <c r="A447" t="inlineStr">
        <is>
          <t>A 70140-2021</t>
        </is>
      </c>
      <c r="B447" s="1" t="n">
        <v>44533</v>
      </c>
      <c r="C447" s="1" t="n">
        <v>46081</v>
      </c>
      <c r="D447" t="inlineStr">
        <is>
          <t>DALARNAS LÄN</t>
        </is>
      </c>
      <c r="E447" t="inlineStr">
        <is>
          <t>ÄLVDALEN</t>
        </is>
      </c>
      <c r="G447" t="n">
        <v>2.5</v>
      </c>
      <c r="H447" t="n">
        <v>0</v>
      </c>
      <c r="I447" t="n">
        <v>0</v>
      </c>
      <c r="J447" t="n">
        <v>0</v>
      </c>
      <c r="K447" t="n">
        <v>0</v>
      </c>
      <c r="L447" t="n">
        <v>0</v>
      </c>
      <c r="M447" t="n">
        <v>0</v>
      </c>
      <c r="N447" t="n">
        <v>0</v>
      </c>
      <c r="O447" t="n">
        <v>0</v>
      </c>
      <c r="P447" t="n">
        <v>0</v>
      </c>
      <c r="Q447" t="n">
        <v>0</v>
      </c>
      <c r="R447" s="2" t="inlineStr"/>
    </row>
    <row r="448" ht="15" customHeight="1">
      <c r="A448" t="inlineStr">
        <is>
          <t>A 32031-2023</t>
        </is>
      </c>
      <c r="B448" s="1" t="n">
        <v>45107</v>
      </c>
      <c r="C448" s="1" t="n">
        <v>46081</v>
      </c>
      <c r="D448" t="inlineStr">
        <is>
          <t>DALARNAS LÄN</t>
        </is>
      </c>
      <c r="E448" t="inlineStr">
        <is>
          <t>ÄLVDALEN</t>
        </is>
      </c>
      <c r="G448" t="n">
        <v>2.7</v>
      </c>
      <c r="H448" t="n">
        <v>0</v>
      </c>
      <c r="I448" t="n">
        <v>0</v>
      </c>
      <c r="J448" t="n">
        <v>0</v>
      </c>
      <c r="K448" t="n">
        <v>0</v>
      </c>
      <c r="L448" t="n">
        <v>0</v>
      </c>
      <c r="M448" t="n">
        <v>0</v>
      </c>
      <c r="N448" t="n">
        <v>0</v>
      </c>
      <c r="O448" t="n">
        <v>0</v>
      </c>
      <c r="P448" t="n">
        <v>0</v>
      </c>
      <c r="Q448" t="n">
        <v>0</v>
      </c>
      <c r="R448" s="2" t="inlineStr"/>
    </row>
    <row r="449" ht="15" customHeight="1">
      <c r="A449" t="inlineStr">
        <is>
          <t>A 45122-2023</t>
        </is>
      </c>
      <c r="B449" s="1" t="n">
        <v>45191.44871527778</v>
      </c>
      <c r="C449" s="1" t="n">
        <v>46081</v>
      </c>
      <c r="D449" t="inlineStr">
        <is>
          <t>DALARNAS LÄN</t>
        </is>
      </c>
      <c r="E449" t="inlineStr">
        <is>
          <t>ÄLVDALEN</t>
        </is>
      </c>
      <c r="G449" t="n">
        <v>2.7</v>
      </c>
      <c r="H449" t="n">
        <v>0</v>
      </c>
      <c r="I449" t="n">
        <v>0</v>
      </c>
      <c r="J449" t="n">
        <v>0</v>
      </c>
      <c r="K449" t="n">
        <v>0</v>
      </c>
      <c r="L449" t="n">
        <v>0</v>
      </c>
      <c r="M449" t="n">
        <v>0</v>
      </c>
      <c r="N449" t="n">
        <v>0</v>
      </c>
      <c r="O449" t="n">
        <v>0</v>
      </c>
      <c r="P449" t="n">
        <v>0</v>
      </c>
      <c r="Q449" t="n">
        <v>0</v>
      </c>
      <c r="R449" s="2" t="inlineStr"/>
    </row>
    <row r="450" ht="15" customHeight="1">
      <c r="A450" t="inlineStr">
        <is>
          <t>A 47743-2024</t>
        </is>
      </c>
      <c r="B450" s="1" t="n">
        <v>45588.52550925926</v>
      </c>
      <c r="C450" s="1" t="n">
        <v>46081</v>
      </c>
      <c r="D450" t="inlineStr">
        <is>
          <t>DALARNAS LÄN</t>
        </is>
      </c>
      <c r="E450" t="inlineStr">
        <is>
          <t>ÄLVDALEN</t>
        </is>
      </c>
      <c r="G450" t="n">
        <v>4.4</v>
      </c>
      <c r="H450" t="n">
        <v>0</v>
      </c>
      <c r="I450" t="n">
        <v>0</v>
      </c>
      <c r="J450" t="n">
        <v>0</v>
      </c>
      <c r="K450" t="n">
        <v>0</v>
      </c>
      <c r="L450" t="n">
        <v>0</v>
      </c>
      <c r="M450" t="n">
        <v>0</v>
      </c>
      <c r="N450" t="n">
        <v>0</v>
      </c>
      <c r="O450" t="n">
        <v>0</v>
      </c>
      <c r="P450" t="n">
        <v>0</v>
      </c>
      <c r="Q450" t="n">
        <v>0</v>
      </c>
      <c r="R450" s="2" t="inlineStr"/>
    </row>
    <row r="451" ht="15" customHeight="1">
      <c r="A451" t="inlineStr">
        <is>
          <t>A 8496-2025</t>
        </is>
      </c>
      <c r="B451" s="1" t="n">
        <v>45709.51084490741</v>
      </c>
      <c r="C451" s="1" t="n">
        <v>46081</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50314-2025</t>
        </is>
      </c>
      <c r="B452" s="1" t="n">
        <v>45944.44439814815</v>
      </c>
      <c r="C452" s="1" t="n">
        <v>46081</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60793-2022</t>
        </is>
      </c>
      <c r="B453" s="1" t="n">
        <v>44911</v>
      </c>
      <c r="C453" s="1" t="n">
        <v>46081</v>
      </c>
      <c r="D453" t="inlineStr">
        <is>
          <t>DALARNAS LÄN</t>
        </is>
      </c>
      <c r="E453" t="inlineStr">
        <is>
          <t>ÄLVDALEN</t>
        </is>
      </c>
      <c r="G453" t="n">
        <v>0.5</v>
      </c>
      <c r="H453" t="n">
        <v>0</v>
      </c>
      <c r="I453" t="n">
        <v>0</v>
      </c>
      <c r="J453" t="n">
        <v>0</v>
      </c>
      <c r="K453" t="n">
        <v>0</v>
      </c>
      <c r="L453" t="n">
        <v>0</v>
      </c>
      <c r="M453" t="n">
        <v>0</v>
      </c>
      <c r="N453" t="n">
        <v>0</v>
      </c>
      <c r="O453" t="n">
        <v>0</v>
      </c>
      <c r="P453" t="n">
        <v>0</v>
      </c>
      <c r="Q453" t="n">
        <v>0</v>
      </c>
      <c r="R453" s="2" t="inlineStr"/>
    </row>
    <row r="454" ht="15" customHeight="1">
      <c r="A454" t="inlineStr">
        <is>
          <t>A 51392-2025</t>
        </is>
      </c>
      <c r="B454" s="1" t="n">
        <v>45950.46956018519</v>
      </c>
      <c r="C454" s="1" t="n">
        <v>46081</v>
      </c>
      <c r="D454" t="inlineStr">
        <is>
          <t>DALARNAS LÄN</t>
        </is>
      </c>
      <c r="E454" t="inlineStr">
        <is>
          <t>ÄLVDALEN</t>
        </is>
      </c>
      <c r="G454" t="n">
        <v>0.8</v>
      </c>
      <c r="H454" t="n">
        <v>0</v>
      </c>
      <c r="I454" t="n">
        <v>0</v>
      </c>
      <c r="J454" t="n">
        <v>0</v>
      </c>
      <c r="K454" t="n">
        <v>0</v>
      </c>
      <c r="L454" t="n">
        <v>0</v>
      </c>
      <c r="M454" t="n">
        <v>0</v>
      </c>
      <c r="N454" t="n">
        <v>0</v>
      </c>
      <c r="O454" t="n">
        <v>0</v>
      </c>
      <c r="P454" t="n">
        <v>0</v>
      </c>
      <c r="Q454" t="n">
        <v>0</v>
      </c>
      <c r="R454" s="2" t="inlineStr"/>
    </row>
    <row r="455" ht="15" customHeight="1">
      <c r="A455" t="inlineStr">
        <is>
          <t>A 51381-2025</t>
        </is>
      </c>
      <c r="B455" s="1" t="n">
        <v>45950.45982638889</v>
      </c>
      <c r="C455" s="1" t="n">
        <v>46081</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42332-2023</t>
        </is>
      </c>
      <c r="B456" s="1" t="n">
        <v>45175</v>
      </c>
      <c r="C456" s="1" t="n">
        <v>46081</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51461-2025</t>
        </is>
      </c>
      <c r="B457" s="1" t="n">
        <v>45950.6047337963</v>
      </c>
      <c r="C457" s="1" t="n">
        <v>46081</v>
      </c>
      <c r="D457" t="inlineStr">
        <is>
          <t>DALARNAS LÄN</t>
        </is>
      </c>
      <c r="E457" t="inlineStr">
        <is>
          <t>ÄLVDALEN</t>
        </is>
      </c>
      <c r="F457" t="inlineStr">
        <is>
          <t>Allmännings- och besparingsskogar</t>
        </is>
      </c>
      <c r="G457" t="n">
        <v>5</v>
      </c>
      <c r="H457" t="n">
        <v>0</v>
      </c>
      <c r="I457" t="n">
        <v>0</v>
      </c>
      <c r="J457" t="n">
        <v>0</v>
      </c>
      <c r="K457" t="n">
        <v>0</v>
      </c>
      <c r="L457" t="n">
        <v>0</v>
      </c>
      <c r="M457" t="n">
        <v>0</v>
      </c>
      <c r="N457" t="n">
        <v>0</v>
      </c>
      <c r="O457" t="n">
        <v>0</v>
      </c>
      <c r="P457" t="n">
        <v>0</v>
      </c>
      <c r="Q457" t="n">
        <v>0</v>
      </c>
      <c r="R457" s="2" t="inlineStr"/>
    </row>
    <row r="458" ht="15" customHeight="1">
      <c r="A458" t="inlineStr">
        <is>
          <t>A 51399-2025</t>
        </is>
      </c>
      <c r="B458" s="1" t="n">
        <v>45950.47741898148</v>
      </c>
      <c r="C458" s="1" t="n">
        <v>46081</v>
      </c>
      <c r="D458" t="inlineStr">
        <is>
          <t>DALARNAS LÄN</t>
        </is>
      </c>
      <c r="E458" t="inlineStr">
        <is>
          <t>ÄLVDALEN</t>
        </is>
      </c>
      <c r="G458" t="n">
        <v>5.9</v>
      </c>
      <c r="H458" t="n">
        <v>0</v>
      </c>
      <c r="I458" t="n">
        <v>0</v>
      </c>
      <c r="J458" t="n">
        <v>0</v>
      </c>
      <c r="K458" t="n">
        <v>0</v>
      </c>
      <c r="L458" t="n">
        <v>0</v>
      </c>
      <c r="M458" t="n">
        <v>0</v>
      </c>
      <c r="N458" t="n">
        <v>0</v>
      </c>
      <c r="O458" t="n">
        <v>0</v>
      </c>
      <c r="P458" t="n">
        <v>0</v>
      </c>
      <c r="Q458" t="n">
        <v>0</v>
      </c>
      <c r="R458" s="2" t="inlineStr"/>
    </row>
    <row r="459" ht="15" customHeight="1">
      <c r="A459" t="inlineStr">
        <is>
          <t>A 59177-2023</t>
        </is>
      </c>
      <c r="B459" s="1" t="n">
        <v>45253</v>
      </c>
      <c r="C459" s="1" t="n">
        <v>46081</v>
      </c>
      <c r="D459" t="inlineStr">
        <is>
          <t>DALARNAS LÄN</t>
        </is>
      </c>
      <c r="E459" t="inlineStr">
        <is>
          <t>ÄLVDALEN</t>
        </is>
      </c>
      <c r="G459" t="n">
        <v>0.6</v>
      </c>
      <c r="H459" t="n">
        <v>0</v>
      </c>
      <c r="I459" t="n">
        <v>0</v>
      </c>
      <c r="J459" t="n">
        <v>0</v>
      </c>
      <c r="K459" t="n">
        <v>0</v>
      </c>
      <c r="L459" t="n">
        <v>0</v>
      </c>
      <c r="M459" t="n">
        <v>0</v>
      </c>
      <c r="N459" t="n">
        <v>0</v>
      </c>
      <c r="O459" t="n">
        <v>0</v>
      </c>
      <c r="P459" t="n">
        <v>0</v>
      </c>
      <c r="Q459" t="n">
        <v>0</v>
      </c>
      <c r="R459" s="2" t="inlineStr"/>
    </row>
    <row r="460" ht="15" customHeight="1">
      <c r="A460" t="inlineStr">
        <is>
          <t>A 51442-2025</t>
        </is>
      </c>
      <c r="B460" s="1" t="n">
        <v>45950.57458333333</v>
      </c>
      <c r="C460" s="1" t="n">
        <v>46081</v>
      </c>
      <c r="D460" t="inlineStr">
        <is>
          <t>DALARNAS LÄN</t>
        </is>
      </c>
      <c r="E460" t="inlineStr">
        <is>
          <t>ÄLVDALEN</t>
        </is>
      </c>
      <c r="F460" t="inlineStr">
        <is>
          <t>Bergvik skog väst AB</t>
        </is>
      </c>
      <c r="G460" t="n">
        <v>6.3</v>
      </c>
      <c r="H460" t="n">
        <v>0</v>
      </c>
      <c r="I460" t="n">
        <v>0</v>
      </c>
      <c r="J460" t="n">
        <v>0</v>
      </c>
      <c r="K460" t="n">
        <v>0</v>
      </c>
      <c r="L460" t="n">
        <v>0</v>
      </c>
      <c r="M460" t="n">
        <v>0</v>
      </c>
      <c r="N460" t="n">
        <v>0</v>
      </c>
      <c r="O460" t="n">
        <v>0</v>
      </c>
      <c r="P460" t="n">
        <v>0</v>
      </c>
      <c r="Q460" t="n">
        <v>0</v>
      </c>
      <c r="R460" s="2" t="inlineStr"/>
    </row>
    <row r="461" ht="15" customHeight="1">
      <c r="A461" t="inlineStr">
        <is>
          <t>A 52033-2025</t>
        </is>
      </c>
      <c r="B461" s="1" t="n">
        <v>45952.6122337963</v>
      </c>
      <c r="C461" s="1" t="n">
        <v>46081</v>
      </c>
      <c r="D461" t="inlineStr">
        <is>
          <t>DALARNAS LÄN</t>
        </is>
      </c>
      <c r="E461" t="inlineStr">
        <is>
          <t>ÄLVDALEN</t>
        </is>
      </c>
      <c r="F461" t="inlineStr">
        <is>
          <t>Allmännings- och besparingsskogar</t>
        </is>
      </c>
      <c r="G461" t="n">
        <v>3.5</v>
      </c>
      <c r="H461" t="n">
        <v>0</v>
      </c>
      <c r="I461" t="n">
        <v>0</v>
      </c>
      <c r="J461" t="n">
        <v>0</v>
      </c>
      <c r="K461" t="n">
        <v>0</v>
      </c>
      <c r="L461" t="n">
        <v>0</v>
      </c>
      <c r="M461" t="n">
        <v>0</v>
      </c>
      <c r="N461" t="n">
        <v>0</v>
      </c>
      <c r="O461" t="n">
        <v>0</v>
      </c>
      <c r="P461" t="n">
        <v>0</v>
      </c>
      <c r="Q461" t="n">
        <v>0</v>
      </c>
      <c r="R461" s="2" t="inlineStr"/>
    </row>
    <row r="462" ht="15" customHeight="1">
      <c r="A462" t="inlineStr">
        <is>
          <t>A 51975-2025</t>
        </is>
      </c>
      <c r="B462" s="1" t="n">
        <v>45952</v>
      </c>
      <c r="C462" s="1" t="n">
        <v>46081</v>
      </c>
      <c r="D462" t="inlineStr">
        <is>
          <t>DALARNAS LÄN</t>
        </is>
      </c>
      <c r="E462" t="inlineStr">
        <is>
          <t>ÄLVDALEN</t>
        </is>
      </c>
      <c r="F462" t="inlineStr">
        <is>
          <t>Allmännings- och besparingsskogar</t>
        </is>
      </c>
      <c r="G462" t="n">
        <v>3.5</v>
      </c>
      <c r="H462" t="n">
        <v>0</v>
      </c>
      <c r="I462" t="n">
        <v>0</v>
      </c>
      <c r="J462" t="n">
        <v>0</v>
      </c>
      <c r="K462" t="n">
        <v>0</v>
      </c>
      <c r="L462" t="n">
        <v>0</v>
      </c>
      <c r="M462" t="n">
        <v>0</v>
      </c>
      <c r="N462" t="n">
        <v>0</v>
      </c>
      <c r="O462" t="n">
        <v>0</v>
      </c>
      <c r="P462" t="n">
        <v>0</v>
      </c>
      <c r="Q462" t="n">
        <v>0</v>
      </c>
      <c r="R462" s="2" t="inlineStr"/>
    </row>
    <row r="463" ht="15" customHeight="1">
      <c r="A463" t="inlineStr">
        <is>
          <t>A 52072-2025</t>
        </is>
      </c>
      <c r="B463" s="1" t="n">
        <v>45952.64829861111</v>
      </c>
      <c r="C463" s="1" t="n">
        <v>46081</v>
      </c>
      <c r="D463" t="inlineStr">
        <is>
          <t>DALARNAS LÄN</t>
        </is>
      </c>
      <c r="E463" t="inlineStr">
        <is>
          <t>ÄLVDALEN</t>
        </is>
      </c>
      <c r="F463" t="inlineStr">
        <is>
          <t>Allmännings- och besparingsskogar</t>
        </is>
      </c>
      <c r="G463" t="n">
        <v>54.2</v>
      </c>
      <c r="H463" t="n">
        <v>0</v>
      </c>
      <c r="I463" t="n">
        <v>0</v>
      </c>
      <c r="J463" t="n">
        <v>0</v>
      </c>
      <c r="K463" t="n">
        <v>0</v>
      </c>
      <c r="L463" t="n">
        <v>0</v>
      </c>
      <c r="M463" t="n">
        <v>0</v>
      </c>
      <c r="N463" t="n">
        <v>0</v>
      </c>
      <c r="O463" t="n">
        <v>0</v>
      </c>
      <c r="P463" t="n">
        <v>0</v>
      </c>
      <c r="Q463" t="n">
        <v>0</v>
      </c>
      <c r="R463" s="2" t="inlineStr"/>
    </row>
    <row r="464" ht="15" customHeight="1">
      <c r="A464" t="inlineStr">
        <is>
          <t>A 32237-2025</t>
        </is>
      </c>
      <c r="B464" s="1" t="n">
        <v>45835</v>
      </c>
      <c r="C464" s="1" t="n">
        <v>46081</v>
      </c>
      <c r="D464" t="inlineStr">
        <is>
          <t>DALARNAS LÄN</t>
        </is>
      </c>
      <c r="E464" t="inlineStr">
        <is>
          <t>ÄLVDALEN</t>
        </is>
      </c>
      <c r="G464" t="n">
        <v>4.6</v>
      </c>
      <c r="H464" t="n">
        <v>0</v>
      </c>
      <c r="I464" t="n">
        <v>0</v>
      </c>
      <c r="J464" t="n">
        <v>0</v>
      </c>
      <c r="K464" t="n">
        <v>0</v>
      </c>
      <c r="L464" t="n">
        <v>0</v>
      </c>
      <c r="M464" t="n">
        <v>0</v>
      </c>
      <c r="N464" t="n">
        <v>0</v>
      </c>
      <c r="O464" t="n">
        <v>0</v>
      </c>
      <c r="P464" t="n">
        <v>0</v>
      </c>
      <c r="Q464" t="n">
        <v>0</v>
      </c>
      <c r="R464" s="2" t="inlineStr"/>
    </row>
    <row r="465" ht="15" customHeight="1">
      <c r="A465" t="inlineStr">
        <is>
          <t>A 41158-2024</t>
        </is>
      </c>
      <c r="B465" s="1" t="n">
        <v>45559.47958333333</v>
      </c>
      <c r="C465" s="1" t="n">
        <v>46081</v>
      </c>
      <c r="D465" t="inlineStr">
        <is>
          <t>DALARNAS LÄN</t>
        </is>
      </c>
      <c r="E465" t="inlineStr">
        <is>
          <t>ÄLVDALEN</t>
        </is>
      </c>
      <c r="G465" t="n">
        <v>5.6</v>
      </c>
      <c r="H465" t="n">
        <v>0</v>
      </c>
      <c r="I465" t="n">
        <v>0</v>
      </c>
      <c r="J465" t="n">
        <v>0</v>
      </c>
      <c r="K465" t="n">
        <v>0</v>
      </c>
      <c r="L465" t="n">
        <v>0</v>
      </c>
      <c r="M465" t="n">
        <v>0</v>
      </c>
      <c r="N465" t="n">
        <v>0</v>
      </c>
      <c r="O465" t="n">
        <v>0</v>
      </c>
      <c r="P465" t="n">
        <v>0</v>
      </c>
      <c r="Q465" t="n">
        <v>0</v>
      </c>
      <c r="R465" s="2" t="inlineStr"/>
    </row>
    <row r="466" ht="15" customHeight="1">
      <c r="A466" t="inlineStr">
        <is>
          <t>A 51915-2025</t>
        </is>
      </c>
      <c r="B466" s="1" t="n">
        <v>45952.47706018519</v>
      </c>
      <c r="C466" s="1" t="n">
        <v>46081</v>
      </c>
      <c r="D466" t="inlineStr">
        <is>
          <t>DALARNAS LÄN</t>
        </is>
      </c>
      <c r="E466" t="inlineStr">
        <is>
          <t>ÄLVDALEN</t>
        </is>
      </c>
      <c r="F466" t="inlineStr">
        <is>
          <t>Allmännings- och besparingsskogar</t>
        </is>
      </c>
      <c r="G466" t="n">
        <v>66.7</v>
      </c>
      <c r="H466" t="n">
        <v>0</v>
      </c>
      <c r="I466" t="n">
        <v>0</v>
      </c>
      <c r="J466" t="n">
        <v>0</v>
      </c>
      <c r="K466" t="n">
        <v>0</v>
      </c>
      <c r="L466" t="n">
        <v>0</v>
      </c>
      <c r="M466" t="n">
        <v>0</v>
      </c>
      <c r="N466" t="n">
        <v>0</v>
      </c>
      <c r="O466" t="n">
        <v>0</v>
      </c>
      <c r="P466" t="n">
        <v>0</v>
      </c>
      <c r="Q466" t="n">
        <v>0</v>
      </c>
      <c r="R466" s="2" t="inlineStr"/>
    </row>
    <row r="467" ht="15" customHeight="1">
      <c r="A467" t="inlineStr">
        <is>
          <t>A 52152-2025</t>
        </is>
      </c>
      <c r="B467" s="1" t="n">
        <v>45953.34563657407</v>
      </c>
      <c r="C467" s="1" t="n">
        <v>46081</v>
      </c>
      <c r="D467" t="inlineStr">
        <is>
          <t>DALARNAS LÄN</t>
        </is>
      </c>
      <c r="E467" t="inlineStr">
        <is>
          <t>ÄLVDALEN</t>
        </is>
      </c>
      <c r="F467" t="inlineStr">
        <is>
          <t>Allmännings- och besparingsskogar</t>
        </is>
      </c>
      <c r="G467" t="n">
        <v>22.3</v>
      </c>
      <c r="H467" t="n">
        <v>0</v>
      </c>
      <c r="I467" t="n">
        <v>0</v>
      </c>
      <c r="J467" t="n">
        <v>0</v>
      </c>
      <c r="K467" t="n">
        <v>0</v>
      </c>
      <c r="L467" t="n">
        <v>0</v>
      </c>
      <c r="M467" t="n">
        <v>0</v>
      </c>
      <c r="N467" t="n">
        <v>0</v>
      </c>
      <c r="O467" t="n">
        <v>0</v>
      </c>
      <c r="P467" t="n">
        <v>0</v>
      </c>
      <c r="Q467" t="n">
        <v>0</v>
      </c>
      <c r="R467" s="2" t="inlineStr"/>
    </row>
    <row r="468" ht="15" customHeight="1">
      <c r="A468" t="inlineStr">
        <is>
          <t>A 30985-2023</t>
        </is>
      </c>
      <c r="B468" s="1" t="n">
        <v>45113</v>
      </c>
      <c r="C468" s="1" t="n">
        <v>46081</v>
      </c>
      <c r="D468" t="inlineStr">
        <is>
          <t>DALARNAS LÄN</t>
        </is>
      </c>
      <c r="E468" t="inlineStr">
        <is>
          <t>ÄLVDALEN</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14938-2023</t>
        </is>
      </c>
      <c r="B469" s="1" t="n">
        <v>45015</v>
      </c>
      <c r="C469" s="1" t="n">
        <v>46081</v>
      </c>
      <c r="D469" t="inlineStr">
        <is>
          <t>DALARNAS LÄN</t>
        </is>
      </c>
      <c r="E469" t="inlineStr">
        <is>
          <t>ÄLVDALEN</t>
        </is>
      </c>
      <c r="G469" t="n">
        <v>1.8</v>
      </c>
      <c r="H469" t="n">
        <v>0</v>
      </c>
      <c r="I469" t="n">
        <v>0</v>
      </c>
      <c r="J469" t="n">
        <v>0</v>
      </c>
      <c r="K469" t="n">
        <v>0</v>
      </c>
      <c r="L469" t="n">
        <v>0</v>
      </c>
      <c r="M469" t="n">
        <v>0</v>
      </c>
      <c r="N469" t="n">
        <v>0</v>
      </c>
      <c r="O469" t="n">
        <v>0</v>
      </c>
      <c r="P469" t="n">
        <v>0</v>
      </c>
      <c r="Q469" t="n">
        <v>0</v>
      </c>
      <c r="R469" s="2" t="inlineStr"/>
    </row>
    <row r="470" ht="15" customHeight="1">
      <c r="A470" t="inlineStr">
        <is>
          <t>A 56487-2024</t>
        </is>
      </c>
      <c r="B470" s="1" t="n">
        <v>45625.48621527778</v>
      </c>
      <c r="C470" s="1" t="n">
        <v>46081</v>
      </c>
      <c r="D470" t="inlineStr">
        <is>
          <t>DALARNAS LÄN</t>
        </is>
      </c>
      <c r="E470" t="inlineStr">
        <is>
          <t>ÄLVDALEN</t>
        </is>
      </c>
      <c r="F470" t="inlineStr">
        <is>
          <t>Allmännings- och besparingsskogar</t>
        </is>
      </c>
      <c r="G470" t="n">
        <v>5.6</v>
      </c>
      <c r="H470" t="n">
        <v>0</v>
      </c>
      <c r="I470" t="n">
        <v>0</v>
      </c>
      <c r="J470" t="n">
        <v>0</v>
      </c>
      <c r="K470" t="n">
        <v>0</v>
      </c>
      <c r="L470" t="n">
        <v>0</v>
      </c>
      <c r="M470" t="n">
        <v>0</v>
      </c>
      <c r="N470" t="n">
        <v>0</v>
      </c>
      <c r="O470" t="n">
        <v>0</v>
      </c>
      <c r="P470" t="n">
        <v>0</v>
      </c>
      <c r="Q470" t="n">
        <v>0</v>
      </c>
      <c r="R470" s="2" t="inlineStr"/>
    </row>
    <row r="471" ht="15" customHeight="1">
      <c r="A471" t="inlineStr">
        <is>
          <t>A 60265-2021</t>
        </is>
      </c>
      <c r="B471" s="1" t="n">
        <v>44495.68053240741</v>
      </c>
      <c r="C471" s="1" t="n">
        <v>46081</v>
      </c>
      <c r="D471" t="inlineStr">
        <is>
          <t>DALARNAS LÄN</t>
        </is>
      </c>
      <c r="E471" t="inlineStr">
        <is>
          <t>ÄLVDALEN</t>
        </is>
      </c>
      <c r="F471" t="inlineStr">
        <is>
          <t>Allmännings- och besparingsskogar</t>
        </is>
      </c>
      <c r="G471" t="n">
        <v>10</v>
      </c>
      <c r="H471" t="n">
        <v>0</v>
      </c>
      <c r="I471" t="n">
        <v>0</v>
      </c>
      <c r="J471" t="n">
        <v>0</v>
      </c>
      <c r="K471" t="n">
        <v>0</v>
      </c>
      <c r="L471" t="n">
        <v>0</v>
      </c>
      <c r="M471" t="n">
        <v>0</v>
      </c>
      <c r="N471" t="n">
        <v>0</v>
      </c>
      <c r="O471" t="n">
        <v>0</v>
      </c>
      <c r="P471" t="n">
        <v>0</v>
      </c>
      <c r="Q471" t="n">
        <v>0</v>
      </c>
      <c r="R471" s="2" t="inlineStr"/>
    </row>
    <row r="472" ht="15" customHeight="1">
      <c r="A472" t="inlineStr">
        <is>
          <t>A 5826-2023</t>
        </is>
      </c>
      <c r="B472" s="1" t="n">
        <v>44963.52038194444</v>
      </c>
      <c r="C472" s="1" t="n">
        <v>46081</v>
      </c>
      <c r="D472" t="inlineStr">
        <is>
          <t>DALARNAS LÄN</t>
        </is>
      </c>
      <c r="E472" t="inlineStr">
        <is>
          <t>ÄLVDALEN</t>
        </is>
      </c>
      <c r="G472" t="n">
        <v>1.7</v>
      </c>
      <c r="H472" t="n">
        <v>0</v>
      </c>
      <c r="I472" t="n">
        <v>0</v>
      </c>
      <c r="J472" t="n">
        <v>0</v>
      </c>
      <c r="K472" t="n">
        <v>0</v>
      </c>
      <c r="L472" t="n">
        <v>0</v>
      </c>
      <c r="M472" t="n">
        <v>0</v>
      </c>
      <c r="N472" t="n">
        <v>0</v>
      </c>
      <c r="O472" t="n">
        <v>0</v>
      </c>
      <c r="P472" t="n">
        <v>0</v>
      </c>
      <c r="Q472" t="n">
        <v>0</v>
      </c>
      <c r="R472" s="2" t="inlineStr"/>
    </row>
    <row r="473" ht="15" customHeight="1">
      <c r="A473" t="inlineStr">
        <is>
          <t>A 53319-2025</t>
        </is>
      </c>
      <c r="B473" s="1" t="n">
        <v>45959.35554398148</v>
      </c>
      <c r="C473" s="1" t="n">
        <v>46081</v>
      </c>
      <c r="D473" t="inlineStr">
        <is>
          <t>DALARNAS LÄN</t>
        </is>
      </c>
      <c r="E473" t="inlineStr">
        <is>
          <t>ÄLVDALEN</t>
        </is>
      </c>
      <c r="G473" t="n">
        <v>3.8</v>
      </c>
      <c r="H473" t="n">
        <v>0</v>
      </c>
      <c r="I473" t="n">
        <v>0</v>
      </c>
      <c r="J473" t="n">
        <v>0</v>
      </c>
      <c r="K473" t="n">
        <v>0</v>
      </c>
      <c r="L473" t="n">
        <v>0</v>
      </c>
      <c r="M473" t="n">
        <v>0</v>
      </c>
      <c r="N473" t="n">
        <v>0</v>
      </c>
      <c r="O473" t="n">
        <v>0</v>
      </c>
      <c r="P473" t="n">
        <v>0</v>
      </c>
      <c r="Q473" t="n">
        <v>0</v>
      </c>
      <c r="R473" s="2" t="inlineStr"/>
    </row>
    <row r="474" ht="15" customHeight="1">
      <c r="A474" t="inlineStr">
        <is>
          <t>A 54114-2025</t>
        </is>
      </c>
      <c r="B474" s="1" t="n">
        <v>45964.44096064815</v>
      </c>
      <c r="C474" s="1" t="n">
        <v>46081</v>
      </c>
      <c r="D474" t="inlineStr">
        <is>
          <t>DALARNAS LÄN</t>
        </is>
      </c>
      <c r="E474" t="inlineStr">
        <is>
          <t>ÄLVDALEN</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30987-2023</t>
        </is>
      </c>
      <c r="B475" s="1" t="n">
        <v>45113</v>
      </c>
      <c r="C475" s="1" t="n">
        <v>46081</v>
      </c>
      <c r="D475" t="inlineStr">
        <is>
          <t>DALARNAS LÄN</t>
        </is>
      </c>
      <c r="E475" t="inlineStr">
        <is>
          <t>ÄLVDALEN</t>
        </is>
      </c>
      <c r="F475" t="inlineStr">
        <is>
          <t>Allmännings- och besparingsskogar</t>
        </is>
      </c>
      <c r="G475" t="n">
        <v>3.8</v>
      </c>
      <c r="H475" t="n">
        <v>0</v>
      </c>
      <c r="I475" t="n">
        <v>0</v>
      </c>
      <c r="J475" t="n">
        <v>0</v>
      </c>
      <c r="K475" t="n">
        <v>0</v>
      </c>
      <c r="L475" t="n">
        <v>0</v>
      </c>
      <c r="M475" t="n">
        <v>0</v>
      </c>
      <c r="N475" t="n">
        <v>0</v>
      </c>
      <c r="O475" t="n">
        <v>0</v>
      </c>
      <c r="P475" t="n">
        <v>0</v>
      </c>
      <c r="Q475" t="n">
        <v>0</v>
      </c>
      <c r="R475" s="2" t="inlineStr"/>
    </row>
    <row r="476" ht="15" customHeight="1">
      <c r="A476" t="inlineStr">
        <is>
          <t>A 43039-2025</t>
        </is>
      </c>
      <c r="B476" s="1" t="n">
        <v>45909.55166666667</v>
      </c>
      <c r="C476" s="1" t="n">
        <v>46081</v>
      </c>
      <c r="D476" t="inlineStr">
        <is>
          <t>DALARNAS LÄN</t>
        </is>
      </c>
      <c r="E476" t="inlineStr">
        <is>
          <t>ÄLVDALEN</t>
        </is>
      </c>
      <c r="G476" t="n">
        <v>2.3</v>
      </c>
      <c r="H476" t="n">
        <v>0</v>
      </c>
      <c r="I476" t="n">
        <v>0</v>
      </c>
      <c r="J476" t="n">
        <v>0</v>
      </c>
      <c r="K476" t="n">
        <v>0</v>
      </c>
      <c r="L476" t="n">
        <v>0</v>
      </c>
      <c r="M476" t="n">
        <v>0</v>
      </c>
      <c r="N476" t="n">
        <v>0</v>
      </c>
      <c r="O476" t="n">
        <v>0</v>
      </c>
      <c r="P476" t="n">
        <v>0</v>
      </c>
      <c r="Q476" t="n">
        <v>0</v>
      </c>
      <c r="R476" s="2" t="inlineStr"/>
    </row>
    <row r="477" ht="15" customHeight="1">
      <c r="A477" t="inlineStr">
        <is>
          <t>A 47080-2024</t>
        </is>
      </c>
      <c r="B477" s="1" t="n">
        <v>45586.50578703704</v>
      </c>
      <c r="C477" s="1" t="n">
        <v>46081</v>
      </c>
      <c r="D477" t="inlineStr">
        <is>
          <t>DALARNAS LÄN</t>
        </is>
      </c>
      <c r="E477" t="inlineStr">
        <is>
          <t>ÄLVDALEN</t>
        </is>
      </c>
      <c r="G477" t="n">
        <v>0.9</v>
      </c>
      <c r="H477" t="n">
        <v>0</v>
      </c>
      <c r="I477" t="n">
        <v>0</v>
      </c>
      <c r="J477" t="n">
        <v>0</v>
      </c>
      <c r="K477" t="n">
        <v>0</v>
      </c>
      <c r="L477" t="n">
        <v>0</v>
      </c>
      <c r="M477" t="n">
        <v>0</v>
      </c>
      <c r="N477" t="n">
        <v>0</v>
      </c>
      <c r="O477" t="n">
        <v>0</v>
      </c>
      <c r="P477" t="n">
        <v>0</v>
      </c>
      <c r="Q477" t="n">
        <v>0</v>
      </c>
      <c r="R477" s="2" t="inlineStr"/>
    </row>
    <row r="478" ht="15" customHeight="1">
      <c r="A478" t="inlineStr">
        <is>
          <t>A 2377-2024</t>
        </is>
      </c>
      <c r="B478" s="1" t="n">
        <v>45310.63633101852</v>
      </c>
      <c r="C478" s="1" t="n">
        <v>46081</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2384-2024</t>
        </is>
      </c>
      <c r="B479" s="1" t="n">
        <v>45310.65099537037</v>
      </c>
      <c r="C479" s="1" t="n">
        <v>46081</v>
      </c>
      <c r="D479" t="inlineStr">
        <is>
          <t>DALARNAS LÄN</t>
        </is>
      </c>
      <c r="E479" t="inlineStr">
        <is>
          <t>ÄLVDALEN</t>
        </is>
      </c>
      <c r="G479" t="n">
        <v>2.7</v>
      </c>
      <c r="H479" t="n">
        <v>0</v>
      </c>
      <c r="I479" t="n">
        <v>0</v>
      </c>
      <c r="J479" t="n">
        <v>0</v>
      </c>
      <c r="K479" t="n">
        <v>0</v>
      </c>
      <c r="L479" t="n">
        <v>0</v>
      </c>
      <c r="M479" t="n">
        <v>0</v>
      </c>
      <c r="N479" t="n">
        <v>0</v>
      </c>
      <c r="O479" t="n">
        <v>0</v>
      </c>
      <c r="P479" t="n">
        <v>0</v>
      </c>
      <c r="Q479" t="n">
        <v>0</v>
      </c>
      <c r="R479" s="2" t="inlineStr"/>
    </row>
    <row r="480" ht="15" customHeight="1">
      <c r="A480" t="inlineStr">
        <is>
          <t>A 5883-2024</t>
        </is>
      </c>
      <c r="B480" s="1" t="n">
        <v>45335.69585648148</v>
      </c>
      <c r="C480" s="1" t="n">
        <v>46081</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55176-2025</t>
        </is>
      </c>
      <c r="B481" s="1" t="n">
        <v>45968.51841435185</v>
      </c>
      <c r="C481" s="1" t="n">
        <v>46081</v>
      </c>
      <c r="D481" t="inlineStr">
        <is>
          <t>DALARNAS LÄN</t>
        </is>
      </c>
      <c r="E481" t="inlineStr">
        <is>
          <t>ÄLVDALEN</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63079-2021</t>
        </is>
      </c>
      <c r="B482" s="1" t="n">
        <v>44505.56753472222</v>
      </c>
      <c r="C482" s="1" t="n">
        <v>46081</v>
      </c>
      <c r="D482" t="inlineStr">
        <is>
          <t>DALARNAS LÄN</t>
        </is>
      </c>
      <c r="E482" t="inlineStr">
        <is>
          <t>ÄLVDALEN</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74324-2021</t>
        </is>
      </c>
      <c r="B483" s="1" t="n">
        <v>44558</v>
      </c>
      <c r="C483" s="1" t="n">
        <v>46081</v>
      </c>
      <c r="D483" t="inlineStr">
        <is>
          <t>DALARNAS LÄN</t>
        </is>
      </c>
      <c r="E483" t="inlineStr">
        <is>
          <t>ÄLVDALEN</t>
        </is>
      </c>
      <c r="G483" t="n">
        <v>1.2</v>
      </c>
      <c r="H483" t="n">
        <v>0</v>
      </c>
      <c r="I483" t="n">
        <v>0</v>
      </c>
      <c r="J483" t="n">
        <v>0</v>
      </c>
      <c r="K483" t="n">
        <v>0</v>
      </c>
      <c r="L483" t="n">
        <v>0</v>
      </c>
      <c r="M483" t="n">
        <v>0</v>
      </c>
      <c r="N483" t="n">
        <v>0</v>
      </c>
      <c r="O483" t="n">
        <v>0</v>
      </c>
      <c r="P483" t="n">
        <v>0</v>
      </c>
      <c r="Q483" t="n">
        <v>0</v>
      </c>
      <c r="R483" s="2" t="inlineStr"/>
    </row>
    <row r="484" ht="15" customHeight="1">
      <c r="A484" t="inlineStr">
        <is>
          <t>A 55919-2025</t>
        </is>
      </c>
      <c r="B484" s="1" t="n">
        <v>45973.41636574074</v>
      </c>
      <c r="C484" s="1" t="n">
        <v>46081</v>
      </c>
      <c r="D484" t="inlineStr">
        <is>
          <t>DALARNAS LÄN</t>
        </is>
      </c>
      <c r="E484" t="inlineStr">
        <is>
          <t>ÄLVDALEN</t>
        </is>
      </c>
      <c r="F484" t="inlineStr">
        <is>
          <t>Övriga statliga verk och myndigheter</t>
        </is>
      </c>
      <c r="G484" t="n">
        <v>0.6</v>
      </c>
      <c r="H484" t="n">
        <v>0</v>
      </c>
      <c r="I484" t="n">
        <v>0</v>
      </c>
      <c r="J484" t="n">
        <v>0</v>
      </c>
      <c r="K484" t="n">
        <v>0</v>
      </c>
      <c r="L484" t="n">
        <v>0</v>
      </c>
      <c r="M484" t="n">
        <v>0</v>
      </c>
      <c r="N484" t="n">
        <v>0</v>
      </c>
      <c r="O484" t="n">
        <v>0</v>
      </c>
      <c r="P484" t="n">
        <v>0</v>
      </c>
      <c r="Q484" t="n">
        <v>0</v>
      </c>
      <c r="R484" s="2" t="inlineStr"/>
    </row>
    <row r="485" ht="15" customHeight="1">
      <c r="A485" t="inlineStr">
        <is>
          <t>A 55924-2025</t>
        </is>
      </c>
      <c r="B485" s="1" t="n">
        <v>45973.42548611111</v>
      </c>
      <c r="C485" s="1" t="n">
        <v>46081</v>
      </c>
      <c r="D485" t="inlineStr">
        <is>
          <t>DALARNAS LÄN</t>
        </is>
      </c>
      <c r="E485" t="inlineStr">
        <is>
          <t>ÄLVDALEN</t>
        </is>
      </c>
      <c r="F485" t="inlineStr">
        <is>
          <t>Övriga statliga verk och myndigheter</t>
        </is>
      </c>
      <c r="G485" t="n">
        <v>1.1</v>
      </c>
      <c r="H485" t="n">
        <v>0</v>
      </c>
      <c r="I485" t="n">
        <v>0</v>
      </c>
      <c r="J485" t="n">
        <v>0</v>
      </c>
      <c r="K485" t="n">
        <v>0</v>
      </c>
      <c r="L485" t="n">
        <v>0</v>
      </c>
      <c r="M485" t="n">
        <v>0</v>
      </c>
      <c r="N485" t="n">
        <v>0</v>
      </c>
      <c r="O485" t="n">
        <v>0</v>
      </c>
      <c r="P485" t="n">
        <v>0</v>
      </c>
      <c r="Q485" t="n">
        <v>0</v>
      </c>
      <c r="R485" s="2" t="inlineStr"/>
    </row>
    <row r="486" ht="15" customHeight="1">
      <c r="A486" t="inlineStr">
        <is>
          <t>A 56252-2025</t>
        </is>
      </c>
      <c r="B486" s="1" t="n">
        <v>45974.56061342593</v>
      </c>
      <c r="C486" s="1" t="n">
        <v>46081</v>
      </c>
      <c r="D486" t="inlineStr">
        <is>
          <t>DALARNAS LÄN</t>
        </is>
      </c>
      <c r="E486" t="inlineStr">
        <is>
          <t>ÄLVDALEN</t>
        </is>
      </c>
      <c r="G486" t="n">
        <v>1.4</v>
      </c>
      <c r="H486" t="n">
        <v>0</v>
      </c>
      <c r="I486" t="n">
        <v>0</v>
      </c>
      <c r="J486" t="n">
        <v>0</v>
      </c>
      <c r="K486" t="n">
        <v>0</v>
      </c>
      <c r="L486" t="n">
        <v>0</v>
      </c>
      <c r="M486" t="n">
        <v>0</v>
      </c>
      <c r="N486" t="n">
        <v>0</v>
      </c>
      <c r="O486" t="n">
        <v>0</v>
      </c>
      <c r="P486" t="n">
        <v>0</v>
      </c>
      <c r="Q486" t="n">
        <v>0</v>
      </c>
      <c r="R486" s="2" t="inlineStr"/>
    </row>
    <row r="487" ht="15" customHeight="1">
      <c r="A487" t="inlineStr">
        <is>
          <t>A 47525-2024</t>
        </is>
      </c>
      <c r="B487" s="1" t="n">
        <v>45587.6328587963</v>
      </c>
      <c r="C487" s="1" t="n">
        <v>46081</v>
      </c>
      <c r="D487" t="inlineStr">
        <is>
          <t>DALARNAS LÄN</t>
        </is>
      </c>
      <c r="E487" t="inlineStr">
        <is>
          <t>ÄLVDALEN</t>
        </is>
      </c>
      <c r="F487" t="inlineStr">
        <is>
          <t>Bergvik skog väst AB</t>
        </is>
      </c>
      <c r="G487" t="n">
        <v>4.6</v>
      </c>
      <c r="H487" t="n">
        <v>0</v>
      </c>
      <c r="I487" t="n">
        <v>0</v>
      </c>
      <c r="J487" t="n">
        <v>0</v>
      </c>
      <c r="K487" t="n">
        <v>0</v>
      </c>
      <c r="L487" t="n">
        <v>0</v>
      </c>
      <c r="M487" t="n">
        <v>0</v>
      </c>
      <c r="N487" t="n">
        <v>0</v>
      </c>
      <c r="O487" t="n">
        <v>0</v>
      </c>
      <c r="P487" t="n">
        <v>0</v>
      </c>
      <c r="Q487" t="n">
        <v>0</v>
      </c>
      <c r="R487" s="2" t="inlineStr"/>
    </row>
    <row r="488" ht="15" customHeight="1">
      <c r="A488" t="inlineStr">
        <is>
          <t>A 34835-2023</t>
        </is>
      </c>
      <c r="B488" s="1" t="n">
        <v>45141</v>
      </c>
      <c r="C488" s="1" t="n">
        <v>46081</v>
      </c>
      <c r="D488" t="inlineStr">
        <is>
          <t>DALARNAS LÄN</t>
        </is>
      </c>
      <c r="E488" t="inlineStr">
        <is>
          <t>ÄLVDALEN</t>
        </is>
      </c>
      <c r="G488" t="n">
        <v>3.4</v>
      </c>
      <c r="H488" t="n">
        <v>0</v>
      </c>
      <c r="I488" t="n">
        <v>0</v>
      </c>
      <c r="J488" t="n">
        <v>0</v>
      </c>
      <c r="K488" t="n">
        <v>0</v>
      </c>
      <c r="L488" t="n">
        <v>0</v>
      </c>
      <c r="M488" t="n">
        <v>0</v>
      </c>
      <c r="N488" t="n">
        <v>0</v>
      </c>
      <c r="O488" t="n">
        <v>0</v>
      </c>
      <c r="P488" t="n">
        <v>0</v>
      </c>
      <c r="Q488" t="n">
        <v>0</v>
      </c>
      <c r="R488" s="2" t="inlineStr"/>
    </row>
    <row r="489" ht="15" customHeight="1">
      <c r="A489" t="inlineStr">
        <is>
          <t>A 629-2025</t>
        </is>
      </c>
      <c r="B489" s="1" t="n">
        <v>45660</v>
      </c>
      <c r="C489" s="1" t="n">
        <v>46081</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56501-2025</t>
        </is>
      </c>
      <c r="B490" s="1" t="n">
        <v>45975.43454861111</v>
      </c>
      <c r="C490" s="1" t="n">
        <v>46081</v>
      </c>
      <c r="D490" t="inlineStr">
        <is>
          <t>DALARNAS LÄN</t>
        </is>
      </c>
      <c r="E490" t="inlineStr">
        <is>
          <t>ÄLVDALEN</t>
        </is>
      </c>
      <c r="G490" t="n">
        <v>14.9</v>
      </c>
      <c r="H490" t="n">
        <v>0</v>
      </c>
      <c r="I490" t="n">
        <v>0</v>
      </c>
      <c r="J490" t="n">
        <v>0</v>
      </c>
      <c r="K490" t="n">
        <v>0</v>
      </c>
      <c r="L490" t="n">
        <v>0</v>
      </c>
      <c r="M490" t="n">
        <v>0</v>
      </c>
      <c r="N490" t="n">
        <v>0</v>
      </c>
      <c r="O490" t="n">
        <v>0</v>
      </c>
      <c r="P490" t="n">
        <v>0</v>
      </c>
      <c r="Q490" t="n">
        <v>0</v>
      </c>
      <c r="R490" s="2" t="inlineStr"/>
    </row>
    <row r="491" ht="15" customHeight="1">
      <c r="A491" t="inlineStr">
        <is>
          <t>A 17051-2023</t>
        </is>
      </c>
      <c r="B491" s="1" t="n">
        <v>45034</v>
      </c>
      <c r="C491" s="1" t="n">
        <v>46081</v>
      </c>
      <c r="D491" t="inlineStr">
        <is>
          <t>DALARNAS LÄN</t>
        </is>
      </c>
      <c r="E491" t="inlineStr">
        <is>
          <t>ÄLVDALEN</t>
        </is>
      </c>
      <c r="G491" t="n">
        <v>4.2</v>
      </c>
      <c r="H491" t="n">
        <v>0</v>
      </c>
      <c r="I491" t="n">
        <v>0</v>
      </c>
      <c r="J491" t="n">
        <v>0</v>
      </c>
      <c r="K491" t="n">
        <v>0</v>
      </c>
      <c r="L491" t="n">
        <v>0</v>
      </c>
      <c r="M491" t="n">
        <v>0</v>
      </c>
      <c r="N491" t="n">
        <v>0</v>
      </c>
      <c r="O491" t="n">
        <v>0</v>
      </c>
      <c r="P491" t="n">
        <v>0</v>
      </c>
      <c r="Q491" t="n">
        <v>0</v>
      </c>
      <c r="R491" s="2" t="inlineStr"/>
    </row>
    <row r="492" ht="15" customHeight="1">
      <c r="A492" t="inlineStr">
        <is>
          <t>A 57510-2025</t>
        </is>
      </c>
      <c r="B492" s="1" t="n">
        <v>45980.60502314815</v>
      </c>
      <c r="C492" s="1" t="n">
        <v>46081</v>
      </c>
      <c r="D492" t="inlineStr">
        <is>
          <t>DALARNAS LÄN</t>
        </is>
      </c>
      <c r="E492" t="inlineStr">
        <is>
          <t>ÄLVDALEN</t>
        </is>
      </c>
      <c r="G492" t="n">
        <v>2.1</v>
      </c>
      <c r="H492" t="n">
        <v>0</v>
      </c>
      <c r="I492" t="n">
        <v>0</v>
      </c>
      <c r="J492" t="n">
        <v>0</v>
      </c>
      <c r="K492" t="n">
        <v>0</v>
      </c>
      <c r="L492" t="n">
        <v>0</v>
      </c>
      <c r="M492" t="n">
        <v>0</v>
      </c>
      <c r="N492" t="n">
        <v>0</v>
      </c>
      <c r="O492" t="n">
        <v>0</v>
      </c>
      <c r="P492" t="n">
        <v>0</v>
      </c>
      <c r="Q492" t="n">
        <v>0</v>
      </c>
      <c r="R492" s="2" t="inlineStr"/>
    </row>
    <row r="493" ht="15" customHeight="1">
      <c r="A493" t="inlineStr">
        <is>
          <t>A 47666-2024</t>
        </is>
      </c>
      <c r="B493" s="1" t="n">
        <v>45588.39283564815</v>
      </c>
      <c r="C493" s="1" t="n">
        <v>46081</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47071-2023</t>
        </is>
      </c>
      <c r="B494" s="1" t="n">
        <v>45201.60141203704</v>
      </c>
      <c r="C494" s="1" t="n">
        <v>46081</v>
      </c>
      <c r="D494" t="inlineStr">
        <is>
          <t>DALARNAS LÄN</t>
        </is>
      </c>
      <c r="E494" t="inlineStr">
        <is>
          <t>ÄLVDALEN</t>
        </is>
      </c>
      <c r="F494" t="inlineStr">
        <is>
          <t>Bergvik skog väst AB</t>
        </is>
      </c>
      <c r="G494" t="n">
        <v>2.6</v>
      </c>
      <c r="H494" t="n">
        <v>0</v>
      </c>
      <c r="I494" t="n">
        <v>0</v>
      </c>
      <c r="J494" t="n">
        <v>0</v>
      </c>
      <c r="K494" t="n">
        <v>0</v>
      </c>
      <c r="L494" t="n">
        <v>0</v>
      </c>
      <c r="M494" t="n">
        <v>0</v>
      </c>
      <c r="N494" t="n">
        <v>0</v>
      </c>
      <c r="O494" t="n">
        <v>0</v>
      </c>
      <c r="P494" t="n">
        <v>0</v>
      </c>
      <c r="Q494" t="n">
        <v>0</v>
      </c>
      <c r="R494" s="2" t="inlineStr"/>
    </row>
    <row r="495" ht="15" customHeight="1">
      <c r="A495" t="inlineStr">
        <is>
          <t>A 57980-2025</t>
        </is>
      </c>
      <c r="B495" s="1" t="n">
        <v>45982.40280092593</v>
      </c>
      <c r="C495" s="1" t="n">
        <v>46081</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50056-2024</t>
        </is>
      </c>
      <c r="B496" s="1" t="n">
        <v>45600.34134259259</v>
      </c>
      <c r="C496" s="1" t="n">
        <v>46081</v>
      </c>
      <c r="D496" t="inlineStr">
        <is>
          <t>DALARNAS LÄN</t>
        </is>
      </c>
      <c r="E496" t="inlineStr">
        <is>
          <t>ÄLVDALEN</t>
        </is>
      </c>
      <c r="G496" t="n">
        <v>1.5</v>
      </c>
      <c r="H496" t="n">
        <v>0</v>
      </c>
      <c r="I496" t="n">
        <v>0</v>
      </c>
      <c r="J496" t="n">
        <v>0</v>
      </c>
      <c r="K496" t="n">
        <v>0</v>
      </c>
      <c r="L496" t="n">
        <v>0</v>
      </c>
      <c r="M496" t="n">
        <v>0</v>
      </c>
      <c r="N496" t="n">
        <v>0</v>
      </c>
      <c r="O496" t="n">
        <v>0</v>
      </c>
      <c r="P496" t="n">
        <v>0</v>
      </c>
      <c r="Q496" t="n">
        <v>0</v>
      </c>
      <c r="R496" s="2" t="inlineStr"/>
    </row>
    <row r="497" ht="15" customHeight="1">
      <c r="A497" t="inlineStr">
        <is>
          <t>A 62314-2022</t>
        </is>
      </c>
      <c r="B497" s="1" t="n">
        <v>44916</v>
      </c>
      <c r="C497" s="1" t="n">
        <v>46081</v>
      </c>
      <c r="D497" t="inlineStr">
        <is>
          <t>DALARNAS LÄN</t>
        </is>
      </c>
      <c r="E497" t="inlineStr">
        <is>
          <t>ÄLVDALEN</t>
        </is>
      </c>
      <c r="G497" t="n">
        <v>2.7</v>
      </c>
      <c r="H497" t="n">
        <v>0</v>
      </c>
      <c r="I497" t="n">
        <v>0</v>
      </c>
      <c r="J497" t="n">
        <v>0</v>
      </c>
      <c r="K497" t="n">
        <v>0</v>
      </c>
      <c r="L497" t="n">
        <v>0</v>
      </c>
      <c r="M497" t="n">
        <v>0</v>
      </c>
      <c r="N497" t="n">
        <v>0</v>
      </c>
      <c r="O497" t="n">
        <v>0</v>
      </c>
      <c r="P497" t="n">
        <v>0</v>
      </c>
      <c r="Q497" t="n">
        <v>0</v>
      </c>
      <c r="R497" s="2" t="inlineStr"/>
    </row>
    <row r="498" ht="15" customHeight="1">
      <c r="A498" t="inlineStr">
        <is>
          <t>A 47751-2024</t>
        </is>
      </c>
      <c r="B498" s="1" t="n">
        <v>45588.53628472222</v>
      </c>
      <c r="C498" s="1" t="n">
        <v>46081</v>
      </c>
      <c r="D498" t="inlineStr">
        <is>
          <t>DALARNAS LÄN</t>
        </is>
      </c>
      <c r="E498" t="inlineStr">
        <is>
          <t>ÄLVDALEN</t>
        </is>
      </c>
      <c r="G498" t="n">
        <v>0.6</v>
      </c>
      <c r="H498" t="n">
        <v>0</v>
      </c>
      <c r="I498" t="n">
        <v>0</v>
      </c>
      <c r="J498" t="n">
        <v>0</v>
      </c>
      <c r="K498" t="n">
        <v>0</v>
      </c>
      <c r="L498" t="n">
        <v>0</v>
      </c>
      <c r="M498" t="n">
        <v>0</v>
      </c>
      <c r="N498" t="n">
        <v>0</v>
      </c>
      <c r="O498" t="n">
        <v>0</v>
      </c>
      <c r="P498" t="n">
        <v>0</v>
      </c>
      <c r="Q498" t="n">
        <v>0</v>
      </c>
      <c r="R498" s="2" t="inlineStr"/>
    </row>
    <row r="499" ht="15" customHeight="1">
      <c r="A499" t="inlineStr">
        <is>
          <t>A 32352-2023</t>
        </is>
      </c>
      <c r="B499" s="1" t="n">
        <v>45120</v>
      </c>
      <c r="C499" s="1" t="n">
        <v>46081</v>
      </c>
      <c r="D499" t="inlineStr">
        <is>
          <t>DALARNAS LÄN</t>
        </is>
      </c>
      <c r="E499" t="inlineStr">
        <is>
          <t>ÄLVDALEN</t>
        </is>
      </c>
      <c r="G499" t="n">
        <v>2</v>
      </c>
      <c r="H499" t="n">
        <v>0</v>
      </c>
      <c r="I499" t="n">
        <v>0</v>
      </c>
      <c r="J499" t="n">
        <v>0</v>
      </c>
      <c r="K499" t="n">
        <v>0</v>
      </c>
      <c r="L499" t="n">
        <v>0</v>
      </c>
      <c r="M499" t="n">
        <v>0</v>
      </c>
      <c r="N499" t="n">
        <v>0</v>
      </c>
      <c r="O499" t="n">
        <v>0</v>
      </c>
      <c r="P499" t="n">
        <v>0</v>
      </c>
      <c r="Q499" t="n">
        <v>0</v>
      </c>
      <c r="R499" s="2" t="inlineStr"/>
    </row>
    <row r="500" ht="15" customHeight="1">
      <c r="A500" t="inlineStr">
        <is>
          <t>A 58739-2025</t>
        </is>
      </c>
      <c r="B500" s="1" t="n">
        <v>45986.63236111111</v>
      </c>
      <c r="C500" s="1" t="n">
        <v>46081</v>
      </c>
      <c r="D500" t="inlineStr">
        <is>
          <t>DALARNAS LÄN</t>
        </is>
      </c>
      <c r="E500" t="inlineStr">
        <is>
          <t>ÄLVDALEN</t>
        </is>
      </c>
      <c r="F500" t="inlineStr">
        <is>
          <t>Övriga statliga verk och myndigheter</t>
        </is>
      </c>
      <c r="G500" t="n">
        <v>0.5</v>
      </c>
      <c r="H500" t="n">
        <v>0</v>
      </c>
      <c r="I500" t="n">
        <v>0</v>
      </c>
      <c r="J500" t="n">
        <v>0</v>
      </c>
      <c r="K500" t="n">
        <v>0</v>
      </c>
      <c r="L500" t="n">
        <v>0</v>
      </c>
      <c r="M500" t="n">
        <v>0</v>
      </c>
      <c r="N500" t="n">
        <v>0</v>
      </c>
      <c r="O500" t="n">
        <v>0</v>
      </c>
      <c r="P500" t="n">
        <v>0</v>
      </c>
      <c r="Q500" t="n">
        <v>0</v>
      </c>
      <c r="R500" s="2" t="inlineStr"/>
    </row>
    <row r="501" ht="15" customHeight="1">
      <c r="A501" t="inlineStr">
        <is>
          <t>A 47877-2023</t>
        </is>
      </c>
      <c r="B501" s="1" t="n">
        <v>45204</v>
      </c>
      <c r="C501" s="1" t="n">
        <v>46081</v>
      </c>
      <c r="D501" t="inlineStr">
        <is>
          <t>DALARNAS LÄN</t>
        </is>
      </c>
      <c r="E501" t="inlineStr">
        <is>
          <t>ÄLVDALEN</t>
        </is>
      </c>
      <c r="G501" t="n">
        <v>4.8</v>
      </c>
      <c r="H501" t="n">
        <v>0</v>
      </c>
      <c r="I501" t="n">
        <v>0</v>
      </c>
      <c r="J501" t="n">
        <v>0</v>
      </c>
      <c r="K501" t="n">
        <v>0</v>
      </c>
      <c r="L501" t="n">
        <v>0</v>
      </c>
      <c r="M501" t="n">
        <v>0</v>
      </c>
      <c r="N501" t="n">
        <v>0</v>
      </c>
      <c r="O501" t="n">
        <v>0</v>
      </c>
      <c r="P501" t="n">
        <v>0</v>
      </c>
      <c r="Q501" t="n">
        <v>0</v>
      </c>
      <c r="R501" s="2" t="inlineStr"/>
    </row>
    <row r="502" ht="15" customHeight="1">
      <c r="A502" t="inlineStr">
        <is>
          <t>A 59256-2025</t>
        </is>
      </c>
      <c r="B502" s="1" t="n">
        <v>45988.65612268518</v>
      </c>
      <c r="C502" s="1" t="n">
        <v>46081</v>
      </c>
      <c r="D502" t="inlineStr">
        <is>
          <t>DALARNAS LÄN</t>
        </is>
      </c>
      <c r="E502" t="inlineStr">
        <is>
          <t>ÄLVDALEN</t>
        </is>
      </c>
      <c r="G502" t="n">
        <v>1.2</v>
      </c>
      <c r="H502" t="n">
        <v>0</v>
      </c>
      <c r="I502" t="n">
        <v>0</v>
      </c>
      <c r="J502" t="n">
        <v>0</v>
      </c>
      <c r="K502" t="n">
        <v>0</v>
      </c>
      <c r="L502" t="n">
        <v>0</v>
      </c>
      <c r="M502" t="n">
        <v>0</v>
      </c>
      <c r="N502" t="n">
        <v>0</v>
      </c>
      <c r="O502" t="n">
        <v>0</v>
      </c>
      <c r="P502" t="n">
        <v>0</v>
      </c>
      <c r="Q502" t="n">
        <v>0</v>
      </c>
      <c r="R502" s="2" t="inlineStr"/>
    </row>
    <row r="503" ht="15" customHeight="1">
      <c r="A503" t="inlineStr">
        <is>
          <t>A 59234-2025</t>
        </is>
      </c>
      <c r="B503" s="1" t="n">
        <v>45988.62946759259</v>
      </c>
      <c r="C503" s="1" t="n">
        <v>46081</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33107-2023</t>
        </is>
      </c>
      <c r="B504" s="1" t="n">
        <v>45114</v>
      </c>
      <c r="C504" s="1" t="n">
        <v>46081</v>
      </c>
      <c r="D504" t="inlineStr">
        <is>
          <t>DALARNAS LÄN</t>
        </is>
      </c>
      <c r="E504" t="inlineStr">
        <is>
          <t>ÄLVDALEN</t>
        </is>
      </c>
      <c r="G504" t="n">
        <v>0.9</v>
      </c>
      <c r="H504" t="n">
        <v>0</v>
      </c>
      <c r="I504" t="n">
        <v>0</v>
      </c>
      <c r="J504" t="n">
        <v>0</v>
      </c>
      <c r="K504" t="n">
        <v>0</v>
      </c>
      <c r="L504" t="n">
        <v>0</v>
      </c>
      <c r="M504" t="n">
        <v>0</v>
      </c>
      <c r="N504" t="n">
        <v>0</v>
      </c>
      <c r="O504" t="n">
        <v>0</v>
      </c>
      <c r="P504" t="n">
        <v>0</v>
      </c>
      <c r="Q504" t="n">
        <v>0</v>
      </c>
      <c r="R504" s="2" t="inlineStr"/>
    </row>
    <row r="505" ht="15" customHeight="1">
      <c r="A505" t="inlineStr">
        <is>
          <t>A 713-2022</t>
        </is>
      </c>
      <c r="B505" s="1" t="n">
        <v>44568</v>
      </c>
      <c r="C505" s="1" t="n">
        <v>46081</v>
      </c>
      <c r="D505" t="inlineStr">
        <is>
          <t>DALARNAS LÄN</t>
        </is>
      </c>
      <c r="E505" t="inlineStr">
        <is>
          <t>ÄLVDALEN</t>
        </is>
      </c>
      <c r="G505" t="n">
        <v>1.6</v>
      </c>
      <c r="H505" t="n">
        <v>0</v>
      </c>
      <c r="I505" t="n">
        <v>0</v>
      </c>
      <c r="J505" t="n">
        <v>0</v>
      </c>
      <c r="K505" t="n">
        <v>0</v>
      </c>
      <c r="L505" t="n">
        <v>0</v>
      </c>
      <c r="M505" t="n">
        <v>0</v>
      </c>
      <c r="N505" t="n">
        <v>0</v>
      </c>
      <c r="O505" t="n">
        <v>0</v>
      </c>
      <c r="P505" t="n">
        <v>0</v>
      </c>
      <c r="Q505" t="n">
        <v>0</v>
      </c>
      <c r="R505" s="2" t="inlineStr"/>
    </row>
    <row r="506" ht="15" customHeight="1">
      <c r="A506" t="inlineStr">
        <is>
          <t>A 59478-2024</t>
        </is>
      </c>
      <c r="B506" s="1" t="n">
        <v>45638.52181712963</v>
      </c>
      <c r="C506" s="1" t="n">
        <v>46081</v>
      </c>
      <c r="D506" t="inlineStr">
        <is>
          <t>DALARNAS LÄN</t>
        </is>
      </c>
      <c r="E506" t="inlineStr">
        <is>
          <t>ÄLVDALEN</t>
        </is>
      </c>
      <c r="F506" t="inlineStr">
        <is>
          <t>Allmännings- och besparingsskogar</t>
        </is>
      </c>
      <c r="G506" t="n">
        <v>6.9</v>
      </c>
      <c r="H506" t="n">
        <v>0</v>
      </c>
      <c r="I506" t="n">
        <v>0</v>
      </c>
      <c r="J506" t="n">
        <v>0</v>
      </c>
      <c r="K506" t="n">
        <v>0</v>
      </c>
      <c r="L506" t="n">
        <v>0</v>
      </c>
      <c r="M506" t="n">
        <v>0</v>
      </c>
      <c r="N506" t="n">
        <v>0</v>
      </c>
      <c r="O506" t="n">
        <v>0</v>
      </c>
      <c r="P506" t="n">
        <v>0</v>
      </c>
      <c r="Q506" t="n">
        <v>0</v>
      </c>
      <c r="R506" s="2" t="inlineStr"/>
    </row>
    <row r="507" ht="15" customHeight="1">
      <c r="A507" t="inlineStr">
        <is>
          <t>A 59250-2025</t>
        </is>
      </c>
      <c r="B507" s="1" t="n">
        <v>45988.65004629629</v>
      </c>
      <c r="C507" s="1" t="n">
        <v>46081</v>
      </c>
      <c r="D507" t="inlineStr">
        <is>
          <t>DALARNAS LÄN</t>
        </is>
      </c>
      <c r="E507" t="inlineStr">
        <is>
          <t>ÄLVDALEN</t>
        </is>
      </c>
      <c r="G507" t="n">
        <v>1.8</v>
      </c>
      <c r="H507" t="n">
        <v>0</v>
      </c>
      <c r="I507" t="n">
        <v>0</v>
      </c>
      <c r="J507" t="n">
        <v>0</v>
      </c>
      <c r="K507" t="n">
        <v>0</v>
      </c>
      <c r="L507" t="n">
        <v>0</v>
      </c>
      <c r="M507" t="n">
        <v>0</v>
      </c>
      <c r="N507" t="n">
        <v>0</v>
      </c>
      <c r="O507" t="n">
        <v>0</v>
      </c>
      <c r="P507" t="n">
        <v>0</v>
      </c>
      <c r="Q507" t="n">
        <v>0</v>
      </c>
      <c r="R507" s="2" t="inlineStr"/>
    </row>
    <row r="508" ht="15" customHeight="1">
      <c r="A508" t="inlineStr">
        <is>
          <t>A 32187-2024</t>
        </is>
      </c>
      <c r="B508" s="1" t="n">
        <v>45511.64925925926</v>
      </c>
      <c r="C508" s="1" t="n">
        <v>46081</v>
      </c>
      <c r="D508" t="inlineStr">
        <is>
          <t>DALARNAS LÄN</t>
        </is>
      </c>
      <c r="E508" t="inlineStr">
        <is>
          <t>ÄLVDALEN</t>
        </is>
      </c>
      <c r="F508" t="inlineStr">
        <is>
          <t>Allmännings- och besparingsskogar</t>
        </is>
      </c>
      <c r="G508" t="n">
        <v>20</v>
      </c>
      <c r="H508" t="n">
        <v>0</v>
      </c>
      <c r="I508" t="n">
        <v>0</v>
      </c>
      <c r="J508" t="n">
        <v>0</v>
      </c>
      <c r="K508" t="n">
        <v>0</v>
      </c>
      <c r="L508" t="n">
        <v>0</v>
      </c>
      <c r="M508" t="n">
        <v>0</v>
      </c>
      <c r="N508" t="n">
        <v>0</v>
      </c>
      <c r="O508" t="n">
        <v>0</v>
      </c>
      <c r="P508" t="n">
        <v>0</v>
      </c>
      <c r="Q508" t="n">
        <v>0</v>
      </c>
      <c r="R508" s="2" t="inlineStr"/>
    </row>
    <row r="509" ht="15" customHeight="1">
      <c r="A509" t="inlineStr">
        <is>
          <t>A 760-2025</t>
        </is>
      </c>
      <c r="B509" s="1" t="n">
        <v>45665.44936342593</v>
      </c>
      <c r="C509" s="1" t="n">
        <v>46081</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777-2025</t>
        </is>
      </c>
      <c r="B510" s="1" t="n">
        <v>45665.47403935185</v>
      </c>
      <c r="C510" s="1" t="n">
        <v>46081</v>
      </c>
      <c r="D510" t="inlineStr">
        <is>
          <t>DALARNAS LÄN</t>
        </is>
      </c>
      <c r="E510" t="inlineStr">
        <is>
          <t>ÄLVDALEN</t>
        </is>
      </c>
      <c r="G510" t="n">
        <v>2.4</v>
      </c>
      <c r="H510" t="n">
        <v>0</v>
      </c>
      <c r="I510" t="n">
        <v>0</v>
      </c>
      <c r="J510" t="n">
        <v>0</v>
      </c>
      <c r="K510" t="n">
        <v>0</v>
      </c>
      <c r="L510" t="n">
        <v>0</v>
      </c>
      <c r="M510" t="n">
        <v>0</v>
      </c>
      <c r="N510" t="n">
        <v>0</v>
      </c>
      <c r="O510" t="n">
        <v>0</v>
      </c>
      <c r="P510" t="n">
        <v>0</v>
      </c>
      <c r="Q510" t="n">
        <v>0</v>
      </c>
      <c r="R510" s="2" t="inlineStr"/>
    </row>
    <row r="511" ht="15" customHeight="1">
      <c r="A511" t="inlineStr">
        <is>
          <t>A 54076-2024</t>
        </is>
      </c>
      <c r="B511" s="1" t="n">
        <v>45616</v>
      </c>
      <c r="C511" s="1" t="n">
        <v>46081</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59590-2025</t>
        </is>
      </c>
      <c r="B512" s="1" t="n">
        <v>45992.34043981481</v>
      </c>
      <c r="C512" s="1" t="n">
        <v>46081</v>
      </c>
      <c r="D512" t="inlineStr">
        <is>
          <t>DALARNAS LÄN</t>
        </is>
      </c>
      <c r="E512" t="inlineStr">
        <is>
          <t>ÄLVDALEN</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52483-2023</t>
        </is>
      </c>
      <c r="B513" s="1" t="n">
        <v>45225</v>
      </c>
      <c r="C513" s="1" t="n">
        <v>46081</v>
      </c>
      <c r="D513" t="inlineStr">
        <is>
          <t>DALARNAS LÄN</t>
        </is>
      </c>
      <c r="E513" t="inlineStr">
        <is>
          <t>ÄLVDALEN</t>
        </is>
      </c>
      <c r="F513" t="inlineStr">
        <is>
          <t>Allmännings- och besparingsskogar</t>
        </is>
      </c>
      <c r="G513" t="n">
        <v>30.9</v>
      </c>
      <c r="H513" t="n">
        <v>0</v>
      </c>
      <c r="I513" t="n">
        <v>0</v>
      </c>
      <c r="J513" t="n">
        <v>0</v>
      </c>
      <c r="K513" t="n">
        <v>0</v>
      </c>
      <c r="L513" t="n">
        <v>0</v>
      </c>
      <c r="M513" t="n">
        <v>0</v>
      </c>
      <c r="N513" t="n">
        <v>0</v>
      </c>
      <c r="O513" t="n">
        <v>0</v>
      </c>
      <c r="P513" t="n">
        <v>0</v>
      </c>
      <c r="Q513" t="n">
        <v>0</v>
      </c>
      <c r="R513" s="2" t="inlineStr"/>
      <c r="U513">
        <f>HYPERLINK("https://klasma.github.io/Logging_2039/knärot/A 52483-2023 karta knärot.png", "A 52483-2023")</f>
        <v/>
      </c>
      <c r="V513">
        <f>HYPERLINK("https://klasma.github.io/Logging_2039/klagomål/A 52483-2023 FSC-klagomål.docx", "A 52483-2023")</f>
        <v/>
      </c>
      <c r="W513">
        <f>HYPERLINK("https://klasma.github.io/Logging_2039/klagomålsmail/A 52483-2023 FSC-klagomål mail.docx", "A 52483-2023")</f>
        <v/>
      </c>
      <c r="X513">
        <f>HYPERLINK("https://klasma.github.io/Logging_2039/tillsyn/A 52483-2023 tillsynsbegäran.docx", "A 52483-2023")</f>
        <v/>
      </c>
      <c r="Y513">
        <f>HYPERLINK("https://klasma.github.io/Logging_2039/tillsynsmail/A 52483-2023 tillsynsbegäran mail.docx", "A 52483-2023")</f>
        <v/>
      </c>
    </row>
    <row r="514" ht="15" customHeight="1">
      <c r="A514" t="inlineStr">
        <is>
          <t>A 57665-2024</t>
        </is>
      </c>
      <c r="B514" s="1" t="n">
        <v>45630.62005787037</v>
      </c>
      <c r="C514" s="1" t="n">
        <v>46081</v>
      </c>
      <c r="D514" t="inlineStr">
        <is>
          <t>DALARNAS LÄN</t>
        </is>
      </c>
      <c r="E514" t="inlineStr">
        <is>
          <t>ÄLVDALEN</t>
        </is>
      </c>
      <c r="F514" t="inlineStr">
        <is>
          <t>Allmännings- och besparingsskogar</t>
        </is>
      </c>
      <c r="G514" t="n">
        <v>2</v>
      </c>
      <c r="H514" t="n">
        <v>0</v>
      </c>
      <c r="I514" t="n">
        <v>0</v>
      </c>
      <c r="J514" t="n">
        <v>0</v>
      </c>
      <c r="K514" t="n">
        <v>0</v>
      </c>
      <c r="L514" t="n">
        <v>0</v>
      </c>
      <c r="M514" t="n">
        <v>0</v>
      </c>
      <c r="N514" t="n">
        <v>0</v>
      </c>
      <c r="O514" t="n">
        <v>0</v>
      </c>
      <c r="P514" t="n">
        <v>0</v>
      </c>
      <c r="Q514" t="n">
        <v>0</v>
      </c>
      <c r="R514" s="2" t="inlineStr"/>
    </row>
    <row r="515" ht="15" customHeight="1">
      <c r="A515" t="inlineStr">
        <is>
          <t>A 59588-2025</t>
        </is>
      </c>
      <c r="B515" s="1" t="n">
        <v>45992.33900462963</v>
      </c>
      <c r="C515" s="1" t="n">
        <v>46081</v>
      </c>
      <c r="D515" t="inlineStr">
        <is>
          <t>DALARNAS LÄN</t>
        </is>
      </c>
      <c r="E515" t="inlineStr">
        <is>
          <t>ÄLVDALEN</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59591-2025</t>
        </is>
      </c>
      <c r="B516" s="1" t="n">
        <v>45992</v>
      </c>
      <c r="C516" s="1" t="n">
        <v>46081</v>
      </c>
      <c r="D516" t="inlineStr">
        <is>
          <t>DALARNAS LÄN</t>
        </is>
      </c>
      <c r="E516" t="inlineStr">
        <is>
          <t>ÄLVDALEN</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60292-2025</t>
        </is>
      </c>
      <c r="B517" s="1" t="n">
        <v>45994.65491898148</v>
      </c>
      <c r="C517" s="1" t="n">
        <v>46081</v>
      </c>
      <c r="D517" t="inlineStr">
        <is>
          <t>DALARNAS LÄN</t>
        </is>
      </c>
      <c r="E517" t="inlineStr">
        <is>
          <t>ÄLVDALEN</t>
        </is>
      </c>
      <c r="F517" t="inlineStr">
        <is>
          <t>Allmännings- och besparingsskogar</t>
        </is>
      </c>
      <c r="G517" t="n">
        <v>11.8</v>
      </c>
      <c r="H517" t="n">
        <v>0</v>
      </c>
      <c r="I517" t="n">
        <v>0</v>
      </c>
      <c r="J517" t="n">
        <v>0</v>
      </c>
      <c r="K517" t="n">
        <v>0</v>
      </c>
      <c r="L517" t="n">
        <v>0</v>
      </c>
      <c r="M517" t="n">
        <v>0</v>
      </c>
      <c r="N517" t="n">
        <v>0</v>
      </c>
      <c r="O517" t="n">
        <v>0</v>
      </c>
      <c r="P517" t="n">
        <v>0</v>
      </c>
      <c r="Q517" t="n">
        <v>0</v>
      </c>
      <c r="R517" s="2" t="inlineStr"/>
    </row>
    <row r="518" ht="15" customHeight="1">
      <c r="A518" t="inlineStr">
        <is>
          <t>A 74322-2021</t>
        </is>
      </c>
      <c r="B518" s="1" t="n">
        <v>44558</v>
      </c>
      <c r="C518" s="1" t="n">
        <v>46081</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30414-2024</t>
        </is>
      </c>
      <c r="B519" s="1" t="n">
        <v>45491.63538194444</v>
      </c>
      <c r="C519" s="1" t="n">
        <v>46081</v>
      </c>
      <c r="D519" t="inlineStr">
        <is>
          <t>DALARNAS LÄN</t>
        </is>
      </c>
      <c r="E519" t="inlineStr">
        <is>
          <t>ÄLVDALEN</t>
        </is>
      </c>
      <c r="G519" t="n">
        <v>0.7</v>
      </c>
      <c r="H519" t="n">
        <v>0</v>
      </c>
      <c r="I519" t="n">
        <v>0</v>
      </c>
      <c r="J519" t="n">
        <v>0</v>
      </c>
      <c r="K519" t="n">
        <v>0</v>
      </c>
      <c r="L519" t="n">
        <v>0</v>
      </c>
      <c r="M519" t="n">
        <v>0</v>
      </c>
      <c r="N519" t="n">
        <v>0</v>
      </c>
      <c r="O519" t="n">
        <v>0</v>
      </c>
      <c r="P519" t="n">
        <v>0</v>
      </c>
      <c r="Q519" t="n">
        <v>0</v>
      </c>
      <c r="R519" s="2" t="inlineStr"/>
    </row>
    <row r="520" ht="15" customHeight="1">
      <c r="A520" t="inlineStr">
        <is>
          <t>A 60672-2025</t>
        </is>
      </c>
      <c r="B520" s="1" t="n">
        <v>45996.53233796296</v>
      </c>
      <c r="C520" s="1" t="n">
        <v>46081</v>
      </c>
      <c r="D520" t="inlineStr">
        <is>
          <t>DALARNAS LÄN</t>
        </is>
      </c>
      <c r="E520" t="inlineStr">
        <is>
          <t>ÄLVDALEN</t>
        </is>
      </c>
      <c r="G520" t="n">
        <v>3.1</v>
      </c>
      <c r="H520" t="n">
        <v>0</v>
      </c>
      <c r="I520" t="n">
        <v>0</v>
      </c>
      <c r="J520" t="n">
        <v>0</v>
      </c>
      <c r="K520" t="n">
        <v>0</v>
      </c>
      <c r="L520" t="n">
        <v>0</v>
      </c>
      <c r="M520" t="n">
        <v>0</v>
      </c>
      <c r="N520" t="n">
        <v>0</v>
      </c>
      <c r="O520" t="n">
        <v>0</v>
      </c>
      <c r="P520" t="n">
        <v>0</v>
      </c>
      <c r="Q520" t="n">
        <v>0</v>
      </c>
      <c r="R520" s="2" t="inlineStr"/>
    </row>
    <row r="521" ht="15" customHeight="1">
      <c r="A521" t="inlineStr">
        <is>
          <t>A 3124-2026</t>
        </is>
      </c>
      <c r="B521" s="1" t="n">
        <v>46041.37598379629</v>
      </c>
      <c r="C521" s="1" t="n">
        <v>46081</v>
      </c>
      <c r="D521" t="inlineStr">
        <is>
          <t>DALARNAS LÄN</t>
        </is>
      </c>
      <c r="E521" t="inlineStr">
        <is>
          <t>ÄLVDALEN</t>
        </is>
      </c>
      <c r="G521" t="n">
        <v>0.9</v>
      </c>
      <c r="H521" t="n">
        <v>0</v>
      </c>
      <c r="I521" t="n">
        <v>0</v>
      </c>
      <c r="J521" t="n">
        <v>0</v>
      </c>
      <c r="K521" t="n">
        <v>0</v>
      </c>
      <c r="L521" t="n">
        <v>0</v>
      </c>
      <c r="M521" t="n">
        <v>0</v>
      </c>
      <c r="N521" t="n">
        <v>0</v>
      </c>
      <c r="O521" t="n">
        <v>0</v>
      </c>
      <c r="P521" t="n">
        <v>0</v>
      </c>
      <c r="Q521" t="n">
        <v>0</v>
      </c>
      <c r="R521" s="2" t="inlineStr"/>
    </row>
    <row r="522" ht="15" customHeight="1">
      <c r="A522" t="inlineStr">
        <is>
          <t>A 13000-2022</t>
        </is>
      </c>
      <c r="B522" s="1" t="n">
        <v>44643.44597222222</v>
      </c>
      <c r="C522" s="1" t="n">
        <v>46081</v>
      </c>
      <c r="D522" t="inlineStr">
        <is>
          <t>DALARNAS LÄN</t>
        </is>
      </c>
      <c r="E522" t="inlineStr">
        <is>
          <t>ÄLVDALEN</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23999-2024</t>
        </is>
      </c>
      <c r="B523" s="1" t="n">
        <v>45456.37555555555</v>
      </c>
      <c r="C523" s="1" t="n">
        <v>46081</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24002-2024</t>
        </is>
      </c>
      <c r="B524" s="1" t="n">
        <v>45456.3827662037</v>
      </c>
      <c r="C524" s="1" t="n">
        <v>46081</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3390-2026</t>
        </is>
      </c>
      <c r="B525" s="1" t="n">
        <v>46042.37128472222</v>
      </c>
      <c r="C525" s="1" t="n">
        <v>46081</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3120-2026</t>
        </is>
      </c>
      <c r="B526" s="1" t="n">
        <v>46041.37177083334</v>
      </c>
      <c r="C526" s="1" t="n">
        <v>46081</v>
      </c>
      <c r="D526" t="inlineStr">
        <is>
          <t>DALARNAS LÄN</t>
        </is>
      </c>
      <c r="E526" t="inlineStr">
        <is>
          <t>ÄLVDALEN</t>
        </is>
      </c>
      <c r="G526" t="n">
        <v>2.4</v>
      </c>
      <c r="H526" t="n">
        <v>0</v>
      </c>
      <c r="I526" t="n">
        <v>0</v>
      </c>
      <c r="J526" t="n">
        <v>0</v>
      </c>
      <c r="K526" t="n">
        <v>0</v>
      </c>
      <c r="L526" t="n">
        <v>0</v>
      </c>
      <c r="M526" t="n">
        <v>0</v>
      </c>
      <c r="N526" t="n">
        <v>0</v>
      </c>
      <c r="O526" t="n">
        <v>0</v>
      </c>
      <c r="P526" t="n">
        <v>0</v>
      </c>
      <c r="Q526" t="n">
        <v>0</v>
      </c>
      <c r="R526" s="2" t="inlineStr"/>
    </row>
    <row r="527" ht="15" customHeight="1">
      <c r="A527" t="inlineStr">
        <is>
          <t>A 3386-2026</t>
        </is>
      </c>
      <c r="B527" s="1" t="n">
        <v>46042.36486111111</v>
      </c>
      <c r="C527" s="1" t="n">
        <v>46081</v>
      </c>
      <c r="D527" t="inlineStr">
        <is>
          <t>DALARNAS LÄN</t>
        </is>
      </c>
      <c r="E527" t="inlineStr">
        <is>
          <t>ÄLVDALEN</t>
        </is>
      </c>
      <c r="G527" t="n">
        <v>2.5</v>
      </c>
      <c r="H527" t="n">
        <v>0</v>
      </c>
      <c r="I527" t="n">
        <v>0</v>
      </c>
      <c r="J527" t="n">
        <v>0</v>
      </c>
      <c r="K527" t="n">
        <v>0</v>
      </c>
      <c r="L527" t="n">
        <v>0</v>
      </c>
      <c r="M527" t="n">
        <v>0</v>
      </c>
      <c r="N527" t="n">
        <v>0</v>
      </c>
      <c r="O527" t="n">
        <v>0</v>
      </c>
      <c r="P527" t="n">
        <v>0</v>
      </c>
      <c r="Q527" t="n">
        <v>0</v>
      </c>
      <c r="R527" s="2" t="inlineStr"/>
    </row>
    <row r="528" ht="15" customHeight="1">
      <c r="A528" t="inlineStr">
        <is>
          <t>A 32359-2024</t>
        </is>
      </c>
      <c r="B528" s="1" t="n">
        <v>45512.56623842593</v>
      </c>
      <c r="C528" s="1" t="n">
        <v>46081</v>
      </c>
      <c r="D528" t="inlineStr">
        <is>
          <t>DALARNAS LÄN</t>
        </is>
      </c>
      <c r="E528" t="inlineStr">
        <is>
          <t>ÄLVDALEN</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3574-2026</t>
        </is>
      </c>
      <c r="B529" s="1" t="n">
        <v>46042.70995370371</v>
      </c>
      <c r="C529" s="1" t="n">
        <v>46081</v>
      </c>
      <c r="D529" t="inlineStr">
        <is>
          <t>DALARNAS LÄN</t>
        </is>
      </c>
      <c r="E529" t="inlineStr">
        <is>
          <t>ÄLVDALEN</t>
        </is>
      </c>
      <c r="G529" t="n">
        <v>1.7</v>
      </c>
      <c r="H529" t="n">
        <v>0</v>
      </c>
      <c r="I529" t="n">
        <v>0</v>
      </c>
      <c r="J529" t="n">
        <v>0</v>
      </c>
      <c r="K529" t="n">
        <v>0</v>
      </c>
      <c r="L529" t="n">
        <v>0</v>
      </c>
      <c r="M529" t="n">
        <v>0</v>
      </c>
      <c r="N529" t="n">
        <v>0</v>
      </c>
      <c r="O529" t="n">
        <v>0</v>
      </c>
      <c r="P529" t="n">
        <v>0</v>
      </c>
      <c r="Q529" t="n">
        <v>0</v>
      </c>
      <c r="R529" s="2" t="inlineStr"/>
    </row>
    <row r="530" ht="15" customHeight="1">
      <c r="A530" t="inlineStr">
        <is>
          <t>A 61477-2025</t>
        </is>
      </c>
      <c r="B530" s="1" t="n">
        <v>46001.62087962963</v>
      </c>
      <c r="C530" s="1" t="n">
        <v>46081</v>
      </c>
      <c r="D530" t="inlineStr">
        <is>
          <t>DALARNAS LÄN</t>
        </is>
      </c>
      <c r="E530" t="inlineStr">
        <is>
          <t>ÄLVDALEN</t>
        </is>
      </c>
      <c r="G530" t="n">
        <v>1.1</v>
      </c>
      <c r="H530" t="n">
        <v>0</v>
      </c>
      <c r="I530" t="n">
        <v>0</v>
      </c>
      <c r="J530" t="n">
        <v>0</v>
      </c>
      <c r="K530" t="n">
        <v>0</v>
      </c>
      <c r="L530" t="n">
        <v>0</v>
      </c>
      <c r="M530" t="n">
        <v>0</v>
      </c>
      <c r="N530" t="n">
        <v>0</v>
      </c>
      <c r="O530" t="n">
        <v>0</v>
      </c>
      <c r="P530" t="n">
        <v>0</v>
      </c>
      <c r="Q530" t="n">
        <v>0</v>
      </c>
      <c r="R530" s="2" t="inlineStr"/>
    </row>
    <row r="531" ht="15" customHeight="1">
      <c r="A531" t="inlineStr">
        <is>
          <t>A 61529-2025</t>
        </is>
      </c>
      <c r="B531" s="1" t="n">
        <v>46001.7033912037</v>
      </c>
      <c r="C531" s="1" t="n">
        <v>46081</v>
      </c>
      <c r="D531" t="inlineStr">
        <is>
          <t>DALARNAS LÄN</t>
        </is>
      </c>
      <c r="E531" t="inlineStr">
        <is>
          <t>ÄLVDALEN</t>
        </is>
      </c>
      <c r="G531" t="n">
        <v>3</v>
      </c>
      <c r="H531" t="n">
        <v>0</v>
      </c>
      <c r="I531" t="n">
        <v>0</v>
      </c>
      <c r="J531" t="n">
        <v>0</v>
      </c>
      <c r="K531" t="n">
        <v>0</v>
      </c>
      <c r="L531" t="n">
        <v>0</v>
      </c>
      <c r="M531" t="n">
        <v>0</v>
      </c>
      <c r="N531" t="n">
        <v>0</v>
      </c>
      <c r="O531" t="n">
        <v>0</v>
      </c>
      <c r="P531" t="n">
        <v>0</v>
      </c>
      <c r="Q531" t="n">
        <v>0</v>
      </c>
      <c r="R531" s="2" t="inlineStr"/>
    </row>
    <row r="532" ht="15" customHeight="1">
      <c r="A532" t="inlineStr">
        <is>
          <t>A 4023-2026</t>
        </is>
      </c>
      <c r="B532" s="1" t="n">
        <v>46044.42760416667</v>
      </c>
      <c r="C532" s="1" t="n">
        <v>46081</v>
      </c>
      <c r="D532" t="inlineStr">
        <is>
          <t>DALARNAS LÄN</t>
        </is>
      </c>
      <c r="E532" t="inlineStr">
        <is>
          <t>ÄLVDALEN</t>
        </is>
      </c>
      <c r="G532" t="n">
        <v>0.6</v>
      </c>
      <c r="H532" t="n">
        <v>0</v>
      </c>
      <c r="I532" t="n">
        <v>0</v>
      </c>
      <c r="J532" t="n">
        <v>0</v>
      </c>
      <c r="K532" t="n">
        <v>0</v>
      </c>
      <c r="L532" t="n">
        <v>0</v>
      </c>
      <c r="M532" t="n">
        <v>0</v>
      </c>
      <c r="N532" t="n">
        <v>0</v>
      </c>
      <c r="O532" t="n">
        <v>0</v>
      </c>
      <c r="P532" t="n">
        <v>0</v>
      </c>
      <c r="Q532" t="n">
        <v>0</v>
      </c>
      <c r="R532" s="2" t="inlineStr"/>
    </row>
    <row r="533" ht="15" customHeight="1">
      <c r="A533" t="inlineStr">
        <is>
          <t>A 61589-2025</t>
        </is>
      </c>
      <c r="B533" s="1" t="n">
        <v>46002.34538194445</v>
      </c>
      <c r="C533" s="1" t="n">
        <v>46081</v>
      </c>
      <c r="D533" t="inlineStr">
        <is>
          <t>DALARNAS LÄN</t>
        </is>
      </c>
      <c r="E533" t="inlineStr">
        <is>
          <t>ÄLVDALEN</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3649-2026</t>
        </is>
      </c>
      <c r="B534" s="1" t="n">
        <v>46043.36797453704</v>
      </c>
      <c r="C534" s="1" t="n">
        <v>46081</v>
      </c>
      <c r="D534" t="inlineStr">
        <is>
          <t>DALARNAS LÄN</t>
        </is>
      </c>
      <c r="E534" t="inlineStr">
        <is>
          <t>ÄLVDALEN</t>
        </is>
      </c>
      <c r="G534" t="n">
        <v>3.6</v>
      </c>
      <c r="H534" t="n">
        <v>0</v>
      </c>
      <c r="I534" t="n">
        <v>0</v>
      </c>
      <c r="J534" t="n">
        <v>0</v>
      </c>
      <c r="K534" t="n">
        <v>0</v>
      </c>
      <c r="L534" t="n">
        <v>0</v>
      </c>
      <c r="M534" t="n">
        <v>0</v>
      </c>
      <c r="N534" t="n">
        <v>0</v>
      </c>
      <c r="O534" t="n">
        <v>0</v>
      </c>
      <c r="P534" t="n">
        <v>0</v>
      </c>
      <c r="Q534" t="n">
        <v>0</v>
      </c>
      <c r="R534" s="2" t="inlineStr"/>
    </row>
    <row r="535" ht="15" customHeight="1">
      <c r="A535" t="inlineStr">
        <is>
          <t>A 15759-2024</t>
        </is>
      </c>
      <c r="B535" s="1" t="n">
        <v>45404</v>
      </c>
      <c r="C535" s="1" t="n">
        <v>46081</v>
      </c>
      <c r="D535" t="inlineStr">
        <is>
          <t>DALARNAS LÄN</t>
        </is>
      </c>
      <c r="E535" t="inlineStr">
        <is>
          <t>ÄLVDALEN</t>
        </is>
      </c>
      <c r="G535" t="n">
        <v>1.4</v>
      </c>
      <c r="H535" t="n">
        <v>0</v>
      </c>
      <c r="I535" t="n">
        <v>0</v>
      </c>
      <c r="J535" t="n">
        <v>0</v>
      </c>
      <c r="K535" t="n">
        <v>0</v>
      </c>
      <c r="L535" t="n">
        <v>0</v>
      </c>
      <c r="M535" t="n">
        <v>0</v>
      </c>
      <c r="N535" t="n">
        <v>0</v>
      </c>
      <c r="O535" t="n">
        <v>0</v>
      </c>
      <c r="P535" t="n">
        <v>0</v>
      </c>
      <c r="Q535" t="n">
        <v>0</v>
      </c>
      <c r="R535" s="2" t="inlineStr"/>
    </row>
    <row r="536" ht="15" customHeight="1">
      <c r="A536" t="inlineStr">
        <is>
          <t>A 61495-2025</t>
        </is>
      </c>
      <c r="B536" s="1" t="n">
        <v>46001.64834490741</v>
      </c>
      <c r="C536" s="1" t="n">
        <v>46081</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3645-2026</t>
        </is>
      </c>
      <c r="B537" s="1" t="n">
        <v>46043.36129629629</v>
      </c>
      <c r="C537" s="1" t="n">
        <v>46081</v>
      </c>
      <c r="D537" t="inlineStr">
        <is>
          <t>DALARNAS LÄN</t>
        </is>
      </c>
      <c r="E537" t="inlineStr">
        <is>
          <t>ÄLVDALEN</t>
        </is>
      </c>
      <c r="G537" t="n">
        <v>3.2</v>
      </c>
      <c r="H537" t="n">
        <v>0</v>
      </c>
      <c r="I537" t="n">
        <v>0</v>
      </c>
      <c r="J537" t="n">
        <v>0</v>
      </c>
      <c r="K537" t="n">
        <v>0</v>
      </c>
      <c r="L537" t="n">
        <v>0</v>
      </c>
      <c r="M537" t="n">
        <v>0</v>
      </c>
      <c r="N537" t="n">
        <v>0</v>
      </c>
      <c r="O537" t="n">
        <v>0</v>
      </c>
      <c r="P537" t="n">
        <v>0</v>
      </c>
      <c r="Q537" t="n">
        <v>0</v>
      </c>
      <c r="R537" s="2" t="inlineStr"/>
    </row>
    <row r="538" ht="15" customHeight="1">
      <c r="A538" t="inlineStr">
        <is>
          <t>A 3654-2026</t>
        </is>
      </c>
      <c r="B538" s="1" t="n">
        <v>46043.37592592592</v>
      </c>
      <c r="C538" s="1" t="n">
        <v>46081</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46800-2025</t>
        </is>
      </c>
      <c r="B539" s="1" t="n">
        <v>45926</v>
      </c>
      <c r="C539" s="1" t="n">
        <v>46081</v>
      </c>
      <c r="D539" t="inlineStr">
        <is>
          <t>DALARNAS LÄN</t>
        </is>
      </c>
      <c r="E539" t="inlineStr">
        <is>
          <t>ÄLVDALEN</t>
        </is>
      </c>
      <c r="F539" t="inlineStr">
        <is>
          <t>Allmännings- och besparingsskogar</t>
        </is>
      </c>
      <c r="G539" t="n">
        <v>0.8</v>
      </c>
      <c r="H539" t="n">
        <v>0</v>
      </c>
      <c r="I539" t="n">
        <v>0</v>
      </c>
      <c r="J539" t="n">
        <v>0</v>
      </c>
      <c r="K539" t="n">
        <v>0</v>
      </c>
      <c r="L539" t="n">
        <v>0</v>
      </c>
      <c r="M539" t="n">
        <v>0</v>
      </c>
      <c r="N539" t="n">
        <v>0</v>
      </c>
      <c r="O539" t="n">
        <v>0</v>
      </c>
      <c r="P539" t="n">
        <v>0</v>
      </c>
      <c r="Q539" t="n">
        <v>0</v>
      </c>
      <c r="R539" s="2" t="inlineStr"/>
      <c r="T539">
        <f>HYPERLINK("https://klasma.github.io/Logging_2039/kartor/A 46800-2025 karta.png", "A 46800-2025")</f>
        <v/>
      </c>
      <c r="V539">
        <f>HYPERLINK("https://klasma.github.io/Logging_2039/klagomål/A 46800-2025 FSC-klagomål.docx", "A 46800-2025")</f>
        <v/>
      </c>
      <c r="W539">
        <f>HYPERLINK("https://klasma.github.io/Logging_2039/klagomålsmail/A 46800-2025 FSC-klagomål mail.docx", "A 46800-2025")</f>
        <v/>
      </c>
      <c r="X539">
        <f>HYPERLINK("https://klasma.github.io/Logging_2039/tillsyn/A 46800-2025 tillsynsbegäran.docx", "A 46800-2025")</f>
        <v/>
      </c>
      <c r="Y539">
        <f>HYPERLINK("https://klasma.github.io/Logging_2039/tillsynsmail/A 46800-2025 tillsynsbegäran mail.docx", "A 46800-2025")</f>
        <v/>
      </c>
      <c r="Z539">
        <f>HYPERLINK("https://klasma.github.io/Logging_2039/fåglar/A 46800-2025 prioriterade fågelarter.docx", "A 46800-2025")</f>
        <v/>
      </c>
    </row>
    <row r="540" ht="15" customHeight="1">
      <c r="A540" t="inlineStr">
        <is>
          <t>A 3887-2026</t>
        </is>
      </c>
      <c r="B540" s="1" t="n">
        <v>46043.66733796296</v>
      </c>
      <c r="C540" s="1" t="n">
        <v>46081</v>
      </c>
      <c r="D540" t="inlineStr">
        <is>
          <t>DALARNAS LÄN</t>
        </is>
      </c>
      <c r="E540" t="inlineStr">
        <is>
          <t>ÄLVDALEN</t>
        </is>
      </c>
      <c r="G540" t="n">
        <v>0.7</v>
      </c>
      <c r="H540" t="n">
        <v>0</v>
      </c>
      <c r="I540" t="n">
        <v>0</v>
      </c>
      <c r="J540" t="n">
        <v>0</v>
      </c>
      <c r="K540" t="n">
        <v>0</v>
      </c>
      <c r="L540" t="n">
        <v>0</v>
      </c>
      <c r="M540" t="n">
        <v>0</v>
      </c>
      <c r="N540" t="n">
        <v>0</v>
      </c>
      <c r="O540" t="n">
        <v>0</v>
      </c>
      <c r="P540" t="n">
        <v>0</v>
      </c>
      <c r="Q540" t="n">
        <v>0</v>
      </c>
      <c r="R540" s="2" t="inlineStr"/>
    </row>
    <row r="541" ht="15" customHeight="1">
      <c r="A541" t="inlineStr">
        <is>
          <t>A 3859-2026</t>
        </is>
      </c>
      <c r="B541" s="1" t="n">
        <v>46043.6222337963</v>
      </c>
      <c r="C541" s="1" t="n">
        <v>46081</v>
      </c>
      <c r="D541" t="inlineStr">
        <is>
          <t>DALARNAS LÄN</t>
        </is>
      </c>
      <c r="E541" t="inlineStr">
        <is>
          <t>ÄLVDALEN</t>
        </is>
      </c>
      <c r="G541" t="n">
        <v>1.4</v>
      </c>
      <c r="H541" t="n">
        <v>0</v>
      </c>
      <c r="I541" t="n">
        <v>0</v>
      </c>
      <c r="J541" t="n">
        <v>0</v>
      </c>
      <c r="K541" t="n">
        <v>0</v>
      </c>
      <c r="L541" t="n">
        <v>0</v>
      </c>
      <c r="M541" t="n">
        <v>0</v>
      </c>
      <c r="N541" t="n">
        <v>0</v>
      </c>
      <c r="O541" t="n">
        <v>0</v>
      </c>
      <c r="P541" t="n">
        <v>0</v>
      </c>
      <c r="Q541" t="n">
        <v>0</v>
      </c>
      <c r="R541" s="2" t="inlineStr"/>
    </row>
    <row r="542" ht="15" customHeight="1">
      <c r="A542" t="inlineStr">
        <is>
          <t>A 56222-2023</t>
        </is>
      </c>
      <c r="B542" s="1" t="n">
        <v>45240</v>
      </c>
      <c r="C542" s="1" t="n">
        <v>46081</v>
      </c>
      <c r="D542" t="inlineStr">
        <is>
          <t>DALARNAS LÄN</t>
        </is>
      </c>
      <c r="E542" t="inlineStr">
        <is>
          <t>ÄLVDALEN</t>
        </is>
      </c>
      <c r="F542" t="inlineStr">
        <is>
          <t>Övriga Aktiebolag</t>
        </is>
      </c>
      <c r="G542" t="n">
        <v>3.2</v>
      </c>
      <c r="H542" t="n">
        <v>0</v>
      </c>
      <c r="I542" t="n">
        <v>0</v>
      </c>
      <c r="J542" t="n">
        <v>0</v>
      </c>
      <c r="K542" t="n">
        <v>0</v>
      </c>
      <c r="L542" t="n">
        <v>0</v>
      </c>
      <c r="M542" t="n">
        <v>0</v>
      </c>
      <c r="N542" t="n">
        <v>0</v>
      </c>
      <c r="O542" t="n">
        <v>0</v>
      </c>
      <c r="P542" t="n">
        <v>0</v>
      </c>
      <c r="Q542" t="n">
        <v>0</v>
      </c>
      <c r="R542" s="2" t="inlineStr"/>
    </row>
    <row r="543" ht="15" customHeight="1">
      <c r="A543" t="inlineStr">
        <is>
          <t>A 56224-2023</t>
        </is>
      </c>
      <c r="B543" s="1" t="n">
        <v>45240</v>
      </c>
      <c r="C543" s="1" t="n">
        <v>46081</v>
      </c>
      <c r="D543" t="inlineStr">
        <is>
          <t>DALARNAS LÄN</t>
        </is>
      </c>
      <c r="E543" t="inlineStr">
        <is>
          <t>ÄLVDALEN</t>
        </is>
      </c>
      <c r="F543" t="inlineStr">
        <is>
          <t>Övriga Aktiebolag</t>
        </is>
      </c>
      <c r="G543" t="n">
        <v>10.9</v>
      </c>
      <c r="H543" t="n">
        <v>0</v>
      </c>
      <c r="I543" t="n">
        <v>0</v>
      </c>
      <c r="J543" t="n">
        <v>0</v>
      </c>
      <c r="K543" t="n">
        <v>0</v>
      </c>
      <c r="L543" t="n">
        <v>0</v>
      </c>
      <c r="M543" t="n">
        <v>0</v>
      </c>
      <c r="N543" t="n">
        <v>0</v>
      </c>
      <c r="O543" t="n">
        <v>0</v>
      </c>
      <c r="P543" t="n">
        <v>0</v>
      </c>
      <c r="Q543" t="n">
        <v>0</v>
      </c>
      <c r="R543" s="2" t="inlineStr"/>
    </row>
    <row r="544" ht="15" customHeight="1">
      <c r="A544" t="inlineStr">
        <is>
          <t>A 8192-2025</t>
        </is>
      </c>
      <c r="B544" s="1" t="n">
        <v>45708.41151620371</v>
      </c>
      <c r="C544" s="1" t="n">
        <v>46081</v>
      </c>
      <c r="D544" t="inlineStr">
        <is>
          <t>DALARNAS LÄN</t>
        </is>
      </c>
      <c r="E544" t="inlineStr">
        <is>
          <t>ÄLVDALEN</t>
        </is>
      </c>
      <c r="F544" t="inlineStr">
        <is>
          <t>Allmännings- och besparingsskogar</t>
        </is>
      </c>
      <c r="G544" t="n">
        <v>15.1</v>
      </c>
      <c r="H544" t="n">
        <v>0</v>
      </c>
      <c r="I544" t="n">
        <v>0</v>
      </c>
      <c r="J544" t="n">
        <v>0</v>
      </c>
      <c r="K544" t="n">
        <v>0</v>
      </c>
      <c r="L544" t="n">
        <v>0</v>
      </c>
      <c r="M544" t="n">
        <v>0</v>
      </c>
      <c r="N544" t="n">
        <v>0</v>
      </c>
      <c r="O544" t="n">
        <v>0</v>
      </c>
      <c r="P544" t="n">
        <v>0</v>
      </c>
      <c r="Q544" t="n">
        <v>0</v>
      </c>
      <c r="R544" s="2" t="inlineStr"/>
    </row>
    <row r="545" ht="15" customHeight="1">
      <c r="A545" t="inlineStr">
        <is>
          <t>A 46011-2023</t>
        </is>
      </c>
      <c r="B545" s="1" t="n">
        <v>45196.38245370371</v>
      </c>
      <c r="C545" s="1" t="n">
        <v>46081</v>
      </c>
      <c r="D545" t="inlineStr">
        <is>
          <t>DALARNAS LÄN</t>
        </is>
      </c>
      <c r="E545" t="inlineStr">
        <is>
          <t>ÄLVDALEN</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61971-2025</t>
        </is>
      </c>
      <c r="B546" s="1" t="n">
        <v>46003.59724537037</v>
      </c>
      <c r="C546" s="1" t="n">
        <v>46081</v>
      </c>
      <c r="D546" t="inlineStr">
        <is>
          <t>DALARNAS LÄN</t>
        </is>
      </c>
      <c r="E546" t="inlineStr">
        <is>
          <t>ÄLVDALEN</t>
        </is>
      </c>
      <c r="G546" t="n">
        <v>3.8</v>
      </c>
      <c r="H546" t="n">
        <v>0</v>
      </c>
      <c r="I546" t="n">
        <v>0</v>
      </c>
      <c r="J546" t="n">
        <v>0</v>
      </c>
      <c r="K546" t="n">
        <v>0</v>
      </c>
      <c r="L546" t="n">
        <v>0</v>
      </c>
      <c r="M546" t="n">
        <v>0</v>
      </c>
      <c r="N546" t="n">
        <v>0</v>
      </c>
      <c r="O546" t="n">
        <v>0</v>
      </c>
      <c r="P546" t="n">
        <v>0</v>
      </c>
      <c r="Q546" t="n">
        <v>0</v>
      </c>
      <c r="R546" s="2" t="inlineStr"/>
    </row>
    <row r="547" ht="15" customHeight="1">
      <c r="A547" t="inlineStr">
        <is>
          <t>A 62106-2025</t>
        </is>
      </c>
      <c r="B547" s="1" t="n">
        <v>46006.42576388889</v>
      </c>
      <c r="C547" s="1" t="n">
        <v>46081</v>
      </c>
      <c r="D547" t="inlineStr">
        <is>
          <t>DALARNAS LÄN</t>
        </is>
      </c>
      <c r="E547" t="inlineStr">
        <is>
          <t>ÄLVDALEN</t>
        </is>
      </c>
      <c r="G547" t="n">
        <v>2.8</v>
      </c>
      <c r="H547" t="n">
        <v>0</v>
      </c>
      <c r="I547" t="n">
        <v>0</v>
      </c>
      <c r="J547" t="n">
        <v>0</v>
      </c>
      <c r="K547" t="n">
        <v>0</v>
      </c>
      <c r="L547" t="n">
        <v>0</v>
      </c>
      <c r="M547" t="n">
        <v>0</v>
      </c>
      <c r="N547" t="n">
        <v>0</v>
      </c>
      <c r="O547" t="n">
        <v>0</v>
      </c>
      <c r="P547" t="n">
        <v>0</v>
      </c>
      <c r="Q547" t="n">
        <v>0</v>
      </c>
      <c r="R547" s="2" t="inlineStr"/>
    </row>
    <row r="548" ht="15" customHeight="1">
      <c r="A548" t="inlineStr">
        <is>
          <t>A 61973-2025</t>
        </is>
      </c>
      <c r="B548" s="1" t="n">
        <v>46003.60017361111</v>
      </c>
      <c r="C548" s="1" t="n">
        <v>46081</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41004-2023</t>
        </is>
      </c>
      <c r="B549" s="1" t="n">
        <v>45173</v>
      </c>
      <c r="C549" s="1" t="n">
        <v>46081</v>
      </c>
      <c r="D549" t="inlineStr">
        <is>
          <t>DALARNAS LÄN</t>
        </is>
      </c>
      <c r="E549" t="inlineStr">
        <is>
          <t>ÄLVDALEN</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49203-2023</t>
        </is>
      </c>
      <c r="B550" s="1" t="n">
        <v>45210</v>
      </c>
      <c r="C550" s="1" t="n">
        <v>46081</v>
      </c>
      <c r="D550" t="inlineStr">
        <is>
          <t>DALARNAS LÄN</t>
        </is>
      </c>
      <c r="E550" t="inlineStr">
        <is>
          <t>ÄLVDALEN</t>
        </is>
      </c>
      <c r="F550" t="inlineStr">
        <is>
          <t>Bergvik skog väst AB</t>
        </is>
      </c>
      <c r="G550" t="n">
        <v>18.2</v>
      </c>
      <c r="H550" t="n">
        <v>0</v>
      </c>
      <c r="I550" t="n">
        <v>0</v>
      </c>
      <c r="J550" t="n">
        <v>0</v>
      </c>
      <c r="K550" t="n">
        <v>0</v>
      </c>
      <c r="L550" t="n">
        <v>0</v>
      </c>
      <c r="M550" t="n">
        <v>0</v>
      </c>
      <c r="N550" t="n">
        <v>0</v>
      </c>
      <c r="O550" t="n">
        <v>0</v>
      </c>
      <c r="P550" t="n">
        <v>0</v>
      </c>
      <c r="Q550" t="n">
        <v>0</v>
      </c>
      <c r="R550" s="2" t="inlineStr"/>
    </row>
    <row r="551" ht="15" customHeight="1">
      <c r="A551" t="inlineStr">
        <is>
          <t>A 6675-2025</t>
        </is>
      </c>
      <c r="B551" s="1" t="n">
        <v>45700.47643518518</v>
      </c>
      <c r="C551" s="1" t="n">
        <v>46081</v>
      </c>
      <c r="D551" t="inlineStr">
        <is>
          <t>DALARNAS LÄN</t>
        </is>
      </c>
      <c r="E551" t="inlineStr">
        <is>
          <t>ÄLVDALEN</t>
        </is>
      </c>
      <c r="F551" t="inlineStr">
        <is>
          <t>Allmännings- och besparingsskogar</t>
        </is>
      </c>
      <c r="G551" t="n">
        <v>1.2</v>
      </c>
      <c r="H551" t="n">
        <v>0</v>
      </c>
      <c r="I551" t="n">
        <v>0</v>
      </c>
      <c r="J551" t="n">
        <v>0</v>
      </c>
      <c r="K551" t="n">
        <v>0</v>
      </c>
      <c r="L551" t="n">
        <v>0</v>
      </c>
      <c r="M551" t="n">
        <v>0</v>
      </c>
      <c r="N551" t="n">
        <v>0</v>
      </c>
      <c r="O551" t="n">
        <v>0</v>
      </c>
      <c r="P551" t="n">
        <v>0</v>
      </c>
      <c r="Q551" t="n">
        <v>0</v>
      </c>
      <c r="R551" s="2" t="inlineStr"/>
    </row>
    <row r="552" ht="15" customHeight="1">
      <c r="A552" t="inlineStr">
        <is>
          <t>A 1554-2026</t>
        </is>
      </c>
      <c r="B552" s="1" t="n">
        <v>46034.38818287037</v>
      </c>
      <c r="C552" s="1" t="n">
        <v>46081</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5583-2025</t>
        </is>
      </c>
      <c r="B553" s="1" t="n">
        <v>45693.55244212963</v>
      </c>
      <c r="C553" s="1" t="n">
        <v>46081</v>
      </c>
      <c r="D553" t="inlineStr">
        <is>
          <t>DALARNAS LÄN</t>
        </is>
      </c>
      <c r="E553" t="inlineStr">
        <is>
          <t>ÄLVDALEN</t>
        </is>
      </c>
      <c r="G553" t="n">
        <v>0.9</v>
      </c>
      <c r="H553" t="n">
        <v>0</v>
      </c>
      <c r="I553" t="n">
        <v>0</v>
      </c>
      <c r="J553" t="n">
        <v>0</v>
      </c>
      <c r="K553" t="n">
        <v>0</v>
      </c>
      <c r="L553" t="n">
        <v>0</v>
      </c>
      <c r="M553" t="n">
        <v>0</v>
      </c>
      <c r="N553" t="n">
        <v>0</v>
      </c>
      <c r="O553" t="n">
        <v>0</v>
      </c>
      <c r="P553" t="n">
        <v>0</v>
      </c>
      <c r="Q553" t="n">
        <v>0</v>
      </c>
      <c r="R553" s="2" t="inlineStr"/>
    </row>
    <row r="554" ht="15" customHeight="1">
      <c r="A554" t="inlineStr">
        <is>
          <t>A 24009-2024</t>
        </is>
      </c>
      <c r="B554" s="1" t="n">
        <v>45456.40030092592</v>
      </c>
      <c r="C554" s="1" t="n">
        <v>46081</v>
      </c>
      <c r="D554" t="inlineStr">
        <is>
          <t>DALARNAS LÄN</t>
        </is>
      </c>
      <c r="E554" t="inlineStr">
        <is>
          <t>ÄLVDALEN</t>
        </is>
      </c>
      <c r="G554" t="n">
        <v>1.1</v>
      </c>
      <c r="H554" t="n">
        <v>0</v>
      </c>
      <c r="I554" t="n">
        <v>0</v>
      </c>
      <c r="J554" t="n">
        <v>0</v>
      </c>
      <c r="K554" t="n">
        <v>0</v>
      </c>
      <c r="L554" t="n">
        <v>0</v>
      </c>
      <c r="M554" t="n">
        <v>0</v>
      </c>
      <c r="N554" t="n">
        <v>0</v>
      </c>
      <c r="O554" t="n">
        <v>0</v>
      </c>
      <c r="P554" t="n">
        <v>0</v>
      </c>
      <c r="Q554" t="n">
        <v>0</v>
      </c>
      <c r="R554" s="2" t="inlineStr"/>
    </row>
    <row r="555" ht="15" customHeight="1">
      <c r="A555" t="inlineStr">
        <is>
          <t>A 1559-2026</t>
        </is>
      </c>
      <c r="B555" s="1" t="n">
        <v>46034.39206018519</v>
      </c>
      <c r="C555" s="1" t="n">
        <v>46081</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36640-2023</t>
        </is>
      </c>
      <c r="B556" s="1" t="n">
        <v>45153.54498842593</v>
      </c>
      <c r="C556" s="1" t="n">
        <v>46081</v>
      </c>
      <c r="D556" t="inlineStr">
        <is>
          <t>DALARNAS LÄN</t>
        </is>
      </c>
      <c r="E556" t="inlineStr">
        <is>
          <t>ÄLVDALEN</t>
        </is>
      </c>
      <c r="G556" t="n">
        <v>2.3</v>
      </c>
      <c r="H556" t="n">
        <v>0</v>
      </c>
      <c r="I556" t="n">
        <v>0</v>
      </c>
      <c r="J556" t="n">
        <v>0</v>
      </c>
      <c r="K556" t="n">
        <v>0</v>
      </c>
      <c r="L556" t="n">
        <v>0</v>
      </c>
      <c r="M556" t="n">
        <v>0</v>
      </c>
      <c r="N556" t="n">
        <v>0</v>
      </c>
      <c r="O556" t="n">
        <v>0</v>
      </c>
      <c r="P556" t="n">
        <v>0</v>
      </c>
      <c r="Q556" t="n">
        <v>0</v>
      </c>
      <c r="R556" s="2" t="inlineStr"/>
    </row>
    <row r="557" ht="15" customHeight="1">
      <c r="A557" t="inlineStr">
        <is>
          <t>A 42649-2023</t>
        </is>
      </c>
      <c r="B557" s="1" t="n">
        <v>45181.53310185186</v>
      </c>
      <c r="C557" s="1" t="n">
        <v>46081</v>
      </c>
      <c r="D557" t="inlineStr">
        <is>
          <t>DALARNAS LÄN</t>
        </is>
      </c>
      <c r="E557" t="inlineStr">
        <is>
          <t>ÄLVDALEN</t>
        </is>
      </c>
      <c r="G557" t="n">
        <v>5.3</v>
      </c>
      <c r="H557" t="n">
        <v>0</v>
      </c>
      <c r="I557" t="n">
        <v>0</v>
      </c>
      <c r="J557" t="n">
        <v>0</v>
      </c>
      <c r="K557" t="n">
        <v>0</v>
      </c>
      <c r="L557" t="n">
        <v>0</v>
      </c>
      <c r="M557" t="n">
        <v>0</v>
      </c>
      <c r="N557" t="n">
        <v>0</v>
      </c>
      <c r="O557" t="n">
        <v>0</v>
      </c>
      <c r="P557" t="n">
        <v>0</v>
      </c>
      <c r="Q557" t="n">
        <v>0</v>
      </c>
      <c r="R557" s="2" t="inlineStr"/>
    </row>
    <row r="558" ht="15" customHeight="1">
      <c r="A558" t="inlineStr">
        <is>
          <t>A 33100-2023</t>
        </is>
      </c>
      <c r="B558" s="1" t="n">
        <v>45114</v>
      </c>
      <c r="C558" s="1" t="n">
        <v>46081</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6098-2026</t>
        </is>
      </c>
      <c r="B559" s="1" t="n">
        <v>46052.74193287037</v>
      </c>
      <c r="C559" s="1" t="n">
        <v>46081</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5875-2026</t>
        </is>
      </c>
      <c r="B560" s="1" t="n">
        <v>46052.37825231482</v>
      </c>
      <c r="C560" s="1" t="n">
        <v>46081</v>
      </c>
      <c r="D560" t="inlineStr">
        <is>
          <t>DALARNAS LÄN</t>
        </is>
      </c>
      <c r="E560" t="inlineStr">
        <is>
          <t>ÄLVDALEN</t>
        </is>
      </c>
      <c r="G560" t="n">
        <v>0.7</v>
      </c>
      <c r="H560" t="n">
        <v>0</v>
      </c>
      <c r="I560" t="n">
        <v>0</v>
      </c>
      <c r="J560" t="n">
        <v>0</v>
      </c>
      <c r="K560" t="n">
        <v>0</v>
      </c>
      <c r="L560" t="n">
        <v>0</v>
      </c>
      <c r="M560" t="n">
        <v>0</v>
      </c>
      <c r="N560" t="n">
        <v>0</v>
      </c>
      <c r="O560" t="n">
        <v>0</v>
      </c>
      <c r="P560" t="n">
        <v>0</v>
      </c>
      <c r="Q560" t="n">
        <v>0</v>
      </c>
      <c r="R560" s="2" t="inlineStr"/>
    </row>
    <row r="561" ht="15" customHeight="1">
      <c r="A561" t="inlineStr">
        <is>
          <t>A 63107-2025</t>
        </is>
      </c>
      <c r="B561" s="1" t="n">
        <v>46009.72113425926</v>
      </c>
      <c r="C561" s="1" t="n">
        <v>46081</v>
      </c>
      <c r="D561" t="inlineStr">
        <is>
          <t>DALARNAS LÄN</t>
        </is>
      </c>
      <c r="E561" t="inlineStr">
        <is>
          <t>ÄLVDALEN</t>
        </is>
      </c>
      <c r="G561" t="n">
        <v>4.6</v>
      </c>
      <c r="H561" t="n">
        <v>0</v>
      </c>
      <c r="I561" t="n">
        <v>0</v>
      </c>
      <c r="J561" t="n">
        <v>0</v>
      </c>
      <c r="K561" t="n">
        <v>0</v>
      </c>
      <c r="L561" t="n">
        <v>0</v>
      </c>
      <c r="M561" t="n">
        <v>0</v>
      </c>
      <c r="N561" t="n">
        <v>0</v>
      </c>
      <c r="O561" t="n">
        <v>0</v>
      </c>
      <c r="P561" t="n">
        <v>0</v>
      </c>
      <c r="Q561" t="n">
        <v>0</v>
      </c>
      <c r="R561" s="2" t="inlineStr"/>
    </row>
    <row r="562" ht="15" customHeight="1">
      <c r="A562" t="inlineStr">
        <is>
          <t>A 63525-2025</t>
        </is>
      </c>
      <c r="B562" s="1" t="n">
        <v>46013.54934027778</v>
      </c>
      <c r="C562" s="1" t="n">
        <v>46081</v>
      </c>
      <c r="D562" t="inlineStr">
        <is>
          <t>DALARNAS LÄN</t>
        </is>
      </c>
      <c r="E562" t="inlineStr">
        <is>
          <t>ÄLVDALEN</t>
        </is>
      </c>
      <c r="G562" t="n">
        <v>2.9</v>
      </c>
      <c r="H562" t="n">
        <v>0</v>
      </c>
      <c r="I562" t="n">
        <v>0</v>
      </c>
      <c r="J562" t="n">
        <v>0</v>
      </c>
      <c r="K562" t="n">
        <v>0</v>
      </c>
      <c r="L562" t="n">
        <v>0</v>
      </c>
      <c r="M562" t="n">
        <v>0</v>
      </c>
      <c r="N562" t="n">
        <v>0</v>
      </c>
      <c r="O562" t="n">
        <v>0</v>
      </c>
      <c r="P562" t="n">
        <v>0</v>
      </c>
      <c r="Q562" t="n">
        <v>0</v>
      </c>
      <c r="R562" s="2" t="inlineStr"/>
    </row>
    <row r="563" ht="15" customHeight="1">
      <c r="A563" t="inlineStr">
        <is>
          <t>A 63601-2025</t>
        </is>
      </c>
      <c r="B563" s="1" t="n">
        <v>46014.31347222222</v>
      </c>
      <c r="C563" s="1" t="n">
        <v>46081</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51058-2025</t>
        </is>
      </c>
      <c r="B564" s="1" t="n">
        <v>45947</v>
      </c>
      <c r="C564" s="1" t="n">
        <v>46081</v>
      </c>
      <c r="D564" t="inlineStr">
        <is>
          <t>DALARNAS LÄN</t>
        </is>
      </c>
      <c r="E564" t="inlineStr">
        <is>
          <t>ÄLVDALEN</t>
        </is>
      </c>
      <c r="G564" t="n">
        <v>3.8</v>
      </c>
      <c r="H564" t="n">
        <v>0</v>
      </c>
      <c r="I564" t="n">
        <v>0</v>
      </c>
      <c r="J564" t="n">
        <v>0</v>
      </c>
      <c r="K564" t="n">
        <v>0</v>
      </c>
      <c r="L564" t="n">
        <v>0</v>
      </c>
      <c r="M564" t="n">
        <v>0</v>
      </c>
      <c r="N564" t="n">
        <v>0</v>
      </c>
      <c r="O564" t="n">
        <v>0</v>
      </c>
      <c r="P564" t="n">
        <v>0</v>
      </c>
      <c r="Q564" t="n">
        <v>0</v>
      </c>
      <c r="R564" s="2" t="inlineStr"/>
    </row>
    <row r="565" ht="15" customHeight="1">
      <c r="A565" t="inlineStr">
        <is>
          <t>A 7213-2026</t>
        </is>
      </c>
      <c r="B565" s="1" t="n">
        <v>46058.54565972222</v>
      </c>
      <c r="C565" s="1" t="n">
        <v>46081</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6820-2026</t>
        </is>
      </c>
      <c r="B566" s="1" t="n">
        <v>46057.38668981481</v>
      </c>
      <c r="C566" s="1" t="n">
        <v>46081</v>
      </c>
      <c r="D566" t="inlineStr">
        <is>
          <t>DALARNAS LÄN</t>
        </is>
      </c>
      <c r="E566" t="inlineStr">
        <is>
          <t>ÄLVDALEN</t>
        </is>
      </c>
      <c r="G566" t="n">
        <v>0.8</v>
      </c>
      <c r="H566" t="n">
        <v>0</v>
      </c>
      <c r="I566" t="n">
        <v>0</v>
      </c>
      <c r="J566" t="n">
        <v>0</v>
      </c>
      <c r="K566" t="n">
        <v>0</v>
      </c>
      <c r="L566" t="n">
        <v>0</v>
      </c>
      <c r="M566" t="n">
        <v>0</v>
      </c>
      <c r="N566" t="n">
        <v>0</v>
      </c>
      <c r="O566" t="n">
        <v>0</v>
      </c>
      <c r="P566" t="n">
        <v>0</v>
      </c>
      <c r="Q566" t="n">
        <v>0</v>
      </c>
      <c r="R566" s="2" t="inlineStr"/>
    </row>
    <row r="567" ht="15" customHeight="1">
      <c r="A567" t="inlineStr">
        <is>
          <t>A 6823-2026</t>
        </is>
      </c>
      <c r="B567" s="1" t="n">
        <v>46057.39158564815</v>
      </c>
      <c r="C567" s="1" t="n">
        <v>46081</v>
      </c>
      <c r="D567" t="inlineStr">
        <is>
          <t>DALARNAS LÄN</t>
        </is>
      </c>
      <c r="E567" t="inlineStr">
        <is>
          <t>ÄLVDALEN</t>
        </is>
      </c>
      <c r="G567" t="n">
        <v>3.9</v>
      </c>
      <c r="H567" t="n">
        <v>0</v>
      </c>
      <c r="I567" t="n">
        <v>0</v>
      </c>
      <c r="J567" t="n">
        <v>0</v>
      </c>
      <c r="K567" t="n">
        <v>0</v>
      </c>
      <c r="L567" t="n">
        <v>0</v>
      </c>
      <c r="M567" t="n">
        <v>0</v>
      </c>
      <c r="N567" t="n">
        <v>0</v>
      </c>
      <c r="O567" t="n">
        <v>0</v>
      </c>
      <c r="P567" t="n">
        <v>0</v>
      </c>
      <c r="Q567" t="n">
        <v>0</v>
      </c>
      <c r="R567" s="2" t="inlineStr"/>
    </row>
    <row r="568" ht="15" customHeight="1">
      <c r="A568" t="inlineStr">
        <is>
          <t>A 7021-2026</t>
        </is>
      </c>
      <c r="B568" s="1" t="n">
        <v>46057.65300925926</v>
      </c>
      <c r="C568" s="1" t="n">
        <v>46081</v>
      </c>
      <c r="D568" t="inlineStr">
        <is>
          <t>DALARNAS LÄN</t>
        </is>
      </c>
      <c r="E568" t="inlineStr">
        <is>
          <t>ÄLVDALEN</t>
        </is>
      </c>
      <c r="G568" t="n">
        <v>21.6</v>
      </c>
      <c r="H568" t="n">
        <v>0</v>
      </c>
      <c r="I568" t="n">
        <v>0</v>
      </c>
      <c r="J568" t="n">
        <v>0</v>
      </c>
      <c r="K568" t="n">
        <v>0</v>
      </c>
      <c r="L568" t="n">
        <v>0</v>
      </c>
      <c r="M568" t="n">
        <v>0</v>
      </c>
      <c r="N568" t="n">
        <v>0</v>
      </c>
      <c r="O568" t="n">
        <v>0</v>
      </c>
      <c r="P568" t="n">
        <v>0</v>
      </c>
      <c r="Q568" t="n">
        <v>0</v>
      </c>
      <c r="R568" s="2" t="inlineStr"/>
    </row>
    <row r="569" ht="15" customHeight="1">
      <c r="A569" t="inlineStr">
        <is>
          <t>A 6847-2026</t>
        </is>
      </c>
      <c r="B569" s="1" t="n">
        <v>46057.42493055556</v>
      </c>
      <c r="C569" s="1" t="n">
        <v>46081</v>
      </c>
      <c r="D569" t="inlineStr">
        <is>
          <t>DALARNAS LÄN</t>
        </is>
      </c>
      <c r="E569" t="inlineStr">
        <is>
          <t>ÄLVDALEN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3893-2024</t>
        </is>
      </c>
      <c r="B570" s="1" t="n">
        <v>45322</v>
      </c>
      <c r="C570" s="1" t="n">
        <v>46081</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7101-2026</t>
        </is>
      </c>
      <c r="B571" s="1" t="n">
        <v>46058.35846064815</v>
      </c>
      <c r="C571" s="1" t="n">
        <v>46081</v>
      </c>
      <c r="D571" t="inlineStr">
        <is>
          <t>DALARNAS LÄN</t>
        </is>
      </c>
      <c r="E571" t="inlineStr">
        <is>
          <t>ÄLVDALEN</t>
        </is>
      </c>
      <c r="G571" t="n">
        <v>2.6</v>
      </c>
      <c r="H571" t="n">
        <v>0</v>
      </c>
      <c r="I571" t="n">
        <v>0</v>
      </c>
      <c r="J571" t="n">
        <v>0</v>
      </c>
      <c r="K571" t="n">
        <v>0</v>
      </c>
      <c r="L571" t="n">
        <v>0</v>
      </c>
      <c r="M571" t="n">
        <v>0</v>
      </c>
      <c r="N571" t="n">
        <v>0</v>
      </c>
      <c r="O571" t="n">
        <v>0</v>
      </c>
      <c r="P571" t="n">
        <v>0</v>
      </c>
      <c r="Q571" t="n">
        <v>0</v>
      </c>
      <c r="R571" s="2" t="inlineStr"/>
    </row>
    <row r="572" ht="15" customHeight="1">
      <c r="A572" t="inlineStr">
        <is>
          <t>A 6936-2026</t>
        </is>
      </c>
      <c r="B572" s="1" t="n">
        <v>46057.55954861111</v>
      </c>
      <c r="C572" s="1" t="n">
        <v>46081</v>
      </c>
      <c r="D572" t="inlineStr">
        <is>
          <t>DALARNAS LÄN</t>
        </is>
      </c>
      <c r="E572" t="inlineStr">
        <is>
          <t>ÄLVDALEN</t>
        </is>
      </c>
      <c r="G572" t="n">
        <v>1.1</v>
      </c>
      <c r="H572" t="n">
        <v>0</v>
      </c>
      <c r="I572" t="n">
        <v>0</v>
      </c>
      <c r="J572" t="n">
        <v>0</v>
      </c>
      <c r="K572" t="n">
        <v>0</v>
      </c>
      <c r="L572" t="n">
        <v>0</v>
      </c>
      <c r="M572" t="n">
        <v>0</v>
      </c>
      <c r="N572" t="n">
        <v>0</v>
      </c>
      <c r="O572" t="n">
        <v>0</v>
      </c>
      <c r="P572" t="n">
        <v>0</v>
      </c>
      <c r="Q572" t="n">
        <v>0</v>
      </c>
      <c r="R572" s="2" t="inlineStr"/>
    </row>
    <row r="573" ht="15" customHeight="1">
      <c r="A573" t="inlineStr">
        <is>
          <t>A 37665-2023</t>
        </is>
      </c>
      <c r="B573" s="1" t="n">
        <v>45159.5371875</v>
      </c>
      <c r="C573" s="1" t="n">
        <v>46081</v>
      </c>
      <c r="D573" t="inlineStr">
        <is>
          <t>DALARNAS LÄN</t>
        </is>
      </c>
      <c r="E573" t="inlineStr">
        <is>
          <t>ÄLVDALEN</t>
        </is>
      </c>
      <c r="F573" t="inlineStr">
        <is>
          <t>Allmännings- och besparingsskogar</t>
        </is>
      </c>
      <c r="G573" t="n">
        <v>0.5</v>
      </c>
      <c r="H573" t="n">
        <v>0</v>
      </c>
      <c r="I573" t="n">
        <v>0</v>
      </c>
      <c r="J573" t="n">
        <v>0</v>
      </c>
      <c r="K573" t="n">
        <v>0</v>
      </c>
      <c r="L573" t="n">
        <v>0</v>
      </c>
      <c r="M573" t="n">
        <v>0</v>
      </c>
      <c r="N573" t="n">
        <v>0</v>
      </c>
      <c r="O573" t="n">
        <v>0</v>
      </c>
      <c r="P573" t="n">
        <v>0</v>
      </c>
      <c r="Q573" t="n">
        <v>0</v>
      </c>
      <c r="R573" s="2" t="inlineStr"/>
    </row>
    <row r="574" ht="15" customHeight="1">
      <c r="A574" t="inlineStr">
        <is>
          <t>A 1310-2024</t>
        </is>
      </c>
      <c r="B574" s="1" t="n">
        <v>45303</v>
      </c>
      <c r="C574" s="1" t="n">
        <v>46081</v>
      </c>
      <c r="D574" t="inlineStr">
        <is>
          <t>DALARNAS LÄN</t>
        </is>
      </c>
      <c r="E574" t="inlineStr">
        <is>
          <t>ÄLVDALEN</t>
        </is>
      </c>
      <c r="G574" t="n">
        <v>4.3</v>
      </c>
      <c r="H574" t="n">
        <v>0</v>
      </c>
      <c r="I574" t="n">
        <v>0</v>
      </c>
      <c r="J574" t="n">
        <v>0</v>
      </c>
      <c r="K574" t="n">
        <v>0</v>
      </c>
      <c r="L574" t="n">
        <v>0</v>
      </c>
      <c r="M574" t="n">
        <v>0</v>
      </c>
      <c r="N574" t="n">
        <v>0</v>
      </c>
      <c r="O574" t="n">
        <v>0</v>
      </c>
      <c r="P574" t="n">
        <v>0</v>
      </c>
      <c r="Q574" t="n">
        <v>0</v>
      </c>
      <c r="R574" s="2" t="inlineStr"/>
    </row>
    <row r="575" ht="15" customHeight="1">
      <c r="A575" t="inlineStr">
        <is>
          <t>A 7458-2026</t>
        </is>
      </c>
      <c r="B575" s="1" t="n">
        <v>46059.47412037037</v>
      </c>
      <c r="C575" s="1" t="n">
        <v>46081</v>
      </c>
      <c r="D575" t="inlineStr">
        <is>
          <t>DALARNAS LÄN</t>
        </is>
      </c>
      <c r="E575" t="inlineStr">
        <is>
          <t>ÄLVDALEN</t>
        </is>
      </c>
      <c r="G575" t="n">
        <v>0.9</v>
      </c>
      <c r="H575" t="n">
        <v>0</v>
      </c>
      <c r="I575" t="n">
        <v>0</v>
      </c>
      <c r="J575" t="n">
        <v>0</v>
      </c>
      <c r="K575" t="n">
        <v>0</v>
      </c>
      <c r="L575" t="n">
        <v>0</v>
      </c>
      <c r="M575" t="n">
        <v>0</v>
      </c>
      <c r="N575" t="n">
        <v>0</v>
      </c>
      <c r="O575" t="n">
        <v>0</v>
      </c>
      <c r="P575" t="n">
        <v>0</v>
      </c>
      <c r="Q575" t="n">
        <v>0</v>
      </c>
      <c r="R575" s="2" t="inlineStr"/>
    </row>
    <row r="576" ht="15" customHeight="1">
      <c r="A576" t="inlineStr">
        <is>
          <t>A 7788-2026</t>
        </is>
      </c>
      <c r="B576" s="1" t="n">
        <v>46062.58864583333</v>
      </c>
      <c r="C576" s="1" t="n">
        <v>46081</v>
      </c>
      <c r="D576" t="inlineStr">
        <is>
          <t>DALARNAS LÄN</t>
        </is>
      </c>
      <c r="E576" t="inlineStr">
        <is>
          <t>ÄLVDALEN</t>
        </is>
      </c>
      <c r="G576" t="n">
        <v>0.9</v>
      </c>
      <c r="H576" t="n">
        <v>0</v>
      </c>
      <c r="I576" t="n">
        <v>0</v>
      </c>
      <c r="J576" t="n">
        <v>0</v>
      </c>
      <c r="K576" t="n">
        <v>0</v>
      </c>
      <c r="L576" t="n">
        <v>0</v>
      </c>
      <c r="M576" t="n">
        <v>0</v>
      </c>
      <c r="N576" t="n">
        <v>0</v>
      </c>
      <c r="O576" t="n">
        <v>0</v>
      </c>
      <c r="P576" t="n">
        <v>0</v>
      </c>
      <c r="Q576" t="n">
        <v>0</v>
      </c>
      <c r="R576" s="2" t="inlineStr"/>
    </row>
    <row r="577" ht="15" customHeight="1">
      <c r="A577" t="inlineStr">
        <is>
          <t>A 7784-2026</t>
        </is>
      </c>
      <c r="B577" s="1" t="n">
        <v>46062.58371527777</v>
      </c>
      <c r="C577" s="1" t="n">
        <v>46081</v>
      </c>
      <c r="D577" t="inlineStr">
        <is>
          <t>DALARNAS LÄN</t>
        </is>
      </c>
      <c r="E577" t="inlineStr">
        <is>
          <t>ÄLVDALEN</t>
        </is>
      </c>
      <c r="G577" t="n">
        <v>1</v>
      </c>
      <c r="H577" t="n">
        <v>0</v>
      </c>
      <c r="I577" t="n">
        <v>0</v>
      </c>
      <c r="J577" t="n">
        <v>0</v>
      </c>
      <c r="K577" t="n">
        <v>0</v>
      </c>
      <c r="L577" t="n">
        <v>0</v>
      </c>
      <c r="M577" t="n">
        <v>0</v>
      </c>
      <c r="N577" t="n">
        <v>0</v>
      </c>
      <c r="O577" t="n">
        <v>0</v>
      </c>
      <c r="P577" t="n">
        <v>0</v>
      </c>
      <c r="Q577" t="n">
        <v>0</v>
      </c>
      <c r="R577" s="2" t="inlineStr"/>
    </row>
    <row r="578" ht="15" customHeight="1">
      <c r="A578" t="inlineStr">
        <is>
          <t>A 7782-2026</t>
        </is>
      </c>
      <c r="B578" s="1" t="n">
        <v>46062.57849537037</v>
      </c>
      <c r="C578" s="1" t="n">
        <v>46081</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7795-2026</t>
        </is>
      </c>
      <c r="B579" s="1" t="n">
        <v>46062.59821759259</v>
      </c>
      <c r="C579" s="1" t="n">
        <v>46081</v>
      </c>
      <c r="D579" t="inlineStr">
        <is>
          <t>DALARNAS LÄN</t>
        </is>
      </c>
      <c r="E579" t="inlineStr">
        <is>
          <t>ÄLVDALEN</t>
        </is>
      </c>
      <c r="G579" t="n">
        <v>0.4</v>
      </c>
      <c r="H579" t="n">
        <v>0</v>
      </c>
      <c r="I579" t="n">
        <v>0</v>
      </c>
      <c r="J579" t="n">
        <v>0</v>
      </c>
      <c r="K579" t="n">
        <v>0</v>
      </c>
      <c r="L579" t="n">
        <v>0</v>
      </c>
      <c r="M579" t="n">
        <v>0</v>
      </c>
      <c r="N579" t="n">
        <v>0</v>
      </c>
      <c r="O579" t="n">
        <v>0</v>
      </c>
      <c r="P579" t="n">
        <v>0</v>
      </c>
      <c r="Q579" t="n">
        <v>0</v>
      </c>
      <c r="R579" s="2" t="inlineStr"/>
    </row>
    <row r="580" ht="15" customHeight="1">
      <c r="A580" t="inlineStr">
        <is>
          <t>A 7802-2026</t>
        </is>
      </c>
      <c r="B580" s="1" t="n">
        <v>46062.60400462963</v>
      </c>
      <c r="C580" s="1" t="n">
        <v>46081</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19527-2025</t>
        </is>
      </c>
      <c r="B581" s="1" t="n">
        <v>45770.46546296297</v>
      </c>
      <c r="C581" s="1" t="n">
        <v>46081</v>
      </c>
      <c r="D581" t="inlineStr">
        <is>
          <t>DALARNAS LÄN</t>
        </is>
      </c>
      <c r="E581" t="inlineStr">
        <is>
          <t>ÄLVDALEN</t>
        </is>
      </c>
      <c r="F581" t="inlineStr">
        <is>
          <t>Allmännings- och besparingsskogar</t>
        </is>
      </c>
      <c r="G581" t="n">
        <v>4.2</v>
      </c>
      <c r="H581" t="n">
        <v>0</v>
      </c>
      <c r="I581" t="n">
        <v>0</v>
      </c>
      <c r="J581" t="n">
        <v>0</v>
      </c>
      <c r="K581" t="n">
        <v>0</v>
      </c>
      <c r="L581" t="n">
        <v>0</v>
      </c>
      <c r="M581" t="n">
        <v>0</v>
      </c>
      <c r="N581" t="n">
        <v>0</v>
      </c>
      <c r="O581" t="n">
        <v>0</v>
      </c>
      <c r="P581" t="n">
        <v>0</v>
      </c>
      <c r="Q581" t="n">
        <v>0</v>
      </c>
      <c r="R581" s="2" t="inlineStr"/>
    </row>
    <row r="582" ht="15" customHeight="1">
      <c r="A582" t="inlineStr">
        <is>
          <t>A 6001-2024</t>
        </is>
      </c>
      <c r="B582" s="1" t="n">
        <v>45336</v>
      </c>
      <c r="C582" s="1" t="n">
        <v>46081</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44119-2022</t>
        </is>
      </c>
      <c r="B583" s="1" t="n">
        <v>44839.39157407408</v>
      </c>
      <c r="C583" s="1" t="n">
        <v>46081</v>
      </c>
      <c r="D583" t="inlineStr">
        <is>
          <t>DALARNAS LÄN</t>
        </is>
      </c>
      <c r="E583" t="inlineStr">
        <is>
          <t>ÄLVDALEN</t>
        </is>
      </c>
      <c r="G583" t="n">
        <v>3.2</v>
      </c>
      <c r="H583" t="n">
        <v>0</v>
      </c>
      <c r="I583" t="n">
        <v>0</v>
      </c>
      <c r="J583" t="n">
        <v>0</v>
      </c>
      <c r="K583" t="n">
        <v>0</v>
      </c>
      <c r="L583" t="n">
        <v>0</v>
      </c>
      <c r="M583" t="n">
        <v>0</v>
      </c>
      <c r="N583" t="n">
        <v>0</v>
      </c>
      <c r="O583" t="n">
        <v>0</v>
      </c>
      <c r="P583" t="n">
        <v>0</v>
      </c>
      <c r="Q583" t="n">
        <v>0</v>
      </c>
      <c r="R583" s="2" t="inlineStr"/>
    </row>
    <row r="584" ht="15" customHeight="1">
      <c r="A584" t="inlineStr">
        <is>
          <t>A 68219-2021</t>
        </is>
      </c>
      <c r="B584" s="1" t="n">
        <v>44526.57060185185</v>
      </c>
      <c r="C584" s="1" t="n">
        <v>46081</v>
      </c>
      <c r="D584" t="inlineStr">
        <is>
          <t>DALARNAS LÄN</t>
        </is>
      </c>
      <c r="E584" t="inlineStr">
        <is>
          <t>ÄLVDALEN</t>
        </is>
      </c>
      <c r="F584" t="inlineStr">
        <is>
          <t>Kyrkan</t>
        </is>
      </c>
      <c r="G584" t="n">
        <v>2.7</v>
      </c>
      <c r="H584" t="n">
        <v>0</v>
      </c>
      <c r="I584" t="n">
        <v>0</v>
      </c>
      <c r="J584" t="n">
        <v>0</v>
      </c>
      <c r="K584" t="n">
        <v>0</v>
      </c>
      <c r="L584" t="n">
        <v>0</v>
      </c>
      <c r="M584" t="n">
        <v>0</v>
      </c>
      <c r="N584" t="n">
        <v>0</v>
      </c>
      <c r="O584" t="n">
        <v>0</v>
      </c>
      <c r="P584" t="n">
        <v>0</v>
      </c>
      <c r="Q584" t="n">
        <v>0</v>
      </c>
      <c r="R584" s="2" t="inlineStr"/>
    </row>
    <row r="585" ht="15" customHeight="1">
      <c r="A585" t="inlineStr">
        <is>
          <t>A 29610-2024</t>
        </is>
      </c>
      <c r="B585" s="1" t="n">
        <v>45484</v>
      </c>
      <c r="C585" s="1" t="n">
        <v>46081</v>
      </c>
      <c r="D585" t="inlineStr">
        <is>
          <t>DALARNAS LÄN</t>
        </is>
      </c>
      <c r="E585" t="inlineStr">
        <is>
          <t>ÄLVDALEN</t>
        </is>
      </c>
      <c r="G585" t="n">
        <v>1</v>
      </c>
      <c r="H585" t="n">
        <v>0</v>
      </c>
      <c r="I585" t="n">
        <v>0</v>
      </c>
      <c r="J585" t="n">
        <v>0</v>
      </c>
      <c r="K585" t="n">
        <v>0</v>
      </c>
      <c r="L585" t="n">
        <v>0</v>
      </c>
      <c r="M585" t="n">
        <v>0</v>
      </c>
      <c r="N585" t="n">
        <v>0</v>
      </c>
      <c r="O585" t="n">
        <v>0</v>
      </c>
      <c r="P585" t="n">
        <v>0</v>
      </c>
      <c r="Q585" t="n">
        <v>0</v>
      </c>
      <c r="R585" s="2" t="inlineStr"/>
    </row>
    <row r="586" ht="15" customHeight="1">
      <c r="A586" t="inlineStr">
        <is>
          <t>A 8085-2026</t>
        </is>
      </c>
      <c r="B586" s="1" t="n">
        <v>46063.68006944445</v>
      </c>
      <c r="C586" s="1" t="n">
        <v>46081</v>
      </c>
      <c r="D586" t="inlineStr">
        <is>
          <t>DALARNAS LÄN</t>
        </is>
      </c>
      <c r="E586" t="inlineStr">
        <is>
          <t>ÄLVDALEN</t>
        </is>
      </c>
      <c r="G586" t="n">
        <v>3.5</v>
      </c>
      <c r="H586" t="n">
        <v>0</v>
      </c>
      <c r="I586" t="n">
        <v>0</v>
      </c>
      <c r="J586" t="n">
        <v>0</v>
      </c>
      <c r="K586" t="n">
        <v>0</v>
      </c>
      <c r="L586" t="n">
        <v>0</v>
      </c>
      <c r="M586" t="n">
        <v>0</v>
      </c>
      <c r="N586" t="n">
        <v>0</v>
      </c>
      <c r="O586" t="n">
        <v>0</v>
      </c>
      <c r="P586" t="n">
        <v>0</v>
      </c>
      <c r="Q586" t="n">
        <v>0</v>
      </c>
      <c r="R586" s="2" t="inlineStr"/>
    </row>
    <row r="587" ht="15" customHeight="1">
      <c r="A587" t="inlineStr">
        <is>
          <t>A 140-2026</t>
        </is>
      </c>
      <c r="B587" s="1" t="n">
        <v>46024</v>
      </c>
      <c r="C587" s="1" t="n">
        <v>46081</v>
      </c>
      <c r="D587" t="inlineStr">
        <is>
          <t>DALARNAS LÄN</t>
        </is>
      </c>
      <c r="E587" t="inlineStr">
        <is>
          <t>ÄLVDALEN</t>
        </is>
      </c>
      <c r="G587" t="n">
        <v>0.9</v>
      </c>
      <c r="H587" t="n">
        <v>0</v>
      </c>
      <c r="I587" t="n">
        <v>0</v>
      </c>
      <c r="J587" t="n">
        <v>0</v>
      </c>
      <c r="K587" t="n">
        <v>0</v>
      </c>
      <c r="L587" t="n">
        <v>0</v>
      </c>
      <c r="M587" t="n">
        <v>0</v>
      </c>
      <c r="N587" t="n">
        <v>0</v>
      </c>
      <c r="O587" t="n">
        <v>0</v>
      </c>
      <c r="P587" t="n">
        <v>0</v>
      </c>
      <c r="Q587" t="n">
        <v>0</v>
      </c>
      <c r="R587" s="2" t="inlineStr"/>
    </row>
    <row r="588" ht="15" customHeight="1">
      <c r="A588" t="inlineStr">
        <is>
          <t>A 7900-2026</t>
        </is>
      </c>
      <c r="B588" s="1" t="n">
        <v>46063</v>
      </c>
      <c r="C588" s="1" t="n">
        <v>46081</v>
      </c>
      <c r="D588" t="inlineStr">
        <is>
          <t>DALARNAS LÄN</t>
        </is>
      </c>
      <c r="E588" t="inlineStr">
        <is>
          <t>ÄLVDALEN</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23553-2025</t>
        </is>
      </c>
      <c r="B589" s="1" t="n">
        <v>45792</v>
      </c>
      <c r="C589" s="1" t="n">
        <v>46081</v>
      </c>
      <c r="D589" t="inlineStr">
        <is>
          <t>DALARNAS LÄN</t>
        </is>
      </c>
      <c r="E589" t="inlineStr">
        <is>
          <t>ÄLVDALEN</t>
        </is>
      </c>
      <c r="G589" t="n">
        <v>46.2</v>
      </c>
      <c r="H589" t="n">
        <v>0</v>
      </c>
      <c r="I589" t="n">
        <v>0</v>
      </c>
      <c r="J589" t="n">
        <v>0</v>
      </c>
      <c r="K589" t="n">
        <v>0</v>
      </c>
      <c r="L589" t="n">
        <v>0</v>
      </c>
      <c r="M589" t="n">
        <v>0</v>
      </c>
      <c r="N589" t="n">
        <v>0</v>
      </c>
      <c r="O589" t="n">
        <v>0</v>
      </c>
      <c r="P589" t="n">
        <v>0</v>
      </c>
      <c r="Q589" t="n">
        <v>0</v>
      </c>
      <c r="R589" s="2" t="inlineStr"/>
    </row>
    <row r="590" ht="15" customHeight="1">
      <c r="A590" t="inlineStr">
        <is>
          <t>A 3900-2024</t>
        </is>
      </c>
      <c r="B590" s="1" t="n">
        <v>45322</v>
      </c>
      <c r="C590" s="1" t="n">
        <v>46081</v>
      </c>
      <c r="D590" t="inlineStr">
        <is>
          <t>DALARNAS LÄN</t>
        </is>
      </c>
      <c r="E590" t="inlineStr">
        <is>
          <t>ÄLVDALEN</t>
        </is>
      </c>
      <c r="G590" t="n">
        <v>1.1</v>
      </c>
      <c r="H590" t="n">
        <v>0</v>
      </c>
      <c r="I590" t="n">
        <v>0</v>
      </c>
      <c r="J590" t="n">
        <v>0</v>
      </c>
      <c r="K590" t="n">
        <v>0</v>
      </c>
      <c r="L590" t="n">
        <v>0</v>
      </c>
      <c r="M590" t="n">
        <v>0</v>
      </c>
      <c r="N590" t="n">
        <v>0</v>
      </c>
      <c r="O590" t="n">
        <v>0</v>
      </c>
      <c r="P590" t="n">
        <v>0</v>
      </c>
      <c r="Q590" t="n">
        <v>0</v>
      </c>
      <c r="R590" s="2" t="inlineStr"/>
    </row>
    <row r="591" ht="15" customHeight="1">
      <c r="A591" t="inlineStr">
        <is>
          <t>A 2375-2024</t>
        </is>
      </c>
      <c r="B591" s="1" t="n">
        <v>45310</v>
      </c>
      <c r="C591" s="1" t="n">
        <v>46081</v>
      </c>
      <c r="D591" t="inlineStr">
        <is>
          <t>DALARNAS LÄN</t>
        </is>
      </c>
      <c r="E591" t="inlineStr">
        <is>
          <t>ÄLVDALEN</t>
        </is>
      </c>
      <c r="G591" t="n">
        <v>5.4</v>
      </c>
      <c r="H591" t="n">
        <v>0</v>
      </c>
      <c r="I591" t="n">
        <v>0</v>
      </c>
      <c r="J591" t="n">
        <v>0</v>
      </c>
      <c r="K591" t="n">
        <v>0</v>
      </c>
      <c r="L591" t="n">
        <v>0</v>
      </c>
      <c r="M591" t="n">
        <v>0</v>
      </c>
      <c r="N591" t="n">
        <v>0</v>
      </c>
      <c r="O591" t="n">
        <v>0</v>
      </c>
      <c r="P591" t="n">
        <v>0</v>
      </c>
      <c r="Q591" t="n">
        <v>0</v>
      </c>
      <c r="R591" s="2" t="inlineStr"/>
    </row>
    <row r="592" ht="15" customHeight="1">
      <c r="A592" t="inlineStr">
        <is>
          <t>A 7916-2026</t>
        </is>
      </c>
      <c r="B592" s="1" t="n">
        <v>46063</v>
      </c>
      <c r="C592" s="1" t="n">
        <v>46081</v>
      </c>
      <c r="D592" t="inlineStr">
        <is>
          <t>DALARNAS LÄN</t>
        </is>
      </c>
      <c r="E592" t="inlineStr">
        <is>
          <t>ÄLVDALEN</t>
        </is>
      </c>
      <c r="F592" t="inlineStr">
        <is>
          <t>Övriga Aktiebolag</t>
        </is>
      </c>
      <c r="G592" t="n">
        <v>41.2</v>
      </c>
      <c r="H592" t="n">
        <v>0</v>
      </c>
      <c r="I592" t="n">
        <v>0</v>
      </c>
      <c r="J592" t="n">
        <v>0</v>
      </c>
      <c r="K592" t="n">
        <v>0</v>
      </c>
      <c r="L592" t="n">
        <v>0</v>
      </c>
      <c r="M592" t="n">
        <v>0</v>
      </c>
      <c r="N592" t="n">
        <v>0</v>
      </c>
      <c r="O592" t="n">
        <v>0</v>
      </c>
      <c r="P592" t="n">
        <v>0</v>
      </c>
      <c r="Q592" t="n">
        <v>0</v>
      </c>
      <c r="R592" s="2" t="inlineStr"/>
    </row>
    <row r="593" ht="15" customHeight="1">
      <c r="A593" t="inlineStr">
        <is>
          <t>A 35161-2023</t>
        </is>
      </c>
      <c r="B593" s="1" t="n">
        <v>45145.57525462963</v>
      </c>
      <c r="C593" s="1" t="n">
        <v>46081</v>
      </c>
      <c r="D593" t="inlineStr">
        <is>
          <t>DALARNAS LÄN</t>
        </is>
      </c>
      <c r="E593" t="inlineStr">
        <is>
          <t>ÄLVDALEN</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8644-2026</t>
        </is>
      </c>
      <c r="B594" s="1" t="n">
        <v>46066.36326388889</v>
      </c>
      <c r="C594" s="1" t="n">
        <v>46081</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9115-2026</t>
        </is>
      </c>
      <c r="B595" s="1" t="n">
        <v>46069</v>
      </c>
      <c r="C595" s="1" t="n">
        <v>46081</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241-2026</t>
        </is>
      </c>
      <c r="B596" s="1" t="n">
        <v>46027</v>
      </c>
      <c r="C596" s="1" t="n">
        <v>46081</v>
      </c>
      <c r="D596" t="inlineStr">
        <is>
          <t>DALARNAS LÄN</t>
        </is>
      </c>
      <c r="E596" t="inlineStr">
        <is>
          <t>ÄLVDALEN</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5925-2026</t>
        </is>
      </c>
      <c r="B597" s="1" t="n">
        <v>46052</v>
      </c>
      <c r="C597" s="1" t="n">
        <v>46081</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1011-2026</t>
        </is>
      </c>
      <c r="B598" s="1" t="n">
        <v>46030.60111111111</v>
      </c>
      <c r="C598" s="1" t="n">
        <v>46081</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583-2026</t>
        </is>
      </c>
      <c r="B599" s="1" t="n">
        <v>46029.48274305555</v>
      </c>
      <c r="C599" s="1" t="n">
        <v>46081</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47873-2023</t>
        </is>
      </c>
      <c r="B600" s="1" t="n">
        <v>45204</v>
      </c>
      <c r="C600" s="1" t="n">
        <v>46081</v>
      </c>
      <c r="D600" t="inlineStr">
        <is>
          <t>DALARNAS LÄN</t>
        </is>
      </c>
      <c r="E600" t="inlineStr">
        <is>
          <t>ÄLVDALEN</t>
        </is>
      </c>
      <c r="G600" t="n">
        <v>1.3</v>
      </c>
      <c r="H600" t="n">
        <v>0</v>
      </c>
      <c r="I600" t="n">
        <v>0</v>
      </c>
      <c r="J600" t="n">
        <v>0</v>
      </c>
      <c r="K600" t="n">
        <v>0</v>
      </c>
      <c r="L600" t="n">
        <v>0</v>
      </c>
      <c r="M600" t="n">
        <v>0</v>
      </c>
      <c r="N600" t="n">
        <v>0</v>
      </c>
      <c r="O600" t="n">
        <v>0</v>
      </c>
      <c r="P600" t="n">
        <v>0</v>
      </c>
      <c r="Q600" t="n">
        <v>0</v>
      </c>
      <c r="R600" s="2" t="inlineStr"/>
    </row>
    <row r="601" ht="15" customHeight="1">
      <c r="A601" t="inlineStr">
        <is>
          <t>A 31690-2024</t>
        </is>
      </c>
      <c r="B601" s="1" t="n">
        <v>45507</v>
      </c>
      <c r="C601" s="1" t="n">
        <v>46081</v>
      </c>
      <c r="D601" t="inlineStr">
        <is>
          <t>DALARNAS LÄN</t>
        </is>
      </c>
      <c r="E601" t="inlineStr">
        <is>
          <t>ÄLVDALEN</t>
        </is>
      </c>
      <c r="G601" t="n">
        <v>2.3</v>
      </c>
      <c r="H601" t="n">
        <v>0</v>
      </c>
      <c r="I601" t="n">
        <v>0</v>
      </c>
      <c r="J601" t="n">
        <v>0</v>
      </c>
      <c r="K601" t="n">
        <v>0</v>
      </c>
      <c r="L601" t="n">
        <v>0</v>
      </c>
      <c r="M601" t="n">
        <v>0</v>
      </c>
      <c r="N601" t="n">
        <v>0</v>
      </c>
      <c r="O601" t="n">
        <v>0</v>
      </c>
      <c r="P601" t="n">
        <v>0</v>
      </c>
      <c r="Q601" t="n">
        <v>0</v>
      </c>
      <c r="R601" s="2" t="inlineStr"/>
    </row>
    <row r="602" ht="15" customHeight="1">
      <c r="A602" t="inlineStr">
        <is>
          <t>A 23570-2023</t>
        </is>
      </c>
      <c r="B602" s="1" t="n">
        <v>45077</v>
      </c>
      <c r="C602" s="1" t="n">
        <v>46081</v>
      </c>
      <c r="D602" t="inlineStr">
        <is>
          <t>DALARNAS LÄN</t>
        </is>
      </c>
      <c r="E602" t="inlineStr">
        <is>
          <t>ÄLVDALEN</t>
        </is>
      </c>
      <c r="G602" t="n">
        <v>4.9</v>
      </c>
      <c r="H602" t="n">
        <v>0</v>
      </c>
      <c r="I602" t="n">
        <v>0</v>
      </c>
      <c r="J602" t="n">
        <v>0</v>
      </c>
      <c r="K602" t="n">
        <v>0</v>
      </c>
      <c r="L602" t="n">
        <v>0</v>
      </c>
      <c r="M602" t="n">
        <v>0</v>
      </c>
      <c r="N602" t="n">
        <v>0</v>
      </c>
      <c r="O602" t="n">
        <v>0</v>
      </c>
      <c r="P602" t="n">
        <v>0</v>
      </c>
      <c r="Q602" t="n">
        <v>0</v>
      </c>
      <c r="R602" s="2" t="inlineStr"/>
    </row>
    <row r="603" ht="15" customHeight="1">
      <c r="A603" t="inlineStr">
        <is>
          <t>A 39227-2024</t>
        </is>
      </c>
      <c r="B603" s="1" t="n">
        <v>45550.50548611111</v>
      </c>
      <c r="C603" s="1" t="n">
        <v>46081</v>
      </c>
      <c r="D603" t="inlineStr">
        <is>
          <t>DALARNAS LÄN</t>
        </is>
      </c>
      <c r="E603" t="inlineStr">
        <is>
          <t>ÄLVDALEN</t>
        </is>
      </c>
      <c r="G603" t="n">
        <v>0.2</v>
      </c>
      <c r="H603" t="n">
        <v>0</v>
      </c>
      <c r="I603" t="n">
        <v>0</v>
      </c>
      <c r="J603" t="n">
        <v>0</v>
      </c>
      <c r="K603" t="n">
        <v>0</v>
      </c>
      <c r="L603" t="n">
        <v>0</v>
      </c>
      <c r="M603" t="n">
        <v>0</v>
      </c>
      <c r="N603" t="n">
        <v>0</v>
      </c>
      <c r="O603" t="n">
        <v>0</v>
      </c>
      <c r="P603" t="n">
        <v>0</v>
      </c>
      <c r="Q603" t="n">
        <v>0</v>
      </c>
      <c r="R603" s="2" t="inlineStr"/>
    </row>
    <row r="604" ht="15" customHeight="1">
      <c r="A604" t="inlineStr">
        <is>
          <t>A 1138-2026</t>
        </is>
      </c>
      <c r="B604" s="1" t="n">
        <v>46030</v>
      </c>
      <c r="C604" s="1" t="n">
        <v>46081</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9498-2026</t>
        </is>
      </c>
      <c r="B605" s="1" t="n">
        <v>46071.57155092592</v>
      </c>
      <c r="C605" s="1" t="n">
        <v>46081</v>
      </c>
      <c r="D605" t="inlineStr">
        <is>
          <t>DALARNAS LÄN</t>
        </is>
      </c>
      <c r="E605" t="inlineStr">
        <is>
          <t>ÄLVDALEN</t>
        </is>
      </c>
      <c r="G605" t="n">
        <v>5.3</v>
      </c>
      <c r="H605" t="n">
        <v>0</v>
      </c>
      <c r="I605" t="n">
        <v>0</v>
      </c>
      <c r="J605" t="n">
        <v>0</v>
      </c>
      <c r="K605" t="n">
        <v>0</v>
      </c>
      <c r="L605" t="n">
        <v>0</v>
      </c>
      <c r="M605" t="n">
        <v>0</v>
      </c>
      <c r="N605" t="n">
        <v>0</v>
      </c>
      <c r="O605" t="n">
        <v>0</v>
      </c>
      <c r="P605" t="n">
        <v>0</v>
      </c>
      <c r="Q605" t="n">
        <v>0</v>
      </c>
      <c r="R605" s="2" t="inlineStr"/>
    </row>
    <row r="606" ht="15" customHeight="1">
      <c r="A606" t="inlineStr">
        <is>
          <t>A 510-2024</t>
        </is>
      </c>
      <c r="B606" s="1" t="n">
        <v>45299.39997685186</v>
      </c>
      <c r="C606" s="1" t="n">
        <v>46081</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9492-2026</t>
        </is>
      </c>
      <c r="B607" s="1" t="n">
        <v>46071.55731481482</v>
      </c>
      <c r="C607" s="1" t="n">
        <v>46081</v>
      </c>
      <c r="D607" t="inlineStr">
        <is>
          <t>DALARNAS LÄN</t>
        </is>
      </c>
      <c r="E607" t="inlineStr">
        <is>
          <t>ÄLVDALEN</t>
        </is>
      </c>
      <c r="G607" t="n">
        <v>2.4</v>
      </c>
      <c r="H607" t="n">
        <v>0</v>
      </c>
      <c r="I607" t="n">
        <v>0</v>
      </c>
      <c r="J607" t="n">
        <v>0</v>
      </c>
      <c r="K607" t="n">
        <v>0</v>
      </c>
      <c r="L607" t="n">
        <v>0</v>
      </c>
      <c r="M607" t="n">
        <v>0</v>
      </c>
      <c r="N607" t="n">
        <v>0</v>
      </c>
      <c r="O607" t="n">
        <v>0</v>
      </c>
      <c r="P607" t="n">
        <v>0</v>
      </c>
      <c r="Q607" t="n">
        <v>0</v>
      </c>
      <c r="R607" s="2" t="inlineStr"/>
    </row>
    <row r="608" ht="15" customHeight="1">
      <c r="A608" t="inlineStr">
        <is>
          <t>A 588-2026</t>
        </is>
      </c>
      <c r="B608" s="1" t="n">
        <v>46029.4896875</v>
      </c>
      <c r="C608" s="1" t="n">
        <v>46081</v>
      </c>
      <c r="D608" t="inlineStr">
        <is>
          <t>DALARNAS LÄN</t>
        </is>
      </c>
      <c r="E608" t="inlineStr">
        <is>
          <t>ÄLVDALEN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575-2026</t>
        </is>
      </c>
      <c r="B609" s="1" t="n">
        <v>46029.47552083333</v>
      </c>
      <c r="C609" s="1" t="n">
        <v>46081</v>
      </c>
      <c r="D609" t="inlineStr">
        <is>
          <t>DALARNAS LÄN</t>
        </is>
      </c>
      <c r="E609" t="inlineStr">
        <is>
          <t>ÄLVDALEN</t>
        </is>
      </c>
      <c r="G609" t="n">
        <v>4.3</v>
      </c>
      <c r="H609" t="n">
        <v>0</v>
      </c>
      <c r="I609" t="n">
        <v>0</v>
      </c>
      <c r="J609" t="n">
        <v>0</v>
      </c>
      <c r="K609" t="n">
        <v>0</v>
      </c>
      <c r="L609" t="n">
        <v>0</v>
      </c>
      <c r="M609" t="n">
        <v>0</v>
      </c>
      <c r="N609" t="n">
        <v>0</v>
      </c>
      <c r="O609" t="n">
        <v>0</v>
      </c>
      <c r="P609" t="n">
        <v>0</v>
      </c>
      <c r="Q609" t="n">
        <v>0</v>
      </c>
      <c r="R609" s="2" t="inlineStr"/>
    </row>
    <row r="610" ht="15" customHeight="1">
      <c r="A610" t="inlineStr">
        <is>
          <t>A 4662-2024</t>
        </is>
      </c>
      <c r="B610" s="1" t="n">
        <v>45328.465625</v>
      </c>
      <c r="C610" s="1" t="n">
        <v>46081</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9915-2026</t>
        </is>
      </c>
      <c r="B611" s="1" t="n">
        <v>46073.43303240741</v>
      </c>
      <c r="C611" s="1" t="n">
        <v>46081</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5063-2025</t>
        </is>
      </c>
      <c r="B612" s="1" t="n">
        <v>45691.47466435185</v>
      </c>
      <c r="C612" s="1" t="n">
        <v>46081</v>
      </c>
      <c r="D612" t="inlineStr">
        <is>
          <t>DALARNAS LÄN</t>
        </is>
      </c>
      <c r="E612" t="inlineStr">
        <is>
          <t>ÄLVDALEN</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37438-2024</t>
        </is>
      </c>
      <c r="B613" s="1" t="n">
        <v>45540</v>
      </c>
      <c r="C613" s="1" t="n">
        <v>46081</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42679-2024</t>
        </is>
      </c>
      <c r="B614" s="1" t="n">
        <v>45566.37706018519</v>
      </c>
      <c r="C614" s="1" t="n">
        <v>46081</v>
      </c>
      <c r="D614" t="inlineStr">
        <is>
          <t>DALARNAS LÄN</t>
        </is>
      </c>
      <c r="E614" t="inlineStr">
        <is>
          <t>ÄLVDALEN</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19553-2025</t>
        </is>
      </c>
      <c r="B615" s="1" t="n">
        <v>45770</v>
      </c>
      <c r="C615" s="1" t="n">
        <v>46081</v>
      </c>
      <c r="D615" t="inlineStr">
        <is>
          <t>DALARNAS LÄN</t>
        </is>
      </c>
      <c r="E615" t="inlineStr">
        <is>
          <t>ÄLVDALEN</t>
        </is>
      </c>
      <c r="F615" t="inlineStr">
        <is>
          <t>Sveaskog</t>
        </is>
      </c>
      <c r="G615" t="n">
        <v>25.2</v>
      </c>
      <c r="H615" t="n">
        <v>0</v>
      </c>
      <c r="I615" t="n">
        <v>0</v>
      </c>
      <c r="J615" t="n">
        <v>0</v>
      </c>
      <c r="K615" t="n">
        <v>0</v>
      </c>
      <c r="L615" t="n">
        <v>0</v>
      </c>
      <c r="M615" t="n">
        <v>0</v>
      </c>
      <c r="N615" t="n">
        <v>0</v>
      </c>
      <c r="O615" t="n">
        <v>0</v>
      </c>
      <c r="P615" t="n">
        <v>0</v>
      </c>
      <c r="Q615" t="n">
        <v>0</v>
      </c>
      <c r="R615" s="2" t="inlineStr"/>
    </row>
    <row r="616" ht="15" customHeight="1">
      <c r="A616" t="inlineStr">
        <is>
          <t>A 4380-2024</t>
        </is>
      </c>
      <c r="B616" s="1" t="n">
        <v>45327</v>
      </c>
      <c r="C616" s="1" t="n">
        <v>46081</v>
      </c>
      <c r="D616" t="inlineStr">
        <is>
          <t>DALARNAS LÄN</t>
        </is>
      </c>
      <c r="E616" t="inlineStr">
        <is>
          <t>ÄLVDALEN</t>
        </is>
      </c>
      <c r="G616" t="n">
        <v>6.3</v>
      </c>
      <c r="H616" t="n">
        <v>0</v>
      </c>
      <c r="I616" t="n">
        <v>0</v>
      </c>
      <c r="J616" t="n">
        <v>0</v>
      </c>
      <c r="K616" t="n">
        <v>0</v>
      </c>
      <c r="L616" t="n">
        <v>0</v>
      </c>
      <c r="M616" t="n">
        <v>0</v>
      </c>
      <c r="N616" t="n">
        <v>0</v>
      </c>
      <c r="O616" t="n">
        <v>0</v>
      </c>
      <c r="P616" t="n">
        <v>0</v>
      </c>
      <c r="Q616" t="n">
        <v>0</v>
      </c>
      <c r="R616" s="2" t="inlineStr"/>
    </row>
    <row r="617" ht="15" customHeight="1">
      <c r="A617" t="inlineStr">
        <is>
          <t>A 10704-2026</t>
        </is>
      </c>
      <c r="B617" s="1" t="n">
        <v>46078.4482175926</v>
      </c>
      <c r="C617" s="1" t="n">
        <v>46081</v>
      </c>
      <c r="D617" t="inlineStr">
        <is>
          <t>DALARNAS LÄN</t>
        </is>
      </c>
      <c r="E617" t="inlineStr">
        <is>
          <t>ÄLVDALEN</t>
        </is>
      </c>
      <c r="G617" t="n">
        <v>1.2</v>
      </c>
      <c r="H617" t="n">
        <v>0</v>
      </c>
      <c r="I617" t="n">
        <v>0</v>
      </c>
      <c r="J617" t="n">
        <v>0</v>
      </c>
      <c r="K617" t="n">
        <v>0</v>
      </c>
      <c r="L617" t="n">
        <v>0</v>
      </c>
      <c r="M617" t="n">
        <v>0</v>
      </c>
      <c r="N617" t="n">
        <v>0</v>
      </c>
      <c r="O617" t="n">
        <v>0</v>
      </c>
      <c r="P617" t="n">
        <v>0</v>
      </c>
      <c r="Q617" t="n">
        <v>0</v>
      </c>
      <c r="R617" s="2" t="inlineStr"/>
    </row>
    <row r="618" ht="15" customHeight="1">
      <c r="A618" t="inlineStr">
        <is>
          <t>A 41446-2024</t>
        </is>
      </c>
      <c r="B618" s="1" t="n">
        <v>45560.39483796297</v>
      </c>
      <c r="C618" s="1" t="n">
        <v>46081</v>
      </c>
      <c r="D618" t="inlineStr">
        <is>
          <t>DALARNAS LÄN</t>
        </is>
      </c>
      <c r="E618" t="inlineStr">
        <is>
          <t>ÄLVDALEN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17346-2022</t>
        </is>
      </c>
      <c r="B619" s="1" t="n">
        <v>44678.56600694444</v>
      </c>
      <c r="C619" s="1" t="n">
        <v>46081</v>
      </c>
      <c r="D619" t="inlineStr">
        <is>
          <t>DALARNAS LÄN</t>
        </is>
      </c>
      <c r="E619" t="inlineStr">
        <is>
          <t>ÄLVDALEN</t>
        </is>
      </c>
      <c r="G619" t="n">
        <v>4.4</v>
      </c>
      <c r="H619" t="n">
        <v>0</v>
      </c>
      <c r="I619" t="n">
        <v>0</v>
      </c>
      <c r="J619" t="n">
        <v>0</v>
      </c>
      <c r="K619" t="n">
        <v>0</v>
      </c>
      <c r="L619" t="n">
        <v>0</v>
      </c>
      <c r="M619" t="n">
        <v>0</v>
      </c>
      <c r="N619" t="n">
        <v>0</v>
      </c>
      <c r="O619" t="n">
        <v>0</v>
      </c>
      <c r="P619" t="n">
        <v>0</v>
      </c>
      <c r="Q619" t="n">
        <v>0</v>
      </c>
      <c r="R619" s="2" t="inlineStr"/>
    </row>
    <row r="620" ht="15" customHeight="1">
      <c r="A620" t="inlineStr">
        <is>
          <t>A 61450-2022</t>
        </is>
      </c>
      <c r="B620" s="1" t="n">
        <v>44910</v>
      </c>
      <c r="C620" s="1" t="n">
        <v>46081</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1934-2026</t>
        </is>
      </c>
      <c r="B621" s="1" t="n">
        <v>46035.58578703704</v>
      </c>
      <c r="C621" s="1" t="n">
        <v>46081</v>
      </c>
      <c r="D621" t="inlineStr">
        <is>
          <t>DALARNAS LÄN</t>
        </is>
      </c>
      <c r="E621" t="inlineStr">
        <is>
          <t>ÄLVDALEN</t>
        </is>
      </c>
      <c r="F621" t="inlineStr">
        <is>
          <t>Övriga statliga verk och myndigheter</t>
        </is>
      </c>
      <c r="G621" t="n">
        <v>22.9</v>
      </c>
      <c r="H621" t="n">
        <v>0</v>
      </c>
      <c r="I621" t="n">
        <v>0</v>
      </c>
      <c r="J621" t="n">
        <v>0</v>
      </c>
      <c r="K621" t="n">
        <v>0</v>
      </c>
      <c r="L621" t="n">
        <v>0</v>
      </c>
      <c r="M621" t="n">
        <v>0</v>
      </c>
      <c r="N621" t="n">
        <v>0</v>
      </c>
      <c r="O621" t="n">
        <v>0</v>
      </c>
      <c r="P621" t="n">
        <v>0</v>
      </c>
      <c r="Q621" t="n">
        <v>0</v>
      </c>
      <c r="R621" s="2" t="inlineStr"/>
    </row>
    <row r="622" ht="15" customHeight="1">
      <c r="A622" t="inlineStr">
        <is>
          <t>A 32009-2021</t>
        </is>
      </c>
      <c r="B622" s="1" t="n">
        <v>44370.63354166667</v>
      </c>
      <c r="C622" s="1" t="n">
        <v>46081</v>
      </c>
      <c r="D622" t="inlineStr">
        <is>
          <t>DALARNAS LÄN</t>
        </is>
      </c>
      <c r="E622" t="inlineStr">
        <is>
          <t>ÄLVDALEN</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59207-2022</t>
        </is>
      </c>
      <c r="B623" s="1" t="n">
        <v>44904</v>
      </c>
      <c r="C623" s="1" t="n">
        <v>46081</v>
      </c>
      <c r="D623" t="inlineStr">
        <is>
          <t>DALARNAS LÄN</t>
        </is>
      </c>
      <c r="E623" t="inlineStr">
        <is>
          <t>ÄLVDALEN</t>
        </is>
      </c>
      <c r="G623" t="n">
        <v>4.7</v>
      </c>
      <c r="H623" t="n">
        <v>0</v>
      </c>
      <c r="I623" t="n">
        <v>0</v>
      </c>
      <c r="J623" t="n">
        <v>0</v>
      </c>
      <c r="K623" t="n">
        <v>0</v>
      </c>
      <c r="L623" t="n">
        <v>0</v>
      </c>
      <c r="M623" t="n">
        <v>0</v>
      </c>
      <c r="N623" t="n">
        <v>0</v>
      </c>
      <c r="O623" t="n">
        <v>0</v>
      </c>
      <c r="P623" t="n">
        <v>0</v>
      </c>
      <c r="Q623" t="n">
        <v>0</v>
      </c>
      <c r="R623" s="2" t="inlineStr"/>
    </row>
    <row r="624" ht="15" customHeight="1">
      <c r="A624" t="inlineStr">
        <is>
          <t>A 57821-2023</t>
        </is>
      </c>
      <c r="B624" s="1" t="n">
        <v>45247</v>
      </c>
      <c r="C624" s="1" t="n">
        <v>46081</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26734-2021</t>
        </is>
      </c>
      <c r="B625" s="1" t="n">
        <v>44349.39537037037</v>
      </c>
      <c r="C625" s="1" t="n">
        <v>46081</v>
      </c>
      <c r="D625" t="inlineStr">
        <is>
          <t>DALARNAS LÄN</t>
        </is>
      </c>
      <c r="E625" t="inlineStr">
        <is>
          <t>ÄLVDALEN</t>
        </is>
      </c>
      <c r="F625" t="inlineStr">
        <is>
          <t>Bergvik skog väst AB</t>
        </is>
      </c>
      <c r="G625" t="n">
        <v>0.8</v>
      </c>
      <c r="H625" t="n">
        <v>0</v>
      </c>
      <c r="I625" t="n">
        <v>0</v>
      </c>
      <c r="J625" t="n">
        <v>0</v>
      </c>
      <c r="K625" t="n">
        <v>0</v>
      </c>
      <c r="L625" t="n">
        <v>0</v>
      </c>
      <c r="M625" t="n">
        <v>0</v>
      </c>
      <c r="N625" t="n">
        <v>0</v>
      </c>
      <c r="O625" t="n">
        <v>0</v>
      </c>
      <c r="P625" t="n">
        <v>0</v>
      </c>
      <c r="Q625" t="n">
        <v>0</v>
      </c>
      <c r="R625" s="2" t="inlineStr"/>
    </row>
    <row r="626" ht="15" customHeight="1">
      <c r="A626" t="inlineStr">
        <is>
          <t>A 2917-2026</t>
        </is>
      </c>
      <c r="B626" s="1" t="n">
        <v>46038.57403935185</v>
      </c>
      <c r="C626" s="1" t="n">
        <v>46081</v>
      </c>
      <c r="D626" t="inlineStr">
        <is>
          <t>DALARNAS LÄN</t>
        </is>
      </c>
      <c r="E626" t="inlineStr">
        <is>
          <t>ÄLVDALEN</t>
        </is>
      </c>
      <c r="G626" t="n">
        <v>4.6</v>
      </c>
      <c r="H626" t="n">
        <v>0</v>
      </c>
      <c r="I626" t="n">
        <v>0</v>
      </c>
      <c r="J626" t="n">
        <v>0</v>
      </c>
      <c r="K626" t="n">
        <v>0</v>
      </c>
      <c r="L626" t="n">
        <v>0</v>
      </c>
      <c r="M626" t="n">
        <v>0</v>
      </c>
      <c r="N626" t="n">
        <v>0</v>
      </c>
      <c r="O626" t="n">
        <v>0</v>
      </c>
      <c r="P626" t="n">
        <v>0</v>
      </c>
      <c r="Q626" t="n">
        <v>0</v>
      </c>
      <c r="R626" s="2" t="inlineStr"/>
    </row>
    <row r="627" ht="15" customHeight="1">
      <c r="A627" t="inlineStr">
        <is>
          <t>A 2939-2026</t>
        </is>
      </c>
      <c r="B627" s="1" t="n">
        <v>46038.58866898148</v>
      </c>
      <c r="C627" s="1" t="n">
        <v>46081</v>
      </c>
      <c r="D627" t="inlineStr">
        <is>
          <t>DALARNAS LÄN</t>
        </is>
      </c>
      <c r="E627" t="inlineStr">
        <is>
          <t>ÄLVDALEN</t>
        </is>
      </c>
      <c r="G627" t="n">
        <v>0.6</v>
      </c>
      <c r="H627" t="n">
        <v>0</v>
      </c>
      <c r="I627" t="n">
        <v>0</v>
      </c>
      <c r="J627" t="n">
        <v>0</v>
      </c>
      <c r="K627" t="n">
        <v>0</v>
      </c>
      <c r="L627" t="n">
        <v>0</v>
      </c>
      <c r="M627" t="n">
        <v>0</v>
      </c>
      <c r="N627" t="n">
        <v>0</v>
      </c>
      <c r="O627" t="n">
        <v>0</v>
      </c>
      <c r="P627" t="n">
        <v>0</v>
      </c>
      <c r="Q627" t="n">
        <v>0</v>
      </c>
      <c r="R627" s="2" t="inlineStr"/>
    </row>
    <row r="628" ht="15" customHeight="1">
      <c r="A628" t="inlineStr">
        <is>
          <t>A 2788-2026</t>
        </is>
      </c>
      <c r="B628" s="1" t="n">
        <v>46038.39409722222</v>
      </c>
      <c r="C628" s="1" t="n">
        <v>46081</v>
      </c>
      <c r="D628" t="inlineStr">
        <is>
          <t>DALARNAS LÄN</t>
        </is>
      </c>
      <c r="E628" t="inlineStr">
        <is>
          <t>ÄLVDALEN</t>
        </is>
      </c>
      <c r="G628" t="n">
        <v>1.3</v>
      </c>
      <c r="H628" t="n">
        <v>0</v>
      </c>
      <c r="I628" t="n">
        <v>0</v>
      </c>
      <c r="J628" t="n">
        <v>0</v>
      </c>
      <c r="K628" t="n">
        <v>0</v>
      </c>
      <c r="L628" t="n">
        <v>0</v>
      </c>
      <c r="M628" t="n">
        <v>0</v>
      </c>
      <c r="N628" t="n">
        <v>0</v>
      </c>
      <c r="O628" t="n">
        <v>0</v>
      </c>
      <c r="P628" t="n">
        <v>0</v>
      </c>
      <c r="Q628" t="n">
        <v>0</v>
      </c>
      <c r="R628" s="2" t="inlineStr"/>
    </row>
    <row r="629" ht="15" customHeight="1">
      <c r="A629" t="inlineStr">
        <is>
          <t>A 11124-2026</t>
        </is>
      </c>
      <c r="B629" s="1" t="n">
        <v>46079.68990740741</v>
      </c>
      <c r="C629" s="1" t="n">
        <v>46081</v>
      </c>
      <c r="D629" t="inlineStr">
        <is>
          <t>DALARNAS LÄN</t>
        </is>
      </c>
      <c r="E629" t="inlineStr">
        <is>
          <t>ÄLVDALEN</t>
        </is>
      </c>
      <c r="G629" t="n">
        <v>4.4</v>
      </c>
      <c r="H629" t="n">
        <v>0</v>
      </c>
      <c r="I629" t="n">
        <v>0</v>
      </c>
      <c r="J629" t="n">
        <v>0</v>
      </c>
      <c r="K629" t="n">
        <v>0</v>
      </c>
      <c r="L629" t="n">
        <v>0</v>
      </c>
      <c r="M629" t="n">
        <v>0</v>
      </c>
      <c r="N629" t="n">
        <v>0</v>
      </c>
      <c r="O629" t="n">
        <v>0</v>
      </c>
      <c r="P629" t="n">
        <v>0</v>
      </c>
      <c r="Q629" t="n">
        <v>0</v>
      </c>
      <c r="R629" s="2" t="inlineStr"/>
    </row>
    <row r="630" ht="15" customHeight="1">
      <c r="A630" t="inlineStr">
        <is>
          <t>A 2921-2026</t>
        </is>
      </c>
      <c r="B630" s="1" t="n">
        <v>46038.57729166667</v>
      </c>
      <c r="C630" s="1" t="n">
        <v>46081</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46081</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2927-2026</t>
        </is>
      </c>
      <c r="B632" s="1" t="n">
        <v>46038.58077546296</v>
      </c>
      <c r="C632" s="1" t="n">
        <v>46081</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45203-2024</t>
        </is>
      </c>
      <c r="B633" s="1" t="n">
        <v>45575</v>
      </c>
      <c r="C633" s="1" t="n">
        <v>46081</v>
      </c>
      <c r="D633" t="inlineStr">
        <is>
          <t>DALARNAS LÄN</t>
        </is>
      </c>
      <c r="E633" t="inlineStr">
        <is>
          <t>ÄLVDALEN</t>
        </is>
      </c>
      <c r="G633" t="n">
        <v>7.3</v>
      </c>
      <c r="H633" t="n">
        <v>0</v>
      </c>
      <c r="I633" t="n">
        <v>0</v>
      </c>
      <c r="J633" t="n">
        <v>0</v>
      </c>
      <c r="K633" t="n">
        <v>0</v>
      </c>
      <c r="L633" t="n">
        <v>0</v>
      </c>
      <c r="M633" t="n">
        <v>0</v>
      </c>
      <c r="N633" t="n">
        <v>0</v>
      </c>
      <c r="O633" t="n">
        <v>0</v>
      </c>
      <c r="P633" t="n">
        <v>0</v>
      </c>
      <c r="Q633" t="n">
        <v>0</v>
      </c>
      <c r="R633" s="2" t="inlineStr"/>
    </row>
    <row r="634" ht="15" customHeight="1">
      <c r="A634" t="inlineStr">
        <is>
          <t>A 57467-2023</t>
        </is>
      </c>
      <c r="B634" s="1" t="n">
        <v>45246.36751157408</v>
      </c>
      <c r="C634" s="1" t="n">
        <v>46081</v>
      </c>
      <c r="D634" t="inlineStr">
        <is>
          <t>DALARNAS LÄN</t>
        </is>
      </c>
      <c r="E634" t="inlineStr">
        <is>
          <t>ÄLVDALEN</t>
        </is>
      </c>
      <c r="G634" t="n">
        <v>0.2</v>
      </c>
      <c r="H634" t="n">
        <v>0</v>
      </c>
      <c r="I634" t="n">
        <v>0</v>
      </c>
      <c r="J634" t="n">
        <v>0</v>
      </c>
      <c r="K634" t="n">
        <v>0</v>
      </c>
      <c r="L634" t="n">
        <v>0</v>
      </c>
      <c r="M634" t="n">
        <v>0</v>
      </c>
      <c r="N634" t="n">
        <v>0</v>
      </c>
      <c r="O634" t="n">
        <v>0</v>
      </c>
      <c r="P634" t="n">
        <v>0</v>
      </c>
      <c r="Q634" t="n">
        <v>0</v>
      </c>
      <c r="R634" s="2" t="inlineStr"/>
    </row>
    <row r="635" ht="15" customHeight="1">
      <c r="A635" t="inlineStr">
        <is>
          <t>A 2648-2026</t>
        </is>
      </c>
      <c r="B635" s="1" t="n">
        <v>46037.62459490741</v>
      </c>
      <c r="C635" s="1" t="n">
        <v>46081</v>
      </c>
      <c r="D635" t="inlineStr">
        <is>
          <t>DALARNAS LÄN</t>
        </is>
      </c>
      <c r="E635" t="inlineStr">
        <is>
          <t>ÄLVDALEN</t>
        </is>
      </c>
      <c r="G635" t="n">
        <v>6.6</v>
      </c>
      <c r="H635" t="n">
        <v>0</v>
      </c>
      <c r="I635" t="n">
        <v>0</v>
      </c>
      <c r="J635" t="n">
        <v>0</v>
      </c>
      <c r="K635" t="n">
        <v>0</v>
      </c>
      <c r="L635" t="n">
        <v>0</v>
      </c>
      <c r="M635" t="n">
        <v>0</v>
      </c>
      <c r="N635" t="n">
        <v>0</v>
      </c>
      <c r="O635" t="n">
        <v>0</v>
      </c>
      <c r="P635" t="n">
        <v>0</v>
      </c>
      <c r="Q635" t="n">
        <v>0</v>
      </c>
      <c r="R635" s="2" t="inlineStr"/>
    </row>
    <row r="636" ht="15" customHeight="1">
      <c r="A636" t="inlineStr">
        <is>
          <t>A 2674-2026</t>
        </is>
      </c>
      <c r="B636" s="1" t="n">
        <v>46037.64707175926</v>
      </c>
      <c r="C636" s="1" t="n">
        <v>46081</v>
      </c>
      <c r="D636" t="inlineStr">
        <is>
          <t>DALARNAS LÄN</t>
        </is>
      </c>
      <c r="E636" t="inlineStr">
        <is>
          <t>ÄLVDALEN</t>
        </is>
      </c>
      <c r="G636" t="n">
        <v>1.1</v>
      </c>
      <c r="H636" t="n">
        <v>0</v>
      </c>
      <c r="I636" t="n">
        <v>0</v>
      </c>
      <c r="J636" t="n">
        <v>0</v>
      </c>
      <c r="K636" t="n">
        <v>0</v>
      </c>
      <c r="L636" t="n">
        <v>0</v>
      </c>
      <c r="M636" t="n">
        <v>0</v>
      </c>
      <c r="N636" t="n">
        <v>0</v>
      </c>
      <c r="O636" t="n">
        <v>0</v>
      </c>
      <c r="P636" t="n">
        <v>0</v>
      </c>
      <c r="Q636" t="n">
        <v>0</v>
      </c>
      <c r="R636" s="2" t="inlineStr"/>
    </row>
    <row r="637" ht="15" customHeight="1">
      <c r="A637" t="inlineStr">
        <is>
          <t>A 2897-2026</t>
        </is>
      </c>
      <c r="B637" s="1" t="n">
        <v>46038.55563657408</v>
      </c>
      <c r="C637" s="1" t="n">
        <v>46081</v>
      </c>
      <c r="D637" t="inlineStr">
        <is>
          <t>DALARNAS LÄN</t>
        </is>
      </c>
      <c r="E637" t="inlineStr">
        <is>
          <t>ÄLVDALEN</t>
        </is>
      </c>
      <c r="G637" t="n">
        <v>1.5</v>
      </c>
      <c r="H637" t="n">
        <v>0</v>
      </c>
      <c r="I637" t="n">
        <v>0</v>
      </c>
      <c r="J637" t="n">
        <v>0</v>
      </c>
      <c r="K637" t="n">
        <v>0</v>
      </c>
      <c r="L637" t="n">
        <v>0</v>
      </c>
      <c r="M637" t="n">
        <v>0</v>
      </c>
      <c r="N637" t="n">
        <v>0</v>
      </c>
      <c r="O637" t="n">
        <v>0</v>
      </c>
      <c r="P637" t="n">
        <v>0</v>
      </c>
      <c r="Q637" t="n">
        <v>0</v>
      </c>
      <c r="R637" s="2" t="inlineStr"/>
    </row>
    <row r="638" ht="15" customHeight="1">
      <c r="A638" t="inlineStr">
        <is>
          <t>A 2914-2026</t>
        </is>
      </c>
      <c r="B638" s="1" t="n">
        <v>46038.56950231481</v>
      </c>
      <c r="C638" s="1" t="n">
        <v>46081</v>
      </c>
      <c r="D638" t="inlineStr">
        <is>
          <t>DALARNAS LÄN</t>
        </is>
      </c>
      <c r="E638" t="inlineStr">
        <is>
          <t>ÄLVDALEN</t>
        </is>
      </c>
      <c r="G638" t="n">
        <v>0.8</v>
      </c>
      <c r="H638" t="n">
        <v>0</v>
      </c>
      <c r="I638" t="n">
        <v>0</v>
      </c>
      <c r="J638" t="n">
        <v>0</v>
      </c>
      <c r="K638" t="n">
        <v>0</v>
      </c>
      <c r="L638" t="n">
        <v>0</v>
      </c>
      <c r="M638" t="n">
        <v>0</v>
      </c>
      <c r="N638" t="n">
        <v>0</v>
      </c>
      <c r="O638" t="n">
        <v>0</v>
      </c>
      <c r="P638" t="n">
        <v>0</v>
      </c>
      <c r="Q638" t="n">
        <v>0</v>
      </c>
      <c r="R638" s="2" t="inlineStr"/>
    </row>
    <row r="639" ht="15" customHeight="1">
      <c r="A639" t="inlineStr">
        <is>
          <t>A 22847-2023</t>
        </is>
      </c>
      <c r="B639" s="1" t="n">
        <v>45072</v>
      </c>
      <c r="C639" s="1" t="n">
        <v>46081</v>
      </c>
      <c r="D639" t="inlineStr">
        <is>
          <t>DALARNAS LÄN</t>
        </is>
      </c>
      <c r="E639" t="inlineStr">
        <is>
          <t>ÄLVDALEN</t>
        </is>
      </c>
      <c r="F639" t="inlineStr">
        <is>
          <t>Bergvik skog väst AB</t>
        </is>
      </c>
      <c r="G639" t="n">
        <v>8.1</v>
      </c>
      <c r="H639" t="n">
        <v>0</v>
      </c>
      <c r="I639" t="n">
        <v>0</v>
      </c>
      <c r="J639" t="n">
        <v>0</v>
      </c>
      <c r="K639" t="n">
        <v>0</v>
      </c>
      <c r="L639" t="n">
        <v>0</v>
      </c>
      <c r="M639" t="n">
        <v>0</v>
      </c>
      <c r="N639" t="n">
        <v>0</v>
      </c>
      <c r="O639" t="n">
        <v>0</v>
      </c>
      <c r="P639" t="n">
        <v>0</v>
      </c>
      <c r="Q639" t="n">
        <v>0</v>
      </c>
      <c r="R639" s="2" t="inlineStr"/>
    </row>
    <row r="640" ht="15" customHeight="1">
      <c r="A640" t="inlineStr">
        <is>
          <t>A 2957-2026</t>
        </is>
      </c>
      <c r="B640" s="1" t="n">
        <v>46038.60658564815</v>
      </c>
      <c r="C640" s="1" t="n">
        <v>46081</v>
      </c>
      <c r="D640" t="inlineStr">
        <is>
          <t>DALARNAS LÄN</t>
        </is>
      </c>
      <c r="E640" t="inlineStr">
        <is>
          <t>ÄLVDALEN</t>
        </is>
      </c>
      <c r="G640" t="n">
        <v>0.8</v>
      </c>
      <c r="H640" t="n">
        <v>0</v>
      </c>
      <c r="I640" t="n">
        <v>0</v>
      </c>
      <c r="J640" t="n">
        <v>0</v>
      </c>
      <c r="K640" t="n">
        <v>0</v>
      </c>
      <c r="L640" t="n">
        <v>0</v>
      </c>
      <c r="M640" t="n">
        <v>0</v>
      </c>
      <c r="N640" t="n">
        <v>0</v>
      </c>
      <c r="O640" t="n">
        <v>0</v>
      </c>
      <c r="P640" t="n">
        <v>0</v>
      </c>
      <c r="Q640" t="n">
        <v>0</v>
      </c>
      <c r="R640" s="2" t="inlineStr"/>
    </row>
    <row r="641" ht="15" customHeight="1">
      <c r="A641" t="inlineStr">
        <is>
          <t>A 11084-2026</t>
        </is>
      </c>
      <c r="B641" s="1" t="n">
        <v>46079.62592592592</v>
      </c>
      <c r="C641" s="1" t="n">
        <v>46081</v>
      </c>
      <c r="D641" t="inlineStr">
        <is>
          <t>DALARNAS LÄN</t>
        </is>
      </c>
      <c r="E641" t="inlineStr">
        <is>
          <t>ÄLVDALEN</t>
        </is>
      </c>
      <c r="G641" t="n">
        <v>2.5</v>
      </c>
      <c r="H641" t="n">
        <v>0</v>
      </c>
      <c r="I641" t="n">
        <v>0</v>
      </c>
      <c r="J641" t="n">
        <v>0</v>
      </c>
      <c r="K641" t="n">
        <v>0</v>
      </c>
      <c r="L641" t="n">
        <v>0</v>
      </c>
      <c r="M641" t="n">
        <v>0</v>
      </c>
      <c r="N641" t="n">
        <v>0</v>
      </c>
      <c r="O641" t="n">
        <v>0</v>
      </c>
      <c r="P641" t="n">
        <v>0</v>
      </c>
      <c r="Q641" t="n">
        <v>0</v>
      </c>
      <c r="R641" s="2" t="inlineStr"/>
    </row>
    <row r="642" ht="15" customHeight="1">
      <c r="A642" t="inlineStr">
        <is>
          <t>A 4199-2026</t>
        </is>
      </c>
      <c r="B642" s="1" t="n">
        <v>46044.69938657407</v>
      </c>
      <c r="C642" s="1" t="n">
        <v>46081</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7273-2026</t>
        </is>
      </c>
      <c r="B643" s="1" t="n">
        <v>46058</v>
      </c>
      <c r="C643" s="1" t="n">
        <v>46081</v>
      </c>
      <c r="D643" t="inlineStr">
        <is>
          <t>DALARNAS LÄN</t>
        </is>
      </c>
      <c r="E643" t="inlineStr">
        <is>
          <t>ÄLVDALEN</t>
        </is>
      </c>
      <c r="G643" t="n">
        <v>0.9</v>
      </c>
      <c r="H643" t="n">
        <v>0</v>
      </c>
      <c r="I643" t="n">
        <v>0</v>
      </c>
      <c r="J643" t="n">
        <v>0</v>
      </c>
      <c r="K643" t="n">
        <v>0</v>
      </c>
      <c r="L643" t="n">
        <v>0</v>
      </c>
      <c r="M643" t="n">
        <v>0</v>
      </c>
      <c r="N643" t="n">
        <v>0</v>
      </c>
      <c r="O643" t="n">
        <v>0</v>
      </c>
      <c r="P643" t="n">
        <v>0</v>
      </c>
      <c r="Q643" t="n">
        <v>0</v>
      </c>
      <c r="R643" s="2" t="inlineStr"/>
    </row>
    <row r="644" ht="15" customHeight="1">
      <c r="A644" t="inlineStr">
        <is>
          <t>A 11125-2026</t>
        </is>
      </c>
      <c r="B644" s="1" t="n">
        <v>46079.69038194444</v>
      </c>
      <c r="C644" s="1" t="n">
        <v>46081</v>
      </c>
      <c r="D644" t="inlineStr">
        <is>
          <t>DALARNAS LÄN</t>
        </is>
      </c>
      <c r="E644" t="inlineStr">
        <is>
          <t>ÄLVDALEN</t>
        </is>
      </c>
      <c r="G644" t="n">
        <v>10.5</v>
      </c>
      <c r="H644" t="n">
        <v>0</v>
      </c>
      <c r="I644" t="n">
        <v>0</v>
      </c>
      <c r="J644" t="n">
        <v>0</v>
      </c>
      <c r="K644" t="n">
        <v>0</v>
      </c>
      <c r="L644" t="n">
        <v>0</v>
      </c>
      <c r="M644" t="n">
        <v>0</v>
      </c>
      <c r="N644" t="n">
        <v>0</v>
      </c>
      <c r="O644" t="n">
        <v>0</v>
      </c>
      <c r="P644" t="n">
        <v>0</v>
      </c>
      <c r="Q644" t="n">
        <v>0</v>
      </c>
      <c r="R644" s="2" t="inlineStr"/>
    </row>
    <row r="645" ht="15" customHeight="1">
      <c r="A645" t="inlineStr">
        <is>
          <t>A 42426-2023</t>
        </is>
      </c>
      <c r="B645" s="1" t="n">
        <v>45175</v>
      </c>
      <c r="C645" s="1" t="n">
        <v>46081</v>
      </c>
      <c r="D645" t="inlineStr">
        <is>
          <t>DALARNAS LÄN</t>
        </is>
      </c>
      <c r="E645" t="inlineStr">
        <is>
          <t>ÄLVDALEN</t>
        </is>
      </c>
      <c r="G645" t="n">
        <v>3.6</v>
      </c>
      <c r="H645" t="n">
        <v>0</v>
      </c>
      <c r="I645" t="n">
        <v>0</v>
      </c>
      <c r="J645" t="n">
        <v>0</v>
      </c>
      <c r="K645" t="n">
        <v>0</v>
      </c>
      <c r="L645" t="n">
        <v>0</v>
      </c>
      <c r="M645" t="n">
        <v>0</v>
      </c>
      <c r="N645" t="n">
        <v>0</v>
      </c>
      <c r="O645" t="n">
        <v>0</v>
      </c>
      <c r="P645" t="n">
        <v>0</v>
      </c>
      <c r="Q645" t="n">
        <v>0</v>
      </c>
      <c r="R645" s="2" t="inlineStr"/>
    </row>
    <row r="646" ht="15" customHeight="1">
      <c r="A646" t="inlineStr">
        <is>
          <t>A 2906-2026</t>
        </is>
      </c>
      <c r="B646" s="1" t="n">
        <v>46038.56025462963</v>
      </c>
      <c r="C646" s="1" t="n">
        <v>46081</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32362-2021</t>
        </is>
      </c>
      <c r="B647" s="1" t="n">
        <v>44371</v>
      </c>
      <c r="C647" s="1" t="n">
        <v>46081</v>
      </c>
      <c r="D647" t="inlineStr">
        <is>
          <t>DALARNAS LÄN</t>
        </is>
      </c>
      <c r="E647" t="inlineStr">
        <is>
          <t>ÄLVDALEN</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2042-2026</t>
        </is>
      </c>
      <c r="B648" s="1" t="n">
        <v>46031</v>
      </c>
      <c r="C648" s="1" t="n">
        <v>46081</v>
      </c>
      <c r="D648" t="inlineStr">
        <is>
          <t>DALARNAS LÄN</t>
        </is>
      </c>
      <c r="E648" t="inlineStr">
        <is>
          <t>ÄLVDALEN</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29710-2022</t>
        </is>
      </c>
      <c r="B649" s="1" t="n">
        <v>44755</v>
      </c>
      <c r="C649" s="1" t="n">
        <v>46081</v>
      </c>
      <c r="D649" t="inlineStr">
        <is>
          <t>DALARNAS LÄN</t>
        </is>
      </c>
      <c r="E649" t="inlineStr">
        <is>
          <t>ÄLVDALEN</t>
        </is>
      </c>
      <c r="F649" t="inlineStr">
        <is>
          <t>Sveaskog</t>
        </is>
      </c>
      <c r="G649" t="n">
        <v>9.1</v>
      </c>
      <c r="H649" t="n">
        <v>0</v>
      </c>
      <c r="I649" t="n">
        <v>0</v>
      </c>
      <c r="J649" t="n">
        <v>0</v>
      </c>
      <c r="K649" t="n">
        <v>0</v>
      </c>
      <c r="L649" t="n">
        <v>0</v>
      </c>
      <c r="M649" t="n">
        <v>0</v>
      </c>
      <c r="N649" t="n">
        <v>0</v>
      </c>
      <c r="O649" t="n">
        <v>0</v>
      </c>
      <c r="P649" t="n">
        <v>0</v>
      </c>
      <c r="Q649" t="n">
        <v>0</v>
      </c>
      <c r="R649" s="2" t="inlineStr"/>
    </row>
    <row r="650" ht="15" customHeight="1">
      <c r="A650" t="inlineStr">
        <is>
          <t>A 60642-2021</t>
        </is>
      </c>
      <c r="B650" s="1" t="n">
        <v>44496.61677083333</v>
      </c>
      <c r="C650" s="1" t="n">
        <v>46081</v>
      </c>
      <c r="D650" t="inlineStr">
        <is>
          <t>DALARNAS LÄN</t>
        </is>
      </c>
      <c r="E650" t="inlineStr">
        <is>
          <t>ÄLVDALEN</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44386-2021</t>
        </is>
      </c>
      <c r="B651" s="1" t="n">
        <v>44435</v>
      </c>
      <c r="C651" s="1" t="n">
        <v>46081</v>
      </c>
      <c r="D651" t="inlineStr">
        <is>
          <t>DALARNAS LÄN</t>
        </is>
      </c>
      <c r="E651" t="inlineStr">
        <is>
          <t>ÄLVDALEN</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2778-2026</t>
        </is>
      </c>
      <c r="B652" s="1" t="n">
        <v>46038.38387731482</v>
      </c>
      <c r="C652" s="1" t="n">
        <v>46081</v>
      </c>
      <c r="D652" t="inlineStr">
        <is>
          <t>DALARNAS LÄN</t>
        </is>
      </c>
      <c r="E652" t="inlineStr">
        <is>
          <t>ÄLVDALEN</t>
        </is>
      </c>
      <c r="G652" t="n">
        <v>3.9</v>
      </c>
      <c r="H652" t="n">
        <v>0</v>
      </c>
      <c r="I652" t="n">
        <v>0</v>
      </c>
      <c r="J652" t="n">
        <v>0</v>
      </c>
      <c r="K652" t="n">
        <v>0</v>
      </c>
      <c r="L652" t="n">
        <v>0</v>
      </c>
      <c r="M652" t="n">
        <v>0</v>
      </c>
      <c r="N652" t="n">
        <v>0</v>
      </c>
      <c r="O652" t="n">
        <v>0</v>
      </c>
      <c r="P652" t="n">
        <v>0</v>
      </c>
      <c r="Q652" t="n">
        <v>0</v>
      </c>
      <c r="R652" s="2" t="inlineStr"/>
    </row>
    <row r="653" ht="15" customHeight="1">
      <c r="A653" t="inlineStr">
        <is>
          <t>A 2932-2026</t>
        </is>
      </c>
      <c r="B653" s="1" t="n">
        <v>46038.58458333334</v>
      </c>
      <c r="C653" s="1" t="n">
        <v>46081</v>
      </c>
      <c r="D653" t="inlineStr">
        <is>
          <t>DALARNAS LÄN</t>
        </is>
      </c>
      <c r="E653" t="inlineStr">
        <is>
          <t>ÄLVDALEN</t>
        </is>
      </c>
      <c r="G653" t="n">
        <v>0.4</v>
      </c>
      <c r="H653" t="n">
        <v>0</v>
      </c>
      <c r="I653" t="n">
        <v>0</v>
      </c>
      <c r="J653" t="n">
        <v>0</v>
      </c>
      <c r="K653" t="n">
        <v>0</v>
      </c>
      <c r="L653" t="n">
        <v>0</v>
      </c>
      <c r="M653" t="n">
        <v>0</v>
      </c>
      <c r="N653" t="n">
        <v>0</v>
      </c>
      <c r="O653" t="n">
        <v>0</v>
      </c>
      <c r="P653" t="n">
        <v>0</v>
      </c>
      <c r="Q653" t="n">
        <v>0</v>
      </c>
      <c r="R653" s="2" t="inlineStr"/>
    </row>
    <row r="654" ht="15" customHeight="1">
      <c r="A654" t="inlineStr">
        <is>
          <t>A 49906-2024</t>
        </is>
      </c>
      <c r="B654" s="1" t="n">
        <v>45597.55230324074</v>
      </c>
      <c r="C654" s="1" t="n">
        <v>46081</v>
      </c>
      <c r="D654" t="inlineStr">
        <is>
          <t>DALARNAS LÄN</t>
        </is>
      </c>
      <c r="E654" t="inlineStr">
        <is>
          <t>ÄLVDALEN</t>
        </is>
      </c>
      <c r="G654" t="n">
        <v>4.2</v>
      </c>
      <c r="H654" t="n">
        <v>0</v>
      </c>
      <c r="I654" t="n">
        <v>0</v>
      </c>
      <c r="J654" t="n">
        <v>0</v>
      </c>
      <c r="K654" t="n">
        <v>0</v>
      </c>
      <c r="L654" t="n">
        <v>0</v>
      </c>
      <c r="M654" t="n">
        <v>0</v>
      </c>
      <c r="N654" t="n">
        <v>0</v>
      </c>
      <c r="O654" t="n">
        <v>0</v>
      </c>
      <c r="P654" t="n">
        <v>0</v>
      </c>
      <c r="Q654" t="n">
        <v>0</v>
      </c>
      <c r="R654" s="2" t="inlineStr"/>
    </row>
    <row r="655" ht="15" customHeight="1">
      <c r="A655" t="inlineStr">
        <is>
          <t>A 8784-2024</t>
        </is>
      </c>
      <c r="B655" s="1" t="n">
        <v>45356.58180555556</v>
      </c>
      <c r="C655" s="1" t="n">
        <v>46081</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8146-2025</t>
        </is>
      </c>
      <c r="B656" s="1" t="n">
        <v>45708.30415509259</v>
      </c>
      <c r="C656" s="1" t="n">
        <v>46081</v>
      </c>
      <c r="D656" t="inlineStr">
        <is>
          <t>DALARNAS LÄN</t>
        </is>
      </c>
      <c r="E656" t="inlineStr">
        <is>
          <t>ÄLVDALEN</t>
        </is>
      </c>
      <c r="F656" t="inlineStr">
        <is>
          <t>Allmännings- och besparingsskogar</t>
        </is>
      </c>
      <c r="G656" t="n">
        <v>1</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46081</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49236-2023</t>
        </is>
      </c>
      <c r="B658" s="1" t="n">
        <v>45210.63995370371</v>
      </c>
      <c r="C658" s="1" t="n">
        <v>46081</v>
      </c>
      <c r="D658" t="inlineStr">
        <is>
          <t>DALARNAS LÄN</t>
        </is>
      </c>
      <c r="E658" t="inlineStr">
        <is>
          <t>ÄLVDALEN</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48552-2024</t>
        </is>
      </c>
      <c r="B659" s="1" t="n">
        <v>45593.37266203704</v>
      </c>
      <c r="C659" s="1" t="n">
        <v>46081</v>
      </c>
      <c r="D659" t="inlineStr">
        <is>
          <t>DALARNAS LÄN</t>
        </is>
      </c>
      <c r="E659" t="inlineStr">
        <is>
          <t>ÄLVDALEN</t>
        </is>
      </c>
      <c r="G659" t="n">
        <v>4.1</v>
      </c>
      <c r="H659" t="n">
        <v>0</v>
      </c>
      <c r="I659" t="n">
        <v>0</v>
      </c>
      <c r="J659" t="n">
        <v>0</v>
      </c>
      <c r="K659" t="n">
        <v>0</v>
      </c>
      <c r="L659" t="n">
        <v>0</v>
      </c>
      <c r="M659" t="n">
        <v>0</v>
      </c>
      <c r="N659" t="n">
        <v>0</v>
      </c>
      <c r="O659" t="n">
        <v>0</v>
      </c>
      <c r="P659" t="n">
        <v>0</v>
      </c>
      <c r="Q659" t="n">
        <v>0</v>
      </c>
      <c r="R659" s="2" t="inlineStr"/>
    </row>
    <row r="660" ht="15" customHeight="1">
      <c r="A660" t="inlineStr">
        <is>
          <t>A 431-2023</t>
        </is>
      </c>
      <c r="B660" s="1" t="n">
        <v>44923</v>
      </c>
      <c r="C660" s="1" t="n">
        <v>46081</v>
      </c>
      <c r="D660" t="inlineStr">
        <is>
          <t>DALARNAS LÄN</t>
        </is>
      </c>
      <c r="E660" t="inlineStr">
        <is>
          <t>ÄLVDALEN</t>
        </is>
      </c>
      <c r="G660" t="n">
        <v>2.9</v>
      </c>
      <c r="H660" t="n">
        <v>0</v>
      </c>
      <c r="I660" t="n">
        <v>0</v>
      </c>
      <c r="J660" t="n">
        <v>0</v>
      </c>
      <c r="K660" t="n">
        <v>0</v>
      </c>
      <c r="L660" t="n">
        <v>0</v>
      </c>
      <c r="M660" t="n">
        <v>0</v>
      </c>
      <c r="N660" t="n">
        <v>0</v>
      </c>
      <c r="O660" t="n">
        <v>0</v>
      </c>
      <c r="P660" t="n">
        <v>0</v>
      </c>
      <c r="Q660" t="n">
        <v>0</v>
      </c>
      <c r="R660" s="2" t="inlineStr"/>
    </row>
    <row r="661" ht="15" customHeight="1">
      <c r="A661" t="inlineStr">
        <is>
          <t>A 55589-2022</t>
        </is>
      </c>
      <c r="B661" s="1" t="n">
        <v>44888.40673611111</v>
      </c>
      <c r="C661" s="1" t="n">
        <v>46081</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29819-2024</t>
        </is>
      </c>
      <c r="B662" s="1" t="n">
        <v>45485.55760416666</v>
      </c>
      <c r="C662" s="1" t="n">
        <v>46081</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52107-2022</t>
        </is>
      </c>
      <c r="B663" s="1" t="n">
        <v>44873.41295138889</v>
      </c>
      <c r="C663" s="1" t="n">
        <v>46081</v>
      </c>
      <c r="D663" t="inlineStr">
        <is>
          <t>DALARNAS LÄN</t>
        </is>
      </c>
      <c r="E663" t="inlineStr">
        <is>
          <t>ÄLVDALEN</t>
        </is>
      </c>
      <c r="G663" t="n">
        <v>1.8</v>
      </c>
      <c r="H663" t="n">
        <v>0</v>
      </c>
      <c r="I663" t="n">
        <v>0</v>
      </c>
      <c r="J663" t="n">
        <v>0</v>
      </c>
      <c r="K663" t="n">
        <v>0</v>
      </c>
      <c r="L663" t="n">
        <v>0</v>
      </c>
      <c r="M663" t="n">
        <v>0</v>
      </c>
      <c r="N663" t="n">
        <v>0</v>
      </c>
      <c r="O663" t="n">
        <v>0</v>
      </c>
      <c r="P663" t="n">
        <v>0</v>
      </c>
      <c r="Q663" t="n">
        <v>0</v>
      </c>
      <c r="R663" s="2" t="inlineStr"/>
    </row>
    <row r="664" ht="15" customHeight="1">
      <c r="A664" t="inlineStr">
        <is>
          <t>A 59547-2023</t>
        </is>
      </c>
      <c r="B664" s="1" t="n">
        <v>45254.55645833333</v>
      </c>
      <c r="C664" s="1" t="n">
        <v>46081</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59692-2024</t>
        </is>
      </c>
      <c r="B665" s="1" t="n">
        <v>45639.40686342592</v>
      </c>
      <c r="C665" s="1" t="n">
        <v>46081</v>
      </c>
      <c r="D665" t="inlineStr">
        <is>
          <t>DALARNAS LÄN</t>
        </is>
      </c>
      <c r="E665" t="inlineStr">
        <is>
          <t>ÄLVDALEN</t>
        </is>
      </c>
      <c r="G665" t="n">
        <v>2.2</v>
      </c>
      <c r="H665" t="n">
        <v>0</v>
      </c>
      <c r="I665" t="n">
        <v>0</v>
      </c>
      <c r="J665" t="n">
        <v>0</v>
      </c>
      <c r="K665" t="n">
        <v>0</v>
      </c>
      <c r="L665" t="n">
        <v>0</v>
      </c>
      <c r="M665" t="n">
        <v>0</v>
      </c>
      <c r="N665" t="n">
        <v>0</v>
      </c>
      <c r="O665" t="n">
        <v>0</v>
      </c>
      <c r="P665" t="n">
        <v>0</v>
      </c>
      <c r="Q665" t="n">
        <v>0</v>
      </c>
      <c r="R665" s="2" t="inlineStr"/>
    </row>
    <row r="666" ht="15" customHeight="1">
      <c r="A666" t="inlineStr">
        <is>
          <t>A 28467-2024</t>
        </is>
      </c>
      <c r="B666" s="1" t="n">
        <v>45477.71173611111</v>
      </c>
      <c r="C666" s="1" t="n">
        <v>46081</v>
      </c>
      <c r="D666" t="inlineStr">
        <is>
          <t>DALARNAS LÄN</t>
        </is>
      </c>
      <c r="E666" t="inlineStr">
        <is>
          <t>ÄLVDALEN</t>
        </is>
      </c>
      <c r="G666" t="n">
        <v>4</v>
      </c>
      <c r="H666" t="n">
        <v>0</v>
      </c>
      <c r="I666" t="n">
        <v>0</v>
      </c>
      <c r="J666" t="n">
        <v>0</v>
      </c>
      <c r="K666" t="n">
        <v>0</v>
      </c>
      <c r="L666" t="n">
        <v>0</v>
      </c>
      <c r="M666" t="n">
        <v>0</v>
      </c>
      <c r="N666" t="n">
        <v>0</v>
      </c>
      <c r="O666" t="n">
        <v>0</v>
      </c>
      <c r="P666" t="n">
        <v>0</v>
      </c>
      <c r="Q666" t="n">
        <v>0</v>
      </c>
      <c r="R666" s="2" t="inlineStr"/>
    </row>
    <row r="667" ht="15" customHeight="1">
      <c r="A667" t="inlineStr">
        <is>
          <t>A 46927-2024</t>
        </is>
      </c>
      <c r="B667" s="1" t="n">
        <v>45584.69063657407</v>
      </c>
      <c r="C667" s="1" t="n">
        <v>46081</v>
      </c>
      <c r="D667" t="inlineStr">
        <is>
          <t>DALARNAS LÄN</t>
        </is>
      </c>
      <c r="E667" t="inlineStr">
        <is>
          <t>ÄLVDALEN</t>
        </is>
      </c>
      <c r="G667" t="n">
        <v>1.5</v>
      </c>
      <c r="H667" t="n">
        <v>0</v>
      </c>
      <c r="I667" t="n">
        <v>0</v>
      </c>
      <c r="J667" t="n">
        <v>0</v>
      </c>
      <c r="K667" t="n">
        <v>0</v>
      </c>
      <c r="L667" t="n">
        <v>0</v>
      </c>
      <c r="M667" t="n">
        <v>0</v>
      </c>
      <c r="N667" t="n">
        <v>0</v>
      </c>
      <c r="O667" t="n">
        <v>0</v>
      </c>
      <c r="P667" t="n">
        <v>0</v>
      </c>
      <c r="Q667" t="n">
        <v>0</v>
      </c>
      <c r="R667" s="2" t="inlineStr"/>
    </row>
    <row r="668" ht="15" customHeight="1">
      <c r="A668" t="inlineStr">
        <is>
          <t>A 58848-2022</t>
        </is>
      </c>
      <c r="B668" s="1" t="n">
        <v>44896</v>
      </c>
      <c r="C668" s="1" t="n">
        <v>46081</v>
      </c>
      <c r="D668" t="inlineStr">
        <is>
          <t>DALARNAS LÄN</t>
        </is>
      </c>
      <c r="E668" t="inlineStr">
        <is>
          <t>ÄLVDALEN</t>
        </is>
      </c>
      <c r="F668" t="inlineStr">
        <is>
          <t>Övriga statliga verk och myndigheter</t>
        </is>
      </c>
      <c r="G668" t="n">
        <v>18.1</v>
      </c>
      <c r="H668" t="n">
        <v>0</v>
      </c>
      <c r="I668" t="n">
        <v>0</v>
      </c>
      <c r="J668" t="n">
        <v>0</v>
      </c>
      <c r="K668" t="n">
        <v>0</v>
      </c>
      <c r="L668" t="n">
        <v>0</v>
      </c>
      <c r="M668" t="n">
        <v>0</v>
      </c>
      <c r="N668" t="n">
        <v>0</v>
      </c>
      <c r="O668" t="n">
        <v>0</v>
      </c>
      <c r="P668" t="n">
        <v>0</v>
      </c>
      <c r="Q668" t="n">
        <v>0</v>
      </c>
      <c r="R668" s="2" t="inlineStr"/>
    </row>
    <row r="669" ht="15" customHeight="1">
      <c r="A669" t="inlineStr">
        <is>
          <t>A 46926-2024</t>
        </is>
      </c>
      <c r="B669" s="1" t="n">
        <v>45584.68275462963</v>
      </c>
      <c r="C669" s="1" t="n">
        <v>46081</v>
      </c>
      <c r="D669" t="inlineStr">
        <is>
          <t>DALARNAS LÄN</t>
        </is>
      </c>
      <c r="E669" t="inlineStr">
        <is>
          <t>ÄLVDALEN</t>
        </is>
      </c>
      <c r="G669" t="n">
        <v>4.4</v>
      </c>
      <c r="H669" t="n">
        <v>0</v>
      </c>
      <c r="I669" t="n">
        <v>0</v>
      </c>
      <c r="J669" t="n">
        <v>0</v>
      </c>
      <c r="K669" t="n">
        <v>0</v>
      </c>
      <c r="L669" t="n">
        <v>0</v>
      </c>
      <c r="M669" t="n">
        <v>0</v>
      </c>
      <c r="N669" t="n">
        <v>0</v>
      </c>
      <c r="O669" t="n">
        <v>0</v>
      </c>
      <c r="P669" t="n">
        <v>0</v>
      </c>
      <c r="Q669" t="n">
        <v>0</v>
      </c>
      <c r="R669" s="2" t="inlineStr"/>
    </row>
    <row r="670" ht="15" customHeight="1">
      <c r="A670" t="inlineStr">
        <is>
          <t>A 14089-2022</t>
        </is>
      </c>
      <c r="B670" s="1" t="n">
        <v>44651</v>
      </c>
      <c r="C670" s="1" t="n">
        <v>46081</v>
      </c>
      <c r="D670" t="inlineStr">
        <is>
          <t>DALARNAS LÄN</t>
        </is>
      </c>
      <c r="E670" t="inlineStr">
        <is>
          <t>ÄLVDALEN</t>
        </is>
      </c>
      <c r="F670" t="inlineStr">
        <is>
          <t>Kommuner</t>
        </is>
      </c>
      <c r="G670" t="n">
        <v>2.1</v>
      </c>
      <c r="H670" t="n">
        <v>0</v>
      </c>
      <c r="I670" t="n">
        <v>0</v>
      </c>
      <c r="J670" t="n">
        <v>0</v>
      </c>
      <c r="K670" t="n">
        <v>0</v>
      </c>
      <c r="L670" t="n">
        <v>0</v>
      </c>
      <c r="M670" t="n">
        <v>0</v>
      </c>
      <c r="N670" t="n">
        <v>0</v>
      </c>
      <c r="O670" t="n">
        <v>0</v>
      </c>
      <c r="P670" t="n">
        <v>0</v>
      </c>
      <c r="Q670" t="n">
        <v>0</v>
      </c>
      <c r="R670" s="2" t="inlineStr"/>
    </row>
    <row r="671" ht="15" customHeight="1">
      <c r="A671" t="inlineStr">
        <is>
          <t>A 57560-2024</t>
        </is>
      </c>
      <c r="B671" s="1" t="n">
        <v>45630.4566550926</v>
      </c>
      <c r="C671" s="1" t="n">
        <v>46081</v>
      </c>
      <c r="D671" t="inlineStr">
        <is>
          <t>DALARNAS LÄN</t>
        </is>
      </c>
      <c r="E671" t="inlineStr">
        <is>
          <t>ÄLVDALEN</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63329-2023</t>
        </is>
      </c>
      <c r="B672" s="1" t="n">
        <v>45274.38255787037</v>
      </c>
      <c r="C672" s="1" t="n">
        <v>46081</v>
      </c>
      <c r="D672" t="inlineStr">
        <is>
          <t>DALARNAS LÄN</t>
        </is>
      </c>
      <c r="E672" t="inlineStr">
        <is>
          <t>ÄLVDALEN</t>
        </is>
      </c>
      <c r="G672" t="n">
        <v>0.6</v>
      </c>
      <c r="H672" t="n">
        <v>0</v>
      </c>
      <c r="I672" t="n">
        <v>0</v>
      </c>
      <c r="J672" t="n">
        <v>0</v>
      </c>
      <c r="K672" t="n">
        <v>0</v>
      </c>
      <c r="L672" t="n">
        <v>0</v>
      </c>
      <c r="M672" t="n">
        <v>0</v>
      </c>
      <c r="N672" t="n">
        <v>0</v>
      </c>
      <c r="O672" t="n">
        <v>0</v>
      </c>
      <c r="P672" t="n">
        <v>0</v>
      </c>
      <c r="Q672" t="n">
        <v>0</v>
      </c>
      <c r="R672" s="2" t="inlineStr"/>
    </row>
    <row r="673" ht="15" customHeight="1">
      <c r="A673" t="inlineStr">
        <is>
          <t>A 20584-2025</t>
        </is>
      </c>
      <c r="B673" s="1" t="n">
        <v>45775.695</v>
      </c>
      <c r="C673" s="1" t="n">
        <v>46081</v>
      </c>
      <c r="D673" t="inlineStr">
        <is>
          <t>DALARNAS LÄN</t>
        </is>
      </c>
      <c r="E673" t="inlineStr">
        <is>
          <t>ÄLVDALEN</t>
        </is>
      </c>
      <c r="G673" t="n">
        <v>1.8</v>
      </c>
      <c r="H673" t="n">
        <v>0</v>
      </c>
      <c r="I673" t="n">
        <v>0</v>
      </c>
      <c r="J673" t="n">
        <v>0</v>
      </c>
      <c r="K673" t="n">
        <v>0</v>
      </c>
      <c r="L673" t="n">
        <v>0</v>
      </c>
      <c r="M673" t="n">
        <v>0</v>
      </c>
      <c r="N673" t="n">
        <v>0</v>
      </c>
      <c r="O673" t="n">
        <v>0</v>
      </c>
      <c r="P673" t="n">
        <v>0</v>
      </c>
      <c r="Q673" t="n">
        <v>0</v>
      </c>
      <c r="R673" s="2" t="inlineStr"/>
    </row>
    <row r="674" ht="15" customHeight="1">
      <c r="A674" t="inlineStr">
        <is>
          <t>A 3903-2024</t>
        </is>
      </c>
      <c r="B674" s="1" t="n">
        <v>45322</v>
      </c>
      <c r="C674" s="1" t="n">
        <v>46081</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3914-2024</t>
        </is>
      </c>
      <c r="B675" s="1" t="n">
        <v>45322</v>
      </c>
      <c r="C675" s="1" t="n">
        <v>46081</v>
      </c>
      <c r="D675" t="inlineStr">
        <is>
          <t>DALARNAS LÄN</t>
        </is>
      </c>
      <c r="E675" t="inlineStr">
        <is>
          <t>ÄLVDALEN</t>
        </is>
      </c>
      <c r="G675" t="n">
        <v>0.3</v>
      </c>
      <c r="H675" t="n">
        <v>0</v>
      </c>
      <c r="I675" t="n">
        <v>0</v>
      </c>
      <c r="J675" t="n">
        <v>0</v>
      </c>
      <c r="K675" t="n">
        <v>0</v>
      </c>
      <c r="L675" t="n">
        <v>0</v>
      </c>
      <c r="M675" t="n">
        <v>0</v>
      </c>
      <c r="N675" t="n">
        <v>0</v>
      </c>
      <c r="O675" t="n">
        <v>0</v>
      </c>
      <c r="P675" t="n">
        <v>0</v>
      </c>
      <c r="Q675" t="n">
        <v>0</v>
      </c>
      <c r="R675" s="2" t="inlineStr"/>
    </row>
    <row r="676" ht="15" customHeight="1">
      <c r="A676" t="inlineStr">
        <is>
          <t>A 39010-2024</t>
        </is>
      </c>
      <c r="B676" s="1" t="n">
        <v>45548</v>
      </c>
      <c r="C676" s="1" t="n">
        <v>46081</v>
      </c>
      <c r="D676" t="inlineStr">
        <is>
          <t>DALARNAS LÄN</t>
        </is>
      </c>
      <c r="E676" t="inlineStr">
        <is>
          <t>ÄLVDALEN</t>
        </is>
      </c>
      <c r="G676" t="n">
        <v>1.7</v>
      </c>
      <c r="H676" t="n">
        <v>0</v>
      </c>
      <c r="I676" t="n">
        <v>0</v>
      </c>
      <c r="J676" t="n">
        <v>0</v>
      </c>
      <c r="K676" t="n">
        <v>0</v>
      </c>
      <c r="L676" t="n">
        <v>0</v>
      </c>
      <c r="M676" t="n">
        <v>0</v>
      </c>
      <c r="N676" t="n">
        <v>0</v>
      </c>
      <c r="O676" t="n">
        <v>0</v>
      </c>
      <c r="P676" t="n">
        <v>0</v>
      </c>
      <c r="Q676" t="n">
        <v>0</v>
      </c>
      <c r="R676" s="2" t="inlineStr"/>
    </row>
    <row r="677" ht="15" customHeight="1">
      <c r="A677" t="inlineStr">
        <is>
          <t>A 6791-2025</t>
        </is>
      </c>
      <c r="B677" s="1" t="n">
        <v>45700.66315972222</v>
      </c>
      <c r="C677" s="1" t="n">
        <v>46081</v>
      </c>
      <c r="D677" t="inlineStr">
        <is>
          <t>DALARNAS LÄN</t>
        </is>
      </c>
      <c r="E677" t="inlineStr">
        <is>
          <t>ÄLVDALEN</t>
        </is>
      </c>
      <c r="G677" t="n">
        <v>30.2</v>
      </c>
      <c r="H677" t="n">
        <v>0</v>
      </c>
      <c r="I677" t="n">
        <v>0</v>
      </c>
      <c r="J677" t="n">
        <v>0</v>
      </c>
      <c r="K677" t="n">
        <v>0</v>
      </c>
      <c r="L677" t="n">
        <v>0</v>
      </c>
      <c r="M677" t="n">
        <v>0</v>
      </c>
      <c r="N677" t="n">
        <v>0</v>
      </c>
      <c r="O677" t="n">
        <v>0</v>
      </c>
      <c r="P677" t="n">
        <v>0</v>
      </c>
      <c r="Q677" t="n">
        <v>0</v>
      </c>
      <c r="R677" s="2" t="inlineStr"/>
    </row>
    <row r="678" ht="15" customHeight="1">
      <c r="A678" t="inlineStr">
        <is>
          <t>A 1804-2024</t>
        </is>
      </c>
      <c r="B678" s="1" t="n">
        <v>45307.59216435185</v>
      </c>
      <c r="C678" s="1" t="n">
        <v>46081</v>
      </c>
      <c r="D678" t="inlineStr">
        <is>
          <t>DALARNAS LÄN</t>
        </is>
      </c>
      <c r="E678" t="inlineStr">
        <is>
          <t>ÄLVDALEN</t>
        </is>
      </c>
      <c r="G678" t="n">
        <v>1.9</v>
      </c>
      <c r="H678" t="n">
        <v>0</v>
      </c>
      <c r="I678" t="n">
        <v>0</v>
      </c>
      <c r="J678" t="n">
        <v>0</v>
      </c>
      <c r="K678" t="n">
        <v>0</v>
      </c>
      <c r="L678" t="n">
        <v>0</v>
      </c>
      <c r="M678" t="n">
        <v>0</v>
      </c>
      <c r="N678" t="n">
        <v>0</v>
      </c>
      <c r="O678" t="n">
        <v>0</v>
      </c>
      <c r="P678" t="n">
        <v>0</v>
      </c>
      <c r="Q678" t="n">
        <v>0</v>
      </c>
      <c r="R678" s="2" t="inlineStr"/>
    </row>
    <row r="679" ht="15" customHeight="1">
      <c r="A679" t="inlineStr">
        <is>
          <t>A 57817-2023</t>
        </is>
      </c>
      <c r="B679" s="1" t="n">
        <v>45247</v>
      </c>
      <c r="C679" s="1" t="n">
        <v>46081</v>
      </c>
      <c r="D679" t="inlineStr">
        <is>
          <t>DALARNAS LÄN</t>
        </is>
      </c>
      <c r="E679" t="inlineStr">
        <is>
          <t>ÄLVDALEN</t>
        </is>
      </c>
      <c r="G679" t="n">
        <v>6.4</v>
      </c>
      <c r="H679" t="n">
        <v>0</v>
      </c>
      <c r="I679" t="n">
        <v>0</v>
      </c>
      <c r="J679" t="n">
        <v>0</v>
      </c>
      <c r="K679" t="n">
        <v>0</v>
      </c>
      <c r="L679" t="n">
        <v>0</v>
      </c>
      <c r="M679" t="n">
        <v>0</v>
      </c>
      <c r="N679" t="n">
        <v>0</v>
      </c>
      <c r="O679" t="n">
        <v>0</v>
      </c>
      <c r="P679" t="n">
        <v>0</v>
      </c>
      <c r="Q679" t="n">
        <v>0</v>
      </c>
      <c r="R679" s="2" t="inlineStr"/>
    </row>
    <row r="680" ht="15" customHeight="1">
      <c r="A680" t="inlineStr">
        <is>
          <t>A 28884-2023</t>
        </is>
      </c>
      <c r="B680" s="1" t="n">
        <v>45104.48320601852</v>
      </c>
      <c r="C680" s="1" t="n">
        <v>46081</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32838-2023</t>
        </is>
      </c>
      <c r="B681" s="1" t="n">
        <v>45124</v>
      </c>
      <c r="C681" s="1" t="n">
        <v>46081</v>
      </c>
      <c r="D681" t="inlineStr">
        <is>
          <t>DALARNAS LÄN</t>
        </is>
      </c>
      <c r="E681" t="inlineStr">
        <is>
          <t>ÄLVDALEN</t>
        </is>
      </c>
      <c r="G681" t="n">
        <v>3.7</v>
      </c>
      <c r="H681" t="n">
        <v>0</v>
      </c>
      <c r="I681" t="n">
        <v>0</v>
      </c>
      <c r="J681" t="n">
        <v>0</v>
      </c>
      <c r="K681" t="n">
        <v>0</v>
      </c>
      <c r="L681" t="n">
        <v>0</v>
      </c>
      <c r="M681" t="n">
        <v>0</v>
      </c>
      <c r="N681" t="n">
        <v>0</v>
      </c>
      <c r="O681" t="n">
        <v>0</v>
      </c>
      <c r="P681" t="n">
        <v>0</v>
      </c>
      <c r="Q681" t="n">
        <v>0</v>
      </c>
      <c r="R681" s="2" t="inlineStr"/>
    </row>
    <row r="682" ht="15" customHeight="1">
      <c r="A682" t="inlineStr">
        <is>
          <t>A 505-2024</t>
        </is>
      </c>
      <c r="B682" s="1" t="n">
        <v>45299</v>
      </c>
      <c r="C682" s="1" t="n">
        <v>46081</v>
      </c>
      <c r="D682" t="inlineStr">
        <is>
          <t>DALARNAS LÄN</t>
        </is>
      </c>
      <c r="E682" t="inlineStr">
        <is>
          <t>ÄLVDALEN</t>
        </is>
      </c>
      <c r="G682" t="n">
        <v>1.4</v>
      </c>
      <c r="H682" t="n">
        <v>0</v>
      </c>
      <c r="I682" t="n">
        <v>0</v>
      </c>
      <c r="J682" t="n">
        <v>0</v>
      </c>
      <c r="K682" t="n">
        <v>0</v>
      </c>
      <c r="L682" t="n">
        <v>0</v>
      </c>
      <c r="M682" t="n">
        <v>0</v>
      </c>
      <c r="N682" t="n">
        <v>0</v>
      </c>
      <c r="O682" t="n">
        <v>0</v>
      </c>
      <c r="P682" t="n">
        <v>0</v>
      </c>
      <c r="Q682" t="n">
        <v>0</v>
      </c>
      <c r="R682" s="2" t="inlineStr"/>
    </row>
    <row r="683" ht="15" customHeight="1">
      <c r="A683" t="inlineStr">
        <is>
          <t>A 48954-2023</t>
        </is>
      </c>
      <c r="B683" s="1" t="n">
        <v>45209.58488425926</v>
      </c>
      <c r="C683" s="1" t="n">
        <v>46081</v>
      </c>
      <c r="D683" t="inlineStr">
        <is>
          <t>DALARNAS LÄN</t>
        </is>
      </c>
      <c r="E683" t="inlineStr">
        <is>
          <t>ÄLVDALEN</t>
        </is>
      </c>
      <c r="G683" t="n">
        <v>7</v>
      </c>
      <c r="H683" t="n">
        <v>0</v>
      </c>
      <c r="I683" t="n">
        <v>0</v>
      </c>
      <c r="J683" t="n">
        <v>0</v>
      </c>
      <c r="K683" t="n">
        <v>0</v>
      </c>
      <c r="L683" t="n">
        <v>0</v>
      </c>
      <c r="M683" t="n">
        <v>0</v>
      </c>
      <c r="N683" t="n">
        <v>0</v>
      </c>
      <c r="O683" t="n">
        <v>0</v>
      </c>
      <c r="P683" t="n">
        <v>0</v>
      </c>
      <c r="Q683" t="n">
        <v>0</v>
      </c>
      <c r="R683" s="2" t="inlineStr"/>
    </row>
    <row r="684" ht="15" customHeight="1">
      <c r="A684" t="inlineStr">
        <is>
          <t>A 36285-2024</t>
        </is>
      </c>
      <c r="B684" s="1" t="n">
        <v>45534.59008101852</v>
      </c>
      <c r="C684" s="1" t="n">
        <v>46081</v>
      </c>
      <c r="D684" t="inlineStr">
        <is>
          <t>DALARNAS LÄN</t>
        </is>
      </c>
      <c r="E684" t="inlineStr">
        <is>
          <t>ÄLVDALEN</t>
        </is>
      </c>
      <c r="G684" t="n">
        <v>4.9</v>
      </c>
      <c r="H684" t="n">
        <v>0</v>
      </c>
      <c r="I684" t="n">
        <v>0</v>
      </c>
      <c r="J684" t="n">
        <v>0</v>
      </c>
      <c r="K684" t="n">
        <v>0</v>
      </c>
      <c r="L684" t="n">
        <v>0</v>
      </c>
      <c r="M684" t="n">
        <v>0</v>
      </c>
      <c r="N684" t="n">
        <v>0</v>
      </c>
      <c r="O684" t="n">
        <v>0</v>
      </c>
      <c r="P684" t="n">
        <v>0</v>
      </c>
      <c r="Q684" t="n">
        <v>0</v>
      </c>
      <c r="R684" s="2" t="inlineStr"/>
    </row>
    <row r="685" ht="15" customHeight="1">
      <c r="A685" t="inlineStr">
        <is>
          <t>A 37439-2024</t>
        </is>
      </c>
      <c r="B685" s="1" t="n">
        <v>45540</v>
      </c>
      <c r="C685" s="1" t="n">
        <v>46081</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47869-2023</t>
        </is>
      </c>
      <c r="B686" s="1" t="n">
        <v>45204</v>
      </c>
      <c r="C686" s="1" t="n">
        <v>46081</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9045-2025</t>
        </is>
      </c>
      <c r="B687" s="1" t="n">
        <v>45713.62837962963</v>
      </c>
      <c r="C687" s="1" t="n">
        <v>46081</v>
      </c>
      <c r="D687" t="inlineStr">
        <is>
          <t>DALARNAS LÄN</t>
        </is>
      </c>
      <c r="E687" t="inlineStr">
        <is>
          <t>ÄLVDALEN</t>
        </is>
      </c>
      <c r="F687" t="inlineStr">
        <is>
          <t>Allmännings- och besparingsskogar</t>
        </is>
      </c>
      <c r="G687" t="n">
        <v>39.1</v>
      </c>
      <c r="H687" t="n">
        <v>0</v>
      </c>
      <c r="I687" t="n">
        <v>0</v>
      </c>
      <c r="J687" t="n">
        <v>0</v>
      </c>
      <c r="K687" t="n">
        <v>0</v>
      </c>
      <c r="L687" t="n">
        <v>0</v>
      </c>
      <c r="M687" t="n">
        <v>0</v>
      </c>
      <c r="N687" t="n">
        <v>0</v>
      </c>
      <c r="O687" t="n">
        <v>0</v>
      </c>
      <c r="P687" t="n">
        <v>0</v>
      </c>
      <c r="Q687" t="n">
        <v>0</v>
      </c>
      <c r="R687" s="2" t="inlineStr"/>
    </row>
    <row r="688" ht="15" customHeight="1">
      <c r="A688" t="inlineStr">
        <is>
          <t>A 12318-2025</t>
        </is>
      </c>
      <c r="B688" s="1" t="n">
        <v>45729.87777777778</v>
      </c>
      <c r="C688" s="1" t="n">
        <v>46081</v>
      </c>
      <c r="D688" t="inlineStr">
        <is>
          <t>DALARNAS LÄN</t>
        </is>
      </c>
      <c r="E688" t="inlineStr">
        <is>
          <t>ÄLVDALEN</t>
        </is>
      </c>
      <c r="G688" t="n">
        <v>3.3</v>
      </c>
      <c r="H688" t="n">
        <v>0</v>
      </c>
      <c r="I688" t="n">
        <v>0</v>
      </c>
      <c r="J688" t="n">
        <v>0</v>
      </c>
      <c r="K688" t="n">
        <v>0</v>
      </c>
      <c r="L688" t="n">
        <v>0</v>
      </c>
      <c r="M688" t="n">
        <v>0</v>
      </c>
      <c r="N688" t="n">
        <v>0</v>
      </c>
      <c r="O688" t="n">
        <v>0</v>
      </c>
      <c r="P688" t="n">
        <v>0</v>
      </c>
      <c r="Q688" t="n">
        <v>0</v>
      </c>
      <c r="R688" s="2" t="inlineStr"/>
    </row>
    <row r="689" ht="15" customHeight="1">
      <c r="A689" t="inlineStr">
        <is>
          <t>A 59138-2023</t>
        </is>
      </c>
      <c r="B689" s="1" t="n">
        <v>45253</v>
      </c>
      <c r="C689" s="1" t="n">
        <v>46081</v>
      </c>
      <c r="D689" t="inlineStr">
        <is>
          <t>DALARNAS LÄN</t>
        </is>
      </c>
      <c r="E689" t="inlineStr">
        <is>
          <t>ÄLVDALEN</t>
        </is>
      </c>
      <c r="G689" t="n">
        <v>0.4</v>
      </c>
      <c r="H689" t="n">
        <v>0</v>
      </c>
      <c r="I689" t="n">
        <v>0</v>
      </c>
      <c r="J689" t="n">
        <v>0</v>
      </c>
      <c r="K689" t="n">
        <v>0</v>
      </c>
      <c r="L689" t="n">
        <v>0</v>
      </c>
      <c r="M689" t="n">
        <v>0</v>
      </c>
      <c r="N689" t="n">
        <v>0</v>
      </c>
      <c r="O689" t="n">
        <v>0</v>
      </c>
      <c r="P689" t="n">
        <v>0</v>
      </c>
      <c r="Q689" t="n">
        <v>0</v>
      </c>
      <c r="R689" s="2" t="inlineStr"/>
    </row>
    <row r="690" ht="15" customHeight="1">
      <c r="A690" t="inlineStr">
        <is>
          <t>A 32622-2023</t>
        </is>
      </c>
      <c r="B690" s="1" t="n">
        <v>45121</v>
      </c>
      <c r="C690" s="1" t="n">
        <v>46081</v>
      </c>
      <c r="D690" t="inlineStr">
        <is>
          <t>DALARNAS LÄN</t>
        </is>
      </c>
      <c r="E690" t="inlineStr">
        <is>
          <t>ÄLVDALEN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57470-2023</t>
        </is>
      </c>
      <c r="B691" s="1" t="n">
        <v>45246</v>
      </c>
      <c r="C691" s="1" t="n">
        <v>46081</v>
      </c>
      <c r="D691" t="inlineStr">
        <is>
          <t>DALARNAS LÄN</t>
        </is>
      </c>
      <c r="E691" t="inlineStr">
        <is>
          <t>ÄLVDALEN</t>
        </is>
      </c>
      <c r="G691" t="n">
        <v>0.4</v>
      </c>
      <c r="H691" t="n">
        <v>0</v>
      </c>
      <c r="I691" t="n">
        <v>0</v>
      </c>
      <c r="J691" t="n">
        <v>0</v>
      </c>
      <c r="K691" t="n">
        <v>0</v>
      </c>
      <c r="L691" t="n">
        <v>0</v>
      </c>
      <c r="M691" t="n">
        <v>0</v>
      </c>
      <c r="N691" t="n">
        <v>0</v>
      </c>
      <c r="O691" t="n">
        <v>0</v>
      </c>
      <c r="P691" t="n">
        <v>0</v>
      </c>
      <c r="Q691" t="n">
        <v>0</v>
      </c>
      <c r="R691" s="2" t="inlineStr"/>
    </row>
    <row r="692" ht="15" customHeight="1">
      <c r="A692" t="inlineStr">
        <is>
          <t>A 1081-2025</t>
        </is>
      </c>
      <c r="B692" s="1" t="n">
        <v>45666.61589120371</v>
      </c>
      <c r="C692" s="1" t="n">
        <v>46081</v>
      </c>
      <c r="D692" t="inlineStr">
        <is>
          <t>DALARNAS LÄN</t>
        </is>
      </c>
      <c r="E692" t="inlineStr">
        <is>
          <t>ÄLVDALEN</t>
        </is>
      </c>
      <c r="G692" t="n">
        <v>5.8</v>
      </c>
      <c r="H692" t="n">
        <v>0</v>
      </c>
      <c r="I692" t="n">
        <v>0</v>
      </c>
      <c r="J692" t="n">
        <v>0</v>
      </c>
      <c r="K692" t="n">
        <v>0</v>
      </c>
      <c r="L692" t="n">
        <v>0</v>
      </c>
      <c r="M692" t="n">
        <v>0</v>
      </c>
      <c r="N692" t="n">
        <v>0</v>
      </c>
      <c r="O692" t="n">
        <v>0</v>
      </c>
      <c r="P692" t="n">
        <v>0</v>
      </c>
      <c r="Q692" t="n">
        <v>0</v>
      </c>
      <c r="R692" s="2" t="inlineStr"/>
    </row>
    <row r="693" ht="15" customHeight="1">
      <c r="A693" t="inlineStr">
        <is>
          <t>A 1088-2025</t>
        </is>
      </c>
      <c r="B693" s="1" t="n">
        <v>45666.62162037037</v>
      </c>
      <c r="C693" s="1" t="n">
        <v>46081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15760-2024</t>
        </is>
      </c>
      <c r="B694" s="1" t="n">
        <v>45404</v>
      </c>
      <c r="C694" s="1" t="n">
        <v>46081</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53168-2024</t>
        </is>
      </c>
      <c r="B695" s="1" t="n">
        <v>45611.65569444445</v>
      </c>
      <c r="C695" s="1" t="n">
        <v>46081</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20924-2025</t>
        </is>
      </c>
      <c r="B696" s="1" t="n">
        <v>45777</v>
      </c>
      <c r="C696" s="1" t="n">
        <v>46081</v>
      </c>
      <c r="D696" t="inlineStr">
        <is>
          <t>DALARNAS LÄN</t>
        </is>
      </c>
      <c r="E696" t="inlineStr">
        <is>
          <t>ÄLVDALEN</t>
        </is>
      </c>
      <c r="G696" t="n">
        <v>2.3</v>
      </c>
      <c r="H696" t="n">
        <v>0</v>
      </c>
      <c r="I696" t="n">
        <v>0</v>
      </c>
      <c r="J696" t="n">
        <v>0</v>
      </c>
      <c r="K696" t="n">
        <v>0</v>
      </c>
      <c r="L696" t="n">
        <v>0</v>
      </c>
      <c r="M696" t="n">
        <v>0</v>
      </c>
      <c r="N696" t="n">
        <v>0</v>
      </c>
      <c r="O696" t="n">
        <v>0</v>
      </c>
      <c r="P696" t="n">
        <v>0</v>
      </c>
      <c r="Q696" t="n">
        <v>0</v>
      </c>
      <c r="R696" s="2" t="inlineStr"/>
    </row>
    <row r="697" ht="15" customHeight="1">
      <c r="A697" t="inlineStr">
        <is>
          <t>A 21395-2025</t>
        </is>
      </c>
      <c r="B697" s="1" t="n">
        <v>45782.48197916667</v>
      </c>
      <c r="C697" s="1" t="n">
        <v>46081</v>
      </c>
      <c r="D697" t="inlineStr">
        <is>
          <t>DALARNAS LÄN</t>
        </is>
      </c>
      <c r="E697" t="inlineStr">
        <is>
          <t>ÄLVDALEN</t>
        </is>
      </c>
      <c r="G697" t="n">
        <v>6.4</v>
      </c>
      <c r="H697" t="n">
        <v>0</v>
      </c>
      <c r="I697" t="n">
        <v>0</v>
      </c>
      <c r="J697" t="n">
        <v>0</v>
      </c>
      <c r="K697" t="n">
        <v>0</v>
      </c>
      <c r="L697" t="n">
        <v>0</v>
      </c>
      <c r="M697" t="n">
        <v>0</v>
      </c>
      <c r="N697" t="n">
        <v>0</v>
      </c>
      <c r="O697" t="n">
        <v>0</v>
      </c>
      <c r="P697" t="n">
        <v>0</v>
      </c>
      <c r="Q697" t="n">
        <v>0</v>
      </c>
      <c r="R697" s="2" t="inlineStr"/>
    </row>
    <row r="698" ht="15" customHeight="1">
      <c r="A698" t="inlineStr">
        <is>
          <t>A 21629-2025</t>
        </is>
      </c>
      <c r="B698" s="1" t="n">
        <v>45783.4247337963</v>
      </c>
      <c r="C698" s="1" t="n">
        <v>46081</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21613-2025</t>
        </is>
      </c>
      <c r="B699" s="1" t="n">
        <v>45783.39542824074</v>
      </c>
      <c r="C699" s="1" t="n">
        <v>46081</v>
      </c>
      <c r="D699" t="inlineStr">
        <is>
          <t>DALARNAS LÄN</t>
        </is>
      </c>
      <c r="E699" t="inlineStr">
        <is>
          <t>ÄLVDALEN</t>
        </is>
      </c>
      <c r="G699" t="n">
        <v>3.4</v>
      </c>
      <c r="H699" t="n">
        <v>0</v>
      </c>
      <c r="I699" t="n">
        <v>0</v>
      </c>
      <c r="J699" t="n">
        <v>0</v>
      </c>
      <c r="K699" t="n">
        <v>0</v>
      </c>
      <c r="L699" t="n">
        <v>0</v>
      </c>
      <c r="M699" t="n">
        <v>0</v>
      </c>
      <c r="N699" t="n">
        <v>0</v>
      </c>
      <c r="O699" t="n">
        <v>0</v>
      </c>
      <c r="P699" t="n">
        <v>0</v>
      </c>
      <c r="Q699" t="n">
        <v>0</v>
      </c>
      <c r="R699" s="2" t="inlineStr"/>
    </row>
    <row r="700" ht="15" customHeight="1">
      <c r="A700" t="inlineStr">
        <is>
          <t>A 37061-2024</t>
        </is>
      </c>
      <c r="B700" s="1" t="n">
        <v>45539</v>
      </c>
      <c r="C700" s="1" t="n">
        <v>46081</v>
      </c>
      <c r="D700" t="inlineStr">
        <is>
          <t>DALARNAS LÄN</t>
        </is>
      </c>
      <c r="E700" t="inlineStr">
        <is>
          <t>ÄLVDALEN</t>
        </is>
      </c>
      <c r="G700" t="n">
        <v>0.8</v>
      </c>
      <c r="H700" t="n">
        <v>0</v>
      </c>
      <c r="I700" t="n">
        <v>0</v>
      </c>
      <c r="J700" t="n">
        <v>0</v>
      </c>
      <c r="K700" t="n">
        <v>0</v>
      </c>
      <c r="L700" t="n">
        <v>0</v>
      </c>
      <c r="M700" t="n">
        <v>0</v>
      </c>
      <c r="N700" t="n">
        <v>0</v>
      </c>
      <c r="O700" t="n">
        <v>0</v>
      </c>
      <c r="P700" t="n">
        <v>0</v>
      </c>
      <c r="Q700" t="n">
        <v>0</v>
      </c>
      <c r="R700" s="2" t="inlineStr"/>
    </row>
    <row r="701" ht="15" customHeight="1">
      <c r="A701" t="inlineStr">
        <is>
          <t>A 7581-2024</t>
        </is>
      </c>
      <c r="B701" s="1" t="n">
        <v>45348.49204861111</v>
      </c>
      <c r="C701" s="1" t="n">
        <v>46081</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32594-2023</t>
        </is>
      </c>
      <c r="B702" s="1" t="n">
        <v>45121.50986111111</v>
      </c>
      <c r="C702" s="1" t="n">
        <v>46081</v>
      </c>
      <c r="D702" t="inlineStr">
        <is>
          <t>DALARNAS LÄN</t>
        </is>
      </c>
      <c r="E702" t="inlineStr">
        <is>
          <t>ÄLVDALEN</t>
        </is>
      </c>
      <c r="G702" t="n">
        <v>4</v>
      </c>
      <c r="H702" t="n">
        <v>0</v>
      </c>
      <c r="I702" t="n">
        <v>0</v>
      </c>
      <c r="J702" t="n">
        <v>0</v>
      </c>
      <c r="K702" t="n">
        <v>0</v>
      </c>
      <c r="L702" t="n">
        <v>0</v>
      </c>
      <c r="M702" t="n">
        <v>0</v>
      </c>
      <c r="N702" t="n">
        <v>0</v>
      </c>
      <c r="O702" t="n">
        <v>0</v>
      </c>
      <c r="P702" t="n">
        <v>0</v>
      </c>
      <c r="Q702" t="n">
        <v>0</v>
      </c>
      <c r="R702" s="2" t="inlineStr"/>
    </row>
    <row r="703" ht="15" customHeight="1">
      <c r="A703" t="inlineStr">
        <is>
          <t>A 22189-2025</t>
        </is>
      </c>
      <c r="B703" s="1" t="n">
        <v>45785.62479166667</v>
      </c>
      <c r="C703" s="1" t="n">
        <v>46081</v>
      </c>
      <c r="D703" t="inlineStr">
        <is>
          <t>DALARNAS LÄN</t>
        </is>
      </c>
      <c r="E703" t="inlineStr">
        <is>
          <t>ÄLVDALEN</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19708-2024</t>
        </is>
      </c>
      <c r="B704" s="1" t="n">
        <v>45432.55324074074</v>
      </c>
      <c r="C704" s="1" t="n">
        <v>46081</v>
      </c>
      <c r="D704" t="inlineStr">
        <is>
          <t>DALARNAS LÄN</t>
        </is>
      </c>
      <c r="E704" t="inlineStr">
        <is>
          <t>ÄLVDALEN</t>
        </is>
      </c>
      <c r="G704" t="n">
        <v>12.4</v>
      </c>
      <c r="H704" t="n">
        <v>0</v>
      </c>
      <c r="I704" t="n">
        <v>0</v>
      </c>
      <c r="J704" t="n">
        <v>0</v>
      </c>
      <c r="K704" t="n">
        <v>0</v>
      </c>
      <c r="L704" t="n">
        <v>0</v>
      </c>
      <c r="M704" t="n">
        <v>0</v>
      </c>
      <c r="N704" t="n">
        <v>0</v>
      </c>
      <c r="O704" t="n">
        <v>0</v>
      </c>
      <c r="P704" t="n">
        <v>0</v>
      </c>
      <c r="Q704" t="n">
        <v>0</v>
      </c>
      <c r="R704" s="2" t="inlineStr"/>
    </row>
    <row r="705" ht="15" customHeight="1">
      <c r="A705" t="inlineStr">
        <is>
          <t>A 21469-2024</t>
        </is>
      </c>
      <c r="B705" s="1" t="n">
        <v>45441.486875</v>
      </c>
      <c r="C705" s="1" t="n">
        <v>46081</v>
      </c>
      <c r="D705" t="inlineStr">
        <is>
          <t>DALARNAS LÄN</t>
        </is>
      </c>
      <c r="E705" t="inlineStr">
        <is>
          <t>ÄLVDALEN</t>
        </is>
      </c>
      <c r="G705" t="n">
        <v>1</v>
      </c>
      <c r="H705" t="n">
        <v>0</v>
      </c>
      <c r="I705" t="n">
        <v>0</v>
      </c>
      <c r="J705" t="n">
        <v>0</v>
      </c>
      <c r="K705" t="n">
        <v>0</v>
      </c>
      <c r="L705" t="n">
        <v>0</v>
      </c>
      <c r="M705" t="n">
        <v>0</v>
      </c>
      <c r="N705" t="n">
        <v>0</v>
      </c>
      <c r="O705" t="n">
        <v>0</v>
      </c>
      <c r="P705" t="n">
        <v>0</v>
      </c>
      <c r="Q705" t="n">
        <v>0</v>
      </c>
      <c r="R705" s="2" t="inlineStr"/>
    </row>
    <row r="706" ht="15" customHeight="1">
      <c r="A706" t="inlineStr">
        <is>
          <t>A 22577-2025</t>
        </is>
      </c>
      <c r="B706" s="1" t="n">
        <v>45789.36928240741</v>
      </c>
      <c r="C706" s="1" t="n">
        <v>46081</v>
      </c>
      <c r="D706" t="inlineStr">
        <is>
          <t>DALARNAS LÄN</t>
        </is>
      </c>
      <c r="E706" t="inlineStr">
        <is>
          <t>ÄLVDALEN</t>
        </is>
      </c>
      <c r="F706" t="inlineStr">
        <is>
          <t>Allmännings- och besparingsskogar</t>
        </is>
      </c>
      <c r="G706" t="n">
        <v>18.1</v>
      </c>
      <c r="H706" t="n">
        <v>0</v>
      </c>
      <c r="I706" t="n">
        <v>0</v>
      </c>
      <c r="J706" t="n">
        <v>0</v>
      </c>
      <c r="K706" t="n">
        <v>0</v>
      </c>
      <c r="L706" t="n">
        <v>0</v>
      </c>
      <c r="M706" t="n">
        <v>0</v>
      </c>
      <c r="N706" t="n">
        <v>0</v>
      </c>
      <c r="O706" t="n">
        <v>0</v>
      </c>
      <c r="P706" t="n">
        <v>0</v>
      </c>
      <c r="Q706" t="n">
        <v>0</v>
      </c>
      <c r="R706" s="2" t="inlineStr"/>
    </row>
    <row r="707" ht="15" customHeight="1">
      <c r="A707" t="inlineStr">
        <is>
          <t>A 22303-2025</t>
        </is>
      </c>
      <c r="B707" s="1" t="n">
        <v>45786</v>
      </c>
      <c r="C707" s="1" t="n">
        <v>46081</v>
      </c>
      <c r="D707" t="inlineStr">
        <is>
          <t>DALARNAS LÄN</t>
        </is>
      </c>
      <c r="E707" t="inlineStr">
        <is>
          <t>ÄLVDALEN</t>
        </is>
      </c>
      <c r="G707" t="n">
        <v>3.7</v>
      </c>
      <c r="H707" t="n">
        <v>0</v>
      </c>
      <c r="I707" t="n">
        <v>0</v>
      </c>
      <c r="J707" t="n">
        <v>0</v>
      </c>
      <c r="K707" t="n">
        <v>0</v>
      </c>
      <c r="L707" t="n">
        <v>0</v>
      </c>
      <c r="M707" t="n">
        <v>0</v>
      </c>
      <c r="N707" t="n">
        <v>0</v>
      </c>
      <c r="O707" t="n">
        <v>0</v>
      </c>
      <c r="P707" t="n">
        <v>0</v>
      </c>
      <c r="Q707" t="n">
        <v>0</v>
      </c>
      <c r="R707" s="2" t="inlineStr"/>
    </row>
    <row r="708" ht="15" customHeight="1">
      <c r="A708" t="inlineStr">
        <is>
          <t>A 22559-2025</t>
        </is>
      </c>
      <c r="B708" s="1" t="n">
        <v>45789.32916666667</v>
      </c>
      <c r="C708" s="1" t="n">
        <v>46081</v>
      </c>
      <c r="D708" t="inlineStr">
        <is>
          <t>DALARNAS LÄN</t>
        </is>
      </c>
      <c r="E708" t="inlineStr">
        <is>
          <t>ÄLVDALEN</t>
        </is>
      </c>
      <c r="F708" t="inlineStr">
        <is>
          <t>Allmännings- och besparingsskogar</t>
        </is>
      </c>
      <c r="G708" t="n">
        <v>6.4</v>
      </c>
      <c r="H708" t="n">
        <v>0</v>
      </c>
      <c r="I708" t="n">
        <v>0</v>
      </c>
      <c r="J708" t="n">
        <v>0</v>
      </c>
      <c r="K708" t="n">
        <v>0</v>
      </c>
      <c r="L708" t="n">
        <v>0</v>
      </c>
      <c r="M708" t="n">
        <v>0</v>
      </c>
      <c r="N708" t="n">
        <v>0</v>
      </c>
      <c r="O708" t="n">
        <v>0</v>
      </c>
      <c r="P708" t="n">
        <v>0</v>
      </c>
      <c r="Q708" t="n">
        <v>0</v>
      </c>
      <c r="R708" s="2" t="inlineStr"/>
    </row>
    <row r="709" ht="15" customHeight="1">
      <c r="A709" t="inlineStr">
        <is>
          <t>A 22631-2025</t>
        </is>
      </c>
      <c r="B709" s="1" t="n">
        <v>45789.44056712963</v>
      </c>
      <c r="C709" s="1" t="n">
        <v>46081</v>
      </c>
      <c r="D709" t="inlineStr">
        <is>
          <t>DALARNAS LÄN</t>
        </is>
      </c>
      <c r="E709" t="inlineStr">
        <is>
          <t>ÄLVDALEN</t>
        </is>
      </c>
      <c r="F709" t="inlineStr">
        <is>
          <t>Allmännings- och besparingsskogar</t>
        </is>
      </c>
      <c r="G709" t="n">
        <v>2</v>
      </c>
      <c r="H709" t="n">
        <v>0</v>
      </c>
      <c r="I709" t="n">
        <v>0</v>
      </c>
      <c r="J709" t="n">
        <v>0</v>
      </c>
      <c r="K709" t="n">
        <v>0</v>
      </c>
      <c r="L709" t="n">
        <v>0</v>
      </c>
      <c r="M709" t="n">
        <v>0</v>
      </c>
      <c r="N709" t="n">
        <v>0</v>
      </c>
      <c r="O709" t="n">
        <v>0</v>
      </c>
      <c r="P709" t="n">
        <v>0</v>
      </c>
      <c r="Q709" t="n">
        <v>0</v>
      </c>
      <c r="R709" s="2" t="inlineStr"/>
    </row>
    <row r="710" ht="15" customHeight="1">
      <c r="A710" t="inlineStr">
        <is>
          <t>A 22909-2025</t>
        </is>
      </c>
      <c r="B710" s="1" t="n">
        <v>45790.42219907408</v>
      </c>
      <c r="C710" s="1" t="n">
        <v>46081</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23555-2025</t>
        </is>
      </c>
      <c r="B711" s="1" t="n">
        <v>45792.57824074074</v>
      </c>
      <c r="C711" s="1" t="n">
        <v>46081</v>
      </c>
      <c r="D711" t="inlineStr">
        <is>
          <t>DALARNAS LÄN</t>
        </is>
      </c>
      <c r="E711" t="inlineStr">
        <is>
          <t>ÄLVDALEN</t>
        </is>
      </c>
      <c r="G711" t="n">
        <v>3.1</v>
      </c>
      <c r="H711" t="n">
        <v>0</v>
      </c>
      <c r="I711" t="n">
        <v>0</v>
      </c>
      <c r="J711" t="n">
        <v>0</v>
      </c>
      <c r="K711" t="n">
        <v>0</v>
      </c>
      <c r="L711" t="n">
        <v>0</v>
      </c>
      <c r="M711" t="n">
        <v>0</v>
      </c>
      <c r="N711" t="n">
        <v>0</v>
      </c>
      <c r="O711" t="n">
        <v>0</v>
      </c>
      <c r="P711" t="n">
        <v>0</v>
      </c>
      <c r="Q711" t="n">
        <v>0</v>
      </c>
      <c r="R711" s="2" t="inlineStr"/>
    </row>
    <row r="712" ht="15" customHeight="1">
      <c r="A712" t="inlineStr">
        <is>
          <t>A 51967-2023</t>
        </is>
      </c>
      <c r="B712" s="1" t="n">
        <v>45223.56440972222</v>
      </c>
      <c r="C712" s="1" t="n">
        <v>46081</v>
      </c>
      <c r="D712" t="inlineStr">
        <is>
          <t>DALARNAS LÄN</t>
        </is>
      </c>
      <c r="E712" t="inlineStr">
        <is>
          <t>ÄLVDALEN</t>
        </is>
      </c>
      <c r="G712" t="n">
        <v>2.2</v>
      </c>
      <c r="H712" t="n">
        <v>0</v>
      </c>
      <c r="I712" t="n">
        <v>0</v>
      </c>
      <c r="J712" t="n">
        <v>0</v>
      </c>
      <c r="K712" t="n">
        <v>0</v>
      </c>
      <c r="L712" t="n">
        <v>0</v>
      </c>
      <c r="M712" t="n">
        <v>0</v>
      </c>
      <c r="N712" t="n">
        <v>0</v>
      </c>
      <c r="O712" t="n">
        <v>0</v>
      </c>
      <c r="P712" t="n">
        <v>0</v>
      </c>
      <c r="Q712" t="n">
        <v>0</v>
      </c>
      <c r="R712" s="2" t="inlineStr"/>
    </row>
    <row r="713" ht="15" customHeight="1">
      <c r="A713" t="inlineStr">
        <is>
          <t>A 23219-2025</t>
        </is>
      </c>
      <c r="B713" s="1" t="n">
        <v>45791.47893518519</v>
      </c>
      <c r="C713" s="1" t="n">
        <v>46081</v>
      </c>
      <c r="D713" t="inlineStr">
        <is>
          <t>DALARNAS LÄN</t>
        </is>
      </c>
      <c r="E713" t="inlineStr">
        <is>
          <t>ÄLVDALEN</t>
        </is>
      </c>
      <c r="F713" t="inlineStr">
        <is>
          <t>Bergvik skog öst AB</t>
        </is>
      </c>
      <c r="G713" t="n">
        <v>16.7</v>
      </c>
      <c r="H713" t="n">
        <v>0</v>
      </c>
      <c r="I713" t="n">
        <v>0</v>
      </c>
      <c r="J713" t="n">
        <v>0</v>
      </c>
      <c r="K713" t="n">
        <v>0</v>
      </c>
      <c r="L713" t="n">
        <v>0</v>
      </c>
      <c r="M713" t="n">
        <v>0</v>
      </c>
      <c r="N713" t="n">
        <v>0</v>
      </c>
      <c r="O713" t="n">
        <v>0</v>
      </c>
      <c r="P713" t="n">
        <v>0</v>
      </c>
      <c r="Q713" t="n">
        <v>0</v>
      </c>
      <c r="R713" s="2" t="inlineStr"/>
    </row>
    <row r="714" ht="15" customHeight="1">
      <c r="A714" t="inlineStr">
        <is>
          <t>A 23328-2024</t>
        </is>
      </c>
      <c r="B714" s="1" t="n">
        <v>45453.46716435185</v>
      </c>
      <c r="C714" s="1" t="n">
        <v>46081</v>
      </c>
      <c r="D714" t="inlineStr">
        <is>
          <t>DALARNAS LÄN</t>
        </is>
      </c>
      <c r="E714" t="inlineStr">
        <is>
          <t>ÄLVDALEN</t>
        </is>
      </c>
      <c r="G714" t="n">
        <v>2.7</v>
      </c>
      <c r="H714" t="n">
        <v>0</v>
      </c>
      <c r="I714" t="n">
        <v>0</v>
      </c>
      <c r="J714" t="n">
        <v>0</v>
      </c>
      <c r="K714" t="n">
        <v>0</v>
      </c>
      <c r="L714" t="n">
        <v>0</v>
      </c>
      <c r="M714" t="n">
        <v>0</v>
      </c>
      <c r="N714" t="n">
        <v>0</v>
      </c>
      <c r="O714" t="n">
        <v>0</v>
      </c>
      <c r="P714" t="n">
        <v>0</v>
      </c>
      <c r="Q714" t="n">
        <v>0</v>
      </c>
      <c r="R714" s="2" t="inlineStr"/>
    </row>
    <row r="715" ht="15" customHeight="1">
      <c r="A715" t="inlineStr">
        <is>
          <t>A 47645-2024</t>
        </is>
      </c>
      <c r="B715" s="1" t="n">
        <v>45588.37167824074</v>
      </c>
      <c r="C715" s="1" t="n">
        <v>46081</v>
      </c>
      <c r="D715" t="inlineStr">
        <is>
          <t>DALARNAS LÄN</t>
        </is>
      </c>
      <c r="E715" t="inlineStr">
        <is>
          <t>ÄLVDALEN</t>
        </is>
      </c>
      <c r="G715" t="n">
        <v>4.6</v>
      </c>
      <c r="H715" t="n">
        <v>0</v>
      </c>
      <c r="I715" t="n">
        <v>0</v>
      </c>
      <c r="J715" t="n">
        <v>0</v>
      </c>
      <c r="K715" t="n">
        <v>0</v>
      </c>
      <c r="L715" t="n">
        <v>0</v>
      </c>
      <c r="M715" t="n">
        <v>0</v>
      </c>
      <c r="N715" t="n">
        <v>0</v>
      </c>
      <c r="O715" t="n">
        <v>0</v>
      </c>
      <c r="P715" t="n">
        <v>0</v>
      </c>
      <c r="Q715" t="n">
        <v>0</v>
      </c>
      <c r="R715" s="2" t="inlineStr"/>
    </row>
    <row r="716" ht="15" customHeight="1">
      <c r="A716" t="inlineStr">
        <is>
          <t>A 24637-2025</t>
        </is>
      </c>
      <c r="B716" s="1" t="n">
        <v>45798.616875</v>
      </c>
      <c r="C716" s="1" t="n">
        <v>46081</v>
      </c>
      <c r="D716" t="inlineStr">
        <is>
          <t>DALARNAS LÄN</t>
        </is>
      </c>
      <c r="E716" t="inlineStr">
        <is>
          <t>ÄLVDALEN</t>
        </is>
      </c>
      <c r="G716" t="n">
        <v>0.5</v>
      </c>
      <c r="H716" t="n">
        <v>0</v>
      </c>
      <c r="I716" t="n">
        <v>0</v>
      </c>
      <c r="J716" t="n">
        <v>0</v>
      </c>
      <c r="K716" t="n">
        <v>0</v>
      </c>
      <c r="L716" t="n">
        <v>0</v>
      </c>
      <c r="M716" t="n">
        <v>0</v>
      </c>
      <c r="N716" t="n">
        <v>0</v>
      </c>
      <c r="O716" t="n">
        <v>0</v>
      </c>
      <c r="P716" t="n">
        <v>0</v>
      </c>
      <c r="Q716" t="n">
        <v>0</v>
      </c>
      <c r="R716" s="2" t="inlineStr"/>
    </row>
    <row r="717" ht="15" customHeight="1">
      <c r="A717" t="inlineStr">
        <is>
          <t>A 24950-2025</t>
        </is>
      </c>
      <c r="B717" s="1" t="n">
        <v>45799.56943287037</v>
      </c>
      <c r="C717" s="1" t="n">
        <v>46081</v>
      </c>
      <c r="D717" t="inlineStr">
        <is>
          <t>DALARNAS LÄN</t>
        </is>
      </c>
      <c r="E717" t="inlineStr">
        <is>
          <t>ÄLVDALEN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25086-2025</t>
        </is>
      </c>
      <c r="B718" s="1" t="n">
        <v>45800</v>
      </c>
      <c r="C718" s="1" t="n">
        <v>46081</v>
      </c>
      <c r="D718" t="inlineStr">
        <is>
          <t>DALARNAS LÄN</t>
        </is>
      </c>
      <c r="E718" t="inlineStr">
        <is>
          <t>ÄLVDALEN</t>
        </is>
      </c>
      <c r="F718" t="inlineStr">
        <is>
          <t>Sveaskog</t>
        </is>
      </c>
      <c r="G718" t="n">
        <v>10.7</v>
      </c>
      <c r="H718" t="n">
        <v>0</v>
      </c>
      <c r="I718" t="n">
        <v>0</v>
      </c>
      <c r="J718" t="n">
        <v>0</v>
      </c>
      <c r="K718" t="n">
        <v>0</v>
      </c>
      <c r="L718" t="n">
        <v>0</v>
      </c>
      <c r="M718" t="n">
        <v>0</v>
      </c>
      <c r="N718" t="n">
        <v>0</v>
      </c>
      <c r="O718" t="n">
        <v>0</v>
      </c>
      <c r="P718" t="n">
        <v>0</v>
      </c>
      <c r="Q718" t="n">
        <v>0</v>
      </c>
      <c r="R718" s="2" t="inlineStr"/>
    </row>
    <row r="719">
      <c r="A719" t="inlineStr">
        <is>
          <t>A 25879-2025</t>
        </is>
      </c>
      <c r="B719" s="1" t="n">
        <v>45804.49605324074</v>
      </c>
      <c r="C719" s="1" t="n">
        <v>46081</v>
      </c>
      <c r="D719" t="inlineStr">
        <is>
          <t>DALARNAS LÄN</t>
        </is>
      </c>
      <c r="E719" t="inlineStr">
        <is>
          <t>ÄLVDALEN</t>
        </is>
      </c>
      <c r="F719" t="inlineStr">
        <is>
          <t>Allmännings- och besparingsskogar</t>
        </is>
      </c>
      <c r="G719" t="n">
        <v>0.2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2026-02-28T11:07:24Z</dcterms:created>
  <dcterms:modified xmlns:dcterms="http://purl.org/dc/terms/" xmlns:xsi="http://www.w3.org/2001/XMLSchema-instance" xsi:type="dcterms:W3CDTF">2026-02-28T11:07:25Z</dcterms:modified>
</cp:coreProperties>
</file>