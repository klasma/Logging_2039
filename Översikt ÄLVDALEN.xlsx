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45802</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45802</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45802</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45802</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45802</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45802</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45802</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45802</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45802</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45802</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45802</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45802</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45802</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45802</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45802</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45802</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45802</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45802</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45802</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45802</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45802</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45802</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45802</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45802</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45802</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45802</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45802</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45802</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45802</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45802</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45802</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45802</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45802</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45802</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45802</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45802</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45802</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45802</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45802</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45802</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45802</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45802</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45802</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45802</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45802</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45802</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45802</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45802</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45802</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45802</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45802</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45802</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45802</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45802</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45802</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45802</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45802</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45802</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45802</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45802</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45802</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45802</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45802</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45802</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45802</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45802</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45802</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45802</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45802</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45802</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45802</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45802</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45802</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45802</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45802</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45802</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45802</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45802</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45802</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45802</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45802</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45802</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45802</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45802</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45802</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45802</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45802</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45802</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45802</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45802</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45802</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45802</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45802</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45802</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45802</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45802</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45802</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45802</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45802</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45015-2019</t>
        </is>
      </c>
      <c r="B119" s="1" t="n">
        <v>43707</v>
      </c>
      <c r="C119" s="1" t="n">
        <v>45802</v>
      </c>
      <c r="D119" t="inlineStr">
        <is>
          <t>DALARNAS LÄN</t>
        </is>
      </c>
      <c r="E119" t="inlineStr">
        <is>
          <t>ÄLVDALEN</t>
        </is>
      </c>
      <c r="F119" t="inlineStr">
        <is>
          <t>Sveaskog</t>
        </is>
      </c>
      <c r="G119" t="n">
        <v>33.8</v>
      </c>
      <c r="H119" t="n">
        <v>1</v>
      </c>
      <c r="I119" t="n">
        <v>0</v>
      </c>
      <c r="J119" t="n">
        <v>2</v>
      </c>
      <c r="K119" t="n">
        <v>0</v>
      </c>
      <c r="L119" t="n">
        <v>0</v>
      </c>
      <c r="M119" t="n">
        <v>0</v>
      </c>
      <c r="N119" t="n">
        <v>0</v>
      </c>
      <c r="O119" t="n">
        <v>2</v>
      </c>
      <c r="P119" t="n">
        <v>0</v>
      </c>
      <c r="Q119" t="n">
        <v>2</v>
      </c>
      <c r="R119" s="2" t="inlineStr">
        <is>
          <t>Skrovellav
Varglav</t>
        </is>
      </c>
      <c r="S119">
        <f>HYPERLINK("https://klasma.github.io/Logging_2039/artfynd/A 45015-2019 artfynd.xlsx", "A 45015-2019")</f>
        <v/>
      </c>
      <c r="T119">
        <f>HYPERLINK("https://klasma.github.io/Logging_2039/kartor/A 45015-2019 karta.png", "A 45015-2019")</f>
        <v/>
      </c>
      <c r="V119">
        <f>HYPERLINK("https://klasma.github.io/Logging_2039/klagomål/A 45015-2019 FSC-klagomål.docx", "A 45015-2019")</f>
        <v/>
      </c>
      <c r="W119">
        <f>HYPERLINK("https://klasma.github.io/Logging_2039/klagomålsmail/A 45015-2019 FSC-klagomål mail.docx", "A 45015-2019")</f>
        <v/>
      </c>
      <c r="X119">
        <f>HYPERLINK("https://klasma.github.io/Logging_2039/tillsyn/A 45015-2019 tillsynsbegäran.docx", "A 45015-2019")</f>
        <v/>
      </c>
      <c r="Y119">
        <f>HYPERLINK("https://klasma.github.io/Logging_2039/tillsynsmail/A 45015-2019 tillsynsbegäran mail.docx", "A 45015-2019")</f>
        <v/>
      </c>
    </row>
    <row r="120" ht="15" customHeight="1">
      <c r="A120" t="inlineStr">
        <is>
          <t>A 16638-2021</t>
        </is>
      </c>
      <c r="B120" s="1" t="n">
        <v>44284</v>
      </c>
      <c r="C120" s="1" t="n">
        <v>45802</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30615-2021</t>
        </is>
      </c>
      <c r="B121" s="1" t="n">
        <v>44365</v>
      </c>
      <c r="C121" s="1" t="n">
        <v>45802</v>
      </c>
      <c r="D121" t="inlineStr">
        <is>
          <t>DALARNAS LÄN</t>
        </is>
      </c>
      <c r="E121" t="inlineStr">
        <is>
          <t>ÄLVDALEN</t>
        </is>
      </c>
      <c r="F121" t="inlineStr">
        <is>
          <t>Sveaskog</t>
        </is>
      </c>
      <c r="G121" t="n">
        <v>22.8</v>
      </c>
      <c r="H121" t="n">
        <v>0</v>
      </c>
      <c r="I121" t="n">
        <v>1</v>
      </c>
      <c r="J121" t="n">
        <v>0</v>
      </c>
      <c r="K121" t="n">
        <v>1</v>
      </c>
      <c r="L121" t="n">
        <v>0</v>
      </c>
      <c r="M121" t="n">
        <v>0</v>
      </c>
      <c r="N121" t="n">
        <v>0</v>
      </c>
      <c r="O121" t="n">
        <v>1</v>
      </c>
      <c r="P121" t="n">
        <v>1</v>
      </c>
      <c r="Q121" t="n">
        <v>2</v>
      </c>
      <c r="R121" s="2" t="inlineStr">
        <is>
          <t>Smalfotad taggsvamp
Dropptaggsvamp</t>
        </is>
      </c>
      <c r="S121">
        <f>HYPERLINK("https://klasma.github.io/Logging_2039/artfynd/A 30615-2021 artfynd.xlsx", "A 30615-2021")</f>
        <v/>
      </c>
      <c r="T121">
        <f>HYPERLINK("https://klasma.github.io/Logging_2039/kartor/A 30615-2021 karta.png", "A 30615-2021")</f>
        <v/>
      </c>
      <c r="V121">
        <f>HYPERLINK("https://klasma.github.io/Logging_2039/klagomål/A 30615-2021 FSC-klagomål.docx", "A 30615-2021")</f>
        <v/>
      </c>
      <c r="W121">
        <f>HYPERLINK("https://klasma.github.io/Logging_2039/klagomålsmail/A 30615-2021 FSC-klagomål mail.docx", "A 30615-2021")</f>
        <v/>
      </c>
      <c r="X121">
        <f>HYPERLINK("https://klasma.github.io/Logging_2039/tillsyn/A 30615-2021 tillsynsbegäran.docx", "A 30615-2021")</f>
        <v/>
      </c>
      <c r="Y121">
        <f>HYPERLINK("https://klasma.github.io/Logging_2039/tillsynsmail/A 30615-2021 tillsynsbegäran mail.docx", "A 30615-2021")</f>
        <v/>
      </c>
    </row>
    <row r="122" ht="15" customHeight="1">
      <c r="A122" t="inlineStr">
        <is>
          <t>A 40231-2021</t>
        </is>
      </c>
      <c r="B122" s="1" t="n">
        <v>44419</v>
      </c>
      <c r="C122" s="1" t="n">
        <v>45802</v>
      </c>
      <c r="D122" t="inlineStr">
        <is>
          <t>DALARNAS LÄN</t>
        </is>
      </c>
      <c r="E122" t="inlineStr">
        <is>
          <t>ÄLVDALEN</t>
        </is>
      </c>
      <c r="F122" t="inlineStr">
        <is>
          <t>Sveaskog</t>
        </is>
      </c>
      <c r="G122" t="n">
        <v>4.1</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40231-2021 artfynd.xlsx", "A 40231-2021")</f>
        <v/>
      </c>
      <c r="T122">
        <f>HYPERLINK("https://klasma.github.io/Logging_2039/kartor/A 40231-2021 karta.png", "A 40231-2021")</f>
        <v/>
      </c>
      <c r="V122">
        <f>HYPERLINK("https://klasma.github.io/Logging_2039/klagomål/A 40231-2021 FSC-klagomål.docx", "A 40231-2021")</f>
        <v/>
      </c>
      <c r="W122">
        <f>HYPERLINK("https://klasma.github.io/Logging_2039/klagomålsmail/A 40231-2021 FSC-klagomål mail.docx", "A 40231-2021")</f>
        <v/>
      </c>
      <c r="X122">
        <f>HYPERLINK("https://klasma.github.io/Logging_2039/tillsyn/A 40231-2021 tillsynsbegäran.docx", "A 40231-2021")</f>
        <v/>
      </c>
      <c r="Y122">
        <f>HYPERLINK("https://klasma.github.io/Logging_2039/tillsynsmail/A 40231-2021 tillsynsbegäran mail.docx", "A 40231-2021")</f>
        <v/>
      </c>
    </row>
    <row r="123" ht="15" customHeight="1">
      <c r="A123" t="inlineStr">
        <is>
          <t>A 44407-2021</t>
        </is>
      </c>
      <c r="B123" s="1" t="n">
        <v>44435</v>
      </c>
      <c r="C123" s="1" t="n">
        <v>45802</v>
      </c>
      <c r="D123" t="inlineStr">
        <is>
          <t>DALARNAS LÄN</t>
        </is>
      </c>
      <c r="E123" t="inlineStr">
        <is>
          <t>ÄLVDALEN</t>
        </is>
      </c>
      <c r="F123" t="inlineStr">
        <is>
          <t>Sveaskog</t>
        </is>
      </c>
      <c r="G123" t="n">
        <v>4.4</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44407-2021 artfynd.xlsx", "A 44407-2021")</f>
        <v/>
      </c>
      <c r="T123">
        <f>HYPERLINK("https://klasma.github.io/Logging_2039/kartor/A 44407-2021 karta.png", "A 44407-2021")</f>
        <v/>
      </c>
      <c r="V123">
        <f>HYPERLINK("https://klasma.github.io/Logging_2039/klagomål/A 44407-2021 FSC-klagomål.docx", "A 44407-2021")</f>
        <v/>
      </c>
      <c r="W123">
        <f>HYPERLINK("https://klasma.github.io/Logging_2039/klagomålsmail/A 44407-2021 FSC-klagomål mail.docx", "A 44407-2021")</f>
        <v/>
      </c>
      <c r="X123">
        <f>HYPERLINK("https://klasma.github.io/Logging_2039/tillsyn/A 44407-2021 tillsynsbegäran.docx", "A 44407-2021")</f>
        <v/>
      </c>
      <c r="Y123">
        <f>HYPERLINK("https://klasma.github.io/Logging_2039/tillsynsmail/A 44407-2021 tillsynsbegäran mail.docx", "A 44407-2021")</f>
        <v/>
      </c>
    </row>
    <row r="124" ht="15" customHeight="1">
      <c r="A124" t="inlineStr">
        <is>
          <t>A 54632-2021</t>
        </is>
      </c>
      <c r="B124" s="1" t="n">
        <v>44473</v>
      </c>
      <c r="C124" s="1" t="n">
        <v>45802</v>
      </c>
      <c r="D124" t="inlineStr">
        <is>
          <t>DALARNAS LÄN</t>
        </is>
      </c>
      <c r="E124" t="inlineStr">
        <is>
          <t>ÄLVDALEN</t>
        </is>
      </c>
      <c r="G124" t="n">
        <v>4.8</v>
      </c>
      <c r="H124" t="n">
        <v>1</v>
      </c>
      <c r="I124" t="n">
        <v>0</v>
      </c>
      <c r="J124" t="n">
        <v>2</v>
      </c>
      <c r="K124" t="n">
        <v>0</v>
      </c>
      <c r="L124" t="n">
        <v>0</v>
      </c>
      <c r="M124" t="n">
        <v>0</v>
      </c>
      <c r="N124" t="n">
        <v>0</v>
      </c>
      <c r="O124" t="n">
        <v>2</v>
      </c>
      <c r="P124" t="n">
        <v>0</v>
      </c>
      <c r="Q124" t="n">
        <v>2</v>
      </c>
      <c r="R124" s="2" t="inlineStr">
        <is>
          <t>Varglav
Vedflamlav</t>
        </is>
      </c>
      <c r="S124">
        <f>HYPERLINK("https://klasma.github.io/Logging_2039/artfynd/A 54632-2021 artfynd.xlsx", "A 54632-2021")</f>
        <v/>
      </c>
      <c r="T124">
        <f>HYPERLINK("https://klasma.github.io/Logging_2039/kartor/A 54632-2021 karta.png", "A 54632-2021")</f>
        <v/>
      </c>
      <c r="V124">
        <f>HYPERLINK("https://klasma.github.io/Logging_2039/klagomål/A 54632-2021 FSC-klagomål.docx", "A 54632-2021")</f>
        <v/>
      </c>
      <c r="W124">
        <f>HYPERLINK("https://klasma.github.io/Logging_2039/klagomålsmail/A 54632-2021 FSC-klagomål mail.docx", "A 54632-2021")</f>
        <v/>
      </c>
      <c r="X124">
        <f>HYPERLINK("https://klasma.github.io/Logging_2039/tillsyn/A 54632-2021 tillsynsbegäran.docx", "A 54632-2021")</f>
        <v/>
      </c>
      <c r="Y124">
        <f>HYPERLINK("https://klasma.github.io/Logging_2039/tillsynsmail/A 54632-2021 tillsynsbegäran mail.docx", "A 54632-2021")</f>
        <v/>
      </c>
    </row>
    <row r="125" ht="15" customHeight="1">
      <c r="A125" t="inlineStr">
        <is>
          <t>A 67709-2021</t>
        </is>
      </c>
      <c r="B125" s="1" t="n">
        <v>44525</v>
      </c>
      <c r="C125" s="1" t="n">
        <v>45802</v>
      </c>
      <c r="D125" t="inlineStr">
        <is>
          <t>DALARNAS LÄN</t>
        </is>
      </c>
      <c r="E125" t="inlineStr">
        <is>
          <t>ÄLVDALEN</t>
        </is>
      </c>
      <c r="F125" t="inlineStr">
        <is>
          <t>Sveaskog</t>
        </is>
      </c>
      <c r="G125" t="n">
        <v>4.4</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67709-2021 artfynd.xlsx", "A 67709-2021")</f>
        <v/>
      </c>
      <c r="T125">
        <f>HYPERLINK("https://klasma.github.io/Logging_2039/kartor/A 67709-2021 karta.png", "A 67709-2021")</f>
        <v/>
      </c>
      <c r="V125">
        <f>HYPERLINK("https://klasma.github.io/Logging_2039/klagomål/A 67709-2021 FSC-klagomål.docx", "A 67709-2021")</f>
        <v/>
      </c>
      <c r="W125">
        <f>HYPERLINK("https://klasma.github.io/Logging_2039/klagomålsmail/A 67709-2021 FSC-klagomål mail.docx", "A 67709-2021")</f>
        <v/>
      </c>
      <c r="X125">
        <f>HYPERLINK("https://klasma.github.io/Logging_2039/tillsyn/A 67709-2021 tillsynsbegäran.docx", "A 67709-2021")</f>
        <v/>
      </c>
      <c r="Y125">
        <f>HYPERLINK("https://klasma.github.io/Logging_2039/tillsynsmail/A 67709-2021 tillsynsbegäran mail.docx", "A 67709-2021")</f>
        <v/>
      </c>
    </row>
    <row r="126" ht="15" customHeight="1">
      <c r="A126" t="inlineStr">
        <is>
          <t>A 69726-2021</t>
        </is>
      </c>
      <c r="B126" s="1" t="n">
        <v>44532</v>
      </c>
      <c r="C126" s="1" t="n">
        <v>45802</v>
      </c>
      <c r="D126" t="inlineStr">
        <is>
          <t>DALARNAS LÄN</t>
        </is>
      </c>
      <c r="E126" t="inlineStr">
        <is>
          <t>ÄLVDALEN</t>
        </is>
      </c>
      <c r="F126" t="inlineStr">
        <is>
          <t>Sveaskog</t>
        </is>
      </c>
      <c r="G126" t="n">
        <v>7.2</v>
      </c>
      <c r="H126" t="n">
        <v>0</v>
      </c>
      <c r="I126" t="n">
        <v>1</v>
      </c>
      <c r="J126" t="n">
        <v>1</v>
      </c>
      <c r="K126" t="n">
        <v>0</v>
      </c>
      <c r="L126" t="n">
        <v>0</v>
      </c>
      <c r="M126" t="n">
        <v>0</v>
      </c>
      <c r="N126" t="n">
        <v>0</v>
      </c>
      <c r="O126" t="n">
        <v>1</v>
      </c>
      <c r="P126" t="n">
        <v>0</v>
      </c>
      <c r="Q126" t="n">
        <v>2</v>
      </c>
      <c r="R126" s="2" t="inlineStr">
        <is>
          <t>Garnlav
Dropptaggsvamp</t>
        </is>
      </c>
      <c r="S126">
        <f>HYPERLINK("https://klasma.github.io/Logging_2039/artfynd/A 69726-2021 artfynd.xlsx", "A 69726-2021")</f>
        <v/>
      </c>
      <c r="T126">
        <f>HYPERLINK("https://klasma.github.io/Logging_2039/kartor/A 69726-2021 karta.png", "A 69726-2021")</f>
        <v/>
      </c>
      <c r="V126">
        <f>HYPERLINK("https://klasma.github.io/Logging_2039/klagomål/A 69726-2021 FSC-klagomål.docx", "A 69726-2021")</f>
        <v/>
      </c>
      <c r="W126">
        <f>HYPERLINK("https://klasma.github.io/Logging_2039/klagomålsmail/A 69726-2021 FSC-klagomål mail.docx", "A 69726-2021")</f>
        <v/>
      </c>
      <c r="X126">
        <f>HYPERLINK("https://klasma.github.io/Logging_2039/tillsyn/A 69726-2021 tillsynsbegäran.docx", "A 69726-2021")</f>
        <v/>
      </c>
      <c r="Y126">
        <f>HYPERLINK("https://klasma.github.io/Logging_2039/tillsynsmail/A 69726-2021 tillsynsbegäran mail.docx", "A 69726-2021")</f>
        <v/>
      </c>
    </row>
    <row r="127" ht="15" customHeight="1">
      <c r="A127" t="inlineStr">
        <is>
          <t>A 21629-2022</t>
        </is>
      </c>
      <c r="B127" s="1" t="n">
        <v>44706</v>
      </c>
      <c r="C127" s="1" t="n">
        <v>45802</v>
      </c>
      <c r="D127" t="inlineStr">
        <is>
          <t>DALARNAS LÄN</t>
        </is>
      </c>
      <c r="E127" t="inlineStr">
        <is>
          <t>ÄLVDALEN</t>
        </is>
      </c>
      <c r="F127" t="inlineStr">
        <is>
          <t>Övriga statliga verk och myndigheter</t>
        </is>
      </c>
      <c r="G127" t="n">
        <v>19.2</v>
      </c>
      <c r="H127" t="n">
        <v>0</v>
      </c>
      <c r="I127" t="n">
        <v>1</v>
      </c>
      <c r="J127" t="n">
        <v>1</v>
      </c>
      <c r="K127" t="n">
        <v>0</v>
      </c>
      <c r="L127" t="n">
        <v>0</v>
      </c>
      <c r="M127" t="n">
        <v>0</v>
      </c>
      <c r="N127" t="n">
        <v>0</v>
      </c>
      <c r="O127" t="n">
        <v>1</v>
      </c>
      <c r="P127" t="n">
        <v>0</v>
      </c>
      <c r="Q127" t="n">
        <v>2</v>
      </c>
      <c r="R127" s="2" t="inlineStr">
        <is>
          <t>Vitgrynig nållav
Kransrams</t>
        </is>
      </c>
      <c r="S127">
        <f>HYPERLINK("https://klasma.github.io/Logging_2039/artfynd/A 21629-2022 artfynd.xlsx", "A 21629-2022")</f>
        <v/>
      </c>
      <c r="T127">
        <f>HYPERLINK("https://klasma.github.io/Logging_2039/kartor/A 21629-2022 karta.png", "A 21629-2022")</f>
        <v/>
      </c>
      <c r="V127">
        <f>HYPERLINK("https://klasma.github.io/Logging_2039/klagomål/A 21629-2022 FSC-klagomål.docx", "A 21629-2022")</f>
        <v/>
      </c>
      <c r="W127">
        <f>HYPERLINK("https://klasma.github.io/Logging_2039/klagomålsmail/A 21629-2022 FSC-klagomål mail.docx", "A 21629-2022")</f>
        <v/>
      </c>
      <c r="X127">
        <f>HYPERLINK("https://klasma.github.io/Logging_2039/tillsyn/A 21629-2022 tillsynsbegäran.docx", "A 21629-2022")</f>
        <v/>
      </c>
      <c r="Y127">
        <f>HYPERLINK("https://klasma.github.io/Logging_2039/tillsynsmail/A 21629-2022 tillsynsbegäran mail.docx", "A 21629-2022")</f>
        <v/>
      </c>
    </row>
    <row r="128" ht="15" customHeight="1">
      <c r="A128" t="inlineStr">
        <is>
          <t>A 50242-2022</t>
        </is>
      </c>
      <c r="B128" s="1" t="n">
        <v>44865</v>
      </c>
      <c r="C128" s="1" t="n">
        <v>45802</v>
      </c>
      <c r="D128" t="inlineStr">
        <is>
          <t>DALARNAS LÄN</t>
        </is>
      </c>
      <c r="E128" t="inlineStr">
        <is>
          <t>ÄLVDALEN</t>
        </is>
      </c>
      <c r="F128" t="inlineStr">
        <is>
          <t>Sveaskog</t>
        </is>
      </c>
      <c r="G128" t="n">
        <v>10.7</v>
      </c>
      <c r="H128" t="n">
        <v>0</v>
      </c>
      <c r="I128" t="n">
        <v>1</v>
      </c>
      <c r="J128" t="n">
        <v>1</v>
      </c>
      <c r="K128" t="n">
        <v>0</v>
      </c>
      <c r="L128" t="n">
        <v>0</v>
      </c>
      <c r="M128" t="n">
        <v>0</v>
      </c>
      <c r="N128" t="n">
        <v>0</v>
      </c>
      <c r="O128" t="n">
        <v>1</v>
      </c>
      <c r="P128" t="n">
        <v>0</v>
      </c>
      <c r="Q128" t="n">
        <v>2</v>
      </c>
      <c r="R128" s="2" t="inlineStr">
        <is>
          <t>Kolflarnlav
Dropptaggsvamp</t>
        </is>
      </c>
      <c r="S128">
        <f>HYPERLINK("https://klasma.github.io/Logging_2039/artfynd/A 50242-2022 artfynd.xlsx", "A 50242-2022")</f>
        <v/>
      </c>
      <c r="T128">
        <f>HYPERLINK("https://klasma.github.io/Logging_2039/kartor/A 50242-2022 karta.png", "A 50242-2022")</f>
        <v/>
      </c>
      <c r="V128">
        <f>HYPERLINK("https://klasma.github.io/Logging_2039/klagomål/A 50242-2022 FSC-klagomål.docx", "A 50242-2022")</f>
        <v/>
      </c>
      <c r="W128">
        <f>HYPERLINK("https://klasma.github.io/Logging_2039/klagomålsmail/A 50242-2022 FSC-klagomål mail.docx", "A 50242-2022")</f>
        <v/>
      </c>
      <c r="X128">
        <f>HYPERLINK("https://klasma.github.io/Logging_2039/tillsyn/A 50242-2022 tillsynsbegäran.docx", "A 50242-2022")</f>
        <v/>
      </c>
      <c r="Y128">
        <f>HYPERLINK("https://klasma.github.io/Logging_2039/tillsynsmail/A 50242-2022 tillsynsbegäran mail.docx", "A 50242-2022")</f>
        <v/>
      </c>
    </row>
    <row r="129" ht="15" customHeight="1">
      <c r="A129" t="inlineStr">
        <is>
          <t>A 52490-2022</t>
        </is>
      </c>
      <c r="B129" s="1" t="n">
        <v>44874</v>
      </c>
      <c r="C129" s="1" t="n">
        <v>45802</v>
      </c>
      <c r="D129" t="inlineStr">
        <is>
          <t>DALARNAS LÄN</t>
        </is>
      </c>
      <c r="E129" t="inlineStr">
        <is>
          <t>ÄLVDALEN</t>
        </is>
      </c>
      <c r="G129" t="n">
        <v>4.3</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52490-2022 artfynd.xlsx", "A 52490-2022")</f>
        <v/>
      </c>
      <c r="T129">
        <f>HYPERLINK("https://klasma.github.io/Logging_2039/kartor/A 52490-2022 karta.png", "A 52490-2022")</f>
        <v/>
      </c>
      <c r="V129">
        <f>HYPERLINK("https://klasma.github.io/Logging_2039/klagomål/A 52490-2022 FSC-klagomål.docx", "A 52490-2022")</f>
        <v/>
      </c>
      <c r="W129">
        <f>HYPERLINK("https://klasma.github.io/Logging_2039/klagomålsmail/A 52490-2022 FSC-klagomål mail.docx", "A 52490-2022")</f>
        <v/>
      </c>
      <c r="X129">
        <f>HYPERLINK("https://klasma.github.io/Logging_2039/tillsyn/A 52490-2022 tillsynsbegäran.docx", "A 52490-2022")</f>
        <v/>
      </c>
      <c r="Y129">
        <f>HYPERLINK("https://klasma.github.io/Logging_2039/tillsynsmail/A 52490-2022 tillsynsbegäran mail.docx", "A 52490-2022")</f>
        <v/>
      </c>
    </row>
    <row r="130" ht="15" customHeight="1">
      <c r="A130" t="inlineStr">
        <is>
          <t>A 21857-2023</t>
        </is>
      </c>
      <c r="B130" s="1" t="n">
        <v>45068</v>
      </c>
      <c r="C130" s="1" t="n">
        <v>45802</v>
      </c>
      <c r="D130" t="inlineStr">
        <is>
          <t>DALARNAS LÄN</t>
        </is>
      </c>
      <c r="E130" t="inlineStr">
        <is>
          <t>ÄLVDALEN</t>
        </is>
      </c>
      <c r="F130" t="inlineStr">
        <is>
          <t>Allmännings- och besparingsskogar</t>
        </is>
      </c>
      <c r="G130" t="n">
        <v>25.2</v>
      </c>
      <c r="H130" t="n">
        <v>1</v>
      </c>
      <c r="I130" t="n">
        <v>0</v>
      </c>
      <c r="J130" t="n">
        <v>2</v>
      </c>
      <c r="K130" t="n">
        <v>0</v>
      </c>
      <c r="L130" t="n">
        <v>0</v>
      </c>
      <c r="M130" t="n">
        <v>0</v>
      </c>
      <c r="N130" t="n">
        <v>0</v>
      </c>
      <c r="O130" t="n">
        <v>2</v>
      </c>
      <c r="P130" t="n">
        <v>0</v>
      </c>
      <c r="Q130" t="n">
        <v>2</v>
      </c>
      <c r="R130" s="2" t="inlineStr">
        <is>
          <t>Svartvit flugsnappare
Vedflamlav</t>
        </is>
      </c>
      <c r="S130">
        <f>HYPERLINK("https://klasma.github.io/Logging_2039/artfynd/A 21857-2023 artfynd.xlsx", "A 21857-2023")</f>
        <v/>
      </c>
      <c r="T130">
        <f>HYPERLINK("https://klasma.github.io/Logging_2039/kartor/A 21857-2023 karta.png", "A 21857-2023")</f>
        <v/>
      </c>
      <c r="V130">
        <f>HYPERLINK("https://klasma.github.io/Logging_2039/klagomål/A 21857-2023 FSC-klagomål.docx", "A 21857-2023")</f>
        <v/>
      </c>
      <c r="W130">
        <f>HYPERLINK("https://klasma.github.io/Logging_2039/klagomålsmail/A 21857-2023 FSC-klagomål mail.docx", "A 21857-2023")</f>
        <v/>
      </c>
      <c r="X130">
        <f>HYPERLINK("https://klasma.github.io/Logging_2039/tillsyn/A 21857-2023 tillsynsbegäran.docx", "A 21857-2023")</f>
        <v/>
      </c>
      <c r="Y130">
        <f>HYPERLINK("https://klasma.github.io/Logging_2039/tillsynsmail/A 21857-2023 tillsynsbegäran mail.docx", "A 21857-2023")</f>
        <v/>
      </c>
      <c r="Z130">
        <f>HYPERLINK("https://klasma.github.io/Logging_2039/fåglar/A 21857-2023 prioriterade fågelarter.docx", "A 21857-2023")</f>
        <v/>
      </c>
    </row>
    <row r="131" ht="15" customHeight="1">
      <c r="A131" t="inlineStr">
        <is>
          <t>A 27967-2023</t>
        </is>
      </c>
      <c r="B131" s="1" t="n">
        <v>45098</v>
      </c>
      <c r="C131" s="1" t="n">
        <v>45802</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33894-2023</t>
        </is>
      </c>
      <c r="B132" s="1" t="n">
        <v>45121</v>
      </c>
      <c r="C132" s="1" t="n">
        <v>45802</v>
      </c>
      <c r="D132" t="inlineStr">
        <is>
          <t>DALARNAS LÄN</t>
        </is>
      </c>
      <c r="E132" t="inlineStr">
        <is>
          <t>ÄLVDALEN</t>
        </is>
      </c>
      <c r="F132" t="inlineStr">
        <is>
          <t>Sveaskog</t>
        </is>
      </c>
      <c r="G132" t="n">
        <v>3</v>
      </c>
      <c r="H132" t="n">
        <v>0</v>
      </c>
      <c r="I132" t="n">
        <v>2</v>
      </c>
      <c r="J132" t="n">
        <v>0</v>
      </c>
      <c r="K132" t="n">
        <v>0</v>
      </c>
      <c r="L132" t="n">
        <v>0</v>
      </c>
      <c r="M132" t="n">
        <v>0</v>
      </c>
      <c r="N132" t="n">
        <v>0</v>
      </c>
      <c r="O132" t="n">
        <v>0</v>
      </c>
      <c r="P132" t="n">
        <v>0</v>
      </c>
      <c r="Q132" t="n">
        <v>2</v>
      </c>
      <c r="R132" s="2" t="inlineStr">
        <is>
          <t>Dropptaggsvamp
Skarp dropptaggsvamp</t>
        </is>
      </c>
      <c r="S132">
        <f>HYPERLINK("https://klasma.github.io/Logging_2039/artfynd/A 33894-2023 artfynd.xlsx", "A 33894-2023")</f>
        <v/>
      </c>
      <c r="T132">
        <f>HYPERLINK("https://klasma.github.io/Logging_2039/kartor/A 33894-2023 karta.png", "A 33894-2023")</f>
        <v/>
      </c>
      <c r="V132">
        <f>HYPERLINK("https://klasma.github.io/Logging_2039/klagomål/A 33894-2023 FSC-klagomål.docx", "A 33894-2023")</f>
        <v/>
      </c>
      <c r="W132">
        <f>HYPERLINK("https://klasma.github.io/Logging_2039/klagomålsmail/A 33894-2023 FSC-klagomål mail.docx", "A 33894-2023")</f>
        <v/>
      </c>
      <c r="X132">
        <f>HYPERLINK("https://klasma.github.io/Logging_2039/tillsyn/A 33894-2023 tillsynsbegäran.docx", "A 33894-2023")</f>
        <v/>
      </c>
      <c r="Y132">
        <f>HYPERLINK("https://klasma.github.io/Logging_2039/tillsynsmail/A 33894-2023 tillsynsbegäran mail.docx", "A 33894-2023")</f>
        <v/>
      </c>
    </row>
    <row r="133" ht="15" customHeight="1">
      <c r="A133" t="inlineStr">
        <is>
          <t>A 35184-2023</t>
        </is>
      </c>
      <c r="B133" s="1" t="n">
        <v>45145</v>
      </c>
      <c r="C133" s="1" t="n">
        <v>45802</v>
      </c>
      <c r="D133" t="inlineStr">
        <is>
          <t>DALARNAS LÄN</t>
        </is>
      </c>
      <c r="E133" t="inlineStr">
        <is>
          <t>ÄLVDALEN</t>
        </is>
      </c>
      <c r="F133" t="inlineStr">
        <is>
          <t>Sveaskog</t>
        </is>
      </c>
      <c r="G133" t="n">
        <v>1.7</v>
      </c>
      <c r="H133" t="n">
        <v>0</v>
      </c>
      <c r="I133" t="n">
        <v>0</v>
      </c>
      <c r="J133" t="n">
        <v>2</v>
      </c>
      <c r="K133" t="n">
        <v>0</v>
      </c>
      <c r="L133" t="n">
        <v>0</v>
      </c>
      <c r="M133" t="n">
        <v>0</v>
      </c>
      <c r="N133" t="n">
        <v>0</v>
      </c>
      <c r="O133" t="n">
        <v>2</v>
      </c>
      <c r="P133" t="n">
        <v>0</v>
      </c>
      <c r="Q133" t="n">
        <v>2</v>
      </c>
      <c r="R133" s="2" t="inlineStr">
        <is>
          <t>Blanksvart spiklav
Kolflarnlav</t>
        </is>
      </c>
      <c r="S133">
        <f>HYPERLINK("https://klasma.github.io/Logging_2039/artfynd/A 35184-2023 artfynd.xlsx", "A 35184-2023")</f>
        <v/>
      </c>
      <c r="T133">
        <f>HYPERLINK("https://klasma.github.io/Logging_2039/kartor/A 35184-2023 karta.png", "A 35184-2023")</f>
        <v/>
      </c>
      <c r="V133">
        <f>HYPERLINK("https://klasma.github.io/Logging_2039/klagomål/A 35184-2023 FSC-klagomål.docx", "A 35184-2023")</f>
        <v/>
      </c>
      <c r="W133">
        <f>HYPERLINK("https://klasma.github.io/Logging_2039/klagomålsmail/A 35184-2023 FSC-klagomål mail.docx", "A 35184-2023")</f>
        <v/>
      </c>
      <c r="X133">
        <f>HYPERLINK("https://klasma.github.io/Logging_2039/tillsyn/A 35184-2023 tillsynsbegäran.docx", "A 35184-2023")</f>
        <v/>
      </c>
      <c r="Y133">
        <f>HYPERLINK("https://klasma.github.io/Logging_2039/tillsynsmail/A 35184-2023 tillsynsbegäran mail.docx", "A 35184-2023")</f>
        <v/>
      </c>
    </row>
    <row r="134" ht="15" customHeight="1">
      <c r="A134" t="inlineStr">
        <is>
          <t>A 37664-2023</t>
        </is>
      </c>
      <c r="B134" s="1" t="n">
        <v>45159</v>
      </c>
      <c r="C134" s="1" t="n">
        <v>45802</v>
      </c>
      <c r="D134" t="inlineStr">
        <is>
          <t>DALARNAS LÄN</t>
        </is>
      </c>
      <c r="E134" t="inlineStr">
        <is>
          <t>ÄLVDALEN</t>
        </is>
      </c>
      <c r="F134" t="inlineStr">
        <is>
          <t>Allmännings- och besparingsskogar</t>
        </is>
      </c>
      <c r="G134" t="n">
        <v>0.6</v>
      </c>
      <c r="H134" t="n">
        <v>0</v>
      </c>
      <c r="I134" t="n">
        <v>1</v>
      </c>
      <c r="J134" t="n">
        <v>1</v>
      </c>
      <c r="K134" t="n">
        <v>0</v>
      </c>
      <c r="L134" t="n">
        <v>0</v>
      </c>
      <c r="M134" t="n">
        <v>0</v>
      </c>
      <c r="N134" t="n">
        <v>0</v>
      </c>
      <c r="O134" t="n">
        <v>1</v>
      </c>
      <c r="P134" t="n">
        <v>0</v>
      </c>
      <c r="Q134" t="n">
        <v>2</v>
      </c>
      <c r="R134" s="2" t="inlineStr">
        <is>
          <t>Vaddporing
Mindre märgborre</t>
        </is>
      </c>
      <c r="S134">
        <f>HYPERLINK("https://klasma.github.io/Logging_2039/artfynd/A 37664-2023 artfynd.xlsx", "A 37664-2023")</f>
        <v/>
      </c>
      <c r="T134">
        <f>HYPERLINK("https://klasma.github.io/Logging_2039/kartor/A 37664-2023 karta.png", "A 37664-2023")</f>
        <v/>
      </c>
      <c r="V134">
        <f>HYPERLINK("https://klasma.github.io/Logging_2039/klagomål/A 37664-2023 FSC-klagomål.docx", "A 37664-2023")</f>
        <v/>
      </c>
      <c r="W134">
        <f>HYPERLINK("https://klasma.github.io/Logging_2039/klagomålsmail/A 37664-2023 FSC-klagomål mail.docx", "A 37664-2023")</f>
        <v/>
      </c>
      <c r="X134">
        <f>HYPERLINK("https://klasma.github.io/Logging_2039/tillsyn/A 37664-2023 tillsynsbegäran.docx", "A 37664-2023")</f>
        <v/>
      </c>
      <c r="Y134">
        <f>HYPERLINK("https://klasma.github.io/Logging_2039/tillsynsmail/A 37664-2023 tillsynsbegäran mail.docx", "A 37664-2023")</f>
        <v/>
      </c>
    </row>
    <row r="135" ht="15" customHeight="1">
      <c r="A135" t="inlineStr">
        <is>
          <t>A 42848-2023</t>
        </is>
      </c>
      <c r="B135" s="1" t="n">
        <v>45182</v>
      </c>
      <c r="C135" s="1" t="n">
        <v>45802</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9079-2024</t>
        </is>
      </c>
      <c r="B136" s="1" t="n">
        <v>45357</v>
      </c>
      <c r="C136" s="1" t="n">
        <v>45802</v>
      </c>
      <c r="D136" t="inlineStr">
        <is>
          <t>DALARNAS LÄN</t>
        </is>
      </c>
      <c r="E136" t="inlineStr">
        <is>
          <t>ÄLVDALEN</t>
        </is>
      </c>
      <c r="F136" t="inlineStr">
        <is>
          <t>Övriga Aktiebolag</t>
        </is>
      </c>
      <c r="G136" t="n">
        <v>15.2</v>
      </c>
      <c r="H136" t="n">
        <v>1</v>
      </c>
      <c r="I136" t="n">
        <v>0</v>
      </c>
      <c r="J136" t="n">
        <v>1</v>
      </c>
      <c r="K136" t="n">
        <v>0</v>
      </c>
      <c r="L136" t="n">
        <v>0</v>
      </c>
      <c r="M136" t="n">
        <v>0</v>
      </c>
      <c r="N136" t="n">
        <v>0</v>
      </c>
      <c r="O136" t="n">
        <v>1</v>
      </c>
      <c r="P136" t="n">
        <v>0</v>
      </c>
      <c r="Q136" t="n">
        <v>2</v>
      </c>
      <c r="R136" s="2" t="inlineStr">
        <is>
          <t>Kortskaftad ärgspik
Fläcknycklar</t>
        </is>
      </c>
      <c r="S136">
        <f>HYPERLINK("https://klasma.github.io/Logging_2039/artfynd/A 9079-2024 artfynd.xlsx", "A 9079-2024")</f>
        <v/>
      </c>
      <c r="T136">
        <f>HYPERLINK("https://klasma.github.io/Logging_2039/kartor/A 9079-2024 karta.png", "A 9079-2024")</f>
        <v/>
      </c>
      <c r="V136">
        <f>HYPERLINK("https://klasma.github.io/Logging_2039/klagomål/A 9079-2024 FSC-klagomål.docx", "A 9079-2024")</f>
        <v/>
      </c>
      <c r="W136">
        <f>HYPERLINK("https://klasma.github.io/Logging_2039/klagomålsmail/A 9079-2024 FSC-klagomål mail.docx", "A 9079-2024")</f>
        <v/>
      </c>
      <c r="X136">
        <f>HYPERLINK("https://klasma.github.io/Logging_2039/tillsyn/A 9079-2024 tillsynsbegäran.docx", "A 9079-2024")</f>
        <v/>
      </c>
      <c r="Y136">
        <f>HYPERLINK("https://klasma.github.io/Logging_2039/tillsynsmail/A 9079-2024 tillsynsbegäran mail.docx", "A 9079-2024")</f>
        <v/>
      </c>
    </row>
    <row r="137" ht="15" customHeight="1">
      <c r="A137" t="inlineStr">
        <is>
          <t>A 19612-2024</t>
        </is>
      </c>
      <c r="B137" s="1" t="n">
        <v>45432</v>
      </c>
      <c r="C137" s="1" t="n">
        <v>45802</v>
      </c>
      <c r="D137" t="inlineStr">
        <is>
          <t>DALARNAS LÄN</t>
        </is>
      </c>
      <c r="E137" t="inlineStr">
        <is>
          <t>ÄLVDALEN</t>
        </is>
      </c>
      <c r="F137" t="inlineStr">
        <is>
          <t>Sveaskog</t>
        </is>
      </c>
      <c r="G137" t="n">
        <v>3.1</v>
      </c>
      <c r="H137" t="n">
        <v>0</v>
      </c>
      <c r="I137" t="n">
        <v>0</v>
      </c>
      <c r="J137" t="n">
        <v>2</v>
      </c>
      <c r="K137" t="n">
        <v>0</v>
      </c>
      <c r="L137" t="n">
        <v>0</v>
      </c>
      <c r="M137" t="n">
        <v>0</v>
      </c>
      <c r="N137" t="n">
        <v>0</v>
      </c>
      <c r="O137" t="n">
        <v>2</v>
      </c>
      <c r="P137" t="n">
        <v>0</v>
      </c>
      <c r="Q137" t="n">
        <v>2</v>
      </c>
      <c r="R137" s="2" t="inlineStr">
        <is>
          <t>Blanksvart spiklav
Kolflarnlav</t>
        </is>
      </c>
      <c r="S137">
        <f>HYPERLINK("https://klasma.github.io/Logging_2039/artfynd/A 19612-2024 artfynd.xlsx", "A 19612-2024")</f>
        <v/>
      </c>
      <c r="T137">
        <f>HYPERLINK("https://klasma.github.io/Logging_2039/kartor/A 19612-2024 karta.png", "A 19612-2024")</f>
        <v/>
      </c>
      <c r="V137">
        <f>HYPERLINK("https://klasma.github.io/Logging_2039/klagomål/A 19612-2024 FSC-klagomål.docx", "A 19612-2024")</f>
        <v/>
      </c>
      <c r="W137">
        <f>HYPERLINK("https://klasma.github.io/Logging_2039/klagomålsmail/A 19612-2024 FSC-klagomål mail.docx", "A 19612-2024")</f>
        <v/>
      </c>
      <c r="X137">
        <f>HYPERLINK("https://klasma.github.io/Logging_2039/tillsyn/A 19612-2024 tillsynsbegäran.docx", "A 19612-2024")</f>
        <v/>
      </c>
      <c r="Y137">
        <f>HYPERLINK("https://klasma.github.io/Logging_2039/tillsynsmail/A 19612-2024 tillsynsbegäran mail.docx", "A 19612-2024")</f>
        <v/>
      </c>
    </row>
    <row r="138" ht="15" customHeight="1">
      <c r="A138" t="inlineStr">
        <is>
          <t>A 32206-2024</t>
        </is>
      </c>
      <c r="B138" s="1" t="n">
        <v>45511</v>
      </c>
      <c r="C138" s="1" t="n">
        <v>45802</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52198-2024</t>
        </is>
      </c>
      <c r="B139" s="1" t="n">
        <v>45608</v>
      </c>
      <c r="C139" s="1" t="n">
        <v>45802</v>
      </c>
      <c r="D139" t="inlineStr">
        <is>
          <t>DALARNAS LÄN</t>
        </is>
      </c>
      <c r="E139" t="inlineStr">
        <is>
          <t>ÄLVDALEN</t>
        </is>
      </c>
      <c r="F139" t="inlineStr">
        <is>
          <t>Allmännings- och besparingsskogar</t>
        </is>
      </c>
      <c r="G139" t="n">
        <v>2.7</v>
      </c>
      <c r="H139" t="n">
        <v>1</v>
      </c>
      <c r="I139" t="n">
        <v>1</v>
      </c>
      <c r="J139" t="n">
        <v>1</v>
      </c>
      <c r="K139" t="n">
        <v>0</v>
      </c>
      <c r="L139" t="n">
        <v>0</v>
      </c>
      <c r="M139" t="n">
        <v>0</v>
      </c>
      <c r="N139" t="n">
        <v>0</v>
      </c>
      <c r="O139" t="n">
        <v>1</v>
      </c>
      <c r="P139" t="n">
        <v>0</v>
      </c>
      <c r="Q139" t="n">
        <v>2</v>
      </c>
      <c r="R139" s="2" t="inlineStr">
        <is>
          <t>Spillkråka
Skarp dropptaggsvamp</t>
        </is>
      </c>
      <c r="S139">
        <f>HYPERLINK("https://klasma.github.io/Logging_2039/artfynd/A 52198-2024 artfynd.xlsx", "A 52198-2024")</f>
        <v/>
      </c>
      <c r="T139">
        <f>HYPERLINK("https://klasma.github.io/Logging_2039/kartor/A 52198-2024 karta.png", "A 52198-2024")</f>
        <v/>
      </c>
      <c r="V139">
        <f>HYPERLINK("https://klasma.github.io/Logging_2039/klagomål/A 52198-2024 FSC-klagomål.docx", "A 52198-2024")</f>
        <v/>
      </c>
      <c r="W139">
        <f>HYPERLINK("https://klasma.github.io/Logging_2039/klagomålsmail/A 52198-2024 FSC-klagomål mail.docx", "A 52198-2024")</f>
        <v/>
      </c>
      <c r="X139">
        <f>HYPERLINK("https://klasma.github.io/Logging_2039/tillsyn/A 52198-2024 tillsynsbegäran.docx", "A 52198-2024")</f>
        <v/>
      </c>
      <c r="Y139">
        <f>HYPERLINK("https://klasma.github.io/Logging_2039/tillsynsmail/A 52198-2024 tillsynsbegäran mail.docx", "A 52198-2024")</f>
        <v/>
      </c>
      <c r="Z139">
        <f>HYPERLINK("https://klasma.github.io/Logging_2039/fåglar/A 52198-2024 prioriterade fågelarter.docx", "A 52198-2024")</f>
        <v/>
      </c>
    </row>
    <row r="140" ht="15" customHeight="1">
      <c r="A140" t="inlineStr">
        <is>
          <t>A 59429-2024</t>
        </is>
      </c>
      <c r="B140" s="1" t="n">
        <v>45638</v>
      </c>
      <c r="C140" s="1" t="n">
        <v>45802</v>
      </c>
      <c r="D140" t="inlineStr">
        <is>
          <t>DALARNAS LÄN</t>
        </is>
      </c>
      <c r="E140" t="inlineStr">
        <is>
          <t>ÄLVDALEN</t>
        </is>
      </c>
      <c r="F140" t="inlineStr">
        <is>
          <t>Allmännings- och besparingsskogar</t>
        </is>
      </c>
      <c r="G140" t="n">
        <v>4.9</v>
      </c>
      <c r="H140" t="n">
        <v>0</v>
      </c>
      <c r="I140" t="n">
        <v>0</v>
      </c>
      <c r="J140" t="n">
        <v>2</v>
      </c>
      <c r="K140" t="n">
        <v>0</v>
      </c>
      <c r="L140" t="n">
        <v>0</v>
      </c>
      <c r="M140" t="n">
        <v>0</v>
      </c>
      <c r="N140" t="n">
        <v>0</v>
      </c>
      <c r="O140" t="n">
        <v>2</v>
      </c>
      <c r="P140" t="n">
        <v>0</v>
      </c>
      <c r="Q140" t="n">
        <v>2</v>
      </c>
      <c r="R140" s="2" t="inlineStr">
        <is>
          <t>Garnlav
Skrovellav</t>
        </is>
      </c>
      <c r="S140">
        <f>HYPERLINK("https://klasma.github.io/Logging_2039/artfynd/A 59429-2024 artfynd.xlsx", "A 59429-2024")</f>
        <v/>
      </c>
      <c r="T140">
        <f>HYPERLINK("https://klasma.github.io/Logging_2039/kartor/A 59429-2024 karta.png", "A 59429-2024")</f>
        <v/>
      </c>
      <c r="V140">
        <f>HYPERLINK("https://klasma.github.io/Logging_2039/klagomål/A 59429-2024 FSC-klagomål.docx", "A 59429-2024")</f>
        <v/>
      </c>
      <c r="W140">
        <f>HYPERLINK("https://klasma.github.io/Logging_2039/klagomålsmail/A 59429-2024 FSC-klagomål mail.docx", "A 59429-2024")</f>
        <v/>
      </c>
      <c r="X140">
        <f>HYPERLINK("https://klasma.github.io/Logging_2039/tillsyn/A 59429-2024 tillsynsbegäran.docx", "A 59429-2024")</f>
        <v/>
      </c>
      <c r="Y140">
        <f>HYPERLINK("https://klasma.github.io/Logging_2039/tillsynsmail/A 59429-2024 tillsynsbegäran mail.docx", "A 59429-2024")</f>
        <v/>
      </c>
    </row>
    <row r="141" ht="15" customHeight="1">
      <c r="A141" t="inlineStr">
        <is>
          <t>A 17546-2025</t>
        </is>
      </c>
      <c r="B141" s="1" t="n">
        <v>45757</v>
      </c>
      <c r="C141" s="1" t="n">
        <v>45802</v>
      </c>
      <c r="D141" t="inlineStr">
        <is>
          <t>DALARNAS LÄN</t>
        </is>
      </c>
      <c r="E141" t="inlineStr">
        <is>
          <t>ÄLVDALEN</t>
        </is>
      </c>
      <c r="F141" t="inlineStr">
        <is>
          <t>Sveaskog</t>
        </is>
      </c>
      <c r="G141" t="n">
        <v>3.5</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HYPERLINK("https://klasma.github.io/Logging_202039/artfynd/A 17546-2025 artfynd.xlsx", "A 17546-2025")</f>
        <v/>
      </c>
      <c r="T141">
        <f>HYPERLINK("https://klasma.github.io/Logging_202039/kartor/A 17546-2025 karta.png", "A 17546-2025")</f>
        <v/>
      </c>
      <c r="V141">
        <f>HYPERLINK("https://klasma.github.io/Logging_202039/klagomål/A 17546-2025 FSC-klagomål.docx", "A 17546-2025")</f>
        <v/>
      </c>
      <c r="W141">
        <f>HYPERLINK("https://klasma.github.io/Logging_202039/klagomålsmail/A 17546-2025 FSC-klagomål mail.docx", "A 17546-2025")</f>
        <v/>
      </c>
      <c r="X141">
        <f>HYPERLINK("https://klasma.github.io/Logging_202039/tillsyn/A 17546-2025 tillsynsbegäran.docx", "A 17546-2025")</f>
        <v/>
      </c>
      <c r="Y141">
        <f>HYPERLINK("https://klasma.github.io/Logging_202039/tillsynsmail/A 17546-2025 tillsynsbegäran mail.docx", "A 17546-2025")</f>
        <v/>
      </c>
    </row>
    <row r="142" ht="15" customHeight="1">
      <c r="A142" t="inlineStr">
        <is>
          <t>A 22522-2019</t>
        </is>
      </c>
      <c r="B142" s="1" t="n">
        <v>43587</v>
      </c>
      <c r="C142" s="1" t="n">
        <v>45802</v>
      </c>
      <c r="D142" t="inlineStr">
        <is>
          <t>DALARNAS LÄN</t>
        </is>
      </c>
      <c r="E142" t="inlineStr">
        <is>
          <t>ÄLVDALEN</t>
        </is>
      </c>
      <c r="G142" t="n">
        <v>5.1</v>
      </c>
      <c r="H142" t="n">
        <v>1</v>
      </c>
      <c r="I142" t="n">
        <v>0</v>
      </c>
      <c r="J142" t="n">
        <v>1</v>
      </c>
      <c r="K142" t="n">
        <v>0</v>
      </c>
      <c r="L142" t="n">
        <v>0</v>
      </c>
      <c r="M142" t="n">
        <v>0</v>
      </c>
      <c r="N142" t="n">
        <v>0</v>
      </c>
      <c r="O142" t="n">
        <v>1</v>
      </c>
      <c r="P142" t="n">
        <v>0</v>
      </c>
      <c r="Q142" t="n">
        <v>1</v>
      </c>
      <c r="R142" s="2" t="inlineStr">
        <is>
          <t>Utter</t>
        </is>
      </c>
      <c r="S142">
        <f>HYPERLINK("https://klasma.github.io/Logging_2039/artfynd/A 22522-2019 artfynd.xlsx", "A 22522-2019")</f>
        <v/>
      </c>
      <c r="T142">
        <f>HYPERLINK("https://klasma.github.io/Logging_2039/kartor/A 22522-2019 karta.png", "A 22522-2019")</f>
        <v/>
      </c>
      <c r="V142">
        <f>HYPERLINK("https://klasma.github.io/Logging_2039/klagomål/A 22522-2019 FSC-klagomål.docx", "A 22522-2019")</f>
        <v/>
      </c>
      <c r="W142">
        <f>HYPERLINK("https://klasma.github.io/Logging_2039/klagomålsmail/A 22522-2019 FSC-klagomål mail.docx", "A 22522-2019")</f>
        <v/>
      </c>
      <c r="X142">
        <f>HYPERLINK("https://klasma.github.io/Logging_2039/tillsyn/A 22522-2019 tillsynsbegäran.docx", "A 22522-2019")</f>
        <v/>
      </c>
      <c r="Y142">
        <f>HYPERLINK("https://klasma.github.io/Logging_2039/tillsynsmail/A 22522-2019 tillsynsbegäran mail.docx", "A 22522-2019")</f>
        <v/>
      </c>
    </row>
    <row r="143" ht="15" customHeight="1">
      <c r="A143" t="inlineStr">
        <is>
          <t>A 18227-2020</t>
        </is>
      </c>
      <c r="B143" s="1" t="n">
        <v>43928</v>
      </c>
      <c r="C143" s="1" t="n">
        <v>45802</v>
      </c>
      <c r="D143" t="inlineStr">
        <is>
          <t>DALARNAS LÄN</t>
        </is>
      </c>
      <c r="E143" t="inlineStr">
        <is>
          <t>ÄLVDALEN</t>
        </is>
      </c>
      <c r="F143" t="inlineStr">
        <is>
          <t>Sveaskog</t>
        </is>
      </c>
      <c r="G143" t="n">
        <v>13.1</v>
      </c>
      <c r="H143" t="n">
        <v>1</v>
      </c>
      <c r="I143" t="n">
        <v>0</v>
      </c>
      <c r="J143" t="n">
        <v>1</v>
      </c>
      <c r="K143" t="n">
        <v>0</v>
      </c>
      <c r="L143" t="n">
        <v>0</v>
      </c>
      <c r="M143" t="n">
        <v>0</v>
      </c>
      <c r="N143" t="n">
        <v>0</v>
      </c>
      <c r="O143" t="n">
        <v>1</v>
      </c>
      <c r="P143" t="n">
        <v>0</v>
      </c>
      <c r="Q143" t="n">
        <v>1</v>
      </c>
      <c r="R143" s="2" t="inlineStr">
        <is>
          <t>Varglav</t>
        </is>
      </c>
      <c r="S143">
        <f>HYPERLINK("https://klasma.github.io/Logging_2039/artfynd/A 18227-2020 artfynd.xlsx", "A 18227-2020")</f>
        <v/>
      </c>
      <c r="T143">
        <f>HYPERLINK("https://klasma.github.io/Logging_2039/kartor/A 18227-2020 karta.png", "A 18227-2020")</f>
        <v/>
      </c>
      <c r="V143">
        <f>HYPERLINK("https://klasma.github.io/Logging_2039/klagomål/A 18227-2020 FSC-klagomål.docx", "A 18227-2020")</f>
        <v/>
      </c>
      <c r="W143">
        <f>HYPERLINK("https://klasma.github.io/Logging_2039/klagomålsmail/A 18227-2020 FSC-klagomål mail.docx", "A 18227-2020")</f>
        <v/>
      </c>
      <c r="X143">
        <f>HYPERLINK("https://klasma.github.io/Logging_2039/tillsyn/A 18227-2020 tillsynsbegäran.docx", "A 18227-2020")</f>
        <v/>
      </c>
      <c r="Y143">
        <f>HYPERLINK("https://klasma.github.io/Logging_2039/tillsynsmail/A 18227-2020 tillsynsbegäran mail.docx", "A 18227-2020")</f>
        <v/>
      </c>
    </row>
    <row r="144" ht="15" customHeight="1">
      <c r="A144" t="inlineStr">
        <is>
          <t>A 19669-2020</t>
        </is>
      </c>
      <c r="B144" s="1" t="n">
        <v>43937</v>
      </c>
      <c r="C144" s="1" t="n">
        <v>45802</v>
      </c>
      <c r="D144" t="inlineStr">
        <is>
          <t>DALARNAS LÄN</t>
        </is>
      </c>
      <c r="E144" t="inlineStr">
        <is>
          <t>ÄLVDALEN</t>
        </is>
      </c>
      <c r="F144" t="inlineStr">
        <is>
          <t>Sveaskog</t>
        </is>
      </c>
      <c r="G144" t="n">
        <v>12.9</v>
      </c>
      <c r="H144" t="n">
        <v>1</v>
      </c>
      <c r="I144" t="n">
        <v>0</v>
      </c>
      <c r="J144" t="n">
        <v>1</v>
      </c>
      <c r="K144" t="n">
        <v>0</v>
      </c>
      <c r="L144" t="n">
        <v>0</v>
      </c>
      <c r="M144" t="n">
        <v>0</v>
      </c>
      <c r="N144" t="n">
        <v>0</v>
      </c>
      <c r="O144" t="n">
        <v>1</v>
      </c>
      <c r="P144" t="n">
        <v>0</v>
      </c>
      <c r="Q144" t="n">
        <v>1</v>
      </c>
      <c r="R144" s="2" t="inlineStr">
        <is>
          <t>Varglav</t>
        </is>
      </c>
      <c r="S144">
        <f>HYPERLINK("https://klasma.github.io/Logging_2039/artfynd/A 19669-2020 artfynd.xlsx", "A 19669-2020")</f>
        <v/>
      </c>
      <c r="T144">
        <f>HYPERLINK("https://klasma.github.io/Logging_2039/kartor/A 19669-2020 karta.png", "A 19669-2020")</f>
        <v/>
      </c>
      <c r="V144">
        <f>HYPERLINK("https://klasma.github.io/Logging_2039/klagomål/A 19669-2020 FSC-klagomål.docx", "A 19669-2020")</f>
        <v/>
      </c>
      <c r="W144">
        <f>HYPERLINK("https://klasma.github.io/Logging_2039/klagomålsmail/A 19669-2020 FSC-klagomål mail.docx", "A 19669-2020")</f>
        <v/>
      </c>
      <c r="X144">
        <f>HYPERLINK("https://klasma.github.io/Logging_2039/tillsyn/A 19669-2020 tillsynsbegäran.docx", "A 19669-2020")</f>
        <v/>
      </c>
      <c r="Y144">
        <f>HYPERLINK("https://klasma.github.io/Logging_2039/tillsynsmail/A 19669-2020 tillsynsbegäran mail.docx", "A 19669-2020")</f>
        <v/>
      </c>
    </row>
    <row r="145" ht="15" customHeight="1">
      <c r="A145" t="inlineStr">
        <is>
          <t>A 38505-2020</t>
        </is>
      </c>
      <c r="B145" s="1" t="n">
        <v>44061</v>
      </c>
      <c r="C145" s="1" t="n">
        <v>45802</v>
      </c>
      <c r="D145" t="inlineStr">
        <is>
          <t>DALARNAS LÄN</t>
        </is>
      </c>
      <c r="E145" t="inlineStr">
        <is>
          <t>ÄLVDALEN</t>
        </is>
      </c>
      <c r="F145" t="inlineStr">
        <is>
          <t>Sveaskog</t>
        </is>
      </c>
      <c r="G145" t="n">
        <v>1.7</v>
      </c>
      <c r="H145" t="n">
        <v>1</v>
      </c>
      <c r="I145" t="n">
        <v>0</v>
      </c>
      <c r="J145" t="n">
        <v>1</v>
      </c>
      <c r="K145" t="n">
        <v>0</v>
      </c>
      <c r="L145" t="n">
        <v>0</v>
      </c>
      <c r="M145" t="n">
        <v>0</v>
      </c>
      <c r="N145" t="n">
        <v>0</v>
      </c>
      <c r="O145" t="n">
        <v>1</v>
      </c>
      <c r="P145" t="n">
        <v>0</v>
      </c>
      <c r="Q145" t="n">
        <v>1</v>
      </c>
      <c r="R145" s="2" t="inlineStr">
        <is>
          <t>Varglav</t>
        </is>
      </c>
      <c r="S145">
        <f>HYPERLINK("https://klasma.github.io/Logging_2039/artfynd/A 38505-2020 artfynd.xlsx", "A 38505-2020")</f>
        <v/>
      </c>
      <c r="T145">
        <f>HYPERLINK("https://klasma.github.io/Logging_2039/kartor/A 38505-2020 karta.png", "A 38505-2020")</f>
        <v/>
      </c>
      <c r="V145">
        <f>HYPERLINK("https://klasma.github.io/Logging_2039/klagomål/A 38505-2020 FSC-klagomål.docx", "A 38505-2020")</f>
        <v/>
      </c>
      <c r="W145">
        <f>HYPERLINK("https://klasma.github.io/Logging_2039/klagomålsmail/A 38505-2020 FSC-klagomål mail.docx", "A 38505-2020")</f>
        <v/>
      </c>
      <c r="X145">
        <f>HYPERLINK("https://klasma.github.io/Logging_2039/tillsyn/A 38505-2020 tillsynsbegäran.docx", "A 38505-2020")</f>
        <v/>
      </c>
      <c r="Y145">
        <f>HYPERLINK("https://klasma.github.io/Logging_2039/tillsynsmail/A 38505-2020 tillsynsbegäran mail.docx", "A 38505-2020")</f>
        <v/>
      </c>
    </row>
    <row r="146" ht="15" customHeight="1">
      <c r="A146" t="inlineStr">
        <is>
          <t>A 46279-2020</t>
        </is>
      </c>
      <c r="B146" s="1" t="n">
        <v>44092</v>
      </c>
      <c r="C146" s="1" t="n">
        <v>45802</v>
      </c>
      <c r="D146" t="inlineStr">
        <is>
          <t>DALARNAS LÄN</t>
        </is>
      </c>
      <c r="E146" t="inlineStr">
        <is>
          <t>ÄLVDALEN</t>
        </is>
      </c>
      <c r="F146" t="inlineStr">
        <is>
          <t>Sveaskog</t>
        </is>
      </c>
      <c r="G146" t="n">
        <v>0.5</v>
      </c>
      <c r="H146" t="n">
        <v>0</v>
      </c>
      <c r="I146" t="n">
        <v>0</v>
      </c>
      <c r="J146" t="n">
        <v>1</v>
      </c>
      <c r="K146" t="n">
        <v>0</v>
      </c>
      <c r="L146" t="n">
        <v>0</v>
      </c>
      <c r="M146" t="n">
        <v>0</v>
      </c>
      <c r="N146" t="n">
        <v>0</v>
      </c>
      <c r="O146" t="n">
        <v>1</v>
      </c>
      <c r="P146" t="n">
        <v>0</v>
      </c>
      <c r="Q146" t="n">
        <v>1</v>
      </c>
      <c r="R146" s="2" t="inlineStr">
        <is>
          <t>Nordtagging</t>
        </is>
      </c>
      <c r="S146">
        <f>HYPERLINK("https://klasma.github.io/Logging_2039/artfynd/A 46279-2020 artfynd.xlsx", "A 46279-2020")</f>
        <v/>
      </c>
      <c r="T146">
        <f>HYPERLINK("https://klasma.github.io/Logging_2039/kartor/A 46279-2020 karta.png", "A 46279-2020")</f>
        <v/>
      </c>
      <c r="V146">
        <f>HYPERLINK("https://klasma.github.io/Logging_2039/klagomål/A 46279-2020 FSC-klagomål.docx", "A 46279-2020")</f>
        <v/>
      </c>
      <c r="W146">
        <f>HYPERLINK("https://klasma.github.io/Logging_2039/klagomålsmail/A 46279-2020 FSC-klagomål mail.docx", "A 46279-2020")</f>
        <v/>
      </c>
      <c r="X146">
        <f>HYPERLINK("https://klasma.github.io/Logging_2039/tillsyn/A 46279-2020 tillsynsbegäran.docx", "A 46279-2020")</f>
        <v/>
      </c>
      <c r="Y146">
        <f>HYPERLINK("https://klasma.github.io/Logging_2039/tillsynsmail/A 46279-2020 tillsynsbegäran mail.docx", "A 46279-2020")</f>
        <v/>
      </c>
    </row>
    <row r="147" ht="15" customHeight="1">
      <c r="A147" t="inlineStr">
        <is>
          <t>A 11061-2021</t>
        </is>
      </c>
      <c r="B147" s="1" t="n">
        <v>44260</v>
      </c>
      <c r="C147" s="1" t="n">
        <v>45802</v>
      </c>
      <c r="D147" t="inlineStr">
        <is>
          <t>DALARNAS LÄN</t>
        </is>
      </c>
      <c r="E147" t="inlineStr">
        <is>
          <t>ÄLVDALEN</t>
        </is>
      </c>
      <c r="F147" t="inlineStr">
        <is>
          <t>Övriga statliga verk och myndigheter</t>
        </is>
      </c>
      <c r="G147" t="n">
        <v>43.7</v>
      </c>
      <c r="H147" t="n">
        <v>1</v>
      </c>
      <c r="I147" t="n">
        <v>0</v>
      </c>
      <c r="J147" t="n">
        <v>0</v>
      </c>
      <c r="K147" t="n">
        <v>0</v>
      </c>
      <c r="L147" t="n">
        <v>0</v>
      </c>
      <c r="M147" t="n">
        <v>0</v>
      </c>
      <c r="N147" t="n">
        <v>0</v>
      </c>
      <c r="O147" t="n">
        <v>0</v>
      </c>
      <c r="P147" t="n">
        <v>0</v>
      </c>
      <c r="Q147" t="n">
        <v>1</v>
      </c>
      <c r="R147" s="2" t="inlineStr">
        <is>
          <t>Större vattensalamander</t>
        </is>
      </c>
      <c r="S147">
        <f>HYPERLINK("https://klasma.github.io/Logging_2039/artfynd/A 11061-2021 artfynd.xlsx", "A 11061-2021")</f>
        <v/>
      </c>
      <c r="T147">
        <f>HYPERLINK("https://klasma.github.io/Logging_2039/kartor/A 11061-2021 karta.png", "A 11061-2021")</f>
        <v/>
      </c>
      <c r="V147">
        <f>HYPERLINK("https://klasma.github.io/Logging_2039/klagomål/A 11061-2021 FSC-klagomål.docx", "A 11061-2021")</f>
        <v/>
      </c>
      <c r="W147">
        <f>HYPERLINK("https://klasma.github.io/Logging_2039/klagomålsmail/A 11061-2021 FSC-klagomål mail.docx", "A 11061-2021")</f>
        <v/>
      </c>
      <c r="X147">
        <f>HYPERLINK("https://klasma.github.io/Logging_2039/tillsyn/A 11061-2021 tillsynsbegäran.docx", "A 11061-2021")</f>
        <v/>
      </c>
      <c r="Y147">
        <f>HYPERLINK("https://klasma.github.io/Logging_2039/tillsynsmail/A 11061-2021 tillsynsbegäran mail.docx", "A 11061-2021")</f>
        <v/>
      </c>
    </row>
    <row r="148" ht="15" customHeight="1">
      <c r="A148" t="inlineStr">
        <is>
          <t>A 16035-2021</t>
        </is>
      </c>
      <c r="B148" s="1" t="n">
        <v>44287</v>
      </c>
      <c r="C148" s="1" t="n">
        <v>45802</v>
      </c>
      <c r="D148" t="inlineStr">
        <is>
          <t>DALARNAS LÄN</t>
        </is>
      </c>
      <c r="E148" t="inlineStr">
        <is>
          <t>ÄLVDALEN</t>
        </is>
      </c>
      <c r="F148" t="inlineStr">
        <is>
          <t>Övriga statliga verk och myndigheter</t>
        </is>
      </c>
      <c r="G148" t="n">
        <v>2.2</v>
      </c>
      <c r="H148" t="n">
        <v>0</v>
      </c>
      <c r="I148" t="n">
        <v>0</v>
      </c>
      <c r="J148" t="n">
        <v>1</v>
      </c>
      <c r="K148" t="n">
        <v>0</v>
      </c>
      <c r="L148" t="n">
        <v>0</v>
      </c>
      <c r="M148" t="n">
        <v>0</v>
      </c>
      <c r="N148" t="n">
        <v>0</v>
      </c>
      <c r="O148" t="n">
        <v>1</v>
      </c>
      <c r="P148" t="n">
        <v>0</v>
      </c>
      <c r="Q148" t="n">
        <v>1</v>
      </c>
      <c r="R148" s="2" t="inlineStr">
        <is>
          <t>Gultoppig fingersvamp</t>
        </is>
      </c>
      <c r="S148">
        <f>HYPERLINK("https://klasma.github.io/Logging_2039/artfynd/A 16035-2021 artfynd.xlsx", "A 16035-2021")</f>
        <v/>
      </c>
      <c r="T148">
        <f>HYPERLINK("https://klasma.github.io/Logging_2039/kartor/A 16035-2021 karta.png", "A 16035-2021")</f>
        <v/>
      </c>
      <c r="V148">
        <f>HYPERLINK("https://klasma.github.io/Logging_2039/klagomål/A 16035-2021 FSC-klagomål.docx", "A 16035-2021")</f>
        <v/>
      </c>
      <c r="W148">
        <f>HYPERLINK("https://klasma.github.io/Logging_2039/klagomålsmail/A 16035-2021 FSC-klagomål mail.docx", "A 16035-2021")</f>
        <v/>
      </c>
      <c r="X148">
        <f>HYPERLINK("https://klasma.github.io/Logging_2039/tillsyn/A 16035-2021 tillsynsbegäran.docx", "A 16035-2021")</f>
        <v/>
      </c>
      <c r="Y148">
        <f>HYPERLINK("https://klasma.github.io/Logging_2039/tillsynsmail/A 16035-2021 tillsynsbegäran mail.docx", "A 16035-2021")</f>
        <v/>
      </c>
    </row>
    <row r="149" ht="15" customHeight="1">
      <c r="A149" t="inlineStr">
        <is>
          <t>A 22407-2021</t>
        </is>
      </c>
      <c r="B149" s="1" t="n">
        <v>44326</v>
      </c>
      <c r="C149" s="1" t="n">
        <v>45802</v>
      </c>
      <c r="D149" t="inlineStr">
        <is>
          <t>DALARNAS LÄN</t>
        </is>
      </c>
      <c r="E149" t="inlineStr">
        <is>
          <t>ÄLVDALEN</t>
        </is>
      </c>
      <c r="F149" t="inlineStr">
        <is>
          <t>Sveaskog</t>
        </is>
      </c>
      <c r="G149" t="n">
        <v>4.2</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22407-2021 artfynd.xlsx", "A 22407-2021")</f>
        <v/>
      </c>
      <c r="T149">
        <f>HYPERLINK("https://klasma.github.io/Logging_2039/kartor/A 22407-2021 karta.png", "A 22407-2021")</f>
        <v/>
      </c>
      <c r="V149">
        <f>HYPERLINK("https://klasma.github.io/Logging_2039/klagomål/A 22407-2021 FSC-klagomål.docx", "A 22407-2021")</f>
        <v/>
      </c>
      <c r="W149">
        <f>HYPERLINK("https://klasma.github.io/Logging_2039/klagomålsmail/A 22407-2021 FSC-klagomål mail.docx", "A 22407-2021")</f>
        <v/>
      </c>
      <c r="X149">
        <f>HYPERLINK("https://klasma.github.io/Logging_2039/tillsyn/A 22407-2021 tillsynsbegäran.docx", "A 22407-2021")</f>
        <v/>
      </c>
      <c r="Y149">
        <f>HYPERLINK("https://klasma.github.io/Logging_2039/tillsynsmail/A 22407-2021 tillsynsbegäran mail.docx", "A 22407-2021")</f>
        <v/>
      </c>
    </row>
    <row r="150" ht="15" customHeight="1">
      <c r="A150" t="inlineStr">
        <is>
          <t>A 22759-2021</t>
        </is>
      </c>
      <c r="B150" s="1" t="n">
        <v>44327</v>
      </c>
      <c r="C150" s="1" t="n">
        <v>45802</v>
      </c>
      <c r="D150" t="inlineStr">
        <is>
          <t>DALARNAS LÄN</t>
        </is>
      </c>
      <c r="E150" t="inlineStr">
        <is>
          <t>ÄLVDALEN</t>
        </is>
      </c>
      <c r="F150" t="inlineStr">
        <is>
          <t>Sveaskog</t>
        </is>
      </c>
      <c r="G150" t="n">
        <v>1.8</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22759-2021 artfynd.xlsx", "A 22759-2021")</f>
        <v/>
      </c>
      <c r="T150">
        <f>HYPERLINK("https://klasma.github.io/Logging_2039/kartor/A 22759-2021 karta.png", "A 22759-2021")</f>
        <v/>
      </c>
      <c r="V150">
        <f>HYPERLINK("https://klasma.github.io/Logging_2039/klagomål/A 22759-2021 FSC-klagomål.docx", "A 22759-2021")</f>
        <v/>
      </c>
      <c r="W150">
        <f>HYPERLINK("https://klasma.github.io/Logging_2039/klagomålsmail/A 22759-2021 FSC-klagomål mail.docx", "A 22759-2021")</f>
        <v/>
      </c>
      <c r="X150">
        <f>HYPERLINK("https://klasma.github.io/Logging_2039/tillsyn/A 22759-2021 tillsynsbegäran.docx", "A 22759-2021")</f>
        <v/>
      </c>
      <c r="Y150">
        <f>HYPERLINK("https://klasma.github.io/Logging_2039/tillsynsmail/A 22759-2021 tillsynsbegäran mail.docx", "A 22759-2021")</f>
        <v/>
      </c>
    </row>
    <row r="151" ht="15" customHeight="1">
      <c r="A151" t="inlineStr">
        <is>
          <t>A 24847-2021</t>
        </is>
      </c>
      <c r="B151" s="1" t="n">
        <v>44340</v>
      </c>
      <c r="C151" s="1" t="n">
        <v>45802</v>
      </c>
      <c r="D151" t="inlineStr">
        <is>
          <t>DALARNAS LÄN</t>
        </is>
      </c>
      <c r="E151" t="inlineStr">
        <is>
          <t>ÄLVDALEN</t>
        </is>
      </c>
      <c r="F151" t="inlineStr">
        <is>
          <t>Sveaskog</t>
        </is>
      </c>
      <c r="G151" t="n">
        <v>7.1</v>
      </c>
      <c r="H151" t="n">
        <v>1</v>
      </c>
      <c r="I151" t="n">
        <v>0</v>
      </c>
      <c r="J151" t="n">
        <v>1</v>
      </c>
      <c r="K151" t="n">
        <v>0</v>
      </c>
      <c r="L151" t="n">
        <v>0</v>
      </c>
      <c r="M151" t="n">
        <v>0</v>
      </c>
      <c r="N151" t="n">
        <v>0</v>
      </c>
      <c r="O151" t="n">
        <v>1</v>
      </c>
      <c r="P151" t="n">
        <v>0</v>
      </c>
      <c r="Q151" t="n">
        <v>1</v>
      </c>
      <c r="R151" s="2" t="inlineStr">
        <is>
          <t>Varglav</t>
        </is>
      </c>
      <c r="S151">
        <f>HYPERLINK("https://klasma.github.io/Logging_2039/artfynd/A 24847-2021 artfynd.xlsx", "A 24847-2021")</f>
        <v/>
      </c>
      <c r="T151">
        <f>HYPERLINK("https://klasma.github.io/Logging_2039/kartor/A 24847-2021 karta.png", "A 24847-2021")</f>
        <v/>
      </c>
      <c r="V151">
        <f>HYPERLINK("https://klasma.github.io/Logging_2039/klagomål/A 24847-2021 FSC-klagomål.docx", "A 24847-2021")</f>
        <v/>
      </c>
      <c r="W151">
        <f>HYPERLINK("https://klasma.github.io/Logging_2039/klagomålsmail/A 24847-2021 FSC-klagomål mail.docx", "A 24847-2021")</f>
        <v/>
      </c>
      <c r="X151">
        <f>HYPERLINK("https://klasma.github.io/Logging_2039/tillsyn/A 24847-2021 tillsynsbegäran.docx", "A 24847-2021")</f>
        <v/>
      </c>
      <c r="Y151">
        <f>HYPERLINK("https://klasma.github.io/Logging_2039/tillsynsmail/A 24847-2021 tillsynsbegäran mail.docx", "A 24847-2021")</f>
        <v/>
      </c>
    </row>
    <row r="152" ht="15" customHeight="1">
      <c r="A152" t="inlineStr">
        <is>
          <t>A 26736-2021</t>
        </is>
      </c>
      <c r="B152" s="1" t="n">
        <v>44349</v>
      </c>
      <c r="C152" s="1" t="n">
        <v>45802</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26736-2021 artfynd.xlsx", "A 26736-2021")</f>
        <v/>
      </c>
      <c r="T152">
        <f>HYPERLINK("https://klasma.github.io/Logging_2039/kartor/A 26736-2021 karta.png", "A 26736-2021")</f>
        <v/>
      </c>
      <c r="V152">
        <f>HYPERLINK("https://klasma.github.io/Logging_2039/klagomål/A 26736-2021 FSC-klagomål.docx", "A 26736-2021")</f>
        <v/>
      </c>
      <c r="W152">
        <f>HYPERLINK("https://klasma.github.io/Logging_2039/klagomålsmail/A 26736-2021 FSC-klagomål mail.docx", "A 26736-2021")</f>
        <v/>
      </c>
      <c r="X152">
        <f>HYPERLINK("https://klasma.github.io/Logging_2039/tillsyn/A 26736-2021 tillsynsbegäran.docx", "A 26736-2021")</f>
        <v/>
      </c>
      <c r="Y152">
        <f>HYPERLINK("https://klasma.github.io/Logging_2039/tillsynsmail/A 26736-2021 tillsynsbegäran mail.docx", "A 26736-2021")</f>
        <v/>
      </c>
    </row>
    <row r="153" ht="15" customHeight="1">
      <c r="A153" t="inlineStr">
        <is>
          <t>A 30971-2021</t>
        </is>
      </c>
      <c r="B153" s="1" t="n">
        <v>44365</v>
      </c>
      <c r="C153" s="1" t="n">
        <v>45802</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31761-2021</t>
        </is>
      </c>
      <c r="B154" s="1" t="n">
        <v>44370</v>
      </c>
      <c r="C154" s="1" t="n">
        <v>45802</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34099-2021</t>
        </is>
      </c>
      <c r="B155" s="1" t="n">
        <v>44379</v>
      </c>
      <c r="C155" s="1" t="n">
        <v>45802</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36574-2021</t>
        </is>
      </c>
      <c r="B156" s="1" t="n">
        <v>44391</v>
      </c>
      <c r="C156" s="1" t="n">
        <v>45802</v>
      </c>
      <c r="D156" t="inlineStr">
        <is>
          <t>DALARNAS LÄN</t>
        </is>
      </c>
      <c r="E156" t="inlineStr">
        <is>
          <t>ÄLVDALEN</t>
        </is>
      </c>
      <c r="F156" t="inlineStr">
        <is>
          <t>Sveaskog</t>
        </is>
      </c>
      <c r="G156" t="n">
        <v>26.2</v>
      </c>
      <c r="H156" t="n">
        <v>1</v>
      </c>
      <c r="I156" t="n">
        <v>0</v>
      </c>
      <c r="J156" t="n">
        <v>0</v>
      </c>
      <c r="K156" t="n">
        <v>0</v>
      </c>
      <c r="L156" t="n">
        <v>0</v>
      </c>
      <c r="M156" t="n">
        <v>0</v>
      </c>
      <c r="N156" t="n">
        <v>0</v>
      </c>
      <c r="O156" t="n">
        <v>0</v>
      </c>
      <c r="P156" t="n">
        <v>0</v>
      </c>
      <c r="Q156" t="n">
        <v>1</v>
      </c>
      <c r="R156" s="2" t="inlineStr">
        <is>
          <t>Lavskrika</t>
        </is>
      </c>
      <c r="S156">
        <f>HYPERLINK("https://klasma.github.io/Logging_2039/artfynd/A 36574-2021 artfynd.xlsx", "A 36574-2021")</f>
        <v/>
      </c>
      <c r="T156">
        <f>HYPERLINK("https://klasma.github.io/Logging_2039/kartor/A 36574-2021 karta.png", "A 36574-2021")</f>
        <v/>
      </c>
      <c r="V156">
        <f>HYPERLINK("https://klasma.github.io/Logging_2039/klagomål/A 36574-2021 FSC-klagomål.docx", "A 36574-2021")</f>
        <v/>
      </c>
      <c r="W156">
        <f>HYPERLINK("https://klasma.github.io/Logging_2039/klagomålsmail/A 36574-2021 FSC-klagomål mail.docx", "A 36574-2021")</f>
        <v/>
      </c>
      <c r="X156">
        <f>HYPERLINK("https://klasma.github.io/Logging_2039/tillsyn/A 36574-2021 tillsynsbegäran.docx", "A 36574-2021")</f>
        <v/>
      </c>
      <c r="Y156">
        <f>HYPERLINK("https://klasma.github.io/Logging_2039/tillsynsmail/A 36574-2021 tillsynsbegäran mail.docx", "A 36574-2021")</f>
        <v/>
      </c>
      <c r="Z156">
        <f>HYPERLINK("https://klasma.github.io/Logging_2039/fåglar/A 36574-2021 prioriterade fågelarter.docx", "A 36574-2021")</f>
        <v/>
      </c>
    </row>
    <row r="157" ht="15" customHeight="1">
      <c r="A157" t="inlineStr">
        <is>
          <t>A 60419-2021</t>
        </is>
      </c>
      <c r="B157" s="1" t="n">
        <v>44496</v>
      </c>
      <c r="C157" s="1" t="n">
        <v>45802</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65500-2021</t>
        </is>
      </c>
      <c r="B158" s="1" t="n">
        <v>44516</v>
      </c>
      <c r="C158" s="1" t="n">
        <v>45802</v>
      </c>
      <c r="D158" t="inlineStr">
        <is>
          <t>DALARNAS LÄN</t>
        </is>
      </c>
      <c r="E158" t="inlineStr">
        <is>
          <t>ÄLVDALEN</t>
        </is>
      </c>
      <c r="F158" t="inlineStr">
        <is>
          <t>Sveaskog</t>
        </is>
      </c>
      <c r="G158" t="n">
        <v>10.4</v>
      </c>
      <c r="H158" t="n">
        <v>1</v>
      </c>
      <c r="I158" t="n">
        <v>0</v>
      </c>
      <c r="J158" t="n">
        <v>1</v>
      </c>
      <c r="K158" t="n">
        <v>0</v>
      </c>
      <c r="L158" t="n">
        <v>0</v>
      </c>
      <c r="M158" t="n">
        <v>0</v>
      </c>
      <c r="N158" t="n">
        <v>0</v>
      </c>
      <c r="O158" t="n">
        <v>1</v>
      </c>
      <c r="P158" t="n">
        <v>0</v>
      </c>
      <c r="Q158" t="n">
        <v>1</v>
      </c>
      <c r="R158" s="2" t="inlineStr">
        <is>
          <t>Varglav</t>
        </is>
      </c>
      <c r="S158">
        <f>HYPERLINK("https://klasma.github.io/Logging_2039/artfynd/A 65500-2021 artfynd.xlsx", "A 65500-2021")</f>
        <v/>
      </c>
      <c r="T158">
        <f>HYPERLINK("https://klasma.github.io/Logging_2039/kartor/A 65500-2021 karta.png", "A 65500-2021")</f>
        <v/>
      </c>
      <c r="V158">
        <f>HYPERLINK("https://klasma.github.io/Logging_2039/klagomål/A 65500-2021 FSC-klagomål.docx", "A 65500-2021")</f>
        <v/>
      </c>
      <c r="W158">
        <f>HYPERLINK("https://klasma.github.io/Logging_2039/klagomålsmail/A 65500-2021 FSC-klagomål mail.docx", "A 65500-2021")</f>
        <v/>
      </c>
      <c r="X158">
        <f>HYPERLINK("https://klasma.github.io/Logging_2039/tillsyn/A 65500-2021 tillsynsbegäran.docx", "A 65500-2021")</f>
        <v/>
      </c>
      <c r="Y158">
        <f>HYPERLINK("https://klasma.github.io/Logging_2039/tillsynsmail/A 65500-2021 tillsynsbegäran mail.docx", "A 65500-2021")</f>
        <v/>
      </c>
    </row>
    <row r="159" ht="15" customHeight="1">
      <c r="A159" t="inlineStr">
        <is>
          <t>A 71652-2021</t>
        </is>
      </c>
      <c r="B159" s="1" t="n">
        <v>44543</v>
      </c>
      <c r="C159" s="1" t="n">
        <v>45802</v>
      </c>
      <c r="D159" t="inlineStr">
        <is>
          <t>DALARNAS LÄN</t>
        </is>
      </c>
      <c r="E159" t="inlineStr">
        <is>
          <t>ÄLVDALEN</t>
        </is>
      </c>
      <c r="G159" t="n">
        <v>4.3</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71652-2021 artfynd.xlsx", "A 71652-2021")</f>
        <v/>
      </c>
      <c r="T159">
        <f>HYPERLINK("https://klasma.github.io/Logging_2039/kartor/A 71652-2021 karta.png", "A 71652-2021")</f>
        <v/>
      </c>
      <c r="V159">
        <f>HYPERLINK("https://klasma.github.io/Logging_2039/klagomål/A 71652-2021 FSC-klagomål.docx", "A 71652-2021")</f>
        <v/>
      </c>
      <c r="W159">
        <f>HYPERLINK("https://klasma.github.io/Logging_2039/klagomålsmail/A 71652-2021 FSC-klagomål mail.docx", "A 71652-2021")</f>
        <v/>
      </c>
      <c r="X159">
        <f>HYPERLINK("https://klasma.github.io/Logging_2039/tillsyn/A 71652-2021 tillsynsbegäran.docx", "A 71652-2021")</f>
        <v/>
      </c>
      <c r="Y159">
        <f>HYPERLINK("https://klasma.github.io/Logging_2039/tillsynsmail/A 71652-2021 tillsynsbegäran mail.docx", "A 71652-2021")</f>
        <v/>
      </c>
      <c r="Z159">
        <f>HYPERLINK("https://klasma.github.io/Logging_2039/fåglar/A 71652-2021 prioriterade fågelarter.docx", "A 71652-2021")</f>
        <v/>
      </c>
    </row>
    <row r="160" ht="15" customHeight="1">
      <c r="A160" t="inlineStr">
        <is>
          <t>A 72175-2021</t>
        </is>
      </c>
      <c r="B160" s="1" t="n">
        <v>44544</v>
      </c>
      <c r="C160" s="1" t="n">
        <v>45802</v>
      </c>
      <c r="D160" t="inlineStr">
        <is>
          <t>DALARNAS LÄN</t>
        </is>
      </c>
      <c r="E160" t="inlineStr">
        <is>
          <t>ÄLVDALEN</t>
        </is>
      </c>
      <c r="F160" t="inlineStr">
        <is>
          <t>Sveaskog</t>
        </is>
      </c>
      <c r="G160" t="n">
        <v>20.3</v>
      </c>
      <c r="H160" t="n">
        <v>1</v>
      </c>
      <c r="I160" t="n">
        <v>0</v>
      </c>
      <c r="J160" t="n">
        <v>1</v>
      </c>
      <c r="K160" t="n">
        <v>0</v>
      </c>
      <c r="L160" t="n">
        <v>0</v>
      </c>
      <c r="M160" t="n">
        <v>0</v>
      </c>
      <c r="N160" t="n">
        <v>0</v>
      </c>
      <c r="O160" t="n">
        <v>1</v>
      </c>
      <c r="P160" t="n">
        <v>0</v>
      </c>
      <c r="Q160" t="n">
        <v>1</v>
      </c>
      <c r="R160" s="2" t="inlineStr">
        <is>
          <t>Varglav</t>
        </is>
      </c>
      <c r="S160">
        <f>HYPERLINK("https://klasma.github.io/Logging_2039/artfynd/A 72175-2021 artfynd.xlsx", "A 72175-2021")</f>
        <v/>
      </c>
      <c r="T160">
        <f>HYPERLINK("https://klasma.github.io/Logging_2039/kartor/A 72175-2021 karta.png", "A 72175-2021")</f>
        <v/>
      </c>
      <c r="V160">
        <f>HYPERLINK("https://klasma.github.io/Logging_2039/klagomål/A 72175-2021 FSC-klagomål.docx", "A 72175-2021")</f>
        <v/>
      </c>
      <c r="W160">
        <f>HYPERLINK("https://klasma.github.io/Logging_2039/klagomålsmail/A 72175-2021 FSC-klagomål mail.docx", "A 72175-2021")</f>
        <v/>
      </c>
      <c r="X160">
        <f>HYPERLINK("https://klasma.github.io/Logging_2039/tillsyn/A 72175-2021 tillsynsbegäran.docx", "A 72175-2021")</f>
        <v/>
      </c>
      <c r="Y160">
        <f>HYPERLINK("https://klasma.github.io/Logging_2039/tillsynsmail/A 72175-2021 tillsynsbegäran mail.docx", "A 72175-2021")</f>
        <v/>
      </c>
    </row>
    <row r="161" ht="15" customHeight="1">
      <c r="A161" t="inlineStr">
        <is>
          <t>A 32572-2022</t>
        </is>
      </c>
      <c r="B161" s="1" t="n">
        <v>44783</v>
      </c>
      <c r="C161" s="1" t="n">
        <v>45802</v>
      </c>
      <c r="D161" t="inlineStr">
        <is>
          <t>DALARNAS LÄN</t>
        </is>
      </c>
      <c r="E161" t="inlineStr">
        <is>
          <t>ÄLVDALEN</t>
        </is>
      </c>
      <c r="G161" t="n">
        <v>5.7</v>
      </c>
      <c r="H161" t="n">
        <v>1</v>
      </c>
      <c r="I161" t="n">
        <v>0</v>
      </c>
      <c r="J161" t="n">
        <v>0</v>
      </c>
      <c r="K161" t="n">
        <v>1</v>
      </c>
      <c r="L161" t="n">
        <v>0</v>
      </c>
      <c r="M161" t="n">
        <v>0</v>
      </c>
      <c r="N161" t="n">
        <v>0</v>
      </c>
      <c r="O161" t="n">
        <v>1</v>
      </c>
      <c r="P161" t="n">
        <v>1</v>
      </c>
      <c r="Q161" t="n">
        <v>1</v>
      </c>
      <c r="R161" s="2" t="inlineStr">
        <is>
          <t>Knärot</t>
        </is>
      </c>
      <c r="S161">
        <f>HYPERLINK("https://klasma.github.io/Logging_2039/artfynd/A 32572-2022 artfynd.xlsx", "A 32572-2022")</f>
        <v/>
      </c>
      <c r="T161">
        <f>HYPERLINK("https://klasma.github.io/Logging_2039/kartor/A 32572-2022 karta.png", "A 32572-2022")</f>
        <v/>
      </c>
      <c r="U161">
        <f>HYPERLINK("https://klasma.github.io/Logging_2039/knärot/A 32572-2022 karta knärot.png", "A 32572-2022")</f>
        <v/>
      </c>
      <c r="V161">
        <f>HYPERLINK("https://klasma.github.io/Logging_2039/klagomål/A 32572-2022 FSC-klagomål.docx", "A 32572-2022")</f>
        <v/>
      </c>
      <c r="W161">
        <f>HYPERLINK("https://klasma.github.io/Logging_2039/klagomålsmail/A 32572-2022 FSC-klagomål mail.docx", "A 32572-2022")</f>
        <v/>
      </c>
      <c r="X161">
        <f>HYPERLINK("https://klasma.github.io/Logging_2039/tillsyn/A 32572-2022 tillsynsbegäran.docx", "A 32572-2022")</f>
        <v/>
      </c>
      <c r="Y161">
        <f>HYPERLINK("https://klasma.github.io/Logging_2039/tillsynsmail/A 32572-2022 tillsynsbegäran mail.docx", "A 32572-2022")</f>
        <v/>
      </c>
    </row>
    <row r="162" ht="15" customHeight="1">
      <c r="A162" t="inlineStr">
        <is>
          <t>A 39419-2022</t>
        </is>
      </c>
      <c r="B162" s="1" t="n">
        <v>44818</v>
      </c>
      <c r="C162" s="1" t="n">
        <v>45802</v>
      </c>
      <c r="D162" t="inlineStr">
        <is>
          <t>DALARNAS LÄN</t>
        </is>
      </c>
      <c r="E162" t="inlineStr">
        <is>
          <t>ÄLVDALEN</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HYPERLINK("https://klasma.github.io/Logging_2039/artfynd/A 39419-2022 artfynd.xlsx", "A 39419-2022")</f>
        <v/>
      </c>
      <c r="T162">
        <f>HYPERLINK("https://klasma.github.io/Logging_2039/kartor/A 39419-2022 karta.png", "A 39419-2022")</f>
        <v/>
      </c>
      <c r="V162">
        <f>HYPERLINK("https://klasma.github.io/Logging_2039/klagomål/A 39419-2022 FSC-klagomål.docx", "A 39419-2022")</f>
        <v/>
      </c>
      <c r="W162">
        <f>HYPERLINK("https://klasma.github.io/Logging_2039/klagomålsmail/A 39419-2022 FSC-klagomål mail.docx", "A 39419-2022")</f>
        <v/>
      </c>
      <c r="X162">
        <f>HYPERLINK("https://klasma.github.io/Logging_2039/tillsyn/A 39419-2022 tillsynsbegäran.docx", "A 39419-2022")</f>
        <v/>
      </c>
      <c r="Y162">
        <f>HYPERLINK("https://klasma.github.io/Logging_2039/tillsynsmail/A 39419-2022 tillsynsbegäran mail.docx", "A 39419-2022")</f>
        <v/>
      </c>
    </row>
    <row r="163" ht="15" customHeight="1">
      <c r="A163" t="inlineStr">
        <is>
          <t>A 43651-2022</t>
        </is>
      </c>
      <c r="B163" s="1" t="n">
        <v>44837</v>
      </c>
      <c r="C163" s="1" t="n">
        <v>45802</v>
      </c>
      <c r="D163" t="inlineStr">
        <is>
          <t>DALARNAS LÄN</t>
        </is>
      </c>
      <c r="E163" t="inlineStr">
        <is>
          <t>ÄLVDALEN</t>
        </is>
      </c>
      <c r="F163" t="inlineStr">
        <is>
          <t>Bergvik skog väst AB</t>
        </is>
      </c>
      <c r="G163" t="n">
        <v>1.6</v>
      </c>
      <c r="H163" t="n">
        <v>1</v>
      </c>
      <c r="I163" t="n">
        <v>0</v>
      </c>
      <c r="J163" t="n">
        <v>0</v>
      </c>
      <c r="K163" t="n">
        <v>0</v>
      </c>
      <c r="L163" t="n">
        <v>0</v>
      </c>
      <c r="M163" t="n">
        <v>0</v>
      </c>
      <c r="N163" t="n">
        <v>0</v>
      </c>
      <c r="O163" t="n">
        <v>0</v>
      </c>
      <c r="P163" t="n">
        <v>0</v>
      </c>
      <c r="Q163" t="n">
        <v>1</v>
      </c>
      <c r="R163" s="2" t="inlineStr">
        <is>
          <t>Större vattensalamander</t>
        </is>
      </c>
      <c r="S163">
        <f>HYPERLINK("https://klasma.github.io/Logging_2039/artfynd/A 43651-2022 artfynd.xlsx", "A 43651-2022")</f>
        <v/>
      </c>
      <c r="T163">
        <f>HYPERLINK("https://klasma.github.io/Logging_2039/kartor/A 43651-2022 karta.png", "A 43651-2022")</f>
        <v/>
      </c>
      <c r="V163">
        <f>HYPERLINK("https://klasma.github.io/Logging_2039/klagomål/A 43651-2022 FSC-klagomål.docx", "A 43651-2022")</f>
        <v/>
      </c>
      <c r="W163">
        <f>HYPERLINK("https://klasma.github.io/Logging_2039/klagomålsmail/A 43651-2022 FSC-klagomål mail.docx", "A 43651-2022")</f>
        <v/>
      </c>
      <c r="X163">
        <f>HYPERLINK("https://klasma.github.io/Logging_2039/tillsyn/A 43651-2022 tillsynsbegäran.docx", "A 43651-2022")</f>
        <v/>
      </c>
      <c r="Y163">
        <f>HYPERLINK("https://klasma.github.io/Logging_2039/tillsynsmail/A 43651-2022 tillsynsbegäran mail.docx", "A 43651-2022")</f>
        <v/>
      </c>
    </row>
    <row r="164" ht="15" customHeight="1">
      <c r="A164" t="inlineStr">
        <is>
          <t>A 50251-2022</t>
        </is>
      </c>
      <c r="B164" s="1" t="n">
        <v>44865</v>
      </c>
      <c r="C164" s="1" t="n">
        <v>45802</v>
      </c>
      <c r="D164" t="inlineStr">
        <is>
          <t>DALARNAS LÄN</t>
        </is>
      </c>
      <c r="E164" t="inlineStr">
        <is>
          <t>ÄLVDALEN</t>
        </is>
      </c>
      <c r="F164" t="inlineStr">
        <is>
          <t>Sveaskog</t>
        </is>
      </c>
      <c r="G164" t="n">
        <v>4.4</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50251-2022 artfynd.xlsx", "A 50251-2022")</f>
        <v/>
      </c>
      <c r="T164">
        <f>HYPERLINK("https://klasma.github.io/Logging_2039/kartor/A 50251-2022 karta.png", "A 50251-2022")</f>
        <v/>
      </c>
      <c r="V164">
        <f>HYPERLINK("https://klasma.github.io/Logging_2039/klagomål/A 50251-2022 FSC-klagomål.docx", "A 50251-2022")</f>
        <v/>
      </c>
      <c r="W164">
        <f>HYPERLINK("https://klasma.github.io/Logging_2039/klagomålsmail/A 50251-2022 FSC-klagomål mail.docx", "A 50251-2022")</f>
        <v/>
      </c>
      <c r="X164">
        <f>HYPERLINK("https://klasma.github.io/Logging_2039/tillsyn/A 50251-2022 tillsynsbegäran.docx", "A 50251-2022")</f>
        <v/>
      </c>
      <c r="Y164">
        <f>HYPERLINK("https://klasma.github.io/Logging_2039/tillsynsmail/A 50251-2022 tillsynsbegäran mail.docx", "A 50251-2022")</f>
        <v/>
      </c>
    </row>
    <row r="165" ht="15" customHeight="1">
      <c r="A165" t="inlineStr">
        <is>
          <t>A 50252-2022</t>
        </is>
      </c>
      <c r="B165" s="1" t="n">
        <v>44865</v>
      </c>
      <c r="C165" s="1" t="n">
        <v>45802</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51477-2022</t>
        </is>
      </c>
      <c r="B166" s="1" t="n">
        <v>44869</v>
      </c>
      <c r="C166" s="1" t="n">
        <v>45802</v>
      </c>
      <c r="D166" t="inlineStr">
        <is>
          <t>DALARNAS LÄN</t>
        </is>
      </c>
      <c r="E166" t="inlineStr">
        <is>
          <t>ÄLVDALEN</t>
        </is>
      </c>
      <c r="F166" t="inlineStr">
        <is>
          <t>Sveaskog</t>
        </is>
      </c>
      <c r="G166" t="n">
        <v>3.8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51477-2022 artfynd.xlsx", "A 51477-2022")</f>
        <v/>
      </c>
      <c r="T166">
        <f>HYPERLINK("https://klasma.github.io/Logging_2039/kartor/A 51477-2022 karta.png", "A 51477-2022")</f>
        <v/>
      </c>
      <c r="V166">
        <f>HYPERLINK("https://klasma.github.io/Logging_2039/klagomål/A 51477-2022 FSC-klagomål.docx", "A 51477-2022")</f>
        <v/>
      </c>
      <c r="W166">
        <f>HYPERLINK("https://klasma.github.io/Logging_2039/klagomålsmail/A 51477-2022 FSC-klagomål mail.docx", "A 51477-2022")</f>
        <v/>
      </c>
      <c r="X166">
        <f>HYPERLINK("https://klasma.github.io/Logging_2039/tillsyn/A 51477-2022 tillsynsbegäran.docx", "A 51477-2022")</f>
        <v/>
      </c>
      <c r="Y166">
        <f>HYPERLINK("https://klasma.github.io/Logging_2039/tillsynsmail/A 51477-2022 tillsynsbegäran mail.docx", "A 51477-2022")</f>
        <v/>
      </c>
    </row>
    <row r="167" ht="15" customHeight="1">
      <c r="A167" t="inlineStr">
        <is>
          <t>A 55062-2022</t>
        </is>
      </c>
      <c r="B167" s="1" t="n">
        <v>44881</v>
      </c>
      <c r="C167" s="1" t="n">
        <v>45802</v>
      </c>
      <c r="D167" t="inlineStr">
        <is>
          <t>DALARNAS LÄN</t>
        </is>
      </c>
      <c r="E167" t="inlineStr">
        <is>
          <t>ÄLVDALEN</t>
        </is>
      </c>
      <c r="F167" t="inlineStr">
        <is>
          <t>Övriga statliga verk och myndigheter</t>
        </is>
      </c>
      <c r="G167" t="n">
        <v>28.1</v>
      </c>
      <c r="H167" t="n">
        <v>1</v>
      </c>
      <c r="I167" t="n">
        <v>0</v>
      </c>
      <c r="J167" t="n">
        <v>1</v>
      </c>
      <c r="K167" t="n">
        <v>0</v>
      </c>
      <c r="L167" t="n">
        <v>0</v>
      </c>
      <c r="M167" t="n">
        <v>0</v>
      </c>
      <c r="N167" t="n">
        <v>0</v>
      </c>
      <c r="O167" t="n">
        <v>1</v>
      </c>
      <c r="P167" t="n">
        <v>0</v>
      </c>
      <c r="Q167" t="n">
        <v>1</v>
      </c>
      <c r="R167" s="2" t="inlineStr">
        <is>
          <t>Utter</t>
        </is>
      </c>
      <c r="S167">
        <f>HYPERLINK("https://klasma.github.io/Logging_2039/artfynd/A 55062-2022 artfynd.xlsx", "A 55062-2022")</f>
        <v/>
      </c>
      <c r="T167">
        <f>HYPERLINK("https://klasma.github.io/Logging_2039/kartor/A 55062-2022 karta.png", "A 55062-2022")</f>
        <v/>
      </c>
      <c r="V167">
        <f>HYPERLINK("https://klasma.github.io/Logging_2039/klagomål/A 55062-2022 FSC-klagomål.docx", "A 55062-2022")</f>
        <v/>
      </c>
      <c r="W167">
        <f>HYPERLINK("https://klasma.github.io/Logging_2039/klagomålsmail/A 55062-2022 FSC-klagomål mail.docx", "A 55062-2022")</f>
        <v/>
      </c>
      <c r="X167">
        <f>HYPERLINK("https://klasma.github.io/Logging_2039/tillsyn/A 55062-2022 tillsynsbegäran.docx", "A 55062-2022")</f>
        <v/>
      </c>
      <c r="Y167">
        <f>HYPERLINK("https://klasma.github.io/Logging_2039/tillsynsmail/A 55062-2022 tillsynsbegäran mail.docx", "A 55062-2022")</f>
        <v/>
      </c>
    </row>
    <row r="168" ht="15" customHeight="1">
      <c r="A168" t="inlineStr">
        <is>
          <t>A 62665-2022</t>
        </is>
      </c>
      <c r="B168" s="1" t="n">
        <v>44917</v>
      </c>
      <c r="C168" s="1" t="n">
        <v>45802</v>
      </c>
      <c r="D168" t="inlineStr">
        <is>
          <t>DALARNAS LÄN</t>
        </is>
      </c>
      <c r="E168" t="inlineStr">
        <is>
          <t>ÄLVDALEN</t>
        </is>
      </c>
      <c r="G168" t="n">
        <v>0.6</v>
      </c>
      <c r="H168" t="n">
        <v>0</v>
      </c>
      <c r="I168" t="n">
        <v>1</v>
      </c>
      <c r="J168" t="n">
        <v>0</v>
      </c>
      <c r="K168" t="n">
        <v>0</v>
      </c>
      <c r="L168" t="n">
        <v>0</v>
      </c>
      <c r="M168" t="n">
        <v>0</v>
      </c>
      <c r="N168" t="n">
        <v>0</v>
      </c>
      <c r="O168" t="n">
        <v>0</v>
      </c>
      <c r="P168" t="n">
        <v>0</v>
      </c>
      <c r="Q168" t="n">
        <v>1</v>
      </c>
      <c r="R168" s="2" t="inlineStr">
        <is>
          <t>Luddlav</t>
        </is>
      </c>
      <c r="S168">
        <f>HYPERLINK("https://klasma.github.io/Logging_2039/artfynd/A 62665-2022 artfynd.xlsx", "A 62665-2022")</f>
        <v/>
      </c>
      <c r="T168">
        <f>HYPERLINK("https://klasma.github.io/Logging_2039/kartor/A 62665-2022 karta.png", "A 62665-2022")</f>
        <v/>
      </c>
      <c r="V168">
        <f>HYPERLINK("https://klasma.github.io/Logging_2039/klagomål/A 62665-2022 FSC-klagomål.docx", "A 62665-2022")</f>
        <v/>
      </c>
      <c r="W168">
        <f>HYPERLINK("https://klasma.github.io/Logging_2039/klagomålsmail/A 62665-2022 FSC-klagomål mail.docx", "A 62665-2022")</f>
        <v/>
      </c>
      <c r="X168">
        <f>HYPERLINK("https://klasma.github.io/Logging_2039/tillsyn/A 62665-2022 tillsynsbegäran.docx", "A 62665-2022")</f>
        <v/>
      </c>
      <c r="Y168">
        <f>HYPERLINK("https://klasma.github.io/Logging_2039/tillsynsmail/A 62665-2022 tillsynsbegäran mail.docx", "A 62665-2022")</f>
        <v/>
      </c>
    </row>
    <row r="169" ht="15" customHeight="1">
      <c r="A169" t="inlineStr">
        <is>
          <t>A 23872-2023</t>
        </is>
      </c>
      <c r="B169" s="1" t="n">
        <v>45078</v>
      </c>
      <c r="C169" s="1" t="n">
        <v>45802</v>
      </c>
      <c r="D169" t="inlineStr">
        <is>
          <t>DALARNAS LÄN</t>
        </is>
      </c>
      <c r="E169" t="inlineStr">
        <is>
          <t>ÄLVDALEN</t>
        </is>
      </c>
      <c r="F169" t="inlineStr">
        <is>
          <t>Allmännings- och besparingsskogar</t>
        </is>
      </c>
      <c r="G169" t="n">
        <v>79.5</v>
      </c>
      <c r="H169" t="n">
        <v>1</v>
      </c>
      <c r="I169" t="n">
        <v>0</v>
      </c>
      <c r="J169" t="n">
        <v>0</v>
      </c>
      <c r="K169" t="n">
        <v>0</v>
      </c>
      <c r="L169" t="n">
        <v>0</v>
      </c>
      <c r="M169" t="n">
        <v>0</v>
      </c>
      <c r="N169" t="n">
        <v>0</v>
      </c>
      <c r="O169" t="n">
        <v>0</v>
      </c>
      <c r="P169" t="n">
        <v>0</v>
      </c>
      <c r="Q169" t="n">
        <v>1</v>
      </c>
      <c r="R169" s="2" t="inlineStr">
        <is>
          <t>Vanlig groda</t>
        </is>
      </c>
      <c r="S169">
        <f>HYPERLINK("https://klasma.github.io/Logging_2039/artfynd/A 23872-2023 artfynd.xlsx", "A 23872-2023")</f>
        <v/>
      </c>
      <c r="T169">
        <f>HYPERLINK("https://klasma.github.io/Logging_2039/kartor/A 23872-2023 karta.png", "A 23872-2023")</f>
        <v/>
      </c>
      <c r="V169">
        <f>HYPERLINK("https://klasma.github.io/Logging_2039/klagomål/A 23872-2023 FSC-klagomål.docx", "A 23872-2023")</f>
        <v/>
      </c>
      <c r="W169">
        <f>HYPERLINK("https://klasma.github.io/Logging_2039/klagomålsmail/A 23872-2023 FSC-klagomål mail.docx", "A 23872-2023")</f>
        <v/>
      </c>
      <c r="X169">
        <f>HYPERLINK("https://klasma.github.io/Logging_2039/tillsyn/A 23872-2023 tillsynsbegäran.docx", "A 23872-2023")</f>
        <v/>
      </c>
      <c r="Y169">
        <f>HYPERLINK("https://klasma.github.io/Logging_2039/tillsynsmail/A 23872-2023 tillsynsbegäran mail.docx", "A 23872-2023")</f>
        <v/>
      </c>
    </row>
    <row r="170" ht="15" customHeight="1">
      <c r="A170" t="inlineStr">
        <is>
          <t>A 33553-2023</t>
        </is>
      </c>
      <c r="B170" s="1" t="n">
        <v>45118</v>
      </c>
      <c r="C170" s="1" t="n">
        <v>45802</v>
      </c>
      <c r="D170" t="inlineStr">
        <is>
          <t>DALARNAS LÄN</t>
        </is>
      </c>
      <c r="E170" t="inlineStr">
        <is>
          <t>ÄLVDALEN</t>
        </is>
      </c>
      <c r="G170" t="n">
        <v>1.3</v>
      </c>
      <c r="H170" t="n">
        <v>0</v>
      </c>
      <c r="I170" t="n">
        <v>0</v>
      </c>
      <c r="J170" t="n">
        <v>1</v>
      </c>
      <c r="K170" t="n">
        <v>0</v>
      </c>
      <c r="L170" t="n">
        <v>0</v>
      </c>
      <c r="M170" t="n">
        <v>0</v>
      </c>
      <c r="N170" t="n">
        <v>0</v>
      </c>
      <c r="O170" t="n">
        <v>1</v>
      </c>
      <c r="P170" t="n">
        <v>0</v>
      </c>
      <c r="Q170" t="n">
        <v>1</v>
      </c>
      <c r="R170" s="2" t="inlineStr">
        <is>
          <t>Lunglav</t>
        </is>
      </c>
      <c r="S170">
        <f>HYPERLINK("https://klasma.github.io/Logging_2039/artfynd/A 33553-2023 artfynd.xlsx", "A 33553-2023")</f>
        <v/>
      </c>
      <c r="T170">
        <f>HYPERLINK("https://klasma.github.io/Logging_2039/kartor/A 33553-2023 karta.png", "A 33553-2023")</f>
        <v/>
      </c>
      <c r="V170">
        <f>HYPERLINK("https://klasma.github.io/Logging_2039/klagomål/A 33553-2023 FSC-klagomål.docx", "A 33553-2023")</f>
        <v/>
      </c>
      <c r="W170">
        <f>HYPERLINK("https://klasma.github.io/Logging_2039/klagomålsmail/A 33553-2023 FSC-klagomål mail.docx", "A 33553-2023")</f>
        <v/>
      </c>
      <c r="X170">
        <f>HYPERLINK("https://klasma.github.io/Logging_2039/tillsyn/A 33553-2023 tillsynsbegäran.docx", "A 33553-2023")</f>
        <v/>
      </c>
      <c r="Y170">
        <f>HYPERLINK("https://klasma.github.io/Logging_2039/tillsynsmail/A 33553-2023 tillsynsbegäran mail.docx", "A 33553-2023")</f>
        <v/>
      </c>
    </row>
    <row r="171" ht="15" customHeight="1">
      <c r="A171" t="inlineStr">
        <is>
          <t>A 35185-2023</t>
        </is>
      </c>
      <c r="B171" s="1" t="n">
        <v>45145</v>
      </c>
      <c r="C171" s="1" t="n">
        <v>45802</v>
      </c>
      <c r="D171" t="inlineStr">
        <is>
          <t>DALARNAS LÄN</t>
        </is>
      </c>
      <c r="E171" t="inlineStr">
        <is>
          <t>ÄLVDALEN</t>
        </is>
      </c>
      <c r="F171" t="inlineStr">
        <is>
          <t>Sveaskog</t>
        </is>
      </c>
      <c r="G171" t="n">
        <v>1.4</v>
      </c>
      <c r="H171" t="n">
        <v>0</v>
      </c>
      <c r="I171" t="n">
        <v>0</v>
      </c>
      <c r="J171" t="n">
        <v>1</v>
      </c>
      <c r="K171" t="n">
        <v>0</v>
      </c>
      <c r="L171" t="n">
        <v>0</v>
      </c>
      <c r="M171" t="n">
        <v>0</v>
      </c>
      <c r="N171" t="n">
        <v>0</v>
      </c>
      <c r="O171" t="n">
        <v>1</v>
      </c>
      <c r="P171" t="n">
        <v>0</v>
      </c>
      <c r="Q171" t="n">
        <v>1</v>
      </c>
      <c r="R171" s="2" t="inlineStr">
        <is>
          <t>Kolflarnlav</t>
        </is>
      </c>
      <c r="S171">
        <f>HYPERLINK("https://klasma.github.io/Logging_2039/artfynd/A 35185-2023 artfynd.xlsx", "A 35185-2023")</f>
        <v/>
      </c>
      <c r="T171">
        <f>HYPERLINK("https://klasma.github.io/Logging_2039/kartor/A 35185-2023 karta.png", "A 35185-2023")</f>
        <v/>
      </c>
      <c r="V171">
        <f>HYPERLINK("https://klasma.github.io/Logging_2039/klagomål/A 35185-2023 FSC-klagomål.docx", "A 35185-2023")</f>
        <v/>
      </c>
      <c r="W171">
        <f>HYPERLINK("https://klasma.github.io/Logging_2039/klagomålsmail/A 35185-2023 FSC-klagomål mail.docx", "A 35185-2023")</f>
        <v/>
      </c>
      <c r="X171">
        <f>HYPERLINK("https://klasma.github.io/Logging_2039/tillsyn/A 35185-2023 tillsynsbegäran.docx", "A 35185-2023")</f>
        <v/>
      </c>
      <c r="Y171">
        <f>HYPERLINK("https://klasma.github.io/Logging_2039/tillsynsmail/A 35185-2023 tillsynsbegäran mail.docx", "A 35185-2023")</f>
        <v/>
      </c>
    </row>
    <row r="172" ht="15" customHeight="1">
      <c r="A172" t="inlineStr">
        <is>
          <t>A 43473-2023</t>
        </is>
      </c>
      <c r="B172" s="1" t="n">
        <v>45184</v>
      </c>
      <c r="C172" s="1" t="n">
        <v>45802</v>
      </c>
      <c r="D172" t="inlineStr">
        <is>
          <t>DALARNAS LÄN</t>
        </is>
      </c>
      <c r="E172" t="inlineStr">
        <is>
          <t>ÄLVDALEN</t>
        </is>
      </c>
      <c r="G172" t="n">
        <v>33.5</v>
      </c>
      <c r="H172" t="n">
        <v>0</v>
      </c>
      <c r="I172" t="n">
        <v>0</v>
      </c>
      <c r="J172" t="n">
        <v>1</v>
      </c>
      <c r="K172" t="n">
        <v>0</v>
      </c>
      <c r="L172" t="n">
        <v>0</v>
      </c>
      <c r="M172" t="n">
        <v>0</v>
      </c>
      <c r="N172" t="n">
        <v>0</v>
      </c>
      <c r="O172" t="n">
        <v>1</v>
      </c>
      <c r="P172" t="n">
        <v>0</v>
      </c>
      <c r="Q172" t="n">
        <v>1</v>
      </c>
      <c r="R172" s="2" t="inlineStr">
        <is>
          <t>Vedflamlav</t>
        </is>
      </c>
      <c r="S172">
        <f>HYPERLINK("https://klasma.github.io/Logging_2039/artfynd/A 43473-2023 artfynd.xlsx", "A 43473-2023")</f>
        <v/>
      </c>
      <c r="T172">
        <f>HYPERLINK("https://klasma.github.io/Logging_2039/kartor/A 43473-2023 karta.png", "A 43473-2023")</f>
        <v/>
      </c>
      <c r="V172">
        <f>HYPERLINK("https://klasma.github.io/Logging_2039/klagomål/A 43473-2023 FSC-klagomål.docx", "A 43473-2023")</f>
        <v/>
      </c>
      <c r="W172">
        <f>HYPERLINK("https://klasma.github.io/Logging_2039/klagomålsmail/A 43473-2023 FSC-klagomål mail.docx", "A 43473-2023")</f>
        <v/>
      </c>
      <c r="X172">
        <f>HYPERLINK("https://klasma.github.io/Logging_2039/tillsyn/A 43473-2023 tillsynsbegäran.docx", "A 43473-2023")</f>
        <v/>
      </c>
      <c r="Y172">
        <f>HYPERLINK("https://klasma.github.io/Logging_2039/tillsynsmail/A 43473-2023 tillsynsbegäran mail.docx", "A 43473-2023")</f>
        <v/>
      </c>
    </row>
    <row r="173" ht="15" customHeight="1">
      <c r="A173" t="inlineStr">
        <is>
          <t>A 53966-2023</t>
        </is>
      </c>
      <c r="B173" s="1" t="n">
        <v>45231</v>
      </c>
      <c r="C173" s="1" t="n">
        <v>45802</v>
      </c>
      <c r="D173" t="inlineStr">
        <is>
          <t>DALARNAS LÄN</t>
        </is>
      </c>
      <c r="E173" t="inlineStr">
        <is>
          <t>ÄLVDALEN</t>
        </is>
      </c>
      <c r="F173" t="inlineStr">
        <is>
          <t>Bergvik skog öst AB</t>
        </is>
      </c>
      <c r="G173" t="n">
        <v>14.7</v>
      </c>
      <c r="H173" t="n">
        <v>1</v>
      </c>
      <c r="I173" t="n">
        <v>0</v>
      </c>
      <c r="J173" t="n">
        <v>0</v>
      </c>
      <c r="K173" t="n">
        <v>1</v>
      </c>
      <c r="L173" t="n">
        <v>0</v>
      </c>
      <c r="M173" t="n">
        <v>0</v>
      </c>
      <c r="N173" t="n">
        <v>0</v>
      </c>
      <c r="O173" t="n">
        <v>1</v>
      </c>
      <c r="P173" t="n">
        <v>1</v>
      </c>
      <c r="Q173" t="n">
        <v>1</v>
      </c>
      <c r="R173" s="2" t="inlineStr">
        <is>
          <t>Lappuggla</t>
        </is>
      </c>
      <c r="S173">
        <f>HYPERLINK("https://klasma.github.io/Logging_2039/artfynd/A 53966-2023 artfynd.xlsx", "A 53966-2023")</f>
        <v/>
      </c>
      <c r="T173">
        <f>HYPERLINK("https://klasma.github.io/Logging_2039/kartor/A 53966-2023 karta.png", "A 53966-2023")</f>
        <v/>
      </c>
      <c r="V173">
        <f>HYPERLINK("https://klasma.github.io/Logging_2039/klagomål/A 53966-2023 FSC-klagomål.docx", "A 53966-2023")</f>
        <v/>
      </c>
      <c r="W173">
        <f>HYPERLINK("https://klasma.github.io/Logging_2039/klagomålsmail/A 53966-2023 FSC-klagomål mail.docx", "A 53966-2023")</f>
        <v/>
      </c>
      <c r="X173">
        <f>HYPERLINK("https://klasma.github.io/Logging_2039/tillsyn/A 53966-2023 tillsynsbegäran.docx", "A 53966-2023")</f>
        <v/>
      </c>
      <c r="Y173">
        <f>HYPERLINK("https://klasma.github.io/Logging_2039/tillsynsmail/A 53966-2023 tillsynsbegäran mail.docx", "A 53966-2023")</f>
        <v/>
      </c>
      <c r="Z173">
        <f>HYPERLINK("https://klasma.github.io/Logging_2039/fåglar/A 53966-2023 prioriterade fågelarter.docx", "A 53966-2023")</f>
        <v/>
      </c>
    </row>
    <row r="174" ht="15" customHeight="1">
      <c r="A174" t="inlineStr">
        <is>
          <t>A 9094-2024</t>
        </is>
      </c>
      <c r="B174" s="1" t="n">
        <v>45357</v>
      </c>
      <c r="C174" s="1" t="n">
        <v>45802</v>
      </c>
      <c r="D174" t="inlineStr">
        <is>
          <t>DALARNAS LÄN</t>
        </is>
      </c>
      <c r="E174" t="inlineStr">
        <is>
          <t>ÄLVDALEN</t>
        </is>
      </c>
      <c r="G174" t="n">
        <v>4.6</v>
      </c>
      <c r="H174" t="n">
        <v>0</v>
      </c>
      <c r="I174" t="n">
        <v>0</v>
      </c>
      <c r="J174" t="n">
        <v>1</v>
      </c>
      <c r="K174" t="n">
        <v>0</v>
      </c>
      <c r="L174" t="n">
        <v>0</v>
      </c>
      <c r="M174" t="n">
        <v>0</v>
      </c>
      <c r="N174" t="n">
        <v>0</v>
      </c>
      <c r="O174" t="n">
        <v>1</v>
      </c>
      <c r="P174" t="n">
        <v>0</v>
      </c>
      <c r="Q174" t="n">
        <v>1</v>
      </c>
      <c r="R174" s="2" t="inlineStr">
        <is>
          <t>Nordtagging</t>
        </is>
      </c>
      <c r="S174">
        <f>HYPERLINK("https://klasma.github.io/Logging_2039/artfynd/A 9094-2024 artfynd.xlsx", "A 9094-2024")</f>
        <v/>
      </c>
      <c r="T174">
        <f>HYPERLINK("https://klasma.github.io/Logging_2039/kartor/A 9094-2024 karta.png", "A 9094-2024")</f>
        <v/>
      </c>
      <c r="V174">
        <f>HYPERLINK("https://klasma.github.io/Logging_2039/klagomål/A 9094-2024 FSC-klagomål.docx", "A 9094-2024")</f>
        <v/>
      </c>
      <c r="W174">
        <f>HYPERLINK("https://klasma.github.io/Logging_2039/klagomålsmail/A 9094-2024 FSC-klagomål mail.docx", "A 9094-2024")</f>
        <v/>
      </c>
      <c r="X174">
        <f>HYPERLINK("https://klasma.github.io/Logging_2039/tillsyn/A 9094-2024 tillsynsbegäran.docx", "A 9094-2024")</f>
        <v/>
      </c>
      <c r="Y174">
        <f>HYPERLINK("https://klasma.github.io/Logging_2039/tillsynsmail/A 9094-2024 tillsynsbegäran mail.docx", "A 9094-2024")</f>
        <v/>
      </c>
    </row>
    <row r="175" ht="15" customHeight="1">
      <c r="A175" t="inlineStr">
        <is>
          <t>A 14277-2024</t>
        </is>
      </c>
      <c r="B175" s="1" t="n">
        <v>45393</v>
      </c>
      <c r="C175" s="1" t="n">
        <v>45802</v>
      </c>
      <c r="D175" t="inlineStr">
        <is>
          <t>DALARNAS LÄN</t>
        </is>
      </c>
      <c r="E175" t="inlineStr">
        <is>
          <t>ÄLVDALEN</t>
        </is>
      </c>
      <c r="F175" t="inlineStr">
        <is>
          <t>Allmännings- och besparingsskogar</t>
        </is>
      </c>
      <c r="G175" t="n">
        <v>2.8</v>
      </c>
      <c r="H175" t="n">
        <v>1</v>
      </c>
      <c r="I175" t="n">
        <v>0</v>
      </c>
      <c r="J175" t="n">
        <v>1</v>
      </c>
      <c r="K175" t="n">
        <v>0</v>
      </c>
      <c r="L175" t="n">
        <v>0</v>
      </c>
      <c r="M175" t="n">
        <v>0</v>
      </c>
      <c r="N175" t="n">
        <v>0</v>
      </c>
      <c r="O175" t="n">
        <v>1</v>
      </c>
      <c r="P175" t="n">
        <v>0</v>
      </c>
      <c r="Q175" t="n">
        <v>1</v>
      </c>
      <c r="R175" s="2" t="inlineStr">
        <is>
          <t>Talltita</t>
        </is>
      </c>
      <c r="S175">
        <f>HYPERLINK("https://klasma.github.io/Logging_2039/artfynd/A 14277-2024 artfynd.xlsx", "A 14277-2024")</f>
        <v/>
      </c>
      <c r="T175">
        <f>HYPERLINK("https://klasma.github.io/Logging_2039/kartor/A 14277-2024 karta.png", "A 14277-2024")</f>
        <v/>
      </c>
      <c r="V175">
        <f>HYPERLINK("https://klasma.github.io/Logging_2039/klagomål/A 14277-2024 FSC-klagomål.docx", "A 14277-2024")</f>
        <v/>
      </c>
      <c r="W175">
        <f>HYPERLINK("https://klasma.github.io/Logging_2039/klagomålsmail/A 14277-2024 FSC-klagomål mail.docx", "A 14277-2024")</f>
        <v/>
      </c>
      <c r="X175">
        <f>HYPERLINK("https://klasma.github.io/Logging_2039/tillsyn/A 14277-2024 tillsynsbegäran.docx", "A 14277-2024")</f>
        <v/>
      </c>
      <c r="Y175">
        <f>HYPERLINK("https://klasma.github.io/Logging_2039/tillsynsmail/A 14277-2024 tillsynsbegäran mail.docx", "A 14277-2024")</f>
        <v/>
      </c>
      <c r="Z175">
        <f>HYPERLINK("https://klasma.github.io/Logging_2039/fåglar/A 14277-2024 prioriterade fågelarter.docx", "A 14277-2024")</f>
        <v/>
      </c>
    </row>
    <row r="176" ht="15" customHeight="1">
      <c r="A176" t="inlineStr">
        <is>
          <t>A 17784-2024</t>
        </is>
      </c>
      <c r="B176" s="1" t="n">
        <v>45415</v>
      </c>
      <c r="C176" s="1" t="n">
        <v>45802</v>
      </c>
      <c r="D176" t="inlineStr">
        <is>
          <t>DALARNAS LÄN</t>
        </is>
      </c>
      <c r="E176" t="inlineStr">
        <is>
          <t>ÄLVDALEN</t>
        </is>
      </c>
      <c r="F176" t="inlineStr">
        <is>
          <t>Övriga statliga verk och myndigheter</t>
        </is>
      </c>
      <c r="G176" t="n">
        <v>20.4</v>
      </c>
      <c r="H176" t="n">
        <v>1</v>
      </c>
      <c r="I176" t="n">
        <v>1</v>
      </c>
      <c r="J176" t="n">
        <v>0</v>
      </c>
      <c r="K176" t="n">
        <v>0</v>
      </c>
      <c r="L176" t="n">
        <v>0</v>
      </c>
      <c r="M176" t="n">
        <v>0</v>
      </c>
      <c r="N176" t="n">
        <v>0</v>
      </c>
      <c r="O176" t="n">
        <v>0</v>
      </c>
      <c r="P176" t="n">
        <v>0</v>
      </c>
      <c r="Q176" t="n">
        <v>1</v>
      </c>
      <c r="R176" s="2" t="inlineStr">
        <is>
          <t>Plattlummer</t>
        </is>
      </c>
      <c r="S176">
        <f>HYPERLINK("https://klasma.github.io/Logging_2039/artfynd/A 17784-2024 artfynd.xlsx", "A 17784-2024")</f>
        <v/>
      </c>
      <c r="T176">
        <f>HYPERLINK("https://klasma.github.io/Logging_2039/kartor/A 17784-2024 karta.png", "A 17784-2024")</f>
        <v/>
      </c>
      <c r="V176">
        <f>HYPERLINK("https://klasma.github.io/Logging_2039/klagomål/A 17784-2024 FSC-klagomål.docx", "A 17784-2024")</f>
        <v/>
      </c>
      <c r="W176">
        <f>HYPERLINK("https://klasma.github.io/Logging_2039/klagomålsmail/A 17784-2024 FSC-klagomål mail.docx", "A 17784-2024")</f>
        <v/>
      </c>
      <c r="X176">
        <f>HYPERLINK("https://klasma.github.io/Logging_2039/tillsyn/A 17784-2024 tillsynsbegäran.docx", "A 17784-2024")</f>
        <v/>
      </c>
      <c r="Y176">
        <f>HYPERLINK("https://klasma.github.io/Logging_2039/tillsynsmail/A 17784-2024 tillsynsbegäran mail.docx", "A 17784-2024")</f>
        <v/>
      </c>
    </row>
    <row r="177" ht="15" customHeight="1">
      <c r="A177" t="inlineStr">
        <is>
          <t>A 19614-2024</t>
        </is>
      </c>
      <c r="B177" s="1" t="n">
        <v>45432</v>
      </c>
      <c r="C177" s="1" t="n">
        <v>45802</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21658-2024</t>
        </is>
      </c>
      <c r="B178" s="1" t="n">
        <v>45442</v>
      </c>
      <c r="C178" s="1" t="n">
        <v>45802</v>
      </c>
      <c r="D178" t="inlineStr">
        <is>
          <t>DALARNAS LÄN</t>
        </is>
      </c>
      <c r="E178" t="inlineStr">
        <is>
          <t>ÄLVDALEN</t>
        </is>
      </c>
      <c r="F178" t="inlineStr">
        <is>
          <t>Sveaskog</t>
        </is>
      </c>
      <c r="G178" t="n">
        <v>4.2</v>
      </c>
      <c r="H178" t="n">
        <v>1</v>
      </c>
      <c r="I178" t="n">
        <v>0</v>
      </c>
      <c r="J178" t="n">
        <v>1</v>
      </c>
      <c r="K178" t="n">
        <v>0</v>
      </c>
      <c r="L178" t="n">
        <v>0</v>
      </c>
      <c r="M178" t="n">
        <v>0</v>
      </c>
      <c r="N178" t="n">
        <v>0</v>
      </c>
      <c r="O178" t="n">
        <v>1</v>
      </c>
      <c r="P178" t="n">
        <v>0</v>
      </c>
      <c r="Q178" t="n">
        <v>1</v>
      </c>
      <c r="R178" s="2" t="inlineStr">
        <is>
          <t>Varglav</t>
        </is>
      </c>
      <c r="S178">
        <f>HYPERLINK("https://klasma.github.io/Logging_2039/artfynd/A 21658-2024 artfynd.xlsx", "A 21658-2024")</f>
        <v/>
      </c>
      <c r="T178">
        <f>HYPERLINK("https://klasma.github.io/Logging_2039/kartor/A 21658-2024 karta.png", "A 21658-2024")</f>
        <v/>
      </c>
      <c r="V178">
        <f>HYPERLINK("https://klasma.github.io/Logging_2039/klagomål/A 21658-2024 FSC-klagomål.docx", "A 21658-2024")</f>
        <v/>
      </c>
      <c r="W178">
        <f>HYPERLINK("https://klasma.github.io/Logging_2039/klagomålsmail/A 21658-2024 FSC-klagomål mail.docx", "A 21658-2024")</f>
        <v/>
      </c>
      <c r="X178">
        <f>HYPERLINK("https://klasma.github.io/Logging_2039/tillsyn/A 21658-2024 tillsynsbegäran.docx", "A 21658-2024")</f>
        <v/>
      </c>
      <c r="Y178">
        <f>HYPERLINK("https://klasma.github.io/Logging_2039/tillsynsmail/A 21658-2024 tillsynsbegäran mail.docx", "A 21658-2024")</f>
        <v/>
      </c>
    </row>
    <row r="179" ht="15" customHeight="1">
      <c r="A179" t="inlineStr">
        <is>
          <t>A 30691-2024</t>
        </is>
      </c>
      <c r="B179" s="1" t="n">
        <v>45496</v>
      </c>
      <c r="C179" s="1" t="n">
        <v>45802</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31145-2024</t>
        </is>
      </c>
      <c r="B180" s="1" t="n">
        <v>45502</v>
      </c>
      <c r="C180" s="1" t="n">
        <v>45802</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31771-2024</t>
        </is>
      </c>
      <c r="B181" s="1" t="n">
        <v>45509</v>
      </c>
      <c r="C181" s="1" t="n">
        <v>45802</v>
      </c>
      <c r="D181" t="inlineStr">
        <is>
          <t>DALARNAS LÄN</t>
        </is>
      </c>
      <c r="E181" t="inlineStr">
        <is>
          <t>ÄLVDALEN</t>
        </is>
      </c>
      <c r="F181" t="inlineStr">
        <is>
          <t>Allmännings- och besparingsskogar</t>
        </is>
      </c>
      <c r="G181" t="n">
        <v>17.8</v>
      </c>
      <c r="H181" t="n">
        <v>1</v>
      </c>
      <c r="I181" t="n">
        <v>0</v>
      </c>
      <c r="J181" t="n">
        <v>0</v>
      </c>
      <c r="K181" t="n">
        <v>0</v>
      </c>
      <c r="L181" t="n">
        <v>1</v>
      </c>
      <c r="M181" t="n">
        <v>0</v>
      </c>
      <c r="N181" t="n">
        <v>0</v>
      </c>
      <c r="O181" t="n">
        <v>1</v>
      </c>
      <c r="P181" t="n">
        <v>1</v>
      </c>
      <c r="Q181" t="n">
        <v>1</v>
      </c>
      <c r="R181" s="2" t="inlineStr">
        <is>
          <t>Mosippa</t>
        </is>
      </c>
      <c r="S181">
        <f>HYPERLINK("https://klasma.github.io/Logging_2039/artfynd/A 31771-2024 artfynd.xlsx", "A 31771-2024")</f>
        <v/>
      </c>
      <c r="T181">
        <f>HYPERLINK("https://klasma.github.io/Logging_2039/kartor/A 31771-2024 karta.png", "A 31771-2024")</f>
        <v/>
      </c>
      <c r="V181">
        <f>HYPERLINK("https://klasma.github.io/Logging_2039/klagomål/A 31771-2024 FSC-klagomål.docx", "A 31771-2024")</f>
        <v/>
      </c>
      <c r="W181">
        <f>HYPERLINK("https://klasma.github.io/Logging_2039/klagomålsmail/A 31771-2024 FSC-klagomål mail.docx", "A 31771-2024")</f>
        <v/>
      </c>
      <c r="X181">
        <f>HYPERLINK("https://klasma.github.io/Logging_2039/tillsyn/A 31771-2024 tillsynsbegäran.docx", "A 31771-2024")</f>
        <v/>
      </c>
      <c r="Y181">
        <f>HYPERLINK("https://klasma.github.io/Logging_2039/tillsynsmail/A 31771-2024 tillsynsbegäran mail.docx", "A 31771-2024")</f>
        <v/>
      </c>
    </row>
    <row r="182" ht="15" customHeight="1">
      <c r="A182" t="inlineStr">
        <is>
          <t>A 32199-2024</t>
        </is>
      </c>
      <c r="B182" s="1" t="n">
        <v>45511</v>
      </c>
      <c r="C182" s="1" t="n">
        <v>45802</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45202-2024</t>
        </is>
      </c>
      <c r="B183" s="1" t="n">
        <v>45575</v>
      </c>
      <c r="C183" s="1" t="n">
        <v>45802</v>
      </c>
      <c r="D183" t="inlineStr">
        <is>
          <t>DALARNAS LÄN</t>
        </is>
      </c>
      <c r="E183" t="inlineStr">
        <is>
          <t>ÄLVDALEN</t>
        </is>
      </c>
      <c r="G183" t="n">
        <v>184.5</v>
      </c>
      <c r="H183" t="n">
        <v>1</v>
      </c>
      <c r="I183" t="n">
        <v>0</v>
      </c>
      <c r="J183" t="n">
        <v>0</v>
      </c>
      <c r="K183" t="n">
        <v>0</v>
      </c>
      <c r="L183" t="n">
        <v>0</v>
      </c>
      <c r="M183" t="n">
        <v>0</v>
      </c>
      <c r="N183" t="n">
        <v>0</v>
      </c>
      <c r="O183" t="n">
        <v>0</v>
      </c>
      <c r="P183" t="n">
        <v>0</v>
      </c>
      <c r="Q183" t="n">
        <v>1</v>
      </c>
      <c r="R183" s="2" t="inlineStr">
        <is>
          <t>Lavskrika</t>
        </is>
      </c>
      <c r="S183">
        <f>HYPERLINK("https://klasma.github.io/Logging_2039/artfynd/A 45202-2024 artfynd.xlsx", "A 45202-2024")</f>
        <v/>
      </c>
      <c r="T183">
        <f>HYPERLINK("https://klasma.github.io/Logging_2039/kartor/A 45202-2024 karta.png", "A 45202-2024")</f>
        <v/>
      </c>
      <c r="V183">
        <f>HYPERLINK("https://klasma.github.io/Logging_2039/klagomål/A 45202-2024 FSC-klagomål.docx", "A 45202-2024")</f>
        <v/>
      </c>
      <c r="W183">
        <f>HYPERLINK("https://klasma.github.io/Logging_2039/klagomålsmail/A 45202-2024 FSC-klagomål mail.docx", "A 45202-2024")</f>
        <v/>
      </c>
      <c r="X183">
        <f>HYPERLINK("https://klasma.github.io/Logging_2039/tillsyn/A 45202-2024 tillsynsbegäran.docx", "A 45202-2024")</f>
        <v/>
      </c>
      <c r="Y183">
        <f>HYPERLINK("https://klasma.github.io/Logging_2039/tillsynsmail/A 45202-2024 tillsynsbegäran mail.docx", "A 45202-2024")</f>
        <v/>
      </c>
      <c r="Z183">
        <f>HYPERLINK("https://klasma.github.io/Logging_2039/fåglar/A 45202-2024 prioriterade fågelarter.docx", "A 45202-2024")</f>
        <v/>
      </c>
    </row>
    <row r="184" ht="15" customHeight="1">
      <c r="A184" t="inlineStr">
        <is>
          <t>A 45201-2024</t>
        </is>
      </c>
      <c r="B184" s="1" t="n">
        <v>45575</v>
      </c>
      <c r="C184" s="1" t="n">
        <v>45802</v>
      </c>
      <c r="D184" t="inlineStr">
        <is>
          <t>DALARNAS LÄN</t>
        </is>
      </c>
      <c r="E184" t="inlineStr">
        <is>
          <t>ÄLVDALEN</t>
        </is>
      </c>
      <c r="G184" t="n">
        <v>24.6</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50981-2024</t>
        </is>
      </c>
      <c r="B185" s="1" t="n">
        <v>45603</v>
      </c>
      <c r="C185" s="1" t="n">
        <v>45802</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662-2025</t>
        </is>
      </c>
      <c r="B186" s="1" t="n">
        <v>45664</v>
      </c>
      <c r="C186" s="1" t="n">
        <v>45802</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19338-2025</t>
        </is>
      </c>
      <c r="B187" s="1" t="n">
        <v>45769</v>
      </c>
      <c r="C187" s="1" t="n">
        <v>45802</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19338-2025 artfynd.xlsx", "A 19338-2025")</f>
        <v/>
      </c>
      <c r="T187">
        <f>HYPERLINK("https://klasma.github.io/Logging_202039/kartor/A 19338-2025 karta.png", "A 19338-2025")</f>
        <v/>
      </c>
      <c r="V187">
        <f>HYPERLINK("https://klasma.github.io/Logging_202039/klagomål/A 19338-2025 FSC-klagomål.docx", "A 19338-2025")</f>
        <v/>
      </c>
      <c r="W187">
        <f>HYPERLINK("https://klasma.github.io/Logging_202039/klagomålsmail/A 19338-2025 FSC-klagomål mail.docx", "A 19338-2025")</f>
        <v/>
      </c>
      <c r="X187">
        <f>HYPERLINK("https://klasma.github.io/Logging_202039/tillsyn/A 19338-2025 tillsynsbegäran.docx", "A 19338-2025")</f>
        <v/>
      </c>
      <c r="Y187">
        <f>HYPERLINK("https://klasma.github.io/Logging_202039/tillsynsmail/A 19338-2025 tillsynsbegäran mail.docx", "A 19338-2025")</f>
        <v/>
      </c>
    </row>
    <row r="188" ht="15" customHeight="1">
      <c r="A188" t="inlineStr">
        <is>
          <t>A 19443-2025</t>
        </is>
      </c>
      <c r="B188" s="1" t="n">
        <v>45770</v>
      </c>
      <c r="C188" s="1" t="n">
        <v>45802</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19443-2025 artfynd.xlsx", "A 19443-2025")</f>
        <v/>
      </c>
      <c r="T188">
        <f>HYPERLINK("https://klasma.github.io/Logging_202039/kartor/A 19443-2025 karta.png", "A 19443-2025")</f>
        <v/>
      </c>
      <c r="V188">
        <f>HYPERLINK("https://klasma.github.io/Logging_202039/klagomål/A 19443-2025 FSC-klagomål.docx", "A 19443-2025")</f>
        <v/>
      </c>
      <c r="W188">
        <f>HYPERLINK("https://klasma.github.io/Logging_202039/klagomålsmail/A 19443-2025 FSC-klagomål mail.docx", "A 19443-2025")</f>
        <v/>
      </c>
      <c r="X188">
        <f>HYPERLINK("https://klasma.github.io/Logging_202039/tillsyn/A 19443-2025 tillsynsbegäran.docx", "A 19443-2025")</f>
        <v/>
      </c>
      <c r="Y188">
        <f>HYPERLINK("https://klasma.github.io/Logging_202039/tillsynsmail/A 19443-2025 tillsynsbegäran mail.docx", "A 19443-2025")</f>
        <v/>
      </c>
    </row>
    <row r="189" ht="15" customHeight="1">
      <c r="A189" t="inlineStr">
        <is>
          <t>A 17751-2019</t>
        </is>
      </c>
      <c r="B189" s="1" t="n">
        <v>43556</v>
      </c>
      <c r="C189" s="1" t="n">
        <v>45802</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17741-2019</t>
        </is>
      </c>
      <c r="B190" s="1" t="n">
        <v>43556</v>
      </c>
      <c r="C190" s="1" t="n">
        <v>45802</v>
      </c>
      <c r="D190" t="inlineStr">
        <is>
          <t>DALARNAS LÄN</t>
        </is>
      </c>
      <c r="E190" t="inlineStr">
        <is>
          <t>ÄLVDALEN</t>
        </is>
      </c>
      <c r="G190" t="n">
        <v>2.3</v>
      </c>
      <c r="H190" t="n">
        <v>0</v>
      </c>
      <c r="I190" t="n">
        <v>0</v>
      </c>
      <c r="J190" t="n">
        <v>0</v>
      </c>
      <c r="K190" t="n">
        <v>0</v>
      </c>
      <c r="L190" t="n">
        <v>0</v>
      </c>
      <c r="M190" t="n">
        <v>0</v>
      </c>
      <c r="N190" t="n">
        <v>0</v>
      </c>
      <c r="O190" t="n">
        <v>0</v>
      </c>
      <c r="P190" t="n">
        <v>0</v>
      </c>
      <c r="Q190" t="n">
        <v>0</v>
      </c>
      <c r="R190" s="2" t="inlineStr"/>
    </row>
    <row r="191" ht="15" customHeight="1">
      <c r="A191" t="inlineStr">
        <is>
          <t>A 20104-2019</t>
        </is>
      </c>
      <c r="B191" s="1" t="n">
        <v>43570</v>
      </c>
      <c r="C191" s="1" t="n">
        <v>45802</v>
      </c>
      <c r="D191" t="inlineStr">
        <is>
          <t>DALARNAS LÄN</t>
        </is>
      </c>
      <c r="E191" t="inlineStr">
        <is>
          <t>ÄLVDALEN</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20004-2019</t>
        </is>
      </c>
      <c r="B192" s="1" t="n">
        <v>43570</v>
      </c>
      <c r="C192" s="1" t="n">
        <v>45802</v>
      </c>
      <c r="D192" t="inlineStr">
        <is>
          <t>DALARNAS LÄN</t>
        </is>
      </c>
      <c r="E192" t="inlineStr">
        <is>
          <t>ÄLVDALEN</t>
        </is>
      </c>
      <c r="G192" t="n">
        <v>2.2</v>
      </c>
      <c r="H192" t="n">
        <v>0</v>
      </c>
      <c r="I192" t="n">
        <v>0</v>
      </c>
      <c r="J192" t="n">
        <v>0</v>
      </c>
      <c r="K192" t="n">
        <v>0</v>
      </c>
      <c r="L192" t="n">
        <v>0</v>
      </c>
      <c r="M192" t="n">
        <v>0</v>
      </c>
      <c r="N192" t="n">
        <v>0</v>
      </c>
      <c r="O192" t="n">
        <v>0</v>
      </c>
      <c r="P192" t="n">
        <v>0</v>
      </c>
      <c r="Q192" t="n">
        <v>0</v>
      </c>
      <c r="R192" s="2" t="inlineStr"/>
    </row>
    <row r="193" ht="15" customHeight="1">
      <c r="A193" t="inlineStr">
        <is>
          <t>A 20948-2019</t>
        </is>
      </c>
      <c r="B193" s="1" t="n">
        <v>43578</v>
      </c>
      <c r="C193" s="1" t="n">
        <v>45802</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20962-2019</t>
        </is>
      </c>
      <c r="B194" s="1" t="n">
        <v>43578</v>
      </c>
      <c r="C194" s="1" t="n">
        <v>45802</v>
      </c>
      <c r="D194" t="inlineStr">
        <is>
          <t>DALARNAS LÄN</t>
        </is>
      </c>
      <c r="E194" t="inlineStr">
        <is>
          <t>ÄLVDALEN</t>
        </is>
      </c>
      <c r="G194" t="n">
        <v>1.4</v>
      </c>
      <c r="H194" t="n">
        <v>0</v>
      </c>
      <c r="I194" t="n">
        <v>0</v>
      </c>
      <c r="J194" t="n">
        <v>0</v>
      </c>
      <c r="K194" t="n">
        <v>0</v>
      </c>
      <c r="L194" t="n">
        <v>0</v>
      </c>
      <c r="M194" t="n">
        <v>0</v>
      </c>
      <c r="N194" t="n">
        <v>0</v>
      </c>
      <c r="O194" t="n">
        <v>0</v>
      </c>
      <c r="P194" t="n">
        <v>0</v>
      </c>
      <c r="Q194" t="n">
        <v>0</v>
      </c>
      <c r="R194" s="2" t="inlineStr"/>
    </row>
    <row r="195" ht="15" customHeight="1">
      <c r="A195" t="inlineStr">
        <is>
          <t>A 21717-2019</t>
        </is>
      </c>
      <c r="B195" s="1" t="n">
        <v>43581</v>
      </c>
      <c r="C195" s="1" t="n">
        <v>45802</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21969-2019</t>
        </is>
      </c>
      <c r="B196" s="1" t="n">
        <v>43584</v>
      </c>
      <c r="C196" s="1" t="n">
        <v>45802</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23360-2019</t>
        </is>
      </c>
      <c r="B197" s="1" t="n">
        <v>43593</v>
      </c>
      <c r="C197" s="1" t="n">
        <v>45802</v>
      </c>
      <c r="D197" t="inlineStr">
        <is>
          <t>DALARNAS LÄN</t>
        </is>
      </c>
      <c r="E197" t="inlineStr">
        <is>
          <t>ÄLVDALEN</t>
        </is>
      </c>
      <c r="G197" t="n">
        <v>1.5</v>
      </c>
      <c r="H197" t="n">
        <v>0</v>
      </c>
      <c r="I197" t="n">
        <v>0</v>
      </c>
      <c r="J197" t="n">
        <v>0</v>
      </c>
      <c r="K197" t="n">
        <v>0</v>
      </c>
      <c r="L197" t="n">
        <v>0</v>
      </c>
      <c r="M197" t="n">
        <v>0</v>
      </c>
      <c r="N197" t="n">
        <v>0</v>
      </c>
      <c r="O197" t="n">
        <v>0</v>
      </c>
      <c r="P197" t="n">
        <v>0</v>
      </c>
      <c r="Q197" t="n">
        <v>0</v>
      </c>
      <c r="R197" s="2" t="inlineStr"/>
    </row>
    <row r="198" ht="15" customHeight="1">
      <c r="A198" t="inlineStr">
        <is>
          <t>A 23946-2019</t>
        </is>
      </c>
      <c r="B198" s="1" t="n">
        <v>43596</v>
      </c>
      <c r="C198" s="1" t="n">
        <v>45802</v>
      </c>
      <c r="D198" t="inlineStr">
        <is>
          <t>DALARNAS LÄN</t>
        </is>
      </c>
      <c r="E198" t="inlineStr">
        <is>
          <t>ÄLVDALEN</t>
        </is>
      </c>
      <c r="G198" t="n">
        <v>3.6</v>
      </c>
      <c r="H198" t="n">
        <v>0</v>
      </c>
      <c r="I198" t="n">
        <v>0</v>
      </c>
      <c r="J198" t="n">
        <v>0</v>
      </c>
      <c r="K198" t="n">
        <v>0</v>
      </c>
      <c r="L198" t="n">
        <v>0</v>
      </c>
      <c r="M198" t="n">
        <v>0</v>
      </c>
      <c r="N198" t="n">
        <v>0</v>
      </c>
      <c r="O198" t="n">
        <v>0</v>
      </c>
      <c r="P198" t="n">
        <v>0</v>
      </c>
      <c r="Q198" t="n">
        <v>0</v>
      </c>
      <c r="R198" s="2" t="inlineStr"/>
    </row>
    <row r="199" ht="15" customHeight="1">
      <c r="A199" t="inlineStr">
        <is>
          <t>A 24651-2019</t>
        </is>
      </c>
      <c r="B199" s="1" t="n">
        <v>43601</v>
      </c>
      <c r="C199" s="1" t="n">
        <v>45802</v>
      </c>
      <c r="D199" t="inlineStr">
        <is>
          <t>DALARNAS LÄN</t>
        </is>
      </c>
      <c r="E199" t="inlineStr">
        <is>
          <t>ÄLVDALEN</t>
        </is>
      </c>
      <c r="G199" t="n">
        <v>10.1</v>
      </c>
      <c r="H199" t="n">
        <v>0</v>
      </c>
      <c r="I199" t="n">
        <v>0</v>
      </c>
      <c r="J199" t="n">
        <v>0</v>
      </c>
      <c r="K199" t="n">
        <v>0</v>
      </c>
      <c r="L199" t="n">
        <v>0</v>
      </c>
      <c r="M199" t="n">
        <v>0</v>
      </c>
      <c r="N199" t="n">
        <v>0</v>
      </c>
      <c r="O199" t="n">
        <v>0</v>
      </c>
      <c r="P199" t="n">
        <v>0</v>
      </c>
      <c r="Q199" t="n">
        <v>0</v>
      </c>
      <c r="R199" s="2" t="inlineStr"/>
    </row>
    <row r="200" ht="15" customHeight="1">
      <c r="A200" t="inlineStr">
        <is>
          <t>A 25001-2019</t>
        </is>
      </c>
      <c r="B200" s="1" t="n">
        <v>43602</v>
      </c>
      <c r="C200" s="1" t="n">
        <v>45802</v>
      </c>
      <c r="D200" t="inlineStr">
        <is>
          <t>DALARNAS LÄN</t>
        </is>
      </c>
      <c r="E200" t="inlineStr">
        <is>
          <t>ÄLVDALEN</t>
        </is>
      </c>
      <c r="F200" t="inlineStr">
        <is>
          <t>Kommuner</t>
        </is>
      </c>
      <c r="G200" t="n">
        <v>4.8</v>
      </c>
      <c r="H200" t="n">
        <v>0</v>
      </c>
      <c r="I200" t="n">
        <v>0</v>
      </c>
      <c r="J200" t="n">
        <v>0</v>
      </c>
      <c r="K200" t="n">
        <v>0</v>
      </c>
      <c r="L200" t="n">
        <v>0</v>
      </c>
      <c r="M200" t="n">
        <v>0</v>
      </c>
      <c r="N200" t="n">
        <v>0</v>
      </c>
      <c r="O200" t="n">
        <v>0</v>
      </c>
      <c r="P200" t="n">
        <v>0</v>
      </c>
      <c r="Q200" t="n">
        <v>0</v>
      </c>
      <c r="R200" s="2" t="inlineStr"/>
    </row>
    <row r="201" ht="15" customHeight="1">
      <c r="A201" t="inlineStr">
        <is>
          <t>A 26164-2019</t>
        </is>
      </c>
      <c r="B201" s="1" t="n">
        <v>43609</v>
      </c>
      <c r="C201" s="1" t="n">
        <v>45802</v>
      </c>
      <c r="D201" t="inlineStr">
        <is>
          <t>DALARNAS LÄN</t>
        </is>
      </c>
      <c r="E201" t="inlineStr">
        <is>
          <t>ÄLVDALEN</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26127-2019</t>
        </is>
      </c>
      <c r="B202" s="1" t="n">
        <v>43609</v>
      </c>
      <c r="C202" s="1" t="n">
        <v>45802</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27077-2019</t>
        </is>
      </c>
      <c r="B203" s="1" t="n">
        <v>43609</v>
      </c>
      <c r="C203" s="1" t="n">
        <v>45802</v>
      </c>
      <c r="D203" t="inlineStr">
        <is>
          <t>DALARNAS LÄN</t>
        </is>
      </c>
      <c r="E203" t="inlineStr">
        <is>
          <t>ÄLVDALEN</t>
        </is>
      </c>
      <c r="G203" t="n">
        <v>7.4</v>
      </c>
      <c r="H203" t="n">
        <v>0</v>
      </c>
      <c r="I203" t="n">
        <v>0</v>
      </c>
      <c r="J203" t="n">
        <v>0</v>
      </c>
      <c r="K203" t="n">
        <v>0</v>
      </c>
      <c r="L203" t="n">
        <v>0</v>
      </c>
      <c r="M203" t="n">
        <v>0</v>
      </c>
      <c r="N203" t="n">
        <v>0</v>
      </c>
      <c r="O203" t="n">
        <v>0</v>
      </c>
      <c r="P203" t="n">
        <v>0</v>
      </c>
      <c r="Q203" t="n">
        <v>0</v>
      </c>
      <c r="R203" s="2" t="inlineStr"/>
    </row>
    <row r="204" ht="15" customHeight="1">
      <c r="A204" t="inlineStr">
        <is>
          <t>A 26103-2019</t>
        </is>
      </c>
      <c r="B204" s="1" t="n">
        <v>43609</v>
      </c>
      <c r="C204" s="1" t="n">
        <v>45802</v>
      </c>
      <c r="D204" t="inlineStr">
        <is>
          <t>DALARNAS LÄN</t>
        </is>
      </c>
      <c r="E204" t="inlineStr">
        <is>
          <t>ÄLVDALEN</t>
        </is>
      </c>
      <c r="G204" t="n">
        <v>12.7</v>
      </c>
      <c r="H204" t="n">
        <v>0</v>
      </c>
      <c r="I204" t="n">
        <v>0</v>
      </c>
      <c r="J204" t="n">
        <v>0</v>
      </c>
      <c r="K204" t="n">
        <v>0</v>
      </c>
      <c r="L204" t="n">
        <v>0</v>
      </c>
      <c r="M204" t="n">
        <v>0</v>
      </c>
      <c r="N204" t="n">
        <v>0</v>
      </c>
      <c r="O204" t="n">
        <v>0</v>
      </c>
      <c r="P204" t="n">
        <v>0</v>
      </c>
      <c r="Q204" t="n">
        <v>0</v>
      </c>
      <c r="R204" s="2" t="inlineStr"/>
    </row>
    <row r="205" ht="15" customHeight="1">
      <c r="A205" t="inlineStr">
        <is>
          <t>A 26910-2019</t>
        </is>
      </c>
      <c r="B205" s="1" t="n">
        <v>43613</v>
      </c>
      <c r="C205" s="1" t="n">
        <v>45802</v>
      </c>
      <c r="D205" t="inlineStr">
        <is>
          <t>DALARNAS LÄN</t>
        </is>
      </c>
      <c r="E205" t="inlineStr">
        <is>
          <t>ÄLVDALEN</t>
        </is>
      </c>
      <c r="G205" t="n">
        <v>4.1</v>
      </c>
      <c r="H205" t="n">
        <v>0</v>
      </c>
      <c r="I205" t="n">
        <v>0</v>
      </c>
      <c r="J205" t="n">
        <v>0</v>
      </c>
      <c r="K205" t="n">
        <v>0</v>
      </c>
      <c r="L205" t="n">
        <v>0</v>
      </c>
      <c r="M205" t="n">
        <v>0</v>
      </c>
      <c r="N205" t="n">
        <v>0</v>
      </c>
      <c r="O205" t="n">
        <v>0</v>
      </c>
      <c r="P205" t="n">
        <v>0</v>
      </c>
      <c r="Q205" t="n">
        <v>0</v>
      </c>
      <c r="R205" s="2" t="inlineStr"/>
    </row>
    <row r="206" ht="15" customHeight="1">
      <c r="A206" t="inlineStr">
        <is>
          <t>A 27720-2019</t>
        </is>
      </c>
      <c r="B206" s="1" t="n">
        <v>43619</v>
      </c>
      <c r="C206" s="1" t="n">
        <v>45802</v>
      </c>
      <c r="D206" t="inlineStr">
        <is>
          <t>DALARNAS LÄN</t>
        </is>
      </c>
      <c r="E206" t="inlineStr">
        <is>
          <t>ÄLVDALEN</t>
        </is>
      </c>
      <c r="F206" t="inlineStr">
        <is>
          <t>Bergvik skog väst AB</t>
        </is>
      </c>
      <c r="G206" t="n">
        <v>12.4</v>
      </c>
      <c r="H206" t="n">
        <v>0</v>
      </c>
      <c r="I206" t="n">
        <v>0</v>
      </c>
      <c r="J206" t="n">
        <v>0</v>
      </c>
      <c r="K206" t="n">
        <v>0</v>
      </c>
      <c r="L206" t="n">
        <v>0</v>
      </c>
      <c r="M206" t="n">
        <v>0</v>
      </c>
      <c r="N206" t="n">
        <v>0</v>
      </c>
      <c r="O206" t="n">
        <v>0</v>
      </c>
      <c r="P206" t="n">
        <v>0</v>
      </c>
      <c r="Q206" t="n">
        <v>0</v>
      </c>
      <c r="R206" s="2" t="inlineStr"/>
    </row>
    <row r="207" ht="15" customHeight="1">
      <c r="A207" t="inlineStr">
        <is>
          <t>A 27691-2019</t>
        </is>
      </c>
      <c r="B207" s="1" t="n">
        <v>43619</v>
      </c>
      <c r="C207" s="1" t="n">
        <v>45802</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28350-2019</t>
        </is>
      </c>
      <c r="B208" s="1" t="n">
        <v>43624</v>
      </c>
      <c r="C208" s="1" t="n">
        <v>45802</v>
      </c>
      <c r="D208" t="inlineStr">
        <is>
          <t>DALARNAS LÄN</t>
        </is>
      </c>
      <c r="E208" t="inlineStr">
        <is>
          <t>ÄLVDALEN</t>
        </is>
      </c>
      <c r="G208" t="n">
        <v>18.2</v>
      </c>
      <c r="H208" t="n">
        <v>0</v>
      </c>
      <c r="I208" t="n">
        <v>0</v>
      </c>
      <c r="J208" t="n">
        <v>0</v>
      </c>
      <c r="K208" t="n">
        <v>0</v>
      </c>
      <c r="L208" t="n">
        <v>0</v>
      </c>
      <c r="M208" t="n">
        <v>0</v>
      </c>
      <c r="N208" t="n">
        <v>0</v>
      </c>
      <c r="O208" t="n">
        <v>0</v>
      </c>
      <c r="P208" t="n">
        <v>0</v>
      </c>
      <c r="Q208" t="n">
        <v>0</v>
      </c>
      <c r="R208" s="2" t="inlineStr"/>
    </row>
    <row r="209" ht="15" customHeight="1">
      <c r="A209" t="inlineStr">
        <is>
          <t>A 28536-2019</t>
        </is>
      </c>
      <c r="B209" s="1" t="n">
        <v>43626</v>
      </c>
      <c r="C209" s="1" t="n">
        <v>45802</v>
      </c>
      <c r="D209" t="inlineStr">
        <is>
          <t>DALARNAS LÄN</t>
        </is>
      </c>
      <c r="E209" t="inlineStr">
        <is>
          <t>ÄLVDALEN</t>
        </is>
      </c>
      <c r="G209" t="n">
        <v>6.4</v>
      </c>
      <c r="H209" t="n">
        <v>0</v>
      </c>
      <c r="I209" t="n">
        <v>0</v>
      </c>
      <c r="J209" t="n">
        <v>0</v>
      </c>
      <c r="K209" t="n">
        <v>0</v>
      </c>
      <c r="L209" t="n">
        <v>0</v>
      </c>
      <c r="M209" t="n">
        <v>0</v>
      </c>
      <c r="N209" t="n">
        <v>0</v>
      </c>
      <c r="O209" t="n">
        <v>0</v>
      </c>
      <c r="P209" t="n">
        <v>0</v>
      </c>
      <c r="Q209" t="n">
        <v>0</v>
      </c>
      <c r="R209" s="2" t="inlineStr"/>
    </row>
    <row r="210" ht="15" customHeight="1">
      <c r="A210" t="inlineStr">
        <is>
          <t>A 28544-2019</t>
        </is>
      </c>
      <c r="B210" s="1" t="n">
        <v>43626</v>
      </c>
      <c r="C210" s="1" t="n">
        <v>45802</v>
      </c>
      <c r="D210" t="inlineStr">
        <is>
          <t>DALARNAS LÄN</t>
        </is>
      </c>
      <c r="E210" t="inlineStr">
        <is>
          <t>ÄLVDALEN</t>
        </is>
      </c>
      <c r="G210" t="n">
        <v>4.3</v>
      </c>
      <c r="H210" t="n">
        <v>0</v>
      </c>
      <c r="I210" t="n">
        <v>0</v>
      </c>
      <c r="J210" t="n">
        <v>0</v>
      </c>
      <c r="K210" t="n">
        <v>0</v>
      </c>
      <c r="L210" t="n">
        <v>0</v>
      </c>
      <c r="M210" t="n">
        <v>0</v>
      </c>
      <c r="N210" t="n">
        <v>0</v>
      </c>
      <c r="O210" t="n">
        <v>0</v>
      </c>
      <c r="P210" t="n">
        <v>0</v>
      </c>
      <c r="Q210" t="n">
        <v>0</v>
      </c>
      <c r="R210" s="2" t="inlineStr"/>
    </row>
    <row r="211" ht="15" customHeight="1">
      <c r="A211" t="inlineStr">
        <is>
          <t>A 28527-2019</t>
        </is>
      </c>
      <c r="B211" s="1" t="n">
        <v>43626</v>
      </c>
      <c r="C211" s="1" t="n">
        <v>45802</v>
      </c>
      <c r="D211" t="inlineStr">
        <is>
          <t>DALARNAS LÄN</t>
        </is>
      </c>
      <c r="E211" t="inlineStr">
        <is>
          <t>ÄLVDALEN</t>
        </is>
      </c>
      <c r="G211" t="n">
        <v>1.6</v>
      </c>
      <c r="H211" t="n">
        <v>0</v>
      </c>
      <c r="I211" t="n">
        <v>0</v>
      </c>
      <c r="J211" t="n">
        <v>0</v>
      </c>
      <c r="K211" t="n">
        <v>0</v>
      </c>
      <c r="L211" t="n">
        <v>0</v>
      </c>
      <c r="M211" t="n">
        <v>0</v>
      </c>
      <c r="N211" t="n">
        <v>0</v>
      </c>
      <c r="O211" t="n">
        <v>0</v>
      </c>
      <c r="P211" t="n">
        <v>0</v>
      </c>
      <c r="Q211" t="n">
        <v>0</v>
      </c>
      <c r="R211" s="2" t="inlineStr"/>
    </row>
    <row r="212" ht="15" customHeight="1">
      <c r="A212" t="inlineStr">
        <is>
          <t>A 28549-2019</t>
        </is>
      </c>
      <c r="B212" s="1" t="n">
        <v>43626</v>
      </c>
      <c r="C212" s="1" t="n">
        <v>45802</v>
      </c>
      <c r="D212" t="inlineStr">
        <is>
          <t>DALARNAS LÄN</t>
        </is>
      </c>
      <c r="E212" t="inlineStr">
        <is>
          <t>ÄLVDALEN</t>
        </is>
      </c>
      <c r="G212" t="n">
        <v>10.5</v>
      </c>
      <c r="H212" t="n">
        <v>0</v>
      </c>
      <c r="I212" t="n">
        <v>0</v>
      </c>
      <c r="J212" t="n">
        <v>0</v>
      </c>
      <c r="K212" t="n">
        <v>0</v>
      </c>
      <c r="L212" t="n">
        <v>0</v>
      </c>
      <c r="M212" t="n">
        <v>0</v>
      </c>
      <c r="N212" t="n">
        <v>0</v>
      </c>
      <c r="O212" t="n">
        <v>0</v>
      </c>
      <c r="P212" t="n">
        <v>0</v>
      </c>
      <c r="Q212" t="n">
        <v>0</v>
      </c>
      <c r="R212" s="2" t="inlineStr"/>
    </row>
    <row r="213" ht="15" customHeight="1">
      <c r="A213" t="inlineStr">
        <is>
          <t>A 28965-2019</t>
        </is>
      </c>
      <c r="B213" s="1" t="n">
        <v>43628</v>
      </c>
      <c r="C213" s="1" t="n">
        <v>45802</v>
      </c>
      <c r="D213" t="inlineStr">
        <is>
          <t>DALARNAS LÄN</t>
        </is>
      </c>
      <c r="E213" t="inlineStr">
        <is>
          <t>ÄLVDALEN</t>
        </is>
      </c>
      <c r="G213" t="n">
        <v>3.1</v>
      </c>
      <c r="H213" t="n">
        <v>0</v>
      </c>
      <c r="I213" t="n">
        <v>0</v>
      </c>
      <c r="J213" t="n">
        <v>0</v>
      </c>
      <c r="K213" t="n">
        <v>0</v>
      </c>
      <c r="L213" t="n">
        <v>0</v>
      </c>
      <c r="M213" t="n">
        <v>0</v>
      </c>
      <c r="N213" t="n">
        <v>0</v>
      </c>
      <c r="O213" t="n">
        <v>0</v>
      </c>
      <c r="P213" t="n">
        <v>0</v>
      </c>
      <c r="Q213" t="n">
        <v>0</v>
      </c>
      <c r="R213" s="2" t="inlineStr"/>
    </row>
    <row r="214" ht="15" customHeight="1">
      <c r="A214" t="inlineStr">
        <is>
          <t>A 30506-2019</t>
        </is>
      </c>
      <c r="B214" s="1" t="n">
        <v>43635</v>
      </c>
      <c r="C214" s="1" t="n">
        <v>45802</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32347-2019</t>
        </is>
      </c>
      <c r="B215" s="1" t="n">
        <v>43644</v>
      </c>
      <c r="C215" s="1" t="n">
        <v>45802</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32357-2019</t>
        </is>
      </c>
      <c r="B216" s="1" t="n">
        <v>43644</v>
      </c>
      <c r="C216" s="1" t="n">
        <v>45802</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32359-2019</t>
        </is>
      </c>
      <c r="B217" s="1" t="n">
        <v>43644</v>
      </c>
      <c r="C217" s="1" t="n">
        <v>45802</v>
      </c>
      <c r="D217" t="inlineStr">
        <is>
          <t>DALARNAS LÄN</t>
        </is>
      </c>
      <c r="E217" t="inlineStr">
        <is>
          <t>ÄLVDALEN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32670-2019</t>
        </is>
      </c>
      <c r="B218" s="1" t="n">
        <v>43647</v>
      </c>
      <c r="C218" s="1" t="n">
        <v>45802</v>
      </c>
      <c r="D218" t="inlineStr">
        <is>
          <t>DALARNAS LÄN</t>
        </is>
      </c>
      <c r="E218" t="inlineStr">
        <is>
          <t>ÄLVDALEN</t>
        </is>
      </c>
      <c r="G218" t="n">
        <v>0.4</v>
      </c>
      <c r="H218" t="n">
        <v>0</v>
      </c>
      <c r="I218" t="n">
        <v>0</v>
      </c>
      <c r="J218" t="n">
        <v>0</v>
      </c>
      <c r="K218" t="n">
        <v>0</v>
      </c>
      <c r="L218" t="n">
        <v>0</v>
      </c>
      <c r="M218" t="n">
        <v>0</v>
      </c>
      <c r="N218" t="n">
        <v>0</v>
      </c>
      <c r="O218" t="n">
        <v>0</v>
      </c>
      <c r="P218" t="n">
        <v>0</v>
      </c>
      <c r="Q218" t="n">
        <v>0</v>
      </c>
      <c r="R218" s="2" t="inlineStr"/>
    </row>
    <row r="219" ht="15" customHeight="1">
      <c r="A219" t="inlineStr">
        <is>
          <t>A 35529-2019</t>
        </is>
      </c>
      <c r="B219" s="1" t="n">
        <v>43654</v>
      </c>
      <c r="C219" s="1" t="n">
        <v>45802</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34550-2019</t>
        </is>
      </c>
      <c r="B220" s="1" t="n">
        <v>43657</v>
      </c>
      <c r="C220" s="1" t="n">
        <v>45802</v>
      </c>
      <c r="D220" t="inlineStr">
        <is>
          <t>DALARNAS LÄN</t>
        </is>
      </c>
      <c r="E220" t="inlineStr">
        <is>
          <t>ÄLVDALEN</t>
        </is>
      </c>
      <c r="G220" t="n">
        <v>12</v>
      </c>
      <c r="H220" t="n">
        <v>0</v>
      </c>
      <c r="I220" t="n">
        <v>0</v>
      </c>
      <c r="J220" t="n">
        <v>0</v>
      </c>
      <c r="K220" t="n">
        <v>0</v>
      </c>
      <c r="L220" t="n">
        <v>0</v>
      </c>
      <c r="M220" t="n">
        <v>0</v>
      </c>
      <c r="N220" t="n">
        <v>0</v>
      </c>
      <c r="O220" t="n">
        <v>0</v>
      </c>
      <c r="P220" t="n">
        <v>0</v>
      </c>
      <c r="Q220" t="n">
        <v>0</v>
      </c>
      <c r="R220" s="2" t="inlineStr"/>
    </row>
    <row r="221" ht="15" customHeight="1">
      <c r="A221" t="inlineStr">
        <is>
          <t>A 36080-2019</t>
        </is>
      </c>
      <c r="B221" s="1" t="n">
        <v>43657</v>
      </c>
      <c r="C221" s="1" t="n">
        <v>45802</v>
      </c>
      <c r="D221" t="inlineStr">
        <is>
          <t>DALARNAS LÄN</t>
        </is>
      </c>
      <c r="E221" t="inlineStr">
        <is>
          <t>ÄLVDALEN</t>
        </is>
      </c>
      <c r="G221" t="n">
        <v>1.7</v>
      </c>
      <c r="H221" t="n">
        <v>0</v>
      </c>
      <c r="I221" t="n">
        <v>0</v>
      </c>
      <c r="J221" t="n">
        <v>0</v>
      </c>
      <c r="K221" t="n">
        <v>0</v>
      </c>
      <c r="L221" t="n">
        <v>0</v>
      </c>
      <c r="M221" t="n">
        <v>0</v>
      </c>
      <c r="N221" t="n">
        <v>0</v>
      </c>
      <c r="O221" t="n">
        <v>0</v>
      </c>
      <c r="P221" t="n">
        <v>0</v>
      </c>
      <c r="Q221" t="n">
        <v>0</v>
      </c>
      <c r="R221" s="2" t="inlineStr"/>
    </row>
    <row r="222" ht="15" customHeight="1">
      <c r="A222" t="inlineStr">
        <is>
          <t>A 35136-2019</t>
        </is>
      </c>
      <c r="B222" s="1" t="n">
        <v>43661</v>
      </c>
      <c r="C222" s="1" t="n">
        <v>45802</v>
      </c>
      <c r="D222" t="inlineStr">
        <is>
          <t>DALARNAS LÄN</t>
        </is>
      </c>
      <c r="E222" t="inlineStr">
        <is>
          <t>ÄLVDALEN</t>
        </is>
      </c>
      <c r="G222" t="n">
        <v>0.8</v>
      </c>
      <c r="H222" t="n">
        <v>0</v>
      </c>
      <c r="I222" t="n">
        <v>0</v>
      </c>
      <c r="J222" t="n">
        <v>0</v>
      </c>
      <c r="K222" t="n">
        <v>0</v>
      </c>
      <c r="L222" t="n">
        <v>0</v>
      </c>
      <c r="M222" t="n">
        <v>0</v>
      </c>
      <c r="N222" t="n">
        <v>0</v>
      </c>
      <c r="O222" t="n">
        <v>0</v>
      </c>
      <c r="P222" t="n">
        <v>0</v>
      </c>
      <c r="Q222" t="n">
        <v>0</v>
      </c>
      <c r="R222" s="2" t="inlineStr"/>
    </row>
    <row r="223" ht="15" customHeight="1">
      <c r="A223" t="inlineStr">
        <is>
          <t>A 35463-2019</t>
        </is>
      </c>
      <c r="B223" s="1" t="n">
        <v>43663</v>
      </c>
      <c r="C223" s="1" t="n">
        <v>45802</v>
      </c>
      <c r="D223" t="inlineStr">
        <is>
          <t>DALARNAS LÄN</t>
        </is>
      </c>
      <c r="E223" t="inlineStr">
        <is>
          <t>ÄLVDALEN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35457-2019</t>
        </is>
      </c>
      <c r="B224" s="1" t="n">
        <v>43663</v>
      </c>
      <c r="C224" s="1" t="n">
        <v>45802</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35458-2019</t>
        </is>
      </c>
      <c r="B225" s="1" t="n">
        <v>43663</v>
      </c>
      <c r="C225" s="1" t="n">
        <v>45802</v>
      </c>
      <c r="D225" t="inlineStr">
        <is>
          <t>DALARNAS LÄN</t>
        </is>
      </c>
      <c r="E225" t="inlineStr">
        <is>
          <t>ÄLVDALEN</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35609-2019</t>
        </is>
      </c>
      <c r="B226" s="1" t="n">
        <v>43664</v>
      </c>
      <c r="C226" s="1" t="n">
        <v>45802</v>
      </c>
      <c r="D226" t="inlineStr">
        <is>
          <t>DALARNAS LÄN</t>
        </is>
      </c>
      <c r="E226" t="inlineStr">
        <is>
          <t>ÄLVDALEN</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35708-2019</t>
        </is>
      </c>
      <c r="B227" s="1" t="n">
        <v>43664</v>
      </c>
      <c r="C227" s="1" t="n">
        <v>45802</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35707-2019</t>
        </is>
      </c>
      <c r="B228" s="1" t="n">
        <v>43664</v>
      </c>
      <c r="C228" s="1" t="n">
        <v>45802</v>
      </c>
      <c r="D228" t="inlineStr">
        <is>
          <t>DALARNAS LÄN</t>
        </is>
      </c>
      <c r="E228" t="inlineStr">
        <is>
          <t>ÄLVDALEN</t>
        </is>
      </c>
      <c r="G228" t="n">
        <v>4.8</v>
      </c>
      <c r="H228" t="n">
        <v>0</v>
      </c>
      <c r="I228" t="n">
        <v>0</v>
      </c>
      <c r="J228" t="n">
        <v>0</v>
      </c>
      <c r="K228" t="n">
        <v>0</v>
      </c>
      <c r="L228" t="n">
        <v>0</v>
      </c>
      <c r="M228" t="n">
        <v>0</v>
      </c>
      <c r="N228" t="n">
        <v>0</v>
      </c>
      <c r="O228" t="n">
        <v>0</v>
      </c>
      <c r="P228" t="n">
        <v>0</v>
      </c>
      <c r="Q228" t="n">
        <v>0</v>
      </c>
      <c r="R228" s="2" t="inlineStr"/>
    </row>
    <row r="229" ht="15" customHeight="1">
      <c r="A229" t="inlineStr">
        <is>
          <t>A 36482-2019</t>
        </is>
      </c>
      <c r="B229" s="1" t="n">
        <v>43668</v>
      </c>
      <c r="C229" s="1" t="n">
        <v>45802</v>
      </c>
      <c r="D229" t="inlineStr">
        <is>
          <t>DALARNAS LÄN</t>
        </is>
      </c>
      <c r="E229" t="inlineStr">
        <is>
          <t>ÄLVDALEN</t>
        </is>
      </c>
      <c r="G229" t="n">
        <v>3</v>
      </c>
      <c r="H229" t="n">
        <v>0</v>
      </c>
      <c r="I229" t="n">
        <v>0</v>
      </c>
      <c r="J229" t="n">
        <v>0</v>
      </c>
      <c r="K229" t="n">
        <v>0</v>
      </c>
      <c r="L229" t="n">
        <v>0</v>
      </c>
      <c r="M229" t="n">
        <v>0</v>
      </c>
      <c r="N229" t="n">
        <v>0</v>
      </c>
      <c r="O229" t="n">
        <v>0</v>
      </c>
      <c r="P229" t="n">
        <v>0</v>
      </c>
      <c r="Q229" t="n">
        <v>0</v>
      </c>
      <c r="R229" s="2" t="inlineStr"/>
    </row>
    <row r="230" ht="15" customHeight="1">
      <c r="A230" t="inlineStr">
        <is>
          <t>A 36063-2019</t>
        </is>
      </c>
      <c r="B230" s="1" t="n">
        <v>43668</v>
      </c>
      <c r="C230" s="1" t="n">
        <v>45802</v>
      </c>
      <c r="D230" t="inlineStr">
        <is>
          <t>DALARNAS LÄN</t>
        </is>
      </c>
      <c r="E230" t="inlineStr">
        <is>
          <t>ÄLVDALEN</t>
        </is>
      </c>
      <c r="G230" t="n">
        <v>2.2</v>
      </c>
      <c r="H230" t="n">
        <v>0</v>
      </c>
      <c r="I230" t="n">
        <v>0</v>
      </c>
      <c r="J230" t="n">
        <v>0</v>
      </c>
      <c r="K230" t="n">
        <v>0</v>
      </c>
      <c r="L230" t="n">
        <v>0</v>
      </c>
      <c r="M230" t="n">
        <v>0</v>
      </c>
      <c r="N230" t="n">
        <v>0</v>
      </c>
      <c r="O230" t="n">
        <v>0</v>
      </c>
      <c r="P230" t="n">
        <v>0</v>
      </c>
      <c r="Q230" t="n">
        <v>0</v>
      </c>
      <c r="R230" s="2" t="inlineStr"/>
    </row>
    <row r="231" ht="15" customHeight="1">
      <c r="A231" t="inlineStr">
        <is>
          <t>A 37645-2019</t>
        </is>
      </c>
      <c r="B231" s="1" t="n">
        <v>43682</v>
      </c>
      <c r="C231" s="1" t="n">
        <v>45802</v>
      </c>
      <c r="D231" t="inlineStr">
        <is>
          <t>DALARNAS LÄN</t>
        </is>
      </c>
      <c r="E231" t="inlineStr">
        <is>
          <t>ÄLVDALEN</t>
        </is>
      </c>
      <c r="G231" t="n">
        <v>2</v>
      </c>
      <c r="H231" t="n">
        <v>0</v>
      </c>
      <c r="I231" t="n">
        <v>0</v>
      </c>
      <c r="J231" t="n">
        <v>0</v>
      </c>
      <c r="K231" t="n">
        <v>0</v>
      </c>
      <c r="L231" t="n">
        <v>0</v>
      </c>
      <c r="M231" t="n">
        <v>0</v>
      </c>
      <c r="N231" t="n">
        <v>0</v>
      </c>
      <c r="O231" t="n">
        <v>0</v>
      </c>
      <c r="P231" t="n">
        <v>0</v>
      </c>
      <c r="Q231" t="n">
        <v>0</v>
      </c>
      <c r="R231" s="2" t="inlineStr"/>
    </row>
    <row r="232" ht="15" customHeight="1">
      <c r="A232" t="inlineStr">
        <is>
          <t>A 37939-2019</t>
        </is>
      </c>
      <c r="B232" s="1" t="n">
        <v>43683</v>
      </c>
      <c r="C232" s="1" t="n">
        <v>45802</v>
      </c>
      <c r="D232" t="inlineStr">
        <is>
          <t>DALARNAS LÄN</t>
        </is>
      </c>
      <c r="E232" t="inlineStr">
        <is>
          <t>ÄLVDALEN</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37991-2019</t>
        </is>
      </c>
      <c r="B233" s="1" t="n">
        <v>43683</v>
      </c>
      <c r="C233" s="1" t="n">
        <v>45802</v>
      </c>
      <c r="D233" t="inlineStr">
        <is>
          <t>DALARNAS LÄN</t>
        </is>
      </c>
      <c r="E233" t="inlineStr">
        <is>
          <t>ÄLVDALEN</t>
        </is>
      </c>
      <c r="G233" t="n">
        <v>5.8</v>
      </c>
      <c r="H233" t="n">
        <v>0</v>
      </c>
      <c r="I233" t="n">
        <v>0</v>
      </c>
      <c r="J233" t="n">
        <v>0</v>
      </c>
      <c r="K233" t="n">
        <v>0</v>
      </c>
      <c r="L233" t="n">
        <v>0</v>
      </c>
      <c r="M233" t="n">
        <v>0</v>
      </c>
      <c r="N233" t="n">
        <v>0</v>
      </c>
      <c r="O233" t="n">
        <v>0</v>
      </c>
      <c r="P233" t="n">
        <v>0</v>
      </c>
      <c r="Q233" t="n">
        <v>0</v>
      </c>
      <c r="R233" s="2" t="inlineStr"/>
    </row>
    <row r="234" ht="15" customHeight="1">
      <c r="A234" t="inlineStr">
        <is>
          <t>A 38039-2019</t>
        </is>
      </c>
      <c r="B234" s="1" t="n">
        <v>43683</v>
      </c>
      <c r="C234" s="1" t="n">
        <v>45802</v>
      </c>
      <c r="D234" t="inlineStr">
        <is>
          <t>DALARNAS LÄN</t>
        </is>
      </c>
      <c r="E234" t="inlineStr">
        <is>
          <t>ÄLVDALEN</t>
        </is>
      </c>
      <c r="F234" t="inlineStr">
        <is>
          <t>Övriga statliga verk och myndigheter</t>
        </is>
      </c>
      <c r="G234" t="n">
        <v>3.6</v>
      </c>
      <c r="H234" t="n">
        <v>0</v>
      </c>
      <c r="I234" t="n">
        <v>0</v>
      </c>
      <c r="J234" t="n">
        <v>0</v>
      </c>
      <c r="K234" t="n">
        <v>0</v>
      </c>
      <c r="L234" t="n">
        <v>0</v>
      </c>
      <c r="M234" t="n">
        <v>0</v>
      </c>
      <c r="N234" t="n">
        <v>0</v>
      </c>
      <c r="O234" t="n">
        <v>0</v>
      </c>
      <c r="P234" t="n">
        <v>0</v>
      </c>
      <c r="Q234" t="n">
        <v>0</v>
      </c>
      <c r="R234" s="2" t="inlineStr"/>
    </row>
    <row r="235" ht="15" customHeight="1">
      <c r="A235" t="inlineStr">
        <is>
          <t>A 38021-2019</t>
        </is>
      </c>
      <c r="B235" s="1" t="n">
        <v>43683</v>
      </c>
      <c r="C235" s="1" t="n">
        <v>45802</v>
      </c>
      <c r="D235" t="inlineStr">
        <is>
          <t>DALARNAS LÄN</t>
        </is>
      </c>
      <c r="E235" t="inlineStr">
        <is>
          <t>ÄLVDALEN</t>
        </is>
      </c>
      <c r="F235" t="inlineStr">
        <is>
          <t>Övriga statliga verk och myndigheter</t>
        </is>
      </c>
      <c r="G235" t="n">
        <v>4.7</v>
      </c>
      <c r="H235" t="n">
        <v>0</v>
      </c>
      <c r="I235" t="n">
        <v>0</v>
      </c>
      <c r="J235" t="n">
        <v>0</v>
      </c>
      <c r="K235" t="n">
        <v>0</v>
      </c>
      <c r="L235" t="n">
        <v>0</v>
      </c>
      <c r="M235" t="n">
        <v>0</v>
      </c>
      <c r="N235" t="n">
        <v>0</v>
      </c>
      <c r="O235" t="n">
        <v>0</v>
      </c>
      <c r="P235" t="n">
        <v>0</v>
      </c>
      <c r="Q235" t="n">
        <v>0</v>
      </c>
      <c r="R235" s="2" t="inlineStr"/>
    </row>
    <row r="236" ht="15" customHeight="1">
      <c r="A236" t="inlineStr">
        <is>
          <t>A 38864-2019</t>
        </is>
      </c>
      <c r="B236" s="1" t="n">
        <v>43689</v>
      </c>
      <c r="C236" s="1" t="n">
        <v>45802</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41242-2019</t>
        </is>
      </c>
      <c r="B237" s="1" t="n">
        <v>43698</v>
      </c>
      <c r="C237" s="1" t="n">
        <v>45802</v>
      </c>
      <c r="D237" t="inlineStr">
        <is>
          <t>DALARNAS LÄN</t>
        </is>
      </c>
      <c r="E237" t="inlineStr">
        <is>
          <t>ÄLVDALEN</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43540-2019</t>
        </is>
      </c>
      <c r="B238" s="1" t="n">
        <v>43706</v>
      </c>
      <c r="C238" s="1" t="n">
        <v>45802</v>
      </c>
      <c r="D238" t="inlineStr">
        <is>
          <t>DALARNAS LÄN</t>
        </is>
      </c>
      <c r="E238" t="inlineStr">
        <is>
          <t>ÄLVDALEN</t>
        </is>
      </c>
      <c r="G238" t="n">
        <v>1</v>
      </c>
      <c r="H238" t="n">
        <v>0</v>
      </c>
      <c r="I238" t="n">
        <v>0</v>
      </c>
      <c r="J238" t="n">
        <v>0</v>
      </c>
      <c r="K238" t="n">
        <v>0</v>
      </c>
      <c r="L238" t="n">
        <v>0</v>
      </c>
      <c r="M238" t="n">
        <v>0</v>
      </c>
      <c r="N238" t="n">
        <v>0</v>
      </c>
      <c r="O238" t="n">
        <v>0</v>
      </c>
      <c r="P238" t="n">
        <v>0</v>
      </c>
      <c r="Q238" t="n">
        <v>0</v>
      </c>
      <c r="R238" s="2" t="inlineStr"/>
    </row>
    <row r="239" ht="15" customHeight="1">
      <c r="A239" t="inlineStr">
        <is>
          <t>A 43543-2019</t>
        </is>
      </c>
      <c r="B239" s="1" t="n">
        <v>43706</v>
      </c>
      <c r="C239" s="1" t="n">
        <v>45802</v>
      </c>
      <c r="D239" t="inlineStr">
        <is>
          <t>DALARNAS LÄN</t>
        </is>
      </c>
      <c r="E239" t="inlineStr">
        <is>
          <t>ÄLVDALEN</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46240-2019</t>
        </is>
      </c>
      <c r="B240" s="1" t="n">
        <v>43714</v>
      </c>
      <c r="C240" s="1" t="n">
        <v>45802</v>
      </c>
      <c r="D240" t="inlineStr">
        <is>
          <t>DALARNAS LÄN</t>
        </is>
      </c>
      <c r="E240" t="inlineStr">
        <is>
          <t>ÄLVDALEN</t>
        </is>
      </c>
      <c r="G240" t="n">
        <v>19.4</v>
      </c>
      <c r="H240" t="n">
        <v>0</v>
      </c>
      <c r="I240" t="n">
        <v>0</v>
      </c>
      <c r="J240" t="n">
        <v>0</v>
      </c>
      <c r="K240" t="n">
        <v>0</v>
      </c>
      <c r="L240" t="n">
        <v>0</v>
      </c>
      <c r="M240" t="n">
        <v>0</v>
      </c>
      <c r="N240" t="n">
        <v>0</v>
      </c>
      <c r="O240" t="n">
        <v>0</v>
      </c>
      <c r="P240" t="n">
        <v>0</v>
      </c>
      <c r="Q240" t="n">
        <v>0</v>
      </c>
      <c r="R240" s="2" t="inlineStr"/>
    </row>
    <row r="241" ht="15" customHeight="1">
      <c r="A241" t="inlineStr">
        <is>
          <t>A 49014-2019</t>
        </is>
      </c>
      <c r="B241" s="1" t="n">
        <v>43731</v>
      </c>
      <c r="C241" s="1" t="n">
        <v>45802</v>
      </c>
      <c r="D241" t="inlineStr">
        <is>
          <t>DALARNAS LÄN</t>
        </is>
      </c>
      <c r="E241" t="inlineStr">
        <is>
          <t>ÄLVDALEN</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49230-2019</t>
        </is>
      </c>
      <c r="B242" s="1" t="n">
        <v>43731</v>
      </c>
      <c r="C242" s="1" t="n">
        <v>45802</v>
      </c>
      <c r="D242" t="inlineStr">
        <is>
          <t>DALARNAS LÄN</t>
        </is>
      </c>
      <c r="E242" t="inlineStr">
        <is>
          <t>ÄLVDALEN</t>
        </is>
      </c>
      <c r="F242" t="inlineStr">
        <is>
          <t>Allmännings- och besparingsskogar</t>
        </is>
      </c>
      <c r="G242" t="n">
        <v>11.9</v>
      </c>
      <c r="H242" t="n">
        <v>0</v>
      </c>
      <c r="I242" t="n">
        <v>0</v>
      </c>
      <c r="J242" t="n">
        <v>0</v>
      </c>
      <c r="K242" t="n">
        <v>0</v>
      </c>
      <c r="L242" t="n">
        <v>0</v>
      </c>
      <c r="M242" t="n">
        <v>0</v>
      </c>
      <c r="N242" t="n">
        <v>0</v>
      </c>
      <c r="O242" t="n">
        <v>0</v>
      </c>
      <c r="P242" t="n">
        <v>0</v>
      </c>
      <c r="Q242" t="n">
        <v>0</v>
      </c>
      <c r="R242" s="2" t="inlineStr"/>
    </row>
    <row r="243" ht="15" customHeight="1">
      <c r="A243" t="inlineStr">
        <is>
          <t>A 50431-2019</t>
        </is>
      </c>
      <c r="B243" s="1" t="n">
        <v>43735</v>
      </c>
      <c r="C243" s="1" t="n">
        <v>45802</v>
      </c>
      <c r="D243" t="inlineStr">
        <is>
          <t>DALARNAS LÄN</t>
        </is>
      </c>
      <c r="E243" t="inlineStr">
        <is>
          <t>ÄLVDALEN</t>
        </is>
      </c>
      <c r="G243" t="n">
        <v>2.5</v>
      </c>
      <c r="H243" t="n">
        <v>0</v>
      </c>
      <c r="I243" t="n">
        <v>0</v>
      </c>
      <c r="J243" t="n">
        <v>0</v>
      </c>
      <c r="K243" t="n">
        <v>0</v>
      </c>
      <c r="L243" t="n">
        <v>0</v>
      </c>
      <c r="M243" t="n">
        <v>0</v>
      </c>
      <c r="N243" t="n">
        <v>0</v>
      </c>
      <c r="O243" t="n">
        <v>0</v>
      </c>
      <c r="P243" t="n">
        <v>0</v>
      </c>
      <c r="Q243" t="n">
        <v>0</v>
      </c>
      <c r="R243" s="2" t="inlineStr"/>
    </row>
    <row r="244" ht="15" customHeight="1">
      <c r="A244" t="inlineStr">
        <is>
          <t>A 50669-2019</t>
        </is>
      </c>
      <c r="B244" s="1" t="n">
        <v>43737</v>
      </c>
      <c r="C244" s="1" t="n">
        <v>45802</v>
      </c>
      <c r="D244" t="inlineStr">
        <is>
          <t>DALARNAS LÄN</t>
        </is>
      </c>
      <c r="E244" t="inlineStr">
        <is>
          <t>ÄLVDALEN</t>
        </is>
      </c>
      <c r="G244" t="n">
        <v>6.1</v>
      </c>
      <c r="H244" t="n">
        <v>0</v>
      </c>
      <c r="I244" t="n">
        <v>0</v>
      </c>
      <c r="J244" t="n">
        <v>0</v>
      </c>
      <c r="K244" t="n">
        <v>0</v>
      </c>
      <c r="L244" t="n">
        <v>0</v>
      </c>
      <c r="M244" t="n">
        <v>0</v>
      </c>
      <c r="N244" t="n">
        <v>0</v>
      </c>
      <c r="O244" t="n">
        <v>0</v>
      </c>
      <c r="P244" t="n">
        <v>0</v>
      </c>
      <c r="Q244" t="n">
        <v>0</v>
      </c>
      <c r="R244" s="2" t="inlineStr"/>
    </row>
    <row r="245" ht="15" customHeight="1">
      <c r="A245" t="inlineStr">
        <is>
          <t>A 50670-2019</t>
        </is>
      </c>
      <c r="B245" s="1" t="n">
        <v>43738</v>
      </c>
      <c r="C245" s="1" t="n">
        <v>45802</v>
      </c>
      <c r="D245" t="inlineStr">
        <is>
          <t>DALARNAS LÄN</t>
        </is>
      </c>
      <c r="E245" t="inlineStr">
        <is>
          <t>ÄLVDALEN</t>
        </is>
      </c>
      <c r="G245" t="n">
        <v>8.1</v>
      </c>
      <c r="H245" t="n">
        <v>0</v>
      </c>
      <c r="I245" t="n">
        <v>0</v>
      </c>
      <c r="J245" t="n">
        <v>0</v>
      </c>
      <c r="K245" t="n">
        <v>0</v>
      </c>
      <c r="L245" t="n">
        <v>0</v>
      </c>
      <c r="M245" t="n">
        <v>0</v>
      </c>
      <c r="N245" t="n">
        <v>0</v>
      </c>
      <c r="O245" t="n">
        <v>0</v>
      </c>
      <c r="P245" t="n">
        <v>0</v>
      </c>
      <c r="Q245" t="n">
        <v>0</v>
      </c>
      <c r="R245" s="2" t="inlineStr"/>
    </row>
    <row r="246" ht="15" customHeight="1">
      <c r="A246" t="inlineStr">
        <is>
          <t>A 51354-2019</t>
        </is>
      </c>
      <c r="B246" s="1" t="n">
        <v>43740</v>
      </c>
      <c r="C246" s="1" t="n">
        <v>45802</v>
      </c>
      <c r="D246" t="inlineStr">
        <is>
          <t>DALARNAS LÄN</t>
        </is>
      </c>
      <c r="E246" t="inlineStr">
        <is>
          <t>ÄLVDALEN</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51798-2019</t>
        </is>
      </c>
      <c r="B247" s="1" t="n">
        <v>43741</v>
      </c>
      <c r="C247" s="1" t="n">
        <v>45802</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52131-2019</t>
        </is>
      </c>
      <c r="B248" s="1" t="n">
        <v>43742</v>
      </c>
      <c r="C248" s="1" t="n">
        <v>45802</v>
      </c>
      <c r="D248" t="inlineStr">
        <is>
          <t>DALARNAS LÄN</t>
        </is>
      </c>
      <c r="E248" t="inlineStr">
        <is>
          <t>ÄLVDALEN</t>
        </is>
      </c>
      <c r="F248" t="inlineStr">
        <is>
          <t>Sveaskog</t>
        </is>
      </c>
      <c r="G248" t="n">
        <v>14.5</v>
      </c>
      <c r="H248" t="n">
        <v>0</v>
      </c>
      <c r="I248" t="n">
        <v>0</v>
      </c>
      <c r="J248" t="n">
        <v>0</v>
      </c>
      <c r="K248" t="n">
        <v>0</v>
      </c>
      <c r="L248" t="n">
        <v>0</v>
      </c>
      <c r="M248" t="n">
        <v>0</v>
      </c>
      <c r="N248" t="n">
        <v>0</v>
      </c>
      <c r="O248" t="n">
        <v>0</v>
      </c>
      <c r="P248" t="n">
        <v>0</v>
      </c>
      <c r="Q248" t="n">
        <v>0</v>
      </c>
      <c r="R248" s="2" t="inlineStr"/>
    </row>
    <row r="249" ht="15" customHeight="1">
      <c r="A249" t="inlineStr">
        <is>
          <t>A 52466-2019</t>
        </is>
      </c>
      <c r="B249" s="1" t="n">
        <v>43745</v>
      </c>
      <c r="C249" s="1" t="n">
        <v>45802</v>
      </c>
      <c r="D249" t="inlineStr">
        <is>
          <t>DALARNAS LÄN</t>
        </is>
      </c>
      <c r="E249" t="inlineStr">
        <is>
          <t>ÄLVDALEN</t>
        </is>
      </c>
      <c r="G249" t="n">
        <v>2.8</v>
      </c>
      <c r="H249" t="n">
        <v>0</v>
      </c>
      <c r="I249" t="n">
        <v>0</v>
      </c>
      <c r="J249" t="n">
        <v>0</v>
      </c>
      <c r="K249" t="n">
        <v>0</v>
      </c>
      <c r="L249" t="n">
        <v>0</v>
      </c>
      <c r="M249" t="n">
        <v>0</v>
      </c>
      <c r="N249" t="n">
        <v>0</v>
      </c>
      <c r="O249" t="n">
        <v>0</v>
      </c>
      <c r="P249" t="n">
        <v>0</v>
      </c>
      <c r="Q249" t="n">
        <v>0</v>
      </c>
      <c r="R249" s="2" t="inlineStr"/>
    </row>
    <row r="250" ht="15" customHeight="1">
      <c r="A250" t="inlineStr">
        <is>
          <t>A 55649-2019</t>
        </is>
      </c>
      <c r="B250" s="1" t="n">
        <v>43760</v>
      </c>
      <c r="C250" s="1" t="n">
        <v>45802</v>
      </c>
      <c r="D250" t="inlineStr">
        <is>
          <t>DALARNAS LÄN</t>
        </is>
      </c>
      <c r="E250" t="inlineStr">
        <is>
          <t>ÄLVDALEN</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59488-2019</t>
        </is>
      </c>
      <c r="B251" s="1" t="n">
        <v>43776</v>
      </c>
      <c r="C251" s="1" t="n">
        <v>45802</v>
      </c>
      <c r="D251" t="inlineStr">
        <is>
          <t>DALARNAS LÄN</t>
        </is>
      </c>
      <c r="E251" t="inlineStr">
        <is>
          <t>ÄLVDALEN</t>
        </is>
      </c>
      <c r="F251" t="inlineStr">
        <is>
          <t>Bergvik skog väst AB</t>
        </is>
      </c>
      <c r="G251" t="n">
        <v>7.2</v>
      </c>
      <c r="H251" t="n">
        <v>0</v>
      </c>
      <c r="I251" t="n">
        <v>0</v>
      </c>
      <c r="J251" t="n">
        <v>0</v>
      </c>
      <c r="K251" t="n">
        <v>0</v>
      </c>
      <c r="L251" t="n">
        <v>0</v>
      </c>
      <c r="M251" t="n">
        <v>0</v>
      </c>
      <c r="N251" t="n">
        <v>0</v>
      </c>
      <c r="O251" t="n">
        <v>0</v>
      </c>
      <c r="P251" t="n">
        <v>0</v>
      </c>
      <c r="Q251" t="n">
        <v>0</v>
      </c>
      <c r="R251" s="2" t="inlineStr"/>
    </row>
    <row r="252" ht="15" customHeight="1">
      <c r="A252" t="inlineStr">
        <is>
          <t>A 59846-2019</t>
        </is>
      </c>
      <c r="B252" s="1" t="n">
        <v>43777</v>
      </c>
      <c r="C252" s="1" t="n">
        <v>45802</v>
      </c>
      <c r="D252" t="inlineStr">
        <is>
          <t>DALARNAS LÄN</t>
        </is>
      </c>
      <c r="E252" t="inlineStr">
        <is>
          <t>ÄLVDALEN</t>
        </is>
      </c>
      <c r="G252" t="n">
        <v>3.4</v>
      </c>
      <c r="H252" t="n">
        <v>0</v>
      </c>
      <c r="I252" t="n">
        <v>0</v>
      </c>
      <c r="J252" t="n">
        <v>0</v>
      </c>
      <c r="K252" t="n">
        <v>0</v>
      </c>
      <c r="L252" t="n">
        <v>0</v>
      </c>
      <c r="M252" t="n">
        <v>0</v>
      </c>
      <c r="N252" t="n">
        <v>0</v>
      </c>
      <c r="O252" t="n">
        <v>0</v>
      </c>
      <c r="P252" t="n">
        <v>0</v>
      </c>
      <c r="Q252" t="n">
        <v>0</v>
      </c>
      <c r="R252" s="2" t="inlineStr"/>
    </row>
    <row r="253" ht="15" customHeight="1">
      <c r="A253" t="inlineStr">
        <is>
          <t>A 59959-2019</t>
        </is>
      </c>
      <c r="B253" s="1" t="n">
        <v>43777</v>
      </c>
      <c r="C253" s="1" t="n">
        <v>45802</v>
      </c>
      <c r="D253" t="inlineStr">
        <is>
          <t>DALARNAS LÄN</t>
        </is>
      </c>
      <c r="E253" t="inlineStr">
        <is>
          <t>ÄLVDALEN</t>
        </is>
      </c>
      <c r="F253" t="inlineStr">
        <is>
          <t>Allmännings- och besparingsskogar</t>
        </is>
      </c>
      <c r="G253" t="n">
        <v>3.1</v>
      </c>
      <c r="H253" t="n">
        <v>0</v>
      </c>
      <c r="I253" t="n">
        <v>0</v>
      </c>
      <c r="J253" t="n">
        <v>0</v>
      </c>
      <c r="K253" t="n">
        <v>0</v>
      </c>
      <c r="L253" t="n">
        <v>0</v>
      </c>
      <c r="M253" t="n">
        <v>0</v>
      </c>
      <c r="N253" t="n">
        <v>0</v>
      </c>
      <c r="O253" t="n">
        <v>0</v>
      </c>
      <c r="P253" t="n">
        <v>0</v>
      </c>
      <c r="Q253" t="n">
        <v>0</v>
      </c>
      <c r="R253" s="2" t="inlineStr"/>
    </row>
    <row r="254" ht="15" customHeight="1">
      <c r="A254" t="inlineStr">
        <is>
          <t>A 59947-2019</t>
        </is>
      </c>
      <c r="B254" s="1" t="n">
        <v>43777</v>
      </c>
      <c r="C254" s="1" t="n">
        <v>45802</v>
      </c>
      <c r="D254" t="inlineStr">
        <is>
          <t>DALARNAS LÄN</t>
        </is>
      </c>
      <c r="E254" t="inlineStr">
        <is>
          <t>ÄLVDALEN</t>
        </is>
      </c>
      <c r="G254" t="n">
        <v>3.6</v>
      </c>
      <c r="H254" t="n">
        <v>0</v>
      </c>
      <c r="I254" t="n">
        <v>0</v>
      </c>
      <c r="J254" t="n">
        <v>0</v>
      </c>
      <c r="K254" t="n">
        <v>0</v>
      </c>
      <c r="L254" t="n">
        <v>0</v>
      </c>
      <c r="M254" t="n">
        <v>0</v>
      </c>
      <c r="N254" t="n">
        <v>0</v>
      </c>
      <c r="O254" t="n">
        <v>0</v>
      </c>
      <c r="P254" t="n">
        <v>0</v>
      </c>
      <c r="Q254" t="n">
        <v>0</v>
      </c>
      <c r="R254" s="2" t="inlineStr"/>
    </row>
    <row r="255" ht="15" customHeight="1">
      <c r="A255" t="inlineStr">
        <is>
          <t>A 59957-2019</t>
        </is>
      </c>
      <c r="B255" s="1" t="n">
        <v>43777</v>
      </c>
      <c r="C255" s="1" t="n">
        <v>45802</v>
      </c>
      <c r="D255" t="inlineStr">
        <is>
          <t>DALARNAS LÄN</t>
        </is>
      </c>
      <c r="E255" t="inlineStr">
        <is>
          <t>ÄLVDALEN</t>
        </is>
      </c>
      <c r="G255" t="n">
        <v>4.5</v>
      </c>
      <c r="H255" t="n">
        <v>0</v>
      </c>
      <c r="I255" t="n">
        <v>0</v>
      </c>
      <c r="J255" t="n">
        <v>0</v>
      </c>
      <c r="K255" t="n">
        <v>0</v>
      </c>
      <c r="L255" t="n">
        <v>0</v>
      </c>
      <c r="M255" t="n">
        <v>0</v>
      </c>
      <c r="N255" t="n">
        <v>0</v>
      </c>
      <c r="O255" t="n">
        <v>0</v>
      </c>
      <c r="P255" t="n">
        <v>0</v>
      </c>
      <c r="Q255" t="n">
        <v>0</v>
      </c>
      <c r="R255" s="2" t="inlineStr"/>
    </row>
    <row r="256" ht="15" customHeight="1">
      <c r="A256" t="inlineStr">
        <is>
          <t>A 60345-2019</t>
        </is>
      </c>
      <c r="B256" s="1" t="n">
        <v>43780</v>
      </c>
      <c r="C256" s="1" t="n">
        <v>45802</v>
      </c>
      <c r="D256" t="inlineStr">
        <is>
          <t>DALARNAS LÄN</t>
        </is>
      </c>
      <c r="E256" t="inlineStr">
        <is>
          <t>ÄLVDALEN</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61262-2019</t>
        </is>
      </c>
      <c r="B257" s="1" t="n">
        <v>43783</v>
      </c>
      <c r="C257" s="1" t="n">
        <v>45802</v>
      </c>
      <c r="D257" t="inlineStr">
        <is>
          <t>DALARNAS LÄN</t>
        </is>
      </c>
      <c r="E257" t="inlineStr">
        <is>
          <t>ÄLVDALEN</t>
        </is>
      </c>
      <c r="F257" t="inlineStr">
        <is>
          <t>Bergvik skog väst AB</t>
        </is>
      </c>
      <c r="G257" t="n">
        <v>12.9</v>
      </c>
      <c r="H257" t="n">
        <v>0</v>
      </c>
      <c r="I257" t="n">
        <v>0</v>
      </c>
      <c r="J257" t="n">
        <v>0</v>
      </c>
      <c r="K257" t="n">
        <v>0</v>
      </c>
      <c r="L257" t="n">
        <v>0</v>
      </c>
      <c r="M257" t="n">
        <v>0</v>
      </c>
      <c r="N257" t="n">
        <v>0</v>
      </c>
      <c r="O257" t="n">
        <v>0</v>
      </c>
      <c r="P257" t="n">
        <v>0</v>
      </c>
      <c r="Q257" t="n">
        <v>0</v>
      </c>
      <c r="R257" s="2" t="inlineStr"/>
    </row>
    <row r="258" ht="15" customHeight="1">
      <c r="A258" t="inlineStr">
        <is>
          <t>A 61235-2019</t>
        </is>
      </c>
      <c r="B258" s="1" t="n">
        <v>43783</v>
      </c>
      <c r="C258" s="1" t="n">
        <v>45802</v>
      </c>
      <c r="D258" t="inlineStr">
        <is>
          <t>DALARNAS LÄN</t>
        </is>
      </c>
      <c r="E258" t="inlineStr">
        <is>
          <t>ÄLVDALEN</t>
        </is>
      </c>
      <c r="F258" t="inlineStr">
        <is>
          <t>Bergvik skog väst AB</t>
        </is>
      </c>
      <c r="G258" t="n">
        <v>9</v>
      </c>
      <c r="H258" t="n">
        <v>0</v>
      </c>
      <c r="I258" t="n">
        <v>0</v>
      </c>
      <c r="J258" t="n">
        <v>0</v>
      </c>
      <c r="K258" t="n">
        <v>0</v>
      </c>
      <c r="L258" t="n">
        <v>0</v>
      </c>
      <c r="M258" t="n">
        <v>0</v>
      </c>
      <c r="N258" t="n">
        <v>0</v>
      </c>
      <c r="O258" t="n">
        <v>0</v>
      </c>
      <c r="P258" t="n">
        <v>0</v>
      </c>
      <c r="Q258" t="n">
        <v>0</v>
      </c>
      <c r="R258" s="2" t="inlineStr"/>
    </row>
    <row r="259" ht="15" customHeight="1">
      <c r="A259" t="inlineStr">
        <is>
          <t>A 61312-2019</t>
        </is>
      </c>
      <c r="B259" s="1" t="n">
        <v>43783</v>
      </c>
      <c r="C259" s="1" t="n">
        <v>45802</v>
      </c>
      <c r="D259" t="inlineStr">
        <is>
          <t>DALARNAS LÄN</t>
        </is>
      </c>
      <c r="E259" t="inlineStr">
        <is>
          <t>ÄLVDALEN</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61303-2019</t>
        </is>
      </c>
      <c r="B260" s="1" t="n">
        <v>43783</v>
      </c>
      <c r="C260" s="1" t="n">
        <v>45802</v>
      </c>
      <c r="D260" t="inlineStr">
        <is>
          <t>DALARNAS LÄN</t>
        </is>
      </c>
      <c r="E260" t="inlineStr">
        <is>
          <t>ÄLVDALEN</t>
        </is>
      </c>
      <c r="F260" t="inlineStr">
        <is>
          <t>Allmännings- och besparingsskogar</t>
        </is>
      </c>
      <c r="G260" t="n">
        <v>0.2</v>
      </c>
      <c r="H260" t="n">
        <v>0</v>
      </c>
      <c r="I260" t="n">
        <v>0</v>
      </c>
      <c r="J260" t="n">
        <v>0</v>
      </c>
      <c r="K260" t="n">
        <v>0</v>
      </c>
      <c r="L260" t="n">
        <v>0</v>
      </c>
      <c r="M260" t="n">
        <v>0</v>
      </c>
      <c r="N260" t="n">
        <v>0</v>
      </c>
      <c r="O260" t="n">
        <v>0</v>
      </c>
      <c r="P260" t="n">
        <v>0</v>
      </c>
      <c r="Q260" t="n">
        <v>0</v>
      </c>
      <c r="R260" s="2" t="inlineStr"/>
    </row>
    <row r="261" ht="15" customHeight="1">
      <c r="A261" t="inlineStr">
        <is>
          <t>A 62630-2019</t>
        </is>
      </c>
      <c r="B261" s="1" t="n">
        <v>43789</v>
      </c>
      <c r="C261" s="1" t="n">
        <v>45802</v>
      </c>
      <c r="D261" t="inlineStr">
        <is>
          <t>DALARNAS LÄN</t>
        </is>
      </c>
      <c r="E261" t="inlineStr">
        <is>
          <t>ÄLVDALEN</t>
        </is>
      </c>
      <c r="G261" t="n">
        <v>7.2</v>
      </c>
      <c r="H261" t="n">
        <v>0</v>
      </c>
      <c r="I261" t="n">
        <v>0</v>
      </c>
      <c r="J261" t="n">
        <v>0</v>
      </c>
      <c r="K261" t="n">
        <v>0</v>
      </c>
      <c r="L261" t="n">
        <v>0</v>
      </c>
      <c r="M261" t="n">
        <v>0</v>
      </c>
      <c r="N261" t="n">
        <v>0</v>
      </c>
      <c r="O261" t="n">
        <v>0</v>
      </c>
      <c r="P261" t="n">
        <v>0</v>
      </c>
      <c r="Q261" t="n">
        <v>0</v>
      </c>
      <c r="R261" s="2" t="inlineStr"/>
    </row>
    <row r="262" ht="15" customHeight="1">
      <c r="A262" t="inlineStr">
        <is>
          <t>A 62691-2019</t>
        </is>
      </c>
      <c r="B262" s="1" t="n">
        <v>43789</v>
      </c>
      <c r="C262" s="1" t="n">
        <v>45802</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63161-2019</t>
        </is>
      </c>
      <c r="B263" s="1" t="n">
        <v>43791</v>
      </c>
      <c r="C263" s="1" t="n">
        <v>45802</v>
      </c>
      <c r="D263" t="inlineStr">
        <is>
          <t>DALARNAS LÄN</t>
        </is>
      </c>
      <c r="E263" t="inlineStr">
        <is>
          <t>ÄLVDALEN</t>
        </is>
      </c>
      <c r="G263" t="n">
        <v>2.6</v>
      </c>
      <c r="H263" t="n">
        <v>0</v>
      </c>
      <c r="I263" t="n">
        <v>0</v>
      </c>
      <c r="J263" t="n">
        <v>0</v>
      </c>
      <c r="K263" t="n">
        <v>0</v>
      </c>
      <c r="L263" t="n">
        <v>0</v>
      </c>
      <c r="M263" t="n">
        <v>0</v>
      </c>
      <c r="N263" t="n">
        <v>0</v>
      </c>
      <c r="O263" t="n">
        <v>0</v>
      </c>
      <c r="P263" t="n">
        <v>0</v>
      </c>
      <c r="Q263" t="n">
        <v>0</v>
      </c>
      <c r="R263" s="2" t="inlineStr"/>
    </row>
    <row r="264" ht="15" customHeight="1">
      <c r="A264" t="inlineStr">
        <is>
          <t>A 63242-2019</t>
        </is>
      </c>
      <c r="B264" s="1" t="n">
        <v>43792</v>
      </c>
      <c r="C264" s="1" t="n">
        <v>45802</v>
      </c>
      <c r="D264" t="inlineStr">
        <is>
          <t>DALARNAS LÄN</t>
        </is>
      </c>
      <c r="E264" t="inlineStr">
        <is>
          <t>ÄLVDALEN</t>
        </is>
      </c>
      <c r="G264" t="n">
        <v>2.1</v>
      </c>
      <c r="H264" t="n">
        <v>0</v>
      </c>
      <c r="I264" t="n">
        <v>0</v>
      </c>
      <c r="J264" t="n">
        <v>0</v>
      </c>
      <c r="K264" t="n">
        <v>0</v>
      </c>
      <c r="L264" t="n">
        <v>0</v>
      </c>
      <c r="M264" t="n">
        <v>0</v>
      </c>
      <c r="N264" t="n">
        <v>0</v>
      </c>
      <c r="O264" t="n">
        <v>0</v>
      </c>
      <c r="P264" t="n">
        <v>0</v>
      </c>
      <c r="Q264" t="n">
        <v>0</v>
      </c>
      <c r="R264" s="2" t="inlineStr"/>
    </row>
    <row r="265" ht="15" customHeight="1">
      <c r="A265" t="inlineStr">
        <is>
          <t>A 63470-2019</t>
        </is>
      </c>
      <c r="B265" s="1" t="n">
        <v>43794</v>
      </c>
      <c r="C265" s="1" t="n">
        <v>45802</v>
      </c>
      <c r="D265" t="inlineStr">
        <is>
          <t>DALARNAS LÄN</t>
        </is>
      </c>
      <c r="E265" t="inlineStr">
        <is>
          <t>ÄLVDALEN</t>
        </is>
      </c>
      <c r="G265" t="n">
        <v>0.6</v>
      </c>
      <c r="H265" t="n">
        <v>0</v>
      </c>
      <c r="I265" t="n">
        <v>0</v>
      </c>
      <c r="J265" t="n">
        <v>0</v>
      </c>
      <c r="K265" t="n">
        <v>0</v>
      </c>
      <c r="L265" t="n">
        <v>0</v>
      </c>
      <c r="M265" t="n">
        <v>0</v>
      </c>
      <c r="N265" t="n">
        <v>0</v>
      </c>
      <c r="O265" t="n">
        <v>0</v>
      </c>
      <c r="P265" t="n">
        <v>0</v>
      </c>
      <c r="Q265" t="n">
        <v>0</v>
      </c>
      <c r="R265" s="2" t="inlineStr"/>
    </row>
    <row r="266" ht="15" customHeight="1">
      <c r="A266" t="inlineStr">
        <is>
          <t>A 63536-2019</t>
        </is>
      </c>
      <c r="B266" s="1" t="n">
        <v>43794</v>
      </c>
      <c r="C266" s="1" t="n">
        <v>45802</v>
      </c>
      <c r="D266" t="inlineStr">
        <is>
          <t>DALARNAS LÄN</t>
        </is>
      </c>
      <c r="E266" t="inlineStr">
        <is>
          <t>ÄLVDALEN</t>
        </is>
      </c>
      <c r="G266" t="n">
        <v>10.5</v>
      </c>
      <c r="H266" t="n">
        <v>0</v>
      </c>
      <c r="I266" t="n">
        <v>0</v>
      </c>
      <c r="J266" t="n">
        <v>0</v>
      </c>
      <c r="K266" t="n">
        <v>0</v>
      </c>
      <c r="L266" t="n">
        <v>0</v>
      </c>
      <c r="M266" t="n">
        <v>0</v>
      </c>
      <c r="N266" t="n">
        <v>0</v>
      </c>
      <c r="O266" t="n">
        <v>0</v>
      </c>
      <c r="P266" t="n">
        <v>0</v>
      </c>
      <c r="Q266" t="n">
        <v>0</v>
      </c>
      <c r="R266" s="2" t="inlineStr"/>
    </row>
    <row r="267" ht="15" customHeight="1">
      <c r="A267" t="inlineStr">
        <is>
          <t>A 63787-2019</t>
        </is>
      </c>
      <c r="B267" s="1" t="n">
        <v>43795</v>
      </c>
      <c r="C267" s="1" t="n">
        <v>45802</v>
      </c>
      <c r="D267" t="inlineStr">
        <is>
          <t>DALARNAS LÄN</t>
        </is>
      </c>
      <c r="E267" t="inlineStr">
        <is>
          <t>ÄLVDALEN</t>
        </is>
      </c>
      <c r="F267" t="inlineStr">
        <is>
          <t>Sveaskog</t>
        </is>
      </c>
      <c r="G267" t="n">
        <v>14.1</v>
      </c>
      <c r="H267" t="n">
        <v>0</v>
      </c>
      <c r="I267" t="n">
        <v>0</v>
      </c>
      <c r="J267" t="n">
        <v>0</v>
      </c>
      <c r="K267" t="n">
        <v>0</v>
      </c>
      <c r="L267" t="n">
        <v>0</v>
      </c>
      <c r="M267" t="n">
        <v>0</v>
      </c>
      <c r="N267" t="n">
        <v>0</v>
      </c>
      <c r="O267" t="n">
        <v>0</v>
      </c>
      <c r="P267" t="n">
        <v>0</v>
      </c>
      <c r="Q267" t="n">
        <v>0</v>
      </c>
      <c r="R267" s="2" t="inlineStr"/>
    </row>
    <row r="268" ht="15" customHeight="1">
      <c r="A268" t="inlineStr">
        <is>
          <t>A 65980-2019</t>
        </is>
      </c>
      <c r="B268" s="1" t="n">
        <v>43805</v>
      </c>
      <c r="C268" s="1" t="n">
        <v>45802</v>
      </c>
      <c r="D268" t="inlineStr">
        <is>
          <t>DALARNAS LÄN</t>
        </is>
      </c>
      <c r="E268" t="inlineStr">
        <is>
          <t>ÄLVDALEN</t>
        </is>
      </c>
      <c r="G268" t="n">
        <v>0.4</v>
      </c>
      <c r="H268" t="n">
        <v>0</v>
      </c>
      <c r="I268" t="n">
        <v>0</v>
      </c>
      <c r="J268" t="n">
        <v>0</v>
      </c>
      <c r="K268" t="n">
        <v>0</v>
      </c>
      <c r="L268" t="n">
        <v>0</v>
      </c>
      <c r="M268" t="n">
        <v>0</v>
      </c>
      <c r="N268" t="n">
        <v>0</v>
      </c>
      <c r="O268" t="n">
        <v>0</v>
      </c>
      <c r="P268" t="n">
        <v>0</v>
      </c>
      <c r="Q268" t="n">
        <v>0</v>
      </c>
      <c r="R268" s="2" t="inlineStr"/>
    </row>
    <row r="269" ht="15" customHeight="1">
      <c r="A269" t="inlineStr">
        <is>
          <t>A 68854-2019</t>
        </is>
      </c>
      <c r="B269" s="1" t="n">
        <v>43820</v>
      </c>
      <c r="C269" s="1" t="n">
        <v>45802</v>
      </c>
      <c r="D269" t="inlineStr">
        <is>
          <t>DALARNAS LÄN</t>
        </is>
      </c>
      <c r="E269" t="inlineStr">
        <is>
          <t>ÄLVDALEN</t>
        </is>
      </c>
      <c r="G269" t="n">
        <v>1.6</v>
      </c>
      <c r="H269" t="n">
        <v>0</v>
      </c>
      <c r="I269" t="n">
        <v>0</v>
      </c>
      <c r="J269" t="n">
        <v>0</v>
      </c>
      <c r="K269" t="n">
        <v>0</v>
      </c>
      <c r="L269" t="n">
        <v>0</v>
      </c>
      <c r="M269" t="n">
        <v>0</v>
      </c>
      <c r="N269" t="n">
        <v>0</v>
      </c>
      <c r="O269" t="n">
        <v>0</v>
      </c>
      <c r="P269" t="n">
        <v>0</v>
      </c>
      <c r="Q269" t="n">
        <v>0</v>
      </c>
      <c r="R269" s="2" t="inlineStr"/>
    </row>
    <row r="270" ht="15" customHeight="1">
      <c r="A270" t="inlineStr">
        <is>
          <t>A 68936-2019</t>
        </is>
      </c>
      <c r="B270" s="1" t="n">
        <v>43822</v>
      </c>
      <c r="C270" s="1" t="n">
        <v>45802</v>
      </c>
      <c r="D270" t="inlineStr">
        <is>
          <t>DALARNAS LÄN</t>
        </is>
      </c>
      <c r="E270" t="inlineStr">
        <is>
          <t>ÄLVDALEN</t>
        </is>
      </c>
      <c r="G270" t="n">
        <v>3.5</v>
      </c>
      <c r="H270" t="n">
        <v>0</v>
      </c>
      <c r="I270" t="n">
        <v>0</v>
      </c>
      <c r="J270" t="n">
        <v>0</v>
      </c>
      <c r="K270" t="n">
        <v>0</v>
      </c>
      <c r="L270" t="n">
        <v>0</v>
      </c>
      <c r="M270" t="n">
        <v>0</v>
      </c>
      <c r="N270" t="n">
        <v>0</v>
      </c>
      <c r="O270" t="n">
        <v>0</v>
      </c>
      <c r="P270" t="n">
        <v>0</v>
      </c>
      <c r="Q270" t="n">
        <v>0</v>
      </c>
      <c r="R270" s="2" t="inlineStr"/>
    </row>
    <row r="271" ht="15" customHeight="1">
      <c r="A271" t="inlineStr">
        <is>
          <t>A 2050-2020</t>
        </is>
      </c>
      <c r="B271" s="1" t="n">
        <v>43845</v>
      </c>
      <c r="C271" s="1" t="n">
        <v>45802</v>
      </c>
      <c r="D271" t="inlineStr">
        <is>
          <t>DALARNAS LÄN</t>
        </is>
      </c>
      <c r="E271" t="inlineStr">
        <is>
          <t>ÄLVDALEN</t>
        </is>
      </c>
      <c r="G271" t="n">
        <v>9.5</v>
      </c>
      <c r="H271" t="n">
        <v>0</v>
      </c>
      <c r="I271" t="n">
        <v>0</v>
      </c>
      <c r="J271" t="n">
        <v>0</v>
      </c>
      <c r="K271" t="n">
        <v>0</v>
      </c>
      <c r="L271" t="n">
        <v>0</v>
      </c>
      <c r="M271" t="n">
        <v>0</v>
      </c>
      <c r="N271" t="n">
        <v>0</v>
      </c>
      <c r="O271" t="n">
        <v>0</v>
      </c>
      <c r="P271" t="n">
        <v>0</v>
      </c>
      <c r="Q271" t="n">
        <v>0</v>
      </c>
      <c r="R271" s="2" t="inlineStr"/>
    </row>
    <row r="272" ht="15" customHeight="1">
      <c r="A272" t="inlineStr">
        <is>
          <t>A 3301-2020</t>
        </is>
      </c>
      <c r="B272" s="1" t="n">
        <v>43852</v>
      </c>
      <c r="C272" s="1" t="n">
        <v>45802</v>
      </c>
      <c r="D272" t="inlineStr">
        <is>
          <t>DALARNAS LÄN</t>
        </is>
      </c>
      <c r="E272" t="inlineStr">
        <is>
          <t>ÄLVDALEN</t>
        </is>
      </c>
      <c r="G272" t="n">
        <v>3.3</v>
      </c>
      <c r="H272" t="n">
        <v>0</v>
      </c>
      <c r="I272" t="n">
        <v>0</v>
      </c>
      <c r="J272" t="n">
        <v>0</v>
      </c>
      <c r="K272" t="n">
        <v>0</v>
      </c>
      <c r="L272" t="n">
        <v>0</v>
      </c>
      <c r="M272" t="n">
        <v>0</v>
      </c>
      <c r="N272" t="n">
        <v>0</v>
      </c>
      <c r="O272" t="n">
        <v>0</v>
      </c>
      <c r="P272" t="n">
        <v>0</v>
      </c>
      <c r="Q272" t="n">
        <v>0</v>
      </c>
      <c r="R272" s="2" t="inlineStr"/>
    </row>
    <row r="273" ht="15" customHeight="1">
      <c r="A273" t="inlineStr">
        <is>
          <t>A 3917-2020</t>
        </is>
      </c>
      <c r="B273" s="1" t="n">
        <v>43854</v>
      </c>
      <c r="C273" s="1" t="n">
        <v>45802</v>
      </c>
      <c r="D273" t="inlineStr">
        <is>
          <t>DALARNAS LÄN</t>
        </is>
      </c>
      <c r="E273" t="inlineStr">
        <is>
          <t>ÄLVDALEN</t>
        </is>
      </c>
      <c r="G273" t="n">
        <v>3.6</v>
      </c>
      <c r="H273" t="n">
        <v>0</v>
      </c>
      <c r="I273" t="n">
        <v>0</v>
      </c>
      <c r="J273" t="n">
        <v>0</v>
      </c>
      <c r="K273" t="n">
        <v>0</v>
      </c>
      <c r="L273" t="n">
        <v>0</v>
      </c>
      <c r="M273" t="n">
        <v>0</v>
      </c>
      <c r="N273" t="n">
        <v>0</v>
      </c>
      <c r="O273" t="n">
        <v>0</v>
      </c>
      <c r="P273" t="n">
        <v>0</v>
      </c>
      <c r="Q273" t="n">
        <v>0</v>
      </c>
      <c r="R273" s="2" t="inlineStr"/>
    </row>
    <row r="274" ht="15" customHeight="1">
      <c r="A274" t="inlineStr">
        <is>
          <t>A 6317-2020</t>
        </is>
      </c>
      <c r="B274" s="1" t="n">
        <v>43866</v>
      </c>
      <c r="C274" s="1" t="n">
        <v>45802</v>
      </c>
      <c r="D274" t="inlineStr">
        <is>
          <t>DALARNAS LÄN</t>
        </is>
      </c>
      <c r="E274" t="inlineStr">
        <is>
          <t>ÄLVDALEN</t>
        </is>
      </c>
      <c r="G274" t="n">
        <v>2.8</v>
      </c>
      <c r="H274" t="n">
        <v>0</v>
      </c>
      <c r="I274" t="n">
        <v>0</v>
      </c>
      <c r="J274" t="n">
        <v>0</v>
      </c>
      <c r="K274" t="n">
        <v>0</v>
      </c>
      <c r="L274" t="n">
        <v>0</v>
      </c>
      <c r="M274" t="n">
        <v>0</v>
      </c>
      <c r="N274" t="n">
        <v>0</v>
      </c>
      <c r="O274" t="n">
        <v>0</v>
      </c>
      <c r="P274" t="n">
        <v>0</v>
      </c>
      <c r="Q274" t="n">
        <v>0</v>
      </c>
      <c r="R274" s="2" t="inlineStr"/>
    </row>
    <row r="275" ht="15" customHeight="1">
      <c r="A275" t="inlineStr">
        <is>
          <t>A 6319-2020</t>
        </is>
      </c>
      <c r="B275" s="1" t="n">
        <v>43866</v>
      </c>
      <c r="C275" s="1" t="n">
        <v>45802</v>
      </c>
      <c r="D275" t="inlineStr">
        <is>
          <t>DALARNAS LÄN</t>
        </is>
      </c>
      <c r="E275" t="inlineStr">
        <is>
          <t>ÄLVDALEN</t>
        </is>
      </c>
      <c r="G275" t="n">
        <v>1.3</v>
      </c>
      <c r="H275" t="n">
        <v>0</v>
      </c>
      <c r="I275" t="n">
        <v>0</v>
      </c>
      <c r="J275" t="n">
        <v>0</v>
      </c>
      <c r="K275" t="n">
        <v>0</v>
      </c>
      <c r="L275" t="n">
        <v>0</v>
      </c>
      <c r="M275" t="n">
        <v>0</v>
      </c>
      <c r="N275" t="n">
        <v>0</v>
      </c>
      <c r="O275" t="n">
        <v>0</v>
      </c>
      <c r="P275" t="n">
        <v>0</v>
      </c>
      <c r="Q275" t="n">
        <v>0</v>
      </c>
      <c r="R275" s="2" t="inlineStr"/>
    </row>
    <row r="276" ht="15" customHeight="1">
      <c r="A276" t="inlineStr">
        <is>
          <t>A 8751-2020</t>
        </is>
      </c>
      <c r="B276" s="1" t="n">
        <v>43878</v>
      </c>
      <c r="C276" s="1" t="n">
        <v>45802</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8864-2020</t>
        </is>
      </c>
      <c r="B277" s="1" t="n">
        <v>43878</v>
      </c>
      <c r="C277" s="1" t="n">
        <v>45802</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10047-2020</t>
        </is>
      </c>
      <c r="B278" s="1" t="n">
        <v>43882</v>
      </c>
      <c r="C278" s="1" t="n">
        <v>45802</v>
      </c>
      <c r="D278" t="inlineStr">
        <is>
          <t>DALARNAS LÄN</t>
        </is>
      </c>
      <c r="E278" t="inlineStr">
        <is>
          <t>ÄLVDALEN</t>
        </is>
      </c>
      <c r="G278" t="n">
        <v>5.7</v>
      </c>
      <c r="H278" t="n">
        <v>0</v>
      </c>
      <c r="I278" t="n">
        <v>0</v>
      </c>
      <c r="J278" t="n">
        <v>0</v>
      </c>
      <c r="K278" t="n">
        <v>0</v>
      </c>
      <c r="L278" t="n">
        <v>0</v>
      </c>
      <c r="M278" t="n">
        <v>0</v>
      </c>
      <c r="N278" t="n">
        <v>0</v>
      </c>
      <c r="O278" t="n">
        <v>0</v>
      </c>
      <c r="P278" t="n">
        <v>0</v>
      </c>
      <c r="Q278" t="n">
        <v>0</v>
      </c>
      <c r="R278" s="2" t="inlineStr"/>
    </row>
    <row r="279" ht="15" customHeight="1">
      <c r="A279" t="inlineStr">
        <is>
          <t>A 12540-2020</t>
        </is>
      </c>
      <c r="B279" s="1" t="n">
        <v>43897</v>
      </c>
      <c r="C279" s="1" t="n">
        <v>45802</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15596-2020</t>
        </is>
      </c>
      <c r="B280" s="1" t="n">
        <v>43914</v>
      </c>
      <c r="C280" s="1" t="n">
        <v>45802</v>
      </c>
      <c r="D280" t="inlineStr">
        <is>
          <t>DALARNAS LÄN</t>
        </is>
      </c>
      <c r="E280" t="inlineStr">
        <is>
          <t>ÄLVDALEN</t>
        </is>
      </c>
      <c r="F280" t="inlineStr">
        <is>
          <t>Allmännings- och besparingsskogar</t>
        </is>
      </c>
      <c r="G280" t="n">
        <v>19.5</v>
      </c>
      <c r="H280" t="n">
        <v>0</v>
      </c>
      <c r="I280" t="n">
        <v>0</v>
      </c>
      <c r="J280" t="n">
        <v>0</v>
      </c>
      <c r="K280" t="n">
        <v>0</v>
      </c>
      <c r="L280" t="n">
        <v>0</v>
      </c>
      <c r="M280" t="n">
        <v>0</v>
      </c>
      <c r="N280" t="n">
        <v>0</v>
      </c>
      <c r="O280" t="n">
        <v>0</v>
      </c>
      <c r="P280" t="n">
        <v>0</v>
      </c>
      <c r="Q280" t="n">
        <v>0</v>
      </c>
      <c r="R280" s="2" t="inlineStr"/>
    </row>
    <row r="281" ht="15" customHeight="1">
      <c r="A281" t="inlineStr">
        <is>
          <t>A 16308-2020</t>
        </is>
      </c>
      <c r="B281" s="1" t="n">
        <v>43917</v>
      </c>
      <c r="C281" s="1" t="n">
        <v>45802</v>
      </c>
      <c r="D281" t="inlineStr">
        <is>
          <t>DALARNAS LÄN</t>
        </is>
      </c>
      <c r="E281" t="inlineStr">
        <is>
          <t>ÄLVDALEN</t>
        </is>
      </c>
      <c r="F281" t="inlineStr">
        <is>
          <t>Allmännings- och besparingsskogar</t>
        </is>
      </c>
      <c r="G281" t="n">
        <v>29.7</v>
      </c>
      <c r="H281" t="n">
        <v>0</v>
      </c>
      <c r="I281" t="n">
        <v>0</v>
      </c>
      <c r="J281" t="n">
        <v>0</v>
      </c>
      <c r="K281" t="n">
        <v>0</v>
      </c>
      <c r="L281" t="n">
        <v>0</v>
      </c>
      <c r="M281" t="n">
        <v>0</v>
      </c>
      <c r="N281" t="n">
        <v>0</v>
      </c>
      <c r="O281" t="n">
        <v>0</v>
      </c>
      <c r="P281" t="n">
        <v>0</v>
      </c>
      <c r="Q281" t="n">
        <v>0</v>
      </c>
      <c r="R281" s="2" t="inlineStr"/>
    </row>
    <row r="282" ht="15" customHeight="1">
      <c r="A282" t="inlineStr">
        <is>
          <t>A 16911-2020</t>
        </is>
      </c>
      <c r="B282" s="1" t="n">
        <v>43921</v>
      </c>
      <c r="C282" s="1" t="n">
        <v>45802</v>
      </c>
      <c r="D282" t="inlineStr">
        <is>
          <t>DALARNAS LÄN</t>
        </is>
      </c>
      <c r="E282" t="inlineStr">
        <is>
          <t>ÄLVDALEN</t>
        </is>
      </c>
      <c r="G282" t="n">
        <v>0.8</v>
      </c>
      <c r="H282" t="n">
        <v>0</v>
      </c>
      <c r="I282" t="n">
        <v>0</v>
      </c>
      <c r="J282" t="n">
        <v>0</v>
      </c>
      <c r="K282" t="n">
        <v>0</v>
      </c>
      <c r="L282" t="n">
        <v>0</v>
      </c>
      <c r="M282" t="n">
        <v>0</v>
      </c>
      <c r="N282" t="n">
        <v>0</v>
      </c>
      <c r="O282" t="n">
        <v>0</v>
      </c>
      <c r="P282" t="n">
        <v>0</v>
      </c>
      <c r="Q282" t="n">
        <v>0</v>
      </c>
      <c r="R282" s="2" t="inlineStr"/>
    </row>
    <row r="283" ht="15" customHeight="1">
      <c r="A283" t="inlineStr">
        <is>
          <t>A 17096-2020</t>
        </is>
      </c>
      <c r="B283" s="1" t="n">
        <v>43922</v>
      </c>
      <c r="C283" s="1" t="n">
        <v>45802</v>
      </c>
      <c r="D283" t="inlineStr">
        <is>
          <t>DALARNAS LÄN</t>
        </is>
      </c>
      <c r="E283" t="inlineStr">
        <is>
          <t>ÄLVDALEN</t>
        </is>
      </c>
      <c r="F283" t="inlineStr">
        <is>
          <t>Allmännings- och besparingsskogar</t>
        </is>
      </c>
      <c r="G283" t="n">
        <v>66.7</v>
      </c>
      <c r="H283" t="n">
        <v>0</v>
      </c>
      <c r="I283" t="n">
        <v>0</v>
      </c>
      <c r="J283" t="n">
        <v>0</v>
      </c>
      <c r="K283" t="n">
        <v>0</v>
      </c>
      <c r="L283" t="n">
        <v>0</v>
      </c>
      <c r="M283" t="n">
        <v>0</v>
      </c>
      <c r="N283" t="n">
        <v>0</v>
      </c>
      <c r="O283" t="n">
        <v>0</v>
      </c>
      <c r="P283" t="n">
        <v>0</v>
      </c>
      <c r="Q283" t="n">
        <v>0</v>
      </c>
      <c r="R283" s="2" t="inlineStr"/>
    </row>
    <row r="284" ht="15" customHeight="1">
      <c r="A284" t="inlineStr">
        <is>
          <t>A 17109-2020</t>
        </is>
      </c>
      <c r="B284" s="1" t="n">
        <v>43922</v>
      </c>
      <c r="C284" s="1" t="n">
        <v>45802</v>
      </c>
      <c r="D284" t="inlineStr">
        <is>
          <t>DALARNAS LÄN</t>
        </is>
      </c>
      <c r="E284" t="inlineStr">
        <is>
          <t>ÄLVDALEN</t>
        </is>
      </c>
      <c r="F284" t="inlineStr">
        <is>
          <t>Allmännings- och besparingsskogar</t>
        </is>
      </c>
      <c r="G284" t="n">
        <v>22.3</v>
      </c>
      <c r="H284" t="n">
        <v>0</v>
      </c>
      <c r="I284" t="n">
        <v>0</v>
      </c>
      <c r="J284" t="n">
        <v>0</v>
      </c>
      <c r="K284" t="n">
        <v>0</v>
      </c>
      <c r="L284" t="n">
        <v>0</v>
      </c>
      <c r="M284" t="n">
        <v>0</v>
      </c>
      <c r="N284" t="n">
        <v>0</v>
      </c>
      <c r="O284" t="n">
        <v>0</v>
      </c>
      <c r="P284" t="n">
        <v>0</v>
      </c>
      <c r="Q284" t="n">
        <v>0</v>
      </c>
      <c r="R284" s="2" t="inlineStr"/>
    </row>
    <row r="285" ht="15" customHeight="1">
      <c r="A285" t="inlineStr">
        <is>
          <t>A 17099-2020</t>
        </is>
      </c>
      <c r="B285" s="1" t="n">
        <v>43922</v>
      </c>
      <c r="C285" s="1" t="n">
        <v>45802</v>
      </c>
      <c r="D285" t="inlineStr">
        <is>
          <t>DALARNAS LÄN</t>
        </is>
      </c>
      <c r="E285" t="inlineStr">
        <is>
          <t>ÄLVDALEN</t>
        </is>
      </c>
      <c r="F285" t="inlineStr">
        <is>
          <t>Allmännings- och besparingsskogar</t>
        </is>
      </c>
      <c r="G285" t="n">
        <v>3.5</v>
      </c>
      <c r="H285" t="n">
        <v>0</v>
      </c>
      <c r="I285" t="n">
        <v>0</v>
      </c>
      <c r="J285" t="n">
        <v>0</v>
      </c>
      <c r="K285" t="n">
        <v>0</v>
      </c>
      <c r="L285" t="n">
        <v>0</v>
      </c>
      <c r="M285" t="n">
        <v>0</v>
      </c>
      <c r="N285" t="n">
        <v>0</v>
      </c>
      <c r="O285" t="n">
        <v>0</v>
      </c>
      <c r="P285" t="n">
        <v>0</v>
      </c>
      <c r="Q285" t="n">
        <v>0</v>
      </c>
      <c r="R285" s="2" t="inlineStr"/>
    </row>
    <row r="286" ht="15" customHeight="1">
      <c r="A286" t="inlineStr">
        <is>
          <t>A 17103-2020</t>
        </is>
      </c>
      <c r="B286" s="1" t="n">
        <v>43922</v>
      </c>
      <c r="C286" s="1" t="n">
        <v>45802</v>
      </c>
      <c r="D286" t="inlineStr">
        <is>
          <t>DALARNAS LÄN</t>
        </is>
      </c>
      <c r="E286" t="inlineStr">
        <is>
          <t>ÄLVDALEN</t>
        </is>
      </c>
      <c r="F286" t="inlineStr">
        <is>
          <t>Allmännings- och besparingsskogar</t>
        </is>
      </c>
      <c r="G286" t="n">
        <v>54.1</v>
      </c>
      <c r="H286" t="n">
        <v>0</v>
      </c>
      <c r="I286" t="n">
        <v>0</v>
      </c>
      <c r="J286" t="n">
        <v>0</v>
      </c>
      <c r="K286" t="n">
        <v>0</v>
      </c>
      <c r="L286" t="n">
        <v>0</v>
      </c>
      <c r="M286" t="n">
        <v>0</v>
      </c>
      <c r="N286" t="n">
        <v>0</v>
      </c>
      <c r="O286" t="n">
        <v>0</v>
      </c>
      <c r="P286" t="n">
        <v>0</v>
      </c>
      <c r="Q286" t="n">
        <v>0</v>
      </c>
      <c r="R286" s="2" t="inlineStr"/>
    </row>
    <row r="287" ht="15" customHeight="1">
      <c r="A287" t="inlineStr">
        <is>
          <t>A 17430-2020</t>
        </is>
      </c>
      <c r="B287" s="1" t="n">
        <v>43923</v>
      </c>
      <c r="C287" s="1" t="n">
        <v>45802</v>
      </c>
      <c r="D287" t="inlineStr">
        <is>
          <t>DALARNAS LÄN</t>
        </is>
      </c>
      <c r="E287" t="inlineStr">
        <is>
          <t>ÄLVDALEN</t>
        </is>
      </c>
      <c r="G287" t="n">
        <v>1.8</v>
      </c>
      <c r="H287" t="n">
        <v>0</v>
      </c>
      <c r="I287" t="n">
        <v>0</v>
      </c>
      <c r="J287" t="n">
        <v>0</v>
      </c>
      <c r="K287" t="n">
        <v>0</v>
      </c>
      <c r="L287" t="n">
        <v>0</v>
      </c>
      <c r="M287" t="n">
        <v>0</v>
      </c>
      <c r="N287" t="n">
        <v>0</v>
      </c>
      <c r="O287" t="n">
        <v>0</v>
      </c>
      <c r="P287" t="n">
        <v>0</v>
      </c>
      <c r="Q287" t="n">
        <v>0</v>
      </c>
      <c r="R287" s="2" t="inlineStr"/>
    </row>
    <row r="288" ht="15" customHeight="1">
      <c r="A288" t="inlineStr">
        <is>
          <t>A 18378-2020</t>
        </is>
      </c>
      <c r="B288" s="1" t="n">
        <v>43928</v>
      </c>
      <c r="C288" s="1" t="n">
        <v>45802</v>
      </c>
      <c r="D288" t="inlineStr">
        <is>
          <t>DALARNAS LÄN</t>
        </is>
      </c>
      <c r="E288" t="inlineStr">
        <is>
          <t>ÄLVDALEN</t>
        </is>
      </c>
      <c r="F288" t="inlineStr">
        <is>
          <t>Allmännings- och besparingsskogar</t>
        </is>
      </c>
      <c r="G288" t="n">
        <v>48.4</v>
      </c>
      <c r="H288" t="n">
        <v>0</v>
      </c>
      <c r="I288" t="n">
        <v>0</v>
      </c>
      <c r="J288" t="n">
        <v>0</v>
      </c>
      <c r="K288" t="n">
        <v>0</v>
      </c>
      <c r="L288" t="n">
        <v>0</v>
      </c>
      <c r="M288" t="n">
        <v>0</v>
      </c>
      <c r="N288" t="n">
        <v>0</v>
      </c>
      <c r="O288" t="n">
        <v>0</v>
      </c>
      <c r="P288" t="n">
        <v>0</v>
      </c>
      <c r="Q288" t="n">
        <v>0</v>
      </c>
      <c r="R288" s="2" t="inlineStr"/>
    </row>
    <row r="289" ht="15" customHeight="1">
      <c r="A289" t="inlineStr">
        <is>
          <t>A 23179-2020</t>
        </is>
      </c>
      <c r="B289" s="1" t="n">
        <v>43937</v>
      </c>
      <c r="C289" s="1" t="n">
        <v>45802</v>
      </c>
      <c r="D289" t="inlineStr">
        <is>
          <t>DALARNAS LÄN</t>
        </is>
      </c>
      <c r="E289" t="inlineStr">
        <is>
          <t>ÄLVDALEN</t>
        </is>
      </c>
      <c r="F289" t="inlineStr">
        <is>
          <t>Sveaskog</t>
        </is>
      </c>
      <c r="G289" t="n">
        <v>75.09999999999999</v>
      </c>
      <c r="H289" t="n">
        <v>0</v>
      </c>
      <c r="I289" t="n">
        <v>0</v>
      </c>
      <c r="J289" t="n">
        <v>0</v>
      </c>
      <c r="K289" t="n">
        <v>0</v>
      </c>
      <c r="L289" t="n">
        <v>0</v>
      </c>
      <c r="M289" t="n">
        <v>0</v>
      </c>
      <c r="N289" t="n">
        <v>0</v>
      </c>
      <c r="O289" t="n">
        <v>0</v>
      </c>
      <c r="P289" t="n">
        <v>0</v>
      </c>
      <c r="Q289" t="n">
        <v>0</v>
      </c>
      <c r="R289" s="2" t="inlineStr"/>
    </row>
    <row r="290" ht="15" customHeight="1">
      <c r="A290" t="inlineStr">
        <is>
          <t>A 20189-2020</t>
        </is>
      </c>
      <c r="B290" s="1" t="n">
        <v>43944</v>
      </c>
      <c r="C290" s="1" t="n">
        <v>45802</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20290-2020</t>
        </is>
      </c>
      <c r="B291" s="1" t="n">
        <v>43944</v>
      </c>
      <c r="C291" s="1" t="n">
        <v>45802</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21120-2020</t>
        </is>
      </c>
      <c r="B292" s="1" t="n">
        <v>43951</v>
      </c>
      <c r="C292" s="1" t="n">
        <v>45802</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21128-2020</t>
        </is>
      </c>
      <c r="B293" s="1" t="n">
        <v>43951</v>
      </c>
      <c r="C293" s="1" t="n">
        <v>45802</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21367-2020</t>
        </is>
      </c>
      <c r="B294" s="1" t="n">
        <v>43955</v>
      </c>
      <c r="C294" s="1" t="n">
        <v>45802</v>
      </c>
      <c r="D294" t="inlineStr">
        <is>
          <t>DALARNAS LÄN</t>
        </is>
      </c>
      <c r="E294" t="inlineStr">
        <is>
          <t>ÄLVDALEN</t>
        </is>
      </c>
      <c r="G294" t="n">
        <v>4</v>
      </c>
      <c r="H294" t="n">
        <v>0</v>
      </c>
      <c r="I294" t="n">
        <v>0</v>
      </c>
      <c r="J294" t="n">
        <v>0</v>
      </c>
      <c r="K294" t="n">
        <v>0</v>
      </c>
      <c r="L294" t="n">
        <v>0</v>
      </c>
      <c r="M294" t="n">
        <v>0</v>
      </c>
      <c r="N294" t="n">
        <v>0</v>
      </c>
      <c r="O294" t="n">
        <v>0</v>
      </c>
      <c r="P294" t="n">
        <v>0</v>
      </c>
      <c r="Q294" t="n">
        <v>0</v>
      </c>
      <c r="R294" s="2" t="inlineStr"/>
    </row>
    <row r="295" ht="15" customHeight="1">
      <c r="A295" t="inlineStr">
        <is>
          <t>A 21927-2020</t>
        </is>
      </c>
      <c r="B295" s="1" t="n">
        <v>43955</v>
      </c>
      <c r="C295" s="1" t="n">
        <v>45802</v>
      </c>
      <c r="D295" t="inlineStr">
        <is>
          <t>DALARNAS LÄN</t>
        </is>
      </c>
      <c r="E295" t="inlineStr">
        <is>
          <t>ÄLVDALEN</t>
        </is>
      </c>
      <c r="G295" t="n">
        <v>3.3</v>
      </c>
      <c r="H295" t="n">
        <v>0</v>
      </c>
      <c r="I295" t="n">
        <v>0</v>
      </c>
      <c r="J295" t="n">
        <v>0</v>
      </c>
      <c r="K295" t="n">
        <v>0</v>
      </c>
      <c r="L295" t="n">
        <v>0</v>
      </c>
      <c r="M295" t="n">
        <v>0</v>
      </c>
      <c r="N295" t="n">
        <v>0</v>
      </c>
      <c r="O295" t="n">
        <v>0</v>
      </c>
      <c r="P295" t="n">
        <v>0</v>
      </c>
      <c r="Q295" t="n">
        <v>0</v>
      </c>
      <c r="R295" s="2" t="inlineStr"/>
    </row>
    <row r="296" ht="15" customHeight="1">
      <c r="A296" t="inlineStr">
        <is>
          <t>A 23448-2020</t>
        </is>
      </c>
      <c r="B296" s="1" t="n">
        <v>43969</v>
      </c>
      <c r="C296" s="1" t="n">
        <v>45802</v>
      </c>
      <c r="D296" t="inlineStr">
        <is>
          <t>DALARNAS LÄN</t>
        </is>
      </c>
      <c r="E296" t="inlineStr">
        <is>
          <t>ÄLVDALEN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25966-2020</t>
        </is>
      </c>
      <c r="B297" s="1" t="n">
        <v>43985</v>
      </c>
      <c r="C297" s="1" t="n">
        <v>45802</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26792-2020</t>
        </is>
      </c>
      <c r="B298" s="1" t="n">
        <v>43990</v>
      </c>
      <c r="C298" s="1" t="n">
        <v>45802</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26808-2020</t>
        </is>
      </c>
      <c r="B299" s="1" t="n">
        <v>43990</v>
      </c>
      <c r="C299" s="1" t="n">
        <v>45802</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26788-2020</t>
        </is>
      </c>
      <c r="B300" s="1" t="n">
        <v>43990</v>
      </c>
      <c r="C300" s="1" t="n">
        <v>45802</v>
      </c>
      <c r="D300" t="inlineStr">
        <is>
          <t>DALARNAS LÄN</t>
        </is>
      </c>
      <c r="E300" t="inlineStr">
        <is>
          <t>ÄLVDALEN</t>
        </is>
      </c>
      <c r="G300" t="n">
        <v>0.2</v>
      </c>
      <c r="H300" t="n">
        <v>0</v>
      </c>
      <c r="I300" t="n">
        <v>0</v>
      </c>
      <c r="J300" t="n">
        <v>0</v>
      </c>
      <c r="K300" t="n">
        <v>0</v>
      </c>
      <c r="L300" t="n">
        <v>0</v>
      </c>
      <c r="M300" t="n">
        <v>0</v>
      </c>
      <c r="N300" t="n">
        <v>0</v>
      </c>
      <c r="O300" t="n">
        <v>0</v>
      </c>
      <c r="P300" t="n">
        <v>0</v>
      </c>
      <c r="Q300" t="n">
        <v>0</v>
      </c>
      <c r="R300" s="2" t="inlineStr"/>
    </row>
    <row r="301" ht="15" customHeight="1">
      <c r="A301" t="inlineStr">
        <is>
          <t>A 26801-2020</t>
        </is>
      </c>
      <c r="B301" s="1" t="n">
        <v>43990</v>
      </c>
      <c r="C301" s="1" t="n">
        <v>45802</v>
      </c>
      <c r="D301" t="inlineStr">
        <is>
          <t>DALARNAS LÄN</t>
        </is>
      </c>
      <c r="E301" t="inlineStr">
        <is>
          <t>ÄLVDALEN</t>
        </is>
      </c>
      <c r="G301" t="n">
        <v>0.5</v>
      </c>
      <c r="H301" t="n">
        <v>0</v>
      </c>
      <c r="I301" t="n">
        <v>0</v>
      </c>
      <c r="J301" t="n">
        <v>0</v>
      </c>
      <c r="K301" t="n">
        <v>0</v>
      </c>
      <c r="L301" t="n">
        <v>0</v>
      </c>
      <c r="M301" t="n">
        <v>0</v>
      </c>
      <c r="N301" t="n">
        <v>0</v>
      </c>
      <c r="O301" t="n">
        <v>0</v>
      </c>
      <c r="P301" t="n">
        <v>0</v>
      </c>
      <c r="Q301" t="n">
        <v>0</v>
      </c>
      <c r="R301" s="2" t="inlineStr"/>
    </row>
    <row r="302" ht="15" customHeight="1">
      <c r="A302" t="inlineStr">
        <is>
          <t>A 27040-2020</t>
        </is>
      </c>
      <c r="B302" s="1" t="n">
        <v>43991</v>
      </c>
      <c r="C302" s="1" t="n">
        <v>45802</v>
      </c>
      <c r="D302" t="inlineStr">
        <is>
          <t>DALARNAS LÄN</t>
        </is>
      </c>
      <c r="E302" t="inlineStr">
        <is>
          <t>ÄLVDALEN</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27038-2020</t>
        </is>
      </c>
      <c r="B303" s="1" t="n">
        <v>43991</v>
      </c>
      <c r="C303" s="1" t="n">
        <v>45802</v>
      </c>
      <c r="D303" t="inlineStr">
        <is>
          <t>DALARNAS LÄN</t>
        </is>
      </c>
      <c r="E303" t="inlineStr">
        <is>
          <t>ÄLVDALEN</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27041-2020</t>
        </is>
      </c>
      <c r="B304" s="1" t="n">
        <v>43991</v>
      </c>
      <c r="C304" s="1" t="n">
        <v>45802</v>
      </c>
      <c r="D304" t="inlineStr">
        <is>
          <t>DALARNAS LÄN</t>
        </is>
      </c>
      <c r="E304" t="inlineStr">
        <is>
          <t>ÄLVDALEN</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29545-2020</t>
        </is>
      </c>
      <c r="B305" s="1" t="n">
        <v>44005</v>
      </c>
      <c r="C305" s="1" t="n">
        <v>45802</v>
      </c>
      <c r="D305" t="inlineStr">
        <is>
          <t>DALARNAS LÄN</t>
        </is>
      </c>
      <c r="E305" t="inlineStr">
        <is>
          <t>ÄLVDALEN</t>
        </is>
      </c>
      <c r="F305" t="inlineStr">
        <is>
          <t>Bergvik skog väst AB</t>
        </is>
      </c>
      <c r="G305" t="n">
        <v>7.2</v>
      </c>
      <c r="H305" t="n">
        <v>0</v>
      </c>
      <c r="I305" t="n">
        <v>0</v>
      </c>
      <c r="J305" t="n">
        <v>0</v>
      </c>
      <c r="K305" t="n">
        <v>0</v>
      </c>
      <c r="L305" t="n">
        <v>0</v>
      </c>
      <c r="M305" t="n">
        <v>0</v>
      </c>
      <c r="N305" t="n">
        <v>0</v>
      </c>
      <c r="O305" t="n">
        <v>0</v>
      </c>
      <c r="P305" t="n">
        <v>0</v>
      </c>
      <c r="Q305" t="n">
        <v>0</v>
      </c>
      <c r="R305" s="2" t="inlineStr"/>
    </row>
    <row r="306" ht="15" customHeight="1">
      <c r="A306" t="inlineStr">
        <is>
          <t>A 29703-2020</t>
        </is>
      </c>
      <c r="B306" s="1" t="n">
        <v>44005</v>
      </c>
      <c r="C306" s="1" t="n">
        <v>45802</v>
      </c>
      <c r="D306" t="inlineStr">
        <is>
          <t>DALARNAS LÄN</t>
        </is>
      </c>
      <c r="E306" t="inlineStr">
        <is>
          <t>ÄLVDALEN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32286-2020</t>
        </is>
      </c>
      <c r="B307" s="1" t="n">
        <v>44015</v>
      </c>
      <c r="C307" s="1" t="n">
        <v>45802</v>
      </c>
      <c r="D307" t="inlineStr">
        <is>
          <t>DALARNAS LÄN</t>
        </is>
      </c>
      <c r="E307" t="inlineStr">
        <is>
          <t>ÄLVDALEN</t>
        </is>
      </c>
      <c r="F307" t="inlineStr">
        <is>
          <t>Sveaskog</t>
        </is>
      </c>
      <c r="G307" t="n">
        <v>10.5</v>
      </c>
      <c r="H307" t="n">
        <v>0</v>
      </c>
      <c r="I307" t="n">
        <v>0</v>
      </c>
      <c r="J307" t="n">
        <v>0</v>
      </c>
      <c r="K307" t="n">
        <v>0</v>
      </c>
      <c r="L307" t="n">
        <v>0</v>
      </c>
      <c r="M307" t="n">
        <v>0</v>
      </c>
      <c r="N307" t="n">
        <v>0</v>
      </c>
      <c r="O307" t="n">
        <v>0</v>
      </c>
      <c r="P307" t="n">
        <v>0</v>
      </c>
      <c r="Q307" t="n">
        <v>0</v>
      </c>
      <c r="R307" s="2" t="inlineStr"/>
    </row>
    <row r="308" ht="15" customHeight="1">
      <c r="A308" t="inlineStr">
        <is>
          <t>A 32282-2020</t>
        </is>
      </c>
      <c r="B308" s="1" t="n">
        <v>44015</v>
      </c>
      <c r="C308" s="1" t="n">
        <v>45802</v>
      </c>
      <c r="D308" t="inlineStr">
        <is>
          <t>DALARNAS LÄN</t>
        </is>
      </c>
      <c r="E308" t="inlineStr">
        <is>
          <t>ÄLVDALEN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32285-2020</t>
        </is>
      </c>
      <c r="B309" s="1" t="n">
        <v>44015</v>
      </c>
      <c r="C309" s="1" t="n">
        <v>45802</v>
      </c>
      <c r="D309" t="inlineStr">
        <is>
          <t>DALARNAS LÄN</t>
        </is>
      </c>
      <c r="E309" t="inlineStr">
        <is>
          <t>ÄLVDALEN</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33816-2020</t>
        </is>
      </c>
      <c r="B310" s="1" t="n">
        <v>44027</v>
      </c>
      <c r="C310" s="1" t="n">
        <v>45802</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35833-2020</t>
        </is>
      </c>
      <c r="B311" s="1" t="n">
        <v>44047</v>
      </c>
      <c r="C311" s="1" t="n">
        <v>45802</v>
      </c>
      <c r="D311" t="inlineStr">
        <is>
          <t>DALARNAS LÄN</t>
        </is>
      </c>
      <c r="E311" t="inlineStr">
        <is>
          <t>ÄLVDALEN</t>
        </is>
      </c>
      <c r="G311" t="n">
        <v>5.8</v>
      </c>
      <c r="H311" t="n">
        <v>0</v>
      </c>
      <c r="I311" t="n">
        <v>0</v>
      </c>
      <c r="J311" t="n">
        <v>0</v>
      </c>
      <c r="K311" t="n">
        <v>0</v>
      </c>
      <c r="L311" t="n">
        <v>0</v>
      </c>
      <c r="M311" t="n">
        <v>0</v>
      </c>
      <c r="N311" t="n">
        <v>0</v>
      </c>
      <c r="O311" t="n">
        <v>0</v>
      </c>
      <c r="P311" t="n">
        <v>0</v>
      </c>
      <c r="Q311" t="n">
        <v>0</v>
      </c>
      <c r="R311" s="2" t="inlineStr"/>
    </row>
    <row r="312" ht="15" customHeight="1">
      <c r="A312" t="inlineStr">
        <is>
          <t>A 36741-2020</t>
        </is>
      </c>
      <c r="B312" s="1" t="n">
        <v>44053</v>
      </c>
      <c r="C312" s="1" t="n">
        <v>45802</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37580-2020</t>
        </is>
      </c>
      <c r="B313" s="1" t="n">
        <v>44056</v>
      </c>
      <c r="C313" s="1" t="n">
        <v>45802</v>
      </c>
      <c r="D313" t="inlineStr">
        <is>
          <t>DALARNAS LÄN</t>
        </is>
      </c>
      <c r="E313" t="inlineStr">
        <is>
          <t>ÄLVDALEN</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39203-2020</t>
        </is>
      </c>
      <c r="B314" s="1" t="n">
        <v>44063</v>
      </c>
      <c r="C314" s="1" t="n">
        <v>45802</v>
      </c>
      <c r="D314" t="inlineStr">
        <is>
          <t>DALARNAS LÄN</t>
        </is>
      </c>
      <c r="E314" t="inlineStr">
        <is>
          <t>ÄLVDALEN</t>
        </is>
      </c>
      <c r="G314" t="n">
        <v>1.4</v>
      </c>
      <c r="H314" t="n">
        <v>0</v>
      </c>
      <c r="I314" t="n">
        <v>0</v>
      </c>
      <c r="J314" t="n">
        <v>0</v>
      </c>
      <c r="K314" t="n">
        <v>0</v>
      </c>
      <c r="L314" t="n">
        <v>0</v>
      </c>
      <c r="M314" t="n">
        <v>0</v>
      </c>
      <c r="N314" t="n">
        <v>0</v>
      </c>
      <c r="O314" t="n">
        <v>0</v>
      </c>
      <c r="P314" t="n">
        <v>0</v>
      </c>
      <c r="Q314" t="n">
        <v>0</v>
      </c>
      <c r="R314" s="2" t="inlineStr"/>
    </row>
    <row r="315" ht="15" customHeight="1">
      <c r="A315" t="inlineStr">
        <is>
          <t>A 41831-2020</t>
        </is>
      </c>
      <c r="B315" s="1" t="n">
        <v>44074</v>
      </c>
      <c r="C315" s="1" t="n">
        <v>45802</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41814-2020</t>
        </is>
      </c>
      <c r="B316" s="1" t="n">
        <v>44074</v>
      </c>
      <c r="C316" s="1" t="n">
        <v>45802</v>
      </c>
      <c r="D316" t="inlineStr">
        <is>
          <t>DALARNAS LÄN</t>
        </is>
      </c>
      <c r="E316" t="inlineStr">
        <is>
          <t>ÄLVDALEN</t>
        </is>
      </c>
      <c r="G316" t="n">
        <v>0.3</v>
      </c>
      <c r="H316" t="n">
        <v>0</v>
      </c>
      <c r="I316" t="n">
        <v>0</v>
      </c>
      <c r="J316" t="n">
        <v>0</v>
      </c>
      <c r="K316" t="n">
        <v>0</v>
      </c>
      <c r="L316" t="n">
        <v>0</v>
      </c>
      <c r="M316" t="n">
        <v>0</v>
      </c>
      <c r="N316" t="n">
        <v>0</v>
      </c>
      <c r="O316" t="n">
        <v>0</v>
      </c>
      <c r="P316" t="n">
        <v>0</v>
      </c>
      <c r="Q316" t="n">
        <v>0</v>
      </c>
      <c r="R316" s="2" t="inlineStr"/>
    </row>
    <row r="317" ht="15" customHeight="1">
      <c r="A317" t="inlineStr">
        <is>
          <t>A 42861-2020</t>
        </is>
      </c>
      <c r="B317" s="1" t="n">
        <v>44078</v>
      </c>
      <c r="C317" s="1" t="n">
        <v>45802</v>
      </c>
      <c r="D317" t="inlineStr">
        <is>
          <t>DALARNAS LÄN</t>
        </is>
      </c>
      <c r="E317" t="inlineStr">
        <is>
          <t>ÄLVDALEN</t>
        </is>
      </c>
      <c r="G317" t="n">
        <v>0.7</v>
      </c>
      <c r="H317" t="n">
        <v>0</v>
      </c>
      <c r="I317" t="n">
        <v>0</v>
      </c>
      <c r="J317" t="n">
        <v>0</v>
      </c>
      <c r="K317" t="n">
        <v>0</v>
      </c>
      <c r="L317" t="n">
        <v>0</v>
      </c>
      <c r="M317" t="n">
        <v>0</v>
      </c>
      <c r="N317" t="n">
        <v>0</v>
      </c>
      <c r="O317" t="n">
        <v>0</v>
      </c>
      <c r="P317" t="n">
        <v>0</v>
      </c>
      <c r="Q317" t="n">
        <v>0</v>
      </c>
      <c r="R317" s="2" t="inlineStr"/>
    </row>
    <row r="318" ht="15" customHeight="1">
      <c r="A318" t="inlineStr">
        <is>
          <t>A 46881-2020</t>
        </is>
      </c>
      <c r="B318" s="1" t="n">
        <v>44096</v>
      </c>
      <c r="C318" s="1" t="n">
        <v>45802</v>
      </c>
      <c r="D318" t="inlineStr">
        <is>
          <t>DALARNAS LÄN</t>
        </is>
      </c>
      <c r="E318" t="inlineStr">
        <is>
          <t>ÄLVDALEN</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46893-2020</t>
        </is>
      </c>
      <c r="B319" s="1" t="n">
        <v>44096</v>
      </c>
      <c r="C319" s="1" t="n">
        <v>45802</v>
      </c>
      <c r="D319" t="inlineStr">
        <is>
          <t>DALARNAS LÄN</t>
        </is>
      </c>
      <c r="E319" t="inlineStr">
        <is>
          <t>ÄLVDALEN</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49737-2020</t>
        </is>
      </c>
      <c r="B320" s="1" t="n">
        <v>44106</v>
      </c>
      <c r="C320" s="1" t="n">
        <v>45802</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49587-2020</t>
        </is>
      </c>
      <c r="B321" s="1" t="n">
        <v>44106</v>
      </c>
      <c r="C321" s="1" t="n">
        <v>45802</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49734-2020</t>
        </is>
      </c>
      <c r="B322" s="1" t="n">
        <v>44106</v>
      </c>
      <c r="C322" s="1" t="n">
        <v>45802</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49956-2020</t>
        </is>
      </c>
      <c r="B323" s="1" t="n">
        <v>44109</v>
      </c>
      <c r="C323" s="1" t="n">
        <v>45802</v>
      </c>
      <c r="D323" t="inlineStr">
        <is>
          <t>DALARNAS LÄN</t>
        </is>
      </c>
      <c r="E323" t="inlineStr">
        <is>
          <t>ÄLVDALEN</t>
        </is>
      </c>
      <c r="F323" t="inlineStr">
        <is>
          <t>Övriga Aktiebolag</t>
        </is>
      </c>
      <c r="G323" t="n">
        <v>25.8</v>
      </c>
      <c r="H323" t="n">
        <v>0</v>
      </c>
      <c r="I323" t="n">
        <v>0</v>
      </c>
      <c r="J323" t="n">
        <v>0</v>
      </c>
      <c r="K323" t="n">
        <v>0</v>
      </c>
      <c r="L323" t="n">
        <v>0</v>
      </c>
      <c r="M323" t="n">
        <v>0</v>
      </c>
      <c r="N323" t="n">
        <v>0</v>
      </c>
      <c r="O323" t="n">
        <v>0</v>
      </c>
      <c r="P323" t="n">
        <v>0</v>
      </c>
      <c r="Q323" t="n">
        <v>0</v>
      </c>
      <c r="R323" s="2" t="inlineStr"/>
    </row>
    <row r="324" ht="15" customHeight="1">
      <c r="A324" t="inlineStr">
        <is>
          <t>A 49968-2020</t>
        </is>
      </c>
      <c r="B324" s="1" t="n">
        <v>44109</v>
      </c>
      <c r="C324" s="1" t="n">
        <v>45802</v>
      </c>
      <c r="D324" t="inlineStr">
        <is>
          <t>DALARNAS LÄN</t>
        </is>
      </c>
      <c r="E324" t="inlineStr">
        <is>
          <t>ÄLVDALEN</t>
        </is>
      </c>
      <c r="F324" t="inlineStr">
        <is>
          <t>Övriga Aktiebolag</t>
        </is>
      </c>
      <c r="G324" t="n">
        <v>11.8</v>
      </c>
      <c r="H324" t="n">
        <v>0</v>
      </c>
      <c r="I324" t="n">
        <v>0</v>
      </c>
      <c r="J324" t="n">
        <v>0</v>
      </c>
      <c r="K324" t="n">
        <v>0</v>
      </c>
      <c r="L324" t="n">
        <v>0</v>
      </c>
      <c r="M324" t="n">
        <v>0</v>
      </c>
      <c r="N324" t="n">
        <v>0</v>
      </c>
      <c r="O324" t="n">
        <v>0</v>
      </c>
      <c r="P324" t="n">
        <v>0</v>
      </c>
      <c r="Q324" t="n">
        <v>0</v>
      </c>
      <c r="R324" s="2" t="inlineStr"/>
    </row>
    <row r="325" ht="15" customHeight="1">
      <c r="A325" t="inlineStr">
        <is>
          <t>A 51519-2020</t>
        </is>
      </c>
      <c r="B325" s="1" t="n">
        <v>44113</v>
      </c>
      <c r="C325" s="1" t="n">
        <v>45802</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52401-2020</t>
        </is>
      </c>
      <c r="B326" s="1" t="n">
        <v>44113</v>
      </c>
      <c r="C326" s="1" t="n">
        <v>45802</v>
      </c>
      <c r="D326" t="inlineStr">
        <is>
          <t>DALARNAS LÄN</t>
        </is>
      </c>
      <c r="E326" t="inlineStr">
        <is>
          <t>ÄLVDALEN</t>
        </is>
      </c>
      <c r="G326" t="n">
        <v>4.4</v>
      </c>
      <c r="H326" t="n">
        <v>0</v>
      </c>
      <c r="I326" t="n">
        <v>0</v>
      </c>
      <c r="J326" t="n">
        <v>0</v>
      </c>
      <c r="K326" t="n">
        <v>0</v>
      </c>
      <c r="L326" t="n">
        <v>0</v>
      </c>
      <c r="M326" t="n">
        <v>0</v>
      </c>
      <c r="N326" t="n">
        <v>0</v>
      </c>
      <c r="O326" t="n">
        <v>0</v>
      </c>
      <c r="P326" t="n">
        <v>0</v>
      </c>
      <c r="Q326" t="n">
        <v>0</v>
      </c>
      <c r="R326" s="2" t="inlineStr"/>
    </row>
    <row r="327" ht="15" customHeight="1">
      <c r="A327" t="inlineStr">
        <is>
          <t>A 54138-2020</t>
        </is>
      </c>
      <c r="B327" s="1" t="n">
        <v>44125</v>
      </c>
      <c r="C327" s="1" t="n">
        <v>45802</v>
      </c>
      <c r="D327" t="inlineStr">
        <is>
          <t>DALARNAS LÄN</t>
        </is>
      </c>
      <c r="E327" t="inlineStr">
        <is>
          <t>ÄLVDALEN</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54338-2020</t>
        </is>
      </c>
      <c r="B328" s="1" t="n">
        <v>44126</v>
      </c>
      <c r="C328" s="1" t="n">
        <v>45802</v>
      </c>
      <c r="D328" t="inlineStr">
        <is>
          <t>DALARNAS LÄN</t>
        </is>
      </c>
      <c r="E328" t="inlineStr">
        <is>
          <t>ÄLVDALEN</t>
        </is>
      </c>
      <c r="G328" t="n">
        <v>3.4</v>
      </c>
      <c r="H328" t="n">
        <v>0</v>
      </c>
      <c r="I328" t="n">
        <v>0</v>
      </c>
      <c r="J328" t="n">
        <v>0</v>
      </c>
      <c r="K328" t="n">
        <v>0</v>
      </c>
      <c r="L328" t="n">
        <v>0</v>
      </c>
      <c r="M328" t="n">
        <v>0</v>
      </c>
      <c r="N328" t="n">
        <v>0</v>
      </c>
      <c r="O328" t="n">
        <v>0</v>
      </c>
      <c r="P328" t="n">
        <v>0</v>
      </c>
      <c r="Q328" t="n">
        <v>0</v>
      </c>
      <c r="R328" s="2" t="inlineStr"/>
    </row>
    <row r="329" ht="15" customHeight="1">
      <c r="A329" t="inlineStr">
        <is>
          <t>A 58004-2020</t>
        </is>
      </c>
      <c r="B329" s="1" t="n">
        <v>44140</v>
      </c>
      <c r="C329" s="1" t="n">
        <v>45802</v>
      </c>
      <c r="D329" t="inlineStr">
        <is>
          <t>DALARNAS LÄN</t>
        </is>
      </c>
      <c r="E329" t="inlineStr">
        <is>
          <t>ÄLVDALEN</t>
        </is>
      </c>
      <c r="G329" t="n">
        <v>2.9</v>
      </c>
      <c r="H329" t="n">
        <v>0</v>
      </c>
      <c r="I329" t="n">
        <v>0</v>
      </c>
      <c r="J329" t="n">
        <v>0</v>
      </c>
      <c r="K329" t="n">
        <v>0</v>
      </c>
      <c r="L329" t="n">
        <v>0</v>
      </c>
      <c r="M329" t="n">
        <v>0</v>
      </c>
      <c r="N329" t="n">
        <v>0</v>
      </c>
      <c r="O329" t="n">
        <v>0</v>
      </c>
      <c r="P329" t="n">
        <v>0</v>
      </c>
      <c r="Q329" t="n">
        <v>0</v>
      </c>
      <c r="R329" s="2" t="inlineStr"/>
    </row>
    <row r="330" ht="15" customHeight="1">
      <c r="A330" t="inlineStr">
        <is>
          <t>A 58571-2020</t>
        </is>
      </c>
      <c r="B330" s="1" t="n">
        <v>44145</v>
      </c>
      <c r="C330" s="1" t="n">
        <v>45802</v>
      </c>
      <c r="D330" t="inlineStr">
        <is>
          <t>DALARNAS LÄN</t>
        </is>
      </c>
      <c r="E330" t="inlineStr">
        <is>
          <t>ÄLVDALEN</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58573-2020</t>
        </is>
      </c>
      <c r="B331" s="1" t="n">
        <v>44145</v>
      </c>
      <c r="C331" s="1" t="n">
        <v>45802</v>
      </c>
      <c r="D331" t="inlineStr">
        <is>
          <t>DALARNAS LÄN</t>
        </is>
      </c>
      <c r="E331" t="inlineStr">
        <is>
          <t>ÄLVDALEN</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58719-2020</t>
        </is>
      </c>
      <c r="B332" s="1" t="n">
        <v>44146</v>
      </c>
      <c r="C332" s="1" t="n">
        <v>45802</v>
      </c>
      <c r="D332" t="inlineStr">
        <is>
          <t>DALARNAS LÄN</t>
        </is>
      </c>
      <c r="E332" t="inlineStr">
        <is>
          <t>ÄLVDALEN</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58718-2020</t>
        </is>
      </c>
      <c r="B333" s="1" t="n">
        <v>44146</v>
      </c>
      <c r="C333" s="1" t="n">
        <v>45802</v>
      </c>
      <c r="D333" t="inlineStr">
        <is>
          <t>DALARNAS LÄN</t>
        </is>
      </c>
      <c r="E333" t="inlineStr">
        <is>
          <t>ÄLVDALEN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61160-2020</t>
        </is>
      </c>
      <c r="B334" s="1" t="n">
        <v>44153</v>
      </c>
      <c r="C334" s="1" t="n">
        <v>45802</v>
      </c>
      <c r="D334" t="inlineStr">
        <is>
          <t>DALARNAS LÄN</t>
        </is>
      </c>
      <c r="E334" t="inlineStr">
        <is>
          <t>ÄLVDALEN</t>
        </is>
      </c>
      <c r="F334" t="inlineStr">
        <is>
          <t>Allmännings- och besparingsskogar</t>
        </is>
      </c>
      <c r="G334" t="n">
        <v>1.7</v>
      </c>
      <c r="H334" t="n">
        <v>0</v>
      </c>
      <c r="I334" t="n">
        <v>0</v>
      </c>
      <c r="J334" t="n">
        <v>0</v>
      </c>
      <c r="K334" t="n">
        <v>0</v>
      </c>
      <c r="L334" t="n">
        <v>0</v>
      </c>
      <c r="M334" t="n">
        <v>0</v>
      </c>
      <c r="N334" t="n">
        <v>0</v>
      </c>
      <c r="O334" t="n">
        <v>0</v>
      </c>
      <c r="P334" t="n">
        <v>0</v>
      </c>
      <c r="Q334" t="n">
        <v>0</v>
      </c>
      <c r="R334" s="2" t="inlineStr"/>
    </row>
    <row r="335" ht="15" customHeight="1">
      <c r="A335" t="inlineStr">
        <is>
          <t>A 63296-2020</t>
        </is>
      </c>
      <c r="B335" s="1" t="n">
        <v>44165</v>
      </c>
      <c r="C335" s="1" t="n">
        <v>45802</v>
      </c>
      <c r="D335" t="inlineStr">
        <is>
          <t>DALARNAS LÄN</t>
        </is>
      </c>
      <c r="E335" t="inlineStr">
        <is>
          <t>ÄLVDALEN</t>
        </is>
      </c>
      <c r="F335" t="inlineStr">
        <is>
          <t>Bergvik skog väst AB</t>
        </is>
      </c>
      <c r="G335" t="n">
        <v>2.8</v>
      </c>
      <c r="H335" t="n">
        <v>0</v>
      </c>
      <c r="I335" t="n">
        <v>0</v>
      </c>
      <c r="J335" t="n">
        <v>0</v>
      </c>
      <c r="K335" t="n">
        <v>0</v>
      </c>
      <c r="L335" t="n">
        <v>0</v>
      </c>
      <c r="M335" t="n">
        <v>0</v>
      </c>
      <c r="N335" t="n">
        <v>0</v>
      </c>
      <c r="O335" t="n">
        <v>0</v>
      </c>
      <c r="P335" t="n">
        <v>0</v>
      </c>
      <c r="Q335" t="n">
        <v>0</v>
      </c>
      <c r="R335" s="2" t="inlineStr"/>
    </row>
    <row r="336" ht="15" customHeight="1">
      <c r="A336" t="inlineStr">
        <is>
          <t>A 66589-2020</t>
        </is>
      </c>
      <c r="B336" s="1" t="n">
        <v>44179</v>
      </c>
      <c r="C336" s="1" t="n">
        <v>45802</v>
      </c>
      <c r="D336" t="inlineStr">
        <is>
          <t>DALARNAS LÄN</t>
        </is>
      </c>
      <c r="E336" t="inlineStr">
        <is>
          <t>ÄLVDALEN</t>
        </is>
      </c>
      <c r="G336" t="n">
        <v>3.3</v>
      </c>
      <c r="H336" t="n">
        <v>0</v>
      </c>
      <c r="I336" t="n">
        <v>0</v>
      </c>
      <c r="J336" t="n">
        <v>0</v>
      </c>
      <c r="K336" t="n">
        <v>0</v>
      </c>
      <c r="L336" t="n">
        <v>0</v>
      </c>
      <c r="M336" t="n">
        <v>0</v>
      </c>
      <c r="N336" t="n">
        <v>0</v>
      </c>
      <c r="O336" t="n">
        <v>0</v>
      </c>
      <c r="P336" t="n">
        <v>0</v>
      </c>
      <c r="Q336" t="n">
        <v>0</v>
      </c>
      <c r="R336" s="2" t="inlineStr"/>
    </row>
    <row r="337" ht="15" customHeight="1">
      <c r="A337" t="inlineStr">
        <is>
          <t>A 33-2021</t>
        </is>
      </c>
      <c r="B337" s="1" t="n">
        <v>44198</v>
      </c>
      <c r="C337" s="1" t="n">
        <v>45802</v>
      </c>
      <c r="D337" t="inlineStr">
        <is>
          <t>DALARNAS LÄN</t>
        </is>
      </c>
      <c r="E337" t="inlineStr">
        <is>
          <t>ÄLVDALEN</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203-2021</t>
        </is>
      </c>
      <c r="B338" s="1" t="n">
        <v>44200</v>
      </c>
      <c r="C338" s="1" t="n">
        <v>45802</v>
      </c>
      <c r="D338" t="inlineStr">
        <is>
          <t>DALARNAS LÄN</t>
        </is>
      </c>
      <c r="E338" t="inlineStr">
        <is>
          <t>ÄLVDALEN</t>
        </is>
      </c>
      <c r="F338" t="inlineStr">
        <is>
          <t>Övriga statliga verk och myndigheter</t>
        </is>
      </c>
      <c r="G338" t="n">
        <v>19.1</v>
      </c>
      <c r="H338" t="n">
        <v>0</v>
      </c>
      <c r="I338" t="n">
        <v>0</v>
      </c>
      <c r="J338" t="n">
        <v>0</v>
      </c>
      <c r="K338" t="n">
        <v>0</v>
      </c>
      <c r="L338" t="n">
        <v>0</v>
      </c>
      <c r="M338" t="n">
        <v>0</v>
      </c>
      <c r="N338" t="n">
        <v>0</v>
      </c>
      <c r="O338" t="n">
        <v>0</v>
      </c>
      <c r="P338" t="n">
        <v>0</v>
      </c>
      <c r="Q338" t="n">
        <v>0</v>
      </c>
      <c r="R338" s="2" t="inlineStr"/>
    </row>
    <row r="339" ht="15" customHeight="1">
      <c r="A339" t="inlineStr">
        <is>
          <t>A 257-2021</t>
        </is>
      </c>
      <c r="B339" s="1" t="n">
        <v>44200</v>
      </c>
      <c r="C339" s="1" t="n">
        <v>45802</v>
      </c>
      <c r="D339" t="inlineStr">
        <is>
          <t>DALARNAS LÄN</t>
        </is>
      </c>
      <c r="E339" t="inlineStr">
        <is>
          <t>ÄLVDALEN</t>
        </is>
      </c>
      <c r="F339" t="inlineStr">
        <is>
          <t>Övriga statliga verk och myndigheter</t>
        </is>
      </c>
      <c r="G339" t="n">
        <v>6.1</v>
      </c>
      <c r="H339" t="n">
        <v>0</v>
      </c>
      <c r="I339" t="n">
        <v>0</v>
      </c>
      <c r="J339" t="n">
        <v>0</v>
      </c>
      <c r="K339" t="n">
        <v>0</v>
      </c>
      <c r="L339" t="n">
        <v>0</v>
      </c>
      <c r="M339" t="n">
        <v>0</v>
      </c>
      <c r="N339" t="n">
        <v>0</v>
      </c>
      <c r="O339" t="n">
        <v>0</v>
      </c>
      <c r="P339" t="n">
        <v>0</v>
      </c>
      <c r="Q339" t="n">
        <v>0</v>
      </c>
      <c r="R339" s="2" t="inlineStr"/>
    </row>
    <row r="340" ht="15" customHeight="1">
      <c r="A340" t="inlineStr">
        <is>
          <t>A 333-2021</t>
        </is>
      </c>
      <c r="B340" s="1" t="n">
        <v>44201</v>
      </c>
      <c r="C340" s="1" t="n">
        <v>45802</v>
      </c>
      <c r="D340" t="inlineStr">
        <is>
          <t>DALARNAS LÄN</t>
        </is>
      </c>
      <c r="E340" t="inlineStr">
        <is>
          <t>ÄLVDALEN</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435-2021</t>
        </is>
      </c>
      <c r="B341" s="1" t="n">
        <v>44201</v>
      </c>
      <c r="C341" s="1" t="n">
        <v>45802</v>
      </c>
      <c r="D341" t="inlineStr">
        <is>
          <t>DALARNAS LÄN</t>
        </is>
      </c>
      <c r="E341" t="inlineStr">
        <is>
          <t>ÄLVDALEN</t>
        </is>
      </c>
      <c r="F341" t="inlineStr">
        <is>
          <t>Övriga statliga verk och myndigheter</t>
        </is>
      </c>
      <c r="G341" t="n">
        <v>1.7</v>
      </c>
      <c r="H341" t="n">
        <v>0</v>
      </c>
      <c r="I341" t="n">
        <v>0</v>
      </c>
      <c r="J341" t="n">
        <v>0</v>
      </c>
      <c r="K341" t="n">
        <v>0</v>
      </c>
      <c r="L341" t="n">
        <v>0</v>
      </c>
      <c r="M341" t="n">
        <v>0</v>
      </c>
      <c r="N341" t="n">
        <v>0</v>
      </c>
      <c r="O341" t="n">
        <v>0</v>
      </c>
      <c r="P341" t="n">
        <v>0</v>
      </c>
      <c r="Q341" t="n">
        <v>0</v>
      </c>
      <c r="R341" s="2" t="inlineStr"/>
    </row>
    <row r="342" ht="15" customHeight="1">
      <c r="A342" t="inlineStr">
        <is>
          <t>A 1871-2021</t>
        </is>
      </c>
      <c r="B342" s="1" t="n">
        <v>44210</v>
      </c>
      <c r="C342" s="1" t="n">
        <v>45802</v>
      </c>
      <c r="D342" t="inlineStr">
        <is>
          <t>DALARNAS LÄN</t>
        </is>
      </c>
      <c r="E342" t="inlineStr">
        <is>
          <t>ÄLVDALEN</t>
        </is>
      </c>
      <c r="F342" t="inlineStr">
        <is>
          <t>Övriga statliga verk och myndigheter</t>
        </is>
      </c>
      <c r="G342" t="n">
        <v>4.8</v>
      </c>
      <c r="H342" t="n">
        <v>0</v>
      </c>
      <c r="I342" t="n">
        <v>0</v>
      </c>
      <c r="J342" t="n">
        <v>0</v>
      </c>
      <c r="K342" t="n">
        <v>0</v>
      </c>
      <c r="L342" t="n">
        <v>0</v>
      </c>
      <c r="M342" t="n">
        <v>0</v>
      </c>
      <c r="N342" t="n">
        <v>0</v>
      </c>
      <c r="O342" t="n">
        <v>0</v>
      </c>
      <c r="P342" t="n">
        <v>0</v>
      </c>
      <c r="Q342" t="n">
        <v>0</v>
      </c>
      <c r="R342" s="2" t="inlineStr"/>
    </row>
    <row r="343" ht="15" customHeight="1">
      <c r="A343" t="inlineStr">
        <is>
          <t>A 1872-2021</t>
        </is>
      </c>
      <c r="B343" s="1" t="n">
        <v>44210</v>
      </c>
      <c r="C343" s="1" t="n">
        <v>45802</v>
      </c>
      <c r="D343" t="inlineStr">
        <is>
          <t>DALARNAS LÄN</t>
        </is>
      </c>
      <c r="E343" t="inlineStr">
        <is>
          <t>ÄLVDALEN</t>
        </is>
      </c>
      <c r="F343" t="inlineStr">
        <is>
          <t>Övriga statliga verk och myndigheter</t>
        </is>
      </c>
      <c r="G343" t="n">
        <v>19.6</v>
      </c>
      <c r="H343" t="n">
        <v>0</v>
      </c>
      <c r="I343" t="n">
        <v>0</v>
      </c>
      <c r="J343" t="n">
        <v>0</v>
      </c>
      <c r="K343" t="n">
        <v>0</v>
      </c>
      <c r="L343" t="n">
        <v>0</v>
      </c>
      <c r="M343" t="n">
        <v>0</v>
      </c>
      <c r="N343" t="n">
        <v>0</v>
      </c>
      <c r="O343" t="n">
        <v>0</v>
      </c>
      <c r="P343" t="n">
        <v>0</v>
      </c>
      <c r="Q343" t="n">
        <v>0</v>
      </c>
      <c r="R343" s="2" t="inlineStr"/>
    </row>
    <row r="344" ht="15" customHeight="1">
      <c r="A344" t="inlineStr">
        <is>
          <t>A 2219-2021</t>
        </is>
      </c>
      <c r="B344" s="1" t="n">
        <v>44210</v>
      </c>
      <c r="C344" s="1" t="n">
        <v>45802</v>
      </c>
      <c r="D344" t="inlineStr">
        <is>
          <t>DALARNAS LÄN</t>
        </is>
      </c>
      <c r="E344" t="inlineStr">
        <is>
          <t>ÄLVDALEN</t>
        </is>
      </c>
      <c r="F344" t="inlineStr">
        <is>
          <t>Övriga statliga verk och myndigheter</t>
        </is>
      </c>
      <c r="G344" t="n">
        <v>1.3</v>
      </c>
      <c r="H344" t="n">
        <v>0</v>
      </c>
      <c r="I344" t="n">
        <v>0</v>
      </c>
      <c r="J344" t="n">
        <v>0</v>
      </c>
      <c r="K344" t="n">
        <v>0</v>
      </c>
      <c r="L344" t="n">
        <v>0</v>
      </c>
      <c r="M344" t="n">
        <v>0</v>
      </c>
      <c r="N344" t="n">
        <v>0</v>
      </c>
      <c r="O344" t="n">
        <v>0</v>
      </c>
      <c r="P344" t="n">
        <v>0</v>
      </c>
      <c r="Q344" t="n">
        <v>0</v>
      </c>
      <c r="R344" s="2" t="inlineStr"/>
    </row>
    <row r="345" ht="15" customHeight="1">
      <c r="A345" t="inlineStr">
        <is>
          <t>A 2690-2021</t>
        </is>
      </c>
      <c r="B345" s="1" t="n">
        <v>44214</v>
      </c>
      <c r="C345" s="1" t="n">
        <v>45802</v>
      </c>
      <c r="D345" t="inlineStr">
        <is>
          <t>DALARNAS LÄN</t>
        </is>
      </c>
      <c r="E345" t="inlineStr">
        <is>
          <t>ÄLVDALEN</t>
        </is>
      </c>
      <c r="F345" t="inlineStr">
        <is>
          <t>Allmännings- och besparingsskogar</t>
        </is>
      </c>
      <c r="G345" t="n">
        <v>70.3</v>
      </c>
      <c r="H345" t="n">
        <v>0</v>
      </c>
      <c r="I345" t="n">
        <v>0</v>
      </c>
      <c r="J345" t="n">
        <v>0</v>
      </c>
      <c r="K345" t="n">
        <v>0</v>
      </c>
      <c r="L345" t="n">
        <v>0</v>
      </c>
      <c r="M345" t="n">
        <v>0</v>
      </c>
      <c r="N345" t="n">
        <v>0</v>
      </c>
      <c r="O345" t="n">
        <v>0</v>
      </c>
      <c r="P345" t="n">
        <v>0</v>
      </c>
      <c r="Q345" t="n">
        <v>0</v>
      </c>
      <c r="R345" s="2" t="inlineStr"/>
    </row>
    <row r="346" ht="15" customHeight="1">
      <c r="A346" t="inlineStr">
        <is>
          <t>A 2746-2021</t>
        </is>
      </c>
      <c r="B346" s="1" t="n">
        <v>44215</v>
      </c>
      <c r="C346" s="1" t="n">
        <v>45802</v>
      </c>
      <c r="D346" t="inlineStr">
        <is>
          <t>DALARNAS LÄN</t>
        </is>
      </c>
      <c r="E346" t="inlineStr">
        <is>
          <t>ÄLVDALEN</t>
        </is>
      </c>
      <c r="F346" t="inlineStr">
        <is>
          <t>Kommuner</t>
        </is>
      </c>
      <c r="G346" t="n">
        <v>14.7</v>
      </c>
      <c r="H346" t="n">
        <v>0</v>
      </c>
      <c r="I346" t="n">
        <v>0</v>
      </c>
      <c r="J346" t="n">
        <v>0</v>
      </c>
      <c r="K346" t="n">
        <v>0</v>
      </c>
      <c r="L346" t="n">
        <v>0</v>
      </c>
      <c r="M346" t="n">
        <v>0</v>
      </c>
      <c r="N346" t="n">
        <v>0</v>
      </c>
      <c r="O346" t="n">
        <v>0</v>
      </c>
      <c r="P346" t="n">
        <v>0</v>
      </c>
      <c r="Q346" t="n">
        <v>0</v>
      </c>
      <c r="R346" s="2" t="inlineStr"/>
    </row>
    <row r="347" ht="15" customHeight="1">
      <c r="A347" t="inlineStr">
        <is>
          <t>A 4034-2021</t>
        </is>
      </c>
      <c r="B347" s="1" t="n">
        <v>44222</v>
      </c>
      <c r="C347" s="1" t="n">
        <v>45802</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4589-2021</t>
        </is>
      </c>
      <c r="B348" s="1" t="n">
        <v>44224</v>
      </c>
      <c r="C348" s="1" t="n">
        <v>45802</v>
      </c>
      <c r="D348" t="inlineStr">
        <is>
          <t>DALARNAS LÄN</t>
        </is>
      </c>
      <c r="E348" t="inlineStr">
        <is>
          <t>ÄLVDALEN</t>
        </is>
      </c>
      <c r="G348" t="n">
        <v>4.9</v>
      </c>
      <c r="H348" t="n">
        <v>0</v>
      </c>
      <c r="I348" t="n">
        <v>0</v>
      </c>
      <c r="J348" t="n">
        <v>0</v>
      </c>
      <c r="K348" t="n">
        <v>0</v>
      </c>
      <c r="L348" t="n">
        <v>0</v>
      </c>
      <c r="M348" t="n">
        <v>0</v>
      </c>
      <c r="N348" t="n">
        <v>0</v>
      </c>
      <c r="O348" t="n">
        <v>0</v>
      </c>
      <c r="P348" t="n">
        <v>0</v>
      </c>
      <c r="Q348" t="n">
        <v>0</v>
      </c>
      <c r="R348" s="2" t="inlineStr"/>
    </row>
    <row r="349" ht="15" customHeight="1">
      <c r="A349" t="inlineStr">
        <is>
          <t>A 5319-2021</t>
        </is>
      </c>
      <c r="B349" s="1" t="n">
        <v>44229</v>
      </c>
      <c r="C349" s="1" t="n">
        <v>45802</v>
      </c>
      <c r="D349" t="inlineStr">
        <is>
          <t>DALARNAS LÄN</t>
        </is>
      </c>
      <c r="E349" t="inlineStr">
        <is>
          <t>ÄLVDALEN</t>
        </is>
      </c>
      <c r="F349" t="inlineStr">
        <is>
          <t>Kommuner</t>
        </is>
      </c>
      <c r="G349" t="n">
        <v>15.3</v>
      </c>
      <c r="H349" t="n">
        <v>0</v>
      </c>
      <c r="I349" t="n">
        <v>0</v>
      </c>
      <c r="J349" t="n">
        <v>0</v>
      </c>
      <c r="K349" t="n">
        <v>0</v>
      </c>
      <c r="L349" t="n">
        <v>0</v>
      </c>
      <c r="M349" t="n">
        <v>0</v>
      </c>
      <c r="N349" t="n">
        <v>0</v>
      </c>
      <c r="O349" t="n">
        <v>0</v>
      </c>
      <c r="P349" t="n">
        <v>0</v>
      </c>
      <c r="Q349" t="n">
        <v>0</v>
      </c>
      <c r="R349" s="2" t="inlineStr"/>
    </row>
    <row r="350" ht="15" customHeight="1">
      <c r="A350" t="inlineStr">
        <is>
          <t>A 5567-2021</t>
        </is>
      </c>
      <c r="B350" s="1" t="n">
        <v>44230</v>
      </c>
      <c r="C350" s="1" t="n">
        <v>45802</v>
      </c>
      <c r="D350" t="inlineStr">
        <is>
          <t>DALARNAS LÄN</t>
        </is>
      </c>
      <c r="E350" t="inlineStr">
        <is>
          <t>ÄLVDALEN</t>
        </is>
      </c>
      <c r="F350" t="inlineStr">
        <is>
          <t>Övriga statliga verk och myndigheter</t>
        </is>
      </c>
      <c r="G350" t="n">
        <v>29.1</v>
      </c>
      <c r="H350" t="n">
        <v>0</v>
      </c>
      <c r="I350" t="n">
        <v>0</v>
      </c>
      <c r="J350" t="n">
        <v>0</v>
      </c>
      <c r="K350" t="n">
        <v>0</v>
      </c>
      <c r="L350" t="n">
        <v>0</v>
      </c>
      <c r="M350" t="n">
        <v>0</v>
      </c>
      <c r="N350" t="n">
        <v>0</v>
      </c>
      <c r="O350" t="n">
        <v>0</v>
      </c>
      <c r="P350" t="n">
        <v>0</v>
      </c>
      <c r="Q350" t="n">
        <v>0</v>
      </c>
      <c r="R350" s="2" t="inlineStr"/>
    </row>
    <row r="351" ht="15" customHeight="1">
      <c r="A351" t="inlineStr">
        <is>
          <t>A 7164-2021</t>
        </is>
      </c>
      <c r="B351" s="1" t="n">
        <v>44238</v>
      </c>
      <c r="C351" s="1" t="n">
        <v>45802</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7232-2021</t>
        </is>
      </c>
      <c r="B352" s="1" t="n">
        <v>44238</v>
      </c>
      <c r="C352" s="1" t="n">
        <v>45802</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11032-2021</t>
        </is>
      </c>
      <c r="B353" s="1" t="n">
        <v>44260</v>
      </c>
      <c r="C353" s="1" t="n">
        <v>45802</v>
      </c>
      <c r="D353" t="inlineStr">
        <is>
          <t>DALARNAS LÄN</t>
        </is>
      </c>
      <c r="E353" t="inlineStr">
        <is>
          <t>ÄLVDALEN</t>
        </is>
      </c>
      <c r="F353" t="inlineStr">
        <is>
          <t>Övriga statliga verk och myndigheter</t>
        </is>
      </c>
      <c r="G353" t="n">
        <v>35.9</v>
      </c>
      <c r="H353" t="n">
        <v>0</v>
      </c>
      <c r="I353" t="n">
        <v>0</v>
      </c>
      <c r="J353" t="n">
        <v>0</v>
      </c>
      <c r="K353" t="n">
        <v>0</v>
      </c>
      <c r="L353" t="n">
        <v>0</v>
      </c>
      <c r="M353" t="n">
        <v>0</v>
      </c>
      <c r="N353" t="n">
        <v>0</v>
      </c>
      <c r="O353" t="n">
        <v>0</v>
      </c>
      <c r="P353" t="n">
        <v>0</v>
      </c>
      <c r="Q353" t="n">
        <v>0</v>
      </c>
      <c r="R353" s="2" t="inlineStr"/>
    </row>
    <row r="354" ht="15" customHeight="1">
      <c r="A354" t="inlineStr">
        <is>
          <t>A 14290-2021</t>
        </is>
      </c>
      <c r="B354" s="1" t="n">
        <v>44278</v>
      </c>
      <c r="C354" s="1" t="n">
        <v>45802</v>
      </c>
      <c r="D354" t="inlineStr">
        <is>
          <t>DALARNAS LÄN</t>
        </is>
      </c>
      <c r="E354" t="inlineStr">
        <is>
          <t>ÄLVDALEN</t>
        </is>
      </c>
      <c r="G354" t="n">
        <v>1.9</v>
      </c>
      <c r="H354" t="n">
        <v>0</v>
      </c>
      <c r="I354" t="n">
        <v>0</v>
      </c>
      <c r="J354" t="n">
        <v>0</v>
      </c>
      <c r="K354" t="n">
        <v>0</v>
      </c>
      <c r="L354" t="n">
        <v>0</v>
      </c>
      <c r="M354" t="n">
        <v>0</v>
      </c>
      <c r="N354" t="n">
        <v>0</v>
      </c>
      <c r="O354" t="n">
        <v>0</v>
      </c>
      <c r="P354" t="n">
        <v>0</v>
      </c>
      <c r="Q354" t="n">
        <v>0</v>
      </c>
      <c r="R354" s="2" t="inlineStr"/>
    </row>
    <row r="355" ht="15" customHeight="1">
      <c r="A355" t="inlineStr">
        <is>
          <t>A 14548-2021</t>
        </is>
      </c>
      <c r="B355" s="1" t="n">
        <v>44279</v>
      </c>
      <c r="C355" s="1" t="n">
        <v>45802</v>
      </c>
      <c r="D355" t="inlineStr">
        <is>
          <t>DALARNAS LÄN</t>
        </is>
      </c>
      <c r="E355" t="inlineStr">
        <is>
          <t>ÄLVDALEN</t>
        </is>
      </c>
      <c r="G355" t="n">
        <v>6</v>
      </c>
      <c r="H355" t="n">
        <v>0</v>
      </c>
      <c r="I355" t="n">
        <v>0</v>
      </c>
      <c r="J355" t="n">
        <v>0</v>
      </c>
      <c r="K355" t="n">
        <v>0</v>
      </c>
      <c r="L355" t="n">
        <v>0</v>
      </c>
      <c r="M355" t="n">
        <v>0</v>
      </c>
      <c r="N355" t="n">
        <v>0</v>
      </c>
      <c r="O355" t="n">
        <v>0</v>
      </c>
      <c r="P355" t="n">
        <v>0</v>
      </c>
      <c r="Q355" t="n">
        <v>0</v>
      </c>
      <c r="R355" s="2" t="inlineStr"/>
    </row>
    <row r="356" ht="15" customHeight="1">
      <c r="A356" t="inlineStr">
        <is>
          <t>A 15045-2021</t>
        </is>
      </c>
      <c r="B356" s="1" t="n">
        <v>44281</v>
      </c>
      <c r="C356" s="1" t="n">
        <v>45802</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14995-2021</t>
        </is>
      </c>
      <c r="B357" s="1" t="n">
        <v>44281</v>
      </c>
      <c r="C357" s="1" t="n">
        <v>45802</v>
      </c>
      <c r="D357" t="inlineStr">
        <is>
          <t>DALARNAS LÄN</t>
        </is>
      </c>
      <c r="E357" t="inlineStr">
        <is>
          <t>ÄLVDALEN</t>
        </is>
      </c>
      <c r="G357" t="n">
        <v>17.8</v>
      </c>
      <c r="H357" t="n">
        <v>0</v>
      </c>
      <c r="I357" t="n">
        <v>0</v>
      </c>
      <c r="J357" t="n">
        <v>0</v>
      </c>
      <c r="K357" t="n">
        <v>0</v>
      </c>
      <c r="L357" t="n">
        <v>0</v>
      </c>
      <c r="M357" t="n">
        <v>0</v>
      </c>
      <c r="N357" t="n">
        <v>0</v>
      </c>
      <c r="O357" t="n">
        <v>0</v>
      </c>
      <c r="P357" t="n">
        <v>0</v>
      </c>
      <c r="Q357" t="n">
        <v>0</v>
      </c>
      <c r="R357" s="2" t="inlineStr"/>
    </row>
    <row r="358" ht="15" customHeight="1">
      <c r="A358" t="inlineStr">
        <is>
          <t>A 15251-2021</t>
        </is>
      </c>
      <c r="B358" s="1" t="n">
        <v>44284</v>
      </c>
      <c r="C358" s="1" t="n">
        <v>45802</v>
      </c>
      <c r="D358" t="inlineStr">
        <is>
          <t>DALARNAS LÄN</t>
        </is>
      </c>
      <c r="E358" t="inlineStr">
        <is>
          <t>ÄLVDALEN</t>
        </is>
      </c>
      <c r="G358" t="n">
        <v>6.1</v>
      </c>
      <c r="H358" t="n">
        <v>0</v>
      </c>
      <c r="I358" t="n">
        <v>0</v>
      </c>
      <c r="J358" t="n">
        <v>0</v>
      </c>
      <c r="K358" t="n">
        <v>0</v>
      </c>
      <c r="L358" t="n">
        <v>0</v>
      </c>
      <c r="M358" t="n">
        <v>0</v>
      </c>
      <c r="N358" t="n">
        <v>0</v>
      </c>
      <c r="O358" t="n">
        <v>0</v>
      </c>
      <c r="P358" t="n">
        <v>0</v>
      </c>
      <c r="Q358" t="n">
        <v>0</v>
      </c>
      <c r="R358" s="2" t="inlineStr"/>
    </row>
    <row r="359" ht="15" customHeight="1">
      <c r="A359" t="inlineStr">
        <is>
          <t>A 15952-2021</t>
        </is>
      </c>
      <c r="B359" s="1" t="n">
        <v>44286</v>
      </c>
      <c r="C359" s="1" t="n">
        <v>45802</v>
      </c>
      <c r="D359" t="inlineStr">
        <is>
          <t>DALARNAS LÄN</t>
        </is>
      </c>
      <c r="E359" t="inlineStr">
        <is>
          <t>ÄLVDALEN</t>
        </is>
      </c>
      <c r="F359" t="inlineStr">
        <is>
          <t>Övriga statliga verk och myndigheter</t>
        </is>
      </c>
      <c r="G359" t="n">
        <v>6.6</v>
      </c>
      <c r="H359" t="n">
        <v>0</v>
      </c>
      <c r="I359" t="n">
        <v>0</v>
      </c>
      <c r="J359" t="n">
        <v>0</v>
      </c>
      <c r="K359" t="n">
        <v>0</v>
      </c>
      <c r="L359" t="n">
        <v>0</v>
      </c>
      <c r="M359" t="n">
        <v>0</v>
      </c>
      <c r="N359" t="n">
        <v>0</v>
      </c>
      <c r="O359" t="n">
        <v>0</v>
      </c>
      <c r="P359" t="n">
        <v>0</v>
      </c>
      <c r="Q359" t="n">
        <v>0</v>
      </c>
      <c r="R359" s="2" t="inlineStr"/>
    </row>
    <row r="360" ht="15" customHeight="1">
      <c r="A360" t="inlineStr">
        <is>
          <t>A 16262-2021</t>
        </is>
      </c>
      <c r="B360" s="1" t="n">
        <v>44292</v>
      </c>
      <c r="C360" s="1" t="n">
        <v>45802</v>
      </c>
      <c r="D360" t="inlineStr">
        <is>
          <t>DALARNAS LÄN</t>
        </is>
      </c>
      <c r="E360" t="inlineStr">
        <is>
          <t>ÄLVDALEN</t>
        </is>
      </c>
      <c r="G360" t="n">
        <v>2.2</v>
      </c>
      <c r="H360" t="n">
        <v>0</v>
      </c>
      <c r="I360" t="n">
        <v>0</v>
      </c>
      <c r="J360" t="n">
        <v>0</v>
      </c>
      <c r="K360" t="n">
        <v>0</v>
      </c>
      <c r="L360" t="n">
        <v>0</v>
      </c>
      <c r="M360" t="n">
        <v>0</v>
      </c>
      <c r="N360" t="n">
        <v>0</v>
      </c>
      <c r="O360" t="n">
        <v>0</v>
      </c>
      <c r="P360" t="n">
        <v>0</v>
      </c>
      <c r="Q360" t="n">
        <v>0</v>
      </c>
      <c r="R360" s="2" t="inlineStr"/>
    </row>
    <row r="361" ht="15" customHeight="1">
      <c r="A361" t="inlineStr">
        <is>
          <t>A 18961-2021</t>
        </is>
      </c>
      <c r="B361" s="1" t="n">
        <v>44308</v>
      </c>
      <c r="C361" s="1" t="n">
        <v>45802</v>
      </c>
      <c r="D361" t="inlineStr">
        <is>
          <t>DALARNAS LÄN</t>
        </is>
      </c>
      <c r="E361" t="inlineStr">
        <is>
          <t>ÄLVDALEN</t>
        </is>
      </c>
      <c r="F361" t="inlineStr">
        <is>
          <t>Övriga statliga verk och myndigheter</t>
        </is>
      </c>
      <c r="G361" t="n">
        <v>17.6</v>
      </c>
      <c r="H361" t="n">
        <v>0</v>
      </c>
      <c r="I361" t="n">
        <v>0</v>
      </c>
      <c r="J361" t="n">
        <v>0</v>
      </c>
      <c r="K361" t="n">
        <v>0</v>
      </c>
      <c r="L361" t="n">
        <v>0</v>
      </c>
      <c r="M361" t="n">
        <v>0</v>
      </c>
      <c r="N361" t="n">
        <v>0</v>
      </c>
      <c r="O361" t="n">
        <v>0</v>
      </c>
      <c r="P361" t="n">
        <v>0</v>
      </c>
      <c r="Q361" t="n">
        <v>0</v>
      </c>
      <c r="R361" s="2" t="inlineStr"/>
    </row>
    <row r="362" ht="15" customHeight="1">
      <c r="A362" t="inlineStr">
        <is>
          <t>A 19766-2021</t>
        </is>
      </c>
      <c r="B362" s="1" t="n">
        <v>44309</v>
      </c>
      <c r="C362" s="1" t="n">
        <v>45802</v>
      </c>
      <c r="D362" t="inlineStr">
        <is>
          <t>DALARNAS LÄN</t>
        </is>
      </c>
      <c r="E362" t="inlineStr">
        <is>
          <t>ÄLVDALEN</t>
        </is>
      </c>
      <c r="G362" t="n">
        <v>8.9</v>
      </c>
      <c r="H362" t="n">
        <v>0</v>
      </c>
      <c r="I362" t="n">
        <v>0</v>
      </c>
      <c r="J362" t="n">
        <v>0</v>
      </c>
      <c r="K362" t="n">
        <v>0</v>
      </c>
      <c r="L362" t="n">
        <v>0</v>
      </c>
      <c r="M362" t="n">
        <v>0</v>
      </c>
      <c r="N362" t="n">
        <v>0</v>
      </c>
      <c r="O362" t="n">
        <v>0</v>
      </c>
      <c r="P362" t="n">
        <v>0</v>
      </c>
      <c r="Q362" t="n">
        <v>0</v>
      </c>
      <c r="R362" s="2" t="inlineStr"/>
    </row>
    <row r="363" ht="15" customHeight="1">
      <c r="A363" t="inlineStr">
        <is>
          <t>A 19763-2021</t>
        </is>
      </c>
      <c r="B363" s="1" t="n">
        <v>44309</v>
      </c>
      <c r="C363" s="1" t="n">
        <v>45802</v>
      </c>
      <c r="D363" t="inlineStr">
        <is>
          <t>DALARNAS LÄN</t>
        </is>
      </c>
      <c r="E363" t="inlineStr">
        <is>
          <t>ÄLVDALEN</t>
        </is>
      </c>
      <c r="G363" t="n">
        <v>1.4</v>
      </c>
      <c r="H363" t="n">
        <v>0</v>
      </c>
      <c r="I363" t="n">
        <v>0</v>
      </c>
      <c r="J363" t="n">
        <v>0</v>
      </c>
      <c r="K363" t="n">
        <v>0</v>
      </c>
      <c r="L363" t="n">
        <v>0</v>
      </c>
      <c r="M363" t="n">
        <v>0</v>
      </c>
      <c r="N363" t="n">
        <v>0</v>
      </c>
      <c r="O363" t="n">
        <v>0</v>
      </c>
      <c r="P363" t="n">
        <v>0</v>
      </c>
      <c r="Q363" t="n">
        <v>0</v>
      </c>
      <c r="R363" s="2" t="inlineStr"/>
    </row>
    <row r="364" ht="15" customHeight="1">
      <c r="A364" t="inlineStr">
        <is>
          <t>A 19313-2021</t>
        </is>
      </c>
      <c r="B364" s="1" t="n">
        <v>44309</v>
      </c>
      <c r="C364" s="1" t="n">
        <v>45802</v>
      </c>
      <c r="D364" t="inlineStr">
        <is>
          <t>DALARNAS LÄN</t>
        </is>
      </c>
      <c r="E364" t="inlineStr">
        <is>
          <t>ÄLVDALEN</t>
        </is>
      </c>
      <c r="G364" t="n">
        <v>0.2</v>
      </c>
      <c r="H364" t="n">
        <v>0</v>
      </c>
      <c r="I364" t="n">
        <v>0</v>
      </c>
      <c r="J364" t="n">
        <v>0</v>
      </c>
      <c r="K364" t="n">
        <v>0</v>
      </c>
      <c r="L364" t="n">
        <v>0</v>
      </c>
      <c r="M364" t="n">
        <v>0</v>
      </c>
      <c r="N364" t="n">
        <v>0</v>
      </c>
      <c r="O364" t="n">
        <v>0</v>
      </c>
      <c r="P364" t="n">
        <v>0</v>
      </c>
      <c r="Q364" t="n">
        <v>0</v>
      </c>
      <c r="R364" s="2" t="inlineStr"/>
    </row>
    <row r="365" ht="15" customHeight="1">
      <c r="A365" t="inlineStr">
        <is>
          <t>A 19312-2021</t>
        </is>
      </c>
      <c r="B365" s="1" t="n">
        <v>44309</v>
      </c>
      <c r="C365" s="1" t="n">
        <v>45802</v>
      </c>
      <c r="D365" t="inlineStr">
        <is>
          <t>DALARNAS LÄN</t>
        </is>
      </c>
      <c r="E365" t="inlineStr">
        <is>
          <t>ÄLVDALEN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19761-2021</t>
        </is>
      </c>
      <c r="B366" s="1" t="n">
        <v>44309</v>
      </c>
      <c r="C366" s="1" t="n">
        <v>45802</v>
      </c>
      <c r="D366" t="inlineStr">
        <is>
          <t>DALARNAS LÄN</t>
        </is>
      </c>
      <c r="E366" t="inlineStr">
        <is>
          <t>ÄLVDALEN</t>
        </is>
      </c>
      <c r="G366" t="n">
        <v>4.3</v>
      </c>
      <c r="H366" t="n">
        <v>0</v>
      </c>
      <c r="I366" t="n">
        <v>0</v>
      </c>
      <c r="J366" t="n">
        <v>0</v>
      </c>
      <c r="K366" t="n">
        <v>0</v>
      </c>
      <c r="L366" t="n">
        <v>0</v>
      </c>
      <c r="M366" t="n">
        <v>0</v>
      </c>
      <c r="N366" t="n">
        <v>0</v>
      </c>
      <c r="O366" t="n">
        <v>0</v>
      </c>
      <c r="P366" t="n">
        <v>0</v>
      </c>
      <c r="Q366" t="n">
        <v>0</v>
      </c>
      <c r="R366" s="2" t="inlineStr"/>
    </row>
    <row r="367" ht="15" customHeight="1">
      <c r="A367" t="inlineStr">
        <is>
          <t>A 19759-2021</t>
        </is>
      </c>
      <c r="B367" s="1" t="n">
        <v>44309</v>
      </c>
      <c r="C367" s="1" t="n">
        <v>45802</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20050-2021</t>
        </is>
      </c>
      <c r="B368" s="1" t="n">
        <v>44314</v>
      </c>
      <c r="C368" s="1" t="n">
        <v>45802</v>
      </c>
      <c r="D368" t="inlineStr">
        <is>
          <t>DALARNAS LÄN</t>
        </is>
      </c>
      <c r="E368" t="inlineStr">
        <is>
          <t>ÄLVDALEN</t>
        </is>
      </c>
      <c r="G368" t="n">
        <v>1.6</v>
      </c>
      <c r="H368" t="n">
        <v>0</v>
      </c>
      <c r="I368" t="n">
        <v>0</v>
      </c>
      <c r="J368" t="n">
        <v>0</v>
      </c>
      <c r="K368" t="n">
        <v>0</v>
      </c>
      <c r="L368" t="n">
        <v>0</v>
      </c>
      <c r="M368" t="n">
        <v>0</v>
      </c>
      <c r="N368" t="n">
        <v>0</v>
      </c>
      <c r="O368" t="n">
        <v>0</v>
      </c>
      <c r="P368" t="n">
        <v>0</v>
      </c>
      <c r="Q368" t="n">
        <v>0</v>
      </c>
      <c r="R368" s="2" t="inlineStr"/>
    </row>
    <row r="369" ht="15" customHeight="1">
      <c r="A369" t="inlineStr">
        <is>
          <t>A 20162-2021</t>
        </is>
      </c>
      <c r="B369" s="1" t="n">
        <v>44314</v>
      </c>
      <c r="C369" s="1" t="n">
        <v>45802</v>
      </c>
      <c r="D369" t="inlineStr">
        <is>
          <t>DALARNAS LÄN</t>
        </is>
      </c>
      <c r="E369" t="inlineStr">
        <is>
          <t>ÄLVDALEN</t>
        </is>
      </c>
      <c r="G369" t="n">
        <v>3.9</v>
      </c>
      <c r="H369" t="n">
        <v>0</v>
      </c>
      <c r="I369" t="n">
        <v>0</v>
      </c>
      <c r="J369" t="n">
        <v>0</v>
      </c>
      <c r="K369" t="n">
        <v>0</v>
      </c>
      <c r="L369" t="n">
        <v>0</v>
      </c>
      <c r="M369" t="n">
        <v>0</v>
      </c>
      <c r="N369" t="n">
        <v>0</v>
      </c>
      <c r="O369" t="n">
        <v>0</v>
      </c>
      <c r="P369" t="n">
        <v>0</v>
      </c>
      <c r="Q369" t="n">
        <v>0</v>
      </c>
      <c r="R369" s="2" t="inlineStr"/>
    </row>
    <row r="370" ht="15" customHeight="1">
      <c r="A370" t="inlineStr">
        <is>
          <t>A 21832-2021</t>
        </is>
      </c>
      <c r="B370" s="1" t="n">
        <v>44322</v>
      </c>
      <c r="C370" s="1" t="n">
        <v>45802</v>
      </c>
      <c r="D370" t="inlineStr">
        <is>
          <t>DALARNAS LÄN</t>
        </is>
      </c>
      <c r="E370" t="inlineStr">
        <is>
          <t>ÄLVDALEN</t>
        </is>
      </c>
      <c r="F370" t="inlineStr">
        <is>
          <t>Allmännings- och besparingsskogar</t>
        </is>
      </c>
      <c r="G370" t="n">
        <v>2.5</v>
      </c>
      <c r="H370" t="n">
        <v>0</v>
      </c>
      <c r="I370" t="n">
        <v>0</v>
      </c>
      <c r="J370" t="n">
        <v>0</v>
      </c>
      <c r="K370" t="n">
        <v>0</v>
      </c>
      <c r="L370" t="n">
        <v>0</v>
      </c>
      <c r="M370" t="n">
        <v>0</v>
      </c>
      <c r="N370" t="n">
        <v>0</v>
      </c>
      <c r="O370" t="n">
        <v>0</v>
      </c>
      <c r="P370" t="n">
        <v>0</v>
      </c>
      <c r="Q370" t="n">
        <v>0</v>
      </c>
      <c r="R370" s="2" t="inlineStr"/>
    </row>
    <row r="371" ht="15" customHeight="1">
      <c r="A371" t="inlineStr">
        <is>
          <t>A 22454-2021</t>
        </is>
      </c>
      <c r="B371" s="1" t="n">
        <v>44326</v>
      </c>
      <c r="C371" s="1" t="n">
        <v>45802</v>
      </c>
      <c r="D371" t="inlineStr">
        <is>
          <t>DALARNAS LÄN</t>
        </is>
      </c>
      <c r="E371" t="inlineStr">
        <is>
          <t>ÄLVDALEN</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22761-2021</t>
        </is>
      </c>
      <c r="B372" s="1" t="n">
        <v>44327</v>
      </c>
      <c r="C372" s="1" t="n">
        <v>45802</v>
      </c>
      <c r="D372" t="inlineStr">
        <is>
          <t>DALARNAS LÄN</t>
        </is>
      </c>
      <c r="E372" t="inlineStr">
        <is>
          <t>ÄLVDALEN</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22760-2021</t>
        </is>
      </c>
      <c r="B373" s="1" t="n">
        <v>44327</v>
      </c>
      <c r="C373" s="1" t="n">
        <v>45802</v>
      </c>
      <c r="D373" t="inlineStr">
        <is>
          <t>DALARNAS LÄN</t>
        </is>
      </c>
      <c r="E373" t="inlineStr">
        <is>
          <t>ÄLVDALEN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22651-2021</t>
        </is>
      </c>
      <c r="B374" s="1" t="n">
        <v>44327</v>
      </c>
      <c r="C374" s="1" t="n">
        <v>45802</v>
      </c>
      <c r="D374" t="inlineStr">
        <is>
          <t>DALARNAS LÄN</t>
        </is>
      </c>
      <c r="E374" t="inlineStr">
        <is>
          <t>ÄLVDALEN</t>
        </is>
      </c>
      <c r="G374" t="n">
        <v>5.9</v>
      </c>
      <c r="H374" t="n">
        <v>0</v>
      </c>
      <c r="I374" t="n">
        <v>0</v>
      </c>
      <c r="J374" t="n">
        <v>0</v>
      </c>
      <c r="K374" t="n">
        <v>0</v>
      </c>
      <c r="L374" t="n">
        <v>0</v>
      </c>
      <c r="M374" t="n">
        <v>0</v>
      </c>
      <c r="N374" t="n">
        <v>0</v>
      </c>
      <c r="O374" t="n">
        <v>0</v>
      </c>
      <c r="P374" t="n">
        <v>0</v>
      </c>
      <c r="Q374" t="n">
        <v>0</v>
      </c>
      <c r="R374" s="2" t="inlineStr"/>
    </row>
    <row r="375" ht="15" customHeight="1">
      <c r="A375" t="inlineStr">
        <is>
          <t>A 24849-2021</t>
        </is>
      </c>
      <c r="B375" s="1" t="n">
        <v>44340</v>
      </c>
      <c r="C375" s="1" t="n">
        <v>45802</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26080-2021</t>
        </is>
      </c>
      <c r="B376" s="1" t="n">
        <v>44344</v>
      </c>
      <c r="C376" s="1" t="n">
        <v>45802</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26249-2021</t>
        </is>
      </c>
      <c r="B377" s="1" t="n">
        <v>44347</v>
      </c>
      <c r="C377" s="1" t="n">
        <v>45802</v>
      </c>
      <c r="D377" t="inlineStr">
        <is>
          <t>DALARNAS LÄN</t>
        </is>
      </c>
      <c r="E377" t="inlineStr">
        <is>
          <t>ÄLVDALEN</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26734-2021</t>
        </is>
      </c>
      <c r="B378" s="1" t="n">
        <v>44349</v>
      </c>
      <c r="C378" s="1" t="n">
        <v>45802</v>
      </c>
      <c r="D378" t="inlineStr">
        <is>
          <t>DALARNAS LÄN</t>
        </is>
      </c>
      <c r="E378" t="inlineStr">
        <is>
          <t>ÄLVDALEN</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26726-2021</t>
        </is>
      </c>
      <c r="B379" s="1" t="n">
        <v>44349</v>
      </c>
      <c r="C379" s="1" t="n">
        <v>45802</v>
      </c>
      <c r="D379" t="inlineStr">
        <is>
          <t>DALARNAS LÄN</t>
        </is>
      </c>
      <c r="E379" t="inlineStr">
        <is>
          <t>ÄLVDALEN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26874-2021</t>
        </is>
      </c>
      <c r="B380" s="1" t="n">
        <v>44349</v>
      </c>
      <c r="C380" s="1" t="n">
        <v>45802</v>
      </c>
      <c r="D380" t="inlineStr">
        <is>
          <t>DALARNAS LÄN</t>
        </is>
      </c>
      <c r="E380" t="inlineStr">
        <is>
          <t>ÄLVDALEN</t>
        </is>
      </c>
      <c r="F380" t="inlineStr">
        <is>
          <t>Bergvik skog öst AB</t>
        </is>
      </c>
      <c r="G380" t="n">
        <v>3.2</v>
      </c>
      <c r="H380" t="n">
        <v>0</v>
      </c>
      <c r="I380" t="n">
        <v>0</v>
      </c>
      <c r="J380" t="n">
        <v>0</v>
      </c>
      <c r="K380" t="n">
        <v>0</v>
      </c>
      <c r="L380" t="n">
        <v>0</v>
      </c>
      <c r="M380" t="n">
        <v>0</v>
      </c>
      <c r="N380" t="n">
        <v>0</v>
      </c>
      <c r="O380" t="n">
        <v>0</v>
      </c>
      <c r="P380" t="n">
        <v>0</v>
      </c>
      <c r="Q380" t="n">
        <v>0</v>
      </c>
      <c r="R380" s="2" t="inlineStr"/>
    </row>
    <row r="381" ht="15" customHeight="1">
      <c r="A381" t="inlineStr">
        <is>
          <t>A 27022-2021</t>
        </is>
      </c>
      <c r="B381" s="1" t="n">
        <v>44350</v>
      </c>
      <c r="C381" s="1" t="n">
        <v>45802</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28011-2021</t>
        </is>
      </c>
      <c r="B382" s="1" t="n">
        <v>44355</v>
      </c>
      <c r="C382" s="1" t="n">
        <v>45802</v>
      </c>
      <c r="D382" t="inlineStr">
        <is>
          <t>DALARNAS LÄN</t>
        </is>
      </c>
      <c r="E382" t="inlineStr">
        <is>
          <t>ÄLVDALEN</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28712-2021</t>
        </is>
      </c>
      <c r="B383" s="1" t="n">
        <v>44357</v>
      </c>
      <c r="C383" s="1" t="n">
        <v>45802</v>
      </c>
      <c r="D383" t="inlineStr">
        <is>
          <t>DALARNAS LÄN</t>
        </is>
      </c>
      <c r="E383" t="inlineStr">
        <is>
          <t>ÄLVDALEN</t>
        </is>
      </c>
      <c r="G383" t="n">
        <v>2</v>
      </c>
      <c r="H383" t="n">
        <v>0</v>
      </c>
      <c r="I383" t="n">
        <v>0</v>
      </c>
      <c r="J383" t="n">
        <v>0</v>
      </c>
      <c r="K383" t="n">
        <v>0</v>
      </c>
      <c r="L383" t="n">
        <v>0</v>
      </c>
      <c r="M383" t="n">
        <v>0</v>
      </c>
      <c r="N383" t="n">
        <v>0</v>
      </c>
      <c r="O383" t="n">
        <v>0</v>
      </c>
      <c r="P383" t="n">
        <v>0</v>
      </c>
      <c r="Q383" t="n">
        <v>0</v>
      </c>
      <c r="R383" s="2" t="inlineStr"/>
    </row>
    <row r="384" ht="15" customHeight="1">
      <c r="A384" t="inlineStr">
        <is>
          <t>A 30255-2021</t>
        </is>
      </c>
      <c r="B384" s="1" t="n">
        <v>44363</v>
      </c>
      <c r="C384" s="1" t="n">
        <v>45802</v>
      </c>
      <c r="D384" t="inlineStr">
        <is>
          <t>DALARNAS LÄN</t>
        </is>
      </c>
      <c r="E384" t="inlineStr">
        <is>
          <t>ÄLVDALEN</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30254-2021</t>
        </is>
      </c>
      <c r="B385" s="1" t="n">
        <v>44363</v>
      </c>
      <c r="C385" s="1" t="n">
        <v>45802</v>
      </c>
      <c r="D385" t="inlineStr">
        <is>
          <t>DALARNAS LÄN</t>
        </is>
      </c>
      <c r="E385" t="inlineStr">
        <is>
          <t>ÄLVDALEN</t>
        </is>
      </c>
      <c r="F385" t="inlineStr">
        <is>
          <t>Sveaskog</t>
        </is>
      </c>
      <c r="G385" t="n">
        <v>8.1</v>
      </c>
      <c r="H385" t="n">
        <v>0</v>
      </c>
      <c r="I385" t="n">
        <v>0</v>
      </c>
      <c r="J385" t="n">
        <v>0</v>
      </c>
      <c r="K385" t="n">
        <v>0</v>
      </c>
      <c r="L385" t="n">
        <v>0</v>
      </c>
      <c r="M385" t="n">
        <v>0</v>
      </c>
      <c r="N385" t="n">
        <v>0</v>
      </c>
      <c r="O385" t="n">
        <v>0</v>
      </c>
      <c r="P385" t="n">
        <v>0</v>
      </c>
      <c r="Q385" t="n">
        <v>0</v>
      </c>
      <c r="R385" s="2" t="inlineStr"/>
    </row>
    <row r="386" ht="15" customHeight="1">
      <c r="A386" t="inlineStr">
        <is>
          <t>A 30249-2021</t>
        </is>
      </c>
      <c r="B386" s="1" t="n">
        <v>44363</v>
      </c>
      <c r="C386" s="1" t="n">
        <v>45802</v>
      </c>
      <c r="D386" t="inlineStr">
        <is>
          <t>DALARNAS LÄN</t>
        </is>
      </c>
      <c r="E386" t="inlineStr">
        <is>
          <t>ÄLVDALEN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30355-2021</t>
        </is>
      </c>
      <c r="B387" s="1" t="n">
        <v>44364</v>
      </c>
      <c r="C387" s="1" t="n">
        <v>45802</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30797-2021</t>
        </is>
      </c>
      <c r="B388" s="1" t="n">
        <v>44365</v>
      </c>
      <c r="C388" s="1" t="n">
        <v>45802</v>
      </c>
      <c r="D388" t="inlineStr">
        <is>
          <t>DALARNAS LÄN</t>
        </is>
      </c>
      <c r="E388" t="inlineStr">
        <is>
          <t>ÄLVDALEN</t>
        </is>
      </c>
      <c r="G388" t="n">
        <v>2.1</v>
      </c>
      <c r="H388" t="n">
        <v>0</v>
      </c>
      <c r="I388" t="n">
        <v>0</v>
      </c>
      <c r="J388" t="n">
        <v>0</v>
      </c>
      <c r="K388" t="n">
        <v>0</v>
      </c>
      <c r="L388" t="n">
        <v>0</v>
      </c>
      <c r="M388" t="n">
        <v>0</v>
      </c>
      <c r="N388" t="n">
        <v>0</v>
      </c>
      <c r="O388" t="n">
        <v>0</v>
      </c>
      <c r="P388" t="n">
        <v>0</v>
      </c>
      <c r="Q388" t="n">
        <v>0</v>
      </c>
      <c r="R388" s="2" t="inlineStr"/>
    </row>
    <row r="389" ht="15" customHeight="1">
      <c r="A389" t="inlineStr">
        <is>
          <t>A 30799-2021</t>
        </is>
      </c>
      <c r="B389" s="1" t="n">
        <v>44365</v>
      </c>
      <c r="C389" s="1" t="n">
        <v>45802</v>
      </c>
      <c r="D389" t="inlineStr">
        <is>
          <t>DALARNAS LÄN</t>
        </is>
      </c>
      <c r="E389" t="inlineStr">
        <is>
          <t>ÄLVDALEN</t>
        </is>
      </c>
      <c r="G389" t="n">
        <v>1.2</v>
      </c>
      <c r="H389" t="n">
        <v>0</v>
      </c>
      <c r="I389" t="n">
        <v>0</v>
      </c>
      <c r="J389" t="n">
        <v>0</v>
      </c>
      <c r="K389" t="n">
        <v>0</v>
      </c>
      <c r="L389" t="n">
        <v>0</v>
      </c>
      <c r="M389" t="n">
        <v>0</v>
      </c>
      <c r="N389" t="n">
        <v>0</v>
      </c>
      <c r="O389" t="n">
        <v>0</v>
      </c>
      <c r="P389" t="n">
        <v>0</v>
      </c>
      <c r="Q389" t="n">
        <v>0</v>
      </c>
      <c r="R389" s="2" t="inlineStr"/>
    </row>
    <row r="390" ht="15" customHeight="1">
      <c r="A390" t="inlineStr">
        <is>
          <t>A 30972-2021</t>
        </is>
      </c>
      <c r="B390" s="1" t="n">
        <v>44365</v>
      </c>
      <c r="C390" s="1" t="n">
        <v>45802</v>
      </c>
      <c r="D390" t="inlineStr">
        <is>
          <t>DALARNAS LÄN</t>
        </is>
      </c>
      <c r="E390" t="inlineStr">
        <is>
          <t>ÄLVDALEN</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30969-2021</t>
        </is>
      </c>
      <c r="B391" s="1" t="n">
        <v>44365</v>
      </c>
      <c r="C391" s="1" t="n">
        <v>45802</v>
      </c>
      <c r="D391" t="inlineStr">
        <is>
          <t>DALARNAS LÄN</t>
        </is>
      </c>
      <c r="E391" t="inlineStr">
        <is>
          <t>ÄLVDALEN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31167-2021</t>
        </is>
      </c>
      <c r="B392" s="1" t="n">
        <v>44368</v>
      </c>
      <c r="C392" s="1" t="n">
        <v>45802</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31714-2021</t>
        </is>
      </c>
      <c r="B393" s="1" t="n">
        <v>44369</v>
      </c>
      <c r="C393" s="1" t="n">
        <v>45802</v>
      </c>
      <c r="D393" t="inlineStr">
        <is>
          <t>DALARNAS LÄN</t>
        </is>
      </c>
      <c r="E393" t="inlineStr">
        <is>
          <t>ÄLVDALEN</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32009-2021</t>
        </is>
      </c>
      <c r="B394" s="1" t="n">
        <v>44370</v>
      </c>
      <c r="C394" s="1" t="n">
        <v>45802</v>
      </c>
      <c r="D394" t="inlineStr">
        <is>
          <t>DALARNAS LÄN</t>
        </is>
      </c>
      <c r="E394" t="inlineStr">
        <is>
          <t>ÄLVDALEN</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32362-2021</t>
        </is>
      </c>
      <c r="B395" s="1" t="n">
        <v>44371</v>
      </c>
      <c r="C395" s="1" t="n">
        <v>45802</v>
      </c>
      <c r="D395" t="inlineStr">
        <is>
          <t>DALARNAS LÄN</t>
        </is>
      </c>
      <c r="E395" t="inlineStr">
        <is>
          <t>ÄLVDALEN</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33690-2021</t>
        </is>
      </c>
      <c r="B396" s="1" t="n">
        <v>44378</v>
      </c>
      <c r="C396" s="1" t="n">
        <v>45802</v>
      </c>
      <c r="D396" t="inlineStr">
        <is>
          <t>DALARNAS LÄN</t>
        </is>
      </c>
      <c r="E396" t="inlineStr">
        <is>
          <t>ÄLVDALEN</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33689-2021</t>
        </is>
      </c>
      <c r="B397" s="1" t="n">
        <v>44378</v>
      </c>
      <c r="C397" s="1" t="n">
        <v>45802</v>
      </c>
      <c r="D397" t="inlineStr">
        <is>
          <t>DALARNAS LÄN</t>
        </is>
      </c>
      <c r="E397" t="inlineStr">
        <is>
          <t>ÄLVDALEN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36134-2021</t>
        </is>
      </c>
      <c r="B398" s="1" t="n">
        <v>44389</v>
      </c>
      <c r="C398" s="1" t="n">
        <v>45802</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36825-2021</t>
        </is>
      </c>
      <c r="B399" s="1" t="n">
        <v>44393</v>
      </c>
      <c r="C399" s="1" t="n">
        <v>45802</v>
      </c>
      <c r="D399" t="inlineStr">
        <is>
          <t>DALARNAS LÄN</t>
        </is>
      </c>
      <c r="E399" t="inlineStr">
        <is>
          <t>ÄLVDALEN</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36846-2021</t>
        </is>
      </c>
      <c r="B400" s="1" t="n">
        <v>44393</v>
      </c>
      <c r="C400" s="1" t="n">
        <v>45802</v>
      </c>
      <c r="D400" t="inlineStr">
        <is>
          <t>DALARNAS LÄN</t>
        </is>
      </c>
      <c r="E400" t="inlineStr">
        <is>
          <t>ÄLVDALEN</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36826-2021</t>
        </is>
      </c>
      <c r="B401" s="1" t="n">
        <v>44393</v>
      </c>
      <c r="C401" s="1" t="n">
        <v>45802</v>
      </c>
      <c r="D401" t="inlineStr">
        <is>
          <t>DALARNAS LÄN</t>
        </is>
      </c>
      <c r="E401" t="inlineStr">
        <is>
          <t>ÄLVDALEN</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36824-2021</t>
        </is>
      </c>
      <c r="B402" s="1" t="n">
        <v>44393</v>
      </c>
      <c r="C402" s="1" t="n">
        <v>45802</v>
      </c>
      <c r="D402" t="inlineStr">
        <is>
          <t>DALARNAS LÄN</t>
        </is>
      </c>
      <c r="E402" t="inlineStr">
        <is>
          <t>ÄLVDALEN</t>
        </is>
      </c>
      <c r="F402" t="inlineStr">
        <is>
          <t>Sveaskog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37009-2021</t>
        </is>
      </c>
      <c r="B403" s="1" t="n">
        <v>44393</v>
      </c>
      <c r="C403" s="1" t="n">
        <v>45802</v>
      </c>
      <c r="D403" t="inlineStr">
        <is>
          <t>DALARNAS LÄN</t>
        </is>
      </c>
      <c r="E403" t="inlineStr">
        <is>
          <t>ÄLVDALEN</t>
        </is>
      </c>
      <c r="F403" t="inlineStr">
        <is>
          <t>Bergvik skog öst AB</t>
        </is>
      </c>
      <c r="G403" t="n">
        <v>3.3</v>
      </c>
      <c r="H403" t="n">
        <v>0</v>
      </c>
      <c r="I403" t="n">
        <v>0</v>
      </c>
      <c r="J403" t="n">
        <v>0</v>
      </c>
      <c r="K403" t="n">
        <v>0</v>
      </c>
      <c r="L403" t="n">
        <v>0</v>
      </c>
      <c r="M403" t="n">
        <v>0</v>
      </c>
      <c r="N403" t="n">
        <v>0</v>
      </c>
      <c r="O403" t="n">
        <v>0</v>
      </c>
      <c r="P403" t="n">
        <v>0</v>
      </c>
      <c r="Q403" t="n">
        <v>0</v>
      </c>
      <c r="R403" s="2" t="inlineStr"/>
    </row>
    <row r="404" ht="15" customHeight="1">
      <c r="A404" t="inlineStr">
        <is>
          <t>A 37490-2021</t>
        </is>
      </c>
      <c r="B404" s="1" t="n">
        <v>44399</v>
      </c>
      <c r="C404" s="1" t="n">
        <v>45802</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39064-2021</t>
        </is>
      </c>
      <c r="B405" s="1" t="n">
        <v>44411</v>
      </c>
      <c r="C405" s="1" t="n">
        <v>45802</v>
      </c>
      <c r="D405" t="inlineStr">
        <is>
          <t>DALARNAS LÄN</t>
        </is>
      </c>
      <c r="E405" t="inlineStr">
        <is>
          <t>ÄLVDALEN</t>
        </is>
      </c>
      <c r="F405" t="inlineStr">
        <is>
          <t>Övriga statliga verk och myndigheter</t>
        </is>
      </c>
      <c r="G405" t="n">
        <v>4.5</v>
      </c>
      <c r="H405" t="n">
        <v>0</v>
      </c>
      <c r="I405" t="n">
        <v>0</v>
      </c>
      <c r="J405" t="n">
        <v>0</v>
      </c>
      <c r="K405" t="n">
        <v>0</v>
      </c>
      <c r="L405" t="n">
        <v>0</v>
      </c>
      <c r="M405" t="n">
        <v>0</v>
      </c>
      <c r="N405" t="n">
        <v>0</v>
      </c>
      <c r="O405" t="n">
        <v>0</v>
      </c>
      <c r="P405" t="n">
        <v>0</v>
      </c>
      <c r="Q405" t="n">
        <v>0</v>
      </c>
      <c r="R405" s="2" t="inlineStr"/>
    </row>
    <row r="406" ht="15" customHeight="1">
      <c r="A406" t="inlineStr">
        <is>
          <t>A 38957-2021</t>
        </is>
      </c>
      <c r="B406" s="1" t="n">
        <v>44411</v>
      </c>
      <c r="C406" s="1" t="n">
        <v>45802</v>
      </c>
      <c r="D406" t="inlineStr">
        <is>
          <t>DALARNAS LÄN</t>
        </is>
      </c>
      <c r="E406" t="inlineStr">
        <is>
          <t>ÄLVDALEN</t>
        </is>
      </c>
      <c r="G406" t="n">
        <v>4.6</v>
      </c>
      <c r="H406" t="n">
        <v>0</v>
      </c>
      <c r="I406" t="n">
        <v>0</v>
      </c>
      <c r="J406" t="n">
        <v>0</v>
      </c>
      <c r="K406" t="n">
        <v>0</v>
      </c>
      <c r="L406" t="n">
        <v>0</v>
      </c>
      <c r="M406" t="n">
        <v>0</v>
      </c>
      <c r="N406" t="n">
        <v>0</v>
      </c>
      <c r="O406" t="n">
        <v>0</v>
      </c>
      <c r="P406" t="n">
        <v>0</v>
      </c>
      <c r="Q406" t="n">
        <v>0</v>
      </c>
      <c r="R406" s="2" t="inlineStr"/>
    </row>
    <row r="407" ht="15" customHeight="1">
      <c r="A407" t="inlineStr">
        <is>
          <t>A 39199-2021</t>
        </is>
      </c>
      <c r="B407" s="1" t="n">
        <v>44412</v>
      </c>
      <c r="C407" s="1" t="n">
        <v>45802</v>
      </c>
      <c r="D407" t="inlineStr">
        <is>
          <t>DALARNAS LÄN</t>
        </is>
      </c>
      <c r="E407" t="inlineStr">
        <is>
          <t>ÄLVDALEN</t>
        </is>
      </c>
      <c r="F407" t="inlineStr">
        <is>
          <t>Övriga statliga verk och myndigheter</t>
        </is>
      </c>
      <c r="G407" t="n">
        <v>5.2</v>
      </c>
      <c r="H407" t="n">
        <v>0</v>
      </c>
      <c r="I407" t="n">
        <v>0</v>
      </c>
      <c r="J407" t="n">
        <v>0</v>
      </c>
      <c r="K407" t="n">
        <v>0</v>
      </c>
      <c r="L407" t="n">
        <v>0</v>
      </c>
      <c r="M407" t="n">
        <v>0</v>
      </c>
      <c r="N407" t="n">
        <v>0</v>
      </c>
      <c r="O407" t="n">
        <v>0</v>
      </c>
      <c r="P407" t="n">
        <v>0</v>
      </c>
      <c r="Q407" t="n">
        <v>0</v>
      </c>
      <c r="R407" s="2" t="inlineStr"/>
    </row>
    <row r="408" ht="15" customHeight="1">
      <c r="A408" t="inlineStr">
        <is>
          <t>A 39267-2021</t>
        </is>
      </c>
      <c r="B408" s="1" t="n">
        <v>44413</v>
      </c>
      <c r="C408" s="1" t="n">
        <v>45802</v>
      </c>
      <c r="D408" t="inlineStr">
        <is>
          <t>DALARNAS LÄN</t>
        </is>
      </c>
      <c r="E408" t="inlineStr">
        <is>
          <t>ÄLVDALEN</t>
        </is>
      </c>
      <c r="G408" t="n">
        <v>2.4</v>
      </c>
      <c r="H408" t="n">
        <v>0</v>
      </c>
      <c r="I408" t="n">
        <v>0</v>
      </c>
      <c r="J408" t="n">
        <v>0</v>
      </c>
      <c r="K408" t="n">
        <v>0</v>
      </c>
      <c r="L408" t="n">
        <v>0</v>
      </c>
      <c r="M408" t="n">
        <v>0</v>
      </c>
      <c r="N408" t="n">
        <v>0</v>
      </c>
      <c r="O408" t="n">
        <v>0</v>
      </c>
      <c r="P408" t="n">
        <v>0</v>
      </c>
      <c r="Q408" t="n">
        <v>0</v>
      </c>
      <c r="R408" s="2" t="inlineStr"/>
    </row>
    <row r="409" ht="15" customHeight="1">
      <c r="A409" t="inlineStr">
        <is>
          <t>A 40234-2021</t>
        </is>
      </c>
      <c r="B409" s="1" t="n">
        <v>44419</v>
      </c>
      <c r="C409" s="1" t="n">
        <v>45802</v>
      </c>
      <c r="D409" t="inlineStr">
        <is>
          <t>DALARNAS LÄN</t>
        </is>
      </c>
      <c r="E409" t="inlineStr">
        <is>
          <t>ÄLVDALEN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40235-2021</t>
        </is>
      </c>
      <c r="B410" s="1" t="n">
        <v>44419</v>
      </c>
      <c r="C410" s="1" t="n">
        <v>45802</v>
      </c>
      <c r="D410" t="inlineStr">
        <is>
          <t>DALARNAS LÄN</t>
        </is>
      </c>
      <c r="E410" t="inlineStr">
        <is>
          <t>ÄLVDALEN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40919-2021</t>
        </is>
      </c>
      <c r="B411" s="1" t="n">
        <v>44421</v>
      </c>
      <c r="C411" s="1" t="n">
        <v>45802</v>
      </c>
      <c r="D411" t="inlineStr">
        <is>
          <t>DALARNAS LÄN</t>
        </is>
      </c>
      <c r="E411" t="inlineStr">
        <is>
          <t>ÄLVDALEN</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41020-2021</t>
        </is>
      </c>
      <c r="B412" s="1" t="n">
        <v>44421</v>
      </c>
      <c r="C412" s="1" t="n">
        <v>45802</v>
      </c>
      <c r="D412" t="inlineStr">
        <is>
          <t>DALARNAS LÄN</t>
        </is>
      </c>
      <c r="E412" t="inlineStr">
        <is>
          <t>ÄLVDALEN</t>
        </is>
      </c>
      <c r="G412" t="n">
        <v>5.5</v>
      </c>
      <c r="H412" t="n">
        <v>0</v>
      </c>
      <c r="I412" t="n">
        <v>0</v>
      </c>
      <c r="J412" t="n">
        <v>0</v>
      </c>
      <c r="K412" t="n">
        <v>0</v>
      </c>
      <c r="L412" t="n">
        <v>0</v>
      </c>
      <c r="M412" t="n">
        <v>0</v>
      </c>
      <c r="N412" t="n">
        <v>0</v>
      </c>
      <c r="O412" t="n">
        <v>0</v>
      </c>
      <c r="P412" t="n">
        <v>0</v>
      </c>
      <c r="Q412" t="n">
        <v>0</v>
      </c>
      <c r="R412" s="2" t="inlineStr"/>
    </row>
    <row r="413" ht="15" customHeight="1">
      <c r="A413" t="inlineStr">
        <is>
          <t>A 43972-2021</t>
        </is>
      </c>
      <c r="B413" s="1" t="n">
        <v>44434</v>
      </c>
      <c r="C413" s="1" t="n">
        <v>45802</v>
      </c>
      <c r="D413" t="inlineStr">
        <is>
          <t>DALARNAS LÄN</t>
        </is>
      </c>
      <c r="E413" t="inlineStr">
        <is>
          <t>ÄLVDALEN</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44386-2021</t>
        </is>
      </c>
      <c r="B414" s="1" t="n">
        <v>44435</v>
      </c>
      <c r="C414" s="1" t="n">
        <v>45802</v>
      </c>
      <c r="D414" t="inlineStr">
        <is>
          <t>DALARNAS LÄN</t>
        </is>
      </c>
      <c r="E414" t="inlineStr">
        <is>
          <t>ÄLVDALEN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44413-2021</t>
        </is>
      </c>
      <c r="B415" s="1" t="n">
        <v>44435</v>
      </c>
      <c r="C415" s="1" t="n">
        <v>45802</v>
      </c>
      <c r="D415" t="inlineStr">
        <is>
          <t>DALARNAS LÄN</t>
        </is>
      </c>
      <c r="E415" t="inlineStr">
        <is>
          <t>ÄLVDALEN</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48558-2021</t>
        </is>
      </c>
      <c r="B416" s="1" t="n">
        <v>44452</v>
      </c>
      <c r="C416" s="1" t="n">
        <v>45802</v>
      </c>
      <c r="D416" t="inlineStr">
        <is>
          <t>DALARNAS LÄN</t>
        </is>
      </c>
      <c r="E416" t="inlineStr">
        <is>
          <t>ÄLVDALEN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48608-2021</t>
        </is>
      </c>
      <c r="B417" s="1" t="n">
        <v>44452</v>
      </c>
      <c r="C417" s="1" t="n">
        <v>45802</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48772-2021</t>
        </is>
      </c>
      <c r="B418" s="1" t="n">
        <v>44452</v>
      </c>
      <c r="C418" s="1" t="n">
        <v>45802</v>
      </c>
      <c r="D418" t="inlineStr">
        <is>
          <t>DALARNAS LÄN</t>
        </is>
      </c>
      <c r="E418" t="inlineStr">
        <is>
          <t>ÄLVDALEN</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49495-2021</t>
        </is>
      </c>
      <c r="B419" s="1" t="n">
        <v>44455</v>
      </c>
      <c r="C419" s="1" t="n">
        <v>45802</v>
      </c>
      <c r="D419" t="inlineStr">
        <is>
          <t>DALARNAS LÄN</t>
        </is>
      </c>
      <c r="E419" t="inlineStr">
        <is>
          <t>ÄLVDALEN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49862-2021</t>
        </is>
      </c>
      <c r="B420" s="1" t="n">
        <v>44455</v>
      </c>
      <c r="C420" s="1" t="n">
        <v>45802</v>
      </c>
      <c r="D420" t="inlineStr">
        <is>
          <t>DALARNAS LÄN</t>
        </is>
      </c>
      <c r="E420" t="inlineStr">
        <is>
          <t>ÄLVDALEN</t>
        </is>
      </c>
      <c r="F420" t="inlineStr">
        <is>
          <t>Allmännings- och besparingsskogar</t>
        </is>
      </c>
      <c r="G420" t="n">
        <v>51.2</v>
      </c>
      <c r="H420" t="n">
        <v>0</v>
      </c>
      <c r="I420" t="n">
        <v>0</v>
      </c>
      <c r="J420" t="n">
        <v>0</v>
      </c>
      <c r="K420" t="n">
        <v>0</v>
      </c>
      <c r="L420" t="n">
        <v>0</v>
      </c>
      <c r="M420" t="n">
        <v>0</v>
      </c>
      <c r="N420" t="n">
        <v>0</v>
      </c>
      <c r="O420" t="n">
        <v>0</v>
      </c>
      <c r="P420" t="n">
        <v>0</v>
      </c>
      <c r="Q420" t="n">
        <v>0</v>
      </c>
      <c r="R420" s="2" t="inlineStr"/>
    </row>
    <row r="421" ht="15" customHeight="1">
      <c r="A421" t="inlineStr">
        <is>
          <t>A 50265-2021</t>
        </is>
      </c>
      <c r="B421" s="1" t="n">
        <v>44459</v>
      </c>
      <c r="C421" s="1" t="n">
        <v>45802</v>
      </c>
      <c r="D421" t="inlineStr">
        <is>
          <t>DALARNAS LÄN</t>
        </is>
      </c>
      <c r="E421" t="inlineStr">
        <is>
          <t>ÄLVDALEN</t>
        </is>
      </c>
      <c r="F421" t="inlineStr">
        <is>
          <t>Sveaskog</t>
        </is>
      </c>
      <c r="G421" t="n">
        <v>9.5</v>
      </c>
      <c r="H421" t="n">
        <v>0</v>
      </c>
      <c r="I421" t="n">
        <v>0</v>
      </c>
      <c r="J421" t="n">
        <v>0</v>
      </c>
      <c r="K421" t="n">
        <v>0</v>
      </c>
      <c r="L421" t="n">
        <v>0</v>
      </c>
      <c r="M421" t="n">
        <v>0</v>
      </c>
      <c r="N421" t="n">
        <v>0</v>
      </c>
      <c r="O421" t="n">
        <v>0</v>
      </c>
      <c r="P421" t="n">
        <v>0</v>
      </c>
      <c r="Q421" t="n">
        <v>0</v>
      </c>
      <c r="R421" s="2" t="inlineStr"/>
    </row>
    <row r="422" ht="15" customHeight="1">
      <c r="A422" t="inlineStr">
        <is>
          <t>A 50341-2021</t>
        </is>
      </c>
      <c r="B422" s="1" t="n">
        <v>44459</v>
      </c>
      <c r="C422" s="1" t="n">
        <v>45802</v>
      </c>
      <c r="D422" t="inlineStr">
        <is>
          <t>DALARNAS LÄN</t>
        </is>
      </c>
      <c r="E422" t="inlineStr">
        <is>
          <t>ÄLVDALEN</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50349-2021</t>
        </is>
      </c>
      <c r="B423" s="1" t="n">
        <v>44459</v>
      </c>
      <c r="C423" s="1" t="n">
        <v>45802</v>
      </c>
      <c r="D423" t="inlineStr">
        <is>
          <t>DALARNAS LÄN</t>
        </is>
      </c>
      <c r="E423" t="inlineStr">
        <is>
          <t>ÄLVDALEN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50708-2021</t>
        </is>
      </c>
      <c r="B424" s="1" t="n">
        <v>44459</v>
      </c>
      <c r="C424" s="1" t="n">
        <v>45802</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51161-2021</t>
        </is>
      </c>
      <c r="B425" s="1" t="n">
        <v>44461</v>
      </c>
      <c r="C425" s="1" t="n">
        <v>45802</v>
      </c>
      <c r="D425" t="inlineStr">
        <is>
          <t>DALARNAS LÄN</t>
        </is>
      </c>
      <c r="E425" t="inlineStr">
        <is>
          <t>ÄLVDALEN</t>
        </is>
      </c>
      <c r="G425" t="n">
        <v>2</v>
      </c>
      <c r="H425" t="n">
        <v>0</v>
      </c>
      <c r="I425" t="n">
        <v>0</v>
      </c>
      <c r="J425" t="n">
        <v>0</v>
      </c>
      <c r="K425" t="n">
        <v>0</v>
      </c>
      <c r="L425" t="n">
        <v>0</v>
      </c>
      <c r="M425" t="n">
        <v>0</v>
      </c>
      <c r="N425" t="n">
        <v>0</v>
      </c>
      <c r="O425" t="n">
        <v>0</v>
      </c>
      <c r="P425" t="n">
        <v>0</v>
      </c>
      <c r="Q425" t="n">
        <v>0</v>
      </c>
      <c r="R425" s="2" t="inlineStr"/>
    </row>
    <row r="426" ht="15" customHeight="1">
      <c r="A426" t="inlineStr">
        <is>
          <t>A 51844-2021</t>
        </is>
      </c>
      <c r="B426" s="1" t="n">
        <v>44462</v>
      </c>
      <c r="C426" s="1" t="n">
        <v>45802</v>
      </c>
      <c r="D426" t="inlineStr">
        <is>
          <t>DALARNAS LÄN</t>
        </is>
      </c>
      <c r="E426" t="inlineStr">
        <is>
          <t>ÄLVDALEN</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52124-2021</t>
        </is>
      </c>
      <c r="B427" s="1" t="n">
        <v>44463</v>
      </c>
      <c r="C427" s="1" t="n">
        <v>45802</v>
      </c>
      <c r="D427" t="inlineStr">
        <is>
          <t>DALARNAS LÄN</t>
        </is>
      </c>
      <c r="E427" t="inlineStr">
        <is>
          <t>ÄLVDALEN</t>
        </is>
      </c>
      <c r="G427" t="n">
        <v>2.5</v>
      </c>
      <c r="H427" t="n">
        <v>0</v>
      </c>
      <c r="I427" t="n">
        <v>0</v>
      </c>
      <c r="J427" t="n">
        <v>0</v>
      </c>
      <c r="K427" t="n">
        <v>0</v>
      </c>
      <c r="L427" t="n">
        <v>0</v>
      </c>
      <c r="M427" t="n">
        <v>0</v>
      </c>
      <c r="N427" t="n">
        <v>0</v>
      </c>
      <c r="O427" t="n">
        <v>0</v>
      </c>
      <c r="P427" t="n">
        <v>0</v>
      </c>
      <c r="Q427" t="n">
        <v>0</v>
      </c>
      <c r="R427" s="2" t="inlineStr"/>
    </row>
    <row r="428" ht="15" customHeight="1">
      <c r="A428" t="inlineStr">
        <is>
          <t>A 52877-2021</t>
        </is>
      </c>
      <c r="B428" s="1" t="n">
        <v>44467</v>
      </c>
      <c r="C428" s="1" t="n">
        <v>45802</v>
      </c>
      <c r="D428" t="inlineStr">
        <is>
          <t>DALARNAS LÄN</t>
        </is>
      </c>
      <c r="E428" t="inlineStr">
        <is>
          <t>ÄLVDALEN</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52866-2021</t>
        </is>
      </c>
      <c r="B429" s="1" t="n">
        <v>44467</v>
      </c>
      <c r="C429" s="1" t="n">
        <v>45802</v>
      </c>
      <c r="D429" t="inlineStr">
        <is>
          <t>DALARNAS LÄN</t>
        </is>
      </c>
      <c r="E429" t="inlineStr">
        <is>
          <t>ÄLVDALEN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52873-2021</t>
        </is>
      </c>
      <c r="B430" s="1" t="n">
        <v>44467</v>
      </c>
      <c r="C430" s="1" t="n">
        <v>45802</v>
      </c>
      <c r="D430" t="inlineStr">
        <is>
          <t>DALARNAS LÄN</t>
        </is>
      </c>
      <c r="E430" t="inlineStr">
        <is>
          <t>ÄLVDALEN</t>
        </is>
      </c>
      <c r="F430" t="inlineStr">
        <is>
          <t>Sveaskog</t>
        </is>
      </c>
      <c r="G430" t="n">
        <v>14.2</v>
      </c>
      <c r="H430" t="n">
        <v>0</v>
      </c>
      <c r="I430" t="n">
        <v>0</v>
      </c>
      <c r="J430" t="n">
        <v>0</v>
      </c>
      <c r="K430" t="n">
        <v>0</v>
      </c>
      <c r="L430" t="n">
        <v>0</v>
      </c>
      <c r="M430" t="n">
        <v>0</v>
      </c>
      <c r="N430" t="n">
        <v>0</v>
      </c>
      <c r="O430" t="n">
        <v>0</v>
      </c>
      <c r="P430" t="n">
        <v>0</v>
      </c>
      <c r="Q430" t="n">
        <v>0</v>
      </c>
      <c r="R430" s="2" t="inlineStr"/>
    </row>
    <row r="431" ht="15" customHeight="1">
      <c r="A431" t="inlineStr">
        <is>
          <t>A 54292-2021</t>
        </is>
      </c>
      <c r="B431" s="1" t="n">
        <v>44471</v>
      </c>
      <c r="C431" s="1" t="n">
        <v>45802</v>
      </c>
      <c r="D431" t="inlineStr">
        <is>
          <t>DALARNAS LÄN</t>
        </is>
      </c>
      <c r="E431" t="inlineStr">
        <is>
          <t>ÄLVDALEN</t>
        </is>
      </c>
      <c r="G431" t="n">
        <v>3.1</v>
      </c>
      <c r="H431" t="n">
        <v>0</v>
      </c>
      <c r="I431" t="n">
        <v>0</v>
      </c>
      <c r="J431" t="n">
        <v>0</v>
      </c>
      <c r="K431" t="n">
        <v>0</v>
      </c>
      <c r="L431" t="n">
        <v>0</v>
      </c>
      <c r="M431" t="n">
        <v>0</v>
      </c>
      <c r="N431" t="n">
        <v>0</v>
      </c>
      <c r="O431" t="n">
        <v>0</v>
      </c>
      <c r="P431" t="n">
        <v>0</v>
      </c>
      <c r="Q431" t="n">
        <v>0</v>
      </c>
      <c r="R431" s="2" t="inlineStr"/>
    </row>
    <row r="432" ht="15" customHeight="1">
      <c r="A432" t="inlineStr">
        <is>
          <t>A 54387-2021</t>
        </is>
      </c>
      <c r="B432" s="1" t="n">
        <v>44473</v>
      </c>
      <c r="C432" s="1" t="n">
        <v>45802</v>
      </c>
      <c r="D432" t="inlineStr">
        <is>
          <t>DALARNAS LÄN</t>
        </is>
      </c>
      <c r="E432" t="inlineStr">
        <is>
          <t>ÄLVDALEN</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55778-2021</t>
        </is>
      </c>
      <c r="B433" s="1" t="n">
        <v>44476</v>
      </c>
      <c r="C433" s="1" t="n">
        <v>45802</v>
      </c>
      <c r="D433" t="inlineStr">
        <is>
          <t>DALARNAS LÄN</t>
        </is>
      </c>
      <c r="E433" t="inlineStr">
        <is>
          <t>ÄLVDALEN</t>
        </is>
      </c>
      <c r="G433" t="n">
        <v>3.2</v>
      </c>
      <c r="H433" t="n">
        <v>0</v>
      </c>
      <c r="I433" t="n">
        <v>0</v>
      </c>
      <c r="J433" t="n">
        <v>0</v>
      </c>
      <c r="K433" t="n">
        <v>0</v>
      </c>
      <c r="L433" t="n">
        <v>0</v>
      </c>
      <c r="M433" t="n">
        <v>0</v>
      </c>
      <c r="N433" t="n">
        <v>0</v>
      </c>
      <c r="O433" t="n">
        <v>0</v>
      </c>
      <c r="P433" t="n">
        <v>0</v>
      </c>
      <c r="Q433" t="n">
        <v>0</v>
      </c>
      <c r="R433" s="2" t="inlineStr"/>
    </row>
    <row r="434" ht="15" customHeight="1">
      <c r="A434" t="inlineStr">
        <is>
          <t>A 55990-2021</t>
        </is>
      </c>
      <c r="B434" s="1" t="n">
        <v>44477</v>
      </c>
      <c r="C434" s="1" t="n">
        <v>45802</v>
      </c>
      <c r="D434" t="inlineStr">
        <is>
          <t>DALARNAS LÄN</t>
        </is>
      </c>
      <c r="E434" t="inlineStr">
        <is>
          <t>ÄLVDALEN</t>
        </is>
      </c>
      <c r="G434" t="n">
        <v>0.6</v>
      </c>
      <c r="H434" t="n">
        <v>0</v>
      </c>
      <c r="I434" t="n">
        <v>0</v>
      </c>
      <c r="J434" t="n">
        <v>0</v>
      </c>
      <c r="K434" t="n">
        <v>0</v>
      </c>
      <c r="L434" t="n">
        <v>0</v>
      </c>
      <c r="M434" t="n">
        <v>0</v>
      </c>
      <c r="N434" t="n">
        <v>0</v>
      </c>
      <c r="O434" t="n">
        <v>0</v>
      </c>
      <c r="P434" t="n">
        <v>0</v>
      </c>
      <c r="Q434" t="n">
        <v>0</v>
      </c>
      <c r="R434" s="2" t="inlineStr"/>
    </row>
    <row r="435" ht="15" customHeight="1">
      <c r="A435" t="inlineStr">
        <is>
          <t>A 56041-2021</t>
        </is>
      </c>
      <c r="B435" s="1" t="n">
        <v>44477</v>
      </c>
      <c r="C435" s="1" t="n">
        <v>45802</v>
      </c>
      <c r="D435" t="inlineStr">
        <is>
          <t>DALARNAS LÄN</t>
        </is>
      </c>
      <c r="E435" t="inlineStr">
        <is>
          <t>ÄLVDALEN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56047-2021</t>
        </is>
      </c>
      <c r="B436" s="1" t="n">
        <v>44477</v>
      </c>
      <c r="C436" s="1" t="n">
        <v>45802</v>
      </c>
      <c r="D436" t="inlineStr">
        <is>
          <t>DALARNAS LÄN</t>
        </is>
      </c>
      <c r="E436" t="inlineStr">
        <is>
          <t>ÄLVDALEN</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56045-2021</t>
        </is>
      </c>
      <c r="B437" s="1" t="n">
        <v>44477</v>
      </c>
      <c r="C437" s="1" t="n">
        <v>45802</v>
      </c>
      <c r="D437" t="inlineStr">
        <is>
          <t>DALARNAS LÄN</t>
        </is>
      </c>
      <c r="E437" t="inlineStr">
        <is>
          <t>ÄLVDALEN</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56691-2021</t>
        </is>
      </c>
      <c r="B438" s="1" t="n">
        <v>44481</v>
      </c>
      <c r="C438" s="1" t="n">
        <v>45802</v>
      </c>
      <c r="D438" t="inlineStr">
        <is>
          <t>DALARNAS LÄN</t>
        </is>
      </c>
      <c r="E438" t="inlineStr">
        <is>
          <t>ÄLVDALEN</t>
        </is>
      </c>
      <c r="F438" t="inlineStr">
        <is>
          <t>Allmännings- och besparingsskogar</t>
        </is>
      </c>
      <c r="G438" t="n">
        <v>6.6</v>
      </c>
      <c r="H438" t="n">
        <v>0</v>
      </c>
      <c r="I438" t="n">
        <v>0</v>
      </c>
      <c r="J438" t="n">
        <v>0</v>
      </c>
      <c r="K438" t="n">
        <v>0</v>
      </c>
      <c r="L438" t="n">
        <v>0</v>
      </c>
      <c r="M438" t="n">
        <v>0</v>
      </c>
      <c r="N438" t="n">
        <v>0</v>
      </c>
      <c r="O438" t="n">
        <v>0</v>
      </c>
      <c r="P438" t="n">
        <v>0</v>
      </c>
      <c r="Q438" t="n">
        <v>0</v>
      </c>
      <c r="R438" s="2" t="inlineStr"/>
    </row>
    <row r="439" ht="15" customHeight="1">
      <c r="A439" t="inlineStr">
        <is>
          <t>A 57783-2021</t>
        </is>
      </c>
      <c r="B439" s="1" t="n">
        <v>44484</v>
      </c>
      <c r="C439" s="1" t="n">
        <v>45802</v>
      </c>
      <c r="D439" t="inlineStr">
        <is>
          <t>DALARNAS LÄN</t>
        </is>
      </c>
      <c r="E439" t="inlineStr">
        <is>
          <t>ÄLVDALEN</t>
        </is>
      </c>
      <c r="G439" t="n">
        <v>6.9</v>
      </c>
      <c r="H439" t="n">
        <v>0</v>
      </c>
      <c r="I439" t="n">
        <v>0</v>
      </c>
      <c r="J439" t="n">
        <v>0</v>
      </c>
      <c r="K439" t="n">
        <v>0</v>
      </c>
      <c r="L439" t="n">
        <v>0</v>
      </c>
      <c r="M439" t="n">
        <v>0</v>
      </c>
      <c r="N439" t="n">
        <v>0</v>
      </c>
      <c r="O439" t="n">
        <v>0</v>
      </c>
      <c r="P439" t="n">
        <v>0</v>
      </c>
      <c r="Q439" t="n">
        <v>0</v>
      </c>
      <c r="R439" s="2" t="inlineStr"/>
    </row>
    <row r="440" ht="15" customHeight="1">
      <c r="A440" t="inlineStr">
        <is>
          <t>A 57799-2021</t>
        </is>
      </c>
      <c r="B440" s="1" t="n">
        <v>44484</v>
      </c>
      <c r="C440" s="1" t="n">
        <v>45802</v>
      </c>
      <c r="D440" t="inlineStr">
        <is>
          <t>DALARNAS LÄN</t>
        </is>
      </c>
      <c r="E440" t="inlineStr">
        <is>
          <t>ÄLVDALEN</t>
        </is>
      </c>
      <c r="F440" t="inlineStr">
        <is>
          <t>Allmännings- och besparingsskogar</t>
        </is>
      </c>
      <c r="G440" t="n">
        <v>18.7</v>
      </c>
      <c r="H440" t="n">
        <v>0</v>
      </c>
      <c r="I440" t="n">
        <v>0</v>
      </c>
      <c r="J440" t="n">
        <v>0</v>
      </c>
      <c r="K440" t="n">
        <v>0</v>
      </c>
      <c r="L440" t="n">
        <v>0</v>
      </c>
      <c r="M440" t="n">
        <v>0</v>
      </c>
      <c r="N440" t="n">
        <v>0</v>
      </c>
      <c r="O440" t="n">
        <v>0</v>
      </c>
      <c r="P440" t="n">
        <v>0</v>
      </c>
      <c r="Q440" t="n">
        <v>0</v>
      </c>
      <c r="R440" s="2" t="inlineStr"/>
    </row>
    <row r="441" ht="15" customHeight="1">
      <c r="A441" t="inlineStr">
        <is>
          <t>A 58509-2021</t>
        </is>
      </c>
      <c r="B441" s="1" t="n">
        <v>44488</v>
      </c>
      <c r="C441" s="1" t="n">
        <v>45802</v>
      </c>
      <c r="D441" t="inlineStr">
        <is>
          <t>DALARNAS LÄN</t>
        </is>
      </c>
      <c r="E441" t="inlineStr">
        <is>
          <t>ÄLVDALEN</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59658-2021</t>
        </is>
      </c>
      <c r="B442" s="1" t="n">
        <v>44494</v>
      </c>
      <c r="C442" s="1" t="n">
        <v>45802</v>
      </c>
      <c r="D442" t="inlineStr">
        <is>
          <t>DALARNAS LÄN</t>
        </is>
      </c>
      <c r="E442" t="inlineStr">
        <is>
          <t>ÄLVDALEN</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60258-2021</t>
        </is>
      </c>
      <c r="B443" s="1" t="n">
        <v>44495</v>
      </c>
      <c r="C443" s="1" t="n">
        <v>45802</v>
      </c>
      <c r="D443" t="inlineStr">
        <is>
          <t>DALARNAS LÄN</t>
        </is>
      </c>
      <c r="E443" t="inlineStr">
        <is>
          <t>ÄLVDALEN</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60265-2021</t>
        </is>
      </c>
      <c r="B444" s="1" t="n">
        <v>44495</v>
      </c>
      <c r="C444" s="1" t="n">
        <v>45802</v>
      </c>
      <c r="D444" t="inlineStr">
        <is>
          <t>DALARNAS LÄN</t>
        </is>
      </c>
      <c r="E444" t="inlineStr">
        <is>
          <t>ÄLVDALEN</t>
        </is>
      </c>
      <c r="F444" t="inlineStr">
        <is>
          <t>Allmännings- och besparingsskogar</t>
        </is>
      </c>
      <c r="G444" t="n">
        <v>10</v>
      </c>
      <c r="H444" t="n">
        <v>0</v>
      </c>
      <c r="I444" t="n">
        <v>0</v>
      </c>
      <c r="J444" t="n">
        <v>0</v>
      </c>
      <c r="K444" t="n">
        <v>0</v>
      </c>
      <c r="L444" t="n">
        <v>0</v>
      </c>
      <c r="M444" t="n">
        <v>0</v>
      </c>
      <c r="N444" t="n">
        <v>0</v>
      </c>
      <c r="O444" t="n">
        <v>0</v>
      </c>
      <c r="P444" t="n">
        <v>0</v>
      </c>
      <c r="Q444" t="n">
        <v>0</v>
      </c>
      <c r="R444" s="2" t="inlineStr"/>
    </row>
    <row r="445" ht="15" customHeight="1">
      <c r="A445" t="inlineStr">
        <is>
          <t>A 60642-2021</t>
        </is>
      </c>
      <c r="B445" s="1" t="n">
        <v>44496</v>
      </c>
      <c r="C445" s="1" t="n">
        <v>45802</v>
      </c>
      <c r="D445" t="inlineStr">
        <is>
          <t>DALARNAS LÄN</t>
        </is>
      </c>
      <c r="E445" t="inlineStr">
        <is>
          <t>ÄLVDALEN</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61315-2021</t>
        </is>
      </c>
      <c r="B446" s="1" t="n">
        <v>44498</v>
      </c>
      <c r="C446" s="1" t="n">
        <v>45802</v>
      </c>
      <c r="D446" t="inlineStr">
        <is>
          <t>DALARNAS LÄN</t>
        </is>
      </c>
      <c r="E446" t="inlineStr">
        <is>
          <t>ÄLVDALEN</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61563-2021</t>
        </is>
      </c>
      <c r="B447" s="1" t="n">
        <v>44501</v>
      </c>
      <c r="C447" s="1" t="n">
        <v>45802</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62024-2021</t>
        </is>
      </c>
      <c r="B448" s="1" t="n">
        <v>44502</v>
      </c>
      <c r="C448" s="1" t="n">
        <v>45802</v>
      </c>
      <c r="D448" t="inlineStr">
        <is>
          <t>DALARNAS LÄN</t>
        </is>
      </c>
      <c r="E448" t="inlineStr">
        <is>
          <t>ÄLVDALEN</t>
        </is>
      </c>
      <c r="G448" t="n">
        <v>3.4</v>
      </c>
      <c r="H448" t="n">
        <v>0</v>
      </c>
      <c r="I448" t="n">
        <v>0</v>
      </c>
      <c r="J448" t="n">
        <v>0</v>
      </c>
      <c r="K448" t="n">
        <v>0</v>
      </c>
      <c r="L448" t="n">
        <v>0</v>
      </c>
      <c r="M448" t="n">
        <v>0</v>
      </c>
      <c r="N448" t="n">
        <v>0</v>
      </c>
      <c r="O448" t="n">
        <v>0</v>
      </c>
      <c r="P448" t="n">
        <v>0</v>
      </c>
      <c r="Q448" t="n">
        <v>0</v>
      </c>
      <c r="R448" s="2" t="inlineStr"/>
    </row>
    <row r="449" ht="15" customHeight="1">
      <c r="A449" t="inlineStr">
        <is>
          <t>A 62643-2021</t>
        </is>
      </c>
      <c r="B449" s="1" t="n">
        <v>44503</v>
      </c>
      <c r="C449" s="1" t="n">
        <v>45802</v>
      </c>
      <c r="D449" t="inlineStr">
        <is>
          <t>DALARNAS LÄN</t>
        </is>
      </c>
      <c r="E449" t="inlineStr">
        <is>
          <t>ÄLVDALEN</t>
        </is>
      </c>
      <c r="F449" t="inlineStr">
        <is>
          <t>Sveaskog</t>
        </is>
      </c>
      <c r="G449" t="n">
        <v>48.7</v>
      </c>
      <c r="H449" t="n">
        <v>0</v>
      </c>
      <c r="I449" t="n">
        <v>0</v>
      </c>
      <c r="J449" t="n">
        <v>0</v>
      </c>
      <c r="K449" t="n">
        <v>0</v>
      </c>
      <c r="L449" t="n">
        <v>0</v>
      </c>
      <c r="M449" t="n">
        <v>0</v>
      </c>
      <c r="N449" t="n">
        <v>0</v>
      </c>
      <c r="O449" t="n">
        <v>0</v>
      </c>
      <c r="P449" t="n">
        <v>0</v>
      </c>
      <c r="Q449" t="n">
        <v>0</v>
      </c>
      <c r="R449" s="2" t="inlineStr"/>
    </row>
    <row r="450" ht="15" customHeight="1">
      <c r="A450" t="inlineStr">
        <is>
          <t>A 62680-2021</t>
        </is>
      </c>
      <c r="B450" s="1" t="n">
        <v>44504</v>
      </c>
      <c r="C450" s="1" t="n">
        <v>45802</v>
      </c>
      <c r="D450" t="inlineStr">
        <is>
          <t>DALARNAS LÄN</t>
        </is>
      </c>
      <c r="E450" t="inlineStr">
        <is>
          <t>ÄLVDALEN</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63079-2021</t>
        </is>
      </c>
      <c r="B451" s="1" t="n">
        <v>44505</v>
      </c>
      <c r="C451" s="1" t="n">
        <v>45802</v>
      </c>
      <c r="D451" t="inlineStr">
        <is>
          <t>DALARNAS LÄN</t>
        </is>
      </c>
      <c r="E451" t="inlineStr">
        <is>
          <t>ÄLVDALEN</t>
        </is>
      </c>
      <c r="F451" t="inlineStr">
        <is>
          <t>Bergvik skog väst AB</t>
        </is>
      </c>
      <c r="G451" t="n">
        <v>4</v>
      </c>
      <c r="H451" t="n">
        <v>0</v>
      </c>
      <c r="I451" t="n">
        <v>0</v>
      </c>
      <c r="J451" t="n">
        <v>0</v>
      </c>
      <c r="K451" t="n">
        <v>0</v>
      </c>
      <c r="L451" t="n">
        <v>0</v>
      </c>
      <c r="M451" t="n">
        <v>0</v>
      </c>
      <c r="N451" t="n">
        <v>0</v>
      </c>
      <c r="O451" t="n">
        <v>0</v>
      </c>
      <c r="P451" t="n">
        <v>0</v>
      </c>
      <c r="Q451" t="n">
        <v>0</v>
      </c>
      <c r="R451" s="2" t="inlineStr"/>
    </row>
    <row r="452" ht="15" customHeight="1">
      <c r="A452" t="inlineStr">
        <is>
          <t>A 63114-2021</t>
        </is>
      </c>
      <c r="B452" s="1" t="n">
        <v>44505</v>
      </c>
      <c r="C452" s="1" t="n">
        <v>45802</v>
      </c>
      <c r="D452" t="inlineStr">
        <is>
          <t>DALARNAS LÄN</t>
        </is>
      </c>
      <c r="E452" t="inlineStr">
        <is>
          <t>ÄLVDALEN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63120-2021</t>
        </is>
      </c>
      <c r="B453" s="1" t="n">
        <v>44505</v>
      </c>
      <c r="C453" s="1" t="n">
        <v>45802</v>
      </c>
      <c r="D453" t="inlineStr">
        <is>
          <t>DALARNAS LÄN</t>
        </is>
      </c>
      <c r="E453" t="inlineStr">
        <is>
          <t>ÄLVDALEN</t>
        </is>
      </c>
      <c r="F453" t="inlineStr">
        <is>
          <t>Bergvik skog väst AB</t>
        </is>
      </c>
      <c r="G453" t="n">
        <v>18.6</v>
      </c>
      <c r="H453" t="n">
        <v>0</v>
      </c>
      <c r="I453" t="n">
        <v>0</v>
      </c>
      <c r="J453" t="n">
        <v>0</v>
      </c>
      <c r="K453" t="n">
        <v>0</v>
      </c>
      <c r="L453" t="n">
        <v>0</v>
      </c>
      <c r="M453" t="n">
        <v>0</v>
      </c>
      <c r="N453" t="n">
        <v>0</v>
      </c>
      <c r="O453" t="n">
        <v>0</v>
      </c>
      <c r="P453" t="n">
        <v>0</v>
      </c>
      <c r="Q453" t="n">
        <v>0</v>
      </c>
      <c r="R453" s="2" t="inlineStr"/>
    </row>
    <row r="454" ht="15" customHeight="1">
      <c r="A454" t="inlineStr">
        <is>
          <t>A 63273-2021</t>
        </is>
      </c>
      <c r="B454" s="1" t="n">
        <v>44508</v>
      </c>
      <c r="C454" s="1" t="n">
        <v>45802</v>
      </c>
      <c r="D454" t="inlineStr">
        <is>
          <t>DALARNAS LÄN</t>
        </is>
      </c>
      <c r="E454" t="inlineStr">
        <is>
          <t>ÄLVDALEN</t>
        </is>
      </c>
      <c r="F454" t="inlineStr">
        <is>
          <t>Bergvik skog väst AB</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63242-2021</t>
        </is>
      </c>
      <c r="B455" s="1" t="n">
        <v>44508</v>
      </c>
      <c r="C455" s="1" t="n">
        <v>45802</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63250-2021</t>
        </is>
      </c>
      <c r="B456" s="1" t="n">
        <v>44508</v>
      </c>
      <c r="C456" s="1" t="n">
        <v>45802</v>
      </c>
      <c r="D456" t="inlineStr">
        <is>
          <t>DALARNAS LÄN</t>
        </is>
      </c>
      <c r="E456" t="inlineStr">
        <is>
          <t>ÄLVDALEN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63325-2021</t>
        </is>
      </c>
      <c r="B457" s="1" t="n">
        <v>44508</v>
      </c>
      <c r="C457" s="1" t="n">
        <v>45802</v>
      </c>
      <c r="D457" t="inlineStr">
        <is>
          <t>DALARNAS LÄN</t>
        </is>
      </c>
      <c r="E457" t="inlineStr">
        <is>
          <t>ÄLVDALEN</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66634-2021</t>
        </is>
      </c>
      <c r="B458" s="1" t="n">
        <v>44519</v>
      </c>
      <c r="C458" s="1" t="n">
        <v>45802</v>
      </c>
      <c r="D458" t="inlineStr">
        <is>
          <t>DALARNAS LÄN</t>
        </is>
      </c>
      <c r="E458" t="inlineStr">
        <is>
          <t>ÄLVDALEN</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66887-2021</t>
        </is>
      </c>
      <c r="B459" s="1" t="n">
        <v>44522</v>
      </c>
      <c r="C459" s="1" t="n">
        <v>45802</v>
      </c>
      <c r="D459" t="inlineStr">
        <is>
          <t>DALARNAS LÄN</t>
        </is>
      </c>
      <c r="E459" t="inlineStr">
        <is>
          <t>ÄLVDALEN</t>
        </is>
      </c>
      <c r="G459" t="n">
        <v>1.8</v>
      </c>
      <c r="H459" t="n">
        <v>0</v>
      </c>
      <c r="I459" t="n">
        <v>0</v>
      </c>
      <c r="J459" t="n">
        <v>0</v>
      </c>
      <c r="K459" t="n">
        <v>0</v>
      </c>
      <c r="L459" t="n">
        <v>0</v>
      </c>
      <c r="M459" t="n">
        <v>0</v>
      </c>
      <c r="N459" t="n">
        <v>0</v>
      </c>
      <c r="O459" t="n">
        <v>0</v>
      </c>
      <c r="P459" t="n">
        <v>0</v>
      </c>
      <c r="Q459" t="n">
        <v>0</v>
      </c>
      <c r="R459" s="2" t="inlineStr"/>
    </row>
    <row r="460" ht="15" customHeight="1">
      <c r="A460" t="inlineStr">
        <is>
          <t>A 68204-2021</t>
        </is>
      </c>
      <c r="B460" s="1" t="n">
        <v>44526</v>
      </c>
      <c r="C460" s="1" t="n">
        <v>45802</v>
      </c>
      <c r="D460" t="inlineStr">
        <is>
          <t>DALARNAS LÄN</t>
        </is>
      </c>
      <c r="E460" t="inlineStr">
        <is>
          <t>ÄLVDALEN</t>
        </is>
      </c>
      <c r="F460" t="inlineStr">
        <is>
          <t>Kyrkan</t>
        </is>
      </c>
      <c r="G460" t="n">
        <v>5</v>
      </c>
      <c r="H460" t="n">
        <v>0</v>
      </c>
      <c r="I460" t="n">
        <v>0</v>
      </c>
      <c r="J460" t="n">
        <v>0</v>
      </c>
      <c r="K460" t="n">
        <v>0</v>
      </c>
      <c r="L460" t="n">
        <v>0</v>
      </c>
      <c r="M460" t="n">
        <v>0</v>
      </c>
      <c r="N460" t="n">
        <v>0</v>
      </c>
      <c r="O460" t="n">
        <v>0</v>
      </c>
      <c r="P460" t="n">
        <v>0</v>
      </c>
      <c r="Q460" t="n">
        <v>0</v>
      </c>
      <c r="R460" s="2" t="inlineStr"/>
    </row>
    <row r="461" ht="15" customHeight="1">
      <c r="A461" t="inlineStr">
        <is>
          <t>A 68219-2021</t>
        </is>
      </c>
      <c r="B461" s="1" t="n">
        <v>44526</v>
      </c>
      <c r="C461" s="1" t="n">
        <v>45802</v>
      </c>
      <c r="D461" t="inlineStr">
        <is>
          <t>DALARNAS LÄN</t>
        </is>
      </c>
      <c r="E461" t="inlineStr">
        <is>
          <t>ÄLVDALEN</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68383-2021</t>
        </is>
      </c>
      <c r="B462" s="1" t="n">
        <v>44529</v>
      </c>
      <c r="C462" s="1" t="n">
        <v>45802</v>
      </c>
      <c r="D462" t="inlineStr">
        <is>
          <t>DALARNAS LÄN</t>
        </is>
      </c>
      <c r="E462" t="inlineStr">
        <is>
          <t>ÄLVDALEN</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70140-2021</t>
        </is>
      </c>
      <c r="B463" s="1" t="n">
        <v>44533</v>
      </c>
      <c r="C463" s="1" t="n">
        <v>45802</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70252-2021</t>
        </is>
      </c>
      <c r="B464" s="1" t="n">
        <v>44536</v>
      </c>
      <c r="C464" s="1" t="n">
        <v>45802</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70990-2021</t>
        </is>
      </c>
      <c r="B465" s="1" t="n">
        <v>44538</v>
      </c>
      <c r="C465" s="1" t="n">
        <v>45802</v>
      </c>
      <c r="D465" t="inlineStr">
        <is>
          <t>DALARNAS LÄN</t>
        </is>
      </c>
      <c r="E465" t="inlineStr">
        <is>
          <t>ÄLVDALEN</t>
        </is>
      </c>
      <c r="F465" t="inlineStr">
        <is>
          <t>Kyrkan</t>
        </is>
      </c>
      <c r="G465" t="n">
        <v>3.5</v>
      </c>
      <c r="H465" t="n">
        <v>0</v>
      </c>
      <c r="I465" t="n">
        <v>0</v>
      </c>
      <c r="J465" t="n">
        <v>0</v>
      </c>
      <c r="K465" t="n">
        <v>0</v>
      </c>
      <c r="L465" t="n">
        <v>0</v>
      </c>
      <c r="M465" t="n">
        <v>0</v>
      </c>
      <c r="N465" t="n">
        <v>0</v>
      </c>
      <c r="O465" t="n">
        <v>0</v>
      </c>
      <c r="P465" t="n">
        <v>0</v>
      </c>
      <c r="Q465" t="n">
        <v>0</v>
      </c>
      <c r="R465" s="2" t="inlineStr"/>
    </row>
    <row r="466" ht="15" customHeight="1">
      <c r="A466" t="inlineStr">
        <is>
          <t>A 71282-2021</t>
        </is>
      </c>
      <c r="B466" s="1" t="n">
        <v>44539</v>
      </c>
      <c r="C466" s="1" t="n">
        <v>45802</v>
      </c>
      <c r="D466" t="inlineStr">
        <is>
          <t>DALARNAS LÄN</t>
        </is>
      </c>
      <c r="E466" t="inlineStr">
        <is>
          <t>ÄLVDALEN</t>
        </is>
      </c>
      <c r="G466" t="n">
        <v>1.3</v>
      </c>
      <c r="H466" t="n">
        <v>0</v>
      </c>
      <c r="I466" t="n">
        <v>0</v>
      </c>
      <c r="J466" t="n">
        <v>0</v>
      </c>
      <c r="K466" t="n">
        <v>0</v>
      </c>
      <c r="L466" t="n">
        <v>0</v>
      </c>
      <c r="M466" t="n">
        <v>0</v>
      </c>
      <c r="N466" t="n">
        <v>0</v>
      </c>
      <c r="O466" t="n">
        <v>0</v>
      </c>
      <c r="P466" t="n">
        <v>0</v>
      </c>
      <c r="Q466" t="n">
        <v>0</v>
      </c>
      <c r="R466" s="2" t="inlineStr"/>
    </row>
    <row r="467" ht="15" customHeight="1">
      <c r="A467" t="inlineStr">
        <is>
          <t>A 72813-2021</t>
        </is>
      </c>
      <c r="B467" s="1" t="n">
        <v>44546</v>
      </c>
      <c r="C467" s="1" t="n">
        <v>45802</v>
      </c>
      <c r="D467" t="inlineStr">
        <is>
          <t>DALARNAS LÄN</t>
        </is>
      </c>
      <c r="E467" t="inlineStr">
        <is>
          <t>ÄLVDALEN</t>
        </is>
      </c>
      <c r="G467" t="n">
        <v>4.2</v>
      </c>
      <c r="H467" t="n">
        <v>0</v>
      </c>
      <c r="I467" t="n">
        <v>0</v>
      </c>
      <c r="J467" t="n">
        <v>0</v>
      </c>
      <c r="K467" t="n">
        <v>0</v>
      </c>
      <c r="L467" t="n">
        <v>0</v>
      </c>
      <c r="M467" t="n">
        <v>0</v>
      </c>
      <c r="N467" t="n">
        <v>0</v>
      </c>
      <c r="O467" t="n">
        <v>0</v>
      </c>
      <c r="P467" t="n">
        <v>0</v>
      </c>
      <c r="Q467" t="n">
        <v>0</v>
      </c>
      <c r="R467" s="2" t="inlineStr"/>
    </row>
    <row r="468" ht="15" customHeight="1">
      <c r="A468" t="inlineStr">
        <is>
          <t>A 72846-2021</t>
        </is>
      </c>
      <c r="B468" s="1" t="n">
        <v>44547</v>
      </c>
      <c r="C468" s="1" t="n">
        <v>45802</v>
      </c>
      <c r="D468" t="inlineStr">
        <is>
          <t>DALARNAS LÄN</t>
        </is>
      </c>
      <c r="E468" t="inlineStr">
        <is>
          <t>ÄLVDALEN</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73691-2021</t>
        </is>
      </c>
      <c r="B469" s="1" t="n">
        <v>44552</v>
      </c>
      <c r="C469" s="1" t="n">
        <v>45802</v>
      </c>
      <c r="D469" t="inlineStr">
        <is>
          <t>DALARNAS LÄN</t>
        </is>
      </c>
      <c r="E469" t="inlineStr">
        <is>
          <t>ÄLVDALEN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73676-2021</t>
        </is>
      </c>
      <c r="B470" s="1" t="n">
        <v>44552</v>
      </c>
      <c r="C470" s="1" t="n">
        <v>45802</v>
      </c>
      <c r="D470" t="inlineStr">
        <is>
          <t>DALARNAS LÄN</t>
        </is>
      </c>
      <c r="E470" t="inlineStr">
        <is>
          <t>ÄLVDALEN</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74322-2021</t>
        </is>
      </c>
      <c r="B471" s="1" t="n">
        <v>44558</v>
      </c>
      <c r="C471" s="1" t="n">
        <v>45802</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74324-2021</t>
        </is>
      </c>
      <c r="B472" s="1" t="n">
        <v>44558</v>
      </c>
      <c r="C472" s="1" t="n">
        <v>45802</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713-2022</t>
        </is>
      </c>
      <c r="B473" s="1" t="n">
        <v>44568</v>
      </c>
      <c r="C473" s="1" t="n">
        <v>45802</v>
      </c>
      <c r="D473" t="inlineStr">
        <is>
          <t>DALARNAS LÄN</t>
        </is>
      </c>
      <c r="E473" t="inlineStr">
        <is>
          <t>ÄLVDALEN</t>
        </is>
      </c>
      <c r="G473" t="n">
        <v>1.6</v>
      </c>
      <c r="H473" t="n">
        <v>0</v>
      </c>
      <c r="I473" t="n">
        <v>0</v>
      </c>
      <c r="J473" t="n">
        <v>0</v>
      </c>
      <c r="K473" t="n">
        <v>0</v>
      </c>
      <c r="L473" t="n">
        <v>0</v>
      </c>
      <c r="M473" t="n">
        <v>0</v>
      </c>
      <c r="N473" t="n">
        <v>0</v>
      </c>
      <c r="O473" t="n">
        <v>0</v>
      </c>
      <c r="P473" t="n">
        <v>0</v>
      </c>
      <c r="Q473" t="n">
        <v>0</v>
      </c>
      <c r="R473" s="2" t="inlineStr"/>
    </row>
    <row r="474" ht="15" customHeight="1">
      <c r="A474" t="inlineStr">
        <is>
          <t>A 5422-2022</t>
        </is>
      </c>
      <c r="B474" s="1" t="n">
        <v>44595</v>
      </c>
      <c r="C474" s="1" t="n">
        <v>45802</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5549-2022</t>
        </is>
      </c>
      <c r="B475" s="1" t="n">
        <v>44595</v>
      </c>
      <c r="C475" s="1" t="n">
        <v>45802</v>
      </c>
      <c r="D475" t="inlineStr">
        <is>
          <t>DALARNAS LÄN</t>
        </is>
      </c>
      <c r="E475" t="inlineStr">
        <is>
          <t>ÄLVDALEN</t>
        </is>
      </c>
      <c r="F475" t="inlineStr">
        <is>
          <t>Allmännings- och besparingsskogar</t>
        </is>
      </c>
      <c r="G475" t="n">
        <v>3.2</v>
      </c>
      <c r="H475" t="n">
        <v>0</v>
      </c>
      <c r="I475" t="n">
        <v>0</v>
      </c>
      <c r="J475" t="n">
        <v>0</v>
      </c>
      <c r="K475" t="n">
        <v>0</v>
      </c>
      <c r="L475" t="n">
        <v>0</v>
      </c>
      <c r="M475" t="n">
        <v>0</v>
      </c>
      <c r="N475" t="n">
        <v>0</v>
      </c>
      <c r="O475" t="n">
        <v>0</v>
      </c>
      <c r="P475" t="n">
        <v>0</v>
      </c>
      <c r="Q475" t="n">
        <v>0</v>
      </c>
      <c r="R475" s="2" t="inlineStr"/>
    </row>
    <row r="476" ht="15" customHeight="1">
      <c r="A476" t="inlineStr">
        <is>
          <t>A 5981-2022</t>
        </is>
      </c>
      <c r="B476" s="1" t="n">
        <v>44599</v>
      </c>
      <c r="C476" s="1" t="n">
        <v>45802</v>
      </c>
      <c r="D476" t="inlineStr">
        <is>
          <t>DALARNAS LÄN</t>
        </is>
      </c>
      <c r="E476" t="inlineStr">
        <is>
          <t>ÄLVDALEN</t>
        </is>
      </c>
      <c r="F476" t="inlineStr">
        <is>
          <t>Allmännings- och besparingsskogar</t>
        </is>
      </c>
      <c r="G476" t="n">
        <v>9.1</v>
      </c>
      <c r="H476" t="n">
        <v>0</v>
      </c>
      <c r="I476" t="n">
        <v>0</v>
      </c>
      <c r="J476" t="n">
        <v>0</v>
      </c>
      <c r="K476" t="n">
        <v>0</v>
      </c>
      <c r="L476" t="n">
        <v>0</v>
      </c>
      <c r="M476" t="n">
        <v>0</v>
      </c>
      <c r="N476" t="n">
        <v>0</v>
      </c>
      <c r="O476" t="n">
        <v>0</v>
      </c>
      <c r="P476" t="n">
        <v>0</v>
      </c>
      <c r="Q476" t="n">
        <v>0</v>
      </c>
      <c r="R476" s="2" t="inlineStr"/>
    </row>
    <row r="477" ht="15" customHeight="1">
      <c r="A477" t="inlineStr">
        <is>
          <t>A 6270-2022</t>
        </is>
      </c>
      <c r="B477" s="1" t="n">
        <v>44600</v>
      </c>
      <c r="C477" s="1" t="n">
        <v>45802</v>
      </c>
      <c r="D477" t="inlineStr">
        <is>
          <t>DALARNAS LÄN</t>
        </is>
      </c>
      <c r="E477" t="inlineStr">
        <is>
          <t>ÄLVDALEN</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7530-2022</t>
        </is>
      </c>
      <c r="B478" s="1" t="n">
        <v>44607</v>
      </c>
      <c r="C478" s="1" t="n">
        <v>45802</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11180-2022</t>
        </is>
      </c>
      <c r="B479" s="1" t="n">
        <v>44629</v>
      </c>
      <c r="C479" s="1" t="n">
        <v>45802</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12066-2022</t>
        </is>
      </c>
      <c r="B480" s="1" t="n">
        <v>44636</v>
      </c>
      <c r="C480" s="1" t="n">
        <v>45802</v>
      </c>
      <c r="D480" t="inlineStr">
        <is>
          <t>DALARNAS LÄN</t>
        </is>
      </c>
      <c r="E480" t="inlineStr">
        <is>
          <t>ÄLVDALEN</t>
        </is>
      </c>
      <c r="G480" t="n">
        <v>4.4</v>
      </c>
      <c r="H480" t="n">
        <v>0</v>
      </c>
      <c r="I480" t="n">
        <v>0</v>
      </c>
      <c r="J480" t="n">
        <v>0</v>
      </c>
      <c r="K480" t="n">
        <v>0</v>
      </c>
      <c r="L480" t="n">
        <v>0</v>
      </c>
      <c r="M480" t="n">
        <v>0</v>
      </c>
      <c r="N480" t="n">
        <v>0</v>
      </c>
      <c r="O480" t="n">
        <v>0</v>
      </c>
      <c r="P480" t="n">
        <v>0</v>
      </c>
      <c r="Q480" t="n">
        <v>0</v>
      </c>
      <c r="R480" s="2" t="inlineStr"/>
    </row>
    <row r="481" ht="15" customHeight="1">
      <c r="A481" t="inlineStr">
        <is>
          <t>A 12995-2022</t>
        </is>
      </c>
      <c r="B481" s="1" t="n">
        <v>44643</v>
      </c>
      <c r="C481" s="1" t="n">
        <v>45802</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13000-2022</t>
        </is>
      </c>
      <c r="B482" s="1" t="n">
        <v>44643</v>
      </c>
      <c r="C482" s="1" t="n">
        <v>45802</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14089-2022</t>
        </is>
      </c>
      <c r="B483" s="1" t="n">
        <v>44651</v>
      </c>
      <c r="C483" s="1" t="n">
        <v>45802</v>
      </c>
      <c r="D483" t="inlineStr">
        <is>
          <t>DALARNAS LÄN</t>
        </is>
      </c>
      <c r="E483" t="inlineStr">
        <is>
          <t>ÄLVDALEN</t>
        </is>
      </c>
      <c r="F483" t="inlineStr">
        <is>
          <t>Kommuner</t>
        </is>
      </c>
      <c r="G483" t="n">
        <v>2.1</v>
      </c>
      <c r="H483" t="n">
        <v>0</v>
      </c>
      <c r="I483" t="n">
        <v>0</v>
      </c>
      <c r="J483" t="n">
        <v>0</v>
      </c>
      <c r="K483" t="n">
        <v>0</v>
      </c>
      <c r="L483" t="n">
        <v>0</v>
      </c>
      <c r="M483" t="n">
        <v>0</v>
      </c>
      <c r="N483" t="n">
        <v>0</v>
      </c>
      <c r="O483" t="n">
        <v>0</v>
      </c>
      <c r="P483" t="n">
        <v>0</v>
      </c>
      <c r="Q483" t="n">
        <v>0</v>
      </c>
      <c r="R483" s="2" t="inlineStr"/>
    </row>
    <row r="484" ht="15" customHeight="1">
      <c r="A484" t="inlineStr">
        <is>
          <t>A 14235-2022</t>
        </is>
      </c>
      <c r="B484" s="1" t="n">
        <v>44651</v>
      </c>
      <c r="C484" s="1" t="n">
        <v>45802</v>
      </c>
      <c r="D484" t="inlineStr">
        <is>
          <t>DALARNAS LÄN</t>
        </is>
      </c>
      <c r="E484" t="inlineStr">
        <is>
          <t>ÄLVDALEN</t>
        </is>
      </c>
      <c r="G484" t="n">
        <v>1.1</v>
      </c>
      <c r="H484" t="n">
        <v>0</v>
      </c>
      <c r="I484" t="n">
        <v>0</v>
      </c>
      <c r="J484" t="n">
        <v>0</v>
      </c>
      <c r="K484" t="n">
        <v>0</v>
      </c>
      <c r="L484" t="n">
        <v>0</v>
      </c>
      <c r="M484" t="n">
        <v>0</v>
      </c>
      <c r="N484" t="n">
        <v>0</v>
      </c>
      <c r="O484" t="n">
        <v>0</v>
      </c>
      <c r="P484" t="n">
        <v>0</v>
      </c>
      <c r="Q484" t="n">
        <v>0</v>
      </c>
      <c r="R484" s="2" t="inlineStr"/>
    </row>
    <row r="485" ht="15" customHeight="1">
      <c r="A485" t="inlineStr">
        <is>
          <t>A 14795-2022</t>
        </is>
      </c>
      <c r="B485" s="1" t="n">
        <v>44656</v>
      </c>
      <c r="C485" s="1" t="n">
        <v>45802</v>
      </c>
      <c r="D485" t="inlineStr">
        <is>
          <t>DALARNAS LÄN</t>
        </is>
      </c>
      <c r="E485" t="inlineStr">
        <is>
          <t>ÄLVDALEN</t>
        </is>
      </c>
      <c r="F485" t="inlineStr">
        <is>
          <t>Övriga statliga verk och myndigheter</t>
        </is>
      </c>
      <c r="G485" t="n">
        <v>15.9</v>
      </c>
      <c r="H485" t="n">
        <v>0</v>
      </c>
      <c r="I485" t="n">
        <v>0</v>
      </c>
      <c r="J485" t="n">
        <v>0</v>
      </c>
      <c r="K485" t="n">
        <v>0</v>
      </c>
      <c r="L485" t="n">
        <v>0</v>
      </c>
      <c r="M485" t="n">
        <v>0</v>
      </c>
      <c r="N485" t="n">
        <v>0</v>
      </c>
      <c r="O485" t="n">
        <v>0</v>
      </c>
      <c r="P485" t="n">
        <v>0</v>
      </c>
      <c r="Q485" t="n">
        <v>0</v>
      </c>
      <c r="R485" s="2" t="inlineStr"/>
    </row>
    <row r="486" ht="15" customHeight="1">
      <c r="A486" t="inlineStr">
        <is>
          <t>A 15603-2022</t>
        </is>
      </c>
      <c r="B486" s="1" t="n">
        <v>44662</v>
      </c>
      <c r="C486" s="1" t="n">
        <v>45802</v>
      </c>
      <c r="D486" t="inlineStr">
        <is>
          <t>DALARNAS LÄN</t>
        </is>
      </c>
      <c r="E486" t="inlineStr">
        <is>
          <t>ÄLVDALEN</t>
        </is>
      </c>
      <c r="G486" t="n">
        <v>2.6</v>
      </c>
      <c r="H486" t="n">
        <v>0</v>
      </c>
      <c r="I486" t="n">
        <v>0</v>
      </c>
      <c r="J486" t="n">
        <v>0</v>
      </c>
      <c r="K486" t="n">
        <v>0</v>
      </c>
      <c r="L486" t="n">
        <v>0</v>
      </c>
      <c r="M486" t="n">
        <v>0</v>
      </c>
      <c r="N486" t="n">
        <v>0</v>
      </c>
      <c r="O486" t="n">
        <v>0</v>
      </c>
      <c r="P486" t="n">
        <v>0</v>
      </c>
      <c r="Q486" t="n">
        <v>0</v>
      </c>
      <c r="R486" s="2" t="inlineStr"/>
    </row>
    <row r="487" ht="15" customHeight="1">
      <c r="A487" t="inlineStr">
        <is>
          <t>A 17346-2022</t>
        </is>
      </c>
      <c r="B487" s="1" t="n">
        <v>44678</v>
      </c>
      <c r="C487" s="1" t="n">
        <v>45802</v>
      </c>
      <c r="D487" t="inlineStr">
        <is>
          <t>DALARNAS LÄN</t>
        </is>
      </c>
      <c r="E487" t="inlineStr">
        <is>
          <t>ÄLVDALEN</t>
        </is>
      </c>
      <c r="G487" t="n">
        <v>4.4</v>
      </c>
      <c r="H487" t="n">
        <v>0</v>
      </c>
      <c r="I487" t="n">
        <v>0</v>
      </c>
      <c r="J487" t="n">
        <v>0</v>
      </c>
      <c r="K487" t="n">
        <v>0</v>
      </c>
      <c r="L487" t="n">
        <v>0</v>
      </c>
      <c r="M487" t="n">
        <v>0</v>
      </c>
      <c r="N487" t="n">
        <v>0</v>
      </c>
      <c r="O487" t="n">
        <v>0</v>
      </c>
      <c r="P487" t="n">
        <v>0</v>
      </c>
      <c r="Q487" t="n">
        <v>0</v>
      </c>
      <c r="R487" s="2" t="inlineStr"/>
    </row>
    <row r="488" ht="15" customHeight="1">
      <c r="A488" t="inlineStr">
        <is>
          <t>A 17627-2022</t>
        </is>
      </c>
      <c r="B488" s="1" t="n">
        <v>44680</v>
      </c>
      <c r="C488" s="1" t="n">
        <v>45802</v>
      </c>
      <c r="D488" t="inlineStr">
        <is>
          <t>DALARNAS LÄN</t>
        </is>
      </c>
      <c r="E488" t="inlineStr">
        <is>
          <t>ÄLVDALEN</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18436-2022</t>
        </is>
      </c>
      <c r="B489" s="1" t="n">
        <v>44686</v>
      </c>
      <c r="C489" s="1" t="n">
        <v>45802</v>
      </c>
      <c r="D489" t="inlineStr">
        <is>
          <t>DALARNAS LÄN</t>
        </is>
      </c>
      <c r="E489" t="inlineStr">
        <is>
          <t>ÄLVDALEN</t>
        </is>
      </c>
      <c r="G489" t="n">
        <v>6.4</v>
      </c>
      <c r="H489" t="n">
        <v>0</v>
      </c>
      <c r="I489" t="n">
        <v>0</v>
      </c>
      <c r="J489" t="n">
        <v>0</v>
      </c>
      <c r="K489" t="n">
        <v>0</v>
      </c>
      <c r="L489" t="n">
        <v>0</v>
      </c>
      <c r="M489" t="n">
        <v>0</v>
      </c>
      <c r="N489" t="n">
        <v>0</v>
      </c>
      <c r="O489" t="n">
        <v>0</v>
      </c>
      <c r="P489" t="n">
        <v>0</v>
      </c>
      <c r="Q489" t="n">
        <v>0</v>
      </c>
      <c r="R489" s="2" t="inlineStr"/>
    </row>
    <row r="490" ht="15" customHeight="1">
      <c r="A490" t="inlineStr">
        <is>
          <t>A 18911-2022</t>
        </is>
      </c>
      <c r="B490" s="1" t="n">
        <v>44690</v>
      </c>
      <c r="C490" s="1" t="n">
        <v>45802</v>
      </c>
      <c r="D490" t="inlineStr">
        <is>
          <t>DALARNAS LÄN</t>
        </is>
      </c>
      <c r="E490" t="inlineStr">
        <is>
          <t>ÄLVDALEN</t>
        </is>
      </c>
      <c r="G490" t="n">
        <v>4.8</v>
      </c>
      <c r="H490" t="n">
        <v>0</v>
      </c>
      <c r="I490" t="n">
        <v>0</v>
      </c>
      <c r="J490" t="n">
        <v>0</v>
      </c>
      <c r="K490" t="n">
        <v>0</v>
      </c>
      <c r="L490" t="n">
        <v>0</v>
      </c>
      <c r="M490" t="n">
        <v>0</v>
      </c>
      <c r="N490" t="n">
        <v>0</v>
      </c>
      <c r="O490" t="n">
        <v>0</v>
      </c>
      <c r="P490" t="n">
        <v>0</v>
      </c>
      <c r="Q490" t="n">
        <v>0</v>
      </c>
      <c r="R490" s="2" t="inlineStr"/>
    </row>
    <row r="491" ht="15" customHeight="1">
      <c r="A491" t="inlineStr">
        <is>
          <t>A 19192-2022</t>
        </is>
      </c>
      <c r="B491" s="1" t="n">
        <v>44691</v>
      </c>
      <c r="C491" s="1" t="n">
        <v>45802</v>
      </c>
      <c r="D491" t="inlineStr">
        <is>
          <t>DALARNAS LÄN</t>
        </is>
      </c>
      <c r="E491" t="inlineStr">
        <is>
          <t>ÄLVDALEN</t>
        </is>
      </c>
      <c r="F491" t="inlineStr">
        <is>
          <t>Allmännings- och besparingsskogar</t>
        </is>
      </c>
      <c r="G491" t="n">
        <v>47.7</v>
      </c>
      <c r="H491" t="n">
        <v>0</v>
      </c>
      <c r="I491" t="n">
        <v>0</v>
      </c>
      <c r="J491" t="n">
        <v>0</v>
      </c>
      <c r="K491" t="n">
        <v>0</v>
      </c>
      <c r="L491" t="n">
        <v>0</v>
      </c>
      <c r="M491" t="n">
        <v>0</v>
      </c>
      <c r="N491" t="n">
        <v>0</v>
      </c>
      <c r="O491" t="n">
        <v>0</v>
      </c>
      <c r="P491" t="n">
        <v>0</v>
      </c>
      <c r="Q491" t="n">
        <v>0</v>
      </c>
      <c r="R491" s="2" t="inlineStr"/>
    </row>
    <row r="492" ht="15" customHeight="1">
      <c r="A492" t="inlineStr">
        <is>
          <t>A 19933-2022</t>
        </is>
      </c>
      <c r="B492" s="1" t="n">
        <v>44697</v>
      </c>
      <c r="C492" s="1" t="n">
        <v>45802</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19939-2022</t>
        </is>
      </c>
      <c r="B493" s="1" t="n">
        <v>44697</v>
      </c>
      <c r="C493" s="1" t="n">
        <v>45802</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19918-2022</t>
        </is>
      </c>
      <c r="B494" s="1" t="n">
        <v>44697</v>
      </c>
      <c r="C494" s="1" t="n">
        <v>45802</v>
      </c>
      <c r="D494" t="inlineStr">
        <is>
          <t>DALARNAS LÄN</t>
        </is>
      </c>
      <c r="E494" t="inlineStr">
        <is>
          <t>ÄLVDALEN</t>
        </is>
      </c>
      <c r="F494" t="inlineStr">
        <is>
          <t>Sveaskog</t>
        </is>
      </c>
      <c r="G494" t="n">
        <v>20.8</v>
      </c>
      <c r="H494" t="n">
        <v>0</v>
      </c>
      <c r="I494" t="n">
        <v>0</v>
      </c>
      <c r="J494" t="n">
        <v>0</v>
      </c>
      <c r="K494" t="n">
        <v>0</v>
      </c>
      <c r="L494" t="n">
        <v>0</v>
      </c>
      <c r="M494" t="n">
        <v>0</v>
      </c>
      <c r="N494" t="n">
        <v>0</v>
      </c>
      <c r="O494" t="n">
        <v>0</v>
      </c>
      <c r="P494" t="n">
        <v>0</v>
      </c>
      <c r="Q494" t="n">
        <v>0</v>
      </c>
      <c r="R494" s="2" t="inlineStr"/>
    </row>
    <row r="495" ht="15" customHeight="1">
      <c r="A495" t="inlineStr">
        <is>
          <t>A 20561-2022</t>
        </is>
      </c>
      <c r="B495" s="1" t="n">
        <v>44700</v>
      </c>
      <c r="C495" s="1" t="n">
        <v>45802</v>
      </c>
      <c r="D495" t="inlineStr">
        <is>
          <t>DALARNAS LÄN</t>
        </is>
      </c>
      <c r="E495" t="inlineStr">
        <is>
          <t>ÄLVDALEN</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21280-2022</t>
        </is>
      </c>
      <c r="B496" s="1" t="n">
        <v>44705</v>
      </c>
      <c r="C496" s="1" t="n">
        <v>45802</v>
      </c>
      <c r="D496" t="inlineStr">
        <is>
          <t>DALARNAS LÄN</t>
        </is>
      </c>
      <c r="E496" t="inlineStr">
        <is>
          <t>ÄLVDALEN</t>
        </is>
      </c>
      <c r="G496" t="n">
        <v>4.5</v>
      </c>
      <c r="H496" t="n">
        <v>0</v>
      </c>
      <c r="I496" t="n">
        <v>0</v>
      </c>
      <c r="J496" t="n">
        <v>0</v>
      </c>
      <c r="K496" t="n">
        <v>0</v>
      </c>
      <c r="L496" t="n">
        <v>0</v>
      </c>
      <c r="M496" t="n">
        <v>0</v>
      </c>
      <c r="N496" t="n">
        <v>0</v>
      </c>
      <c r="O496" t="n">
        <v>0</v>
      </c>
      <c r="P496" t="n">
        <v>0</v>
      </c>
      <c r="Q496" t="n">
        <v>0</v>
      </c>
      <c r="R496" s="2" t="inlineStr"/>
    </row>
    <row r="497" ht="15" customHeight="1">
      <c r="A497" t="inlineStr">
        <is>
          <t>A 21279-2022</t>
        </is>
      </c>
      <c r="B497" s="1" t="n">
        <v>44705</v>
      </c>
      <c r="C497" s="1" t="n">
        <v>45802</v>
      </c>
      <c r="D497" t="inlineStr">
        <is>
          <t>DALARNAS LÄN</t>
        </is>
      </c>
      <c r="E497" t="inlineStr">
        <is>
          <t>ÄLVDALEN</t>
        </is>
      </c>
      <c r="G497" t="n">
        <v>4.6</v>
      </c>
      <c r="H497" t="n">
        <v>0</v>
      </c>
      <c r="I497" t="n">
        <v>0</v>
      </c>
      <c r="J497" t="n">
        <v>0</v>
      </c>
      <c r="K497" t="n">
        <v>0</v>
      </c>
      <c r="L497" t="n">
        <v>0</v>
      </c>
      <c r="M497" t="n">
        <v>0</v>
      </c>
      <c r="N497" t="n">
        <v>0</v>
      </c>
      <c r="O497" t="n">
        <v>0</v>
      </c>
      <c r="P497" t="n">
        <v>0</v>
      </c>
      <c r="Q497" t="n">
        <v>0</v>
      </c>
      <c r="R497" s="2" t="inlineStr"/>
    </row>
    <row r="498" ht="15" customHeight="1">
      <c r="A498" t="inlineStr">
        <is>
          <t>A 21630-2022</t>
        </is>
      </c>
      <c r="B498" s="1" t="n">
        <v>44706</v>
      </c>
      <c r="C498" s="1" t="n">
        <v>45802</v>
      </c>
      <c r="D498" t="inlineStr">
        <is>
          <t>DALARNAS LÄN</t>
        </is>
      </c>
      <c r="E498" t="inlineStr">
        <is>
          <t>ÄLVDALEN</t>
        </is>
      </c>
      <c r="F498" t="inlineStr">
        <is>
          <t>Övriga statliga verk och myndigheter</t>
        </is>
      </c>
      <c r="G498" t="n">
        <v>5.2</v>
      </c>
      <c r="H498" t="n">
        <v>0</v>
      </c>
      <c r="I498" t="n">
        <v>0</v>
      </c>
      <c r="J498" t="n">
        <v>0</v>
      </c>
      <c r="K498" t="n">
        <v>0</v>
      </c>
      <c r="L498" t="n">
        <v>0</v>
      </c>
      <c r="M498" t="n">
        <v>0</v>
      </c>
      <c r="N498" t="n">
        <v>0</v>
      </c>
      <c r="O498" t="n">
        <v>0</v>
      </c>
      <c r="P498" t="n">
        <v>0</v>
      </c>
      <c r="Q498" t="n">
        <v>0</v>
      </c>
      <c r="R498" s="2" t="inlineStr"/>
    </row>
    <row r="499" ht="15" customHeight="1">
      <c r="A499" t="inlineStr">
        <is>
          <t>A 22063-2022</t>
        </is>
      </c>
      <c r="B499" s="1" t="n">
        <v>44711</v>
      </c>
      <c r="C499" s="1" t="n">
        <v>45802</v>
      </c>
      <c r="D499" t="inlineStr">
        <is>
          <t>DALARNAS LÄN</t>
        </is>
      </c>
      <c r="E499" t="inlineStr">
        <is>
          <t>ÄLVDALEN</t>
        </is>
      </c>
      <c r="F499" t="inlineStr">
        <is>
          <t>Bergvik skog väst AB</t>
        </is>
      </c>
      <c r="G499" t="n">
        <v>2.7</v>
      </c>
      <c r="H499" t="n">
        <v>0</v>
      </c>
      <c r="I499" t="n">
        <v>0</v>
      </c>
      <c r="J499" t="n">
        <v>0</v>
      </c>
      <c r="K499" t="n">
        <v>0</v>
      </c>
      <c r="L499" t="n">
        <v>0</v>
      </c>
      <c r="M499" t="n">
        <v>0</v>
      </c>
      <c r="N499" t="n">
        <v>0</v>
      </c>
      <c r="O499" t="n">
        <v>0</v>
      </c>
      <c r="P499" t="n">
        <v>0</v>
      </c>
      <c r="Q499" t="n">
        <v>0</v>
      </c>
      <c r="R499" s="2" t="inlineStr"/>
    </row>
    <row r="500" ht="15" customHeight="1">
      <c r="A500" t="inlineStr">
        <is>
          <t>A 22062-2022</t>
        </is>
      </c>
      <c r="B500" s="1" t="n">
        <v>44711</v>
      </c>
      <c r="C500" s="1" t="n">
        <v>45802</v>
      </c>
      <c r="D500" t="inlineStr">
        <is>
          <t>DALARNAS LÄN</t>
        </is>
      </c>
      <c r="E500" t="inlineStr">
        <is>
          <t>ÄLVDALEN</t>
        </is>
      </c>
      <c r="F500" t="inlineStr">
        <is>
          <t>Bergvik skog väst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25162-2022</t>
        </is>
      </c>
      <c r="B501" s="1" t="n">
        <v>44729</v>
      </c>
      <c r="C501" s="1" t="n">
        <v>45802</v>
      </c>
      <c r="D501" t="inlineStr">
        <is>
          <t>DALARNAS LÄN</t>
        </is>
      </c>
      <c r="E501" t="inlineStr">
        <is>
          <t>ÄLVDALEN</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25121-2022</t>
        </is>
      </c>
      <c r="B502" s="1" t="n">
        <v>44729</v>
      </c>
      <c r="C502" s="1" t="n">
        <v>45802</v>
      </c>
      <c r="D502" t="inlineStr">
        <is>
          <t>DALARNAS LÄN</t>
        </is>
      </c>
      <c r="E502" t="inlineStr">
        <is>
          <t>ÄLVDALEN</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25602-2022</t>
        </is>
      </c>
      <c r="B503" s="1" t="n">
        <v>44732</v>
      </c>
      <c r="C503" s="1" t="n">
        <v>45802</v>
      </c>
      <c r="D503" t="inlineStr">
        <is>
          <t>DALARNAS LÄN</t>
        </is>
      </c>
      <c r="E503" t="inlineStr">
        <is>
          <t>ÄLVDALEN</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26622-2022</t>
        </is>
      </c>
      <c r="B504" s="1" t="n">
        <v>44739</v>
      </c>
      <c r="C504" s="1" t="n">
        <v>45802</v>
      </c>
      <c r="D504" t="inlineStr">
        <is>
          <t>DALARNAS LÄN</t>
        </is>
      </c>
      <c r="E504" t="inlineStr">
        <is>
          <t>ÄLVDALEN</t>
        </is>
      </c>
      <c r="F504" t="inlineStr">
        <is>
          <t>Allmännings- och besparingsskogar</t>
        </is>
      </c>
      <c r="G504" t="n">
        <v>10</v>
      </c>
      <c r="H504" t="n">
        <v>0</v>
      </c>
      <c r="I504" t="n">
        <v>0</v>
      </c>
      <c r="J504" t="n">
        <v>0</v>
      </c>
      <c r="K504" t="n">
        <v>0</v>
      </c>
      <c r="L504" t="n">
        <v>0</v>
      </c>
      <c r="M504" t="n">
        <v>0</v>
      </c>
      <c r="N504" t="n">
        <v>0</v>
      </c>
      <c r="O504" t="n">
        <v>0</v>
      </c>
      <c r="P504" t="n">
        <v>0</v>
      </c>
      <c r="Q504" t="n">
        <v>0</v>
      </c>
      <c r="R504" s="2" t="inlineStr"/>
    </row>
    <row r="505" ht="15" customHeight="1">
      <c r="A505" t="inlineStr">
        <is>
          <t>A 27480-2022</t>
        </is>
      </c>
      <c r="B505" s="1" t="n">
        <v>44742</v>
      </c>
      <c r="C505" s="1" t="n">
        <v>45802</v>
      </c>
      <c r="D505" t="inlineStr">
        <is>
          <t>DALARNAS LÄN</t>
        </is>
      </c>
      <c r="E505" t="inlineStr">
        <is>
          <t>ÄLVDALEN</t>
        </is>
      </c>
      <c r="F505" t="inlineStr">
        <is>
          <t>Bergvik skog väst AB</t>
        </is>
      </c>
      <c r="G505" t="n">
        <v>4.1</v>
      </c>
      <c r="H505" t="n">
        <v>0</v>
      </c>
      <c r="I505" t="n">
        <v>0</v>
      </c>
      <c r="J505" t="n">
        <v>0</v>
      </c>
      <c r="K505" t="n">
        <v>0</v>
      </c>
      <c r="L505" t="n">
        <v>0</v>
      </c>
      <c r="M505" t="n">
        <v>0</v>
      </c>
      <c r="N505" t="n">
        <v>0</v>
      </c>
      <c r="O505" t="n">
        <v>0</v>
      </c>
      <c r="P505" t="n">
        <v>0</v>
      </c>
      <c r="Q505" t="n">
        <v>0</v>
      </c>
      <c r="R505" s="2" t="inlineStr"/>
    </row>
    <row r="506" ht="15" customHeight="1">
      <c r="A506" t="inlineStr">
        <is>
          <t>A 27488-2022</t>
        </is>
      </c>
      <c r="B506" s="1" t="n">
        <v>44742</v>
      </c>
      <c r="C506" s="1" t="n">
        <v>45802</v>
      </c>
      <c r="D506" t="inlineStr">
        <is>
          <t>DALARNAS LÄN</t>
        </is>
      </c>
      <c r="E506" t="inlineStr">
        <is>
          <t>ÄLVDALEN</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29561-2022</t>
        </is>
      </c>
      <c r="B507" s="1" t="n">
        <v>44754</v>
      </c>
      <c r="C507" s="1" t="n">
        <v>45802</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29558-2022</t>
        </is>
      </c>
      <c r="B508" s="1" t="n">
        <v>44754</v>
      </c>
      <c r="C508" s="1" t="n">
        <v>45802</v>
      </c>
      <c r="D508" t="inlineStr">
        <is>
          <t>DALARNAS LÄN</t>
        </is>
      </c>
      <c r="E508" t="inlineStr">
        <is>
          <t>ÄLVDALEN</t>
        </is>
      </c>
      <c r="G508" t="n">
        <v>2.5</v>
      </c>
      <c r="H508" t="n">
        <v>0</v>
      </c>
      <c r="I508" t="n">
        <v>0</v>
      </c>
      <c r="J508" t="n">
        <v>0</v>
      </c>
      <c r="K508" t="n">
        <v>0</v>
      </c>
      <c r="L508" t="n">
        <v>0</v>
      </c>
      <c r="M508" t="n">
        <v>0</v>
      </c>
      <c r="N508" t="n">
        <v>0</v>
      </c>
      <c r="O508" t="n">
        <v>0</v>
      </c>
      <c r="P508" t="n">
        <v>0</v>
      </c>
      <c r="Q508" t="n">
        <v>0</v>
      </c>
      <c r="R508" s="2" t="inlineStr"/>
    </row>
    <row r="509" ht="15" customHeight="1">
      <c r="A509" t="inlineStr">
        <is>
          <t>A 29565-2022</t>
        </is>
      </c>
      <c r="B509" s="1" t="n">
        <v>44754</v>
      </c>
      <c r="C509" s="1" t="n">
        <v>45802</v>
      </c>
      <c r="D509" t="inlineStr">
        <is>
          <t>DALARNAS LÄN</t>
        </is>
      </c>
      <c r="E509" t="inlineStr">
        <is>
          <t>ÄLVDALEN</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29566-2022</t>
        </is>
      </c>
      <c r="B510" s="1" t="n">
        <v>44754</v>
      </c>
      <c r="C510" s="1" t="n">
        <v>45802</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29711-2022</t>
        </is>
      </c>
      <c r="B511" s="1" t="n">
        <v>44755</v>
      </c>
      <c r="C511" s="1" t="n">
        <v>45802</v>
      </c>
      <c r="D511" t="inlineStr">
        <is>
          <t>DALARNAS LÄN</t>
        </is>
      </c>
      <c r="E511" t="inlineStr">
        <is>
          <t>ÄLVDALEN</t>
        </is>
      </c>
      <c r="G511" t="n">
        <v>8</v>
      </c>
      <c r="H511" t="n">
        <v>0</v>
      </c>
      <c r="I511" t="n">
        <v>0</v>
      </c>
      <c r="J511" t="n">
        <v>0</v>
      </c>
      <c r="K511" t="n">
        <v>0</v>
      </c>
      <c r="L511" t="n">
        <v>0</v>
      </c>
      <c r="M511" t="n">
        <v>0</v>
      </c>
      <c r="N511" t="n">
        <v>0</v>
      </c>
      <c r="O511" t="n">
        <v>0</v>
      </c>
      <c r="P511" t="n">
        <v>0</v>
      </c>
      <c r="Q511" t="n">
        <v>0</v>
      </c>
      <c r="R511" s="2" t="inlineStr"/>
    </row>
    <row r="512" ht="15" customHeight="1">
      <c r="A512" t="inlineStr">
        <is>
          <t>A 29713-2022</t>
        </is>
      </c>
      <c r="B512" s="1" t="n">
        <v>44755</v>
      </c>
      <c r="C512" s="1" t="n">
        <v>45802</v>
      </c>
      <c r="D512" t="inlineStr">
        <is>
          <t>DALARNAS LÄN</t>
        </is>
      </c>
      <c r="E512" t="inlineStr">
        <is>
          <t>ÄLVDALEN</t>
        </is>
      </c>
      <c r="G512" t="n">
        <v>2.8</v>
      </c>
      <c r="H512" t="n">
        <v>0</v>
      </c>
      <c r="I512" t="n">
        <v>0</v>
      </c>
      <c r="J512" t="n">
        <v>0</v>
      </c>
      <c r="K512" t="n">
        <v>0</v>
      </c>
      <c r="L512" t="n">
        <v>0</v>
      </c>
      <c r="M512" t="n">
        <v>0</v>
      </c>
      <c r="N512" t="n">
        <v>0</v>
      </c>
      <c r="O512" t="n">
        <v>0</v>
      </c>
      <c r="P512" t="n">
        <v>0</v>
      </c>
      <c r="Q512" t="n">
        <v>0</v>
      </c>
      <c r="R512" s="2" t="inlineStr"/>
    </row>
    <row r="513" ht="15" customHeight="1">
      <c r="A513" t="inlineStr">
        <is>
          <t>A 29804-2022</t>
        </is>
      </c>
      <c r="B513" s="1" t="n">
        <v>44755</v>
      </c>
      <c r="C513" s="1" t="n">
        <v>45802</v>
      </c>
      <c r="D513" t="inlineStr">
        <is>
          <t>DALARNAS LÄN</t>
        </is>
      </c>
      <c r="E513" t="inlineStr">
        <is>
          <t>ÄLVDALEN</t>
        </is>
      </c>
      <c r="F513" t="inlineStr">
        <is>
          <t>Allmännings- och besparingsskogar</t>
        </is>
      </c>
      <c r="G513" t="n">
        <v>11.4</v>
      </c>
      <c r="H513" t="n">
        <v>0</v>
      </c>
      <c r="I513" t="n">
        <v>0</v>
      </c>
      <c r="J513" t="n">
        <v>0</v>
      </c>
      <c r="K513" t="n">
        <v>0</v>
      </c>
      <c r="L513" t="n">
        <v>0</v>
      </c>
      <c r="M513" t="n">
        <v>0</v>
      </c>
      <c r="N513" t="n">
        <v>0</v>
      </c>
      <c r="O513" t="n">
        <v>0</v>
      </c>
      <c r="P513" t="n">
        <v>0</v>
      </c>
      <c r="Q513" t="n">
        <v>0</v>
      </c>
      <c r="R513" s="2" t="inlineStr"/>
    </row>
    <row r="514" ht="15" customHeight="1">
      <c r="A514" t="inlineStr">
        <is>
          <t>A 29710-2022</t>
        </is>
      </c>
      <c r="B514" s="1" t="n">
        <v>44755</v>
      </c>
      <c r="C514" s="1" t="n">
        <v>45802</v>
      </c>
      <c r="D514" t="inlineStr">
        <is>
          <t>DALARNAS LÄN</t>
        </is>
      </c>
      <c r="E514" t="inlineStr">
        <is>
          <t>ÄLVDALEN</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29806-2022</t>
        </is>
      </c>
      <c r="B515" s="1" t="n">
        <v>44755</v>
      </c>
      <c r="C515" s="1" t="n">
        <v>45802</v>
      </c>
      <c r="D515" t="inlineStr">
        <is>
          <t>DALARNAS LÄN</t>
        </is>
      </c>
      <c r="E515" t="inlineStr">
        <is>
          <t>ÄLVDALEN</t>
        </is>
      </c>
      <c r="F515" t="inlineStr">
        <is>
          <t>Allmännings- och besparingsskogar</t>
        </is>
      </c>
      <c r="G515" t="n">
        <v>1.2</v>
      </c>
      <c r="H515" t="n">
        <v>0</v>
      </c>
      <c r="I515" t="n">
        <v>0</v>
      </c>
      <c r="J515" t="n">
        <v>0</v>
      </c>
      <c r="K515" t="n">
        <v>0</v>
      </c>
      <c r="L515" t="n">
        <v>0</v>
      </c>
      <c r="M515" t="n">
        <v>0</v>
      </c>
      <c r="N515" t="n">
        <v>0</v>
      </c>
      <c r="O515" t="n">
        <v>0</v>
      </c>
      <c r="P515" t="n">
        <v>0</v>
      </c>
      <c r="Q515" t="n">
        <v>0</v>
      </c>
      <c r="R515" s="2" t="inlineStr"/>
    </row>
    <row r="516" ht="15" customHeight="1">
      <c r="A516" t="inlineStr">
        <is>
          <t>A 29716-2022</t>
        </is>
      </c>
      <c r="B516" s="1" t="n">
        <v>44755</v>
      </c>
      <c r="C516" s="1" t="n">
        <v>45802</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29849-2022</t>
        </is>
      </c>
      <c r="B517" s="1" t="n">
        <v>44756</v>
      </c>
      <c r="C517" s="1" t="n">
        <v>45802</v>
      </c>
      <c r="D517" t="inlineStr">
        <is>
          <t>DALARNAS LÄN</t>
        </is>
      </c>
      <c r="E517" t="inlineStr">
        <is>
          <t>ÄLVDALEN</t>
        </is>
      </c>
      <c r="F517" t="inlineStr">
        <is>
          <t>Allmännings- och besparingsskogar</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29974-2022</t>
        </is>
      </c>
      <c r="B518" s="1" t="n">
        <v>44756</v>
      </c>
      <c r="C518" s="1" t="n">
        <v>45802</v>
      </c>
      <c r="D518" t="inlineStr">
        <is>
          <t>DALARNAS LÄN</t>
        </is>
      </c>
      <c r="E518" t="inlineStr">
        <is>
          <t>ÄLVDALEN</t>
        </is>
      </c>
      <c r="F518" t="inlineStr">
        <is>
          <t>Allmännings- och besparingsskogar</t>
        </is>
      </c>
      <c r="G518" t="n">
        <v>30</v>
      </c>
      <c r="H518" t="n">
        <v>0</v>
      </c>
      <c r="I518" t="n">
        <v>0</v>
      </c>
      <c r="J518" t="n">
        <v>0</v>
      </c>
      <c r="K518" t="n">
        <v>0</v>
      </c>
      <c r="L518" t="n">
        <v>0</v>
      </c>
      <c r="M518" t="n">
        <v>0</v>
      </c>
      <c r="N518" t="n">
        <v>0</v>
      </c>
      <c r="O518" t="n">
        <v>0</v>
      </c>
      <c r="P518" t="n">
        <v>0</v>
      </c>
      <c r="Q518" t="n">
        <v>0</v>
      </c>
      <c r="R518" s="2" t="inlineStr"/>
    </row>
    <row r="519" ht="15" customHeight="1">
      <c r="A519" t="inlineStr">
        <is>
          <t>A 30831-2022</t>
        </is>
      </c>
      <c r="B519" s="1" t="n">
        <v>44767</v>
      </c>
      <c r="C519" s="1" t="n">
        <v>45802</v>
      </c>
      <c r="D519" t="inlineStr">
        <is>
          <t>DALARNAS LÄN</t>
        </is>
      </c>
      <c r="E519" t="inlineStr">
        <is>
          <t>ÄLVDALEN</t>
        </is>
      </c>
      <c r="F519" t="inlineStr">
        <is>
          <t>Allmännings- och besparingsskogar</t>
        </is>
      </c>
      <c r="G519" t="n">
        <v>22.7</v>
      </c>
      <c r="H519" t="n">
        <v>0</v>
      </c>
      <c r="I519" t="n">
        <v>0</v>
      </c>
      <c r="J519" t="n">
        <v>0</v>
      </c>
      <c r="K519" t="n">
        <v>0</v>
      </c>
      <c r="L519" t="n">
        <v>0</v>
      </c>
      <c r="M519" t="n">
        <v>0</v>
      </c>
      <c r="N519" t="n">
        <v>0</v>
      </c>
      <c r="O519" t="n">
        <v>0</v>
      </c>
      <c r="P519" t="n">
        <v>0</v>
      </c>
      <c r="Q519" t="n">
        <v>0</v>
      </c>
      <c r="R519" s="2" t="inlineStr"/>
    </row>
    <row r="520" ht="15" customHeight="1">
      <c r="A520" t="inlineStr">
        <is>
          <t>A 31266-2022</t>
        </is>
      </c>
      <c r="B520" s="1" t="n">
        <v>44771</v>
      </c>
      <c r="C520" s="1" t="n">
        <v>45802</v>
      </c>
      <c r="D520" t="inlineStr">
        <is>
          <t>DALARNAS LÄN</t>
        </is>
      </c>
      <c r="E520" t="inlineStr">
        <is>
          <t>ÄLVDALEN</t>
        </is>
      </c>
      <c r="F520" t="inlineStr">
        <is>
          <t>Allmännings- och besparingsskogar</t>
        </is>
      </c>
      <c r="G520" t="n">
        <v>20.8</v>
      </c>
      <c r="H520" t="n">
        <v>0</v>
      </c>
      <c r="I520" t="n">
        <v>0</v>
      </c>
      <c r="J520" t="n">
        <v>0</v>
      </c>
      <c r="K520" t="n">
        <v>0</v>
      </c>
      <c r="L520" t="n">
        <v>0</v>
      </c>
      <c r="M520" t="n">
        <v>0</v>
      </c>
      <c r="N520" t="n">
        <v>0</v>
      </c>
      <c r="O520" t="n">
        <v>0</v>
      </c>
      <c r="P520" t="n">
        <v>0</v>
      </c>
      <c r="Q520" t="n">
        <v>0</v>
      </c>
      <c r="R520" s="2" t="inlineStr"/>
    </row>
    <row r="521" ht="15" customHeight="1">
      <c r="A521" t="inlineStr">
        <is>
          <t>A 32385-2022</t>
        </is>
      </c>
      <c r="B521" s="1" t="n">
        <v>44782</v>
      </c>
      <c r="C521" s="1" t="n">
        <v>45802</v>
      </c>
      <c r="D521" t="inlineStr">
        <is>
          <t>DALARNAS LÄN</t>
        </is>
      </c>
      <c r="E521" t="inlineStr">
        <is>
          <t>ÄLVDALEN</t>
        </is>
      </c>
      <c r="F521" t="inlineStr">
        <is>
          <t>Övriga statliga verk och myndigheter</t>
        </is>
      </c>
      <c r="G521" t="n">
        <v>9</v>
      </c>
      <c r="H521" t="n">
        <v>0</v>
      </c>
      <c r="I521" t="n">
        <v>0</v>
      </c>
      <c r="J521" t="n">
        <v>0</v>
      </c>
      <c r="K521" t="n">
        <v>0</v>
      </c>
      <c r="L521" t="n">
        <v>0</v>
      </c>
      <c r="M521" t="n">
        <v>0</v>
      </c>
      <c r="N521" t="n">
        <v>0</v>
      </c>
      <c r="O521" t="n">
        <v>0</v>
      </c>
      <c r="P521" t="n">
        <v>0</v>
      </c>
      <c r="Q521" t="n">
        <v>0</v>
      </c>
      <c r="R521" s="2" t="inlineStr"/>
    </row>
    <row r="522" ht="15" customHeight="1">
      <c r="A522" t="inlineStr">
        <is>
          <t>A 32467-2022</t>
        </is>
      </c>
      <c r="B522" s="1" t="n">
        <v>44782</v>
      </c>
      <c r="C522" s="1" t="n">
        <v>45802</v>
      </c>
      <c r="D522" t="inlineStr">
        <is>
          <t>DALARNAS LÄN</t>
        </is>
      </c>
      <c r="E522" t="inlineStr">
        <is>
          <t>ÄLVDALEN</t>
        </is>
      </c>
      <c r="F522" t="inlineStr">
        <is>
          <t>Bergvik skog väst AB</t>
        </is>
      </c>
      <c r="G522" t="n">
        <v>4.5</v>
      </c>
      <c r="H522" t="n">
        <v>0</v>
      </c>
      <c r="I522" t="n">
        <v>0</v>
      </c>
      <c r="J522" t="n">
        <v>0</v>
      </c>
      <c r="K522" t="n">
        <v>0</v>
      </c>
      <c r="L522" t="n">
        <v>0</v>
      </c>
      <c r="M522" t="n">
        <v>0</v>
      </c>
      <c r="N522" t="n">
        <v>0</v>
      </c>
      <c r="O522" t="n">
        <v>0</v>
      </c>
      <c r="P522" t="n">
        <v>0</v>
      </c>
      <c r="Q522" t="n">
        <v>0</v>
      </c>
      <c r="R522" s="2" t="inlineStr"/>
    </row>
    <row r="523" ht="15" customHeight="1">
      <c r="A523" t="inlineStr">
        <is>
          <t>A 32468-2022</t>
        </is>
      </c>
      <c r="B523" s="1" t="n">
        <v>44782</v>
      </c>
      <c r="C523" s="1" t="n">
        <v>45802</v>
      </c>
      <c r="D523" t="inlineStr">
        <is>
          <t>DALARNAS LÄN</t>
        </is>
      </c>
      <c r="E523" t="inlineStr">
        <is>
          <t>ÄLVDALEN</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32848-2022</t>
        </is>
      </c>
      <c r="B524" s="1" t="n">
        <v>44784</v>
      </c>
      <c r="C524" s="1" t="n">
        <v>45802</v>
      </c>
      <c r="D524" t="inlineStr">
        <is>
          <t>DALARNAS LÄN</t>
        </is>
      </c>
      <c r="E524" t="inlineStr">
        <is>
          <t>ÄLVDALEN</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32894-2022</t>
        </is>
      </c>
      <c r="B525" s="1" t="n">
        <v>44784</v>
      </c>
      <c r="C525" s="1" t="n">
        <v>45802</v>
      </c>
      <c r="D525" t="inlineStr">
        <is>
          <t>DALARNAS LÄN</t>
        </is>
      </c>
      <c r="E525" t="inlineStr">
        <is>
          <t>ÄLVDALEN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33425-2022</t>
        </is>
      </c>
      <c r="B526" s="1" t="n">
        <v>44788</v>
      </c>
      <c r="C526" s="1" t="n">
        <v>45802</v>
      </c>
      <c r="D526" t="inlineStr">
        <is>
          <t>DALARNAS LÄN</t>
        </is>
      </c>
      <c r="E526" t="inlineStr">
        <is>
          <t>ÄLVDALEN</t>
        </is>
      </c>
      <c r="F526" t="inlineStr">
        <is>
          <t>Bergvik skog öst AB</t>
        </is>
      </c>
      <c r="G526" t="n">
        <v>21.2</v>
      </c>
      <c r="H526" t="n">
        <v>0</v>
      </c>
      <c r="I526" t="n">
        <v>0</v>
      </c>
      <c r="J526" t="n">
        <v>0</v>
      </c>
      <c r="K526" t="n">
        <v>0</v>
      </c>
      <c r="L526" t="n">
        <v>0</v>
      </c>
      <c r="M526" t="n">
        <v>0</v>
      </c>
      <c r="N526" t="n">
        <v>0</v>
      </c>
      <c r="O526" t="n">
        <v>0</v>
      </c>
      <c r="P526" t="n">
        <v>0</v>
      </c>
      <c r="Q526" t="n">
        <v>0</v>
      </c>
      <c r="R526" s="2" t="inlineStr"/>
    </row>
    <row r="527" ht="15" customHeight="1">
      <c r="A527" t="inlineStr">
        <is>
          <t>A 36161-2022</t>
        </is>
      </c>
      <c r="B527" s="1" t="n">
        <v>44803</v>
      </c>
      <c r="C527" s="1" t="n">
        <v>45802</v>
      </c>
      <c r="D527" t="inlineStr">
        <is>
          <t>DALARNAS LÄN</t>
        </is>
      </c>
      <c r="E527" t="inlineStr">
        <is>
          <t>ÄLVDALEN</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36513-2022</t>
        </is>
      </c>
      <c r="B528" s="1" t="n">
        <v>44804</v>
      </c>
      <c r="C528" s="1" t="n">
        <v>45802</v>
      </c>
      <c r="D528" t="inlineStr">
        <is>
          <t>DALARNAS LÄN</t>
        </is>
      </c>
      <c r="E528" t="inlineStr">
        <is>
          <t>ÄLVDALEN</t>
        </is>
      </c>
      <c r="G528" t="n">
        <v>3.1</v>
      </c>
      <c r="H528" t="n">
        <v>0</v>
      </c>
      <c r="I528" t="n">
        <v>0</v>
      </c>
      <c r="J528" t="n">
        <v>0</v>
      </c>
      <c r="K528" t="n">
        <v>0</v>
      </c>
      <c r="L528" t="n">
        <v>0</v>
      </c>
      <c r="M528" t="n">
        <v>0</v>
      </c>
      <c r="N528" t="n">
        <v>0</v>
      </c>
      <c r="O528" t="n">
        <v>0</v>
      </c>
      <c r="P528" t="n">
        <v>0</v>
      </c>
      <c r="Q528" t="n">
        <v>0</v>
      </c>
      <c r="R528" s="2" t="inlineStr"/>
    </row>
    <row r="529" ht="15" customHeight="1">
      <c r="A529" t="inlineStr">
        <is>
          <t>A 37399-2022</t>
        </is>
      </c>
      <c r="B529" s="1" t="n">
        <v>44809</v>
      </c>
      <c r="C529" s="1" t="n">
        <v>45802</v>
      </c>
      <c r="D529" t="inlineStr">
        <is>
          <t>DALARNAS LÄN</t>
        </is>
      </c>
      <c r="E529" t="inlineStr">
        <is>
          <t>ÄLVDALEN</t>
        </is>
      </c>
      <c r="F529" t="inlineStr">
        <is>
          <t>Allmännings- och besparingsskogar</t>
        </is>
      </c>
      <c r="G529" t="n">
        <v>0.9</v>
      </c>
      <c r="H529" t="n">
        <v>0</v>
      </c>
      <c r="I529" t="n">
        <v>0</v>
      </c>
      <c r="J529" t="n">
        <v>0</v>
      </c>
      <c r="K529" t="n">
        <v>0</v>
      </c>
      <c r="L529" t="n">
        <v>0</v>
      </c>
      <c r="M529" t="n">
        <v>0</v>
      </c>
      <c r="N529" t="n">
        <v>0</v>
      </c>
      <c r="O529" t="n">
        <v>0</v>
      </c>
      <c r="P529" t="n">
        <v>0</v>
      </c>
      <c r="Q529" t="n">
        <v>0</v>
      </c>
      <c r="R529" s="2" t="inlineStr"/>
    </row>
    <row r="530" ht="15" customHeight="1">
      <c r="A530" t="inlineStr">
        <is>
          <t>A 37740-2022</t>
        </is>
      </c>
      <c r="B530" s="1" t="n">
        <v>44810</v>
      </c>
      <c r="C530" s="1" t="n">
        <v>45802</v>
      </c>
      <c r="D530" t="inlineStr">
        <is>
          <t>DALARNAS LÄN</t>
        </is>
      </c>
      <c r="E530" t="inlineStr">
        <is>
          <t>ÄLVDALEN</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37957-2022</t>
        </is>
      </c>
      <c r="B531" s="1" t="n">
        <v>44811</v>
      </c>
      <c r="C531" s="1" t="n">
        <v>45802</v>
      </c>
      <c r="D531" t="inlineStr">
        <is>
          <t>DALARNAS LÄN</t>
        </is>
      </c>
      <c r="E531" t="inlineStr">
        <is>
          <t>ÄLVDALEN</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37959-2022</t>
        </is>
      </c>
      <c r="B532" s="1" t="n">
        <v>44811</v>
      </c>
      <c r="C532" s="1" t="n">
        <v>45802</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38957-2022</t>
        </is>
      </c>
      <c r="B533" s="1" t="n">
        <v>44816</v>
      </c>
      <c r="C533" s="1" t="n">
        <v>45802</v>
      </c>
      <c r="D533" t="inlineStr">
        <is>
          <t>DALARNAS LÄN</t>
        </is>
      </c>
      <c r="E533" t="inlineStr">
        <is>
          <t>ÄLVDALEN</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39308-2022</t>
        </is>
      </c>
      <c r="B534" s="1" t="n">
        <v>44817</v>
      </c>
      <c r="C534" s="1" t="n">
        <v>45802</v>
      </c>
      <c r="D534" t="inlineStr">
        <is>
          <t>DALARNAS LÄN</t>
        </is>
      </c>
      <c r="E534" t="inlineStr">
        <is>
          <t>ÄLVDALEN</t>
        </is>
      </c>
      <c r="F534" t="inlineStr">
        <is>
          <t>Bergvik skog väst AB</t>
        </is>
      </c>
      <c r="G534" t="n">
        <v>3.2</v>
      </c>
      <c r="H534" t="n">
        <v>0</v>
      </c>
      <c r="I534" t="n">
        <v>0</v>
      </c>
      <c r="J534" t="n">
        <v>0</v>
      </c>
      <c r="K534" t="n">
        <v>0</v>
      </c>
      <c r="L534" t="n">
        <v>0</v>
      </c>
      <c r="M534" t="n">
        <v>0</v>
      </c>
      <c r="N534" t="n">
        <v>0</v>
      </c>
      <c r="O534" t="n">
        <v>0</v>
      </c>
      <c r="P534" t="n">
        <v>0</v>
      </c>
      <c r="Q534" t="n">
        <v>0</v>
      </c>
      <c r="R534" s="2" t="inlineStr"/>
    </row>
    <row r="535" ht="15" customHeight="1">
      <c r="A535" t="inlineStr">
        <is>
          <t>A 39311-2022</t>
        </is>
      </c>
      <c r="B535" s="1" t="n">
        <v>44817</v>
      </c>
      <c r="C535" s="1" t="n">
        <v>45802</v>
      </c>
      <c r="D535" t="inlineStr">
        <is>
          <t>DALARNAS LÄN</t>
        </is>
      </c>
      <c r="E535" t="inlineStr">
        <is>
          <t>ÄLVDALEN</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40003-2022</t>
        </is>
      </c>
      <c r="B536" s="1" t="n">
        <v>44820</v>
      </c>
      <c r="C536" s="1" t="n">
        <v>45802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40726-2022</t>
        </is>
      </c>
      <c r="B537" s="1" t="n">
        <v>44824</v>
      </c>
      <c r="C537" s="1" t="n">
        <v>45802</v>
      </c>
      <c r="D537" t="inlineStr">
        <is>
          <t>DALARNAS LÄN</t>
        </is>
      </c>
      <c r="E537" t="inlineStr">
        <is>
          <t>ÄLVDALEN</t>
        </is>
      </c>
      <c r="F537" t="inlineStr">
        <is>
          <t>Övriga statliga verk och myndigheter</t>
        </is>
      </c>
      <c r="G537" t="n">
        <v>12.5</v>
      </c>
      <c r="H537" t="n">
        <v>0</v>
      </c>
      <c r="I537" t="n">
        <v>0</v>
      </c>
      <c r="J537" t="n">
        <v>0</v>
      </c>
      <c r="K537" t="n">
        <v>0</v>
      </c>
      <c r="L537" t="n">
        <v>0</v>
      </c>
      <c r="M537" t="n">
        <v>0</v>
      </c>
      <c r="N537" t="n">
        <v>0</v>
      </c>
      <c r="O537" t="n">
        <v>0</v>
      </c>
      <c r="P537" t="n">
        <v>0</v>
      </c>
      <c r="Q537" t="n">
        <v>0</v>
      </c>
      <c r="R537" s="2" t="inlineStr"/>
    </row>
    <row r="538" ht="15" customHeight="1">
      <c r="A538" t="inlineStr">
        <is>
          <t>A 40723-2022</t>
        </is>
      </c>
      <c r="B538" s="1" t="n">
        <v>44824</v>
      </c>
      <c r="C538" s="1" t="n">
        <v>45802</v>
      </c>
      <c r="D538" t="inlineStr">
        <is>
          <t>DALARNAS LÄN</t>
        </is>
      </c>
      <c r="E538" t="inlineStr">
        <is>
          <t>ÄLVDALEN</t>
        </is>
      </c>
      <c r="F538" t="inlineStr">
        <is>
          <t>Övriga statliga verk och myndigheter</t>
        </is>
      </c>
      <c r="G538" t="n">
        <v>14.7</v>
      </c>
      <c r="H538" t="n">
        <v>0</v>
      </c>
      <c r="I538" t="n">
        <v>0</v>
      </c>
      <c r="J538" t="n">
        <v>0</v>
      </c>
      <c r="K538" t="n">
        <v>0</v>
      </c>
      <c r="L538" t="n">
        <v>0</v>
      </c>
      <c r="M538" t="n">
        <v>0</v>
      </c>
      <c r="N538" t="n">
        <v>0</v>
      </c>
      <c r="O538" t="n">
        <v>0</v>
      </c>
      <c r="P538" t="n">
        <v>0</v>
      </c>
      <c r="Q538" t="n">
        <v>0</v>
      </c>
      <c r="R538" s="2" t="inlineStr"/>
    </row>
    <row r="539" ht="15" customHeight="1">
      <c r="A539" t="inlineStr">
        <is>
          <t>A 41856-2022</t>
        </is>
      </c>
      <c r="B539" s="1" t="n">
        <v>44829</v>
      </c>
      <c r="C539" s="1" t="n">
        <v>45802</v>
      </c>
      <c r="D539" t="inlineStr">
        <is>
          <t>DALARNAS LÄN</t>
        </is>
      </c>
      <c r="E539" t="inlineStr">
        <is>
          <t>ÄLVDALEN</t>
        </is>
      </c>
      <c r="G539" t="n">
        <v>9.1</v>
      </c>
      <c r="H539" t="n">
        <v>0</v>
      </c>
      <c r="I539" t="n">
        <v>0</v>
      </c>
      <c r="J539" t="n">
        <v>0</v>
      </c>
      <c r="K539" t="n">
        <v>0</v>
      </c>
      <c r="L539" t="n">
        <v>0</v>
      </c>
      <c r="M539" t="n">
        <v>0</v>
      </c>
      <c r="N539" t="n">
        <v>0</v>
      </c>
      <c r="O539" t="n">
        <v>0</v>
      </c>
      <c r="P539" t="n">
        <v>0</v>
      </c>
      <c r="Q539" t="n">
        <v>0</v>
      </c>
      <c r="R539" s="2" t="inlineStr"/>
    </row>
    <row r="540" ht="15" customHeight="1">
      <c r="A540" t="inlineStr">
        <is>
          <t>A 41855-2022</t>
        </is>
      </c>
      <c r="B540" s="1" t="n">
        <v>44829</v>
      </c>
      <c r="C540" s="1" t="n">
        <v>45802</v>
      </c>
      <c r="D540" t="inlineStr">
        <is>
          <t>DALARNAS LÄN</t>
        </is>
      </c>
      <c r="E540" t="inlineStr">
        <is>
          <t>ÄLVDALEN</t>
        </is>
      </c>
      <c r="G540" t="n">
        <v>19.3</v>
      </c>
      <c r="H540" t="n">
        <v>0</v>
      </c>
      <c r="I540" t="n">
        <v>0</v>
      </c>
      <c r="J540" t="n">
        <v>0</v>
      </c>
      <c r="K540" t="n">
        <v>0</v>
      </c>
      <c r="L540" t="n">
        <v>0</v>
      </c>
      <c r="M540" t="n">
        <v>0</v>
      </c>
      <c r="N540" t="n">
        <v>0</v>
      </c>
      <c r="O540" t="n">
        <v>0</v>
      </c>
      <c r="P540" t="n">
        <v>0</v>
      </c>
      <c r="Q540" t="n">
        <v>0</v>
      </c>
      <c r="R540" s="2" t="inlineStr"/>
    </row>
    <row r="541" ht="15" customHeight="1">
      <c r="A541" t="inlineStr">
        <is>
          <t>A 43191-2022</t>
        </is>
      </c>
      <c r="B541" s="1" t="n">
        <v>44834</v>
      </c>
      <c r="C541" s="1" t="n">
        <v>45802</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43649-2022</t>
        </is>
      </c>
      <c r="B542" s="1" t="n">
        <v>44837</v>
      </c>
      <c r="C542" s="1" t="n">
        <v>45802</v>
      </c>
      <c r="D542" t="inlineStr">
        <is>
          <t>DALARNAS LÄN</t>
        </is>
      </c>
      <c r="E542" t="inlineStr">
        <is>
          <t>ÄLVDALEN</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43628-2022</t>
        </is>
      </c>
      <c r="B543" s="1" t="n">
        <v>44837</v>
      </c>
      <c r="C543" s="1" t="n">
        <v>45802</v>
      </c>
      <c r="D543" t="inlineStr">
        <is>
          <t>DALARNAS LÄN</t>
        </is>
      </c>
      <c r="E543" t="inlineStr">
        <is>
          <t>ÄLVDALEN</t>
        </is>
      </c>
      <c r="G543" t="n">
        <v>5.8</v>
      </c>
      <c r="H543" t="n">
        <v>0</v>
      </c>
      <c r="I543" t="n">
        <v>0</v>
      </c>
      <c r="J543" t="n">
        <v>0</v>
      </c>
      <c r="K543" t="n">
        <v>0</v>
      </c>
      <c r="L543" t="n">
        <v>0</v>
      </c>
      <c r="M543" t="n">
        <v>0</v>
      </c>
      <c r="N543" t="n">
        <v>0</v>
      </c>
      <c r="O543" t="n">
        <v>0</v>
      </c>
      <c r="P543" t="n">
        <v>0</v>
      </c>
      <c r="Q543" t="n">
        <v>0</v>
      </c>
      <c r="R543" s="2" t="inlineStr"/>
    </row>
    <row r="544" ht="15" customHeight="1">
      <c r="A544" t="inlineStr">
        <is>
          <t>A 43647-2022</t>
        </is>
      </c>
      <c r="B544" s="1" t="n">
        <v>44837</v>
      </c>
      <c r="C544" s="1" t="n">
        <v>45802</v>
      </c>
      <c r="D544" t="inlineStr">
        <is>
          <t>DALARNAS LÄN</t>
        </is>
      </c>
      <c r="E544" t="inlineStr">
        <is>
          <t>ÄLVDALEN</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43616-2022</t>
        </is>
      </c>
      <c r="B545" s="1" t="n">
        <v>44837</v>
      </c>
      <c r="C545" s="1" t="n">
        <v>45802</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44119-2022</t>
        </is>
      </c>
      <c r="B546" s="1" t="n">
        <v>44839</v>
      </c>
      <c r="C546" s="1" t="n">
        <v>45802</v>
      </c>
      <c r="D546" t="inlineStr">
        <is>
          <t>DALARNAS LÄN</t>
        </is>
      </c>
      <c r="E546" t="inlineStr">
        <is>
          <t>ÄLVDALEN</t>
        </is>
      </c>
      <c r="G546" t="n">
        <v>3.2</v>
      </c>
      <c r="H546" t="n">
        <v>0</v>
      </c>
      <c r="I546" t="n">
        <v>0</v>
      </c>
      <c r="J546" t="n">
        <v>0</v>
      </c>
      <c r="K546" t="n">
        <v>0</v>
      </c>
      <c r="L546" t="n">
        <v>0</v>
      </c>
      <c r="M546" t="n">
        <v>0</v>
      </c>
      <c r="N546" t="n">
        <v>0</v>
      </c>
      <c r="O546" t="n">
        <v>0</v>
      </c>
      <c r="P546" t="n">
        <v>0</v>
      </c>
      <c r="Q546" t="n">
        <v>0</v>
      </c>
      <c r="R546" s="2" t="inlineStr"/>
    </row>
    <row r="547" ht="15" customHeight="1">
      <c r="A547" t="inlineStr">
        <is>
          <t>A 45044-2022</t>
        </is>
      </c>
      <c r="B547" s="1" t="n">
        <v>44841</v>
      </c>
      <c r="C547" s="1" t="n">
        <v>45802</v>
      </c>
      <c r="D547" t="inlineStr">
        <is>
          <t>DALARNAS LÄN</t>
        </is>
      </c>
      <c r="E547" t="inlineStr">
        <is>
          <t>ÄLVDALEN</t>
        </is>
      </c>
      <c r="F547" t="inlineStr">
        <is>
          <t>Bergvik skog väst AB</t>
        </is>
      </c>
      <c r="G547" t="n">
        <v>8.9</v>
      </c>
      <c r="H547" t="n">
        <v>0</v>
      </c>
      <c r="I547" t="n">
        <v>0</v>
      </c>
      <c r="J547" t="n">
        <v>0</v>
      </c>
      <c r="K547" t="n">
        <v>0</v>
      </c>
      <c r="L547" t="n">
        <v>0</v>
      </c>
      <c r="M547" t="n">
        <v>0</v>
      </c>
      <c r="N547" t="n">
        <v>0</v>
      </c>
      <c r="O547" t="n">
        <v>0</v>
      </c>
      <c r="P547" t="n">
        <v>0</v>
      </c>
      <c r="Q547" t="n">
        <v>0</v>
      </c>
      <c r="R547" s="2" t="inlineStr"/>
    </row>
    <row r="548" ht="15" customHeight="1">
      <c r="A548" t="inlineStr">
        <is>
          <t>A 45050-2022</t>
        </is>
      </c>
      <c r="B548" s="1" t="n">
        <v>44841</v>
      </c>
      <c r="C548" s="1" t="n">
        <v>45802</v>
      </c>
      <c r="D548" t="inlineStr">
        <is>
          <t>DALARNAS LÄN</t>
        </is>
      </c>
      <c r="E548" t="inlineStr">
        <is>
          <t>ÄLVDALEN</t>
        </is>
      </c>
      <c r="F548" t="inlineStr">
        <is>
          <t>Bergvik skog väst AB</t>
        </is>
      </c>
      <c r="G548" t="n">
        <v>5.1</v>
      </c>
      <c r="H548" t="n">
        <v>0</v>
      </c>
      <c r="I548" t="n">
        <v>0</v>
      </c>
      <c r="J548" t="n">
        <v>0</v>
      </c>
      <c r="K548" t="n">
        <v>0</v>
      </c>
      <c r="L548" t="n">
        <v>0</v>
      </c>
      <c r="M548" t="n">
        <v>0</v>
      </c>
      <c r="N548" t="n">
        <v>0</v>
      </c>
      <c r="O548" t="n">
        <v>0</v>
      </c>
      <c r="P548" t="n">
        <v>0</v>
      </c>
      <c r="Q548" t="n">
        <v>0</v>
      </c>
      <c r="R548" s="2" t="inlineStr"/>
    </row>
    <row r="549" ht="15" customHeight="1">
      <c r="A549" t="inlineStr">
        <is>
          <t>A 45049-2022</t>
        </is>
      </c>
      <c r="B549" s="1" t="n">
        <v>44841</v>
      </c>
      <c r="C549" s="1" t="n">
        <v>45802</v>
      </c>
      <c r="D549" t="inlineStr">
        <is>
          <t>DALARNAS LÄN</t>
        </is>
      </c>
      <c r="E549" t="inlineStr">
        <is>
          <t>ÄLVDALEN</t>
        </is>
      </c>
      <c r="F549" t="inlineStr">
        <is>
          <t>Bergvik skog väst AB</t>
        </is>
      </c>
      <c r="G549" t="n">
        <v>19.8</v>
      </c>
      <c r="H549" t="n">
        <v>0</v>
      </c>
      <c r="I549" t="n">
        <v>0</v>
      </c>
      <c r="J549" t="n">
        <v>0</v>
      </c>
      <c r="K549" t="n">
        <v>0</v>
      </c>
      <c r="L549" t="n">
        <v>0</v>
      </c>
      <c r="M549" t="n">
        <v>0</v>
      </c>
      <c r="N549" t="n">
        <v>0</v>
      </c>
      <c r="O549" t="n">
        <v>0</v>
      </c>
      <c r="P549" t="n">
        <v>0</v>
      </c>
      <c r="Q549" t="n">
        <v>0</v>
      </c>
      <c r="R549" s="2" t="inlineStr"/>
    </row>
    <row r="550" ht="15" customHeight="1">
      <c r="A550" t="inlineStr">
        <is>
          <t>A 45167-2022</t>
        </is>
      </c>
      <c r="B550" s="1" t="n">
        <v>44844</v>
      </c>
      <c r="C550" s="1" t="n">
        <v>45802</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45228-2022</t>
        </is>
      </c>
      <c r="B551" s="1" t="n">
        <v>44844</v>
      </c>
      <c r="C551" s="1" t="n">
        <v>45802</v>
      </c>
      <c r="D551" t="inlineStr">
        <is>
          <t>DALARNAS LÄN</t>
        </is>
      </c>
      <c r="E551" t="inlineStr">
        <is>
          <t>ÄLVDALEN</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45227-2022</t>
        </is>
      </c>
      <c r="B552" s="1" t="n">
        <v>44844</v>
      </c>
      <c r="C552" s="1" t="n">
        <v>45802</v>
      </c>
      <c r="D552" t="inlineStr">
        <is>
          <t>DALARNAS LÄN</t>
        </is>
      </c>
      <c r="E552" t="inlineStr">
        <is>
          <t>ÄLVDALEN</t>
        </is>
      </c>
      <c r="F552" t="inlineStr">
        <is>
          <t>Bergvik skog väst AB</t>
        </is>
      </c>
      <c r="G552" t="n">
        <v>22.3</v>
      </c>
      <c r="H552" t="n">
        <v>0</v>
      </c>
      <c r="I552" t="n">
        <v>0</v>
      </c>
      <c r="J552" t="n">
        <v>0</v>
      </c>
      <c r="K552" t="n">
        <v>0</v>
      </c>
      <c r="L552" t="n">
        <v>0</v>
      </c>
      <c r="M552" t="n">
        <v>0</v>
      </c>
      <c r="N552" t="n">
        <v>0</v>
      </c>
      <c r="O552" t="n">
        <v>0</v>
      </c>
      <c r="P552" t="n">
        <v>0</v>
      </c>
      <c r="Q552" t="n">
        <v>0</v>
      </c>
      <c r="R552" s="2" t="inlineStr"/>
    </row>
    <row r="553" ht="15" customHeight="1">
      <c r="A553" t="inlineStr">
        <is>
          <t>A 45245-2022</t>
        </is>
      </c>
      <c r="B553" s="1" t="n">
        <v>44844</v>
      </c>
      <c r="C553" s="1" t="n">
        <v>45802</v>
      </c>
      <c r="D553" t="inlineStr">
        <is>
          <t>DALARNAS LÄN</t>
        </is>
      </c>
      <c r="E553" t="inlineStr">
        <is>
          <t>ÄLVDALEN</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45157-2022</t>
        </is>
      </c>
      <c r="B554" s="1" t="n">
        <v>44844</v>
      </c>
      <c r="C554" s="1" t="n">
        <v>45802</v>
      </c>
      <c r="D554" t="inlineStr">
        <is>
          <t>DALARNAS LÄN</t>
        </is>
      </c>
      <c r="E554" t="inlineStr">
        <is>
          <t>ÄLVDALEN</t>
        </is>
      </c>
      <c r="G554" t="n">
        <v>7.9</v>
      </c>
      <c r="H554" t="n">
        <v>0</v>
      </c>
      <c r="I554" t="n">
        <v>0</v>
      </c>
      <c r="J554" t="n">
        <v>0</v>
      </c>
      <c r="K554" t="n">
        <v>0</v>
      </c>
      <c r="L554" t="n">
        <v>0</v>
      </c>
      <c r="M554" t="n">
        <v>0</v>
      </c>
      <c r="N554" t="n">
        <v>0</v>
      </c>
      <c r="O554" t="n">
        <v>0</v>
      </c>
      <c r="P554" t="n">
        <v>0</v>
      </c>
      <c r="Q554" t="n">
        <v>0</v>
      </c>
      <c r="R554" s="2" t="inlineStr"/>
    </row>
    <row r="555" ht="15" customHeight="1">
      <c r="A555" t="inlineStr">
        <is>
          <t>A 45165-2022</t>
        </is>
      </c>
      <c r="B555" s="1" t="n">
        <v>44844</v>
      </c>
      <c r="C555" s="1" t="n">
        <v>45802</v>
      </c>
      <c r="D555" t="inlineStr">
        <is>
          <t>DALARNAS LÄN</t>
        </is>
      </c>
      <c r="E555" t="inlineStr">
        <is>
          <t>ÄLVDALEN</t>
        </is>
      </c>
      <c r="G555" t="n">
        <v>5.2</v>
      </c>
      <c r="H555" t="n">
        <v>0</v>
      </c>
      <c r="I555" t="n">
        <v>0</v>
      </c>
      <c r="J555" t="n">
        <v>0</v>
      </c>
      <c r="K555" t="n">
        <v>0</v>
      </c>
      <c r="L555" t="n">
        <v>0</v>
      </c>
      <c r="M555" t="n">
        <v>0</v>
      </c>
      <c r="N555" t="n">
        <v>0</v>
      </c>
      <c r="O555" t="n">
        <v>0</v>
      </c>
      <c r="P555" t="n">
        <v>0</v>
      </c>
      <c r="Q555" t="n">
        <v>0</v>
      </c>
      <c r="R555" s="2" t="inlineStr"/>
    </row>
    <row r="556" ht="15" customHeight="1">
      <c r="A556" t="inlineStr">
        <is>
          <t>A 45233-2022</t>
        </is>
      </c>
      <c r="B556" s="1" t="n">
        <v>44844</v>
      </c>
      <c r="C556" s="1" t="n">
        <v>45802</v>
      </c>
      <c r="D556" t="inlineStr">
        <is>
          <t>DALARNAS LÄN</t>
        </is>
      </c>
      <c r="E556" t="inlineStr">
        <is>
          <t>ÄLVDALEN</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45783-2022</t>
        </is>
      </c>
      <c r="B557" s="1" t="n">
        <v>44846</v>
      </c>
      <c r="C557" s="1" t="n">
        <v>45802</v>
      </c>
      <c r="D557" t="inlineStr">
        <is>
          <t>DALARNAS LÄN</t>
        </is>
      </c>
      <c r="E557" t="inlineStr">
        <is>
          <t>ÄLVDALEN</t>
        </is>
      </c>
      <c r="G557" t="n">
        <v>9.1</v>
      </c>
      <c r="H557" t="n">
        <v>0</v>
      </c>
      <c r="I557" t="n">
        <v>0</v>
      </c>
      <c r="J557" t="n">
        <v>0</v>
      </c>
      <c r="K557" t="n">
        <v>0</v>
      </c>
      <c r="L557" t="n">
        <v>0</v>
      </c>
      <c r="M557" t="n">
        <v>0</v>
      </c>
      <c r="N557" t="n">
        <v>0</v>
      </c>
      <c r="O557" t="n">
        <v>0</v>
      </c>
      <c r="P557" t="n">
        <v>0</v>
      </c>
      <c r="Q557" t="n">
        <v>0</v>
      </c>
      <c r="R557" s="2" t="inlineStr"/>
    </row>
    <row r="558" ht="15" customHeight="1">
      <c r="A558" t="inlineStr">
        <is>
          <t>A 45785-2022</t>
        </is>
      </c>
      <c r="B558" s="1" t="n">
        <v>44846</v>
      </c>
      <c r="C558" s="1" t="n">
        <v>45802</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47878-2022</t>
        </is>
      </c>
      <c r="B559" s="1" t="n">
        <v>44855</v>
      </c>
      <c r="C559" s="1" t="n">
        <v>45802</v>
      </c>
      <c r="D559" t="inlineStr">
        <is>
          <t>DALARNAS LÄN</t>
        </is>
      </c>
      <c r="E559" t="inlineStr">
        <is>
          <t>ÄLVDALEN</t>
        </is>
      </c>
      <c r="G559" t="n">
        <v>10.2</v>
      </c>
      <c r="H559" t="n">
        <v>0</v>
      </c>
      <c r="I559" t="n">
        <v>0</v>
      </c>
      <c r="J559" t="n">
        <v>0</v>
      </c>
      <c r="K559" t="n">
        <v>0</v>
      </c>
      <c r="L559" t="n">
        <v>0</v>
      </c>
      <c r="M559" t="n">
        <v>0</v>
      </c>
      <c r="N559" t="n">
        <v>0</v>
      </c>
      <c r="O559" t="n">
        <v>0</v>
      </c>
      <c r="P559" t="n">
        <v>0</v>
      </c>
      <c r="Q559" t="n">
        <v>0</v>
      </c>
      <c r="R559" s="2" t="inlineStr"/>
    </row>
    <row r="560" ht="15" customHeight="1">
      <c r="A560" t="inlineStr">
        <is>
          <t>A 48849-2022</t>
        </is>
      </c>
      <c r="B560" s="1" t="n">
        <v>44859</v>
      </c>
      <c r="C560" s="1" t="n">
        <v>45802</v>
      </c>
      <c r="D560" t="inlineStr">
        <is>
          <t>DALARNAS LÄN</t>
        </is>
      </c>
      <c r="E560" t="inlineStr">
        <is>
          <t>ÄLVDALEN</t>
        </is>
      </c>
      <c r="F560" t="inlineStr">
        <is>
          <t>Allmännings- och besparingsskogar</t>
        </is>
      </c>
      <c r="G560" t="n">
        <v>2.4</v>
      </c>
      <c r="H560" t="n">
        <v>0</v>
      </c>
      <c r="I560" t="n">
        <v>0</v>
      </c>
      <c r="J560" t="n">
        <v>0</v>
      </c>
      <c r="K560" t="n">
        <v>0</v>
      </c>
      <c r="L560" t="n">
        <v>0</v>
      </c>
      <c r="M560" t="n">
        <v>0</v>
      </c>
      <c r="N560" t="n">
        <v>0</v>
      </c>
      <c r="O560" t="n">
        <v>0</v>
      </c>
      <c r="P560" t="n">
        <v>0</v>
      </c>
      <c r="Q560" t="n">
        <v>0</v>
      </c>
      <c r="R560" s="2" t="inlineStr"/>
    </row>
    <row r="561" ht="15" customHeight="1">
      <c r="A561" t="inlineStr">
        <is>
          <t>A 50037-2022</t>
        </is>
      </c>
      <c r="B561" s="1" t="n">
        <v>44865</v>
      </c>
      <c r="C561" s="1" t="n">
        <v>45802</v>
      </c>
      <c r="D561" t="inlineStr">
        <is>
          <t>DALARNAS LÄN</t>
        </is>
      </c>
      <c r="E561" t="inlineStr">
        <is>
          <t>ÄLVDALEN</t>
        </is>
      </c>
      <c r="F561" t="inlineStr">
        <is>
          <t>Allmännings- och besparingsskogar</t>
        </is>
      </c>
      <c r="G561" t="n">
        <v>5.8</v>
      </c>
      <c r="H561" t="n">
        <v>0</v>
      </c>
      <c r="I561" t="n">
        <v>0</v>
      </c>
      <c r="J561" t="n">
        <v>0</v>
      </c>
      <c r="K561" t="n">
        <v>0</v>
      </c>
      <c r="L561" t="n">
        <v>0</v>
      </c>
      <c r="M561" t="n">
        <v>0</v>
      </c>
      <c r="N561" t="n">
        <v>0</v>
      </c>
      <c r="O561" t="n">
        <v>0</v>
      </c>
      <c r="P561" t="n">
        <v>0</v>
      </c>
      <c r="Q561" t="n">
        <v>0</v>
      </c>
      <c r="R561" s="2" t="inlineStr"/>
    </row>
    <row r="562" ht="15" customHeight="1">
      <c r="A562" t="inlineStr">
        <is>
          <t>A 50209-2022</t>
        </is>
      </c>
      <c r="B562" s="1" t="n">
        <v>44865</v>
      </c>
      <c r="C562" s="1" t="n">
        <v>45802</v>
      </c>
      <c r="D562" t="inlineStr">
        <is>
          <t>DALARNAS LÄN</t>
        </is>
      </c>
      <c r="E562" t="inlineStr">
        <is>
          <t>ÄLVDALEN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50464-2022</t>
        </is>
      </c>
      <c r="B563" s="1" t="n">
        <v>44866</v>
      </c>
      <c r="C563" s="1" t="n">
        <v>45802</v>
      </c>
      <c r="D563" t="inlineStr">
        <is>
          <t>DALARNAS LÄN</t>
        </is>
      </c>
      <c r="E563" t="inlineStr">
        <is>
          <t>ÄLVDALEN</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50885-2022</t>
        </is>
      </c>
      <c r="B564" s="1" t="n">
        <v>44867</v>
      </c>
      <c r="C564" s="1" t="n">
        <v>45802</v>
      </c>
      <c r="D564" t="inlineStr">
        <is>
          <t>DALARNAS LÄN</t>
        </is>
      </c>
      <c r="E564" t="inlineStr">
        <is>
          <t>ÄLVDALEN</t>
        </is>
      </c>
      <c r="F564" t="inlineStr">
        <is>
          <t>Bergvik skog väst AB</t>
        </is>
      </c>
      <c r="G564" t="n">
        <v>5</v>
      </c>
      <c r="H564" t="n">
        <v>0</v>
      </c>
      <c r="I564" t="n">
        <v>0</v>
      </c>
      <c r="J564" t="n">
        <v>0</v>
      </c>
      <c r="K564" t="n">
        <v>0</v>
      </c>
      <c r="L564" t="n">
        <v>0</v>
      </c>
      <c r="M564" t="n">
        <v>0</v>
      </c>
      <c r="N564" t="n">
        <v>0</v>
      </c>
      <c r="O564" t="n">
        <v>0</v>
      </c>
      <c r="P564" t="n">
        <v>0</v>
      </c>
      <c r="Q564" t="n">
        <v>0</v>
      </c>
      <c r="R564" s="2" t="inlineStr"/>
    </row>
    <row r="565" ht="15" customHeight="1">
      <c r="A565" t="inlineStr">
        <is>
          <t>A 50774-2022</t>
        </is>
      </c>
      <c r="B565" s="1" t="n">
        <v>44867</v>
      </c>
      <c r="C565" s="1" t="n">
        <v>45802</v>
      </c>
      <c r="D565" t="inlineStr">
        <is>
          <t>DALARNAS LÄN</t>
        </is>
      </c>
      <c r="E565" t="inlineStr">
        <is>
          <t>ÄLVDALEN</t>
        </is>
      </c>
      <c r="G565" t="n">
        <v>1.6</v>
      </c>
      <c r="H565" t="n">
        <v>0</v>
      </c>
      <c r="I565" t="n">
        <v>0</v>
      </c>
      <c r="J565" t="n">
        <v>0</v>
      </c>
      <c r="K565" t="n">
        <v>0</v>
      </c>
      <c r="L565" t="n">
        <v>0</v>
      </c>
      <c r="M565" t="n">
        <v>0</v>
      </c>
      <c r="N565" t="n">
        <v>0</v>
      </c>
      <c r="O565" t="n">
        <v>0</v>
      </c>
      <c r="P565" t="n">
        <v>0</v>
      </c>
      <c r="Q565" t="n">
        <v>0</v>
      </c>
      <c r="R565" s="2" t="inlineStr"/>
    </row>
    <row r="566" ht="15" customHeight="1">
      <c r="A566" t="inlineStr">
        <is>
          <t>A 51259-2022</t>
        </is>
      </c>
      <c r="B566" s="1" t="n">
        <v>44868</v>
      </c>
      <c r="C566" s="1" t="n">
        <v>45802</v>
      </c>
      <c r="D566" t="inlineStr">
        <is>
          <t>DALARNAS LÄN</t>
        </is>
      </c>
      <c r="E566" t="inlineStr">
        <is>
          <t>ÄLVDALEN</t>
        </is>
      </c>
      <c r="F566" t="inlineStr">
        <is>
          <t>Övriga statliga verk och myndigheter</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51193-2022</t>
        </is>
      </c>
      <c r="B567" s="1" t="n">
        <v>44868</v>
      </c>
      <c r="C567" s="1" t="n">
        <v>45802</v>
      </c>
      <c r="D567" t="inlineStr">
        <is>
          <t>DALARNAS LÄN</t>
        </is>
      </c>
      <c r="E567" t="inlineStr">
        <is>
          <t>ÄLVDALEN</t>
        </is>
      </c>
      <c r="F567" t="inlineStr">
        <is>
          <t>Övriga Aktiebolag</t>
        </is>
      </c>
      <c r="G567" t="n">
        <v>17.7</v>
      </c>
      <c r="H567" t="n">
        <v>0</v>
      </c>
      <c r="I567" t="n">
        <v>0</v>
      </c>
      <c r="J567" t="n">
        <v>0</v>
      </c>
      <c r="K567" t="n">
        <v>0</v>
      </c>
      <c r="L567" t="n">
        <v>0</v>
      </c>
      <c r="M567" t="n">
        <v>0</v>
      </c>
      <c r="N567" t="n">
        <v>0</v>
      </c>
      <c r="O567" t="n">
        <v>0</v>
      </c>
      <c r="P567" t="n">
        <v>0</v>
      </c>
      <c r="Q567" t="n">
        <v>0</v>
      </c>
      <c r="R567" s="2" t="inlineStr"/>
    </row>
    <row r="568" ht="15" customHeight="1">
      <c r="A568" t="inlineStr">
        <is>
          <t>A 51484-2022</t>
        </is>
      </c>
      <c r="B568" s="1" t="n">
        <v>44869</v>
      </c>
      <c r="C568" s="1" t="n">
        <v>45802</v>
      </c>
      <c r="D568" t="inlineStr">
        <is>
          <t>DALARNAS LÄN</t>
        </is>
      </c>
      <c r="E568" t="inlineStr">
        <is>
          <t>ÄLVDALEN</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51504-2022</t>
        </is>
      </c>
      <c r="B569" s="1" t="n">
        <v>44869</v>
      </c>
      <c r="C569" s="1" t="n">
        <v>45802</v>
      </c>
      <c r="D569" t="inlineStr">
        <is>
          <t>DALARNAS LÄN</t>
        </is>
      </c>
      <c r="E569" t="inlineStr">
        <is>
          <t>ÄLVDALEN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51483-2022</t>
        </is>
      </c>
      <c r="B570" s="1" t="n">
        <v>44869</v>
      </c>
      <c r="C570" s="1" t="n">
        <v>45802</v>
      </c>
      <c r="D570" t="inlineStr">
        <is>
          <t>DALARNAS LÄN</t>
        </is>
      </c>
      <c r="E570" t="inlineStr">
        <is>
          <t>ÄLVDALEN</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52107-2022</t>
        </is>
      </c>
      <c r="B571" s="1" t="n">
        <v>44873</v>
      </c>
      <c r="C571" s="1" t="n">
        <v>45802</v>
      </c>
      <c r="D571" t="inlineStr">
        <is>
          <t>DALARNAS LÄN</t>
        </is>
      </c>
      <c r="E571" t="inlineStr">
        <is>
          <t>ÄLVDALEN</t>
        </is>
      </c>
      <c r="G571" t="n">
        <v>1.8</v>
      </c>
      <c r="H571" t="n">
        <v>0</v>
      </c>
      <c r="I571" t="n">
        <v>0</v>
      </c>
      <c r="J571" t="n">
        <v>0</v>
      </c>
      <c r="K571" t="n">
        <v>0</v>
      </c>
      <c r="L571" t="n">
        <v>0</v>
      </c>
      <c r="M571" t="n">
        <v>0</v>
      </c>
      <c r="N571" t="n">
        <v>0</v>
      </c>
      <c r="O571" t="n">
        <v>0</v>
      </c>
      <c r="P571" t="n">
        <v>0</v>
      </c>
      <c r="Q571" t="n">
        <v>0</v>
      </c>
      <c r="R571" s="2" t="inlineStr"/>
    </row>
    <row r="572" ht="15" customHeight="1">
      <c r="A572" t="inlineStr">
        <is>
          <t>A 52064-2022</t>
        </is>
      </c>
      <c r="B572" s="1" t="n">
        <v>44873</v>
      </c>
      <c r="C572" s="1" t="n">
        <v>45802</v>
      </c>
      <c r="D572" t="inlineStr">
        <is>
          <t>DALARNAS LÄN</t>
        </is>
      </c>
      <c r="E572" t="inlineStr">
        <is>
          <t>ÄLVDALEN</t>
        </is>
      </c>
      <c r="G572" t="n">
        <v>0.3</v>
      </c>
      <c r="H572" t="n">
        <v>0</v>
      </c>
      <c r="I572" t="n">
        <v>0</v>
      </c>
      <c r="J572" t="n">
        <v>0</v>
      </c>
      <c r="K572" t="n">
        <v>0</v>
      </c>
      <c r="L572" t="n">
        <v>0</v>
      </c>
      <c r="M572" t="n">
        <v>0</v>
      </c>
      <c r="N572" t="n">
        <v>0</v>
      </c>
      <c r="O572" t="n">
        <v>0</v>
      </c>
      <c r="P572" t="n">
        <v>0</v>
      </c>
      <c r="Q572" t="n">
        <v>0</v>
      </c>
      <c r="R572" s="2" t="inlineStr"/>
    </row>
    <row r="573" ht="15" customHeight="1">
      <c r="A573" t="inlineStr">
        <is>
          <t>A 52060-2022</t>
        </is>
      </c>
      <c r="B573" s="1" t="n">
        <v>44873</v>
      </c>
      <c r="C573" s="1" t="n">
        <v>45802</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52249-2022</t>
        </is>
      </c>
      <c r="B574" s="1" t="n">
        <v>44873</v>
      </c>
      <c r="C574" s="1" t="n">
        <v>45802</v>
      </c>
      <c r="D574" t="inlineStr">
        <is>
          <t>DALARNAS LÄN</t>
        </is>
      </c>
      <c r="E574" t="inlineStr">
        <is>
          <t>ÄLVDALEN</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52503-2022</t>
        </is>
      </c>
      <c r="B575" s="1" t="n">
        <v>44874</v>
      </c>
      <c r="C575" s="1" t="n">
        <v>45802</v>
      </c>
      <c r="D575" t="inlineStr">
        <is>
          <t>DALARNAS LÄN</t>
        </is>
      </c>
      <c r="E575" t="inlineStr">
        <is>
          <t>ÄLVDALEN</t>
        </is>
      </c>
      <c r="G575" t="n">
        <v>0.8</v>
      </c>
      <c r="H575" t="n">
        <v>0</v>
      </c>
      <c r="I575" t="n">
        <v>0</v>
      </c>
      <c r="J575" t="n">
        <v>0</v>
      </c>
      <c r="K575" t="n">
        <v>0</v>
      </c>
      <c r="L575" t="n">
        <v>0</v>
      </c>
      <c r="M575" t="n">
        <v>0</v>
      </c>
      <c r="N575" t="n">
        <v>0</v>
      </c>
      <c r="O575" t="n">
        <v>0</v>
      </c>
      <c r="P575" t="n">
        <v>0</v>
      </c>
      <c r="Q575" t="n">
        <v>0</v>
      </c>
      <c r="R575" s="2" t="inlineStr"/>
    </row>
    <row r="576" ht="15" customHeight="1">
      <c r="A576" t="inlineStr">
        <is>
          <t>A 52477-2022</t>
        </is>
      </c>
      <c r="B576" s="1" t="n">
        <v>44874</v>
      </c>
      <c r="C576" s="1" t="n">
        <v>45802</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52469-2022</t>
        </is>
      </c>
      <c r="B577" s="1" t="n">
        <v>44874</v>
      </c>
      <c r="C577" s="1" t="n">
        <v>45802</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52965-2022</t>
        </is>
      </c>
      <c r="B578" s="1" t="n">
        <v>44875</v>
      </c>
      <c r="C578" s="1" t="n">
        <v>45802</v>
      </c>
      <c r="D578" t="inlineStr">
        <is>
          <t>DALARNAS LÄN</t>
        </is>
      </c>
      <c r="E578" t="inlineStr">
        <is>
          <t>ÄLVDALEN</t>
        </is>
      </c>
      <c r="F578" t="inlineStr">
        <is>
          <t>Övriga statliga verk och myndigheter</t>
        </is>
      </c>
      <c r="G578" t="n">
        <v>8.4</v>
      </c>
      <c r="H578" t="n">
        <v>0</v>
      </c>
      <c r="I578" t="n">
        <v>0</v>
      </c>
      <c r="J578" t="n">
        <v>0</v>
      </c>
      <c r="K578" t="n">
        <v>0</v>
      </c>
      <c r="L578" t="n">
        <v>0</v>
      </c>
      <c r="M578" t="n">
        <v>0</v>
      </c>
      <c r="N578" t="n">
        <v>0</v>
      </c>
      <c r="O578" t="n">
        <v>0</v>
      </c>
      <c r="P578" t="n">
        <v>0</v>
      </c>
      <c r="Q578" t="n">
        <v>0</v>
      </c>
      <c r="R578" s="2" t="inlineStr"/>
    </row>
    <row r="579" ht="15" customHeight="1">
      <c r="A579" t="inlineStr">
        <is>
          <t>A 53345-2022</t>
        </is>
      </c>
      <c r="B579" s="1" t="n">
        <v>44879</v>
      </c>
      <c r="C579" s="1" t="n">
        <v>45802</v>
      </c>
      <c r="D579" t="inlineStr">
        <is>
          <t>DALARNAS LÄN</t>
        </is>
      </c>
      <c r="E579" t="inlineStr">
        <is>
          <t>ÄLVDALEN</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54407-2022</t>
        </is>
      </c>
      <c r="B580" s="1" t="n">
        <v>44882</v>
      </c>
      <c r="C580" s="1" t="n">
        <v>45802</v>
      </c>
      <c r="D580" t="inlineStr">
        <is>
          <t>DALARNAS LÄN</t>
        </is>
      </c>
      <c r="E580" t="inlineStr">
        <is>
          <t>ÄLVDALEN</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55015-2022</t>
        </is>
      </c>
      <c r="B581" s="1" t="n">
        <v>44886</v>
      </c>
      <c r="C581" s="1" t="n">
        <v>45802</v>
      </c>
      <c r="D581" t="inlineStr">
        <is>
          <t>DALARNAS LÄN</t>
        </is>
      </c>
      <c r="E581" t="inlineStr">
        <is>
          <t>ÄLVDALEN</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56207-2022</t>
        </is>
      </c>
      <c r="B582" s="1" t="n">
        <v>44890</v>
      </c>
      <c r="C582" s="1" t="n">
        <v>45802</v>
      </c>
      <c r="D582" t="inlineStr">
        <is>
          <t>DALARNAS LÄN</t>
        </is>
      </c>
      <c r="E582" t="inlineStr">
        <is>
          <t>ÄLVDALEN</t>
        </is>
      </c>
      <c r="G582" t="n">
        <v>5.2</v>
      </c>
      <c r="H582" t="n">
        <v>0</v>
      </c>
      <c r="I582" t="n">
        <v>0</v>
      </c>
      <c r="J582" t="n">
        <v>0</v>
      </c>
      <c r="K582" t="n">
        <v>0</v>
      </c>
      <c r="L582" t="n">
        <v>0</v>
      </c>
      <c r="M582" t="n">
        <v>0</v>
      </c>
      <c r="N582" t="n">
        <v>0</v>
      </c>
      <c r="O582" t="n">
        <v>0</v>
      </c>
      <c r="P582" t="n">
        <v>0</v>
      </c>
      <c r="Q582" t="n">
        <v>0</v>
      </c>
      <c r="R582" s="2" t="inlineStr"/>
    </row>
    <row r="583" ht="15" customHeight="1">
      <c r="A583" t="inlineStr">
        <is>
          <t>A 56206-2022</t>
        </is>
      </c>
      <c r="B583" s="1" t="n">
        <v>44890</v>
      </c>
      <c r="C583" s="1" t="n">
        <v>45802</v>
      </c>
      <c r="D583" t="inlineStr">
        <is>
          <t>DALARNAS LÄN</t>
        </is>
      </c>
      <c r="E583" t="inlineStr">
        <is>
          <t>ÄLVDALEN</t>
        </is>
      </c>
      <c r="G583" t="n">
        <v>4.1</v>
      </c>
      <c r="H583" t="n">
        <v>0</v>
      </c>
      <c r="I583" t="n">
        <v>0</v>
      </c>
      <c r="J583" t="n">
        <v>0</v>
      </c>
      <c r="K583" t="n">
        <v>0</v>
      </c>
      <c r="L583" t="n">
        <v>0</v>
      </c>
      <c r="M583" t="n">
        <v>0</v>
      </c>
      <c r="N583" t="n">
        <v>0</v>
      </c>
      <c r="O583" t="n">
        <v>0</v>
      </c>
      <c r="P583" t="n">
        <v>0</v>
      </c>
      <c r="Q583" t="n">
        <v>0</v>
      </c>
      <c r="R583" s="2" t="inlineStr"/>
    </row>
    <row r="584" ht="15" customHeight="1">
      <c r="A584" t="inlineStr">
        <is>
          <t>A 56882-2022</t>
        </is>
      </c>
      <c r="B584" s="1" t="n">
        <v>44894</v>
      </c>
      <c r="C584" s="1" t="n">
        <v>45802</v>
      </c>
      <c r="D584" t="inlineStr">
        <is>
          <t>DALARNAS LÄN</t>
        </is>
      </c>
      <c r="E584" t="inlineStr">
        <is>
          <t>ÄLVDALEN</t>
        </is>
      </c>
      <c r="G584" t="n">
        <v>7.4</v>
      </c>
      <c r="H584" t="n">
        <v>0</v>
      </c>
      <c r="I584" t="n">
        <v>0</v>
      </c>
      <c r="J584" t="n">
        <v>0</v>
      </c>
      <c r="K584" t="n">
        <v>0</v>
      </c>
      <c r="L584" t="n">
        <v>0</v>
      </c>
      <c r="M584" t="n">
        <v>0</v>
      </c>
      <c r="N584" t="n">
        <v>0</v>
      </c>
      <c r="O584" t="n">
        <v>0</v>
      </c>
      <c r="P584" t="n">
        <v>0</v>
      </c>
      <c r="Q584" t="n">
        <v>0</v>
      </c>
      <c r="R584" s="2" t="inlineStr"/>
    </row>
    <row r="585" ht="15" customHeight="1">
      <c r="A585" t="inlineStr">
        <is>
          <t>A 57148-2022</t>
        </is>
      </c>
      <c r="B585" s="1" t="n">
        <v>44895</v>
      </c>
      <c r="C585" s="1" t="n">
        <v>45802</v>
      </c>
      <c r="D585" t="inlineStr">
        <is>
          <t>DALARNAS LÄN</t>
        </is>
      </c>
      <c r="E585" t="inlineStr">
        <is>
          <t>ÄLVDALEN</t>
        </is>
      </c>
      <c r="F585" t="inlineStr">
        <is>
          <t>Allmännings- och besparingsskogar</t>
        </is>
      </c>
      <c r="G585" t="n">
        <v>13.3</v>
      </c>
      <c r="H585" t="n">
        <v>0</v>
      </c>
      <c r="I585" t="n">
        <v>0</v>
      </c>
      <c r="J585" t="n">
        <v>0</v>
      </c>
      <c r="K585" t="n">
        <v>0</v>
      </c>
      <c r="L585" t="n">
        <v>0</v>
      </c>
      <c r="M585" t="n">
        <v>0</v>
      </c>
      <c r="N585" t="n">
        <v>0</v>
      </c>
      <c r="O585" t="n">
        <v>0</v>
      </c>
      <c r="P585" t="n">
        <v>0</v>
      </c>
      <c r="Q585" t="n">
        <v>0</v>
      </c>
      <c r="R585" s="2" t="inlineStr"/>
    </row>
    <row r="586" ht="15" customHeight="1">
      <c r="A586" t="inlineStr">
        <is>
          <t>A 58848-2022</t>
        </is>
      </c>
      <c r="B586" s="1" t="n">
        <v>44896</v>
      </c>
      <c r="C586" s="1" t="n">
        <v>45802</v>
      </c>
      <c r="D586" t="inlineStr">
        <is>
          <t>DALARNAS LÄN</t>
        </is>
      </c>
      <c r="E586" t="inlineStr">
        <is>
          <t>ÄLVDALEN</t>
        </is>
      </c>
      <c r="F586" t="inlineStr">
        <is>
          <t>Övriga statliga verk och myndigheter</t>
        </is>
      </c>
      <c r="G586" t="n">
        <v>18.1</v>
      </c>
      <c r="H586" t="n">
        <v>0</v>
      </c>
      <c r="I586" t="n">
        <v>0</v>
      </c>
      <c r="J586" t="n">
        <v>0</v>
      </c>
      <c r="K586" t="n">
        <v>0</v>
      </c>
      <c r="L586" t="n">
        <v>0</v>
      </c>
      <c r="M586" t="n">
        <v>0</v>
      </c>
      <c r="N586" t="n">
        <v>0</v>
      </c>
      <c r="O586" t="n">
        <v>0</v>
      </c>
      <c r="P586" t="n">
        <v>0</v>
      </c>
      <c r="Q586" t="n">
        <v>0</v>
      </c>
      <c r="R586" s="2" t="inlineStr"/>
    </row>
    <row r="587" ht="15" customHeight="1">
      <c r="A587" t="inlineStr">
        <is>
          <t>A 58355-2022</t>
        </is>
      </c>
      <c r="B587" s="1" t="n">
        <v>44901</v>
      </c>
      <c r="C587" s="1" t="n">
        <v>45802</v>
      </c>
      <c r="D587" t="inlineStr">
        <is>
          <t>DALARNAS LÄN</t>
        </is>
      </c>
      <c r="E587" t="inlineStr">
        <is>
          <t>ÄLVDALEN</t>
        </is>
      </c>
      <c r="F587" t="inlineStr">
        <is>
          <t>Allmännings- och besparingsskogar</t>
        </is>
      </c>
      <c r="G587" t="n">
        <v>23.8</v>
      </c>
      <c r="H587" t="n">
        <v>0</v>
      </c>
      <c r="I587" t="n">
        <v>0</v>
      </c>
      <c r="J587" t="n">
        <v>0</v>
      </c>
      <c r="K587" t="n">
        <v>0</v>
      </c>
      <c r="L587" t="n">
        <v>0</v>
      </c>
      <c r="M587" t="n">
        <v>0</v>
      </c>
      <c r="N587" t="n">
        <v>0</v>
      </c>
      <c r="O587" t="n">
        <v>0</v>
      </c>
      <c r="P587" t="n">
        <v>0</v>
      </c>
      <c r="Q587" t="n">
        <v>0</v>
      </c>
      <c r="R587" s="2" t="inlineStr"/>
    </row>
    <row r="588" ht="15" customHeight="1">
      <c r="A588" t="inlineStr">
        <is>
          <t>A 58569-2022</t>
        </is>
      </c>
      <c r="B588" s="1" t="n">
        <v>44902</v>
      </c>
      <c r="C588" s="1" t="n">
        <v>45802</v>
      </c>
      <c r="D588" t="inlineStr">
        <is>
          <t>DALARNAS LÄN</t>
        </is>
      </c>
      <c r="E588" t="inlineStr">
        <is>
          <t>ÄLVDALEN</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58904-2022</t>
        </is>
      </c>
      <c r="B589" s="1" t="n">
        <v>44903</v>
      </c>
      <c r="C589" s="1" t="n">
        <v>45802</v>
      </c>
      <c r="D589" t="inlineStr">
        <is>
          <t>DALARNAS LÄN</t>
        </is>
      </c>
      <c r="E589" t="inlineStr">
        <is>
          <t>ÄLVDALEN</t>
        </is>
      </c>
      <c r="F589" t="inlineStr">
        <is>
          <t>Allmännings- och besparingsskogar</t>
        </is>
      </c>
      <c r="G589" t="n">
        <v>2.2</v>
      </c>
      <c r="H589" t="n">
        <v>0</v>
      </c>
      <c r="I589" t="n">
        <v>0</v>
      </c>
      <c r="J589" t="n">
        <v>0</v>
      </c>
      <c r="K589" t="n">
        <v>0</v>
      </c>
      <c r="L589" t="n">
        <v>0</v>
      </c>
      <c r="M589" t="n">
        <v>0</v>
      </c>
      <c r="N589" t="n">
        <v>0</v>
      </c>
      <c r="O589" t="n">
        <v>0</v>
      </c>
      <c r="P589" t="n">
        <v>0</v>
      </c>
      <c r="Q589" t="n">
        <v>0</v>
      </c>
      <c r="R589" s="2" t="inlineStr"/>
    </row>
    <row r="590" ht="15" customHeight="1">
      <c r="A590" t="inlineStr">
        <is>
          <t>A 59108-2022</t>
        </is>
      </c>
      <c r="B590" s="1" t="n">
        <v>44904</v>
      </c>
      <c r="C590" s="1" t="n">
        <v>45802</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59207-2022</t>
        </is>
      </c>
      <c r="B591" s="1" t="n">
        <v>44904</v>
      </c>
      <c r="C591" s="1" t="n">
        <v>45802</v>
      </c>
      <c r="D591" t="inlineStr">
        <is>
          <t>DALARNAS LÄN</t>
        </is>
      </c>
      <c r="E591" t="inlineStr">
        <is>
          <t>ÄLVDALEN</t>
        </is>
      </c>
      <c r="G591" t="n">
        <v>4.7</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45802</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59464-2022</t>
        </is>
      </c>
      <c r="B593" s="1" t="n">
        <v>44907</v>
      </c>
      <c r="C593" s="1" t="n">
        <v>45802</v>
      </c>
      <c r="D593" t="inlineStr">
        <is>
          <t>DALARNAS LÄN</t>
        </is>
      </c>
      <c r="E593" t="inlineStr">
        <is>
          <t>ÄLVDALEN</t>
        </is>
      </c>
      <c r="F593" t="inlineStr">
        <is>
          <t>Allmännings- och besparingsskogar</t>
        </is>
      </c>
      <c r="G593" t="n">
        <v>29.7</v>
      </c>
      <c r="H593" t="n">
        <v>0</v>
      </c>
      <c r="I593" t="n">
        <v>0</v>
      </c>
      <c r="J593" t="n">
        <v>0</v>
      </c>
      <c r="K593" t="n">
        <v>0</v>
      </c>
      <c r="L593" t="n">
        <v>0</v>
      </c>
      <c r="M593" t="n">
        <v>0</v>
      </c>
      <c r="N593" t="n">
        <v>0</v>
      </c>
      <c r="O593" t="n">
        <v>0</v>
      </c>
      <c r="P593" t="n">
        <v>0</v>
      </c>
      <c r="Q593" t="n">
        <v>0</v>
      </c>
      <c r="R593" s="2" t="inlineStr"/>
    </row>
    <row r="594" ht="15" customHeight="1">
      <c r="A594" t="inlineStr">
        <is>
          <t>A 61450-2022</t>
        </is>
      </c>
      <c r="B594" s="1" t="n">
        <v>44910</v>
      </c>
      <c r="C594" s="1" t="n">
        <v>45802</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61466-2022</t>
        </is>
      </c>
      <c r="B595" s="1" t="n">
        <v>44910</v>
      </c>
      <c r="C595" s="1" t="n">
        <v>45802</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60447-2022</t>
        </is>
      </c>
      <c r="B596" s="1" t="n">
        <v>44911</v>
      </c>
      <c r="C596" s="1" t="n">
        <v>45802</v>
      </c>
      <c r="D596" t="inlineStr">
        <is>
          <t>DALARNAS LÄN</t>
        </is>
      </c>
      <c r="E596" t="inlineStr">
        <is>
          <t>ÄLVDALEN</t>
        </is>
      </c>
      <c r="F596" t="inlineStr">
        <is>
          <t>Allmännings- och besparingsskogar</t>
        </is>
      </c>
      <c r="G596" t="n">
        <v>11.4</v>
      </c>
      <c r="H596" t="n">
        <v>0</v>
      </c>
      <c r="I596" t="n">
        <v>0</v>
      </c>
      <c r="J596" t="n">
        <v>0</v>
      </c>
      <c r="K596" t="n">
        <v>0</v>
      </c>
      <c r="L596" t="n">
        <v>0</v>
      </c>
      <c r="M596" t="n">
        <v>0</v>
      </c>
      <c r="N596" t="n">
        <v>0</v>
      </c>
      <c r="O596" t="n">
        <v>0</v>
      </c>
      <c r="P596" t="n">
        <v>0</v>
      </c>
      <c r="Q596" t="n">
        <v>0</v>
      </c>
      <c r="R596" s="2" t="inlineStr"/>
    </row>
    <row r="597" ht="15" customHeight="1">
      <c r="A597" t="inlineStr">
        <is>
          <t>A 60793-2022</t>
        </is>
      </c>
      <c r="B597" s="1" t="n">
        <v>44911</v>
      </c>
      <c r="C597" s="1" t="n">
        <v>45802</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61264-2022</t>
        </is>
      </c>
      <c r="B598" s="1" t="n">
        <v>44915</v>
      </c>
      <c r="C598" s="1" t="n">
        <v>45802</v>
      </c>
      <c r="D598" t="inlineStr">
        <is>
          <t>DALARNAS LÄN</t>
        </is>
      </c>
      <c r="E598" t="inlineStr">
        <is>
          <t>ÄLVDALEN</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62315-2022</t>
        </is>
      </c>
      <c r="B599" s="1" t="n">
        <v>44916</v>
      </c>
      <c r="C599" s="1" t="n">
        <v>45802</v>
      </c>
      <c r="D599" t="inlineStr">
        <is>
          <t>DALARNAS LÄN</t>
        </is>
      </c>
      <c r="E599" t="inlineStr">
        <is>
          <t>ÄLVDALEN</t>
        </is>
      </c>
      <c r="G599" t="n">
        <v>2.1</v>
      </c>
      <c r="H599" t="n">
        <v>0</v>
      </c>
      <c r="I599" t="n">
        <v>0</v>
      </c>
      <c r="J599" t="n">
        <v>0</v>
      </c>
      <c r="K599" t="n">
        <v>0</v>
      </c>
      <c r="L599" t="n">
        <v>0</v>
      </c>
      <c r="M599" t="n">
        <v>0</v>
      </c>
      <c r="N599" t="n">
        <v>0</v>
      </c>
      <c r="O599" t="n">
        <v>0</v>
      </c>
      <c r="P599" t="n">
        <v>0</v>
      </c>
      <c r="Q599" t="n">
        <v>0</v>
      </c>
      <c r="R599" s="2" t="inlineStr"/>
    </row>
    <row r="600" ht="15" customHeight="1">
      <c r="A600" t="inlineStr">
        <is>
          <t>A 62314-2022</t>
        </is>
      </c>
      <c r="B600" s="1" t="n">
        <v>44916</v>
      </c>
      <c r="C600" s="1" t="n">
        <v>45802</v>
      </c>
      <c r="D600" t="inlineStr">
        <is>
          <t>DALARNAS LÄN</t>
        </is>
      </c>
      <c r="E600" t="inlineStr">
        <is>
          <t>ÄLVDALEN</t>
        </is>
      </c>
      <c r="G600" t="n">
        <v>2.7</v>
      </c>
      <c r="H600" t="n">
        <v>0</v>
      </c>
      <c r="I600" t="n">
        <v>0</v>
      </c>
      <c r="J600" t="n">
        <v>0</v>
      </c>
      <c r="K600" t="n">
        <v>0</v>
      </c>
      <c r="L600" t="n">
        <v>0</v>
      </c>
      <c r="M600" t="n">
        <v>0</v>
      </c>
      <c r="N600" t="n">
        <v>0</v>
      </c>
      <c r="O600" t="n">
        <v>0</v>
      </c>
      <c r="P600" t="n">
        <v>0</v>
      </c>
      <c r="Q600" t="n">
        <v>0</v>
      </c>
      <c r="R600" s="2" t="inlineStr"/>
    </row>
    <row r="601" ht="15" customHeight="1">
      <c r="A601" t="inlineStr">
        <is>
          <t>A 61888-2022</t>
        </is>
      </c>
      <c r="B601" s="1" t="n">
        <v>44917</v>
      </c>
      <c r="C601" s="1" t="n">
        <v>45802</v>
      </c>
      <c r="D601" t="inlineStr">
        <is>
          <t>DALARNAS LÄN</t>
        </is>
      </c>
      <c r="E601" t="inlineStr">
        <is>
          <t>ÄLVDALEN</t>
        </is>
      </c>
      <c r="F601" t="inlineStr">
        <is>
          <t>Allmännings- och besparingsskogar</t>
        </is>
      </c>
      <c r="G601" t="n">
        <v>17.7</v>
      </c>
      <c r="H601" t="n">
        <v>0</v>
      </c>
      <c r="I601" t="n">
        <v>0</v>
      </c>
      <c r="J601" t="n">
        <v>0</v>
      </c>
      <c r="K601" t="n">
        <v>0</v>
      </c>
      <c r="L601" t="n">
        <v>0</v>
      </c>
      <c r="M601" t="n">
        <v>0</v>
      </c>
      <c r="N601" t="n">
        <v>0</v>
      </c>
      <c r="O601" t="n">
        <v>0</v>
      </c>
      <c r="P601" t="n">
        <v>0</v>
      </c>
      <c r="Q601" t="n">
        <v>0</v>
      </c>
      <c r="R601" s="2" t="inlineStr"/>
    </row>
    <row r="602" ht="15" customHeight="1">
      <c r="A602" t="inlineStr">
        <is>
          <t>A 62355-2022</t>
        </is>
      </c>
      <c r="B602" s="1" t="n">
        <v>44923</v>
      </c>
      <c r="C602" s="1" t="n">
        <v>45802</v>
      </c>
      <c r="D602" t="inlineStr">
        <is>
          <t>DALARNAS LÄN</t>
        </is>
      </c>
      <c r="E602" t="inlineStr">
        <is>
          <t>ÄLVDALEN</t>
        </is>
      </c>
      <c r="G602" t="n">
        <v>4.3</v>
      </c>
      <c r="H602" t="n">
        <v>0</v>
      </c>
      <c r="I602" t="n">
        <v>0</v>
      </c>
      <c r="J602" t="n">
        <v>0</v>
      </c>
      <c r="K602" t="n">
        <v>0</v>
      </c>
      <c r="L602" t="n">
        <v>0</v>
      </c>
      <c r="M602" t="n">
        <v>0</v>
      </c>
      <c r="N602" t="n">
        <v>0</v>
      </c>
      <c r="O602" t="n">
        <v>0</v>
      </c>
      <c r="P602" t="n">
        <v>0</v>
      </c>
      <c r="Q602" t="n">
        <v>0</v>
      </c>
      <c r="R602" s="2" t="inlineStr"/>
    </row>
    <row r="603" ht="15" customHeight="1">
      <c r="A603" t="inlineStr">
        <is>
          <t>A 431-2023</t>
        </is>
      </c>
      <c r="B603" s="1" t="n">
        <v>44923</v>
      </c>
      <c r="C603" s="1" t="n">
        <v>45802</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62512-2022</t>
        </is>
      </c>
      <c r="B604" s="1" t="n">
        <v>44924</v>
      </c>
      <c r="C604" s="1" t="n">
        <v>45802</v>
      </c>
      <c r="D604" t="inlineStr">
        <is>
          <t>DALARNAS LÄN</t>
        </is>
      </c>
      <c r="E604" t="inlineStr">
        <is>
          <t>ÄLVDALEN</t>
        </is>
      </c>
      <c r="F604" t="inlineStr">
        <is>
          <t>Övriga statliga verk och myndigheter</t>
        </is>
      </c>
      <c r="G604" t="n">
        <v>15.1</v>
      </c>
      <c r="H604" t="n">
        <v>0</v>
      </c>
      <c r="I604" t="n">
        <v>0</v>
      </c>
      <c r="J604" t="n">
        <v>0</v>
      </c>
      <c r="K604" t="n">
        <v>0</v>
      </c>
      <c r="L604" t="n">
        <v>0</v>
      </c>
      <c r="M604" t="n">
        <v>0</v>
      </c>
      <c r="N604" t="n">
        <v>0</v>
      </c>
      <c r="O604" t="n">
        <v>0</v>
      </c>
      <c r="P604" t="n">
        <v>0</v>
      </c>
      <c r="Q604" t="n">
        <v>0</v>
      </c>
      <c r="R604" s="2" t="inlineStr"/>
    </row>
    <row r="605" ht="15" customHeight="1">
      <c r="A605" t="inlineStr">
        <is>
          <t>A 416-2023</t>
        </is>
      </c>
      <c r="B605" s="1" t="n">
        <v>44929</v>
      </c>
      <c r="C605" s="1" t="n">
        <v>45802</v>
      </c>
      <c r="D605" t="inlineStr">
        <is>
          <t>DALARNAS LÄN</t>
        </is>
      </c>
      <c r="E605" t="inlineStr">
        <is>
          <t>ÄLVDALEN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642-2023</t>
        </is>
      </c>
      <c r="B606" s="1" t="n">
        <v>44930</v>
      </c>
      <c r="C606" s="1" t="n">
        <v>45802</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558-2023</t>
        </is>
      </c>
      <c r="B607" s="1" t="n">
        <v>44930</v>
      </c>
      <c r="C607" s="1" t="n">
        <v>45802</v>
      </c>
      <c r="D607" t="inlineStr">
        <is>
          <t>DALARNAS LÄN</t>
        </is>
      </c>
      <c r="E607" t="inlineStr">
        <is>
          <t>ÄLVDALEN</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621-2023</t>
        </is>
      </c>
      <c r="B608" s="1" t="n">
        <v>44930</v>
      </c>
      <c r="C608" s="1" t="n">
        <v>45802</v>
      </c>
      <c r="D608" t="inlineStr">
        <is>
          <t>DALARNAS LÄN</t>
        </is>
      </c>
      <c r="E608" t="inlineStr">
        <is>
          <t>ÄLVDALEN</t>
        </is>
      </c>
      <c r="F608" t="inlineStr">
        <is>
          <t>Allmännings- och besparingsskogar</t>
        </is>
      </c>
      <c r="G608" t="n">
        <v>0.9</v>
      </c>
      <c r="H608" t="n">
        <v>0</v>
      </c>
      <c r="I608" t="n">
        <v>0</v>
      </c>
      <c r="J608" t="n">
        <v>0</v>
      </c>
      <c r="K608" t="n">
        <v>0</v>
      </c>
      <c r="L608" t="n">
        <v>0</v>
      </c>
      <c r="M608" t="n">
        <v>0</v>
      </c>
      <c r="N608" t="n">
        <v>0</v>
      </c>
      <c r="O608" t="n">
        <v>0</v>
      </c>
      <c r="P608" t="n">
        <v>0</v>
      </c>
      <c r="Q608" t="n">
        <v>0</v>
      </c>
      <c r="R608" s="2" t="inlineStr"/>
    </row>
    <row r="609" ht="15" customHeight="1">
      <c r="A609" t="inlineStr">
        <is>
          <t>A 786-2023</t>
        </is>
      </c>
      <c r="B609" s="1" t="n">
        <v>44931</v>
      </c>
      <c r="C609" s="1" t="n">
        <v>45802</v>
      </c>
      <c r="D609" t="inlineStr">
        <is>
          <t>DALARNAS LÄN</t>
        </is>
      </c>
      <c r="E609" t="inlineStr">
        <is>
          <t>ÄLVDALEN</t>
        </is>
      </c>
      <c r="F609" t="inlineStr">
        <is>
          <t>Allmännings- och besparingsskogar</t>
        </is>
      </c>
      <c r="G609" t="n">
        <v>5.3</v>
      </c>
      <c r="H609" t="n">
        <v>0</v>
      </c>
      <c r="I609" t="n">
        <v>0</v>
      </c>
      <c r="J609" t="n">
        <v>0</v>
      </c>
      <c r="K609" t="n">
        <v>0</v>
      </c>
      <c r="L609" t="n">
        <v>0</v>
      </c>
      <c r="M609" t="n">
        <v>0</v>
      </c>
      <c r="N609" t="n">
        <v>0</v>
      </c>
      <c r="O609" t="n">
        <v>0</v>
      </c>
      <c r="P609" t="n">
        <v>0</v>
      </c>
      <c r="Q609" t="n">
        <v>0</v>
      </c>
      <c r="R609" s="2" t="inlineStr"/>
    </row>
    <row r="610" ht="15" customHeight="1">
      <c r="A610" t="inlineStr">
        <is>
          <t>A 785-2023</t>
        </is>
      </c>
      <c r="B610" s="1" t="n">
        <v>44931</v>
      </c>
      <c r="C610" s="1" t="n">
        <v>45802</v>
      </c>
      <c r="D610" t="inlineStr">
        <is>
          <t>DALARNAS LÄN</t>
        </is>
      </c>
      <c r="E610" t="inlineStr">
        <is>
          <t>ÄLVDALEN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1523-2023</t>
        </is>
      </c>
      <c r="B611" s="1" t="n">
        <v>44937</v>
      </c>
      <c r="C611" s="1" t="n">
        <v>45802</v>
      </c>
      <c r="D611" t="inlineStr">
        <is>
          <t>DALARNAS LÄN</t>
        </is>
      </c>
      <c r="E611" t="inlineStr">
        <is>
          <t>ÄLVDALEN</t>
        </is>
      </c>
      <c r="F611" t="inlineStr">
        <is>
          <t>Allmännings- och besparingsskogar</t>
        </is>
      </c>
      <c r="G611" t="n">
        <v>32.9</v>
      </c>
      <c r="H611" t="n">
        <v>0</v>
      </c>
      <c r="I611" t="n">
        <v>0</v>
      </c>
      <c r="J611" t="n">
        <v>0</v>
      </c>
      <c r="K611" t="n">
        <v>0</v>
      </c>
      <c r="L611" t="n">
        <v>0</v>
      </c>
      <c r="M611" t="n">
        <v>0</v>
      </c>
      <c r="N611" t="n">
        <v>0</v>
      </c>
      <c r="O611" t="n">
        <v>0</v>
      </c>
      <c r="P611" t="n">
        <v>0</v>
      </c>
      <c r="Q611" t="n">
        <v>0</v>
      </c>
      <c r="R611" s="2" t="inlineStr"/>
    </row>
    <row r="612" ht="15" customHeight="1">
      <c r="A612" t="inlineStr">
        <is>
          <t>A 2306-2023</t>
        </is>
      </c>
      <c r="B612" s="1" t="n">
        <v>44942</v>
      </c>
      <c r="C612" s="1" t="n">
        <v>45802</v>
      </c>
      <c r="D612" t="inlineStr">
        <is>
          <t>DALARNAS LÄN</t>
        </is>
      </c>
      <c r="E612" t="inlineStr">
        <is>
          <t>ÄLVDALEN</t>
        </is>
      </c>
      <c r="G612" t="n">
        <v>9.4</v>
      </c>
      <c r="H612" t="n">
        <v>0</v>
      </c>
      <c r="I612" t="n">
        <v>0</v>
      </c>
      <c r="J612" t="n">
        <v>0</v>
      </c>
      <c r="K612" t="n">
        <v>0</v>
      </c>
      <c r="L612" t="n">
        <v>0</v>
      </c>
      <c r="M612" t="n">
        <v>0</v>
      </c>
      <c r="N612" t="n">
        <v>0</v>
      </c>
      <c r="O612" t="n">
        <v>0</v>
      </c>
      <c r="P612" t="n">
        <v>0</v>
      </c>
      <c r="Q612" t="n">
        <v>0</v>
      </c>
      <c r="R612" s="2" t="inlineStr"/>
    </row>
    <row r="613" ht="15" customHeight="1">
      <c r="A613" t="inlineStr">
        <is>
          <t>A 2311-2023</t>
        </is>
      </c>
      <c r="B613" s="1" t="n">
        <v>44942</v>
      </c>
      <c r="C613" s="1" t="n">
        <v>45802</v>
      </c>
      <c r="D613" t="inlineStr">
        <is>
          <t>DALARNAS LÄN</t>
        </is>
      </c>
      <c r="E613" t="inlineStr">
        <is>
          <t>ÄLVDALEN</t>
        </is>
      </c>
      <c r="G613" t="n">
        <v>5.4</v>
      </c>
      <c r="H613" t="n">
        <v>0</v>
      </c>
      <c r="I613" t="n">
        <v>0</v>
      </c>
      <c r="J613" t="n">
        <v>0</v>
      </c>
      <c r="K613" t="n">
        <v>0</v>
      </c>
      <c r="L613" t="n">
        <v>0</v>
      </c>
      <c r="M613" t="n">
        <v>0</v>
      </c>
      <c r="N613" t="n">
        <v>0</v>
      </c>
      <c r="O613" t="n">
        <v>0</v>
      </c>
      <c r="P613" t="n">
        <v>0</v>
      </c>
      <c r="Q613" t="n">
        <v>0</v>
      </c>
      <c r="R613" s="2" t="inlineStr"/>
    </row>
    <row r="614" ht="15" customHeight="1">
      <c r="A614" t="inlineStr">
        <is>
          <t>A 3937-2023</t>
        </is>
      </c>
      <c r="B614" s="1" t="n">
        <v>44952</v>
      </c>
      <c r="C614" s="1" t="n">
        <v>45802</v>
      </c>
      <c r="D614" t="inlineStr">
        <is>
          <t>DALARNAS LÄN</t>
        </is>
      </c>
      <c r="E614" t="inlineStr">
        <is>
          <t>ÄLVDALEN</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4190-2023</t>
        </is>
      </c>
      <c r="B615" s="1" t="n">
        <v>44953</v>
      </c>
      <c r="C615" s="1" t="n">
        <v>45802</v>
      </c>
      <c r="D615" t="inlineStr">
        <is>
          <t>DALARNAS LÄN</t>
        </is>
      </c>
      <c r="E615" t="inlineStr">
        <is>
          <t>ÄLVDALEN</t>
        </is>
      </c>
      <c r="G615" t="n">
        <v>2.9</v>
      </c>
      <c r="H615" t="n">
        <v>0</v>
      </c>
      <c r="I615" t="n">
        <v>0</v>
      </c>
      <c r="J615" t="n">
        <v>0</v>
      </c>
      <c r="K615" t="n">
        <v>0</v>
      </c>
      <c r="L615" t="n">
        <v>0</v>
      </c>
      <c r="M615" t="n">
        <v>0</v>
      </c>
      <c r="N615" t="n">
        <v>0</v>
      </c>
      <c r="O615" t="n">
        <v>0</v>
      </c>
      <c r="P615" t="n">
        <v>0</v>
      </c>
      <c r="Q615" t="n">
        <v>0</v>
      </c>
      <c r="R615" s="2" t="inlineStr"/>
    </row>
    <row r="616" ht="15" customHeight="1">
      <c r="A616" t="inlineStr">
        <is>
          <t>A 4674-2023</t>
        </is>
      </c>
      <c r="B616" s="1" t="n">
        <v>44957</v>
      </c>
      <c r="C616" s="1" t="n">
        <v>45802</v>
      </c>
      <c r="D616" t="inlineStr">
        <is>
          <t>DALARNAS LÄN</t>
        </is>
      </c>
      <c r="E616" t="inlineStr">
        <is>
          <t>ÄLVDALEN</t>
        </is>
      </c>
      <c r="G616" t="n">
        <v>1.3</v>
      </c>
      <c r="H616" t="n">
        <v>0</v>
      </c>
      <c r="I616" t="n">
        <v>0</v>
      </c>
      <c r="J616" t="n">
        <v>0</v>
      </c>
      <c r="K616" t="n">
        <v>0</v>
      </c>
      <c r="L616" t="n">
        <v>0</v>
      </c>
      <c r="M616" t="n">
        <v>0</v>
      </c>
      <c r="N616" t="n">
        <v>0</v>
      </c>
      <c r="O616" t="n">
        <v>0</v>
      </c>
      <c r="P616" t="n">
        <v>0</v>
      </c>
      <c r="Q616" t="n">
        <v>0</v>
      </c>
      <c r="R616" s="2" t="inlineStr"/>
    </row>
    <row r="617" ht="15" customHeight="1">
      <c r="A617" t="inlineStr">
        <is>
          <t>A 5826-2023</t>
        </is>
      </c>
      <c r="B617" s="1" t="n">
        <v>44963</v>
      </c>
      <c r="C617" s="1" t="n">
        <v>45802</v>
      </c>
      <c r="D617" t="inlineStr">
        <is>
          <t>DALARNAS LÄN</t>
        </is>
      </c>
      <c r="E617" t="inlineStr">
        <is>
          <t>ÄLVDALEN</t>
        </is>
      </c>
      <c r="G617" t="n">
        <v>1.7</v>
      </c>
      <c r="H617" t="n">
        <v>0</v>
      </c>
      <c r="I617" t="n">
        <v>0</v>
      </c>
      <c r="J617" t="n">
        <v>0</v>
      </c>
      <c r="K617" t="n">
        <v>0</v>
      </c>
      <c r="L617" t="n">
        <v>0</v>
      </c>
      <c r="M617" t="n">
        <v>0</v>
      </c>
      <c r="N617" t="n">
        <v>0</v>
      </c>
      <c r="O617" t="n">
        <v>0</v>
      </c>
      <c r="P617" t="n">
        <v>0</v>
      </c>
      <c r="Q617" t="n">
        <v>0</v>
      </c>
      <c r="R617" s="2" t="inlineStr"/>
    </row>
    <row r="618" ht="15" customHeight="1">
      <c r="A618" t="inlineStr">
        <is>
          <t>A 6072-2023</t>
        </is>
      </c>
      <c r="B618" s="1" t="n">
        <v>44964</v>
      </c>
      <c r="C618" s="1" t="n">
        <v>45802</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7836-2023</t>
        </is>
      </c>
      <c r="B619" s="1" t="n">
        <v>44973</v>
      </c>
      <c r="C619" s="1" t="n">
        <v>45802</v>
      </c>
      <c r="D619" t="inlineStr">
        <is>
          <t>DALARNAS LÄN</t>
        </is>
      </c>
      <c r="E619" t="inlineStr">
        <is>
          <t>ÄLVDALEN</t>
        </is>
      </c>
      <c r="G619" t="n">
        <v>6.1</v>
      </c>
      <c r="H619" t="n">
        <v>0</v>
      </c>
      <c r="I619" t="n">
        <v>0</v>
      </c>
      <c r="J619" t="n">
        <v>0</v>
      </c>
      <c r="K619" t="n">
        <v>0</v>
      </c>
      <c r="L619" t="n">
        <v>0</v>
      </c>
      <c r="M619" t="n">
        <v>0</v>
      </c>
      <c r="N619" t="n">
        <v>0</v>
      </c>
      <c r="O619" t="n">
        <v>0</v>
      </c>
      <c r="P619" t="n">
        <v>0</v>
      </c>
      <c r="Q619" t="n">
        <v>0</v>
      </c>
      <c r="R619" s="2" t="inlineStr"/>
    </row>
    <row r="620" ht="15" customHeight="1">
      <c r="A620" t="inlineStr">
        <is>
          <t>A 9801-2023</t>
        </is>
      </c>
      <c r="B620" s="1" t="n">
        <v>44978</v>
      </c>
      <c r="C620" s="1" t="n">
        <v>45802</v>
      </c>
      <c r="D620" t="inlineStr">
        <is>
          <t>DALARNAS LÄN</t>
        </is>
      </c>
      <c r="E620" t="inlineStr">
        <is>
          <t>ÄLVDALEN</t>
        </is>
      </c>
      <c r="G620" t="n">
        <v>7</v>
      </c>
      <c r="H620" t="n">
        <v>0</v>
      </c>
      <c r="I620" t="n">
        <v>0</v>
      </c>
      <c r="J620" t="n">
        <v>0</v>
      </c>
      <c r="K620" t="n">
        <v>0</v>
      </c>
      <c r="L620" t="n">
        <v>0</v>
      </c>
      <c r="M620" t="n">
        <v>0</v>
      </c>
      <c r="N620" t="n">
        <v>0</v>
      </c>
      <c r="O620" t="n">
        <v>0</v>
      </c>
      <c r="P620" t="n">
        <v>0</v>
      </c>
      <c r="Q620" t="n">
        <v>0</v>
      </c>
      <c r="R620" s="2" t="inlineStr"/>
    </row>
    <row r="621" ht="15" customHeight="1">
      <c r="A621" t="inlineStr">
        <is>
          <t>A 9719-2023</t>
        </is>
      </c>
      <c r="B621" s="1" t="n">
        <v>44978</v>
      </c>
      <c r="C621" s="1" t="n">
        <v>45802</v>
      </c>
      <c r="D621" t="inlineStr">
        <is>
          <t>DALARNAS LÄN</t>
        </is>
      </c>
      <c r="E621" t="inlineStr">
        <is>
          <t>ÄLVDALEN</t>
        </is>
      </c>
      <c r="G621" t="n">
        <v>20.2</v>
      </c>
      <c r="H621" t="n">
        <v>0</v>
      </c>
      <c r="I621" t="n">
        <v>0</v>
      </c>
      <c r="J621" t="n">
        <v>0</v>
      </c>
      <c r="K621" t="n">
        <v>0</v>
      </c>
      <c r="L621" t="n">
        <v>0</v>
      </c>
      <c r="M621" t="n">
        <v>0</v>
      </c>
      <c r="N621" t="n">
        <v>0</v>
      </c>
      <c r="O621" t="n">
        <v>0</v>
      </c>
      <c r="P621" t="n">
        <v>0</v>
      </c>
      <c r="Q621" t="n">
        <v>0</v>
      </c>
      <c r="R621" s="2" t="inlineStr"/>
    </row>
    <row r="622" ht="15" customHeight="1">
      <c r="A622" t="inlineStr">
        <is>
          <t>A 13124-2023</t>
        </is>
      </c>
      <c r="B622" s="1" t="n">
        <v>45002</v>
      </c>
      <c r="C622" s="1" t="n">
        <v>45802</v>
      </c>
      <c r="D622" t="inlineStr">
        <is>
          <t>DALARNAS LÄN</t>
        </is>
      </c>
      <c r="E622" t="inlineStr">
        <is>
          <t>ÄLVDALEN</t>
        </is>
      </c>
      <c r="G622" t="n">
        <v>4.5</v>
      </c>
      <c r="H622" t="n">
        <v>0</v>
      </c>
      <c r="I622" t="n">
        <v>0</v>
      </c>
      <c r="J622" t="n">
        <v>0</v>
      </c>
      <c r="K622" t="n">
        <v>0</v>
      </c>
      <c r="L622" t="n">
        <v>0</v>
      </c>
      <c r="M622" t="n">
        <v>0</v>
      </c>
      <c r="N622" t="n">
        <v>0</v>
      </c>
      <c r="O622" t="n">
        <v>0</v>
      </c>
      <c r="P622" t="n">
        <v>0</v>
      </c>
      <c r="Q622" t="n">
        <v>0</v>
      </c>
      <c r="R622" s="2" t="inlineStr"/>
    </row>
    <row r="623" ht="15" customHeight="1">
      <c r="A623" t="inlineStr">
        <is>
          <t>A 14938-2023</t>
        </is>
      </c>
      <c r="B623" s="1" t="n">
        <v>45015</v>
      </c>
      <c r="C623" s="1" t="n">
        <v>45802</v>
      </c>
      <c r="D623" t="inlineStr">
        <is>
          <t>DALARNAS LÄN</t>
        </is>
      </c>
      <c r="E623" t="inlineStr">
        <is>
          <t>ÄLVDALEN</t>
        </is>
      </c>
      <c r="G623" t="n">
        <v>1.8</v>
      </c>
      <c r="H623" t="n">
        <v>0</v>
      </c>
      <c r="I623" t="n">
        <v>0</v>
      </c>
      <c r="J623" t="n">
        <v>0</v>
      </c>
      <c r="K623" t="n">
        <v>0</v>
      </c>
      <c r="L623" t="n">
        <v>0</v>
      </c>
      <c r="M623" t="n">
        <v>0</v>
      </c>
      <c r="N623" t="n">
        <v>0</v>
      </c>
      <c r="O623" t="n">
        <v>0</v>
      </c>
      <c r="P623" t="n">
        <v>0</v>
      </c>
      <c r="Q623" t="n">
        <v>0</v>
      </c>
      <c r="R623" s="2" t="inlineStr"/>
    </row>
    <row r="624" ht="15" customHeight="1">
      <c r="A624" t="inlineStr">
        <is>
          <t>A 17051-2023</t>
        </is>
      </c>
      <c r="B624" s="1" t="n">
        <v>45034</v>
      </c>
      <c r="C624" s="1" t="n">
        <v>45802</v>
      </c>
      <c r="D624" t="inlineStr">
        <is>
          <t>DALARNAS LÄN</t>
        </is>
      </c>
      <c r="E624" t="inlineStr">
        <is>
          <t>ÄLVDALEN</t>
        </is>
      </c>
      <c r="G624" t="n">
        <v>4.2</v>
      </c>
      <c r="H624" t="n">
        <v>0</v>
      </c>
      <c r="I624" t="n">
        <v>0</v>
      </c>
      <c r="J624" t="n">
        <v>0</v>
      </c>
      <c r="K624" t="n">
        <v>0</v>
      </c>
      <c r="L624" t="n">
        <v>0</v>
      </c>
      <c r="M624" t="n">
        <v>0</v>
      </c>
      <c r="N624" t="n">
        <v>0</v>
      </c>
      <c r="O624" t="n">
        <v>0</v>
      </c>
      <c r="P624" t="n">
        <v>0</v>
      </c>
      <c r="Q624" t="n">
        <v>0</v>
      </c>
      <c r="R624" s="2" t="inlineStr"/>
    </row>
    <row r="625" ht="15" customHeight="1">
      <c r="A625" t="inlineStr">
        <is>
          <t>A 19182-2023</t>
        </is>
      </c>
      <c r="B625" s="1" t="n">
        <v>45048</v>
      </c>
      <c r="C625" s="1" t="n">
        <v>45802</v>
      </c>
      <c r="D625" t="inlineStr">
        <is>
          <t>DALARNAS LÄN</t>
        </is>
      </c>
      <c r="E625" t="inlineStr">
        <is>
          <t>ÄLVDALEN</t>
        </is>
      </c>
      <c r="G625" t="n">
        <v>0.6</v>
      </c>
      <c r="H625" t="n">
        <v>0</v>
      </c>
      <c r="I625" t="n">
        <v>0</v>
      </c>
      <c r="J625" t="n">
        <v>0</v>
      </c>
      <c r="K625" t="n">
        <v>0</v>
      </c>
      <c r="L625" t="n">
        <v>0</v>
      </c>
      <c r="M625" t="n">
        <v>0</v>
      </c>
      <c r="N625" t="n">
        <v>0</v>
      </c>
      <c r="O625" t="n">
        <v>0</v>
      </c>
      <c r="P625" t="n">
        <v>0</v>
      </c>
      <c r="Q625" t="n">
        <v>0</v>
      </c>
      <c r="R625" s="2" t="inlineStr"/>
    </row>
    <row r="626" ht="15" customHeight="1">
      <c r="A626" t="inlineStr">
        <is>
          <t>A 19546-2023</t>
        </is>
      </c>
      <c r="B626" s="1" t="n">
        <v>45050</v>
      </c>
      <c r="C626" s="1" t="n">
        <v>45802</v>
      </c>
      <c r="D626" t="inlineStr">
        <is>
          <t>DALARNAS LÄN</t>
        </is>
      </c>
      <c r="E626" t="inlineStr">
        <is>
          <t>ÄLVDALEN</t>
        </is>
      </c>
      <c r="G626" t="n">
        <v>5.9</v>
      </c>
      <c r="H626" t="n">
        <v>0</v>
      </c>
      <c r="I626" t="n">
        <v>0</v>
      </c>
      <c r="J626" t="n">
        <v>0</v>
      </c>
      <c r="K626" t="n">
        <v>0</v>
      </c>
      <c r="L626" t="n">
        <v>0</v>
      </c>
      <c r="M626" t="n">
        <v>0</v>
      </c>
      <c r="N626" t="n">
        <v>0</v>
      </c>
      <c r="O626" t="n">
        <v>0</v>
      </c>
      <c r="P626" t="n">
        <v>0</v>
      </c>
      <c r="Q626" t="n">
        <v>0</v>
      </c>
      <c r="R626" s="2" t="inlineStr"/>
    </row>
    <row r="627" ht="15" customHeight="1">
      <c r="A627" t="inlineStr">
        <is>
          <t>A 19992-2023</t>
        </is>
      </c>
      <c r="B627" s="1" t="n">
        <v>45054</v>
      </c>
      <c r="C627" s="1" t="n">
        <v>45802</v>
      </c>
      <c r="D627" t="inlineStr">
        <is>
          <t>DALARNAS LÄN</t>
        </is>
      </c>
      <c r="E627" t="inlineStr">
        <is>
          <t>ÄLVDALEN</t>
        </is>
      </c>
      <c r="G627" t="n">
        <v>3.9</v>
      </c>
      <c r="H627" t="n">
        <v>0</v>
      </c>
      <c r="I627" t="n">
        <v>0</v>
      </c>
      <c r="J627" t="n">
        <v>0</v>
      </c>
      <c r="K627" t="n">
        <v>0</v>
      </c>
      <c r="L627" t="n">
        <v>0</v>
      </c>
      <c r="M627" t="n">
        <v>0</v>
      </c>
      <c r="N627" t="n">
        <v>0</v>
      </c>
      <c r="O627" t="n">
        <v>0</v>
      </c>
      <c r="P627" t="n">
        <v>0</v>
      </c>
      <c r="Q627" t="n">
        <v>0</v>
      </c>
      <c r="R627" s="2" t="inlineStr"/>
    </row>
    <row r="628" ht="15" customHeight="1">
      <c r="A628" t="inlineStr">
        <is>
          <t>A 20551-2023</t>
        </is>
      </c>
      <c r="B628" s="1" t="n">
        <v>45057</v>
      </c>
      <c r="C628" s="1" t="n">
        <v>45802</v>
      </c>
      <c r="D628" t="inlineStr">
        <is>
          <t>DALARNAS LÄN</t>
        </is>
      </c>
      <c r="E628" t="inlineStr">
        <is>
          <t>ÄLVDALEN</t>
        </is>
      </c>
      <c r="G628" t="n">
        <v>29.8</v>
      </c>
      <c r="H628" t="n">
        <v>0</v>
      </c>
      <c r="I628" t="n">
        <v>0</v>
      </c>
      <c r="J628" t="n">
        <v>0</v>
      </c>
      <c r="K628" t="n">
        <v>0</v>
      </c>
      <c r="L628" t="n">
        <v>0</v>
      </c>
      <c r="M628" t="n">
        <v>0</v>
      </c>
      <c r="N628" t="n">
        <v>0</v>
      </c>
      <c r="O628" t="n">
        <v>0</v>
      </c>
      <c r="P628" t="n">
        <v>0</v>
      </c>
      <c r="Q628" t="n">
        <v>0</v>
      </c>
      <c r="R628" s="2" t="inlineStr"/>
    </row>
    <row r="629" ht="15" customHeight="1">
      <c r="A629" t="inlineStr">
        <is>
          <t>A 21936-2023</t>
        </is>
      </c>
      <c r="B629" s="1" t="n">
        <v>45068</v>
      </c>
      <c r="C629" s="1" t="n">
        <v>45802</v>
      </c>
      <c r="D629" t="inlineStr">
        <is>
          <t>DALARNAS LÄN</t>
        </is>
      </c>
      <c r="E629" t="inlineStr">
        <is>
          <t>ÄLVDALEN</t>
        </is>
      </c>
      <c r="F629" t="inlineStr">
        <is>
          <t>Bergvik skog väst AB</t>
        </is>
      </c>
      <c r="G629" t="n">
        <v>7.5</v>
      </c>
      <c r="H629" t="n">
        <v>0</v>
      </c>
      <c r="I629" t="n">
        <v>0</v>
      </c>
      <c r="J629" t="n">
        <v>0</v>
      </c>
      <c r="K629" t="n">
        <v>0</v>
      </c>
      <c r="L629" t="n">
        <v>0</v>
      </c>
      <c r="M629" t="n">
        <v>0</v>
      </c>
      <c r="N629" t="n">
        <v>0</v>
      </c>
      <c r="O629" t="n">
        <v>0</v>
      </c>
      <c r="P629" t="n">
        <v>0</v>
      </c>
      <c r="Q629" t="n">
        <v>0</v>
      </c>
      <c r="R629" s="2" t="inlineStr"/>
    </row>
    <row r="630" ht="15" customHeight="1">
      <c r="A630" t="inlineStr">
        <is>
          <t>A 22792-2023</t>
        </is>
      </c>
      <c r="B630" s="1" t="n">
        <v>45072</v>
      </c>
      <c r="C630" s="1" t="n">
        <v>45802</v>
      </c>
      <c r="D630" t="inlineStr">
        <is>
          <t>DALARNAS LÄN</t>
        </is>
      </c>
      <c r="E630" t="inlineStr">
        <is>
          <t>ÄLVDALEN</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22847-2023</t>
        </is>
      </c>
      <c r="B631" s="1" t="n">
        <v>45072</v>
      </c>
      <c r="C631" s="1" t="n">
        <v>45802</v>
      </c>
      <c r="D631" t="inlineStr">
        <is>
          <t>DALARNAS LÄN</t>
        </is>
      </c>
      <c r="E631" t="inlineStr">
        <is>
          <t>ÄLVDALEN</t>
        </is>
      </c>
      <c r="F631" t="inlineStr">
        <is>
          <t>Bergvik skog väst AB</t>
        </is>
      </c>
      <c r="G631" t="n">
        <v>8.1</v>
      </c>
      <c r="H631" t="n">
        <v>0</v>
      </c>
      <c r="I631" t="n">
        <v>0</v>
      </c>
      <c r="J631" t="n">
        <v>0</v>
      </c>
      <c r="K631" t="n">
        <v>0</v>
      </c>
      <c r="L631" t="n">
        <v>0</v>
      </c>
      <c r="M631" t="n">
        <v>0</v>
      </c>
      <c r="N631" t="n">
        <v>0</v>
      </c>
      <c r="O631" t="n">
        <v>0</v>
      </c>
      <c r="P631" t="n">
        <v>0</v>
      </c>
      <c r="Q631" t="n">
        <v>0</v>
      </c>
      <c r="R631" s="2" t="inlineStr"/>
    </row>
    <row r="632" ht="15" customHeight="1">
      <c r="A632" t="inlineStr">
        <is>
          <t>A 23129-2023</t>
        </is>
      </c>
      <c r="B632" s="1" t="n">
        <v>45075</v>
      </c>
      <c r="C632" s="1" t="n">
        <v>45802</v>
      </c>
      <c r="D632" t="inlineStr">
        <is>
          <t>DALARNAS LÄN</t>
        </is>
      </c>
      <c r="E632" t="inlineStr">
        <is>
          <t>ÄLVDALEN</t>
        </is>
      </c>
      <c r="G632" t="n">
        <v>0.8</v>
      </c>
      <c r="H632" t="n">
        <v>0</v>
      </c>
      <c r="I632" t="n">
        <v>0</v>
      </c>
      <c r="J632" t="n">
        <v>0</v>
      </c>
      <c r="K632" t="n">
        <v>0</v>
      </c>
      <c r="L632" t="n">
        <v>0</v>
      </c>
      <c r="M632" t="n">
        <v>0</v>
      </c>
      <c r="N632" t="n">
        <v>0</v>
      </c>
      <c r="O632" t="n">
        <v>0</v>
      </c>
      <c r="P632" t="n">
        <v>0</v>
      </c>
      <c r="Q632" t="n">
        <v>0</v>
      </c>
      <c r="R632" s="2" t="inlineStr"/>
    </row>
    <row r="633" ht="15" customHeight="1">
      <c r="A633" t="inlineStr">
        <is>
          <t>A 23369-2023</t>
        </is>
      </c>
      <c r="B633" s="1" t="n">
        <v>45076</v>
      </c>
      <c r="C633" s="1" t="n">
        <v>45802</v>
      </c>
      <c r="D633" t="inlineStr">
        <is>
          <t>DALARNAS LÄN</t>
        </is>
      </c>
      <c r="E633" t="inlineStr">
        <is>
          <t>ÄLVDALEN</t>
        </is>
      </c>
      <c r="G633" t="n">
        <v>1.5</v>
      </c>
      <c r="H633" t="n">
        <v>0</v>
      </c>
      <c r="I633" t="n">
        <v>0</v>
      </c>
      <c r="J633" t="n">
        <v>0</v>
      </c>
      <c r="K633" t="n">
        <v>0</v>
      </c>
      <c r="L633" t="n">
        <v>0</v>
      </c>
      <c r="M633" t="n">
        <v>0</v>
      </c>
      <c r="N633" t="n">
        <v>0</v>
      </c>
      <c r="O633" t="n">
        <v>0</v>
      </c>
      <c r="P633" t="n">
        <v>0</v>
      </c>
      <c r="Q633" t="n">
        <v>0</v>
      </c>
      <c r="R633" s="2" t="inlineStr"/>
    </row>
    <row r="634" ht="15" customHeight="1">
      <c r="A634" t="inlineStr">
        <is>
          <t>A 23570-2023</t>
        </is>
      </c>
      <c r="B634" s="1" t="n">
        <v>45077</v>
      </c>
      <c r="C634" s="1" t="n">
        <v>45802</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23565-2023</t>
        </is>
      </c>
      <c r="B635" s="1" t="n">
        <v>45077</v>
      </c>
      <c r="C635" s="1" t="n">
        <v>45802</v>
      </c>
      <c r="D635" t="inlineStr">
        <is>
          <t>DALARNAS LÄN</t>
        </is>
      </c>
      <c r="E635" t="inlineStr">
        <is>
          <t>ÄLVDALEN</t>
        </is>
      </c>
      <c r="G635" t="n">
        <v>3.6</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45802</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45802</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45802</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45802</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45802</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45802</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45802</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45802</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45802</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45802</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45802</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45802</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45802</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45802</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45802</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45802</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45802</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45802</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45802</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45802</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45802</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45802</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45802</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45802</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45802</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45802</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45802</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45802</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45802</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45802</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45802</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45802</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45802</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45802</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45802</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45802</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45802</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45802</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45802</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45802</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45802</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45802</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45802</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45802</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45802</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45802</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45802</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45802</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45802</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45802</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45802</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45802</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45802</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45802</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45802</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45802</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45802</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45802</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45802</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45802</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45802</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45802</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45802</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45802</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45802</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45802</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45802</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45802</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45802</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45802</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45802</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45802</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45802</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45802</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42332-2023</t>
        </is>
      </c>
      <c r="B710" s="1" t="n">
        <v>45175</v>
      </c>
      <c r="C710" s="1" t="n">
        <v>45802</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42426-2023</t>
        </is>
      </c>
      <c r="B711" s="1" t="n">
        <v>45175</v>
      </c>
      <c r="C711" s="1" t="n">
        <v>45802</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41989-2023</t>
        </is>
      </c>
      <c r="B712" s="1" t="n">
        <v>45177</v>
      </c>
      <c r="C712" s="1" t="n">
        <v>45802</v>
      </c>
      <c r="D712" t="inlineStr">
        <is>
          <t>DALARNAS LÄN</t>
        </is>
      </c>
      <c r="E712" t="inlineStr">
        <is>
          <t>ÄLVDALEN</t>
        </is>
      </c>
      <c r="G712" t="n">
        <v>20.1</v>
      </c>
      <c r="H712" t="n">
        <v>0</v>
      </c>
      <c r="I712" t="n">
        <v>0</v>
      </c>
      <c r="J712" t="n">
        <v>0</v>
      </c>
      <c r="K712" t="n">
        <v>0</v>
      </c>
      <c r="L712" t="n">
        <v>0</v>
      </c>
      <c r="M712" t="n">
        <v>0</v>
      </c>
      <c r="N712" t="n">
        <v>0</v>
      </c>
      <c r="O712" t="n">
        <v>0</v>
      </c>
      <c r="P712" t="n">
        <v>0</v>
      </c>
      <c r="Q712" t="n">
        <v>0</v>
      </c>
      <c r="R712" s="2" t="inlineStr"/>
    </row>
    <row r="713" ht="15" customHeight="1">
      <c r="A713" t="inlineStr">
        <is>
          <t>A 42649-2023</t>
        </is>
      </c>
      <c r="B713" s="1" t="n">
        <v>45181</v>
      </c>
      <c r="C713" s="1" t="n">
        <v>45802</v>
      </c>
      <c r="D713" t="inlineStr">
        <is>
          <t>DALARNAS LÄN</t>
        </is>
      </c>
      <c r="E713" t="inlineStr">
        <is>
          <t>ÄLVDALEN</t>
        </is>
      </c>
      <c r="G713" t="n">
        <v>5.3</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45802</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45802</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45802</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45802</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45802</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45802</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45802</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45802</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45802</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45802</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45802</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45802</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45802</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45802</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45802</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45802</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45802</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45802</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45802</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45802</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45802</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45802</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45802</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45802</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45802</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45802</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45802</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45802</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45802</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45802</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45802</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45802</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45802</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45802</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45802</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45802</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45802</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45802</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45802</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45802</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45802</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45802</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45802</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45802</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45802</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45802</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45802</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45802</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45802</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45802</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45802</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45802</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45802</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45802</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45802</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45802</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45802</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45802</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45802</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45802</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45802</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45802</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45802</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45802</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45802</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45802</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45802</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45802</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45802</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45802</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45802</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59510-2023</t>
        </is>
      </c>
      <c r="B785" s="1" t="n">
        <v>45254</v>
      </c>
      <c r="C785" s="1" t="n">
        <v>45802</v>
      </c>
      <c r="D785" t="inlineStr">
        <is>
          <t>DALARNAS LÄN</t>
        </is>
      </c>
      <c r="E785" t="inlineStr">
        <is>
          <t>ÄLVDALEN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59547-2023</t>
        </is>
      </c>
      <c r="B786" s="1" t="n">
        <v>45254</v>
      </c>
      <c r="C786" s="1" t="n">
        <v>45802</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59786-2023</t>
        </is>
      </c>
      <c r="B787" s="1" t="n">
        <v>45254</v>
      </c>
      <c r="C787" s="1" t="n">
        <v>45802</v>
      </c>
      <c r="D787" t="inlineStr">
        <is>
          <t>DALARNAS LÄN</t>
        </is>
      </c>
      <c r="E787" t="inlineStr">
        <is>
          <t>ÄLVDALEN</t>
        </is>
      </c>
      <c r="G787" t="n">
        <v>1</v>
      </c>
      <c r="H787" t="n">
        <v>0</v>
      </c>
      <c r="I787" t="n">
        <v>0</v>
      </c>
      <c r="J787" t="n">
        <v>0</v>
      </c>
      <c r="K787" t="n">
        <v>0</v>
      </c>
      <c r="L787" t="n">
        <v>0</v>
      </c>
      <c r="M787" t="n">
        <v>0</v>
      </c>
      <c r="N787" t="n">
        <v>0</v>
      </c>
      <c r="O787" t="n">
        <v>0</v>
      </c>
      <c r="P787" t="n">
        <v>0</v>
      </c>
      <c r="Q787" t="n">
        <v>0</v>
      </c>
      <c r="R787" s="2" t="inlineStr"/>
    </row>
    <row r="788" ht="15" customHeight="1">
      <c r="A788" t="inlineStr">
        <is>
          <t>A 59778-2023</t>
        </is>
      </c>
      <c r="B788" s="1" t="n">
        <v>45254</v>
      </c>
      <c r="C788" s="1" t="n">
        <v>45802</v>
      </c>
      <c r="D788" t="inlineStr">
        <is>
          <t>DALARNAS LÄN</t>
        </is>
      </c>
      <c r="E788" t="inlineStr">
        <is>
          <t>ÄLVDALEN</t>
        </is>
      </c>
      <c r="G788" t="n">
        <v>7.1</v>
      </c>
      <c r="H788" t="n">
        <v>0</v>
      </c>
      <c r="I788" t="n">
        <v>0</v>
      </c>
      <c r="J788" t="n">
        <v>0</v>
      </c>
      <c r="K788" t="n">
        <v>0</v>
      </c>
      <c r="L788" t="n">
        <v>0</v>
      </c>
      <c r="M788" t="n">
        <v>0</v>
      </c>
      <c r="N788" t="n">
        <v>0</v>
      </c>
      <c r="O788" t="n">
        <v>0</v>
      </c>
      <c r="P788" t="n">
        <v>0</v>
      </c>
      <c r="Q788" t="n">
        <v>0</v>
      </c>
      <c r="R788" s="2" t="inlineStr"/>
    </row>
    <row r="789" ht="15" customHeight="1">
      <c r="A789" t="inlineStr">
        <is>
          <t>A 59774-2023</t>
        </is>
      </c>
      <c r="B789" s="1" t="n">
        <v>45254</v>
      </c>
      <c r="C789" s="1" t="n">
        <v>45802</v>
      </c>
      <c r="D789" t="inlineStr">
        <is>
          <t>DALARNAS LÄN</t>
        </is>
      </c>
      <c r="E789" t="inlineStr">
        <is>
          <t>ÄLVDALEN</t>
        </is>
      </c>
      <c r="G789" t="n">
        <v>6.6</v>
      </c>
      <c r="H789" t="n">
        <v>0</v>
      </c>
      <c r="I789" t="n">
        <v>0</v>
      </c>
      <c r="J789" t="n">
        <v>0</v>
      </c>
      <c r="K789" t="n">
        <v>0</v>
      </c>
      <c r="L789" t="n">
        <v>0</v>
      </c>
      <c r="M789" t="n">
        <v>0</v>
      </c>
      <c r="N789" t="n">
        <v>0</v>
      </c>
      <c r="O789" t="n">
        <v>0</v>
      </c>
      <c r="P789" t="n">
        <v>0</v>
      </c>
      <c r="Q789" t="n">
        <v>0</v>
      </c>
      <c r="R789" s="2" t="inlineStr"/>
    </row>
    <row r="790" ht="15" customHeight="1">
      <c r="A790" t="inlineStr">
        <is>
          <t>A 59947-2023</t>
        </is>
      </c>
      <c r="B790" s="1" t="n">
        <v>45257</v>
      </c>
      <c r="C790" s="1" t="n">
        <v>45802</v>
      </c>
      <c r="D790" t="inlineStr">
        <is>
          <t>DALARNAS LÄN</t>
        </is>
      </c>
      <c r="E790" t="inlineStr">
        <is>
          <t>ÄLVDALEN</t>
        </is>
      </c>
      <c r="G790" t="n">
        <v>3.1</v>
      </c>
      <c r="H790" t="n">
        <v>0</v>
      </c>
      <c r="I790" t="n">
        <v>0</v>
      </c>
      <c r="J790" t="n">
        <v>0</v>
      </c>
      <c r="K790" t="n">
        <v>0</v>
      </c>
      <c r="L790" t="n">
        <v>0</v>
      </c>
      <c r="M790" t="n">
        <v>0</v>
      </c>
      <c r="N790" t="n">
        <v>0</v>
      </c>
      <c r="O790" t="n">
        <v>0</v>
      </c>
      <c r="P790" t="n">
        <v>0</v>
      </c>
      <c r="Q790" t="n">
        <v>0</v>
      </c>
      <c r="R790" s="2" t="inlineStr"/>
    </row>
    <row r="791" ht="15" customHeight="1">
      <c r="A791" t="inlineStr">
        <is>
          <t>A 60354-2023</t>
        </is>
      </c>
      <c r="B791" s="1" t="n">
        <v>45259</v>
      </c>
      <c r="C791" s="1" t="n">
        <v>45802</v>
      </c>
      <c r="D791" t="inlineStr">
        <is>
          <t>DALARNAS LÄN</t>
        </is>
      </c>
      <c r="E791" t="inlineStr">
        <is>
          <t>ÄLVDALEN</t>
        </is>
      </c>
      <c r="F791" t="inlineStr">
        <is>
          <t>Allmännings- och besparingsskogar</t>
        </is>
      </c>
      <c r="G791" t="n">
        <v>30.3</v>
      </c>
      <c r="H791" t="n">
        <v>0</v>
      </c>
      <c r="I791" t="n">
        <v>0</v>
      </c>
      <c r="J791" t="n">
        <v>0</v>
      </c>
      <c r="K791" t="n">
        <v>0</v>
      </c>
      <c r="L791" t="n">
        <v>0</v>
      </c>
      <c r="M791" t="n">
        <v>0</v>
      </c>
      <c r="N791" t="n">
        <v>0</v>
      </c>
      <c r="O791" t="n">
        <v>0</v>
      </c>
      <c r="P791" t="n">
        <v>0</v>
      </c>
      <c r="Q791" t="n">
        <v>0</v>
      </c>
      <c r="R791" s="2" t="inlineStr"/>
    </row>
    <row r="792" ht="15" customHeight="1">
      <c r="A792" t="inlineStr">
        <is>
          <t>A 60655-2023</t>
        </is>
      </c>
      <c r="B792" s="1" t="n">
        <v>45260</v>
      </c>
      <c r="C792" s="1" t="n">
        <v>45802</v>
      </c>
      <c r="D792" t="inlineStr">
        <is>
          <t>DALARNAS LÄN</t>
        </is>
      </c>
      <c r="E792" t="inlineStr">
        <is>
          <t>ÄLVDALEN</t>
        </is>
      </c>
      <c r="G792" t="n">
        <v>3</v>
      </c>
      <c r="H792" t="n">
        <v>0</v>
      </c>
      <c r="I792" t="n">
        <v>0</v>
      </c>
      <c r="J792" t="n">
        <v>0</v>
      </c>
      <c r="K792" t="n">
        <v>0</v>
      </c>
      <c r="L792" t="n">
        <v>0</v>
      </c>
      <c r="M792" t="n">
        <v>0</v>
      </c>
      <c r="N792" t="n">
        <v>0</v>
      </c>
      <c r="O792" t="n">
        <v>0</v>
      </c>
      <c r="P792" t="n">
        <v>0</v>
      </c>
      <c r="Q792" t="n">
        <v>0</v>
      </c>
      <c r="R792" s="2" t="inlineStr"/>
    </row>
    <row r="793" ht="15" customHeight="1">
      <c r="A793" t="inlineStr">
        <is>
          <t>A 60716-2023</t>
        </is>
      </c>
      <c r="B793" s="1" t="n">
        <v>45260</v>
      </c>
      <c r="C793" s="1" t="n">
        <v>45802</v>
      </c>
      <c r="D793" t="inlineStr">
        <is>
          <t>DALARNAS LÄN</t>
        </is>
      </c>
      <c r="E793" t="inlineStr">
        <is>
          <t>ÄLVDALEN</t>
        </is>
      </c>
      <c r="G793" t="n">
        <v>1.2</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45802</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61714-2023</t>
        </is>
      </c>
      <c r="B795" s="1" t="n">
        <v>45265</v>
      </c>
      <c r="C795" s="1" t="n">
        <v>45802</v>
      </c>
      <c r="D795" t="inlineStr">
        <is>
          <t>DALARNAS LÄN</t>
        </is>
      </c>
      <c r="E795" t="inlineStr">
        <is>
          <t>ÄLVDALEN</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62525-2023</t>
        </is>
      </c>
      <c r="B796" s="1" t="n">
        <v>45268</v>
      </c>
      <c r="C796" s="1" t="n">
        <v>45802</v>
      </c>
      <c r="D796" t="inlineStr">
        <is>
          <t>DALARNAS LÄN</t>
        </is>
      </c>
      <c r="E796" t="inlineStr">
        <is>
          <t>ÄLVDALEN</t>
        </is>
      </c>
      <c r="F796" t="inlineStr">
        <is>
          <t>Allmännings- och besparingsskogar</t>
        </is>
      </c>
      <c r="G796" t="n">
        <v>3.5</v>
      </c>
      <c r="H796" t="n">
        <v>0</v>
      </c>
      <c r="I796" t="n">
        <v>0</v>
      </c>
      <c r="J796" t="n">
        <v>0</v>
      </c>
      <c r="K796" t="n">
        <v>0</v>
      </c>
      <c r="L796" t="n">
        <v>0</v>
      </c>
      <c r="M796" t="n">
        <v>0</v>
      </c>
      <c r="N796" t="n">
        <v>0</v>
      </c>
      <c r="O796" t="n">
        <v>0</v>
      </c>
      <c r="P796" t="n">
        <v>0</v>
      </c>
      <c r="Q796" t="n">
        <v>0</v>
      </c>
      <c r="R796" s="2" t="inlineStr"/>
    </row>
    <row r="797" ht="15" customHeight="1">
      <c r="A797" t="inlineStr">
        <is>
          <t>A 62935-2023</t>
        </is>
      </c>
      <c r="B797" s="1" t="n">
        <v>45272</v>
      </c>
      <c r="C797" s="1" t="n">
        <v>45802</v>
      </c>
      <c r="D797" t="inlineStr">
        <is>
          <t>DALARNAS LÄN</t>
        </is>
      </c>
      <c r="E797" t="inlineStr">
        <is>
          <t>ÄLVDALEN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63494-2023</t>
        </is>
      </c>
      <c r="B798" s="1" t="n">
        <v>45274</v>
      </c>
      <c r="C798" s="1" t="n">
        <v>45802</v>
      </c>
      <c r="D798" t="inlineStr">
        <is>
          <t>DALARNAS LÄN</t>
        </is>
      </c>
      <c r="E798" t="inlineStr">
        <is>
          <t>ÄLVDALEN</t>
        </is>
      </c>
      <c r="F798" t="inlineStr">
        <is>
          <t>Allmännings- och besparingsskogar</t>
        </is>
      </c>
      <c r="G798" t="n">
        <v>14.9</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45802</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64699-2023</t>
        </is>
      </c>
      <c r="B800" s="1" t="n">
        <v>45281</v>
      </c>
      <c r="C800" s="1" t="n">
        <v>45802</v>
      </c>
      <c r="D800" t="inlineStr">
        <is>
          <t>DALARNAS LÄN</t>
        </is>
      </c>
      <c r="E800" t="inlineStr">
        <is>
          <t>ÄLVDALEN</t>
        </is>
      </c>
      <c r="F800" t="inlineStr">
        <is>
          <t>Allmännings- och besparingsskogar</t>
        </is>
      </c>
      <c r="G800" t="n">
        <v>6.6</v>
      </c>
      <c r="H800" t="n">
        <v>0</v>
      </c>
      <c r="I800" t="n">
        <v>0</v>
      </c>
      <c r="J800" t="n">
        <v>0</v>
      </c>
      <c r="K800" t="n">
        <v>0</v>
      </c>
      <c r="L800" t="n">
        <v>0</v>
      </c>
      <c r="M800" t="n">
        <v>0</v>
      </c>
      <c r="N800" t="n">
        <v>0</v>
      </c>
      <c r="O800" t="n">
        <v>0</v>
      </c>
      <c r="P800" t="n">
        <v>0</v>
      </c>
      <c r="Q800" t="n">
        <v>0</v>
      </c>
      <c r="R800" s="2" t="inlineStr"/>
    </row>
    <row r="801" ht="15" customHeight="1">
      <c r="A801" t="inlineStr">
        <is>
          <t>A 505-2024</t>
        </is>
      </c>
      <c r="B801" s="1" t="n">
        <v>45299</v>
      </c>
      <c r="C801" s="1" t="n">
        <v>45802</v>
      </c>
      <c r="D801" t="inlineStr">
        <is>
          <t>DALARNAS LÄN</t>
        </is>
      </c>
      <c r="E801" t="inlineStr">
        <is>
          <t>ÄLVDALEN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45802</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1310-2024</t>
        </is>
      </c>
      <c r="B803" s="1" t="n">
        <v>45303</v>
      </c>
      <c r="C803" s="1" t="n">
        <v>45802</v>
      </c>
      <c r="D803" t="inlineStr">
        <is>
          <t>DALARNAS LÄN</t>
        </is>
      </c>
      <c r="E803" t="inlineStr">
        <is>
          <t>ÄLVDALEN</t>
        </is>
      </c>
      <c r="G803" t="n">
        <v>4.3</v>
      </c>
      <c r="H803" t="n">
        <v>0</v>
      </c>
      <c r="I803" t="n">
        <v>0</v>
      </c>
      <c r="J803" t="n">
        <v>0</v>
      </c>
      <c r="K803" t="n">
        <v>0</v>
      </c>
      <c r="L803" t="n">
        <v>0</v>
      </c>
      <c r="M803" t="n">
        <v>0</v>
      </c>
      <c r="N803" t="n">
        <v>0</v>
      </c>
      <c r="O803" t="n">
        <v>0</v>
      </c>
      <c r="P803" t="n">
        <v>0</v>
      </c>
      <c r="Q803" t="n">
        <v>0</v>
      </c>
      <c r="R803" s="2" t="inlineStr"/>
    </row>
    <row r="804" ht="15" customHeight="1">
      <c r="A804" t="inlineStr">
        <is>
          <t>A 1804-2024</t>
        </is>
      </c>
      <c r="B804" s="1" t="n">
        <v>45307</v>
      </c>
      <c r="C804" s="1" t="n">
        <v>45802</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1790-2024</t>
        </is>
      </c>
      <c r="B805" s="1" t="n">
        <v>45307</v>
      </c>
      <c r="C805" s="1" t="n">
        <v>45802</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45802</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2375-2024</t>
        </is>
      </c>
      <c r="B807" s="1" t="n">
        <v>45310</v>
      </c>
      <c r="C807" s="1" t="n">
        <v>45802</v>
      </c>
      <c r="D807" t="inlineStr">
        <is>
          <t>DALARNAS LÄN</t>
        </is>
      </c>
      <c r="E807" t="inlineStr">
        <is>
          <t>ÄLVDALEN</t>
        </is>
      </c>
      <c r="G807" t="n">
        <v>5.4</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45802</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2377-2024</t>
        </is>
      </c>
      <c r="B809" s="1" t="n">
        <v>45310</v>
      </c>
      <c r="C809" s="1" t="n">
        <v>45802</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2381-2024</t>
        </is>
      </c>
      <c r="B810" s="1" t="n">
        <v>45310</v>
      </c>
      <c r="C810" s="1" t="n">
        <v>45802</v>
      </c>
      <c r="D810" t="inlineStr">
        <is>
          <t>DALARNAS LÄN</t>
        </is>
      </c>
      <c r="E810" t="inlineStr">
        <is>
          <t>ÄLVDALEN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2410-2024</t>
        </is>
      </c>
      <c r="B811" s="1" t="n">
        <v>45310</v>
      </c>
      <c r="C811" s="1" t="n">
        <v>45802</v>
      </c>
      <c r="D811" t="inlineStr">
        <is>
          <t>DALARNAS LÄN</t>
        </is>
      </c>
      <c r="E811" t="inlineStr">
        <is>
          <t>ÄLVDALEN</t>
        </is>
      </c>
      <c r="G811" t="n">
        <v>0.7</v>
      </c>
      <c r="H811" t="n">
        <v>0</v>
      </c>
      <c r="I811" t="n">
        <v>0</v>
      </c>
      <c r="J811" t="n">
        <v>0</v>
      </c>
      <c r="K811" t="n">
        <v>0</v>
      </c>
      <c r="L811" t="n">
        <v>0</v>
      </c>
      <c r="M811" t="n">
        <v>0</v>
      </c>
      <c r="N811" t="n">
        <v>0</v>
      </c>
      <c r="O811" t="n">
        <v>0</v>
      </c>
      <c r="P811" t="n">
        <v>0</v>
      </c>
      <c r="Q811" t="n">
        <v>0</v>
      </c>
      <c r="R811" s="2" t="inlineStr"/>
    </row>
    <row r="812" ht="15" customHeight="1">
      <c r="A812" t="inlineStr">
        <is>
          <t>A 3009-2024</t>
        </is>
      </c>
      <c r="B812" s="1" t="n">
        <v>45315</v>
      </c>
      <c r="C812" s="1" t="n">
        <v>45802</v>
      </c>
      <c r="D812" t="inlineStr">
        <is>
          <t>DALARNAS LÄN</t>
        </is>
      </c>
      <c r="E812" t="inlineStr">
        <is>
          <t>ÄLVDALEN</t>
        </is>
      </c>
      <c r="G812" t="n">
        <v>7</v>
      </c>
      <c r="H812" t="n">
        <v>0</v>
      </c>
      <c r="I812" t="n">
        <v>0</v>
      </c>
      <c r="J812" t="n">
        <v>0</v>
      </c>
      <c r="K812" t="n">
        <v>0</v>
      </c>
      <c r="L812" t="n">
        <v>0</v>
      </c>
      <c r="M812" t="n">
        <v>0</v>
      </c>
      <c r="N812" t="n">
        <v>0</v>
      </c>
      <c r="O812" t="n">
        <v>0</v>
      </c>
      <c r="P812" t="n">
        <v>0</v>
      </c>
      <c r="Q812" t="n">
        <v>0</v>
      </c>
      <c r="R812" s="2" t="inlineStr"/>
    </row>
    <row r="813" ht="15" customHeight="1">
      <c r="A813" t="inlineStr">
        <is>
          <t>A 3050-2024</t>
        </is>
      </c>
      <c r="B813" s="1" t="n">
        <v>45316</v>
      </c>
      <c r="C813" s="1" t="n">
        <v>45802</v>
      </c>
      <c r="D813" t="inlineStr">
        <is>
          <t>DALARNAS LÄN</t>
        </is>
      </c>
      <c r="E813" t="inlineStr">
        <is>
          <t>ÄLVDALEN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3808-2024</t>
        </is>
      </c>
      <c r="B814" s="1" t="n">
        <v>45321</v>
      </c>
      <c r="C814" s="1" t="n">
        <v>45802</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3903-2024</t>
        </is>
      </c>
      <c r="B815" s="1" t="n">
        <v>45322</v>
      </c>
      <c r="C815" s="1" t="n">
        <v>45802</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3914-2024</t>
        </is>
      </c>
      <c r="B816" s="1" t="n">
        <v>45322</v>
      </c>
      <c r="C816" s="1" t="n">
        <v>45802</v>
      </c>
      <c r="D816" t="inlineStr">
        <is>
          <t>DALARNAS LÄN</t>
        </is>
      </c>
      <c r="E816" t="inlineStr">
        <is>
          <t>ÄLVDALEN</t>
        </is>
      </c>
      <c r="G816" t="n">
        <v>0.3</v>
      </c>
      <c r="H816" t="n">
        <v>0</v>
      </c>
      <c r="I816" t="n">
        <v>0</v>
      </c>
      <c r="J816" t="n">
        <v>0</v>
      </c>
      <c r="K816" t="n">
        <v>0</v>
      </c>
      <c r="L816" t="n">
        <v>0</v>
      </c>
      <c r="M816" t="n">
        <v>0</v>
      </c>
      <c r="N816" t="n">
        <v>0</v>
      </c>
      <c r="O816" t="n">
        <v>0</v>
      </c>
      <c r="P816" t="n">
        <v>0</v>
      </c>
      <c r="Q816" t="n">
        <v>0</v>
      </c>
      <c r="R816" s="2" t="inlineStr"/>
    </row>
    <row r="817" ht="15" customHeight="1">
      <c r="A817" t="inlineStr">
        <is>
          <t>A 3893-2024</t>
        </is>
      </c>
      <c r="B817" s="1" t="n">
        <v>45322</v>
      </c>
      <c r="C817" s="1" t="n">
        <v>45802</v>
      </c>
      <c r="D817" t="inlineStr">
        <is>
          <t>DALARNAS LÄN</t>
        </is>
      </c>
      <c r="E817" t="inlineStr">
        <is>
          <t>ÄLVDALEN</t>
        </is>
      </c>
      <c r="G817" t="n">
        <v>0.5</v>
      </c>
      <c r="H817" t="n">
        <v>0</v>
      </c>
      <c r="I817" t="n">
        <v>0</v>
      </c>
      <c r="J817" t="n">
        <v>0</v>
      </c>
      <c r="K817" t="n">
        <v>0</v>
      </c>
      <c r="L817" t="n">
        <v>0</v>
      </c>
      <c r="M817" t="n">
        <v>0</v>
      </c>
      <c r="N817" t="n">
        <v>0</v>
      </c>
      <c r="O817" t="n">
        <v>0</v>
      </c>
      <c r="P817" t="n">
        <v>0</v>
      </c>
      <c r="Q817" t="n">
        <v>0</v>
      </c>
      <c r="R817" s="2" t="inlineStr"/>
    </row>
    <row r="818" ht="15" customHeight="1">
      <c r="A818" t="inlineStr">
        <is>
          <t>A 3905-2024</t>
        </is>
      </c>
      <c r="B818" s="1" t="n">
        <v>45322</v>
      </c>
      <c r="C818" s="1" t="n">
        <v>45802</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45802</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45802</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45802</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45802</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4380-2024</t>
        </is>
      </c>
      <c r="B823" s="1" t="n">
        <v>45327</v>
      </c>
      <c r="C823" s="1" t="n">
        <v>45802</v>
      </c>
      <c r="D823" t="inlineStr">
        <is>
          <t>DALARNAS LÄN</t>
        </is>
      </c>
      <c r="E823" t="inlineStr">
        <is>
          <t>ÄLVDALEN</t>
        </is>
      </c>
      <c r="G823" t="n">
        <v>6.3</v>
      </c>
      <c r="H823" t="n">
        <v>0</v>
      </c>
      <c r="I823" t="n">
        <v>0</v>
      </c>
      <c r="J823" t="n">
        <v>0</v>
      </c>
      <c r="K823" t="n">
        <v>0</v>
      </c>
      <c r="L823" t="n">
        <v>0</v>
      </c>
      <c r="M823" t="n">
        <v>0</v>
      </c>
      <c r="N823" t="n">
        <v>0</v>
      </c>
      <c r="O823" t="n">
        <v>0</v>
      </c>
      <c r="P823" t="n">
        <v>0</v>
      </c>
      <c r="Q823" t="n">
        <v>0</v>
      </c>
      <c r="R823" s="2" t="inlineStr"/>
    </row>
    <row r="824" ht="15" customHeight="1">
      <c r="A824" t="inlineStr">
        <is>
          <t>A 4525-2024</t>
        </is>
      </c>
      <c r="B824" s="1" t="n">
        <v>45327</v>
      </c>
      <c r="C824" s="1" t="n">
        <v>45802</v>
      </c>
      <c r="D824" t="inlineStr">
        <is>
          <t>DALARNAS LÄN</t>
        </is>
      </c>
      <c r="E824" t="inlineStr">
        <is>
          <t>ÄLVDALEN</t>
        </is>
      </c>
      <c r="G824" t="n">
        <v>12.5</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45802</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4709-2024</t>
        </is>
      </c>
      <c r="B826" s="1" t="n">
        <v>45328</v>
      </c>
      <c r="C826" s="1" t="n">
        <v>45802</v>
      </c>
      <c r="D826" t="inlineStr">
        <is>
          <t>DALARNAS LÄN</t>
        </is>
      </c>
      <c r="E826" t="inlineStr">
        <is>
          <t>ÄLVDALEN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45802</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45802</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45802</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5883-2024</t>
        </is>
      </c>
      <c r="B830" s="1" t="n">
        <v>45335</v>
      </c>
      <c r="C830" s="1" t="n">
        <v>45802</v>
      </c>
      <c r="D830" t="inlineStr">
        <is>
          <t>DALARNAS LÄN</t>
        </is>
      </c>
      <c r="E830" t="inlineStr">
        <is>
          <t>ÄLVDALEN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5885-2024</t>
        </is>
      </c>
      <c r="B831" s="1" t="n">
        <v>45335</v>
      </c>
      <c r="C831" s="1" t="n">
        <v>45802</v>
      </c>
      <c r="D831" t="inlineStr">
        <is>
          <t>DALARNAS LÄN</t>
        </is>
      </c>
      <c r="E831" t="inlineStr">
        <is>
          <t>ÄLVDALEN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6001-2024</t>
        </is>
      </c>
      <c r="B832" s="1" t="n">
        <v>45336</v>
      </c>
      <c r="C832" s="1" t="n">
        <v>45802</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ht="15" customHeight="1">
      <c r="A833" t="inlineStr">
        <is>
          <t>A 6230-2024</t>
        </is>
      </c>
      <c r="B833" s="1" t="n">
        <v>45337</v>
      </c>
      <c r="C833" s="1" t="n">
        <v>45802</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6652-2024</t>
        </is>
      </c>
      <c r="B834" s="1" t="n">
        <v>45341</v>
      </c>
      <c r="C834" s="1" t="n">
        <v>45802</v>
      </c>
      <c r="D834" t="inlineStr">
        <is>
          <t>DALARNAS LÄN</t>
        </is>
      </c>
      <c r="E834" t="inlineStr">
        <is>
          <t>ÄLVDALEN</t>
        </is>
      </c>
      <c r="G834" t="n">
        <v>3.6</v>
      </c>
      <c r="H834" t="n">
        <v>0</v>
      </c>
      <c r="I834" t="n">
        <v>0</v>
      </c>
      <c r="J834" t="n">
        <v>0</v>
      </c>
      <c r="K834" t="n">
        <v>0</v>
      </c>
      <c r="L834" t="n">
        <v>0</v>
      </c>
      <c r="M834" t="n">
        <v>0</v>
      </c>
      <c r="N834" t="n">
        <v>0</v>
      </c>
      <c r="O834" t="n">
        <v>0</v>
      </c>
      <c r="P834" t="n">
        <v>0</v>
      </c>
      <c r="Q834" t="n">
        <v>0</v>
      </c>
      <c r="R834" s="2" t="inlineStr"/>
    </row>
    <row r="835" ht="15" customHeight="1">
      <c r="A835" t="inlineStr">
        <is>
          <t>A 7045-2024</t>
        </is>
      </c>
      <c r="B835" s="1" t="n">
        <v>45343</v>
      </c>
      <c r="C835" s="1" t="n">
        <v>45802</v>
      </c>
      <c r="D835" t="inlineStr">
        <is>
          <t>DALARNAS LÄN</t>
        </is>
      </c>
      <c r="E835" t="inlineStr">
        <is>
          <t>ÄLVDALEN</t>
        </is>
      </c>
      <c r="G835" t="n">
        <v>13</v>
      </c>
      <c r="H835" t="n">
        <v>0</v>
      </c>
      <c r="I835" t="n">
        <v>0</v>
      </c>
      <c r="J835" t="n">
        <v>0</v>
      </c>
      <c r="K835" t="n">
        <v>0</v>
      </c>
      <c r="L835" t="n">
        <v>0</v>
      </c>
      <c r="M835" t="n">
        <v>0</v>
      </c>
      <c r="N835" t="n">
        <v>0</v>
      </c>
      <c r="O835" t="n">
        <v>0</v>
      </c>
      <c r="P835" t="n">
        <v>0</v>
      </c>
      <c r="Q835" t="n">
        <v>0</v>
      </c>
      <c r="R835" s="2" t="inlineStr"/>
    </row>
    <row r="836" ht="15" customHeight="1">
      <c r="A836" t="inlineStr">
        <is>
          <t>A 7581-2024</t>
        </is>
      </c>
      <c r="B836" s="1" t="n">
        <v>45348</v>
      </c>
      <c r="C836" s="1" t="n">
        <v>45802</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7541-2024</t>
        </is>
      </c>
      <c r="B837" s="1" t="n">
        <v>45348</v>
      </c>
      <c r="C837" s="1" t="n">
        <v>45802</v>
      </c>
      <c r="D837" t="inlineStr">
        <is>
          <t>DALARNAS LÄN</t>
        </is>
      </c>
      <c r="E837" t="inlineStr">
        <is>
          <t>ÄLVDALEN</t>
        </is>
      </c>
      <c r="G837" t="n">
        <v>2.1</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45802</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7998-2024</t>
        </is>
      </c>
      <c r="B839" s="1" t="n">
        <v>45350</v>
      </c>
      <c r="C839" s="1" t="n">
        <v>45802</v>
      </c>
      <c r="D839" t="inlineStr">
        <is>
          <t>DALARNAS LÄN</t>
        </is>
      </c>
      <c r="E839" t="inlineStr">
        <is>
          <t>ÄLVDALEN</t>
        </is>
      </c>
      <c r="F839" t="inlineStr">
        <is>
          <t>Kommuner</t>
        </is>
      </c>
      <c r="G839" t="n">
        <v>7.9</v>
      </c>
      <c r="H839" t="n">
        <v>0</v>
      </c>
      <c r="I839" t="n">
        <v>0</v>
      </c>
      <c r="J839" t="n">
        <v>0</v>
      </c>
      <c r="K839" t="n">
        <v>0</v>
      </c>
      <c r="L839" t="n">
        <v>0</v>
      </c>
      <c r="M839" t="n">
        <v>0</v>
      </c>
      <c r="N839" t="n">
        <v>0</v>
      </c>
      <c r="O839" t="n">
        <v>0</v>
      </c>
      <c r="P839" t="n">
        <v>0</v>
      </c>
      <c r="Q839" t="n">
        <v>0</v>
      </c>
      <c r="R839" s="2" t="inlineStr"/>
    </row>
    <row r="840" ht="15" customHeight="1">
      <c r="A840" t="inlineStr">
        <is>
          <t>A 8784-2024</t>
        </is>
      </c>
      <c r="B840" s="1" t="n">
        <v>45356</v>
      </c>
      <c r="C840" s="1" t="n">
        <v>45802</v>
      </c>
      <c r="D840" t="inlineStr">
        <is>
          <t>DALARNAS LÄN</t>
        </is>
      </c>
      <c r="E840" t="inlineStr">
        <is>
          <t>ÄLVDALEN</t>
        </is>
      </c>
      <c r="G840" t="n">
        <v>1.6</v>
      </c>
      <c r="H840" t="n">
        <v>0</v>
      </c>
      <c r="I840" t="n">
        <v>0</v>
      </c>
      <c r="J840" t="n">
        <v>0</v>
      </c>
      <c r="K840" t="n">
        <v>0</v>
      </c>
      <c r="L840" t="n">
        <v>0</v>
      </c>
      <c r="M840" t="n">
        <v>0</v>
      </c>
      <c r="N840" t="n">
        <v>0</v>
      </c>
      <c r="O840" t="n">
        <v>0</v>
      </c>
      <c r="P840" t="n">
        <v>0</v>
      </c>
      <c r="Q840" t="n">
        <v>0</v>
      </c>
      <c r="R840" s="2" t="inlineStr"/>
    </row>
    <row r="841" ht="15" customHeight="1">
      <c r="A841" t="inlineStr">
        <is>
          <t>A 9084-2024</t>
        </is>
      </c>
      <c r="B841" s="1" t="n">
        <v>45357</v>
      </c>
      <c r="C841" s="1" t="n">
        <v>45802</v>
      </c>
      <c r="D841" t="inlineStr">
        <is>
          <t>DALARNAS LÄN</t>
        </is>
      </c>
      <c r="E841" t="inlineStr">
        <is>
          <t>ÄLVDALEN</t>
        </is>
      </c>
      <c r="F841" t="inlineStr">
        <is>
          <t>Övriga Aktiebolag</t>
        </is>
      </c>
      <c r="G841" t="n">
        <v>5.6</v>
      </c>
      <c r="H841" t="n">
        <v>0</v>
      </c>
      <c r="I841" t="n">
        <v>0</v>
      </c>
      <c r="J841" t="n">
        <v>0</v>
      </c>
      <c r="K841" t="n">
        <v>0</v>
      </c>
      <c r="L841" t="n">
        <v>0</v>
      </c>
      <c r="M841" t="n">
        <v>0</v>
      </c>
      <c r="N841" t="n">
        <v>0</v>
      </c>
      <c r="O841" t="n">
        <v>0</v>
      </c>
      <c r="P841" t="n">
        <v>0</v>
      </c>
      <c r="Q841" t="n">
        <v>0</v>
      </c>
      <c r="R841" s="2" t="inlineStr"/>
    </row>
    <row r="842" ht="15" customHeight="1">
      <c r="A842" t="inlineStr">
        <is>
          <t>A 9100-2024</t>
        </is>
      </c>
      <c r="B842" s="1" t="n">
        <v>45357</v>
      </c>
      <c r="C842" s="1" t="n">
        <v>45802</v>
      </c>
      <c r="D842" t="inlineStr">
        <is>
          <t>DALARNAS LÄN</t>
        </is>
      </c>
      <c r="E842" t="inlineStr">
        <is>
          <t>ÄLVDALEN</t>
        </is>
      </c>
      <c r="F842" t="inlineStr">
        <is>
          <t>Övriga Aktiebolag</t>
        </is>
      </c>
      <c r="G842" t="n">
        <v>6.3</v>
      </c>
      <c r="H842" t="n">
        <v>0</v>
      </c>
      <c r="I842" t="n">
        <v>0</v>
      </c>
      <c r="J842" t="n">
        <v>0</v>
      </c>
      <c r="K842" t="n">
        <v>0</v>
      </c>
      <c r="L842" t="n">
        <v>0</v>
      </c>
      <c r="M842" t="n">
        <v>0</v>
      </c>
      <c r="N842" t="n">
        <v>0</v>
      </c>
      <c r="O842" t="n">
        <v>0</v>
      </c>
      <c r="P842" t="n">
        <v>0</v>
      </c>
      <c r="Q842" t="n">
        <v>0</v>
      </c>
      <c r="R842" s="2" t="inlineStr"/>
    </row>
    <row r="843" ht="15" customHeight="1">
      <c r="A843" t="inlineStr">
        <is>
          <t>A 9091-2024</t>
        </is>
      </c>
      <c r="B843" s="1" t="n">
        <v>45357</v>
      </c>
      <c r="C843" s="1" t="n">
        <v>45802</v>
      </c>
      <c r="D843" t="inlineStr">
        <is>
          <t>DALARNAS LÄN</t>
        </is>
      </c>
      <c r="E843" t="inlineStr">
        <is>
          <t>ÄLVDALEN</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9108-2024</t>
        </is>
      </c>
      <c r="B844" s="1" t="n">
        <v>45358</v>
      </c>
      <c r="C844" s="1" t="n">
        <v>45802</v>
      </c>
      <c r="D844" t="inlineStr">
        <is>
          <t>DALARNAS LÄN</t>
        </is>
      </c>
      <c r="E844" t="inlineStr">
        <is>
          <t>ÄLVDALEN</t>
        </is>
      </c>
      <c r="F844" t="inlineStr">
        <is>
          <t>Övriga Aktiebolag</t>
        </is>
      </c>
      <c r="G844" t="n">
        <v>24.4</v>
      </c>
      <c r="H844" t="n">
        <v>0</v>
      </c>
      <c r="I844" t="n">
        <v>0</v>
      </c>
      <c r="J844" t="n">
        <v>0</v>
      </c>
      <c r="K844" t="n">
        <v>0</v>
      </c>
      <c r="L844" t="n">
        <v>0</v>
      </c>
      <c r="M844" t="n">
        <v>0</v>
      </c>
      <c r="N844" t="n">
        <v>0</v>
      </c>
      <c r="O844" t="n">
        <v>0</v>
      </c>
      <c r="P844" t="n">
        <v>0</v>
      </c>
      <c r="Q844" t="n">
        <v>0</v>
      </c>
      <c r="R844" s="2" t="inlineStr"/>
    </row>
    <row r="845" ht="15" customHeight="1">
      <c r="A845" t="inlineStr">
        <is>
          <t>A 9085-2024</t>
        </is>
      </c>
      <c r="B845" s="1" t="n">
        <v>45357</v>
      </c>
      <c r="C845" s="1" t="n">
        <v>45802</v>
      </c>
      <c r="D845" t="inlineStr">
        <is>
          <t>DALARNAS LÄN</t>
        </is>
      </c>
      <c r="E845" t="inlineStr">
        <is>
          <t>ÄLVDALEN</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11891-2024</t>
        </is>
      </c>
      <c r="B846" s="1" t="n">
        <v>45376</v>
      </c>
      <c r="C846" s="1" t="n">
        <v>45802</v>
      </c>
      <c r="D846" t="inlineStr">
        <is>
          <t>DALARNAS LÄN</t>
        </is>
      </c>
      <c r="E846" t="inlineStr">
        <is>
          <t>ÄLVDALEN</t>
        </is>
      </c>
      <c r="G846" t="n">
        <v>24.7</v>
      </c>
      <c r="H846" t="n">
        <v>0</v>
      </c>
      <c r="I846" t="n">
        <v>0</v>
      </c>
      <c r="J846" t="n">
        <v>0</v>
      </c>
      <c r="K846" t="n">
        <v>0</v>
      </c>
      <c r="L846" t="n">
        <v>0</v>
      </c>
      <c r="M846" t="n">
        <v>0</v>
      </c>
      <c r="N846" t="n">
        <v>0</v>
      </c>
      <c r="O846" t="n">
        <v>0</v>
      </c>
      <c r="P846" t="n">
        <v>0</v>
      </c>
      <c r="Q846" t="n">
        <v>0</v>
      </c>
      <c r="R846" s="2" t="inlineStr"/>
    </row>
    <row r="847" ht="15" customHeight="1">
      <c r="A847" t="inlineStr">
        <is>
          <t>A 12420-2024</t>
        </is>
      </c>
      <c r="B847" s="1" t="n">
        <v>45379</v>
      </c>
      <c r="C847" s="1" t="n">
        <v>45802</v>
      </c>
      <c r="D847" t="inlineStr">
        <is>
          <t>DALARNAS LÄN</t>
        </is>
      </c>
      <c r="E847" t="inlineStr">
        <is>
          <t>ÄLVDALEN</t>
        </is>
      </c>
      <c r="G847" t="n">
        <v>7.4</v>
      </c>
      <c r="H847" t="n">
        <v>0</v>
      </c>
      <c r="I847" t="n">
        <v>0</v>
      </c>
      <c r="J847" t="n">
        <v>0</v>
      </c>
      <c r="K847" t="n">
        <v>0</v>
      </c>
      <c r="L847" t="n">
        <v>0</v>
      </c>
      <c r="M847" t="n">
        <v>0</v>
      </c>
      <c r="N847" t="n">
        <v>0</v>
      </c>
      <c r="O847" t="n">
        <v>0</v>
      </c>
      <c r="P847" t="n">
        <v>0</v>
      </c>
      <c r="Q847" t="n">
        <v>0</v>
      </c>
      <c r="R847" s="2" t="inlineStr"/>
    </row>
    <row r="848" ht="15" customHeight="1">
      <c r="A848" t="inlineStr">
        <is>
          <t>A 13047-2024</t>
        </is>
      </c>
      <c r="B848" s="1" t="n">
        <v>45385</v>
      </c>
      <c r="C848" s="1" t="n">
        <v>45802</v>
      </c>
      <c r="D848" t="inlineStr">
        <is>
          <t>DALARNAS LÄN</t>
        </is>
      </c>
      <c r="E848" t="inlineStr">
        <is>
          <t>ÄLVDALEN</t>
        </is>
      </c>
      <c r="G848" t="n">
        <v>4.3</v>
      </c>
      <c r="H848" t="n">
        <v>0</v>
      </c>
      <c r="I848" t="n">
        <v>0</v>
      </c>
      <c r="J848" t="n">
        <v>0</v>
      </c>
      <c r="K848" t="n">
        <v>0</v>
      </c>
      <c r="L848" t="n">
        <v>0</v>
      </c>
      <c r="M848" t="n">
        <v>0</v>
      </c>
      <c r="N848" t="n">
        <v>0</v>
      </c>
      <c r="O848" t="n">
        <v>0</v>
      </c>
      <c r="P848" t="n">
        <v>0</v>
      </c>
      <c r="Q848" t="n">
        <v>0</v>
      </c>
      <c r="R848" s="2" t="inlineStr"/>
    </row>
    <row r="849" ht="15" customHeight="1">
      <c r="A849" t="inlineStr">
        <is>
          <t>A 13854-2024</t>
        </is>
      </c>
      <c r="B849" s="1" t="n">
        <v>45390</v>
      </c>
      <c r="C849" s="1" t="n">
        <v>45802</v>
      </c>
      <c r="D849" t="inlineStr">
        <is>
          <t>DALARNAS LÄN</t>
        </is>
      </c>
      <c r="E849" t="inlineStr">
        <is>
          <t>ÄLVDALEN</t>
        </is>
      </c>
      <c r="G849" t="n">
        <v>13.5</v>
      </c>
      <c r="H849" t="n">
        <v>0</v>
      </c>
      <c r="I849" t="n">
        <v>0</v>
      </c>
      <c r="J849" t="n">
        <v>0</v>
      </c>
      <c r="K849" t="n">
        <v>0</v>
      </c>
      <c r="L849" t="n">
        <v>0</v>
      </c>
      <c r="M849" t="n">
        <v>0</v>
      </c>
      <c r="N849" t="n">
        <v>0</v>
      </c>
      <c r="O849" t="n">
        <v>0</v>
      </c>
      <c r="P849" t="n">
        <v>0</v>
      </c>
      <c r="Q849" t="n">
        <v>0</v>
      </c>
      <c r="R849" s="2" t="inlineStr"/>
    </row>
    <row r="850" ht="15" customHeight="1">
      <c r="A850" t="inlineStr">
        <is>
          <t>A 14895-2024</t>
        </is>
      </c>
      <c r="B850" s="1" t="n">
        <v>45398</v>
      </c>
      <c r="C850" s="1" t="n">
        <v>45802</v>
      </c>
      <c r="D850" t="inlineStr">
        <is>
          <t>DALARNAS LÄN</t>
        </is>
      </c>
      <c r="E850" t="inlineStr">
        <is>
          <t>ÄLVDALEN</t>
        </is>
      </c>
      <c r="G850" t="n">
        <v>4.9</v>
      </c>
      <c r="H850" t="n">
        <v>0</v>
      </c>
      <c r="I850" t="n">
        <v>0</v>
      </c>
      <c r="J850" t="n">
        <v>0</v>
      </c>
      <c r="K850" t="n">
        <v>0</v>
      </c>
      <c r="L850" t="n">
        <v>0</v>
      </c>
      <c r="M850" t="n">
        <v>0</v>
      </c>
      <c r="N850" t="n">
        <v>0</v>
      </c>
      <c r="O850" t="n">
        <v>0</v>
      </c>
      <c r="P850" t="n">
        <v>0</v>
      </c>
      <c r="Q850" t="n">
        <v>0</v>
      </c>
      <c r="R850" s="2" t="inlineStr"/>
    </row>
    <row r="851" ht="15" customHeight="1">
      <c r="A851" t="inlineStr">
        <is>
          <t>A 15037-2024</t>
        </is>
      </c>
      <c r="B851" s="1" t="n">
        <v>45399</v>
      </c>
      <c r="C851" s="1" t="n">
        <v>45802</v>
      </c>
      <c r="D851" t="inlineStr">
        <is>
          <t>DALARNAS LÄN</t>
        </is>
      </c>
      <c r="E851" t="inlineStr">
        <is>
          <t>ÄLVDALEN</t>
        </is>
      </c>
      <c r="G851" t="n">
        <v>17</v>
      </c>
      <c r="H851" t="n">
        <v>0</v>
      </c>
      <c r="I851" t="n">
        <v>0</v>
      </c>
      <c r="J851" t="n">
        <v>0</v>
      </c>
      <c r="K851" t="n">
        <v>0</v>
      </c>
      <c r="L851" t="n">
        <v>0</v>
      </c>
      <c r="M851" t="n">
        <v>0</v>
      </c>
      <c r="N851" t="n">
        <v>0</v>
      </c>
      <c r="O851" t="n">
        <v>0</v>
      </c>
      <c r="P851" t="n">
        <v>0</v>
      </c>
      <c r="Q851" t="n">
        <v>0</v>
      </c>
      <c r="R851" s="2" t="inlineStr"/>
    </row>
    <row r="852" ht="15" customHeight="1">
      <c r="A852" t="inlineStr">
        <is>
          <t>A 15647-2024</t>
        </is>
      </c>
      <c r="B852" s="1" t="n">
        <v>45404</v>
      </c>
      <c r="C852" s="1" t="n">
        <v>45802</v>
      </c>
      <c r="D852" t="inlineStr">
        <is>
          <t>DALARNAS LÄN</t>
        </is>
      </c>
      <c r="E852" t="inlineStr">
        <is>
          <t>ÄLVDALEN</t>
        </is>
      </c>
      <c r="F852" t="inlineStr">
        <is>
          <t>Bergvik skog väst AB</t>
        </is>
      </c>
      <c r="G852" t="n">
        <v>16.3</v>
      </c>
      <c r="H852" t="n">
        <v>0</v>
      </c>
      <c r="I852" t="n">
        <v>0</v>
      </c>
      <c r="J852" t="n">
        <v>0</v>
      </c>
      <c r="K852" t="n">
        <v>0</v>
      </c>
      <c r="L852" t="n">
        <v>0</v>
      </c>
      <c r="M852" t="n">
        <v>0</v>
      </c>
      <c r="N852" t="n">
        <v>0</v>
      </c>
      <c r="O852" t="n">
        <v>0</v>
      </c>
      <c r="P852" t="n">
        <v>0</v>
      </c>
      <c r="Q852" t="n">
        <v>0</v>
      </c>
      <c r="R852" s="2" t="inlineStr"/>
    </row>
    <row r="853" ht="15" customHeight="1">
      <c r="A853" t="inlineStr">
        <is>
          <t>A 15760-2024</t>
        </is>
      </c>
      <c r="B853" s="1" t="n">
        <v>45404</v>
      </c>
      <c r="C853" s="1" t="n">
        <v>45802</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15652-2024</t>
        </is>
      </c>
      <c r="B854" s="1" t="n">
        <v>45404</v>
      </c>
      <c r="C854" s="1" t="n">
        <v>45802</v>
      </c>
      <c r="D854" t="inlineStr">
        <is>
          <t>DALARNAS LÄN</t>
        </is>
      </c>
      <c r="E854" t="inlineStr">
        <is>
          <t>ÄLVDALEN</t>
        </is>
      </c>
      <c r="F854" t="inlineStr">
        <is>
          <t>Bergvik skog väst AB</t>
        </is>
      </c>
      <c r="G854" t="n">
        <v>4.5</v>
      </c>
      <c r="H854" t="n">
        <v>0</v>
      </c>
      <c r="I854" t="n">
        <v>0</v>
      </c>
      <c r="J854" t="n">
        <v>0</v>
      </c>
      <c r="K854" t="n">
        <v>0</v>
      </c>
      <c r="L854" t="n">
        <v>0</v>
      </c>
      <c r="M854" t="n">
        <v>0</v>
      </c>
      <c r="N854" t="n">
        <v>0</v>
      </c>
      <c r="O854" t="n">
        <v>0</v>
      </c>
      <c r="P854" t="n">
        <v>0</v>
      </c>
      <c r="Q854" t="n">
        <v>0</v>
      </c>
      <c r="R854" s="2" t="inlineStr"/>
    </row>
    <row r="855" ht="15" customHeight="1">
      <c r="A855" t="inlineStr">
        <is>
          <t>A 15759-2024</t>
        </is>
      </c>
      <c r="B855" s="1" t="n">
        <v>45404</v>
      </c>
      <c r="C855" s="1" t="n">
        <v>45802</v>
      </c>
      <c r="D855" t="inlineStr">
        <is>
          <t>DALARNAS LÄN</t>
        </is>
      </c>
      <c r="E855" t="inlineStr">
        <is>
          <t>ÄLVDALEN</t>
        </is>
      </c>
      <c r="G855" t="n">
        <v>1.4</v>
      </c>
      <c r="H855" t="n">
        <v>0</v>
      </c>
      <c r="I855" t="n">
        <v>0</v>
      </c>
      <c r="J855" t="n">
        <v>0</v>
      </c>
      <c r="K855" t="n">
        <v>0</v>
      </c>
      <c r="L855" t="n">
        <v>0</v>
      </c>
      <c r="M855" t="n">
        <v>0</v>
      </c>
      <c r="N855" t="n">
        <v>0</v>
      </c>
      <c r="O855" t="n">
        <v>0</v>
      </c>
      <c r="P855" t="n">
        <v>0</v>
      </c>
      <c r="Q855" t="n">
        <v>0</v>
      </c>
      <c r="R855" s="2" t="inlineStr"/>
    </row>
    <row r="856" ht="15" customHeight="1">
      <c r="A856" t="inlineStr">
        <is>
          <t>A 17049-2024</t>
        </is>
      </c>
      <c r="B856" s="1" t="n">
        <v>45412</v>
      </c>
      <c r="C856" s="1" t="n">
        <v>45802</v>
      </c>
      <c r="D856" t="inlineStr">
        <is>
          <t>DALARNAS LÄN</t>
        </is>
      </c>
      <c r="E856" t="inlineStr">
        <is>
          <t>ÄLVDALEN</t>
        </is>
      </c>
      <c r="G856" t="n">
        <v>9.5</v>
      </c>
      <c r="H856" t="n">
        <v>0</v>
      </c>
      <c r="I856" t="n">
        <v>0</v>
      </c>
      <c r="J856" t="n">
        <v>0</v>
      </c>
      <c r="K856" t="n">
        <v>0</v>
      </c>
      <c r="L856" t="n">
        <v>0</v>
      </c>
      <c r="M856" t="n">
        <v>0</v>
      </c>
      <c r="N856" t="n">
        <v>0</v>
      </c>
      <c r="O856" t="n">
        <v>0</v>
      </c>
      <c r="P856" t="n">
        <v>0</v>
      </c>
      <c r="Q856" t="n">
        <v>0</v>
      </c>
      <c r="R856" s="2" t="inlineStr"/>
    </row>
    <row r="857" ht="15" customHeight="1">
      <c r="A857" t="inlineStr">
        <is>
          <t>A 17558-2024</t>
        </is>
      </c>
      <c r="B857" s="1" t="n">
        <v>45415</v>
      </c>
      <c r="C857" s="1" t="n">
        <v>45802</v>
      </c>
      <c r="D857" t="inlineStr">
        <is>
          <t>DALARNAS LÄN</t>
        </is>
      </c>
      <c r="E857" t="inlineStr">
        <is>
          <t>ÄLVDALEN</t>
        </is>
      </c>
      <c r="G857" t="n">
        <v>2.2</v>
      </c>
      <c r="H857" t="n">
        <v>0</v>
      </c>
      <c r="I857" t="n">
        <v>0</v>
      </c>
      <c r="J857" t="n">
        <v>0</v>
      </c>
      <c r="K857" t="n">
        <v>0</v>
      </c>
      <c r="L857" t="n">
        <v>0</v>
      </c>
      <c r="M857" t="n">
        <v>0</v>
      </c>
      <c r="N857" t="n">
        <v>0</v>
      </c>
      <c r="O857" t="n">
        <v>0</v>
      </c>
      <c r="P857" t="n">
        <v>0</v>
      </c>
      <c r="Q857" t="n">
        <v>0</v>
      </c>
      <c r="R857" s="2" t="inlineStr"/>
    </row>
    <row r="858" ht="15" customHeight="1">
      <c r="A858" t="inlineStr">
        <is>
          <t>A 17827-2024</t>
        </is>
      </c>
      <c r="B858" s="1" t="n">
        <v>45418</v>
      </c>
      <c r="C858" s="1" t="n">
        <v>45802</v>
      </c>
      <c r="D858" t="inlineStr">
        <is>
          <t>DALARNAS LÄN</t>
        </is>
      </c>
      <c r="E858" t="inlineStr">
        <is>
          <t>ÄLVDALEN</t>
        </is>
      </c>
      <c r="F858" t="inlineStr">
        <is>
          <t>Övriga statliga verk och myndigheter</t>
        </is>
      </c>
      <c r="G858" t="n">
        <v>12.3</v>
      </c>
      <c r="H858" t="n">
        <v>0</v>
      </c>
      <c r="I858" t="n">
        <v>0</v>
      </c>
      <c r="J858" t="n">
        <v>0</v>
      </c>
      <c r="K858" t="n">
        <v>0</v>
      </c>
      <c r="L858" t="n">
        <v>0</v>
      </c>
      <c r="M858" t="n">
        <v>0</v>
      </c>
      <c r="N858" t="n">
        <v>0</v>
      </c>
      <c r="O858" t="n">
        <v>0</v>
      </c>
      <c r="P858" t="n">
        <v>0</v>
      </c>
      <c r="Q858" t="n">
        <v>0</v>
      </c>
      <c r="R858" s="2" t="inlineStr"/>
    </row>
    <row r="859" ht="15" customHeight="1">
      <c r="A859" t="inlineStr">
        <is>
          <t>A 18075-2024</t>
        </is>
      </c>
      <c r="B859" s="1" t="n">
        <v>45420</v>
      </c>
      <c r="C859" s="1" t="n">
        <v>45802</v>
      </c>
      <c r="D859" t="inlineStr">
        <is>
          <t>DALARNAS LÄN</t>
        </is>
      </c>
      <c r="E859" t="inlineStr">
        <is>
          <t>ÄLVDALEN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19007-2024</t>
        </is>
      </c>
      <c r="B860" s="1" t="n">
        <v>45427</v>
      </c>
      <c r="C860" s="1" t="n">
        <v>45802</v>
      </c>
      <c r="D860" t="inlineStr">
        <is>
          <t>DALARNAS LÄN</t>
        </is>
      </c>
      <c r="E860" t="inlineStr">
        <is>
          <t>ÄLVDALEN</t>
        </is>
      </c>
      <c r="G860" t="n">
        <v>1.1</v>
      </c>
      <c r="H860" t="n">
        <v>0</v>
      </c>
      <c r="I860" t="n">
        <v>0</v>
      </c>
      <c r="J860" t="n">
        <v>0</v>
      </c>
      <c r="K860" t="n">
        <v>0</v>
      </c>
      <c r="L860" t="n">
        <v>0</v>
      </c>
      <c r="M860" t="n">
        <v>0</v>
      </c>
      <c r="N860" t="n">
        <v>0</v>
      </c>
      <c r="O860" t="n">
        <v>0</v>
      </c>
      <c r="P860" t="n">
        <v>0</v>
      </c>
      <c r="Q860" t="n">
        <v>0</v>
      </c>
      <c r="R860" s="2" t="inlineStr"/>
    </row>
    <row r="861" ht="15" customHeight="1">
      <c r="A861" t="inlineStr">
        <is>
          <t>A 19100-2024</t>
        </is>
      </c>
      <c r="B861" s="1" t="n">
        <v>45428</v>
      </c>
      <c r="C861" s="1" t="n">
        <v>45802</v>
      </c>
      <c r="D861" t="inlineStr">
        <is>
          <t>DALARNAS LÄN</t>
        </is>
      </c>
      <c r="E861" t="inlineStr">
        <is>
          <t>ÄLVDALEN</t>
        </is>
      </c>
      <c r="F861" t="inlineStr">
        <is>
          <t>Allmännings- och besparingsskogar</t>
        </is>
      </c>
      <c r="G861" t="n">
        <v>32.5</v>
      </c>
      <c r="H861" t="n">
        <v>0</v>
      </c>
      <c r="I861" t="n">
        <v>0</v>
      </c>
      <c r="J861" t="n">
        <v>0</v>
      </c>
      <c r="K861" t="n">
        <v>0</v>
      </c>
      <c r="L861" t="n">
        <v>0</v>
      </c>
      <c r="M861" t="n">
        <v>0</v>
      </c>
      <c r="N861" t="n">
        <v>0</v>
      </c>
      <c r="O861" t="n">
        <v>0</v>
      </c>
      <c r="P861" t="n">
        <v>0</v>
      </c>
      <c r="Q861" t="n">
        <v>0</v>
      </c>
      <c r="R861" s="2" t="inlineStr"/>
    </row>
    <row r="862" ht="15" customHeight="1">
      <c r="A862" t="inlineStr">
        <is>
          <t>A 19423-2024</t>
        </is>
      </c>
      <c r="B862" s="1" t="n">
        <v>45429</v>
      </c>
      <c r="C862" s="1" t="n">
        <v>45802</v>
      </c>
      <c r="D862" t="inlineStr">
        <is>
          <t>DALARNAS LÄN</t>
        </is>
      </c>
      <c r="E862" t="inlineStr">
        <is>
          <t>ÄLVDALEN</t>
        </is>
      </c>
      <c r="F862" t="inlineStr">
        <is>
          <t>Bergvik skog väst AB</t>
        </is>
      </c>
      <c r="G862" t="n">
        <v>9.5</v>
      </c>
      <c r="H862" t="n">
        <v>0</v>
      </c>
      <c r="I862" t="n">
        <v>0</v>
      </c>
      <c r="J862" t="n">
        <v>0</v>
      </c>
      <c r="K862" t="n">
        <v>0</v>
      </c>
      <c r="L862" t="n">
        <v>0</v>
      </c>
      <c r="M862" t="n">
        <v>0</v>
      </c>
      <c r="N862" t="n">
        <v>0</v>
      </c>
      <c r="O862" t="n">
        <v>0</v>
      </c>
      <c r="P862" t="n">
        <v>0</v>
      </c>
      <c r="Q862" t="n">
        <v>0</v>
      </c>
      <c r="R862" s="2" t="inlineStr"/>
    </row>
    <row r="863" ht="15" customHeight="1">
      <c r="A863" t="inlineStr">
        <is>
          <t>A 19708-2024</t>
        </is>
      </c>
      <c r="B863" s="1" t="n">
        <v>45432</v>
      </c>
      <c r="C863" s="1" t="n">
        <v>45802</v>
      </c>
      <c r="D863" t="inlineStr">
        <is>
          <t>DALARNAS LÄN</t>
        </is>
      </c>
      <c r="E863" t="inlineStr">
        <is>
          <t>ÄLVDALEN</t>
        </is>
      </c>
      <c r="G863" t="n">
        <v>12.4</v>
      </c>
      <c r="H863" t="n">
        <v>0</v>
      </c>
      <c r="I863" t="n">
        <v>0</v>
      </c>
      <c r="J863" t="n">
        <v>0</v>
      </c>
      <c r="K863" t="n">
        <v>0</v>
      </c>
      <c r="L863" t="n">
        <v>0</v>
      </c>
      <c r="M863" t="n">
        <v>0</v>
      </c>
      <c r="N863" t="n">
        <v>0</v>
      </c>
      <c r="O863" t="n">
        <v>0</v>
      </c>
      <c r="P863" t="n">
        <v>0</v>
      </c>
      <c r="Q863" t="n">
        <v>0</v>
      </c>
      <c r="R863" s="2" t="inlineStr"/>
    </row>
    <row r="864" ht="15" customHeight="1">
      <c r="A864" t="inlineStr">
        <is>
          <t>A 20569-2024</t>
        </is>
      </c>
      <c r="B864" s="1" t="n">
        <v>45436</v>
      </c>
      <c r="C864" s="1" t="n">
        <v>45802</v>
      </c>
      <c r="D864" t="inlineStr">
        <is>
          <t>DALARNAS LÄN</t>
        </is>
      </c>
      <c r="E864" t="inlineStr">
        <is>
          <t>ÄLVDALEN</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21199-2024</t>
        </is>
      </c>
      <c r="B865" s="1" t="n">
        <v>45440</v>
      </c>
      <c r="C865" s="1" t="n">
        <v>45802</v>
      </c>
      <c r="D865" t="inlineStr">
        <is>
          <t>DALARNAS LÄN</t>
        </is>
      </c>
      <c r="E865" t="inlineStr">
        <is>
          <t>ÄLVDALEN</t>
        </is>
      </c>
      <c r="G865" t="n">
        <v>3</v>
      </c>
      <c r="H865" t="n">
        <v>0</v>
      </c>
      <c r="I865" t="n">
        <v>0</v>
      </c>
      <c r="J865" t="n">
        <v>0</v>
      </c>
      <c r="K865" t="n">
        <v>0</v>
      </c>
      <c r="L865" t="n">
        <v>0</v>
      </c>
      <c r="M865" t="n">
        <v>0</v>
      </c>
      <c r="N865" t="n">
        <v>0</v>
      </c>
      <c r="O865" t="n">
        <v>0</v>
      </c>
      <c r="P865" t="n">
        <v>0</v>
      </c>
      <c r="Q865" t="n">
        <v>0</v>
      </c>
      <c r="R865" s="2" t="inlineStr"/>
    </row>
    <row r="866" ht="15" customHeight="1">
      <c r="A866" t="inlineStr">
        <is>
          <t>A 21116-2024</t>
        </is>
      </c>
      <c r="B866" s="1" t="n">
        <v>45440</v>
      </c>
      <c r="C866" s="1" t="n">
        <v>45802</v>
      </c>
      <c r="D866" t="inlineStr">
        <is>
          <t>DALARNAS LÄN</t>
        </is>
      </c>
      <c r="E866" t="inlineStr">
        <is>
          <t>ÄLVDALEN</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21466-2024</t>
        </is>
      </c>
      <c r="B867" s="1" t="n">
        <v>45441</v>
      </c>
      <c r="C867" s="1" t="n">
        <v>45802</v>
      </c>
      <c r="D867" t="inlineStr">
        <is>
          <t>DALARNAS LÄN</t>
        </is>
      </c>
      <c r="E867" t="inlineStr">
        <is>
          <t>ÄLVDALEN</t>
        </is>
      </c>
      <c r="G867" t="n">
        <v>1.9</v>
      </c>
      <c r="H867" t="n">
        <v>0</v>
      </c>
      <c r="I867" t="n">
        <v>0</v>
      </c>
      <c r="J867" t="n">
        <v>0</v>
      </c>
      <c r="K867" t="n">
        <v>0</v>
      </c>
      <c r="L867" t="n">
        <v>0</v>
      </c>
      <c r="M867" t="n">
        <v>0</v>
      </c>
      <c r="N867" t="n">
        <v>0</v>
      </c>
      <c r="O867" t="n">
        <v>0</v>
      </c>
      <c r="P867" t="n">
        <v>0</v>
      </c>
      <c r="Q867" t="n">
        <v>0</v>
      </c>
      <c r="R867" s="2" t="inlineStr"/>
    </row>
    <row r="868" ht="15" customHeight="1">
      <c r="A868" t="inlineStr">
        <is>
          <t>A 21469-2024</t>
        </is>
      </c>
      <c r="B868" s="1" t="n">
        <v>45441</v>
      </c>
      <c r="C868" s="1" t="n">
        <v>45802</v>
      </c>
      <c r="D868" t="inlineStr">
        <is>
          <t>DALARNAS LÄN</t>
        </is>
      </c>
      <c r="E868" t="inlineStr">
        <is>
          <t>ÄLVDALEN</t>
        </is>
      </c>
      <c r="G868" t="n">
        <v>1</v>
      </c>
      <c r="H868" t="n">
        <v>0</v>
      </c>
      <c r="I868" t="n">
        <v>0</v>
      </c>
      <c r="J868" t="n">
        <v>0</v>
      </c>
      <c r="K868" t="n">
        <v>0</v>
      </c>
      <c r="L868" t="n">
        <v>0</v>
      </c>
      <c r="M868" t="n">
        <v>0</v>
      </c>
      <c r="N868" t="n">
        <v>0</v>
      </c>
      <c r="O868" t="n">
        <v>0</v>
      </c>
      <c r="P868" t="n">
        <v>0</v>
      </c>
      <c r="Q868" t="n">
        <v>0</v>
      </c>
      <c r="R868" s="2" t="inlineStr"/>
    </row>
    <row r="869" ht="15" customHeight="1">
      <c r="A869" t="inlineStr">
        <is>
          <t>A 21659-2024</t>
        </is>
      </c>
      <c r="B869" s="1" t="n">
        <v>45442</v>
      </c>
      <c r="C869" s="1" t="n">
        <v>45802</v>
      </c>
      <c r="D869" t="inlineStr">
        <is>
          <t>DALARNAS LÄN</t>
        </is>
      </c>
      <c r="E869" t="inlineStr">
        <is>
          <t>ÄLVDALEN</t>
        </is>
      </c>
      <c r="F869" t="inlineStr">
        <is>
          <t>Bergvik skog väst AB</t>
        </is>
      </c>
      <c r="G869" t="n">
        <v>3.2</v>
      </c>
      <c r="H869" t="n">
        <v>0</v>
      </c>
      <c r="I869" t="n">
        <v>0</v>
      </c>
      <c r="J869" t="n">
        <v>0</v>
      </c>
      <c r="K869" t="n">
        <v>0</v>
      </c>
      <c r="L869" t="n">
        <v>0</v>
      </c>
      <c r="M869" t="n">
        <v>0</v>
      </c>
      <c r="N869" t="n">
        <v>0</v>
      </c>
      <c r="O869" t="n">
        <v>0</v>
      </c>
      <c r="P869" t="n">
        <v>0</v>
      </c>
      <c r="Q869" t="n">
        <v>0</v>
      </c>
      <c r="R869" s="2" t="inlineStr"/>
    </row>
    <row r="870" ht="15" customHeight="1">
      <c r="A870" t="inlineStr">
        <is>
          <t>A 23328-2024</t>
        </is>
      </c>
      <c r="B870" s="1" t="n">
        <v>45453</v>
      </c>
      <c r="C870" s="1" t="n">
        <v>45802</v>
      </c>
      <c r="D870" t="inlineStr">
        <is>
          <t>DALARNAS LÄN</t>
        </is>
      </c>
      <c r="E870" t="inlineStr">
        <is>
          <t>ÄLVDALEN</t>
        </is>
      </c>
      <c r="G870" t="n">
        <v>2.7</v>
      </c>
      <c r="H870" t="n">
        <v>0</v>
      </c>
      <c r="I870" t="n">
        <v>0</v>
      </c>
      <c r="J870" t="n">
        <v>0</v>
      </c>
      <c r="K870" t="n">
        <v>0</v>
      </c>
      <c r="L870" t="n">
        <v>0</v>
      </c>
      <c r="M870" t="n">
        <v>0</v>
      </c>
      <c r="N870" t="n">
        <v>0</v>
      </c>
      <c r="O870" t="n">
        <v>0</v>
      </c>
      <c r="P870" t="n">
        <v>0</v>
      </c>
      <c r="Q870" t="n">
        <v>0</v>
      </c>
      <c r="R870" s="2" t="inlineStr"/>
    </row>
    <row r="871" ht="15" customHeight="1">
      <c r="A871" t="inlineStr">
        <is>
          <t>A 23370-2024</t>
        </is>
      </c>
      <c r="B871" s="1" t="n">
        <v>45453</v>
      </c>
      <c r="C871" s="1" t="n">
        <v>45802</v>
      </c>
      <c r="D871" t="inlineStr">
        <is>
          <t>DALARNAS LÄN</t>
        </is>
      </c>
      <c r="E871" t="inlineStr">
        <is>
          <t>ÄLVDALEN</t>
        </is>
      </c>
      <c r="G871" t="n">
        <v>2.4</v>
      </c>
      <c r="H871" t="n">
        <v>0</v>
      </c>
      <c r="I871" t="n">
        <v>0</v>
      </c>
      <c r="J871" t="n">
        <v>0</v>
      </c>
      <c r="K871" t="n">
        <v>0</v>
      </c>
      <c r="L871" t="n">
        <v>0</v>
      </c>
      <c r="M871" t="n">
        <v>0</v>
      </c>
      <c r="N871" t="n">
        <v>0</v>
      </c>
      <c r="O871" t="n">
        <v>0</v>
      </c>
      <c r="P871" t="n">
        <v>0</v>
      </c>
      <c r="Q871" t="n">
        <v>0</v>
      </c>
      <c r="R871" s="2" t="inlineStr"/>
    </row>
    <row r="872" ht="15" customHeight="1">
      <c r="A872" t="inlineStr">
        <is>
          <t>A 23656-2024</t>
        </is>
      </c>
      <c r="B872" s="1" t="n">
        <v>45454</v>
      </c>
      <c r="C872" s="1" t="n">
        <v>45802</v>
      </c>
      <c r="D872" t="inlineStr">
        <is>
          <t>DALARNAS LÄN</t>
        </is>
      </c>
      <c r="E872" t="inlineStr">
        <is>
          <t>ÄLVDALEN</t>
        </is>
      </c>
      <c r="F872" t="inlineStr">
        <is>
          <t>Allmännings- och besparingsskogar</t>
        </is>
      </c>
      <c r="G872" t="n">
        <v>35.2</v>
      </c>
      <c r="H872" t="n">
        <v>0</v>
      </c>
      <c r="I872" t="n">
        <v>0</v>
      </c>
      <c r="J872" t="n">
        <v>0</v>
      </c>
      <c r="K872" t="n">
        <v>0</v>
      </c>
      <c r="L872" t="n">
        <v>0</v>
      </c>
      <c r="M872" t="n">
        <v>0</v>
      </c>
      <c r="N872" t="n">
        <v>0</v>
      </c>
      <c r="O872" t="n">
        <v>0</v>
      </c>
      <c r="P872" t="n">
        <v>0</v>
      </c>
      <c r="Q872" t="n">
        <v>0</v>
      </c>
      <c r="R872" s="2" t="inlineStr"/>
    </row>
    <row r="873" ht="15" customHeight="1">
      <c r="A873" t="inlineStr">
        <is>
          <t>A 23756-2024</t>
        </is>
      </c>
      <c r="B873" s="1" t="n">
        <v>45455</v>
      </c>
      <c r="C873" s="1" t="n">
        <v>45802</v>
      </c>
      <c r="D873" t="inlineStr">
        <is>
          <t>DALARNAS LÄN</t>
        </is>
      </c>
      <c r="E873" t="inlineStr">
        <is>
          <t>ÄLVDALEN</t>
        </is>
      </c>
      <c r="F873" t="inlineStr">
        <is>
          <t>Allmännings- och besparingsskogar</t>
        </is>
      </c>
      <c r="G873" t="n">
        <v>2.9</v>
      </c>
      <c r="H873" t="n">
        <v>0</v>
      </c>
      <c r="I873" t="n">
        <v>0</v>
      </c>
      <c r="J873" t="n">
        <v>0</v>
      </c>
      <c r="K873" t="n">
        <v>0</v>
      </c>
      <c r="L873" t="n">
        <v>0</v>
      </c>
      <c r="M873" t="n">
        <v>0</v>
      </c>
      <c r="N873" t="n">
        <v>0</v>
      </c>
      <c r="O873" t="n">
        <v>0</v>
      </c>
      <c r="P873" t="n">
        <v>0</v>
      </c>
      <c r="Q873" t="n">
        <v>0</v>
      </c>
      <c r="R873" s="2" t="inlineStr"/>
    </row>
    <row r="874" ht="15" customHeight="1">
      <c r="A874" t="inlineStr">
        <is>
          <t>A 24002-2024</t>
        </is>
      </c>
      <c r="B874" s="1" t="n">
        <v>45456</v>
      </c>
      <c r="C874" s="1" t="n">
        <v>45802</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23999-2024</t>
        </is>
      </c>
      <c r="B875" s="1" t="n">
        <v>45456</v>
      </c>
      <c r="C875" s="1" t="n">
        <v>45802</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24009-2024</t>
        </is>
      </c>
      <c r="B876" s="1" t="n">
        <v>45456</v>
      </c>
      <c r="C876" s="1" t="n">
        <v>45802</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24597-2024</t>
        </is>
      </c>
      <c r="B877" s="1" t="n">
        <v>45460</v>
      </c>
      <c r="C877" s="1" t="n">
        <v>45802</v>
      </c>
      <c r="D877" t="inlineStr">
        <is>
          <t>DALARNAS LÄN</t>
        </is>
      </c>
      <c r="E877" t="inlineStr">
        <is>
          <t>ÄLVDALEN</t>
        </is>
      </c>
      <c r="F877" t="inlineStr">
        <is>
          <t>Allmännings- och besparingsskogar</t>
        </is>
      </c>
      <c r="G877" t="n">
        <v>21.8</v>
      </c>
      <c r="H877" t="n">
        <v>0</v>
      </c>
      <c r="I877" t="n">
        <v>0</v>
      </c>
      <c r="J877" t="n">
        <v>0</v>
      </c>
      <c r="K877" t="n">
        <v>0</v>
      </c>
      <c r="L877" t="n">
        <v>0</v>
      </c>
      <c r="M877" t="n">
        <v>0</v>
      </c>
      <c r="N877" t="n">
        <v>0</v>
      </c>
      <c r="O877" t="n">
        <v>0</v>
      </c>
      <c r="P877" t="n">
        <v>0</v>
      </c>
      <c r="Q877" t="n">
        <v>0</v>
      </c>
      <c r="R877" s="2" t="inlineStr"/>
    </row>
    <row r="878" ht="15" customHeight="1">
      <c r="A878" t="inlineStr">
        <is>
          <t>A 25257-2024</t>
        </is>
      </c>
      <c r="B878" s="1" t="n">
        <v>45462</v>
      </c>
      <c r="C878" s="1" t="n">
        <v>45802</v>
      </c>
      <c r="D878" t="inlineStr">
        <is>
          <t>DALARNAS LÄN</t>
        </is>
      </c>
      <c r="E878" t="inlineStr">
        <is>
          <t>ÄLVDALEN</t>
        </is>
      </c>
      <c r="G878" t="n">
        <v>3.5</v>
      </c>
      <c r="H878" t="n">
        <v>0</v>
      </c>
      <c r="I878" t="n">
        <v>0</v>
      </c>
      <c r="J878" t="n">
        <v>0</v>
      </c>
      <c r="K878" t="n">
        <v>0</v>
      </c>
      <c r="L878" t="n">
        <v>0</v>
      </c>
      <c r="M878" t="n">
        <v>0</v>
      </c>
      <c r="N878" t="n">
        <v>0</v>
      </c>
      <c r="O878" t="n">
        <v>0</v>
      </c>
      <c r="P878" t="n">
        <v>0</v>
      </c>
      <c r="Q878" t="n">
        <v>0</v>
      </c>
      <c r="R878" s="2" t="inlineStr"/>
    </row>
    <row r="879" ht="15" customHeight="1">
      <c r="A879" t="inlineStr">
        <is>
          <t>A 25272-2024</t>
        </is>
      </c>
      <c r="B879" s="1" t="n">
        <v>45462</v>
      </c>
      <c r="C879" s="1" t="n">
        <v>45802</v>
      </c>
      <c r="D879" t="inlineStr">
        <is>
          <t>DALARNAS LÄN</t>
        </is>
      </c>
      <c r="E879" t="inlineStr">
        <is>
          <t>ÄLVDALEN</t>
        </is>
      </c>
      <c r="G879" t="n">
        <v>23.5</v>
      </c>
      <c r="H879" t="n">
        <v>0</v>
      </c>
      <c r="I879" t="n">
        <v>0</v>
      </c>
      <c r="J879" t="n">
        <v>0</v>
      </c>
      <c r="K879" t="n">
        <v>0</v>
      </c>
      <c r="L879" t="n">
        <v>0</v>
      </c>
      <c r="M879" t="n">
        <v>0</v>
      </c>
      <c r="N879" t="n">
        <v>0</v>
      </c>
      <c r="O879" t="n">
        <v>0</v>
      </c>
      <c r="P879" t="n">
        <v>0</v>
      </c>
      <c r="Q879" t="n">
        <v>0</v>
      </c>
      <c r="R879" s="2" t="inlineStr"/>
    </row>
    <row r="880" ht="15" customHeight="1">
      <c r="A880" t="inlineStr">
        <is>
          <t>A 25505-2024</t>
        </is>
      </c>
      <c r="B880" s="1" t="n">
        <v>45463</v>
      </c>
      <c r="C880" s="1" t="n">
        <v>45802</v>
      </c>
      <c r="D880" t="inlineStr">
        <is>
          <t>DALARNAS LÄN</t>
        </is>
      </c>
      <c r="E880" t="inlineStr">
        <is>
          <t>ÄLVDALEN</t>
        </is>
      </c>
      <c r="G880" t="n">
        <v>15.2</v>
      </c>
      <c r="H880" t="n">
        <v>0</v>
      </c>
      <c r="I880" t="n">
        <v>0</v>
      </c>
      <c r="J880" t="n">
        <v>0</v>
      </c>
      <c r="K880" t="n">
        <v>0</v>
      </c>
      <c r="L880" t="n">
        <v>0</v>
      </c>
      <c r="M880" t="n">
        <v>0</v>
      </c>
      <c r="N880" t="n">
        <v>0</v>
      </c>
      <c r="O880" t="n">
        <v>0</v>
      </c>
      <c r="P880" t="n">
        <v>0</v>
      </c>
      <c r="Q880" t="n">
        <v>0</v>
      </c>
      <c r="R880" s="2" t="inlineStr"/>
    </row>
    <row r="881" ht="15" customHeight="1">
      <c r="A881" t="inlineStr">
        <is>
          <t>A 25512-2024</t>
        </is>
      </c>
      <c r="B881" s="1" t="n">
        <v>45463</v>
      </c>
      <c r="C881" s="1" t="n">
        <v>45802</v>
      </c>
      <c r="D881" t="inlineStr">
        <is>
          <t>DALARNAS LÄN</t>
        </is>
      </c>
      <c r="E881" t="inlineStr">
        <is>
          <t>ÄLVDALEN</t>
        </is>
      </c>
      <c r="F881" t="inlineStr">
        <is>
          <t>Övriga Aktiebolag</t>
        </is>
      </c>
      <c r="G881" t="n">
        <v>5.6</v>
      </c>
      <c r="H881" t="n">
        <v>0</v>
      </c>
      <c r="I881" t="n">
        <v>0</v>
      </c>
      <c r="J881" t="n">
        <v>0</v>
      </c>
      <c r="K881" t="n">
        <v>0</v>
      </c>
      <c r="L881" t="n">
        <v>0</v>
      </c>
      <c r="M881" t="n">
        <v>0</v>
      </c>
      <c r="N881" t="n">
        <v>0</v>
      </c>
      <c r="O881" t="n">
        <v>0</v>
      </c>
      <c r="P881" t="n">
        <v>0</v>
      </c>
      <c r="Q881" t="n">
        <v>0</v>
      </c>
      <c r="R881" s="2" t="inlineStr"/>
    </row>
    <row r="882" ht="15" customHeight="1">
      <c r="A882" t="inlineStr">
        <is>
          <t>A 25516-2024</t>
        </is>
      </c>
      <c r="B882" s="1" t="n">
        <v>45463</v>
      </c>
      <c r="C882" s="1" t="n">
        <v>45802</v>
      </c>
      <c r="D882" t="inlineStr">
        <is>
          <t>DALARNAS LÄN</t>
        </is>
      </c>
      <c r="E882" t="inlineStr">
        <is>
          <t>ÄLVDALEN</t>
        </is>
      </c>
      <c r="F882" t="inlineStr">
        <is>
          <t>Övriga Aktiebolag</t>
        </is>
      </c>
      <c r="G882" t="n">
        <v>9.1</v>
      </c>
      <c r="H882" t="n">
        <v>0</v>
      </c>
      <c r="I882" t="n">
        <v>0</v>
      </c>
      <c r="J882" t="n">
        <v>0</v>
      </c>
      <c r="K882" t="n">
        <v>0</v>
      </c>
      <c r="L882" t="n">
        <v>0</v>
      </c>
      <c r="M882" t="n">
        <v>0</v>
      </c>
      <c r="N882" t="n">
        <v>0</v>
      </c>
      <c r="O882" t="n">
        <v>0</v>
      </c>
      <c r="P882" t="n">
        <v>0</v>
      </c>
      <c r="Q882" t="n">
        <v>0</v>
      </c>
      <c r="R882" s="2" t="inlineStr"/>
    </row>
    <row r="883" ht="15" customHeight="1">
      <c r="A883" t="inlineStr">
        <is>
          <t>A 25511-2024</t>
        </is>
      </c>
      <c r="B883" s="1" t="n">
        <v>45463</v>
      </c>
      <c r="C883" s="1" t="n">
        <v>45802</v>
      </c>
      <c r="D883" t="inlineStr">
        <is>
          <t>DALARNAS LÄN</t>
        </is>
      </c>
      <c r="E883" t="inlineStr">
        <is>
          <t>ÄLVDALEN</t>
        </is>
      </c>
      <c r="F883" t="inlineStr">
        <is>
          <t>Övriga Aktiebolag</t>
        </is>
      </c>
      <c r="G883" t="n">
        <v>3.2</v>
      </c>
      <c r="H883" t="n">
        <v>0</v>
      </c>
      <c r="I883" t="n">
        <v>0</v>
      </c>
      <c r="J883" t="n">
        <v>0</v>
      </c>
      <c r="K883" t="n">
        <v>0</v>
      </c>
      <c r="L883" t="n">
        <v>0</v>
      </c>
      <c r="M883" t="n">
        <v>0</v>
      </c>
      <c r="N883" t="n">
        <v>0</v>
      </c>
      <c r="O883" t="n">
        <v>0</v>
      </c>
      <c r="P883" t="n">
        <v>0</v>
      </c>
      <c r="Q883" t="n">
        <v>0</v>
      </c>
      <c r="R883" s="2" t="inlineStr"/>
    </row>
    <row r="884" ht="15" customHeight="1">
      <c r="A884" t="inlineStr">
        <is>
          <t>A 25507-2024</t>
        </is>
      </c>
      <c r="B884" s="1" t="n">
        <v>45463</v>
      </c>
      <c r="C884" s="1" t="n">
        <v>45802</v>
      </c>
      <c r="D884" t="inlineStr">
        <is>
          <t>DALARNAS LÄN</t>
        </is>
      </c>
      <c r="E884" t="inlineStr">
        <is>
          <t>ÄLVDALEN</t>
        </is>
      </c>
      <c r="F884" t="inlineStr">
        <is>
          <t>Övriga Aktiebolag</t>
        </is>
      </c>
      <c r="G884" t="n">
        <v>6.5</v>
      </c>
      <c r="H884" t="n">
        <v>0</v>
      </c>
      <c r="I884" t="n">
        <v>0</v>
      </c>
      <c r="J884" t="n">
        <v>0</v>
      </c>
      <c r="K884" t="n">
        <v>0</v>
      </c>
      <c r="L884" t="n">
        <v>0</v>
      </c>
      <c r="M884" t="n">
        <v>0</v>
      </c>
      <c r="N884" t="n">
        <v>0</v>
      </c>
      <c r="O884" t="n">
        <v>0</v>
      </c>
      <c r="P884" t="n">
        <v>0</v>
      </c>
      <c r="Q884" t="n">
        <v>0</v>
      </c>
      <c r="R884" s="2" t="inlineStr"/>
    </row>
    <row r="885" ht="15" customHeight="1">
      <c r="A885" t="inlineStr">
        <is>
          <t>A 25931-2024</t>
        </is>
      </c>
      <c r="B885" s="1" t="n">
        <v>45467</v>
      </c>
      <c r="C885" s="1" t="n">
        <v>45802</v>
      </c>
      <c r="D885" t="inlineStr">
        <is>
          <t>DALARNAS LÄN</t>
        </is>
      </c>
      <c r="E885" t="inlineStr">
        <is>
          <t>ÄLVDALEN</t>
        </is>
      </c>
      <c r="G885" t="n">
        <v>15.4</v>
      </c>
      <c r="H885" t="n">
        <v>0</v>
      </c>
      <c r="I885" t="n">
        <v>0</v>
      </c>
      <c r="J885" t="n">
        <v>0</v>
      </c>
      <c r="K885" t="n">
        <v>0</v>
      </c>
      <c r="L885" t="n">
        <v>0</v>
      </c>
      <c r="M885" t="n">
        <v>0</v>
      </c>
      <c r="N885" t="n">
        <v>0</v>
      </c>
      <c r="O885" t="n">
        <v>0</v>
      </c>
      <c r="P885" t="n">
        <v>0</v>
      </c>
      <c r="Q885" t="n">
        <v>0</v>
      </c>
      <c r="R885" s="2" t="inlineStr"/>
    </row>
    <row r="886" ht="15" customHeight="1">
      <c r="A886" t="inlineStr">
        <is>
          <t>A 28239-2024</t>
        </is>
      </c>
      <c r="B886" s="1" t="n">
        <v>45468</v>
      </c>
      <c r="C886" s="1" t="n">
        <v>45802</v>
      </c>
      <c r="D886" t="inlineStr">
        <is>
          <t>DALARNAS LÄN</t>
        </is>
      </c>
      <c r="E886" t="inlineStr">
        <is>
          <t>ÄLVDALEN</t>
        </is>
      </c>
      <c r="G886" t="n">
        <v>4</v>
      </c>
      <c r="H886" t="n">
        <v>0</v>
      </c>
      <c r="I886" t="n">
        <v>0</v>
      </c>
      <c r="J886" t="n">
        <v>0</v>
      </c>
      <c r="K886" t="n">
        <v>0</v>
      </c>
      <c r="L886" t="n">
        <v>0</v>
      </c>
      <c r="M886" t="n">
        <v>0</v>
      </c>
      <c r="N886" t="n">
        <v>0</v>
      </c>
      <c r="O886" t="n">
        <v>0</v>
      </c>
      <c r="P886" t="n">
        <v>0</v>
      </c>
      <c r="Q886" t="n">
        <v>0</v>
      </c>
      <c r="R886" s="2" t="inlineStr"/>
    </row>
    <row r="887" ht="15" customHeight="1">
      <c r="A887" t="inlineStr">
        <is>
          <t>A 26094-2024</t>
        </is>
      </c>
      <c r="B887" s="1" t="n">
        <v>45468</v>
      </c>
      <c r="C887" s="1" t="n">
        <v>45802</v>
      </c>
      <c r="D887" t="inlineStr">
        <is>
          <t>DALARNAS LÄN</t>
        </is>
      </c>
      <c r="E887" t="inlineStr">
        <is>
          <t>ÄLVDALEN</t>
        </is>
      </c>
      <c r="F887" t="inlineStr">
        <is>
          <t>Allmännings- och besparingsskogar</t>
        </is>
      </c>
      <c r="G887" t="n">
        <v>33.5</v>
      </c>
      <c r="H887" t="n">
        <v>0</v>
      </c>
      <c r="I887" t="n">
        <v>0</v>
      </c>
      <c r="J887" t="n">
        <v>0</v>
      </c>
      <c r="K887" t="n">
        <v>0</v>
      </c>
      <c r="L887" t="n">
        <v>0</v>
      </c>
      <c r="M887" t="n">
        <v>0</v>
      </c>
      <c r="N887" t="n">
        <v>0</v>
      </c>
      <c r="O887" t="n">
        <v>0</v>
      </c>
      <c r="P887" t="n">
        <v>0</v>
      </c>
      <c r="Q887" t="n">
        <v>0</v>
      </c>
      <c r="R887" s="2" t="inlineStr"/>
    </row>
    <row r="888" ht="15" customHeight="1">
      <c r="A888" t="inlineStr">
        <is>
          <t>A 26862-2024</t>
        </is>
      </c>
      <c r="B888" s="1" t="n">
        <v>45470</v>
      </c>
      <c r="C888" s="1" t="n">
        <v>45802</v>
      </c>
      <c r="D888" t="inlineStr">
        <is>
          <t>DALARNAS LÄN</t>
        </is>
      </c>
      <c r="E888" t="inlineStr">
        <is>
          <t>ÄLVDALEN</t>
        </is>
      </c>
      <c r="F888" t="inlineStr">
        <is>
          <t>Allmännings- och besparingsskogar</t>
        </is>
      </c>
      <c r="G888" t="n">
        <v>4.3</v>
      </c>
      <c r="H888" t="n">
        <v>0</v>
      </c>
      <c r="I888" t="n">
        <v>0</v>
      </c>
      <c r="J888" t="n">
        <v>0</v>
      </c>
      <c r="K888" t="n">
        <v>0</v>
      </c>
      <c r="L888" t="n">
        <v>0</v>
      </c>
      <c r="M888" t="n">
        <v>0</v>
      </c>
      <c r="N888" t="n">
        <v>0</v>
      </c>
      <c r="O888" t="n">
        <v>0</v>
      </c>
      <c r="P888" t="n">
        <v>0</v>
      </c>
      <c r="Q888" t="n">
        <v>0</v>
      </c>
      <c r="R888" s="2" t="inlineStr"/>
    </row>
    <row r="889" ht="15" customHeight="1">
      <c r="A889" t="inlineStr">
        <is>
          <t>A 27036-2024</t>
        </is>
      </c>
      <c r="B889" s="1" t="n">
        <v>45471</v>
      </c>
      <c r="C889" s="1" t="n">
        <v>45802</v>
      </c>
      <c r="D889" t="inlineStr">
        <is>
          <t>DALARNAS LÄN</t>
        </is>
      </c>
      <c r="E889" t="inlineStr">
        <is>
          <t>ÄLVDALEN</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27858-2024</t>
        </is>
      </c>
      <c r="B890" s="1" t="n">
        <v>45475</v>
      </c>
      <c r="C890" s="1" t="n">
        <v>45802</v>
      </c>
      <c r="D890" t="inlineStr">
        <is>
          <t>DALARNAS LÄN</t>
        </is>
      </c>
      <c r="E890" t="inlineStr">
        <is>
          <t>ÄLVDALEN</t>
        </is>
      </c>
      <c r="F890" t="inlineStr">
        <is>
          <t>Allmännings- och besparingsskogar</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28473-2024</t>
        </is>
      </c>
      <c r="B891" s="1" t="n">
        <v>45477</v>
      </c>
      <c r="C891" s="1" t="n">
        <v>45802</v>
      </c>
      <c r="D891" t="inlineStr">
        <is>
          <t>DALARNAS LÄN</t>
        </is>
      </c>
      <c r="E891" t="inlineStr">
        <is>
          <t>ÄLVDALEN</t>
        </is>
      </c>
      <c r="G891" t="n">
        <v>5</v>
      </c>
      <c r="H891" t="n">
        <v>0</v>
      </c>
      <c r="I891" t="n">
        <v>0</v>
      </c>
      <c r="J891" t="n">
        <v>0</v>
      </c>
      <c r="K891" t="n">
        <v>0</v>
      </c>
      <c r="L891" t="n">
        <v>0</v>
      </c>
      <c r="M891" t="n">
        <v>0</v>
      </c>
      <c r="N891" t="n">
        <v>0</v>
      </c>
      <c r="O891" t="n">
        <v>0</v>
      </c>
      <c r="P891" t="n">
        <v>0</v>
      </c>
      <c r="Q891" t="n">
        <v>0</v>
      </c>
      <c r="R891" s="2" t="inlineStr"/>
    </row>
    <row r="892" ht="15" customHeight="1">
      <c r="A892" t="inlineStr">
        <is>
          <t>A 28479-2024</t>
        </is>
      </c>
      <c r="B892" s="1" t="n">
        <v>45477</v>
      </c>
      <c r="C892" s="1" t="n">
        <v>45802</v>
      </c>
      <c r="D892" t="inlineStr">
        <is>
          <t>DALARNAS LÄN</t>
        </is>
      </c>
      <c r="E892" t="inlineStr">
        <is>
          <t>ÄLVDALEN</t>
        </is>
      </c>
      <c r="G892" t="n">
        <v>4.1</v>
      </c>
      <c r="H892" t="n">
        <v>0</v>
      </c>
      <c r="I892" t="n">
        <v>0</v>
      </c>
      <c r="J892" t="n">
        <v>0</v>
      </c>
      <c r="K892" t="n">
        <v>0</v>
      </c>
      <c r="L892" t="n">
        <v>0</v>
      </c>
      <c r="M892" t="n">
        <v>0</v>
      </c>
      <c r="N892" t="n">
        <v>0</v>
      </c>
      <c r="O892" t="n">
        <v>0</v>
      </c>
      <c r="P892" t="n">
        <v>0</v>
      </c>
      <c r="Q892" t="n">
        <v>0</v>
      </c>
      <c r="R892" s="2" t="inlineStr"/>
    </row>
    <row r="893" ht="15" customHeight="1">
      <c r="A893" t="inlineStr">
        <is>
          <t>A 28467-2024</t>
        </is>
      </c>
      <c r="B893" s="1" t="n">
        <v>45477</v>
      </c>
      <c r="C893" s="1" t="n">
        <v>45802</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28643-2024</t>
        </is>
      </c>
      <c r="B894" s="1" t="n">
        <v>45478</v>
      </c>
      <c r="C894" s="1" t="n">
        <v>45802</v>
      </c>
      <c r="D894" t="inlineStr">
        <is>
          <t>DALARNAS LÄN</t>
        </is>
      </c>
      <c r="E894" t="inlineStr">
        <is>
          <t>ÄLVDALEN</t>
        </is>
      </c>
      <c r="G894" t="n">
        <v>3.4</v>
      </c>
      <c r="H894" t="n">
        <v>0</v>
      </c>
      <c r="I894" t="n">
        <v>0</v>
      </c>
      <c r="J894" t="n">
        <v>0</v>
      </c>
      <c r="K894" t="n">
        <v>0</v>
      </c>
      <c r="L894" t="n">
        <v>0</v>
      </c>
      <c r="M894" t="n">
        <v>0</v>
      </c>
      <c r="N894" t="n">
        <v>0</v>
      </c>
      <c r="O894" t="n">
        <v>0</v>
      </c>
      <c r="P894" t="n">
        <v>0</v>
      </c>
      <c r="Q894" t="n">
        <v>0</v>
      </c>
      <c r="R894" s="2" t="inlineStr"/>
    </row>
    <row r="895" ht="15" customHeight="1">
      <c r="A895" t="inlineStr">
        <is>
          <t>A 29129-2024</t>
        </is>
      </c>
      <c r="B895" s="1" t="n">
        <v>45482</v>
      </c>
      <c r="C895" s="1" t="n">
        <v>45802</v>
      </c>
      <c r="D895" t="inlineStr">
        <is>
          <t>DALARNAS LÄN</t>
        </is>
      </c>
      <c r="E895" t="inlineStr">
        <is>
          <t>ÄLVDALEN</t>
        </is>
      </c>
      <c r="F895" t="inlineStr">
        <is>
          <t>Allmännings- och besparingsskogar</t>
        </is>
      </c>
      <c r="G895" t="n">
        <v>19.8</v>
      </c>
      <c r="H895" t="n">
        <v>0</v>
      </c>
      <c r="I895" t="n">
        <v>0</v>
      </c>
      <c r="J895" t="n">
        <v>0</v>
      </c>
      <c r="K895" t="n">
        <v>0</v>
      </c>
      <c r="L895" t="n">
        <v>0</v>
      </c>
      <c r="M895" t="n">
        <v>0</v>
      </c>
      <c r="N895" t="n">
        <v>0</v>
      </c>
      <c r="O895" t="n">
        <v>0</v>
      </c>
      <c r="P895" t="n">
        <v>0</v>
      </c>
      <c r="Q895" t="n">
        <v>0</v>
      </c>
      <c r="R895" s="2" t="inlineStr"/>
    </row>
    <row r="896" ht="15" customHeight="1">
      <c r="A896" t="inlineStr">
        <is>
          <t>A 29645-2024</t>
        </is>
      </c>
      <c r="B896" s="1" t="n">
        <v>45484</v>
      </c>
      <c r="C896" s="1" t="n">
        <v>45802</v>
      </c>
      <c r="D896" t="inlineStr">
        <is>
          <t>DALARNAS LÄN</t>
        </is>
      </c>
      <c r="E896" t="inlineStr">
        <is>
          <t>ÄLVDALEN</t>
        </is>
      </c>
      <c r="G896" t="n">
        <v>3</v>
      </c>
      <c r="H896" t="n">
        <v>0</v>
      </c>
      <c r="I896" t="n">
        <v>0</v>
      </c>
      <c r="J896" t="n">
        <v>0</v>
      </c>
      <c r="K896" t="n">
        <v>0</v>
      </c>
      <c r="L896" t="n">
        <v>0</v>
      </c>
      <c r="M896" t="n">
        <v>0</v>
      </c>
      <c r="N896" t="n">
        <v>0</v>
      </c>
      <c r="O896" t="n">
        <v>0</v>
      </c>
      <c r="P896" t="n">
        <v>0</v>
      </c>
      <c r="Q896" t="n">
        <v>0</v>
      </c>
      <c r="R896" s="2" t="inlineStr"/>
    </row>
    <row r="897" ht="15" customHeight="1">
      <c r="A897" t="inlineStr">
        <is>
          <t>A 29646-2024</t>
        </is>
      </c>
      <c r="B897" s="1" t="n">
        <v>45484</v>
      </c>
      <c r="C897" s="1" t="n">
        <v>45802</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29614-2024</t>
        </is>
      </c>
      <c r="B898" s="1" t="n">
        <v>45484</v>
      </c>
      <c r="C898" s="1" t="n">
        <v>45802</v>
      </c>
      <c r="D898" t="inlineStr">
        <is>
          <t>DALARNAS LÄN</t>
        </is>
      </c>
      <c r="E898" t="inlineStr">
        <is>
          <t>ÄLVDALEN</t>
        </is>
      </c>
      <c r="G898" t="n">
        <v>2.4</v>
      </c>
      <c r="H898" t="n">
        <v>0</v>
      </c>
      <c r="I898" t="n">
        <v>0</v>
      </c>
      <c r="J898" t="n">
        <v>0</v>
      </c>
      <c r="K898" t="n">
        <v>0</v>
      </c>
      <c r="L898" t="n">
        <v>0</v>
      </c>
      <c r="M898" t="n">
        <v>0</v>
      </c>
      <c r="N898" t="n">
        <v>0</v>
      </c>
      <c r="O898" t="n">
        <v>0</v>
      </c>
      <c r="P898" t="n">
        <v>0</v>
      </c>
      <c r="Q898" t="n">
        <v>0</v>
      </c>
      <c r="R898" s="2" t="inlineStr"/>
    </row>
    <row r="899" ht="15" customHeight="1">
      <c r="A899" t="inlineStr">
        <is>
          <t>A 29610-2024</t>
        </is>
      </c>
      <c r="B899" s="1" t="n">
        <v>45484</v>
      </c>
      <c r="C899" s="1" t="n">
        <v>45802</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29819-2024</t>
        </is>
      </c>
      <c r="B900" s="1" t="n">
        <v>45485</v>
      </c>
      <c r="C900" s="1" t="n">
        <v>45802</v>
      </c>
      <c r="D900" t="inlineStr">
        <is>
          <t>DALARNAS LÄN</t>
        </is>
      </c>
      <c r="E900" t="inlineStr">
        <is>
          <t>ÄLVDALEN</t>
        </is>
      </c>
      <c r="G900" t="n">
        <v>1.4</v>
      </c>
      <c r="H900" t="n">
        <v>0</v>
      </c>
      <c r="I900" t="n">
        <v>0</v>
      </c>
      <c r="J900" t="n">
        <v>0</v>
      </c>
      <c r="K900" t="n">
        <v>0</v>
      </c>
      <c r="L900" t="n">
        <v>0</v>
      </c>
      <c r="M900" t="n">
        <v>0</v>
      </c>
      <c r="N900" t="n">
        <v>0</v>
      </c>
      <c r="O900" t="n">
        <v>0</v>
      </c>
      <c r="P900" t="n">
        <v>0</v>
      </c>
      <c r="Q900" t="n">
        <v>0</v>
      </c>
      <c r="R900" s="2" t="inlineStr"/>
    </row>
    <row r="901" ht="15" customHeight="1">
      <c r="A901" t="inlineStr">
        <is>
          <t>A 30139-2024</t>
        </is>
      </c>
      <c r="B901" s="1" t="n">
        <v>45488</v>
      </c>
      <c r="C901" s="1" t="n">
        <v>45802</v>
      </c>
      <c r="D901" t="inlineStr">
        <is>
          <t>DALARNAS LÄN</t>
        </is>
      </c>
      <c r="E901" t="inlineStr">
        <is>
          <t>ÄLVDALEN</t>
        </is>
      </c>
      <c r="G901" t="n">
        <v>7.9</v>
      </c>
      <c r="H901" t="n">
        <v>0</v>
      </c>
      <c r="I901" t="n">
        <v>0</v>
      </c>
      <c r="J901" t="n">
        <v>0</v>
      </c>
      <c r="K901" t="n">
        <v>0</v>
      </c>
      <c r="L901" t="n">
        <v>0</v>
      </c>
      <c r="M901" t="n">
        <v>0</v>
      </c>
      <c r="N901" t="n">
        <v>0</v>
      </c>
      <c r="O901" t="n">
        <v>0</v>
      </c>
      <c r="P901" t="n">
        <v>0</v>
      </c>
      <c r="Q901" t="n">
        <v>0</v>
      </c>
      <c r="R901" s="2" t="inlineStr"/>
    </row>
    <row r="902" ht="15" customHeight="1">
      <c r="A902" t="inlineStr">
        <is>
          <t>A 30147-2024</t>
        </is>
      </c>
      <c r="B902" s="1" t="n">
        <v>45488</v>
      </c>
      <c r="C902" s="1" t="n">
        <v>45802</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30146-2024</t>
        </is>
      </c>
      <c r="B903" s="1" t="n">
        <v>45488</v>
      </c>
      <c r="C903" s="1" t="n">
        <v>45802</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30141-2024</t>
        </is>
      </c>
      <c r="B904" s="1" t="n">
        <v>45488</v>
      </c>
      <c r="C904" s="1" t="n">
        <v>45802</v>
      </c>
      <c r="D904" t="inlineStr">
        <is>
          <t>DALARNAS LÄN</t>
        </is>
      </c>
      <c r="E904" t="inlineStr">
        <is>
          <t>ÄLVDALEN</t>
        </is>
      </c>
      <c r="G904" t="n">
        <v>1.7</v>
      </c>
      <c r="H904" t="n">
        <v>0</v>
      </c>
      <c r="I904" t="n">
        <v>0</v>
      </c>
      <c r="J904" t="n">
        <v>0</v>
      </c>
      <c r="K904" t="n">
        <v>0</v>
      </c>
      <c r="L904" t="n">
        <v>0</v>
      </c>
      <c r="M904" t="n">
        <v>0</v>
      </c>
      <c r="N904" t="n">
        <v>0</v>
      </c>
      <c r="O904" t="n">
        <v>0</v>
      </c>
      <c r="P904" t="n">
        <v>0</v>
      </c>
      <c r="Q904" t="n">
        <v>0</v>
      </c>
      <c r="R904" s="2" t="inlineStr"/>
    </row>
    <row r="905" ht="15" customHeight="1">
      <c r="A905" t="inlineStr">
        <is>
          <t>A 30143-2024</t>
        </is>
      </c>
      <c r="B905" s="1" t="n">
        <v>45488</v>
      </c>
      <c r="C905" s="1" t="n">
        <v>45802</v>
      </c>
      <c r="D905" t="inlineStr">
        <is>
          <t>DALARNAS LÄN</t>
        </is>
      </c>
      <c r="E905" t="inlineStr">
        <is>
          <t>ÄLVDALEN</t>
        </is>
      </c>
      <c r="G905" t="n">
        <v>1</v>
      </c>
      <c r="H905" t="n">
        <v>0</v>
      </c>
      <c r="I905" t="n">
        <v>0</v>
      </c>
      <c r="J905" t="n">
        <v>0</v>
      </c>
      <c r="K905" t="n">
        <v>0</v>
      </c>
      <c r="L905" t="n">
        <v>0</v>
      </c>
      <c r="M905" t="n">
        <v>0</v>
      </c>
      <c r="N905" t="n">
        <v>0</v>
      </c>
      <c r="O905" t="n">
        <v>0</v>
      </c>
      <c r="P905" t="n">
        <v>0</v>
      </c>
      <c r="Q905" t="n">
        <v>0</v>
      </c>
      <c r="R905" s="2" t="inlineStr"/>
    </row>
    <row r="906" ht="15" customHeight="1">
      <c r="A906" t="inlineStr">
        <is>
          <t>A 30411-2024</t>
        </is>
      </c>
      <c r="B906" s="1" t="n">
        <v>45491</v>
      </c>
      <c r="C906" s="1" t="n">
        <v>45802</v>
      </c>
      <c r="D906" t="inlineStr">
        <is>
          <t>DALARNAS LÄN</t>
        </is>
      </c>
      <c r="E906" t="inlineStr">
        <is>
          <t>ÄLVDALEN</t>
        </is>
      </c>
      <c r="G906" t="n">
        <v>1.1</v>
      </c>
      <c r="H906" t="n">
        <v>0</v>
      </c>
      <c r="I906" t="n">
        <v>0</v>
      </c>
      <c r="J906" t="n">
        <v>0</v>
      </c>
      <c r="K906" t="n">
        <v>0</v>
      </c>
      <c r="L906" t="n">
        <v>0</v>
      </c>
      <c r="M906" t="n">
        <v>0</v>
      </c>
      <c r="N906" t="n">
        <v>0</v>
      </c>
      <c r="O906" t="n">
        <v>0</v>
      </c>
      <c r="P906" t="n">
        <v>0</v>
      </c>
      <c r="Q906" t="n">
        <v>0</v>
      </c>
      <c r="R906" s="2" t="inlineStr"/>
    </row>
    <row r="907" ht="15" customHeight="1">
      <c r="A907" t="inlineStr">
        <is>
          <t>A 30412-2024</t>
        </is>
      </c>
      <c r="B907" s="1" t="n">
        <v>45491</v>
      </c>
      <c r="C907" s="1" t="n">
        <v>45802</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30414-2024</t>
        </is>
      </c>
      <c r="B908" s="1" t="n">
        <v>45491</v>
      </c>
      <c r="C908" s="1" t="n">
        <v>45802</v>
      </c>
      <c r="D908" t="inlineStr">
        <is>
          <t>DALARNAS LÄN</t>
        </is>
      </c>
      <c r="E908" t="inlineStr">
        <is>
          <t>ÄLVDALEN</t>
        </is>
      </c>
      <c r="G908" t="n">
        <v>0.7</v>
      </c>
      <c r="H908" t="n">
        <v>0</v>
      </c>
      <c r="I908" t="n">
        <v>0</v>
      </c>
      <c r="J908" t="n">
        <v>0</v>
      </c>
      <c r="K908" t="n">
        <v>0</v>
      </c>
      <c r="L908" t="n">
        <v>0</v>
      </c>
      <c r="M908" t="n">
        <v>0</v>
      </c>
      <c r="N908" t="n">
        <v>0</v>
      </c>
      <c r="O908" t="n">
        <v>0</v>
      </c>
      <c r="P908" t="n">
        <v>0</v>
      </c>
      <c r="Q908" t="n">
        <v>0</v>
      </c>
      <c r="R908" s="2" t="inlineStr"/>
    </row>
    <row r="909" ht="15" customHeight="1">
      <c r="A909" t="inlineStr">
        <is>
          <t>A 30727-2024</t>
        </is>
      </c>
      <c r="B909" s="1" t="n">
        <v>45496</v>
      </c>
      <c r="C909" s="1" t="n">
        <v>45802</v>
      </c>
      <c r="D909" t="inlineStr">
        <is>
          <t>DALARNAS LÄN</t>
        </is>
      </c>
      <c r="E909" t="inlineStr">
        <is>
          <t>ÄLVDALEN</t>
        </is>
      </c>
      <c r="F909" t="inlineStr">
        <is>
          <t>Allmännings- och besparingsskogar</t>
        </is>
      </c>
      <c r="G909" t="n">
        <v>35.7</v>
      </c>
      <c r="H909" t="n">
        <v>0</v>
      </c>
      <c r="I909" t="n">
        <v>0</v>
      </c>
      <c r="J909" t="n">
        <v>0</v>
      </c>
      <c r="K909" t="n">
        <v>0</v>
      </c>
      <c r="L909" t="n">
        <v>0</v>
      </c>
      <c r="M909" t="n">
        <v>0</v>
      </c>
      <c r="N909" t="n">
        <v>0</v>
      </c>
      <c r="O909" t="n">
        <v>0</v>
      </c>
      <c r="P909" t="n">
        <v>0</v>
      </c>
      <c r="Q909" t="n">
        <v>0</v>
      </c>
      <c r="R909" s="2" t="inlineStr"/>
    </row>
    <row r="910" ht="15" customHeight="1">
      <c r="A910" t="inlineStr">
        <is>
          <t>A 30816-2024</t>
        </is>
      </c>
      <c r="B910" s="1" t="n">
        <v>45497</v>
      </c>
      <c r="C910" s="1" t="n">
        <v>45802</v>
      </c>
      <c r="D910" t="inlineStr">
        <is>
          <t>DALARNAS LÄN</t>
        </is>
      </c>
      <c r="E910" t="inlineStr">
        <is>
          <t>ÄLVDALEN</t>
        </is>
      </c>
      <c r="G910" t="n">
        <v>4.1</v>
      </c>
      <c r="H910" t="n">
        <v>0</v>
      </c>
      <c r="I910" t="n">
        <v>0</v>
      </c>
      <c r="J910" t="n">
        <v>0</v>
      </c>
      <c r="K910" t="n">
        <v>0</v>
      </c>
      <c r="L910" t="n">
        <v>0</v>
      </c>
      <c r="M910" t="n">
        <v>0</v>
      </c>
      <c r="N910" t="n">
        <v>0</v>
      </c>
      <c r="O910" t="n">
        <v>0</v>
      </c>
      <c r="P910" t="n">
        <v>0</v>
      </c>
      <c r="Q910" t="n">
        <v>0</v>
      </c>
      <c r="R910" s="2" t="inlineStr"/>
    </row>
    <row r="911" ht="15" customHeight="1">
      <c r="A911" t="inlineStr">
        <is>
          <t>A 30927-2024</t>
        </is>
      </c>
      <c r="B911" s="1" t="n">
        <v>45498</v>
      </c>
      <c r="C911" s="1" t="n">
        <v>45802</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30926-2024</t>
        </is>
      </c>
      <c r="B912" s="1" t="n">
        <v>45498</v>
      </c>
      <c r="C912" s="1" t="n">
        <v>45802</v>
      </c>
      <c r="D912" t="inlineStr">
        <is>
          <t>DALARNAS LÄN</t>
        </is>
      </c>
      <c r="E912" t="inlineStr">
        <is>
          <t>ÄLVDALEN</t>
        </is>
      </c>
      <c r="G912" t="n">
        <v>6.5</v>
      </c>
      <c r="H912" t="n">
        <v>0</v>
      </c>
      <c r="I912" t="n">
        <v>0</v>
      </c>
      <c r="J912" t="n">
        <v>0</v>
      </c>
      <c r="K912" t="n">
        <v>0</v>
      </c>
      <c r="L912" t="n">
        <v>0</v>
      </c>
      <c r="M912" t="n">
        <v>0</v>
      </c>
      <c r="N912" t="n">
        <v>0</v>
      </c>
      <c r="O912" t="n">
        <v>0</v>
      </c>
      <c r="P912" t="n">
        <v>0</v>
      </c>
      <c r="Q912" t="n">
        <v>0</v>
      </c>
      <c r="R912" s="2" t="inlineStr"/>
    </row>
    <row r="913" ht="15" customHeight="1">
      <c r="A913" t="inlineStr">
        <is>
          <t>A 31047-2024</t>
        </is>
      </c>
      <c r="B913" s="1" t="n">
        <v>45502</v>
      </c>
      <c r="C913" s="1" t="n">
        <v>45802</v>
      </c>
      <c r="D913" t="inlineStr">
        <is>
          <t>DALARNAS LÄN</t>
        </is>
      </c>
      <c r="E913" t="inlineStr">
        <is>
          <t>ÄLVDALEN</t>
        </is>
      </c>
      <c r="F913" t="inlineStr">
        <is>
          <t>Sveaskog</t>
        </is>
      </c>
      <c r="G913" t="n">
        <v>8</v>
      </c>
      <c r="H913" t="n">
        <v>0</v>
      </c>
      <c r="I913" t="n">
        <v>0</v>
      </c>
      <c r="J913" t="n">
        <v>0</v>
      </c>
      <c r="K913" t="n">
        <v>0</v>
      </c>
      <c r="L913" t="n">
        <v>0</v>
      </c>
      <c r="M913" t="n">
        <v>0</v>
      </c>
      <c r="N913" t="n">
        <v>0</v>
      </c>
      <c r="O913" t="n">
        <v>0</v>
      </c>
      <c r="P913" t="n">
        <v>0</v>
      </c>
      <c r="Q913" t="n">
        <v>0</v>
      </c>
      <c r="R913" s="2" t="inlineStr"/>
    </row>
    <row r="914" ht="15" customHeight="1">
      <c r="A914" t="inlineStr">
        <is>
          <t>A 31260-2024</t>
        </is>
      </c>
      <c r="B914" s="1" t="n">
        <v>45503</v>
      </c>
      <c r="C914" s="1" t="n">
        <v>45802</v>
      </c>
      <c r="D914" t="inlineStr">
        <is>
          <t>DALARNAS LÄN</t>
        </is>
      </c>
      <c r="E914" t="inlineStr">
        <is>
          <t>ÄLVDALEN</t>
        </is>
      </c>
      <c r="G914" t="n">
        <v>4.7</v>
      </c>
      <c r="H914" t="n">
        <v>0</v>
      </c>
      <c r="I914" t="n">
        <v>0</v>
      </c>
      <c r="J914" t="n">
        <v>0</v>
      </c>
      <c r="K914" t="n">
        <v>0</v>
      </c>
      <c r="L914" t="n">
        <v>0</v>
      </c>
      <c r="M914" t="n">
        <v>0</v>
      </c>
      <c r="N914" t="n">
        <v>0</v>
      </c>
      <c r="O914" t="n">
        <v>0</v>
      </c>
      <c r="P914" t="n">
        <v>0</v>
      </c>
      <c r="Q914" t="n">
        <v>0</v>
      </c>
      <c r="R914" s="2" t="inlineStr"/>
    </row>
    <row r="915" ht="15" customHeight="1">
      <c r="A915" t="inlineStr">
        <is>
          <t>A 31690-2024</t>
        </is>
      </c>
      <c r="B915" s="1" t="n">
        <v>45507</v>
      </c>
      <c r="C915" s="1" t="n">
        <v>45802</v>
      </c>
      <c r="D915" t="inlineStr">
        <is>
          <t>DALARNAS LÄN</t>
        </is>
      </c>
      <c r="E915" t="inlineStr">
        <is>
          <t>ÄLVDALEN</t>
        </is>
      </c>
      <c r="G915" t="n">
        <v>2.3</v>
      </c>
      <c r="H915" t="n">
        <v>0</v>
      </c>
      <c r="I915" t="n">
        <v>0</v>
      </c>
      <c r="J915" t="n">
        <v>0</v>
      </c>
      <c r="K915" t="n">
        <v>0</v>
      </c>
      <c r="L915" t="n">
        <v>0</v>
      </c>
      <c r="M915" t="n">
        <v>0</v>
      </c>
      <c r="N915" t="n">
        <v>0</v>
      </c>
      <c r="O915" t="n">
        <v>0</v>
      </c>
      <c r="P915" t="n">
        <v>0</v>
      </c>
      <c r="Q915" t="n">
        <v>0</v>
      </c>
      <c r="R915" s="2" t="inlineStr"/>
    </row>
    <row r="916" ht="15" customHeight="1">
      <c r="A916" t="inlineStr">
        <is>
          <t>A 31763-2024</t>
        </is>
      </c>
      <c r="B916" s="1" t="n">
        <v>45509</v>
      </c>
      <c r="C916" s="1" t="n">
        <v>45802</v>
      </c>
      <c r="D916" t="inlineStr">
        <is>
          <t>DALARNAS LÄN</t>
        </is>
      </c>
      <c r="E916" t="inlineStr">
        <is>
          <t>ÄLVDALEN</t>
        </is>
      </c>
      <c r="F916" t="inlineStr">
        <is>
          <t>Allmännings- och besparingsskogar</t>
        </is>
      </c>
      <c r="G916" t="n">
        <v>25</v>
      </c>
      <c r="H916" t="n">
        <v>0</v>
      </c>
      <c r="I916" t="n">
        <v>0</v>
      </c>
      <c r="J916" t="n">
        <v>0</v>
      </c>
      <c r="K916" t="n">
        <v>0</v>
      </c>
      <c r="L916" t="n">
        <v>0</v>
      </c>
      <c r="M916" t="n">
        <v>0</v>
      </c>
      <c r="N916" t="n">
        <v>0</v>
      </c>
      <c r="O916" t="n">
        <v>0</v>
      </c>
      <c r="P916" t="n">
        <v>0</v>
      </c>
      <c r="Q916" t="n">
        <v>0</v>
      </c>
      <c r="R916" s="2" t="inlineStr"/>
    </row>
    <row r="917" ht="15" customHeight="1">
      <c r="A917" t="inlineStr">
        <is>
          <t>A 31748-2024</t>
        </is>
      </c>
      <c r="B917" s="1" t="n">
        <v>45509</v>
      </c>
      <c r="C917" s="1" t="n">
        <v>45802</v>
      </c>
      <c r="D917" t="inlineStr">
        <is>
          <t>DALARNAS LÄN</t>
        </is>
      </c>
      <c r="E917" t="inlineStr">
        <is>
          <t>ÄLVDALEN</t>
        </is>
      </c>
      <c r="F917" t="inlineStr">
        <is>
          <t>Allmännings- och besparingsskogar</t>
        </is>
      </c>
      <c r="G917" t="n">
        <v>18.6</v>
      </c>
      <c r="H917" t="n">
        <v>0</v>
      </c>
      <c r="I917" t="n">
        <v>0</v>
      </c>
      <c r="J917" t="n">
        <v>0</v>
      </c>
      <c r="K917" t="n">
        <v>0</v>
      </c>
      <c r="L917" t="n">
        <v>0</v>
      </c>
      <c r="M917" t="n">
        <v>0</v>
      </c>
      <c r="N917" t="n">
        <v>0</v>
      </c>
      <c r="O917" t="n">
        <v>0</v>
      </c>
      <c r="P917" t="n">
        <v>0</v>
      </c>
      <c r="Q917" t="n">
        <v>0</v>
      </c>
      <c r="R917" s="2" t="inlineStr"/>
    </row>
    <row r="918" ht="15" customHeight="1">
      <c r="A918" t="inlineStr">
        <is>
          <t>A 32187-2024</t>
        </is>
      </c>
      <c r="B918" s="1" t="n">
        <v>45511</v>
      </c>
      <c r="C918" s="1" t="n">
        <v>45802</v>
      </c>
      <c r="D918" t="inlineStr">
        <is>
          <t>DALARNAS LÄN</t>
        </is>
      </c>
      <c r="E918" t="inlineStr">
        <is>
          <t>ÄLVDALEN</t>
        </is>
      </c>
      <c r="F918" t="inlineStr">
        <is>
          <t>Allmännings- och besparingsskogar</t>
        </is>
      </c>
      <c r="G918" t="n">
        <v>20</v>
      </c>
      <c r="H918" t="n">
        <v>0</v>
      </c>
      <c r="I918" t="n">
        <v>0</v>
      </c>
      <c r="J918" t="n">
        <v>0</v>
      </c>
      <c r="K918" t="n">
        <v>0</v>
      </c>
      <c r="L918" t="n">
        <v>0</v>
      </c>
      <c r="M918" t="n">
        <v>0</v>
      </c>
      <c r="N918" t="n">
        <v>0</v>
      </c>
      <c r="O918" t="n">
        <v>0</v>
      </c>
      <c r="P918" t="n">
        <v>0</v>
      </c>
      <c r="Q918" t="n">
        <v>0</v>
      </c>
      <c r="R918" s="2" t="inlineStr"/>
    </row>
    <row r="919" ht="15" customHeight="1">
      <c r="A919" t="inlineStr">
        <is>
          <t>A 32361-2024</t>
        </is>
      </c>
      <c r="B919" s="1" t="n">
        <v>45512</v>
      </c>
      <c r="C919" s="1" t="n">
        <v>45802</v>
      </c>
      <c r="D919" t="inlineStr">
        <is>
          <t>DALARNAS LÄN</t>
        </is>
      </c>
      <c r="E919" t="inlineStr">
        <is>
          <t>ÄLVDALEN</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32363-2024</t>
        </is>
      </c>
      <c r="B920" s="1" t="n">
        <v>45512</v>
      </c>
      <c r="C920" s="1" t="n">
        <v>45802</v>
      </c>
      <c r="D920" t="inlineStr">
        <is>
          <t>DALARNAS LÄN</t>
        </is>
      </c>
      <c r="E920" t="inlineStr">
        <is>
          <t>ÄLVDALEN</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32359-2024</t>
        </is>
      </c>
      <c r="B921" s="1" t="n">
        <v>45512</v>
      </c>
      <c r="C921" s="1" t="n">
        <v>45802</v>
      </c>
      <c r="D921" t="inlineStr">
        <is>
          <t>DALARNAS LÄN</t>
        </is>
      </c>
      <c r="E921" t="inlineStr">
        <is>
          <t>ÄLVDALEN</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32740-2024</t>
        </is>
      </c>
      <c r="B922" s="1" t="n">
        <v>45516</v>
      </c>
      <c r="C922" s="1" t="n">
        <v>45802</v>
      </c>
      <c r="D922" t="inlineStr">
        <is>
          <t>DALARNAS LÄN</t>
        </is>
      </c>
      <c r="E922" t="inlineStr">
        <is>
          <t>ÄLVDALEN</t>
        </is>
      </c>
      <c r="G922" t="n">
        <v>2.1</v>
      </c>
      <c r="H922" t="n">
        <v>0</v>
      </c>
      <c r="I922" t="n">
        <v>0</v>
      </c>
      <c r="J922" t="n">
        <v>0</v>
      </c>
      <c r="K922" t="n">
        <v>0</v>
      </c>
      <c r="L922" t="n">
        <v>0</v>
      </c>
      <c r="M922" t="n">
        <v>0</v>
      </c>
      <c r="N922" t="n">
        <v>0</v>
      </c>
      <c r="O922" t="n">
        <v>0</v>
      </c>
      <c r="P922" t="n">
        <v>0</v>
      </c>
      <c r="Q922" t="n">
        <v>0</v>
      </c>
      <c r="R922" s="2" t="inlineStr"/>
    </row>
    <row r="923" ht="15" customHeight="1">
      <c r="A923" t="inlineStr">
        <is>
          <t>A 33905-2024</t>
        </is>
      </c>
      <c r="B923" s="1" t="n">
        <v>45523</v>
      </c>
      <c r="C923" s="1" t="n">
        <v>45802</v>
      </c>
      <c r="D923" t="inlineStr">
        <is>
          <t>DALARNAS LÄN</t>
        </is>
      </c>
      <c r="E923" t="inlineStr">
        <is>
          <t>ÄLVDALEN</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34026-2024</t>
        </is>
      </c>
      <c r="B924" s="1" t="n">
        <v>45523</v>
      </c>
      <c r="C924" s="1" t="n">
        <v>45802</v>
      </c>
      <c r="D924" t="inlineStr">
        <is>
          <t>DALARNAS LÄN</t>
        </is>
      </c>
      <c r="E924" t="inlineStr">
        <is>
          <t>ÄLVDALEN</t>
        </is>
      </c>
      <c r="F924" t="inlineStr">
        <is>
          <t>Övriga Aktiebolag</t>
        </is>
      </c>
      <c r="G924" t="n">
        <v>18.3</v>
      </c>
      <c r="H924" t="n">
        <v>0</v>
      </c>
      <c r="I924" t="n">
        <v>0</v>
      </c>
      <c r="J924" t="n">
        <v>0</v>
      </c>
      <c r="K924" t="n">
        <v>0</v>
      </c>
      <c r="L924" t="n">
        <v>0</v>
      </c>
      <c r="M924" t="n">
        <v>0</v>
      </c>
      <c r="N924" t="n">
        <v>0</v>
      </c>
      <c r="O924" t="n">
        <v>0</v>
      </c>
      <c r="P924" t="n">
        <v>0</v>
      </c>
      <c r="Q924" t="n">
        <v>0</v>
      </c>
      <c r="R924" s="2" t="inlineStr"/>
    </row>
    <row r="925" ht="15" customHeight="1">
      <c r="A925" t="inlineStr">
        <is>
          <t>A 34151-2024</t>
        </is>
      </c>
      <c r="B925" s="1" t="n">
        <v>45524</v>
      </c>
      <c r="C925" s="1" t="n">
        <v>45802</v>
      </c>
      <c r="D925" t="inlineStr">
        <is>
          <t>DALARNAS LÄN</t>
        </is>
      </c>
      <c r="E925" t="inlineStr">
        <is>
          <t>ÄLVDALEN</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34211-2024</t>
        </is>
      </c>
      <c r="B926" s="1" t="n">
        <v>45524</v>
      </c>
      <c r="C926" s="1" t="n">
        <v>45802</v>
      </c>
      <c r="D926" t="inlineStr">
        <is>
          <t>DALARNAS LÄN</t>
        </is>
      </c>
      <c r="E926" t="inlineStr">
        <is>
          <t>ÄLVDALEN</t>
        </is>
      </c>
      <c r="F926" t="inlineStr">
        <is>
          <t>Sveaskog</t>
        </is>
      </c>
      <c r="G926" t="n">
        <v>30.4</v>
      </c>
      <c r="H926" t="n">
        <v>0</v>
      </c>
      <c r="I926" t="n">
        <v>0</v>
      </c>
      <c r="J926" t="n">
        <v>0</v>
      </c>
      <c r="K926" t="n">
        <v>0</v>
      </c>
      <c r="L926" t="n">
        <v>0</v>
      </c>
      <c r="M926" t="n">
        <v>0</v>
      </c>
      <c r="N926" t="n">
        <v>0</v>
      </c>
      <c r="O926" t="n">
        <v>0</v>
      </c>
      <c r="P926" t="n">
        <v>0</v>
      </c>
      <c r="Q926" t="n">
        <v>0</v>
      </c>
      <c r="R926" s="2" t="inlineStr"/>
    </row>
    <row r="927" ht="15" customHeight="1">
      <c r="A927" t="inlineStr">
        <is>
          <t>A 34562-2024</t>
        </is>
      </c>
      <c r="B927" s="1" t="n">
        <v>45526</v>
      </c>
      <c r="C927" s="1" t="n">
        <v>45802</v>
      </c>
      <c r="D927" t="inlineStr">
        <is>
          <t>DALARNAS LÄN</t>
        </is>
      </c>
      <c r="E927" t="inlineStr">
        <is>
          <t>ÄLVDALEN</t>
        </is>
      </c>
      <c r="F927" t="inlineStr">
        <is>
          <t>Allmännings- och besparingsskogar</t>
        </is>
      </c>
      <c r="G927" t="n">
        <v>29.5</v>
      </c>
      <c r="H927" t="n">
        <v>0</v>
      </c>
      <c r="I927" t="n">
        <v>0</v>
      </c>
      <c r="J927" t="n">
        <v>0</v>
      </c>
      <c r="K927" t="n">
        <v>0</v>
      </c>
      <c r="L927" t="n">
        <v>0</v>
      </c>
      <c r="M927" t="n">
        <v>0</v>
      </c>
      <c r="N927" t="n">
        <v>0</v>
      </c>
      <c r="O927" t="n">
        <v>0</v>
      </c>
      <c r="P927" t="n">
        <v>0</v>
      </c>
      <c r="Q927" t="n">
        <v>0</v>
      </c>
      <c r="R927" s="2" t="inlineStr"/>
    </row>
    <row r="928" ht="15" customHeight="1">
      <c r="A928" t="inlineStr">
        <is>
          <t>A 35109-2024</t>
        </is>
      </c>
      <c r="B928" s="1" t="n">
        <v>45529</v>
      </c>
      <c r="C928" s="1" t="n">
        <v>45802</v>
      </c>
      <c r="D928" t="inlineStr">
        <is>
          <t>DALARNAS LÄN</t>
        </is>
      </c>
      <c r="E928" t="inlineStr">
        <is>
          <t>ÄLVDALEN</t>
        </is>
      </c>
      <c r="G928" t="n">
        <v>1.8</v>
      </c>
      <c r="H928" t="n">
        <v>0</v>
      </c>
      <c r="I928" t="n">
        <v>0</v>
      </c>
      <c r="J928" t="n">
        <v>0</v>
      </c>
      <c r="K928" t="n">
        <v>0</v>
      </c>
      <c r="L928" t="n">
        <v>0</v>
      </c>
      <c r="M928" t="n">
        <v>0</v>
      </c>
      <c r="N928" t="n">
        <v>0</v>
      </c>
      <c r="O928" t="n">
        <v>0</v>
      </c>
      <c r="P928" t="n">
        <v>0</v>
      </c>
      <c r="Q928" t="n">
        <v>0</v>
      </c>
      <c r="R928" s="2" t="inlineStr"/>
    </row>
    <row r="929" ht="15" customHeight="1">
      <c r="A929" t="inlineStr">
        <is>
          <t>A 35659-2024</t>
        </is>
      </c>
      <c r="B929" s="1" t="n">
        <v>45532</v>
      </c>
      <c r="C929" s="1" t="n">
        <v>45802</v>
      </c>
      <c r="D929" t="inlineStr">
        <is>
          <t>DALARNAS LÄN</t>
        </is>
      </c>
      <c r="E929" t="inlineStr">
        <is>
          <t>ÄLVDALEN</t>
        </is>
      </c>
      <c r="F929" t="inlineStr">
        <is>
          <t>Allmännings- och besparingsskogar</t>
        </is>
      </c>
      <c r="G929" t="n">
        <v>26.9</v>
      </c>
      <c r="H929" t="n">
        <v>0</v>
      </c>
      <c r="I929" t="n">
        <v>0</v>
      </c>
      <c r="J929" t="n">
        <v>0</v>
      </c>
      <c r="K929" t="n">
        <v>0</v>
      </c>
      <c r="L929" t="n">
        <v>0</v>
      </c>
      <c r="M929" t="n">
        <v>0</v>
      </c>
      <c r="N929" t="n">
        <v>0</v>
      </c>
      <c r="O929" t="n">
        <v>0</v>
      </c>
      <c r="P929" t="n">
        <v>0</v>
      </c>
      <c r="Q929" t="n">
        <v>0</v>
      </c>
      <c r="R929" s="2" t="inlineStr"/>
    </row>
    <row r="930" ht="15" customHeight="1">
      <c r="A930" t="inlineStr">
        <is>
          <t>A 36179-2024</t>
        </is>
      </c>
      <c r="B930" s="1" t="n">
        <v>45534</v>
      </c>
      <c r="C930" s="1" t="n">
        <v>45802</v>
      </c>
      <c r="D930" t="inlineStr">
        <is>
          <t>DALARNAS LÄN</t>
        </is>
      </c>
      <c r="E930" t="inlineStr">
        <is>
          <t>ÄLVDALEN</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36284-2024</t>
        </is>
      </c>
      <c r="B931" s="1" t="n">
        <v>45534</v>
      </c>
      <c r="C931" s="1" t="n">
        <v>45802</v>
      </c>
      <c r="D931" t="inlineStr">
        <is>
          <t>DALARNAS LÄN</t>
        </is>
      </c>
      <c r="E931" t="inlineStr">
        <is>
          <t>ÄLVDALEN</t>
        </is>
      </c>
      <c r="G931" t="n">
        <v>3.4</v>
      </c>
      <c r="H931" t="n">
        <v>0</v>
      </c>
      <c r="I931" t="n">
        <v>0</v>
      </c>
      <c r="J931" t="n">
        <v>0</v>
      </c>
      <c r="K931" t="n">
        <v>0</v>
      </c>
      <c r="L931" t="n">
        <v>0</v>
      </c>
      <c r="M931" t="n">
        <v>0</v>
      </c>
      <c r="N931" t="n">
        <v>0</v>
      </c>
      <c r="O931" t="n">
        <v>0</v>
      </c>
      <c r="P931" t="n">
        <v>0</v>
      </c>
      <c r="Q931" t="n">
        <v>0</v>
      </c>
      <c r="R931" s="2" t="inlineStr"/>
    </row>
    <row r="932" ht="15" customHeight="1">
      <c r="A932" t="inlineStr">
        <is>
          <t>A 36285-2024</t>
        </is>
      </c>
      <c r="B932" s="1" t="n">
        <v>45534</v>
      </c>
      <c r="C932" s="1" t="n">
        <v>45802</v>
      </c>
      <c r="D932" t="inlineStr">
        <is>
          <t>DALARNAS LÄN</t>
        </is>
      </c>
      <c r="E932" t="inlineStr">
        <is>
          <t>ÄLVDALEN</t>
        </is>
      </c>
      <c r="G932" t="n">
        <v>4.9</v>
      </c>
      <c r="H932" t="n">
        <v>0</v>
      </c>
      <c r="I932" t="n">
        <v>0</v>
      </c>
      <c r="J932" t="n">
        <v>0</v>
      </c>
      <c r="K932" t="n">
        <v>0</v>
      </c>
      <c r="L932" t="n">
        <v>0</v>
      </c>
      <c r="M932" t="n">
        <v>0</v>
      </c>
      <c r="N932" t="n">
        <v>0</v>
      </c>
      <c r="O932" t="n">
        <v>0</v>
      </c>
      <c r="P932" t="n">
        <v>0</v>
      </c>
      <c r="Q932" t="n">
        <v>0</v>
      </c>
      <c r="R932" s="2" t="inlineStr"/>
    </row>
    <row r="933" ht="15" customHeight="1">
      <c r="A933" t="inlineStr">
        <is>
          <t>A 36385-2024</t>
        </is>
      </c>
      <c r="B933" s="1" t="n">
        <v>45534</v>
      </c>
      <c r="C933" s="1" t="n">
        <v>45802</v>
      </c>
      <c r="D933" t="inlineStr">
        <is>
          <t>DALARNAS LÄN</t>
        </is>
      </c>
      <c r="E933" t="inlineStr">
        <is>
          <t>ÄLVDALEN</t>
        </is>
      </c>
      <c r="G933" t="n">
        <v>3.2</v>
      </c>
      <c r="H933" t="n">
        <v>0</v>
      </c>
      <c r="I933" t="n">
        <v>0</v>
      </c>
      <c r="J933" t="n">
        <v>0</v>
      </c>
      <c r="K933" t="n">
        <v>0</v>
      </c>
      <c r="L933" t="n">
        <v>0</v>
      </c>
      <c r="M933" t="n">
        <v>0</v>
      </c>
      <c r="N933" t="n">
        <v>0</v>
      </c>
      <c r="O933" t="n">
        <v>0</v>
      </c>
      <c r="P933" t="n">
        <v>0</v>
      </c>
      <c r="Q933" t="n">
        <v>0</v>
      </c>
      <c r="R933" s="2" t="inlineStr"/>
    </row>
    <row r="934" ht="15" customHeight="1">
      <c r="A934" t="inlineStr">
        <is>
          <t>A 36376-2024</t>
        </is>
      </c>
      <c r="B934" s="1" t="n">
        <v>45534</v>
      </c>
      <c r="C934" s="1" t="n">
        <v>45802</v>
      </c>
      <c r="D934" t="inlineStr">
        <is>
          <t>DALARNAS LÄN</t>
        </is>
      </c>
      <c r="E934" t="inlineStr">
        <is>
          <t>ÄLVDALEN</t>
        </is>
      </c>
      <c r="F934" t="inlineStr">
        <is>
          <t>Allmännings- och besparingsskogar</t>
        </is>
      </c>
      <c r="G934" t="n">
        <v>3.3</v>
      </c>
      <c r="H934" t="n">
        <v>0</v>
      </c>
      <c r="I934" t="n">
        <v>0</v>
      </c>
      <c r="J934" t="n">
        <v>0</v>
      </c>
      <c r="K934" t="n">
        <v>0</v>
      </c>
      <c r="L934" t="n">
        <v>0</v>
      </c>
      <c r="M934" t="n">
        <v>0</v>
      </c>
      <c r="N934" t="n">
        <v>0</v>
      </c>
      <c r="O934" t="n">
        <v>0</v>
      </c>
      <c r="P934" t="n">
        <v>0</v>
      </c>
      <c r="Q934" t="n">
        <v>0</v>
      </c>
      <c r="R934" s="2" t="inlineStr"/>
    </row>
    <row r="935" ht="15" customHeight="1">
      <c r="A935" t="inlineStr">
        <is>
          <t>A 36380-2024</t>
        </is>
      </c>
      <c r="B935" s="1" t="n">
        <v>45534</v>
      </c>
      <c r="C935" s="1" t="n">
        <v>45802</v>
      </c>
      <c r="D935" t="inlineStr">
        <is>
          <t>DALARNAS LÄN</t>
        </is>
      </c>
      <c r="E935" t="inlineStr">
        <is>
          <t>ÄLVDALEN</t>
        </is>
      </c>
      <c r="F935" t="inlineStr">
        <is>
          <t>Allmännings- och besparingsskogar</t>
        </is>
      </c>
      <c r="G935" t="n">
        <v>23.8</v>
      </c>
      <c r="H935" t="n">
        <v>0</v>
      </c>
      <c r="I935" t="n">
        <v>0</v>
      </c>
      <c r="J935" t="n">
        <v>0</v>
      </c>
      <c r="K935" t="n">
        <v>0</v>
      </c>
      <c r="L935" t="n">
        <v>0</v>
      </c>
      <c r="M935" t="n">
        <v>0</v>
      </c>
      <c r="N935" t="n">
        <v>0</v>
      </c>
      <c r="O935" t="n">
        <v>0</v>
      </c>
      <c r="P935" t="n">
        <v>0</v>
      </c>
      <c r="Q935" t="n">
        <v>0</v>
      </c>
      <c r="R935" s="2" t="inlineStr"/>
    </row>
    <row r="936" ht="15" customHeight="1">
      <c r="A936" t="inlineStr">
        <is>
          <t>A 36462-2024</t>
        </is>
      </c>
      <c r="B936" s="1" t="n">
        <v>45537</v>
      </c>
      <c r="C936" s="1" t="n">
        <v>45802</v>
      </c>
      <c r="D936" t="inlineStr">
        <is>
          <t>DALARNAS LÄN</t>
        </is>
      </c>
      <c r="E936" t="inlineStr">
        <is>
          <t>ÄLVDALEN</t>
        </is>
      </c>
      <c r="G936" t="n">
        <v>5</v>
      </c>
      <c r="H936" t="n">
        <v>0</v>
      </c>
      <c r="I936" t="n">
        <v>0</v>
      </c>
      <c r="J936" t="n">
        <v>0</v>
      </c>
      <c r="K936" t="n">
        <v>0</v>
      </c>
      <c r="L936" t="n">
        <v>0</v>
      </c>
      <c r="M936" t="n">
        <v>0</v>
      </c>
      <c r="N936" t="n">
        <v>0</v>
      </c>
      <c r="O936" t="n">
        <v>0</v>
      </c>
      <c r="P936" t="n">
        <v>0</v>
      </c>
      <c r="Q936" t="n">
        <v>0</v>
      </c>
      <c r="R936" s="2" t="inlineStr"/>
    </row>
    <row r="937" ht="15" customHeight="1">
      <c r="A937" t="inlineStr">
        <is>
          <t>A 36580-2024</t>
        </is>
      </c>
      <c r="B937" s="1" t="n">
        <v>45537</v>
      </c>
      <c r="C937" s="1" t="n">
        <v>45802</v>
      </c>
      <c r="D937" t="inlineStr">
        <is>
          <t>DALARNAS LÄN</t>
        </is>
      </c>
      <c r="E937" t="inlineStr">
        <is>
          <t>ÄLVDALEN</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36609-2024</t>
        </is>
      </c>
      <c r="B938" s="1" t="n">
        <v>45537</v>
      </c>
      <c r="C938" s="1" t="n">
        <v>45802</v>
      </c>
      <c r="D938" t="inlineStr">
        <is>
          <t>DALARNAS LÄN</t>
        </is>
      </c>
      <c r="E938" t="inlineStr">
        <is>
          <t>ÄLVDALEN</t>
        </is>
      </c>
      <c r="G938" t="n">
        <v>0.7</v>
      </c>
      <c r="H938" t="n">
        <v>0</v>
      </c>
      <c r="I938" t="n">
        <v>0</v>
      </c>
      <c r="J938" t="n">
        <v>0</v>
      </c>
      <c r="K938" t="n">
        <v>0</v>
      </c>
      <c r="L938" t="n">
        <v>0</v>
      </c>
      <c r="M938" t="n">
        <v>0</v>
      </c>
      <c r="N938" t="n">
        <v>0</v>
      </c>
      <c r="O938" t="n">
        <v>0</v>
      </c>
      <c r="P938" t="n">
        <v>0</v>
      </c>
      <c r="Q938" t="n">
        <v>0</v>
      </c>
      <c r="R938" s="2" t="inlineStr"/>
    </row>
    <row r="939" ht="15" customHeight="1">
      <c r="A939" t="inlineStr">
        <is>
          <t>A 36828-2024</t>
        </is>
      </c>
      <c r="B939" s="1" t="n">
        <v>45538</v>
      </c>
      <c r="C939" s="1" t="n">
        <v>45802</v>
      </c>
      <c r="D939" t="inlineStr">
        <is>
          <t>DALARNAS LÄN</t>
        </is>
      </c>
      <c r="E939" t="inlineStr">
        <is>
          <t>ÄLVDALEN</t>
        </is>
      </c>
      <c r="F939" t="inlineStr">
        <is>
          <t>Allmännings- och besparingsskogar</t>
        </is>
      </c>
      <c r="G939" t="n">
        <v>23</v>
      </c>
      <c r="H939" t="n">
        <v>0</v>
      </c>
      <c r="I939" t="n">
        <v>0</v>
      </c>
      <c r="J939" t="n">
        <v>0</v>
      </c>
      <c r="K939" t="n">
        <v>0</v>
      </c>
      <c r="L939" t="n">
        <v>0</v>
      </c>
      <c r="M939" t="n">
        <v>0</v>
      </c>
      <c r="N939" t="n">
        <v>0</v>
      </c>
      <c r="O939" t="n">
        <v>0</v>
      </c>
      <c r="P939" t="n">
        <v>0</v>
      </c>
      <c r="Q939" t="n">
        <v>0</v>
      </c>
      <c r="R939" s="2" t="inlineStr"/>
    </row>
    <row r="940" ht="15" customHeight="1">
      <c r="A940" t="inlineStr">
        <is>
          <t>A 37066-2024</t>
        </is>
      </c>
      <c r="B940" s="1" t="n">
        <v>45539</v>
      </c>
      <c r="C940" s="1" t="n">
        <v>45802</v>
      </c>
      <c r="D940" t="inlineStr">
        <is>
          <t>DALARNAS LÄN</t>
        </is>
      </c>
      <c r="E940" t="inlineStr">
        <is>
          <t>ÄLVDALEN</t>
        </is>
      </c>
      <c r="G940" t="n">
        <v>1</v>
      </c>
      <c r="H940" t="n">
        <v>0</v>
      </c>
      <c r="I940" t="n">
        <v>0</v>
      </c>
      <c r="J940" t="n">
        <v>0</v>
      </c>
      <c r="K940" t="n">
        <v>0</v>
      </c>
      <c r="L940" t="n">
        <v>0</v>
      </c>
      <c r="M940" t="n">
        <v>0</v>
      </c>
      <c r="N940" t="n">
        <v>0</v>
      </c>
      <c r="O940" t="n">
        <v>0</v>
      </c>
      <c r="P940" t="n">
        <v>0</v>
      </c>
      <c r="Q940" t="n">
        <v>0</v>
      </c>
      <c r="R940" s="2" t="inlineStr"/>
    </row>
    <row r="941" ht="15" customHeight="1">
      <c r="A941" t="inlineStr">
        <is>
          <t>A 37061-2024</t>
        </is>
      </c>
      <c r="B941" s="1" t="n">
        <v>45539</v>
      </c>
      <c r="C941" s="1" t="n">
        <v>45802</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37448-2024</t>
        </is>
      </c>
      <c r="B942" s="1" t="n">
        <v>45540</v>
      </c>
      <c r="C942" s="1" t="n">
        <v>45802</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37869-2024</t>
        </is>
      </c>
      <c r="B943" s="1" t="n">
        <v>45544</v>
      </c>
      <c r="C943" s="1" t="n">
        <v>45802</v>
      </c>
      <c r="D943" t="inlineStr">
        <is>
          <t>DALARNAS LÄN</t>
        </is>
      </c>
      <c r="E943" t="inlineStr">
        <is>
          <t>ÄLVDALEN</t>
        </is>
      </c>
      <c r="F943" t="inlineStr">
        <is>
          <t>Övriga Aktiebolag</t>
        </is>
      </c>
      <c r="G943" t="n">
        <v>15.6</v>
      </c>
      <c r="H943" t="n">
        <v>0</v>
      </c>
      <c r="I943" t="n">
        <v>0</v>
      </c>
      <c r="J943" t="n">
        <v>0</v>
      </c>
      <c r="K943" t="n">
        <v>0</v>
      </c>
      <c r="L943" t="n">
        <v>0</v>
      </c>
      <c r="M943" t="n">
        <v>0</v>
      </c>
      <c r="N943" t="n">
        <v>0</v>
      </c>
      <c r="O943" t="n">
        <v>0</v>
      </c>
      <c r="P943" t="n">
        <v>0</v>
      </c>
      <c r="Q943" t="n">
        <v>0</v>
      </c>
      <c r="R943" s="2" t="inlineStr"/>
    </row>
    <row r="944" ht="15" customHeight="1">
      <c r="A944" t="inlineStr">
        <is>
          <t>A 38277-2024</t>
        </is>
      </c>
      <c r="B944" s="1" t="n">
        <v>45545</v>
      </c>
      <c r="C944" s="1" t="n">
        <v>45802</v>
      </c>
      <c r="D944" t="inlineStr">
        <is>
          <t>DALARNAS LÄN</t>
        </is>
      </c>
      <c r="E944" t="inlineStr">
        <is>
          <t>ÄLVDALEN</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39006-2024</t>
        </is>
      </c>
      <c r="B945" s="1" t="n">
        <v>45548</v>
      </c>
      <c r="C945" s="1" t="n">
        <v>45802</v>
      </c>
      <c r="D945" t="inlineStr">
        <is>
          <t>DALARNAS LÄN</t>
        </is>
      </c>
      <c r="E945" t="inlineStr">
        <is>
          <t>ÄLVDALEN</t>
        </is>
      </c>
      <c r="G945" t="n">
        <v>2.3</v>
      </c>
      <c r="H945" t="n">
        <v>0</v>
      </c>
      <c r="I945" t="n">
        <v>0</v>
      </c>
      <c r="J945" t="n">
        <v>0</v>
      </c>
      <c r="K945" t="n">
        <v>0</v>
      </c>
      <c r="L945" t="n">
        <v>0</v>
      </c>
      <c r="M945" t="n">
        <v>0</v>
      </c>
      <c r="N945" t="n">
        <v>0</v>
      </c>
      <c r="O945" t="n">
        <v>0</v>
      </c>
      <c r="P945" t="n">
        <v>0</v>
      </c>
      <c r="Q945" t="n">
        <v>0</v>
      </c>
      <c r="R945" s="2" t="inlineStr"/>
    </row>
    <row r="946" ht="15" customHeight="1">
      <c r="A946" t="inlineStr">
        <is>
          <t>A 39010-2024</t>
        </is>
      </c>
      <c r="B946" s="1" t="n">
        <v>45548</v>
      </c>
      <c r="C946" s="1" t="n">
        <v>45802</v>
      </c>
      <c r="D946" t="inlineStr">
        <is>
          <t>DALARNAS LÄN</t>
        </is>
      </c>
      <c r="E946" t="inlineStr">
        <is>
          <t>ÄLVDALEN</t>
        </is>
      </c>
      <c r="G946" t="n">
        <v>1.7</v>
      </c>
      <c r="H946" t="n">
        <v>0</v>
      </c>
      <c r="I946" t="n">
        <v>0</v>
      </c>
      <c r="J946" t="n">
        <v>0</v>
      </c>
      <c r="K946" t="n">
        <v>0</v>
      </c>
      <c r="L946" t="n">
        <v>0</v>
      </c>
      <c r="M946" t="n">
        <v>0</v>
      </c>
      <c r="N946" t="n">
        <v>0</v>
      </c>
      <c r="O946" t="n">
        <v>0</v>
      </c>
      <c r="P946" t="n">
        <v>0</v>
      </c>
      <c r="Q946" t="n">
        <v>0</v>
      </c>
      <c r="R946" s="2" t="inlineStr"/>
    </row>
    <row r="947" ht="15" customHeight="1">
      <c r="A947" t="inlineStr">
        <is>
          <t>A 39227-2024</t>
        </is>
      </c>
      <c r="B947" s="1" t="n">
        <v>45550</v>
      </c>
      <c r="C947" s="1" t="n">
        <v>45802</v>
      </c>
      <c r="D947" t="inlineStr">
        <is>
          <t>DALARNAS LÄN</t>
        </is>
      </c>
      <c r="E947" t="inlineStr">
        <is>
          <t>ÄLVDALEN</t>
        </is>
      </c>
      <c r="G947" t="n">
        <v>0.2</v>
      </c>
      <c r="H947" t="n">
        <v>0</v>
      </c>
      <c r="I947" t="n">
        <v>0</v>
      </c>
      <c r="J947" t="n">
        <v>0</v>
      </c>
      <c r="K947" t="n">
        <v>0</v>
      </c>
      <c r="L947" t="n">
        <v>0</v>
      </c>
      <c r="M947" t="n">
        <v>0</v>
      </c>
      <c r="N947" t="n">
        <v>0</v>
      </c>
      <c r="O947" t="n">
        <v>0</v>
      </c>
      <c r="P947" t="n">
        <v>0</v>
      </c>
      <c r="Q947" t="n">
        <v>0</v>
      </c>
      <c r="R947" s="2" t="inlineStr"/>
    </row>
    <row r="948" ht="15" customHeight="1">
      <c r="A948" t="inlineStr">
        <is>
          <t>A 39283-2024</t>
        </is>
      </c>
      <c r="B948" s="1" t="n">
        <v>45551</v>
      </c>
      <c r="C948" s="1" t="n">
        <v>45802</v>
      </c>
      <c r="D948" t="inlineStr">
        <is>
          <t>DALARNAS LÄN</t>
        </is>
      </c>
      <c r="E948" t="inlineStr">
        <is>
          <t>ÄLVDALEN</t>
        </is>
      </c>
      <c r="G948" t="n">
        <v>0.6</v>
      </c>
      <c r="H948" t="n">
        <v>0</v>
      </c>
      <c r="I948" t="n">
        <v>0</v>
      </c>
      <c r="J948" t="n">
        <v>0</v>
      </c>
      <c r="K948" t="n">
        <v>0</v>
      </c>
      <c r="L948" t="n">
        <v>0</v>
      </c>
      <c r="M948" t="n">
        <v>0</v>
      </c>
      <c r="N948" t="n">
        <v>0</v>
      </c>
      <c r="O948" t="n">
        <v>0</v>
      </c>
      <c r="P948" t="n">
        <v>0</v>
      </c>
      <c r="Q948" t="n">
        <v>0</v>
      </c>
      <c r="R948" s="2" t="inlineStr"/>
    </row>
    <row r="949" ht="15" customHeight="1">
      <c r="A949" t="inlineStr">
        <is>
          <t>A 40120-2024</t>
        </is>
      </c>
      <c r="B949" s="1" t="n">
        <v>45554</v>
      </c>
      <c r="C949" s="1" t="n">
        <v>45802</v>
      </c>
      <c r="D949" t="inlineStr">
        <is>
          <t>DALARNAS LÄN</t>
        </is>
      </c>
      <c r="E949" t="inlineStr">
        <is>
          <t>ÄLVDALEN</t>
        </is>
      </c>
      <c r="G949" t="n">
        <v>5.1</v>
      </c>
      <c r="H949" t="n">
        <v>0</v>
      </c>
      <c r="I949" t="n">
        <v>0</v>
      </c>
      <c r="J949" t="n">
        <v>0</v>
      </c>
      <c r="K949" t="n">
        <v>0</v>
      </c>
      <c r="L949" t="n">
        <v>0</v>
      </c>
      <c r="M949" t="n">
        <v>0</v>
      </c>
      <c r="N949" t="n">
        <v>0</v>
      </c>
      <c r="O949" t="n">
        <v>0</v>
      </c>
      <c r="P949" t="n">
        <v>0</v>
      </c>
      <c r="Q949" t="n">
        <v>0</v>
      </c>
      <c r="R949" s="2" t="inlineStr"/>
    </row>
    <row r="950" ht="15" customHeight="1">
      <c r="A950" t="inlineStr">
        <is>
          <t>A 41003-2024</t>
        </is>
      </c>
      <c r="B950" s="1" t="n">
        <v>45558</v>
      </c>
      <c r="C950" s="1" t="n">
        <v>45802</v>
      </c>
      <c r="D950" t="inlineStr">
        <is>
          <t>DALARNAS LÄN</t>
        </is>
      </c>
      <c r="E950" t="inlineStr">
        <is>
          <t>ÄLVDALEN</t>
        </is>
      </c>
      <c r="G950" t="n">
        <v>3.1</v>
      </c>
      <c r="H950" t="n">
        <v>0</v>
      </c>
      <c r="I950" t="n">
        <v>0</v>
      </c>
      <c r="J950" t="n">
        <v>0</v>
      </c>
      <c r="K950" t="n">
        <v>0</v>
      </c>
      <c r="L950" t="n">
        <v>0</v>
      </c>
      <c r="M950" t="n">
        <v>0</v>
      </c>
      <c r="N950" t="n">
        <v>0</v>
      </c>
      <c r="O950" t="n">
        <v>0</v>
      </c>
      <c r="P950" t="n">
        <v>0</v>
      </c>
      <c r="Q950" t="n">
        <v>0</v>
      </c>
      <c r="R950" s="2" t="inlineStr"/>
    </row>
    <row r="951" ht="15" customHeight="1">
      <c r="A951" t="inlineStr">
        <is>
          <t>A 41137-2024</t>
        </is>
      </c>
      <c r="B951" s="1" t="n">
        <v>45559</v>
      </c>
      <c r="C951" s="1" t="n">
        <v>45802</v>
      </c>
      <c r="D951" t="inlineStr">
        <is>
          <t>DALARNAS LÄN</t>
        </is>
      </c>
      <c r="E951" t="inlineStr">
        <is>
          <t>ÄLVDALEN</t>
        </is>
      </c>
      <c r="G951" t="n">
        <v>4.8</v>
      </c>
      <c r="H951" t="n">
        <v>0</v>
      </c>
      <c r="I951" t="n">
        <v>0</v>
      </c>
      <c r="J951" t="n">
        <v>0</v>
      </c>
      <c r="K951" t="n">
        <v>0</v>
      </c>
      <c r="L951" t="n">
        <v>0</v>
      </c>
      <c r="M951" t="n">
        <v>0</v>
      </c>
      <c r="N951" t="n">
        <v>0</v>
      </c>
      <c r="O951" t="n">
        <v>0</v>
      </c>
      <c r="P951" t="n">
        <v>0</v>
      </c>
      <c r="Q951" t="n">
        <v>0</v>
      </c>
      <c r="R951" s="2" t="inlineStr"/>
    </row>
    <row r="952" ht="15" customHeight="1">
      <c r="A952" t="inlineStr">
        <is>
          <t>A 41158-2024</t>
        </is>
      </c>
      <c r="B952" s="1" t="n">
        <v>45559</v>
      </c>
      <c r="C952" s="1" t="n">
        <v>45802</v>
      </c>
      <c r="D952" t="inlineStr">
        <is>
          <t>DALARNAS LÄN</t>
        </is>
      </c>
      <c r="E952" t="inlineStr">
        <is>
          <t>ÄLVDALEN</t>
        </is>
      </c>
      <c r="G952" t="n">
        <v>5.6</v>
      </c>
      <c r="H952" t="n">
        <v>0</v>
      </c>
      <c r="I952" t="n">
        <v>0</v>
      </c>
      <c r="J952" t="n">
        <v>0</v>
      </c>
      <c r="K952" t="n">
        <v>0</v>
      </c>
      <c r="L952" t="n">
        <v>0</v>
      </c>
      <c r="M952" t="n">
        <v>0</v>
      </c>
      <c r="N952" t="n">
        <v>0</v>
      </c>
      <c r="O952" t="n">
        <v>0</v>
      </c>
      <c r="P952" t="n">
        <v>0</v>
      </c>
      <c r="Q952" t="n">
        <v>0</v>
      </c>
      <c r="R952" s="2" t="inlineStr"/>
    </row>
    <row r="953" ht="15" customHeight="1">
      <c r="A953" t="inlineStr">
        <is>
          <t>A 41446-2024</t>
        </is>
      </c>
      <c r="B953" s="1" t="n">
        <v>45560</v>
      </c>
      <c r="C953" s="1" t="n">
        <v>45802</v>
      </c>
      <c r="D953" t="inlineStr">
        <is>
          <t>DALARNAS LÄN</t>
        </is>
      </c>
      <c r="E953" t="inlineStr">
        <is>
          <t>ÄLVDALEN</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42679-2024</t>
        </is>
      </c>
      <c r="B954" s="1" t="n">
        <v>45566</v>
      </c>
      <c r="C954" s="1" t="n">
        <v>45802</v>
      </c>
      <c r="D954" t="inlineStr">
        <is>
          <t>DALARNAS LÄN</t>
        </is>
      </c>
      <c r="E954" t="inlineStr">
        <is>
          <t>ÄLVDALEN</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43351-2024</t>
        </is>
      </c>
      <c r="B955" s="1" t="n">
        <v>45568</v>
      </c>
      <c r="C955" s="1" t="n">
        <v>45802</v>
      </c>
      <c r="D955" t="inlineStr">
        <is>
          <t>DALARNAS LÄN</t>
        </is>
      </c>
      <c r="E955" t="inlineStr">
        <is>
          <t>ÄLVDALEN</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43752-2024</t>
        </is>
      </c>
      <c r="B956" s="1" t="n">
        <v>45569</v>
      </c>
      <c r="C956" s="1" t="n">
        <v>45802</v>
      </c>
      <c r="D956" t="inlineStr">
        <is>
          <t>DALARNAS LÄN</t>
        </is>
      </c>
      <c r="E956" t="inlineStr">
        <is>
          <t>ÄLVDALEN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43900-2024</t>
        </is>
      </c>
      <c r="B957" s="1" t="n">
        <v>45572</v>
      </c>
      <c r="C957" s="1" t="n">
        <v>45802</v>
      </c>
      <c r="D957" t="inlineStr">
        <is>
          <t>DALARNAS LÄN</t>
        </is>
      </c>
      <c r="E957" t="inlineStr">
        <is>
          <t>ÄLVDALEN</t>
        </is>
      </c>
      <c r="F957" t="inlineStr">
        <is>
          <t>Bergvik skog väst AB</t>
        </is>
      </c>
      <c r="G957" t="n">
        <v>7.3</v>
      </c>
      <c r="H957" t="n">
        <v>0</v>
      </c>
      <c r="I957" t="n">
        <v>0</v>
      </c>
      <c r="J957" t="n">
        <v>0</v>
      </c>
      <c r="K957" t="n">
        <v>0</v>
      </c>
      <c r="L957" t="n">
        <v>0</v>
      </c>
      <c r="M957" t="n">
        <v>0</v>
      </c>
      <c r="N957" t="n">
        <v>0</v>
      </c>
      <c r="O957" t="n">
        <v>0</v>
      </c>
      <c r="P957" t="n">
        <v>0</v>
      </c>
      <c r="Q957" t="n">
        <v>0</v>
      </c>
      <c r="R957" s="2" t="inlineStr"/>
    </row>
    <row r="958" ht="15" customHeight="1">
      <c r="A958" t="inlineStr">
        <is>
          <t>A 43990-2024</t>
        </is>
      </c>
      <c r="B958" s="1" t="n">
        <v>45572</v>
      </c>
      <c r="C958" s="1" t="n">
        <v>45802</v>
      </c>
      <c r="D958" t="inlineStr">
        <is>
          <t>DALARNAS LÄN</t>
        </is>
      </c>
      <c r="E958" t="inlineStr">
        <is>
          <t>ÄLVDALEN</t>
        </is>
      </c>
      <c r="F958" t="inlineStr">
        <is>
          <t>Kommuner</t>
        </is>
      </c>
      <c r="G958" t="n">
        <v>0</v>
      </c>
      <c r="H958" t="n">
        <v>0</v>
      </c>
      <c r="I958" t="n">
        <v>0</v>
      </c>
      <c r="J958" t="n">
        <v>0</v>
      </c>
      <c r="K958" t="n">
        <v>0</v>
      </c>
      <c r="L958" t="n">
        <v>0</v>
      </c>
      <c r="M958" t="n">
        <v>0</v>
      </c>
      <c r="N958" t="n">
        <v>0</v>
      </c>
      <c r="O958" t="n">
        <v>0</v>
      </c>
      <c r="P958" t="n">
        <v>0</v>
      </c>
      <c r="Q958" t="n">
        <v>0</v>
      </c>
      <c r="R958" s="2" t="inlineStr"/>
    </row>
    <row r="959" ht="15" customHeight="1">
      <c r="A959" t="inlineStr">
        <is>
          <t>A 45203-2024</t>
        </is>
      </c>
      <c r="B959" s="1" t="n">
        <v>45575</v>
      </c>
      <c r="C959" s="1" t="n">
        <v>45802</v>
      </c>
      <c r="D959" t="inlineStr">
        <is>
          <t>DALARNAS LÄN</t>
        </is>
      </c>
      <c r="E959" t="inlineStr">
        <is>
          <t>ÄLVDALEN</t>
        </is>
      </c>
      <c r="G959" t="n">
        <v>7.3</v>
      </c>
      <c r="H959" t="n">
        <v>0</v>
      </c>
      <c r="I959" t="n">
        <v>0</v>
      </c>
      <c r="J959" t="n">
        <v>0</v>
      </c>
      <c r="K959" t="n">
        <v>0</v>
      </c>
      <c r="L959" t="n">
        <v>0</v>
      </c>
      <c r="M959" t="n">
        <v>0</v>
      </c>
      <c r="N959" t="n">
        <v>0</v>
      </c>
      <c r="O959" t="n">
        <v>0</v>
      </c>
      <c r="P959" t="n">
        <v>0</v>
      </c>
      <c r="Q959" t="n">
        <v>0</v>
      </c>
      <c r="R959" s="2" t="inlineStr"/>
    </row>
    <row r="960" ht="15" customHeight="1">
      <c r="A960" t="inlineStr">
        <is>
          <t>A 45716-2024</t>
        </is>
      </c>
      <c r="B960" s="1" t="n">
        <v>45579</v>
      </c>
      <c r="C960" s="1" t="n">
        <v>45802</v>
      </c>
      <c r="D960" t="inlineStr">
        <is>
          <t>DALARNAS LÄN</t>
        </is>
      </c>
      <c r="E960" t="inlineStr">
        <is>
          <t>ÄLVDALEN</t>
        </is>
      </c>
      <c r="G960" t="n">
        <v>0.8</v>
      </c>
      <c r="H960" t="n">
        <v>0</v>
      </c>
      <c r="I960" t="n">
        <v>0</v>
      </c>
      <c r="J960" t="n">
        <v>0</v>
      </c>
      <c r="K960" t="n">
        <v>0</v>
      </c>
      <c r="L960" t="n">
        <v>0</v>
      </c>
      <c r="M960" t="n">
        <v>0</v>
      </c>
      <c r="N960" t="n">
        <v>0</v>
      </c>
      <c r="O960" t="n">
        <v>0</v>
      </c>
      <c r="P960" t="n">
        <v>0</v>
      </c>
      <c r="Q960" t="n">
        <v>0</v>
      </c>
      <c r="R960" s="2" t="inlineStr"/>
    </row>
    <row r="961" ht="15" customHeight="1">
      <c r="A961" t="inlineStr">
        <is>
          <t>A 46926-2024</t>
        </is>
      </c>
      <c r="B961" s="1" t="n">
        <v>45584</v>
      </c>
      <c r="C961" s="1" t="n">
        <v>45802</v>
      </c>
      <c r="D961" t="inlineStr">
        <is>
          <t>DALARNAS LÄN</t>
        </is>
      </c>
      <c r="E961" t="inlineStr">
        <is>
          <t>ÄLVDALEN</t>
        </is>
      </c>
      <c r="G961" t="n">
        <v>4.4</v>
      </c>
      <c r="H961" t="n">
        <v>0</v>
      </c>
      <c r="I961" t="n">
        <v>0</v>
      </c>
      <c r="J961" t="n">
        <v>0</v>
      </c>
      <c r="K961" t="n">
        <v>0</v>
      </c>
      <c r="L961" t="n">
        <v>0</v>
      </c>
      <c r="M961" t="n">
        <v>0</v>
      </c>
      <c r="N961" t="n">
        <v>0</v>
      </c>
      <c r="O961" t="n">
        <v>0</v>
      </c>
      <c r="P961" t="n">
        <v>0</v>
      </c>
      <c r="Q961" t="n">
        <v>0</v>
      </c>
      <c r="R961" s="2" t="inlineStr"/>
    </row>
    <row r="962" ht="15" customHeight="1">
      <c r="A962" t="inlineStr">
        <is>
          <t>A 46927-2024</t>
        </is>
      </c>
      <c r="B962" s="1" t="n">
        <v>45584</v>
      </c>
      <c r="C962" s="1" t="n">
        <v>45802</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47080-2024</t>
        </is>
      </c>
      <c r="B963" s="1" t="n">
        <v>45586</v>
      </c>
      <c r="C963" s="1" t="n">
        <v>45802</v>
      </c>
      <c r="D963" t="inlineStr">
        <is>
          <t>DALARNAS LÄN</t>
        </is>
      </c>
      <c r="E963" t="inlineStr">
        <is>
          <t>ÄLVDALEN</t>
        </is>
      </c>
      <c r="G963" t="n">
        <v>0.9</v>
      </c>
      <c r="H963" t="n">
        <v>0</v>
      </c>
      <c r="I963" t="n">
        <v>0</v>
      </c>
      <c r="J963" t="n">
        <v>0</v>
      </c>
      <c r="K963" t="n">
        <v>0</v>
      </c>
      <c r="L963" t="n">
        <v>0</v>
      </c>
      <c r="M963" t="n">
        <v>0</v>
      </c>
      <c r="N963" t="n">
        <v>0</v>
      </c>
      <c r="O963" t="n">
        <v>0</v>
      </c>
      <c r="P963" t="n">
        <v>0</v>
      </c>
      <c r="Q963" t="n">
        <v>0</v>
      </c>
      <c r="R963" s="2" t="inlineStr"/>
    </row>
    <row r="964" ht="15" customHeight="1">
      <c r="A964" t="inlineStr">
        <is>
          <t>A 47087-2024</t>
        </is>
      </c>
      <c r="B964" s="1" t="n">
        <v>45586</v>
      </c>
      <c r="C964" s="1" t="n">
        <v>45802</v>
      </c>
      <c r="D964" t="inlineStr">
        <is>
          <t>DALARNAS LÄN</t>
        </is>
      </c>
      <c r="E964" t="inlineStr">
        <is>
          <t>ÄLVDALEN</t>
        </is>
      </c>
      <c r="G964" t="n">
        <v>2.6</v>
      </c>
      <c r="H964" t="n">
        <v>0</v>
      </c>
      <c r="I964" t="n">
        <v>0</v>
      </c>
      <c r="J964" t="n">
        <v>0</v>
      </c>
      <c r="K964" t="n">
        <v>0</v>
      </c>
      <c r="L964" t="n">
        <v>0</v>
      </c>
      <c r="M964" t="n">
        <v>0</v>
      </c>
      <c r="N964" t="n">
        <v>0</v>
      </c>
      <c r="O964" t="n">
        <v>0</v>
      </c>
      <c r="P964" t="n">
        <v>0</v>
      </c>
      <c r="Q964" t="n">
        <v>0</v>
      </c>
      <c r="R964" s="2" t="inlineStr"/>
    </row>
    <row r="965" ht="15" customHeight="1">
      <c r="A965" t="inlineStr">
        <is>
          <t>A 47525-2024</t>
        </is>
      </c>
      <c r="B965" s="1" t="n">
        <v>45587</v>
      </c>
      <c r="C965" s="1" t="n">
        <v>45802</v>
      </c>
      <c r="D965" t="inlineStr">
        <is>
          <t>DALARNAS LÄN</t>
        </is>
      </c>
      <c r="E965" t="inlineStr">
        <is>
          <t>ÄLVDALEN</t>
        </is>
      </c>
      <c r="F965" t="inlineStr">
        <is>
          <t>Bergvik skog väst AB</t>
        </is>
      </c>
      <c r="G965" t="n">
        <v>4.6</v>
      </c>
      <c r="H965" t="n">
        <v>0</v>
      </c>
      <c r="I965" t="n">
        <v>0</v>
      </c>
      <c r="J965" t="n">
        <v>0</v>
      </c>
      <c r="K965" t="n">
        <v>0</v>
      </c>
      <c r="L965" t="n">
        <v>0</v>
      </c>
      <c r="M965" t="n">
        <v>0</v>
      </c>
      <c r="N965" t="n">
        <v>0</v>
      </c>
      <c r="O965" t="n">
        <v>0</v>
      </c>
      <c r="P965" t="n">
        <v>0</v>
      </c>
      <c r="Q965" t="n">
        <v>0</v>
      </c>
      <c r="R965" s="2" t="inlineStr"/>
    </row>
    <row r="966" ht="15" customHeight="1">
      <c r="A966" t="inlineStr">
        <is>
          <t>A 47743-2024</t>
        </is>
      </c>
      <c r="B966" s="1" t="n">
        <v>45588</v>
      </c>
      <c r="C966" s="1" t="n">
        <v>45802</v>
      </c>
      <c r="D966" t="inlineStr">
        <is>
          <t>DALARNAS LÄN</t>
        </is>
      </c>
      <c r="E966" t="inlineStr">
        <is>
          <t>ÄLVDALEN</t>
        </is>
      </c>
      <c r="G966" t="n">
        <v>4.4</v>
      </c>
      <c r="H966" t="n">
        <v>0</v>
      </c>
      <c r="I966" t="n">
        <v>0</v>
      </c>
      <c r="J966" t="n">
        <v>0</v>
      </c>
      <c r="K966" t="n">
        <v>0</v>
      </c>
      <c r="L966" t="n">
        <v>0</v>
      </c>
      <c r="M966" t="n">
        <v>0</v>
      </c>
      <c r="N966" t="n">
        <v>0</v>
      </c>
      <c r="O966" t="n">
        <v>0</v>
      </c>
      <c r="P966" t="n">
        <v>0</v>
      </c>
      <c r="Q966" t="n">
        <v>0</v>
      </c>
      <c r="R966" s="2" t="inlineStr"/>
    </row>
    <row r="967" ht="15" customHeight="1">
      <c r="A967" t="inlineStr">
        <is>
          <t>A 47666-2024</t>
        </is>
      </c>
      <c r="B967" s="1" t="n">
        <v>45588</v>
      </c>
      <c r="C967" s="1" t="n">
        <v>45802</v>
      </c>
      <c r="D967" t="inlineStr">
        <is>
          <t>DALARNAS LÄN</t>
        </is>
      </c>
      <c r="E967" t="inlineStr">
        <is>
          <t>ÄLVDALEN</t>
        </is>
      </c>
      <c r="G967" t="n">
        <v>1.5</v>
      </c>
      <c r="H967" t="n">
        <v>0</v>
      </c>
      <c r="I967" t="n">
        <v>0</v>
      </c>
      <c r="J967" t="n">
        <v>0</v>
      </c>
      <c r="K967" t="n">
        <v>0</v>
      </c>
      <c r="L967" t="n">
        <v>0</v>
      </c>
      <c r="M967" t="n">
        <v>0</v>
      </c>
      <c r="N967" t="n">
        <v>0</v>
      </c>
      <c r="O967" t="n">
        <v>0</v>
      </c>
      <c r="P967" t="n">
        <v>0</v>
      </c>
      <c r="Q967" t="n">
        <v>0</v>
      </c>
      <c r="R967" s="2" t="inlineStr"/>
    </row>
    <row r="968" ht="15" customHeight="1">
      <c r="A968" t="inlineStr">
        <is>
          <t>A 47646-2024</t>
        </is>
      </c>
      <c r="B968" s="1" t="n">
        <v>45588</v>
      </c>
      <c r="C968" s="1" t="n">
        <v>45802</v>
      </c>
      <c r="D968" t="inlineStr">
        <is>
          <t>DALARNAS LÄN</t>
        </is>
      </c>
      <c r="E968" t="inlineStr">
        <is>
          <t>ÄLVDALEN</t>
        </is>
      </c>
      <c r="G968" t="n">
        <v>5.6</v>
      </c>
      <c r="H968" t="n">
        <v>0</v>
      </c>
      <c r="I968" t="n">
        <v>0</v>
      </c>
      <c r="J968" t="n">
        <v>0</v>
      </c>
      <c r="K968" t="n">
        <v>0</v>
      </c>
      <c r="L968" t="n">
        <v>0</v>
      </c>
      <c r="M968" t="n">
        <v>0</v>
      </c>
      <c r="N968" t="n">
        <v>0</v>
      </c>
      <c r="O968" t="n">
        <v>0</v>
      </c>
      <c r="P968" t="n">
        <v>0</v>
      </c>
      <c r="Q968" t="n">
        <v>0</v>
      </c>
      <c r="R968" s="2" t="inlineStr"/>
    </row>
    <row r="969" ht="15" customHeight="1">
      <c r="A969" t="inlineStr">
        <is>
          <t>A 47636-2024</t>
        </is>
      </c>
      <c r="B969" s="1" t="n">
        <v>45588</v>
      </c>
      <c r="C969" s="1" t="n">
        <v>45802</v>
      </c>
      <c r="D969" t="inlineStr">
        <is>
          <t>DALARNAS LÄN</t>
        </is>
      </c>
      <c r="E969" t="inlineStr">
        <is>
          <t>ÄLVDALEN</t>
        </is>
      </c>
      <c r="G969" t="n">
        <v>5.1</v>
      </c>
      <c r="H969" t="n">
        <v>0</v>
      </c>
      <c r="I969" t="n">
        <v>0</v>
      </c>
      <c r="J969" t="n">
        <v>0</v>
      </c>
      <c r="K969" t="n">
        <v>0</v>
      </c>
      <c r="L969" t="n">
        <v>0</v>
      </c>
      <c r="M969" t="n">
        <v>0</v>
      </c>
      <c r="N969" t="n">
        <v>0</v>
      </c>
      <c r="O969" t="n">
        <v>0</v>
      </c>
      <c r="P969" t="n">
        <v>0</v>
      </c>
      <c r="Q969" t="n">
        <v>0</v>
      </c>
      <c r="R969" s="2" t="inlineStr"/>
    </row>
    <row r="970" ht="15" customHeight="1">
      <c r="A970" t="inlineStr">
        <is>
          <t>A 47645-2024</t>
        </is>
      </c>
      <c r="B970" s="1" t="n">
        <v>45588</v>
      </c>
      <c r="C970" s="1" t="n">
        <v>45802</v>
      </c>
      <c r="D970" t="inlineStr">
        <is>
          <t>DALARNAS LÄN</t>
        </is>
      </c>
      <c r="E970" t="inlineStr">
        <is>
          <t>ÄLVDALEN</t>
        </is>
      </c>
      <c r="G970" t="n">
        <v>4.6</v>
      </c>
      <c r="H970" t="n">
        <v>0</v>
      </c>
      <c r="I970" t="n">
        <v>0</v>
      </c>
      <c r="J970" t="n">
        <v>0</v>
      </c>
      <c r="K970" t="n">
        <v>0</v>
      </c>
      <c r="L970" t="n">
        <v>0</v>
      </c>
      <c r="M970" t="n">
        <v>0</v>
      </c>
      <c r="N970" t="n">
        <v>0</v>
      </c>
      <c r="O970" t="n">
        <v>0</v>
      </c>
      <c r="P970" t="n">
        <v>0</v>
      </c>
      <c r="Q970" t="n">
        <v>0</v>
      </c>
      <c r="R970" s="2" t="inlineStr"/>
    </row>
    <row r="971" ht="15" customHeight="1">
      <c r="A971" t="inlineStr">
        <is>
          <t>A 47751-2024</t>
        </is>
      </c>
      <c r="B971" s="1" t="n">
        <v>45588</v>
      </c>
      <c r="C971" s="1" t="n">
        <v>45802</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47776-2024</t>
        </is>
      </c>
      <c r="B972" s="1" t="n">
        <v>45588</v>
      </c>
      <c r="C972" s="1" t="n">
        <v>45802</v>
      </c>
      <c r="D972" t="inlineStr">
        <is>
          <t>DALARNAS LÄN</t>
        </is>
      </c>
      <c r="E972" t="inlineStr">
        <is>
          <t>ÄLVDALEN</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47936-2024</t>
        </is>
      </c>
      <c r="B973" s="1" t="n">
        <v>45589</v>
      </c>
      <c r="C973" s="1" t="n">
        <v>45802</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48600-2024</t>
        </is>
      </c>
      <c r="B974" s="1" t="n">
        <v>45593</v>
      </c>
      <c r="C974" s="1" t="n">
        <v>45802</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48613-2024</t>
        </is>
      </c>
      <c r="B975" s="1" t="n">
        <v>45593</v>
      </c>
      <c r="C975" s="1" t="n">
        <v>45802</v>
      </c>
      <c r="D975" t="inlineStr">
        <is>
          <t>DALARNAS LÄN</t>
        </is>
      </c>
      <c r="E975" t="inlineStr">
        <is>
          <t>ÄLVDALEN</t>
        </is>
      </c>
      <c r="G975" t="n">
        <v>2.9</v>
      </c>
      <c r="H975" t="n">
        <v>0</v>
      </c>
      <c r="I975" t="n">
        <v>0</v>
      </c>
      <c r="J975" t="n">
        <v>0</v>
      </c>
      <c r="K975" t="n">
        <v>0</v>
      </c>
      <c r="L975" t="n">
        <v>0</v>
      </c>
      <c r="M975" t="n">
        <v>0</v>
      </c>
      <c r="N975" t="n">
        <v>0</v>
      </c>
      <c r="O975" t="n">
        <v>0</v>
      </c>
      <c r="P975" t="n">
        <v>0</v>
      </c>
      <c r="Q975" t="n">
        <v>0</v>
      </c>
      <c r="R975" s="2" t="inlineStr"/>
    </row>
    <row r="976" ht="15" customHeight="1">
      <c r="A976" t="inlineStr">
        <is>
          <t>A 48653-2024</t>
        </is>
      </c>
      <c r="B976" s="1" t="n">
        <v>45593</v>
      </c>
      <c r="C976" s="1" t="n">
        <v>45802</v>
      </c>
      <c r="D976" t="inlineStr">
        <is>
          <t>DALARNAS LÄN</t>
        </is>
      </c>
      <c r="E976" t="inlineStr">
        <is>
          <t>ÄLVDALEN</t>
        </is>
      </c>
      <c r="G976" t="n">
        <v>3.2</v>
      </c>
      <c r="H976" t="n">
        <v>0</v>
      </c>
      <c r="I976" t="n">
        <v>0</v>
      </c>
      <c r="J976" t="n">
        <v>0</v>
      </c>
      <c r="K976" t="n">
        <v>0</v>
      </c>
      <c r="L976" t="n">
        <v>0</v>
      </c>
      <c r="M976" t="n">
        <v>0</v>
      </c>
      <c r="N976" t="n">
        <v>0</v>
      </c>
      <c r="O976" t="n">
        <v>0</v>
      </c>
      <c r="P976" t="n">
        <v>0</v>
      </c>
      <c r="Q976" t="n">
        <v>0</v>
      </c>
      <c r="R976" s="2" t="inlineStr"/>
    </row>
    <row r="977" ht="15" customHeight="1">
      <c r="A977" t="inlineStr">
        <is>
          <t>A 48552-2024</t>
        </is>
      </c>
      <c r="B977" s="1" t="n">
        <v>45593</v>
      </c>
      <c r="C977" s="1" t="n">
        <v>45802</v>
      </c>
      <c r="D977" t="inlineStr">
        <is>
          <t>DALARNAS LÄN</t>
        </is>
      </c>
      <c r="E977" t="inlineStr">
        <is>
          <t>ÄLVDALEN</t>
        </is>
      </c>
      <c r="G977" t="n">
        <v>4.1</v>
      </c>
      <c r="H977" t="n">
        <v>0</v>
      </c>
      <c r="I977" t="n">
        <v>0</v>
      </c>
      <c r="J977" t="n">
        <v>0</v>
      </c>
      <c r="K977" t="n">
        <v>0</v>
      </c>
      <c r="L977" t="n">
        <v>0</v>
      </c>
      <c r="M977" t="n">
        <v>0</v>
      </c>
      <c r="N977" t="n">
        <v>0</v>
      </c>
      <c r="O977" t="n">
        <v>0</v>
      </c>
      <c r="P977" t="n">
        <v>0</v>
      </c>
      <c r="Q977" t="n">
        <v>0</v>
      </c>
      <c r="R977" s="2" t="inlineStr"/>
    </row>
    <row r="978" ht="15" customHeight="1">
      <c r="A978" t="inlineStr">
        <is>
          <t>A 48678-2024</t>
        </is>
      </c>
      <c r="B978" s="1" t="n">
        <v>45593</v>
      </c>
      <c r="C978" s="1" t="n">
        <v>45802</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49906-2024</t>
        </is>
      </c>
      <c r="B979" s="1" t="n">
        <v>45597</v>
      </c>
      <c r="C979" s="1" t="n">
        <v>45802</v>
      </c>
      <c r="D979" t="inlineStr">
        <is>
          <t>DALARNAS LÄN</t>
        </is>
      </c>
      <c r="E979" t="inlineStr">
        <is>
          <t>ÄLVDALEN</t>
        </is>
      </c>
      <c r="G979" t="n">
        <v>4.2</v>
      </c>
      <c r="H979" t="n">
        <v>0</v>
      </c>
      <c r="I979" t="n">
        <v>0</v>
      </c>
      <c r="J979" t="n">
        <v>0</v>
      </c>
      <c r="K979" t="n">
        <v>0</v>
      </c>
      <c r="L979" t="n">
        <v>0</v>
      </c>
      <c r="M979" t="n">
        <v>0</v>
      </c>
      <c r="N979" t="n">
        <v>0</v>
      </c>
      <c r="O979" t="n">
        <v>0</v>
      </c>
      <c r="P979" t="n">
        <v>0</v>
      </c>
      <c r="Q979" t="n">
        <v>0</v>
      </c>
      <c r="R979" s="2" t="inlineStr"/>
    </row>
    <row r="980" ht="15" customHeight="1">
      <c r="A980" t="inlineStr">
        <is>
          <t>A 50057-2024</t>
        </is>
      </c>
      <c r="B980" s="1" t="n">
        <v>45600</v>
      </c>
      <c r="C980" s="1" t="n">
        <v>45802</v>
      </c>
      <c r="D980" t="inlineStr">
        <is>
          <t>DALARNAS LÄN</t>
        </is>
      </c>
      <c r="E980" t="inlineStr">
        <is>
          <t>ÄLVDALEN</t>
        </is>
      </c>
      <c r="G980" t="n">
        <v>3.9</v>
      </c>
      <c r="H980" t="n">
        <v>0</v>
      </c>
      <c r="I980" t="n">
        <v>0</v>
      </c>
      <c r="J980" t="n">
        <v>0</v>
      </c>
      <c r="K980" t="n">
        <v>0</v>
      </c>
      <c r="L980" t="n">
        <v>0</v>
      </c>
      <c r="M980" t="n">
        <v>0</v>
      </c>
      <c r="N980" t="n">
        <v>0</v>
      </c>
      <c r="O980" t="n">
        <v>0</v>
      </c>
      <c r="P980" t="n">
        <v>0</v>
      </c>
      <c r="Q980" t="n">
        <v>0</v>
      </c>
      <c r="R980" s="2" t="inlineStr"/>
    </row>
    <row r="981" ht="15" customHeight="1">
      <c r="A981" t="inlineStr">
        <is>
          <t>A 50056-2024</t>
        </is>
      </c>
      <c r="B981" s="1" t="n">
        <v>45600</v>
      </c>
      <c r="C981" s="1" t="n">
        <v>45802</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52166-2024</t>
        </is>
      </c>
      <c r="B982" s="1" t="n">
        <v>45608</v>
      </c>
      <c r="C982" s="1" t="n">
        <v>45802</v>
      </c>
      <c r="D982" t="inlineStr">
        <is>
          <t>DALARNAS LÄN</t>
        </is>
      </c>
      <c r="E982" t="inlineStr">
        <is>
          <t>ÄLVDALEN</t>
        </is>
      </c>
      <c r="G982" t="n">
        <v>1.1</v>
      </c>
      <c r="H982" t="n">
        <v>0</v>
      </c>
      <c r="I982" t="n">
        <v>0</v>
      </c>
      <c r="J982" t="n">
        <v>0</v>
      </c>
      <c r="K982" t="n">
        <v>0</v>
      </c>
      <c r="L982" t="n">
        <v>0</v>
      </c>
      <c r="M982" t="n">
        <v>0</v>
      </c>
      <c r="N982" t="n">
        <v>0</v>
      </c>
      <c r="O982" t="n">
        <v>0</v>
      </c>
      <c r="P982" t="n">
        <v>0</v>
      </c>
      <c r="Q982" t="n">
        <v>0</v>
      </c>
      <c r="R982" s="2" t="inlineStr"/>
    </row>
    <row r="983" ht="15" customHeight="1">
      <c r="A983" t="inlineStr">
        <is>
          <t>A 52167-2024</t>
        </is>
      </c>
      <c r="B983" s="1" t="n">
        <v>45608</v>
      </c>
      <c r="C983" s="1" t="n">
        <v>45802</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52163-2024</t>
        </is>
      </c>
      <c r="B984" s="1" t="n">
        <v>45608</v>
      </c>
      <c r="C984" s="1" t="n">
        <v>45802</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52077-2024</t>
        </is>
      </c>
      <c r="B985" s="1" t="n">
        <v>45608</v>
      </c>
      <c r="C985" s="1" t="n">
        <v>45802</v>
      </c>
      <c r="D985" t="inlineStr">
        <is>
          <t>DALARNAS LÄN</t>
        </is>
      </c>
      <c r="E985" t="inlineStr">
        <is>
          <t>ÄLVDALEN</t>
        </is>
      </c>
      <c r="F985" t="inlineStr">
        <is>
          <t>Sveaskog</t>
        </is>
      </c>
      <c r="G985" t="n">
        <v>19.5</v>
      </c>
      <c r="H985" t="n">
        <v>0</v>
      </c>
      <c r="I985" t="n">
        <v>0</v>
      </c>
      <c r="J985" t="n">
        <v>0</v>
      </c>
      <c r="K985" t="n">
        <v>0</v>
      </c>
      <c r="L985" t="n">
        <v>0</v>
      </c>
      <c r="M985" t="n">
        <v>0</v>
      </c>
      <c r="N985" t="n">
        <v>0</v>
      </c>
      <c r="O985" t="n">
        <v>0</v>
      </c>
      <c r="P985" t="n">
        <v>0</v>
      </c>
      <c r="Q985" t="n">
        <v>0</v>
      </c>
      <c r="R985" s="2" t="inlineStr"/>
    </row>
    <row r="986" ht="15" customHeight="1">
      <c r="A986" t="inlineStr">
        <is>
          <t>A 53168-2024</t>
        </is>
      </c>
      <c r="B986" s="1" t="n">
        <v>45611</v>
      </c>
      <c r="C986" s="1" t="n">
        <v>45802</v>
      </c>
      <c r="D986" t="inlineStr">
        <is>
          <t>DALARNAS LÄN</t>
        </is>
      </c>
      <c r="E986" t="inlineStr">
        <is>
          <t>ÄLVDALEN</t>
        </is>
      </c>
      <c r="G986" t="n">
        <v>3.4</v>
      </c>
      <c r="H986" t="n">
        <v>0</v>
      </c>
      <c r="I986" t="n">
        <v>0</v>
      </c>
      <c r="J986" t="n">
        <v>0</v>
      </c>
      <c r="K986" t="n">
        <v>0</v>
      </c>
      <c r="L986" t="n">
        <v>0</v>
      </c>
      <c r="M986" t="n">
        <v>0</v>
      </c>
      <c r="N986" t="n">
        <v>0</v>
      </c>
      <c r="O986" t="n">
        <v>0</v>
      </c>
      <c r="P986" t="n">
        <v>0</v>
      </c>
      <c r="Q986" t="n">
        <v>0</v>
      </c>
      <c r="R986" s="2" t="inlineStr"/>
    </row>
    <row r="987" ht="15" customHeight="1">
      <c r="A987" t="inlineStr">
        <is>
          <t>A 53355-2024</t>
        </is>
      </c>
      <c r="B987" s="1" t="n">
        <v>45614</v>
      </c>
      <c r="C987" s="1" t="n">
        <v>45802</v>
      </c>
      <c r="D987" t="inlineStr">
        <is>
          <t>DALARNAS LÄN</t>
        </is>
      </c>
      <c r="E987" t="inlineStr">
        <is>
          <t>ÄLVDALEN</t>
        </is>
      </c>
      <c r="G987" t="n">
        <v>14</v>
      </c>
      <c r="H987" t="n">
        <v>0</v>
      </c>
      <c r="I987" t="n">
        <v>0</v>
      </c>
      <c r="J987" t="n">
        <v>0</v>
      </c>
      <c r="K987" t="n">
        <v>0</v>
      </c>
      <c r="L987" t="n">
        <v>0</v>
      </c>
      <c r="M987" t="n">
        <v>0</v>
      </c>
      <c r="N987" t="n">
        <v>0</v>
      </c>
      <c r="O987" t="n">
        <v>0</v>
      </c>
      <c r="P987" t="n">
        <v>0</v>
      </c>
      <c r="Q987" t="n">
        <v>0</v>
      </c>
      <c r="R987" s="2" t="inlineStr"/>
    </row>
    <row r="988" ht="15" customHeight="1">
      <c r="A988" t="inlineStr">
        <is>
          <t>A 53778-2024</t>
        </is>
      </c>
      <c r="B988" s="1" t="n">
        <v>45615</v>
      </c>
      <c r="C988" s="1" t="n">
        <v>45802</v>
      </c>
      <c r="D988" t="inlineStr">
        <is>
          <t>DALARNAS LÄN</t>
        </is>
      </c>
      <c r="E988" t="inlineStr">
        <is>
          <t>ÄLVDALEN</t>
        </is>
      </c>
      <c r="G988" t="n">
        <v>1.9</v>
      </c>
      <c r="H988" t="n">
        <v>0</v>
      </c>
      <c r="I988" t="n">
        <v>0</v>
      </c>
      <c r="J988" t="n">
        <v>0</v>
      </c>
      <c r="K988" t="n">
        <v>0</v>
      </c>
      <c r="L988" t="n">
        <v>0</v>
      </c>
      <c r="M988" t="n">
        <v>0</v>
      </c>
      <c r="N988" t="n">
        <v>0</v>
      </c>
      <c r="O988" t="n">
        <v>0</v>
      </c>
      <c r="P988" t="n">
        <v>0</v>
      </c>
      <c r="Q988" t="n">
        <v>0</v>
      </c>
      <c r="R988" s="2" t="inlineStr"/>
    </row>
    <row r="989" ht="15" customHeight="1">
      <c r="A989" t="inlineStr">
        <is>
          <t>A 54076-2024</t>
        </is>
      </c>
      <c r="B989" s="1" t="n">
        <v>45616</v>
      </c>
      <c r="C989" s="1" t="n">
        <v>45802</v>
      </c>
      <c r="D989" t="inlineStr">
        <is>
          <t>DALARNAS LÄN</t>
        </is>
      </c>
      <c r="E989" t="inlineStr">
        <is>
          <t>ÄLVDALEN</t>
        </is>
      </c>
      <c r="G989" t="n">
        <v>1.7</v>
      </c>
      <c r="H989" t="n">
        <v>0</v>
      </c>
      <c r="I989" t="n">
        <v>0</v>
      </c>
      <c r="J989" t="n">
        <v>0</v>
      </c>
      <c r="K989" t="n">
        <v>0</v>
      </c>
      <c r="L989" t="n">
        <v>0</v>
      </c>
      <c r="M989" t="n">
        <v>0</v>
      </c>
      <c r="N989" t="n">
        <v>0</v>
      </c>
      <c r="O989" t="n">
        <v>0</v>
      </c>
      <c r="P989" t="n">
        <v>0</v>
      </c>
      <c r="Q989" t="n">
        <v>0</v>
      </c>
      <c r="R989" s="2" t="inlineStr"/>
    </row>
    <row r="990" ht="15" customHeight="1">
      <c r="A990" t="inlineStr">
        <is>
          <t>A 54839-2024</t>
        </is>
      </c>
      <c r="B990" s="1" t="n">
        <v>45618</v>
      </c>
      <c r="C990" s="1" t="n">
        <v>45802</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55879-2024</t>
        </is>
      </c>
      <c r="B991" s="1" t="n">
        <v>45623</v>
      </c>
      <c r="C991" s="1" t="n">
        <v>45802</v>
      </c>
      <c r="D991" t="inlineStr">
        <is>
          <t>DALARNAS LÄN</t>
        </is>
      </c>
      <c r="E991" t="inlineStr">
        <is>
          <t>ÄLVDALEN</t>
        </is>
      </c>
      <c r="G991" t="n">
        <v>15.3</v>
      </c>
      <c r="H991" t="n">
        <v>0</v>
      </c>
      <c r="I991" t="n">
        <v>0</v>
      </c>
      <c r="J991" t="n">
        <v>0</v>
      </c>
      <c r="K991" t="n">
        <v>0</v>
      </c>
      <c r="L991" t="n">
        <v>0</v>
      </c>
      <c r="M991" t="n">
        <v>0</v>
      </c>
      <c r="N991" t="n">
        <v>0</v>
      </c>
      <c r="O991" t="n">
        <v>0</v>
      </c>
      <c r="P991" t="n">
        <v>0</v>
      </c>
      <c r="Q991" t="n">
        <v>0</v>
      </c>
      <c r="R991" s="2" t="inlineStr"/>
    </row>
    <row r="992" ht="15" customHeight="1">
      <c r="A992" t="inlineStr">
        <is>
          <t>A 56405-2024</t>
        </is>
      </c>
      <c r="B992" s="1" t="n">
        <v>45625</v>
      </c>
      <c r="C992" s="1" t="n">
        <v>45802</v>
      </c>
      <c r="D992" t="inlineStr">
        <is>
          <t>DALARNAS LÄN</t>
        </is>
      </c>
      <c r="E992" t="inlineStr">
        <is>
          <t>ÄLVDALEN</t>
        </is>
      </c>
      <c r="F992" t="inlineStr">
        <is>
          <t>Allmännings- och besparingsskogar</t>
        </is>
      </c>
      <c r="G992" t="n">
        <v>29.8</v>
      </c>
      <c r="H992" t="n">
        <v>0</v>
      </c>
      <c r="I992" t="n">
        <v>0</v>
      </c>
      <c r="J992" t="n">
        <v>0</v>
      </c>
      <c r="K992" t="n">
        <v>0</v>
      </c>
      <c r="L992" t="n">
        <v>0</v>
      </c>
      <c r="M992" t="n">
        <v>0</v>
      </c>
      <c r="N992" t="n">
        <v>0</v>
      </c>
      <c r="O992" t="n">
        <v>0</v>
      </c>
      <c r="P992" t="n">
        <v>0</v>
      </c>
      <c r="Q992" t="n">
        <v>0</v>
      </c>
      <c r="R992" s="2" t="inlineStr"/>
    </row>
    <row r="993" ht="15" customHeight="1">
      <c r="A993" t="inlineStr">
        <is>
          <t>A 56487-2024</t>
        </is>
      </c>
      <c r="B993" s="1" t="n">
        <v>45625</v>
      </c>
      <c r="C993" s="1" t="n">
        <v>45802</v>
      </c>
      <c r="D993" t="inlineStr">
        <is>
          <t>DALARNAS LÄN</t>
        </is>
      </c>
      <c r="E993" t="inlineStr">
        <is>
          <t>ÄLVDALEN</t>
        </is>
      </c>
      <c r="F993" t="inlineStr">
        <is>
          <t>Allmännings- och besparingsskogar</t>
        </is>
      </c>
      <c r="G993" t="n">
        <v>5.6</v>
      </c>
      <c r="H993" t="n">
        <v>0</v>
      </c>
      <c r="I993" t="n">
        <v>0</v>
      </c>
      <c r="J993" t="n">
        <v>0</v>
      </c>
      <c r="K993" t="n">
        <v>0</v>
      </c>
      <c r="L993" t="n">
        <v>0</v>
      </c>
      <c r="M993" t="n">
        <v>0</v>
      </c>
      <c r="N993" t="n">
        <v>0</v>
      </c>
      <c r="O993" t="n">
        <v>0</v>
      </c>
      <c r="P993" t="n">
        <v>0</v>
      </c>
      <c r="Q993" t="n">
        <v>0</v>
      </c>
      <c r="R993" s="2" t="inlineStr"/>
    </row>
    <row r="994" ht="15" customHeight="1">
      <c r="A994" t="inlineStr">
        <is>
          <t>A 56930-2024</t>
        </is>
      </c>
      <c r="B994" s="1" t="n">
        <v>45628</v>
      </c>
      <c r="C994" s="1" t="n">
        <v>45802</v>
      </c>
      <c r="D994" t="inlineStr">
        <is>
          <t>DALARNAS LÄN</t>
        </is>
      </c>
      <c r="E994" t="inlineStr">
        <is>
          <t>ÄLVDALEN</t>
        </is>
      </c>
      <c r="G994" t="n">
        <v>0.8</v>
      </c>
      <c r="H994" t="n">
        <v>0</v>
      </c>
      <c r="I994" t="n">
        <v>0</v>
      </c>
      <c r="J994" t="n">
        <v>0</v>
      </c>
      <c r="K994" t="n">
        <v>0</v>
      </c>
      <c r="L994" t="n">
        <v>0</v>
      </c>
      <c r="M994" t="n">
        <v>0</v>
      </c>
      <c r="N994" t="n">
        <v>0</v>
      </c>
      <c r="O994" t="n">
        <v>0</v>
      </c>
      <c r="P994" t="n">
        <v>0</v>
      </c>
      <c r="Q994" t="n">
        <v>0</v>
      </c>
      <c r="R994" s="2" t="inlineStr"/>
    </row>
    <row r="995" ht="15" customHeight="1">
      <c r="A995" t="inlineStr">
        <is>
          <t>A 57171-2024</t>
        </is>
      </c>
      <c r="B995" s="1" t="n">
        <v>45629</v>
      </c>
      <c r="C995" s="1" t="n">
        <v>45802</v>
      </c>
      <c r="D995" t="inlineStr">
        <is>
          <t>DALARNAS LÄN</t>
        </is>
      </c>
      <c r="E995" t="inlineStr">
        <is>
          <t>ÄLVDALEN</t>
        </is>
      </c>
      <c r="G995" t="n">
        <v>3.6</v>
      </c>
      <c r="H995" t="n">
        <v>0</v>
      </c>
      <c r="I995" t="n">
        <v>0</v>
      </c>
      <c r="J995" t="n">
        <v>0</v>
      </c>
      <c r="K995" t="n">
        <v>0</v>
      </c>
      <c r="L995" t="n">
        <v>0</v>
      </c>
      <c r="M995" t="n">
        <v>0</v>
      </c>
      <c r="N995" t="n">
        <v>0</v>
      </c>
      <c r="O995" t="n">
        <v>0</v>
      </c>
      <c r="P995" t="n">
        <v>0</v>
      </c>
      <c r="Q995" t="n">
        <v>0</v>
      </c>
      <c r="R995" s="2" t="inlineStr"/>
    </row>
    <row r="996" ht="15" customHeight="1">
      <c r="A996" t="inlineStr">
        <is>
          <t>A 57539-2024</t>
        </is>
      </c>
      <c r="B996" s="1" t="n">
        <v>45630</v>
      </c>
      <c r="C996" s="1" t="n">
        <v>45802</v>
      </c>
      <c r="D996" t="inlineStr">
        <is>
          <t>DALARNAS LÄN</t>
        </is>
      </c>
      <c r="E996" t="inlineStr">
        <is>
          <t>ÄLVDALEN</t>
        </is>
      </c>
      <c r="G996" t="n">
        <v>6.7</v>
      </c>
      <c r="H996" t="n">
        <v>0</v>
      </c>
      <c r="I996" t="n">
        <v>0</v>
      </c>
      <c r="J996" t="n">
        <v>0</v>
      </c>
      <c r="K996" t="n">
        <v>0</v>
      </c>
      <c r="L996" t="n">
        <v>0</v>
      </c>
      <c r="M996" t="n">
        <v>0</v>
      </c>
      <c r="N996" t="n">
        <v>0</v>
      </c>
      <c r="O996" t="n">
        <v>0</v>
      </c>
      <c r="P996" t="n">
        <v>0</v>
      </c>
      <c r="Q996" t="n">
        <v>0</v>
      </c>
      <c r="R996" s="2" t="inlineStr"/>
    </row>
    <row r="997" ht="15" customHeight="1">
      <c r="A997" t="inlineStr">
        <is>
          <t>A 57560-2024</t>
        </is>
      </c>
      <c r="B997" s="1" t="n">
        <v>45630</v>
      </c>
      <c r="C997" s="1" t="n">
        <v>45802</v>
      </c>
      <c r="D997" t="inlineStr">
        <is>
          <t>DALARNAS LÄN</t>
        </is>
      </c>
      <c r="E997" t="inlineStr">
        <is>
          <t>ÄLVDALEN</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57533-2024</t>
        </is>
      </c>
      <c r="B998" s="1" t="n">
        <v>45630</v>
      </c>
      <c r="C998" s="1" t="n">
        <v>45802</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57665-2024</t>
        </is>
      </c>
      <c r="B999" s="1" t="n">
        <v>45630</v>
      </c>
      <c r="C999" s="1" t="n">
        <v>45802</v>
      </c>
      <c r="D999" t="inlineStr">
        <is>
          <t>DALARNAS LÄN</t>
        </is>
      </c>
      <c r="E999" t="inlineStr">
        <is>
          <t>ÄLVDALEN</t>
        </is>
      </c>
      <c r="F999" t="inlineStr">
        <is>
          <t>Allmännings- och besparingsskogar</t>
        </is>
      </c>
      <c r="G999" t="n">
        <v>2</v>
      </c>
      <c r="H999" t="n">
        <v>0</v>
      </c>
      <c r="I999" t="n">
        <v>0</v>
      </c>
      <c r="J999" t="n">
        <v>0</v>
      </c>
      <c r="K999" t="n">
        <v>0</v>
      </c>
      <c r="L999" t="n">
        <v>0</v>
      </c>
      <c r="M999" t="n">
        <v>0</v>
      </c>
      <c r="N999" t="n">
        <v>0</v>
      </c>
      <c r="O999" t="n">
        <v>0</v>
      </c>
      <c r="P999" t="n">
        <v>0</v>
      </c>
      <c r="Q999" t="n">
        <v>0</v>
      </c>
      <c r="R999" s="2" t="inlineStr"/>
    </row>
    <row r="1000" ht="15" customHeight="1">
      <c r="A1000" t="inlineStr">
        <is>
          <t>A 59483-2024</t>
        </is>
      </c>
      <c r="B1000" s="1" t="n">
        <v>45638</v>
      </c>
      <c r="C1000" s="1" t="n">
        <v>45802</v>
      </c>
      <c r="D1000" t="inlineStr">
        <is>
          <t>DALARNAS LÄN</t>
        </is>
      </c>
      <c r="E1000" t="inlineStr">
        <is>
          <t>ÄLVDALEN</t>
        </is>
      </c>
      <c r="F1000" t="inlineStr">
        <is>
          <t>Allmännings- och besparingsskogar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59450-2024</t>
        </is>
      </c>
      <c r="B1001" s="1" t="n">
        <v>45638</v>
      </c>
      <c r="C1001" s="1" t="n">
        <v>45802</v>
      </c>
      <c r="D1001" t="inlineStr">
        <is>
          <t>DALARNAS LÄN</t>
        </is>
      </c>
      <c r="E1001" t="inlineStr">
        <is>
          <t>ÄLVDALEN</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59447-2024</t>
        </is>
      </c>
      <c r="B1002" s="1" t="n">
        <v>45638</v>
      </c>
      <c r="C1002" s="1" t="n">
        <v>45802</v>
      </c>
      <c r="D1002" t="inlineStr">
        <is>
          <t>DALARNAS LÄN</t>
        </is>
      </c>
      <c r="E1002" t="inlineStr">
        <is>
          <t>ÄLVDALEN</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59545-2024</t>
        </is>
      </c>
      <c r="B1003" s="1" t="n">
        <v>45638</v>
      </c>
      <c r="C1003" s="1" t="n">
        <v>45802</v>
      </c>
      <c r="D1003" t="inlineStr">
        <is>
          <t>DALARNAS LÄN</t>
        </is>
      </c>
      <c r="E1003" t="inlineStr">
        <is>
          <t>ÄLVDALEN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59444-2024</t>
        </is>
      </c>
      <c r="B1004" s="1" t="n">
        <v>45638</v>
      </c>
      <c r="C1004" s="1" t="n">
        <v>45802</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59478-2024</t>
        </is>
      </c>
      <c r="B1005" s="1" t="n">
        <v>45638</v>
      </c>
      <c r="C1005" s="1" t="n">
        <v>45802</v>
      </c>
      <c r="D1005" t="inlineStr">
        <is>
          <t>DALARNAS LÄN</t>
        </is>
      </c>
      <c r="E1005" t="inlineStr">
        <is>
          <t>ÄLVDALEN</t>
        </is>
      </c>
      <c r="F1005" t="inlineStr">
        <is>
          <t>Allmännings- och besparingsskogar</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59676-2024</t>
        </is>
      </c>
      <c r="B1006" s="1" t="n">
        <v>45639</v>
      </c>
      <c r="C1006" s="1" t="n">
        <v>45802</v>
      </c>
      <c r="D1006" t="inlineStr">
        <is>
          <t>DALARNAS LÄN</t>
        </is>
      </c>
      <c r="E1006" t="inlineStr">
        <is>
          <t>ÄLVDALEN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59668-2024</t>
        </is>
      </c>
      <c r="B1007" s="1" t="n">
        <v>45639</v>
      </c>
      <c r="C1007" s="1" t="n">
        <v>45802</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59671-2024</t>
        </is>
      </c>
      <c r="B1008" s="1" t="n">
        <v>45639</v>
      </c>
      <c r="C1008" s="1" t="n">
        <v>45802</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59692-2024</t>
        </is>
      </c>
      <c r="B1009" s="1" t="n">
        <v>45639</v>
      </c>
      <c r="C1009" s="1" t="n">
        <v>45802</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60248-2024</t>
        </is>
      </c>
      <c r="B1010" s="1" t="n">
        <v>45642</v>
      </c>
      <c r="C1010" s="1" t="n">
        <v>45802</v>
      </c>
      <c r="D1010" t="inlineStr">
        <is>
          <t>DALARNAS LÄN</t>
        </is>
      </c>
      <c r="E1010" t="inlineStr">
        <is>
          <t>ÄLVDALEN</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60870-2024</t>
        </is>
      </c>
      <c r="B1011" s="1" t="n">
        <v>45644</v>
      </c>
      <c r="C1011" s="1" t="n">
        <v>45802</v>
      </c>
      <c r="D1011" t="inlineStr">
        <is>
          <t>DALARNAS LÄN</t>
        </is>
      </c>
      <c r="E1011" t="inlineStr">
        <is>
          <t>ÄLVDALEN</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61072-2024</t>
        </is>
      </c>
      <c r="B1012" s="1" t="n">
        <v>45645</v>
      </c>
      <c r="C1012" s="1" t="n">
        <v>45802</v>
      </c>
      <c r="D1012" t="inlineStr">
        <is>
          <t>DALARNAS LÄN</t>
        </is>
      </c>
      <c r="E1012" t="inlineStr">
        <is>
          <t>ÄLVDALEN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61070-2024</t>
        </is>
      </c>
      <c r="B1013" s="1" t="n">
        <v>45645</v>
      </c>
      <c r="C1013" s="1" t="n">
        <v>45802</v>
      </c>
      <c r="D1013" t="inlineStr">
        <is>
          <t>DALARNAS LÄN</t>
        </is>
      </c>
      <c r="E1013" t="inlineStr">
        <is>
          <t>ÄLVDALEN</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61575-2024</t>
        </is>
      </c>
      <c r="B1014" s="1" t="n">
        <v>45646</v>
      </c>
      <c r="C1014" s="1" t="n">
        <v>45802</v>
      </c>
      <c r="D1014" t="inlineStr">
        <is>
          <t>DALARNAS LÄN</t>
        </is>
      </c>
      <c r="E1014" t="inlineStr">
        <is>
          <t>ÄLVDALEN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61695-2024</t>
        </is>
      </c>
      <c r="B1015" s="1" t="n">
        <v>45647</v>
      </c>
      <c r="C1015" s="1" t="n">
        <v>45802</v>
      </c>
      <c r="D1015" t="inlineStr">
        <is>
          <t>DALARNAS LÄN</t>
        </is>
      </c>
      <c r="E1015" t="inlineStr">
        <is>
          <t>ÄLVDALEN</t>
        </is>
      </c>
      <c r="F1015" t="inlineStr">
        <is>
          <t>Allmännings- och besparingsskogar</t>
        </is>
      </c>
      <c r="G1015" t="n">
        <v>32.3</v>
      </c>
      <c r="H1015" t="n">
        <v>0</v>
      </c>
      <c r="I1015" t="n">
        <v>0</v>
      </c>
      <c r="J1015" t="n">
        <v>0</v>
      </c>
      <c r="K1015" t="n">
        <v>0</v>
      </c>
      <c r="L1015" t="n">
        <v>0</v>
      </c>
      <c r="M1015" t="n">
        <v>0</v>
      </c>
      <c r="N1015" t="n">
        <v>0</v>
      </c>
      <c r="O1015" t="n">
        <v>0</v>
      </c>
      <c r="P1015" t="n">
        <v>0</v>
      </c>
      <c r="Q1015" t="n">
        <v>0</v>
      </c>
      <c r="R1015" s="2" t="inlineStr"/>
    </row>
    <row r="1016" ht="15" customHeight="1">
      <c r="A1016" t="inlineStr">
        <is>
          <t>A 629-2025</t>
        </is>
      </c>
      <c r="B1016" s="1" t="n">
        <v>45660</v>
      </c>
      <c r="C1016" s="1" t="n">
        <v>45802</v>
      </c>
      <c r="D1016" t="inlineStr">
        <is>
          <t>DALARNAS LÄN</t>
        </is>
      </c>
      <c r="E1016" t="inlineStr">
        <is>
          <t>ÄLVDALEN</t>
        </is>
      </c>
      <c r="F1016" t="inlineStr">
        <is>
          <t>Allmännings- och besparingsskogar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443-2025</t>
        </is>
      </c>
      <c r="B1017" s="1" t="n">
        <v>45664</v>
      </c>
      <c r="C1017" s="1" t="n">
        <v>45802</v>
      </c>
      <c r="D1017" t="inlineStr">
        <is>
          <t>DALARNAS LÄN</t>
        </is>
      </c>
      <c r="E1017" t="inlineStr">
        <is>
          <t>ÄLVDALEN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760-2025</t>
        </is>
      </c>
      <c r="B1018" s="1" t="n">
        <v>45665</v>
      </c>
      <c r="C1018" s="1" t="n">
        <v>45802</v>
      </c>
      <c r="D1018" t="inlineStr">
        <is>
          <t>DALARNAS LÄN</t>
        </is>
      </c>
      <c r="E1018" t="inlineStr">
        <is>
          <t>ÄLVDALEN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777-2025</t>
        </is>
      </c>
      <c r="B1019" s="1" t="n">
        <v>45665</v>
      </c>
      <c r="C1019" s="1" t="n">
        <v>45802</v>
      </c>
      <c r="D1019" t="inlineStr">
        <is>
          <t>DALARNAS LÄN</t>
        </is>
      </c>
      <c r="E1019" t="inlineStr">
        <is>
          <t>ÄLVDALEN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771-2025</t>
        </is>
      </c>
      <c r="B1020" s="1" t="n">
        <v>45665</v>
      </c>
      <c r="C1020" s="1" t="n">
        <v>45802</v>
      </c>
      <c r="D1020" t="inlineStr">
        <is>
          <t>DALARNAS LÄN</t>
        </is>
      </c>
      <c r="E1020" t="inlineStr">
        <is>
          <t>ÄLVDALEN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747-2025</t>
        </is>
      </c>
      <c r="B1021" s="1" t="n">
        <v>45665</v>
      </c>
      <c r="C1021" s="1" t="n">
        <v>45802</v>
      </c>
      <c r="D1021" t="inlineStr">
        <is>
          <t>DALARNAS LÄN</t>
        </is>
      </c>
      <c r="E1021" t="inlineStr">
        <is>
          <t>ÄLVDALEN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1088-2025</t>
        </is>
      </c>
      <c r="B1022" s="1" t="n">
        <v>45666</v>
      </c>
      <c r="C1022" s="1" t="n">
        <v>45802</v>
      </c>
      <c r="D1022" t="inlineStr">
        <is>
          <t>DALARNAS LÄN</t>
        </is>
      </c>
      <c r="E1022" t="inlineStr">
        <is>
          <t>ÄLVDALEN</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1081-2025</t>
        </is>
      </c>
      <c r="B1023" s="1" t="n">
        <v>45666</v>
      </c>
      <c r="C1023" s="1" t="n">
        <v>45802</v>
      </c>
      <c r="D1023" t="inlineStr">
        <is>
          <t>DALARNAS LÄN</t>
        </is>
      </c>
      <c r="E1023" t="inlineStr">
        <is>
          <t>ÄLVDALEN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1333-2025</t>
        </is>
      </c>
      <c r="B1024" s="1" t="n">
        <v>45667</v>
      </c>
      <c r="C1024" s="1" t="n">
        <v>45802</v>
      </c>
      <c r="D1024" t="inlineStr">
        <is>
          <t>DALARNAS LÄN</t>
        </is>
      </c>
      <c r="E1024" t="inlineStr">
        <is>
          <t>ÄLVDALEN</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1725-2025</t>
        </is>
      </c>
      <c r="B1025" s="1" t="n">
        <v>45671</v>
      </c>
      <c r="C1025" s="1" t="n">
        <v>45802</v>
      </c>
      <c r="D1025" t="inlineStr">
        <is>
          <t>DALARNAS LÄN</t>
        </is>
      </c>
      <c r="E1025" t="inlineStr">
        <is>
          <t>ÄLVDALEN</t>
        </is>
      </c>
      <c r="F1025" t="inlineStr">
        <is>
          <t>Allmännings- och besparingsskogar</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2546-2025</t>
        </is>
      </c>
      <c r="B1026" s="1" t="n">
        <v>45674</v>
      </c>
      <c r="C1026" s="1" t="n">
        <v>45802</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3128-2025</t>
        </is>
      </c>
      <c r="B1027" s="1" t="n">
        <v>45678</v>
      </c>
      <c r="C1027" s="1" t="n">
        <v>45802</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3196-2025</t>
        </is>
      </c>
      <c r="B1028" s="1" t="n">
        <v>45679</v>
      </c>
      <c r="C1028" s="1" t="n">
        <v>45802</v>
      </c>
      <c r="D1028" t="inlineStr">
        <is>
          <t>DALARNAS LÄN</t>
        </is>
      </c>
      <c r="E1028" t="inlineStr">
        <is>
          <t>ÄLVDALEN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5063-2025</t>
        </is>
      </c>
      <c r="B1029" s="1" t="n">
        <v>45691</v>
      </c>
      <c r="C1029" s="1" t="n">
        <v>45802</v>
      </c>
      <c r="D1029" t="inlineStr">
        <is>
          <t>DALARNAS LÄN</t>
        </is>
      </c>
      <c r="E1029" t="inlineStr">
        <is>
          <t>ÄLVDALEN</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5583-2025</t>
        </is>
      </c>
      <c r="B1030" s="1" t="n">
        <v>45693</v>
      </c>
      <c r="C1030" s="1" t="n">
        <v>45802</v>
      </c>
      <c r="D1030" t="inlineStr">
        <is>
          <t>DALARNAS LÄN</t>
        </is>
      </c>
      <c r="E1030" t="inlineStr">
        <is>
          <t>ÄLVDALEN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6675-2025</t>
        </is>
      </c>
      <c r="B1031" s="1" t="n">
        <v>45700</v>
      </c>
      <c r="C1031" s="1" t="n">
        <v>45802</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6791-2025</t>
        </is>
      </c>
      <c r="B1032" s="1" t="n">
        <v>45700</v>
      </c>
      <c r="C1032" s="1" t="n">
        <v>45802</v>
      </c>
      <c r="D1032" t="inlineStr">
        <is>
          <t>DALARNAS LÄN</t>
        </is>
      </c>
      <c r="E1032" t="inlineStr">
        <is>
          <t>ÄLVDALEN</t>
        </is>
      </c>
      <c r="G1032" t="n">
        <v>30.2</v>
      </c>
      <c r="H1032" t="n">
        <v>0</v>
      </c>
      <c r="I1032" t="n">
        <v>0</v>
      </c>
      <c r="J1032" t="n">
        <v>0</v>
      </c>
      <c r="K1032" t="n">
        <v>0</v>
      </c>
      <c r="L1032" t="n">
        <v>0</v>
      </c>
      <c r="M1032" t="n">
        <v>0</v>
      </c>
      <c r="N1032" t="n">
        <v>0</v>
      </c>
      <c r="O1032" t="n">
        <v>0</v>
      </c>
      <c r="P1032" t="n">
        <v>0</v>
      </c>
      <c r="Q1032" t="n">
        <v>0</v>
      </c>
      <c r="R1032" s="2" t="inlineStr"/>
    </row>
    <row r="1033" ht="15" customHeight="1">
      <c r="A1033" t="inlineStr">
        <is>
          <t>A 7078-2025</t>
        </is>
      </c>
      <c r="B1033" s="1" t="n">
        <v>45701</v>
      </c>
      <c r="C1033" s="1" t="n">
        <v>45802</v>
      </c>
      <c r="D1033" t="inlineStr">
        <is>
          <t>DALARNAS LÄN</t>
        </is>
      </c>
      <c r="E1033" t="inlineStr">
        <is>
          <t>ÄLVDALEN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7232-2025</t>
        </is>
      </c>
      <c r="B1034" s="1" t="n">
        <v>45702</v>
      </c>
      <c r="C1034" s="1" t="n">
        <v>45802</v>
      </c>
      <c r="D1034" t="inlineStr">
        <is>
          <t>DALARNAS LÄN</t>
        </is>
      </c>
      <c r="E1034" t="inlineStr">
        <is>
          <t>ÄLVDALEN</t>
        </is>
      </c>
      <c r="F1034" t="inlineStr">
        <is>
          <t>Allmännings- och besparingsskogar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7217-2025</t>
        </is>
      </c>
      <c r="B1035" s="1" t="n">
        <v>45702</v>
      </c>
      <c r="C1035" s="1" t="n">
        <v>45802</v>
      </c>
      <c r="D1035" t="inlineStr">
        <is>
          <t>DALARNAS LÄN</t>
        </is>
      </c>
      <c r="E1035" t="inlineStr">
        <is>
          <t>ÄLVDALEN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7219-2025</t>
        </is>
      </c>
      <c r="B1036" s="1" t="n">
        <v>45702</v>
      </c>
      <c r="C1036" s="1" t="n">
        <v>45802</v>
      </c>
      <c r="D1036" t="inlineStr">
        <is>
          <t>DALARNAS LÄN</t>
        </is>
      </c>
      <c r="E1036" t="inlineStr">
        <is>
          <t>ÄLVDALEN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7511-2025</t>
        </is>
      </c>
      <c r="B1037" s="1" t="n">
        <v>45705</v>
      </c>
      <c r="C1037" s="1" t="n">
        <v>45802</v>
      </c>
      <c r="D1037" t="inlineStr">
        <is>
          <t>DALARNAS LÄN</t>
        </is>
      </c>
      <c r="E1037" t="inlineStr">
        <is>
          <t>ÄLVDALEN</t>
        </is>
      </c>
      <c r="F1037" t="inlineStr">
        <is>
          <t>Allmännings- och besparingsskogar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8069-2025</t>
        </is>
      </c>
      <c r="B1038" s="1" t="n">
        <v>45707</v>
      </c>
      <c r="C1038" s="1" t="n">
        <v>45802</v>
      </c>
      <c r="D1038" t="inlineStr">
        <is>
          <t>DALARNAS LÄN</t>
        </is>
      </c>
      <c r="E1038" t="inlineStr">
        <is>
          <t>ÄLVDALEN</t>
        </is>
      </c>
      <c r="F1038" t="inlineStr">
        <is>
          <t>Allmännings- och besparingsskogar</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7937-2025</t>
        </is>
      </c>
      <c r="B1039" s="1" t="n">
        <v>45707</v>
      </c>
      <c r="C1039" s="1" t="n">
        <v>45802</v>
      </c>
      <c r="D1039" t="inlineStr">
        <is>
          <t>DALARNAS LÄN</t>
        </is>
      </c>
      <c r="E1039" t="inlineStr">
        <is>
          <t>ÄLVDALEN</t>
        </is>
      </c>
      <c r="F1039" t="inlineStr">
        <is>
          <t>Allmännings- och besparingsskogar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7917-2025</t>
        </is>
      </c>
      <c r="B1040" s="1" t="n">
        <v>45707</v>
      </c>
      <c r="C1040" s="1" t="n">
        <v>45802</v>
      </c>
      <c r="D1040" t="inlineStr">
        <is>
          <t>DALARNAS LÄN</t>
        </is>
      </c>
      <c r="E1040" t="inlineStr">
        <is>
          <t>ÄLVDALEN</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7913-2025</t>
        </is>
      </c>
      <c r="B1041" s="1" t="n">
        <v>45707</v>
      </c>
      <c r="C1041" s="1" t="n">
        <v>45802</v>
      </c>
      <c r="D1041" t="inlineStr">
        <is>
          <t>DALARNAS LÄN</t>
        </is>
      </c>
      <c r="E1041" t="inlineStr">
        <is>
          <t>ÄLVDALEN</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8192-2025</t>
        </is>
      </c>
      <c r="B1042" s="1" t="n">
        <v>45708</v>
      </c>
      <c r="C1042" s="1" t="n">
        <v>45802</v>
      </c>
      <c r="D1042" t="inlineStr">
        <is>
          <t>DALARNAS LÄN</t>
        </is>
      </c>
      <c r="E1042" t="inlineStr">
        <is>
          <t>ÄLVDALEN</t>
        </is>
      </c>
      <c r="F1042" t="inlineStr">
        <is>
          <t>Allmännings- och besparingsskogar</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8146-2025</t>
        </is>
      </c>
      <c r="B1043" s="1" t="n">
        <v>45708</v>
      </c>
      <c r="C1043" s="1" t="n">
        <v>45802</v>
      </c>
      <c r="D1043" t="inlineStr">
        <is>
          <t>DALARNAS LÄN</t>
        </is>
      </c>
      <c r="E1043" t="inlineStr">
        <is>
          <t>ÄLVDALEN</t>
        </is>
      </c>
      <c r="F1043" t="inlineStr">
        <is>
          <t>Allmännings- och besparingsskogar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8538-2025</t>
        </is>
      </c>
      <c r="B1044" s="1" t="n">
        <v>45709</v>
      </c>
      <c r="C1044" s="1" t="n">
        <v>45802</v>
      </c>
      <c r="D1044" t="inlineStr">
        <is>
          <t>DALARNAS LÄN</t>
        </is>
      </c>
      <c r="E1044" t="inlineStr">
        <is>
          <t>ÄLVDALEN</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8496-2025</t>
        </is>
      </c>
      <c r="B1045" s="1" t="n">
        <v>45709</v>
      </c>
      <c r="C1045" s="1" t="n">
        <v>45802</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8492-2025</t>
        </is>
      </c>
      <c r="B1046" s="1" t="n">
        <v>45709</v>
      </c>
      <c r="C1046" s="1" t="n">
        <v>45802</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9045-2025</t>
        </is>
      </c>
      <c r="B1047" s="1" t="n">
        <v>45713</v>
      </c>
      <c r="C1047" s="1" t="n">
        <v>45802</v>
      </c>
      <c r="D1047" t="inlineStr">
        <is>
          <t>DALARNAS LÄN</t>
        </is>
      </c>
      <c r="E1047" t="inlineStr">
        <is>
          <t>ÄLVDALEN</t>
        </is>
      </c>
      <c r="F1047" t="inlineStr">
        <is>
          <t>Allmännings- och besparingsskogar</t>
        </is>
      </c>
      <c r="G1047" t="n">
        <v>39.1</v>
      </c>
      <c r="H1047" t="n">
        <v>0</v>
      </c>
      <c r="I1047" t="n">
        <v>0</v>
      </c>
      <c r="J1047" t="n">
        <v>0</v>
      </c>
      <c r="K1047" t="n">
        <v>0</v>
      </c>
      <c r="L1047" t="n">
        <v>0</v>
      </c>
      <c r="M1047" t="n">
        <v>0</v>
      </c>
      <c r="N1047" t="n">
        <v>0</v>
      </c>
      <c r="O1047" t="n">
        <v>0</v>
      </c>
      <c r="P1047" t="n">
        <v>0</v>
      </c>
      <c r="Q1047" t="n">
        <v>0</v>
      </c>
      <c r="R1047" s="2" t="inlineStr"/>
    </row>
    <row r="1048" ht="15" customHeight="1">
      <c r="A1048" t="inlineStr">
        <is>
          <t>A 8952-2025</t>
        </is>
      </c>
      <c r="B1048" s="1" t="n">
        <v>45713</v>
      </c>
      <c r="C1048" s="1" t="n">
        <v>45802</v>
      </c>
      <c r="D1048" t="inlineStr">
        <is>
          <t>DALARNAS LÄN</t>
        </is>
      </c>
      <c r="E1048" t="inlineStr">
        <is>
          <t>ÄLVDALEN</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8986-2025</t>
        </is>
      </c>
      <c r="B1049" s="1" t="n">
        <v>45713</v>
      </c>
      <c r="C1049" s="1" t="n">
        <v>45802</v>
      </c>
      <c r="D1049" t="inlineStr">
        <is>
          <t>DALARNAS LÄN</t>
        </is>
      </c>
      <c r="E1049" t="inlineStr">
        <is>
          <t>ÄLVDALEN</t>
        </is>
      </c>
      <c r="F1049" t="inlineStr">
        <is>
          <t>Allmännings- och besparingsskogar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10817-2025</t>
        </is>
      </c>
      <c r="B1050" s="1" t="n">
        <v>45722</v>
      </c>
      <c r="C1050" s="1" t="n">
        <v>45802</v>
      </c>
      <c r="D1050" t="inlineStr">
        <is>
          <t>DALARNAS LÄN</t>
        </is>
      </c>
      <c r="E1050" t="inlineStr">
        <is>
          <t>ÄLVDALEN</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10831-2025</t>
        </is>
      </c>
      <c r="B1051" s="1" t="n">
        <v>45722</v>
      </c>
      <c r="C1051" s="1" t="n">
        <v>45802</v>
      </c>
      <c r="D1051" t="inlineStr">
        <is>
          <t>DALARNAS LÄN</t>
        </is>
      </c>
      <c r="E1051" t="inlineStr">
        <is>
          <t>ÄLVDALEN</t>
        </is>
      </c>
      <c r="F1051" t="inlineStr">
        <is>
          <t>Kommuner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10758-2025</t>
        </is>
      </c>
      <c r="B1052" s="1" t="n">
        <v>45722</v>
      </c>
      <c r="C1052" s="1" t="n">
        <v>45802</v>
      </c>
      <c r="D1052" t="inlineStr">
        <is>
          <t>DALARNAS LÄN</t>
        </is>
      </c>
      <c r="E1052" t="inlineStr">
        <is>
          <t>ÄLVDALEN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12318-2025</t>
        </is>
      </c>
      <c r="B1053" s="1" t="n">
        <v>45729</v>
      </c>
      <c r="C1053" s="1" t="n">
        <v>45802</v>
      </c>
      <c r="D1053" t="inlineStr">
        <is>
          <t>DALARNAS LÄN</t>
        </is>
      </c>
      <c r="E1053" t="inlineStr">
        <is>
          <t>ÄLVDALEN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14489-2025</t>
        </is>
      </c>
      <c r="B1054" s="1" t="n">
        <v>45741</v>
      </c>
      <c r="C1054" s="1" t="n">
        <v>45802</v>
      </c>
      <c r="D1054" t="inlineStr">
        <is>
          <t>DALARNAS LÄN</t>
        </is>
      </c>
      <c r="E1054" t="inlineStr">
        <is>
          <t>ÄLVDALEN</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15363-2025</t>
        </is>
      </c>
      <c r="B1055" s="1" t="n">
        <v>45747</v>
      </c>
      <c r="C1055" s="1" t="n">
        <v>45802</v>
      </c>
      <c r="D1055" t="inlineStr">
        <is>
          <t>DALARNAS LÄN</t>
        </is>
      </c>
      <c r="E1055" t="inlineStr">
        <is>
          <t>ÄLVDALEN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15738-2025</t>
        </is>
      </c>
      <c r="B1056" s="1" t="n">
        <v>45748</v>
      </c>
      <c r="C1056" s="1" t="n">
        <v>45802</v>
      </c>
      <c r="D1056" t="inlineStr">
        <is>
          <t>DALARNAS LÄN</t>
        </is>
      </c>
      <c r="E1056" t="inlineStr">
        <is>
          <t>ÄLVDALEN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16746-2025</t>
        </is>
      </c>
      <c r="B1057" s="1" t="n">
        <v>45754</v>
      </c>
      <c r="C1057" s="1" t="n">
        <v>45802</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19578-2025</t>
        </is>
      </c>
      <c r="B1058" s="1" t="n">
        <v>45770</v>
      </c>
      <c r="C1058" s="1" t="n">
        <v>45802</v>
      </c>
      <c r="D1058" t="inlineStr">
        <is>
          <t>DALARNAS LÄN</t>
        </is>
      </c>
      <c r="E1058" t="inlineStr">
        <is>
          <t>ÄLVDALEN</t>
        </is>
      </c>
      <c r="F1058" t="inlineStr">
        <is>
          <t>Sveaskog</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19583-2025</t>
        </is>
      </c>
      <c r="B1059" s="1" t="n">
        <v>45770</v>
      </c>
      <c r="C1059" s="1" t="n">
        <v>45802</v>
      </c>
      <c r="D1059" t="inlineStr">
        <is>
          <t>DALARNAS LÄN</t>
        </is>
      </c>
      <c r="E1059" t="inlineStr">
        <is>
          <t>ÄLVDALEN</t>
        </is>
      </c>
      <c r="F1059" t="inlineStr">
        <is>
          <t>Sveaskog</t>
        </is>
      </c>
      <c r="G1059" t="n">
        <v>24.1</v>
      </c>
      <c r="H1059" t="n">
        <v>0</v>
      </c>
      <c r="I1059" t="n">
        <v>0</v>
      </c>
      <c r="J1059" t="n">
        <v>0</v>
      </c>
      <c r="K1059" t="n">
        <v>0</v>
      </c>
      <c r="L1059" t="n">
        <v>0</v>
      </c>
      <c r="M1059" t="n">
        <v>0</v>
      </c>
      <c r="N1059" t="n">
        <v>0</v>
      </c>
      <c r="O1059" t="n">
        <v>0</v>
      </c>
      <c r="P1059" t="n">
        <v>0</v>
      </c>
      <c r="Q1059" t="n">
        <v>0</v>
      </c>
      <c r="R1059" s="2" t="inlineStr"/>
    </row>
    <row r="1060" ht="15" customHeight="1">
      <c r="A1060" t="inlineStr">
        <is>
          <t>A 19587-2025</t>
        </is>
      </c>
      <c r="B1060" s="1" t="n">
        <v>45770</v>
      </c>
      <c r="C1060" s="1" t="n">
        <v>45802</v>
      </c>
      <c r="D1060" t="inlineStr">
        <is>
          <t>DALARNAS LÄN</t>
        </is>
      </c>
      <c r="E1060" t="inlineStr">
        <is>
          <t>ÄLVDALEN</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19553-2025</t>
        </is>
      </c>
      <c r="B1061" s="1" t="n">
        <v>45770</v>
      </c>
      <c r="C1061" s="1" t="n">
        <v>45802</v>
      </c>
      <c r="D1061" t="inlineStr">
        <is>
          <t>DALARNAS LÄN</t>
        </is>
      </c>
      <c r="E1061" t="inlineStr">
        <is>
          <t>ÄLVDALEN</t>
        </is>
      </c>
      <c r="F1061" t="inlineStr">
        <is>
          <t>Sveaskog</t>
        </is>
      </c>
      <c r="G1061" t="n">
        <v>25.2</v>
      </c>
      <c r="H1061" t="n">
        <v>0</v>
      </c>
      <c r="I1061" t="n">
        <v>0</v>
      </c>
      <c r="J1061" t="n">
        <v>0</v>
      </c>
      <c r="K1061" t="n">
        <v>0</v>
      </c>
      <c r="L1061" t="n">
        <v>0</v>
      </c>
      <c r="M1061" t="n">
        <v>0</v>
      </c>
      <c r="N1061" t="n">
        <v>0</v>
      </c>
      <c r="O1061" t="n">
        <v>0</v>
      </c>
      <c r="P1061" t="n">
        <v>0</v>
      </c>
      <c r="Q1061" t="n">
        <v>0</v>
      </c>
      <c r="R1061" s="2" t="inlineStr"/>
    </row>
    <row r="1062" ht="15" customHeight="1">
      <c r="A1062" t="inlineStr">
        <is>
          <t>A 19527-2025</t>
        </is>
      </c>
      <c r="B1062" s="1" t="n">
        <v>45770</v>
      </c>
      <c r="C1062" s="1" t="n">
        <v>45802</v>
      </c>
      <c r="D1062" t="inlineStr">
        <is>
          <t>DALARNAS LÄN</t>
        </is>
      </c>
      <c r="E1062" t="inlineStr">
        <is>
          <t>ÄLVDALEN</t>
        </is>
      </c>
      <c r="F1062" t="inlineStr">
        <is>
          <t>Allmännings- och besparingsskogar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19567-2025</t>
        </is>
      </c>
      <c r="B1063" s="1" t="n">
        <v>45770</v>
      </c>
      <c r="C1063" s="1" t="n">
        <v>45802</v>
      </c>
      <c r="D1063" t="inlineStr">
        <is>
          <t>DALARNAS LÄN</t>
        </is>
      </c>
      <c r="E1063" t="inlineStr">
        <is>
          <t>ÄLVDALEN</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45802</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19588-2025</t>
        </is>
      </c>
      <c r="B1065" s="1" t="n">
        <v>45770</v>
      </c>
      <c r="C1065" s="1" t="n">
        <v>45802</v>
      </c>
      <c r="D1065" t="inlineStr">
        <is>
          <t>DALARNAS LÄN</t>
        </is>
      </c>
      <c r="E1065" t="inlineStr">
        <is>
          <t>ÄLVDALEN</t>
        </is>
      </c>
      <c r="F1065" t="inlineStr">
        <is>
          <t>Sveaskog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20146-2025</t>
        </is>
      </c>
      <c r="B1066" s="1" t="n">
        <v>45772</v>
      </c>
      <c r="C1066" s="1" t="n">
        <v>45802</v>
      </c>
      <c r="D1066" t="inlineStr">
        <is>
          <t>DALARNAS LÄN</t>
        </is>
      </c>
      <c r="E1066" t="inlineStr">
        <is>
          <t>ÄLVDALEN</t>
        </is>
      </c>
      <c r="F1066" t="inlineStr">
        <is>
          <t>Allmännings- och besparingsskogar</t>
        </is>
      </c>
      <c r="G1066" t="n">
        <v>24.3</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45802</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45802</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20924-2025</t>
        </is>
      </c>
      <c r="B1069" s="1" t="n">
        <v>45777</v>
      </c>
      <c r="C1069" s="1" t="n">
        <v>45802</v>
      </c>
      <c r="D1069" t="inlineStr">
        <is>
          <t>DALARNAS LÄN</t>
        </is>
      </c>
      <c r="E1069" t="inlineStr">
        <is>
          <t>ÄLVDALEN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21395-2025</t>
        </is>
      </c>
      <c r="B1070" s="1" t="n">
        <v>45782</v>
      </c>
      <c r="C1070" s="1" t="n">
        <v>45802</v>
      </c>
      <c r="D1070" t="inlineStr">
        <is>
          <t>DALARNAS LÄN</t>
        </is>
      </c>
      <c r="E1070" t="inlineStr">
        <is>
          <t>ÄLVDALEN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21613-2025</t>
        </is>
      </c>
      <c r="B1071" s="1" t="n">
        <v>45783</v>
      </c>
      <c r="C1071" s="1" t="n">
        <v>45802</v>
      </c>
      <c r="D1071" t="inlineStr">
        <is>
          <t>DALARNAS LÄN</t>
        </is>
      </c>
      <c r="E1071" t="inlineStr">
        <is>
          <t>ÄLVDALEN</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21629-2025</t>
        </is>
      </c>
      <c r="B1072" s="1" t="n">
        <v>45783</v>
      </c>
      <c r="C1072" s="1" t="n">
        <v>45802</v>
      </c>
      <c r="D1072" t="inlineStr">
        <is>
          <t>DALARNAS LÄN</t>
        </is>
      </c>
      <c r="E1072" t="inlineStr">
        <is>
          <t>ÄLVDALEN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22189-2025</t>
        </is>
      </c>
      <c r="B1073" s="1" t="n">
        <v>45785</v>
      </c>
      <c r="C1073" s="1" t="n">
        <v>45802</v>
      </c>
      <c r="D1073" t="inlineStr">
        <is>
          <t>DALARNAS LÄN</t>
        </is>
      </c>
      <c r="E1073" t="inlineStr">
        <is>
          <t>ÄLVDALEN</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22291-2025</t>
        </is>
      </c>
      <c r="B1074" s="1" t="n">
        <v>45786</v>
      </c>
      <c r="C1074" s="1" t="n">
        <v>45802</v>
      </c>
      <c r="D1074" t="inlineStr">
        <is>
          <t>DALARNAS LÄN</t>
        </is>
      </c>
      <c r="E1074" t="inlineStr">
        <is>
          <t>ÄLVDALEN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45802</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45802</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22286-2025</t>
        </is>
      </c>
      <c r="B1077" s="1" t="n">
        <v>45786</v>
      </c>
      <c r="C1077" s="1" t="n">
        <v>45802</v>
      </c>
      <c r="D1077" t="inlineStr">
        <is>
          <t>DALARNAS LÄN</t>
        </is>
      </c>
      <c r="E1077" t="inlineStr">
        <is>
          <t>ÄLVDALEN</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45802</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45802</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22577-2025</t>
        </is>
      </c>
      <c r="B1080" s="1" t="n">
        <v>45789</v>
      </c>
      <c r="C1080" s="1" t="n">
        <v>45802</v>
      </c>
      <c r="D1080" t="inlineStr">
        <is>
          <t>DALARNAS LÄN</t>
        </is>
      </c>
      <c r="E1080" t="inlineStr">
        <is>
          <t>ÄLVDALEN</t>
        </is>
      </c>
      <c r="F1080" t="inlineStr">
        <is>
          <t>Allmännings- och besparingsskogar</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22909-2025</t>
        </is>
      </c>
      <c r="B1081" s="1" t="n">
        <v>45790</v>
      </c>
      <c r="C1081" s="1" t="n">
        <v>45802</v>
      </c>
      <c r="D1081" t="inlineStr">
        <is>
          <t>DALARNAS LÄN</t>
        </is>
      </c>
      <c r="E1081" t="inlineStr">
        <is>
          <t>ÄLVDALEN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23219-2025</t>
        </is>
      </c>
      <c r="B1082" s="1" t="n">
        <v>45791</v>
      </c>
      <c r="C1082" s="1" t="n">
        <v>45802</v>
      </c>
      <c r="D1082" t="inlineStr">
        <is>
          <t>DALARNAS LÄN</t>
        </is>
      </c>
      <c r="E1082" t="inlineStr">
        <is>
          <t>ÄLVDALEN</t>
        </is>
      </c>
      <c r="F1082" t="inlineStr">
        <is>
          <t>Bergvik skog öst AB</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23555-2025</t>
        </is>
      </c>
      <c r="B1083" s="1" t="n">
        <v>45792</v>
      </c>
      <c r="C1083" s="1" t="n">
        <v>45802</v>
      </c>
      <c r="D1083" t="inlineStr">
        <is>
          <t>DALARNAS LÄN</t>
        </is>
      </c>
      <c r="E1083" t="inlineStr">
        <is>
          <t>ÄLVDALEN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24637-2025</t>
        </is>
      </c>
      <c r="B1084" s="1" t="n">
        <v>45798</v>
      </c>
      <c r="C1084" s="1" t="n">
        <v>45802</v>
      </c>
      <c r="D1084" t="inlineStr">
        <is>
          <t>DALARNAS LÄN</t>
        </is>
      </c>
      <c r="E1084" t="inlineStr">
        <is>
          <t>ÄLVDALEN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24950-2025</t>
        </is>
      </c>
      <c r="B1085" s="1" t="n">
        <v>45799</v>
      </c>
      <c r="C1085" s="1" t="n">
        <v>45802</v>
      </c>
      <c r="D1085" t="inlineStr">
        <is>
          <t>DALARNAS LÄN</t>
        </is>
      </c>
      <c r="E1085" t="inlineStr">
        <is>
          <t>ÄLVDALEN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24806-2025</t>
        </is>
      </c>
      <c r="B1086" s="1" t="n">
        <v>45799</v>
      </c>
      <c r="C1086" s="1" t="n">
        <v>45802</v>
      </c>
      <c r="D1086" t="inlineStr">
        <is>
          <t>DALARNAS LÄN</t>
        </is>
      </c>
      <c r="E1086" t="inlineStr">
        <is>
          <t>ÄLVDALEN</t>
        </is>
      </c>
      <c r="F1086" t="inlineStr">
        <is>
          <t>Allmännings- och besparingsskogar</t>
        </is>
      </c>
      <c r="G1086" t="n">
        <v>35.1</v>
      </c>
      <c r="H1086" t="n">
        <v>0</v>
      </c>
      <c r="I1086" t="n">
        <v>0</v>
      </c>
      <c r="J1086" t="n">
        <v>0</v>
      </c>
      <c r="K1086" t="n">
        <v>0</v>
      </c>
      <c r="L1086" t="n">
        <v>0</v>
      </c>
      <c r="M1086" t="n">
        <v>0</v>
      </c>
      <c r="N1086" t="n">
        <v>0</v>
      </c>
      <c r="O1086" t="n">
        <v>0</v>
      </c>
      <c r="P1086" t="n">
        <v>0</v>
      </c>
      <c r="Q1086" t="n">
        <v>0</v>
      </c>
      <c r="R1086" s="2" t="inlineStr"/>
    </row>
    <row r="1087">
      <c r="A1087" t="inlineStr">
        <is>
          <t>A 25086-2025</t>
        </is>
      </c>
      <c r="B1087" s="1" t="n">
        <v>45800</v>
      </c>
      <c r="C1087" s="1" t="n">
        <v>45802</v>
      </c>
      <c r="D1087" t="inlineStr">
        <is>
          <t>DALARNAS LÄN</t>
        </is>
      </c>
      <c r="E1087" t="inlineStr">
        <is>
          <t>ÄLVDALEN</t>
        </is>
      </c>
      <c r="F1087" t="inlineStr">
        <is>
          <t>Sveaskog</t>
        </is>
      </c>
      <c r="G1087" t="n">
        <v>10.7</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2025-05-25T18:06:23Z</dcterms:created>
  <dcterms:modified xmlns:dcterms="http://purl.org/dc/terms/" xmlns:xsi="http://www.w3.org/2001/XMLSchema-instance" xsi:type="dcterms:W3CDTF">2025-05-25T18:06:24Z</dcterms:modified>
</cp:coreProperties>
</file>