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46145</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46145</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46145</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40996-2023</t>
        </is>
      </c>
      <c r="B10" s="1" t="n">
        <v>45173</v>
      </c>
      <c r="C10" s="1" t="n">
        <v>46145</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4832-2026</t>
        </is>
      </c>
      <c r="B11" s="1" t="n">
        <v>46048.60064814815</v>
      </c>
      <c r="C11" s="1" t="n">
        <v>46145</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46145</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46145</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46145</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46145</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46145</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19109-2023</t>
        </is>
      </c>
      <c r="B17" s="1" t="n">
        <v>45044</v>
      </c>
      <c r="C17" s="1" t="n">
        <v>46145</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46145</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46145</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46145</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46145</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46145</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46145</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46145</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33285-2025</t>
        </is>
      </c>
      <c r="B25" s="1" t="n">
        <v>45840</v>
      </c>
      <c r="C25" s="1" t="n">
        <v>46145</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59545-2024</t>
        </is>
      </c>
      <c r="B26" s="1" t="n">
        <v>45638.62018518519</v>
      </c>
      <c r="C26" s="1" t="n">
        <v>46145</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46145</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46145</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46145</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46145</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46145</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15715-2026</t>
        </is>
      </c>
      <c r="B32" s="1" t="n">
        <v>46107.36067129629</v>
      </c>
      <c r="C32" s="1" t="n">
        <v>46145</v>
      </c>
      <c r="D32" t="inlineStr">
        <is>
          <t>DALARNAS LÄN</t>
        </is>
      </c>
      <c r="E32" t="inlineStr">
        <is>
          <t>ÄLVDALEN</t>
        </is>
      </c>
      <c r="G32" t="n">
        <v>9.6</v>
      </c>
      <c r="H32" t="n">
        <v>5</v>
      </c>
      <c r="I32" t="n">
        <v>1</v>
      </c>
      <c r="J32" t="n">
        <v>10</v>
      </c>
      <c r="K32" t="n">
        <v>0</v>
      </c>
      <c r="L32" t="n">
        <v>0</v>
      </c>
      <c r="M32" t="n">
        <v>0</v>
      </c>
      <c r="N32" t="n">
        <v>0</v>
      </c>
      <c r="O32" t="n">
        <v>10</v>
      </c>
      <c r="P32" t="n">
        <v>0</v>
      </c>
      <c r="Q32" t="n">
        <v>13</v>
      </c>
      <c r="R32" s="2" t="inlineStr">
        <is>
          <t>Blågrå svartspik
Garnlav
Järpe
Mörk kolflarnlav
Skogshare
Spillkråka
Tallticka
Tretåig hackspett
Vedflamlav
Vedskivlav
Mindre märgborre
Orre
Tjäder</t>
        </is>
      </c>
      <c r="S32">
        <f>HYPERLINK("https://klasma.github.io/Logging_2039/artfynd/A 15715-2026 artfynd.xlsx", "A 15715-2026")</f>
        <v/>
      </c>
      <c r="T32">
        <f>HYPERLINK("https://klasma.github.io/Logging_2039/kartor/A 15715-2026 karta.png", "A 15715-2026")</f>
        <v/>
      </c>
      <c r="V32">
        <f>HYPERLINK("https://klasma.github.io/Logging_2039/klagomål/A 15715-2026 FSC-klagomål.docx", "A 15715-2026")</f>
        <v/>
      </c>
      <c r="W32">
        <f>HYPERLINK("https://klasma.github.io/Logging_2039/klagomålsmail/A 15715-2026 FSC-klagomål mail.docx", "A 15715-2026")</f>
        <v/>
      </c>
      <c r="X32">
        <f>HYPERLINK("https://klasma.github.io/Logging_2039/tillsyn/A 15715-2026 tillsynsbegäran.docx", "A 15715-2026")</f>
        <v/>
      </c>
      <c r="Y32">
        <f>HYPERLINK("https://klasma.github.io/Logging_2039/tillsynsmail/A 15715-2026 tillsynsbegäran mail.docx", "A 15715-2026")</f>
        <v/>
      </c>
      <c r="Z32">
        <f>HYPERLINK("https://klasma.github.io/Logging_2039/fåglar/A 15715-2026 prioriterade fågelarter.docx", "A 15715-2026")</f>
        <v/>
      </c>
    </row>
    <row r="33" ht="15" customHeight="1">
      <c r="A33" t="inlineStr">
        <is>
          <t>A 33548-2023</t>
        </is>
      </c>
      <c r="B33" s="1" t="n">
        <v>45118</v>
      </c>
      <c r="C33" s="1" t="n">
        <v>46145</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45113-2025</t>
        </is>
      </c>
      <c r="B34" s="1" t="n">
        <v>45919.42304398148</v>
      </c>
      <c r="C34" s="1" t="n">
        <v>46145</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46145</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49247-2025</t>
        </is>
      </c>
      <c r="B36" s="1" t="n">
        <v>45938.48887731481</v>
      </c>
      <c r="C36" s="1" t="n">
        <v>46145</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46145</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57095-2025</t>
        </is>
      </c>
      <c r="B38" s="1" t="n">
        <v>45979.43158564815</v>
      </c>
      <c r="C38" s="1" t="n">
        <v>46145</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41638-2025</t>
        </is>
      </c>
      <c r="B39" s="1" t="n">
        <v>45901</v>
      </c>
      <c r="C39" s="1" t="n">
        <v>46145</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5813-2025</t>
        </is>
      </c>
      <c r="B40" s="1" t="n">
        <v>45694</v>
      </c>
      <c r="C40" s="1" t="n">
        <v>46145</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46145</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55982-2025</t>
        </is>
      </c>
      <c r="B42" s="1" t="n">
        <v>45973.54251157407</v>
      </c>
      <c r="C42" s="1" t="n">
        <v>46145</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46145</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46145</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46145</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46145</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46145</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46145</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46145</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46145</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29154-2025</t>
        </is>
      </c>
      <c r="B51" s="1" t="n">
        <v>45821.65135416666</v>
      </c>
      <c r="C51" s="1" t="n">
        <v>46145</v>
      </c>
      <c r="D51" t="inlineStr">
        <is>
          <t>DALARNAS LÄN</t>
        </is>
      </c>
      <c r="E51" t="inlineStr">
        <is>
          <t>ÄLVDALEN</t>
        </is>
      </c>
      <c r="F51" t="inlineStr">
        <is>
          <t>Allmännings- och besparingsskogar</t>
        </is>
      </c>
      <c r="G51" t="n">
        <v>32.2</v>
      </c>
      <c r="H51" t="n">
        <v>4</v>
      </c>
      <c r="I51" t="n">
        <v>0</v>
      </c>
      <c r="J51" t="n">
        <v>8</v>
      </c>
      <c r="K51" t="n">
        <v>0</v>
      </c>
      <c r="L51" t="n">
        <v>0</v>
      </c>
      <c r="M51" t="n">
        <v>0</v>
      </c>
      <c r="N51" t="n">
        <v>0</v>
      </c>
      <c r="O51" t="n">
        <v>8</v>
      </c>
      <c r="P51" t="n">
        <v>0</v>
      </c>
      <c r="Q51" t="n">
        <v>11</v>
      </c>
      <c r="R51" s="2" t="inlineStr">
        <is>
          <t>Garnlav
Kolflarnlav
Mörk kolflarnlav
Spillkråka
Tallticka
Vedflamlav
Vedskivlav
Vitgrynig nållav
Kungsfågel
Vanlig groda
Fläcknycklar</t>
        </is>
      </c>
      <c r="S51">
        <f>HYPERLINK("https://klasma.github.io/Logging_2039/artfynd/A 29154-2025 artfynd.xlsx", "A 29154-2025")</f>
        <v/>
      </c>
      <c r="T51">
        <f>HYPERLINK("https://klasma.github.io/Logging_2039/kartor/A 29154-2025 karta.png", "A 29154-2025")</f>
        <v/>
      </c>
      <c r="V51">
        <f>HYPERLINK("https://klasma.github.io/Logging_2039/klagomål/A 29154-2025 FSC-klagomål.docx", "A 29154-2025")</f>
        <v/>
      </c>
      <c r="W51">
        <f>HYPERLINK("https://klasma.github.io/Logging_2039/klagomålsmail/A 29154-2025 FSC-klagomål mail.docx", "A 29154-2025")</f>
        <v/>
      </c>
      <c r="X51">
        <f>HYPERLINK("https://klasma.github.io/Logging_2039/tillsyn/A 29154-2025 tillsynsbegäran.docx", "A 29154-2025")</f>
        <v/>
      </c>
      <c r="Y51">
        <f>HYPERLINK("https://klasma.github.io/Logging_2039/tillsynsmail/A 29154-2025 tillsynsbegäran mail.docx", "A 29154-2025")</f>
        <v/>
      </c>
      <c r="Z51">
        <f>HYPERLINK("https://klasma.github.io/Logging_2039/fåglar/A 29154-2025 prioriterade fågelarter.docx", "A 29154-2025")</f>
        <v/>
      </c>
    </row>
    <row r="52" ht="15" customHeight="1">
      <c r="A52" t="inlineStr">
        <is>
          <t>A 38364-2021</t>
        </is>
      </c>
      <c r="B52" s="1" t="n">
        <v>44406</v>
      </c>
      <c r="C52" s="1" t="n">
        <v>46145</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46145</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40444-2025</t>
        </is>
      </c>
      <c r="B54" s="1" t="n">
        <v>45895</v>
      </c>
      <c r="C54" s="1" t="n">
        <v>46145</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61999-2025</t>
        </is>
      </c>
      <c r="B55" s="1" t="n">
        <v>46003.64638888889</v>
      </c>
      <c r="C55" s="1" t="n">
        <v>46145</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30220-2023</t>
        </is>
      </c>
      <c r="B56" s="1" t="n">
        <v>45110.64706018518</v>
      </c>
      <c r="C56" s="1" t="n">
        <v>46145</v>
      </c>
      <c r="D56" t="inlineStr">
        <is>
          <t>DALARNAS LÄN</t>
        </is>
      </c>
      <c r="E56" t="inlineStr">
        <is>
          <t>ÄLVDALEN</t>
        </is>
      </c>
      <c r="F56" t="inlineStr">
        <is>
          <t>Allmännings- och besparingsskogar</t>
        </is>
      </c>
      <c r="G56" t="n">
        <v>13</v>
      </c>
      <c r="H56" t="n">
        <v>0</v>
      </c>
      <c r="I56" t="n">
        <v>2</v>
      </c>
      <c r="J56" t="n">
        <v>6</v>
      </c>
      <c r="K56" t="n">
        <v>2</v>
      </c>
      <c r="L56" t="n">
        <v>0</v>
      </c>
      <c r="M56" t="n">
        <v>0</v>
      </c>
      <c r="N56" t="n">
        <v>0</v>
      </c>
      <c r="O56" t="n">
        <v>8</v>
      </c>
      <c r="P56" t="n">
        <v>2</v>
      </c>
      <c r="Q56" t="n">
        <v>10</v>
      </c>
      <c r="R56" s="2" t="inlineStr">
        <is>
          <t>Goliatmusseron
Smalfotad taggsvamp
Blå taggsvamp
Kolflarnlav
Orange taggsvamp
Talltaggsvamp
Vedskivlav
Vitplätt
Dropptaggsvamp
Skarp dropptaggsvamp</t>
        </is>
      </c>
      <c r="S56">
        <f>HYPERLINK("https://klasma.github.io/Logging_2039/artfynd/A 30220-2023 artfynd.xlsx", "A 30220-2023")</f>
        <v/>
      </c>
      <c r="T56">
        <f>HYPERLINK("https://klasma.github.io/Logging_2039/kartor/A 30220-2023 karta.png", "A 30220-2023")</f>
        <v/>
      </c>
      <c r="V56">
        <f>HYPERLINK("https://klasma.github.io/Logging_2039/klagomål/A 30220-2023 FSC-klagomål.docx", "A 30220-2023")</f>
        <v/>
      </c>
      <c r="W56">
        <f>HYPERLINK("https://klasma.github.io/Logging_2039/klagomålsmail/A 30220-2023 FSC-klagomål mail.docx", "A 30220-2023")</f>
        <v/>
      </c>
      <c r="X56">
        <f>HYPERLINK("https://klasma.github.io/Logging_2039/tillsyn/A 30220-2023 tillsynsbegäran.docx", "A 30220-2023")</f>
        <v/>
      </c>
      <c r="Y56">
        <f>HYPERLINK("https://klasma.github.io/Logging_2039/tillsynsmail/A 30220-2023 tillsynsbegäran mail.docx", "A 30220-2023")</f>
        <v/>
      </c>
    </row>
    <row r="57" ht="15" customHeight="1">
      <c r="A57" t="inlineStr">
        <is>
          <t>A 1159-2026</t>
        </is>
      </c>
      <c r="B57" s="1" t="n">
        <v>46031.32924768519</v>
      </c>
      <c r="C57" s="1" t="n">
        <v>46145</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34765-2025</t>
        </is>
      </c>
      <c r="B58" s="1" t="n">
        <v>45848</v>
      </c>
      <c r="C58" s="1" t="n">
        <v>46145</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6098-2026</t>
        </is>
      </c>
      <c r="B59" s="1" t="n">
        <v>46052.74193287037</v>
      </c>
      <c r="C59" s="1" t="n">
        <v>46145</v>
      </c>
      <c r="D59" t="inlineStr">
        <is>
          <t>DALARNAS LÄN</t>
        </is>
      </c>
      <c r="E59" t="inlineStr">
        <is>
          <t>ÄLVDALEN</t>
        </is>
      </c>
      <c r="G59" t="n">
        <v>4.1</v>
      </c>
      <c r="H59" t="n">
        <v>4</v>
      </c>
      <c r="I59" t="n">
        <v>2</v>
      </c>
      <c r="J59" t="n">
        <v>6</v>
      </c>
      <c r="K59" t="n">
        <v>0</v>
      </c>
      <c r="L59" t="n">
        <v>0</v>
      </c>
      <c r="M59" t="n">
        <v>0</v>
      </c>
      <c r="N59" t="n">
        <v>0</v>
      </c>
      <c r="O59" t="n">
        <v>6</v>
      </c>
      <c r="P59" t="n">
        <v>0</v>
      </c>
      <c r="Q59" t="n">
        <v>10</v>
      </c>
      <c r="R59" s="2" t="inlineStr">
        <is>
          <t>Garnlav
Kolflarnlav
Mörk kolflarnlav
Spillkråka
Tretåig hackspett
Vedskivlav
Björksplintborre
Mindre märgborre
Orre
Tjäder</t>
        </is>
      </c>
      <c r="S59">
        <f>HYPERLINK("https://klasma.github.io/Logging_2039/artfynd/A 6098-2026 artfynd.xlsx", "A 6098-2026")</f>
        <v/>
      </c>
      <c r="T59">
        <f>HYPERLINK("https://klasma.github.io/Logging_2039/kartor/A 6098-2026 karta.png", "A 6098-2026")</f>
        <v/>
      </c>
      <c r="V59">
        <f>HYPERLINK("https://klasma.github.io/Logging_2039/klagomål/A 6098-2026 FSC-klagomål.docx", "A 6098-2026")</f>
        <v/>
      </c>
      <c r="W59">
        <f>HYPERLINK("https://klasma.github.io/Logging_2039/klagomålsmail/A 6098-2026 FSC-klagomål mail.docx", "A 6098-2026")</f>
        <v/>
      </c>
      <c r="X59">
        <f>HYPERLINK("https://klasma.github.io/Logging_2039/tillsyn/A 6098-2026 tillsynsbegäran.docx", "A 6098-2026")</f>
        <v/>
      </c>
      <c r="Y59">
        <f>HYPERLINK("https://klasma.github.io/Logging_2039/tillsynsmail/A 6098-2026 tillsynsbegäran mail.docx", "A 6098-2026")</f>
        <v/>
      </c>
      <c r="Z59">
        <f>HYPERLINK("https://klasma.github.io/Logging_2039/fåglar/A 6098-2026 prioriterade fågelarter.docx", "A 6098-2026")</f>
        <v/>
      </c>
    </row>
    <row r="60" ht="15" customHeight="1">
      <c r="A60" t="inlineStr">
        <is>
          <t>A 12829-2026</t>
        </is>
      </c>
      <c r="B60" s="1" t="n">
        <v>46092.42181712963</v>
      </c>
      <c r="C60" s="1" t="n">
        <v>46145</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39762-2025</t>
        </is>
      </c>
      <c r="B61" s="1" t="n">
        <v>45891</v>
      </c>
      <c r="C61" s="1" t="n">
        <v>46145</v>
      </c>
      <c r="D61" t="inlineStr">
        <is>
          <t>DALARNAS LÄN</t>
        </is>
      </c>
      <c r="E61" t="inlineStr">
        <is>
          <t>ÄLVDALEN</t>
        </is>
      </c>
      <c r="G61" t="n">
        <v>4.7</v>
      </c>
      <c r="H61" t="n">
        <v>4</v>
      </c>
      <c r="I61" t="n">
        <v>1</v>
      </c>
      <c r="J61" t="n">
        <v>6</v>
      </c>
      <c r="K61" t="n">
        <v>0</v>
      </c>
      <c r="L61" t="n">
        <v>1</v>
      </c>
      <c r="M61" t="n">
        <v>0</v>
      </c>
      <c r="N61" t="n">
        <v>0</v>
      </c>
      <c r="O61" t="n">
        <v>7</v>
      </c>
      <c r="P61" t="n">
        <v>1</v>
      </c>
      <c r="Q61" t="n">
        <v>10</v>
      </c>
      <c r="R61" s="2" t="inlineStr">
        <is>
          <t>Långt broktagel
Garnlav
Spillkråka
Tallticka
Tretåig hackspett
Vedskivlav
Violettgrå tagellav
Mindre märgborre
Lavskrika
Tjäder</t>
        </is>
      </c>
      <c r="S61">
        <f>HYPERLINK("https://klasma.github.io/Logging_2039/artfynd/A 39762-2025 artfynd.xlsx", "A 39762-2025")</f>
        <v/>
      </c>
      <c r="T61">
        <f>HYPERLINK("https://klasma.github.io/Logging_2039/kartor/A 39762-2025 karta.png", "A 39762-2025")</f>
        <v/>
      </c>
      <c r="V61">
        <f>HYPERLINK("https://klasma.github.io/Logging_2039/klagomål/A 39762-2025 FSC-klagomål.docx", "A 39762-2025")</f>
        <v/>
      </c>
      <c r="W61">
        <f>HYPERLINK("https://klasma.github.io/Logging_2039/klagomålsmail/A 39762-2025 FSC-klagomål mail.docx", "A 39762-2025")</f>
        <v/>
      </c>
      <c r="X61">
        <f>HYPERLINK("https://klasma.github.io/Logging_2039/tillsyn/A 39762-2025 tillsynsbegäran.docx", "A 39762-2025")</f>
        <v/>
      </c>
      <c r="Y61">
        <f>HYPERLINK("https://klasma.github.io/Logging_2039/tillsynsmail/A 39762-2025 tillsynsbegäran mail.docx", "A 39762-2025")</f>
        <v/>
      </c>
      <c r="Z61">
        <f>HYPERLINK("https://klasma.github.io/Logging_2039/fåglar/A 39762-2025 prioriterade fågelarter.docx", "A 39762-2025")</f>
        <v/>
      </c>
    </row>
    <row r="62" ht="15" customHeight="1">
      <c r="A62" t="inlineStr">
        <is>
          <t>A 7921-2026</t>
        </is>
      </c>
      <c r="B62" s="1" t="n">
        <v>46063</v>
      </c>
      <c r="C62" s="1" t="n">
        <v>46145</v>
      </c>
      <c r="D62" t="inlineStr">
        <is>
          <t>DALARNAS LÄN</t>
        </is>
      </c>
      <c r="E62" t="inlineStr">
        <is>
          <t>ÄLVDALEN</t>
        </is>
      </c>
      <c r="F62" t="inlineStr">
        <is>
          <t>Övriga Aktiebolag</t>
        </is>
      </c>
      <c r="G62" t="n">
        <v>6.6</v>
      </c>
      <c r="H62" t="n">
        <v>3</v>
      </c>
      <c r="I62" t="n">
        <v>3</v>
      </c>
      <c r="J62" t="n">
        <v>5</v>
      </c>
      <c r="K62" t="n">
        <v>0</v>
      </c>
      <c r="L62" t="n">
        <v>0</v>
      </c>
      <c r="M62" t="n">
        <v>0</v>
      </c>
      <c r="N62" t="n">
        <v>0</v>
      </c>
      <c r="O62" t="n">
        <v>5</v>
      </c>
      <c r="P62" t="n">
        <v>0</v>
      </c>
      <c r="Q62" t="n">
        <v>10</v>
      </c>
      <c r="R62" s="2" t="inlineStr">
        <is>
          <t>Knottrig blåslav
Kolflarnlav
Lunglav
Skrovellav
Spillkråka
Bårdlav
Mindre märgborre
Stuplav
Orre
Tjäder</t>
        </is>
      </c>
      <c r="S62">
        <f>HYPERLINK("https://klasma.github.io/Logging_2039/artfynd/A 7921-2026 artfynd.xlsx", "A 7921-2026")</f>
        <v/>
      </c>
      <c r="T62">
        <f>HYPERLINK("https://klasma.github.io/Logging_2039/kartor/A 7921-2026 karta.png", "A 7921-2026")</f>
        <v/>
      </c>
      <c r="V62">
        <f>HYPERLINK("https://klasma.github.io/Logging_2039/klagomål/A 7921-2026 FSC-klagomål.docx", "A 7921-2026")</f>
        <v/>
      </c>
      <c r="W62">
        <f>HYPERLINK("https://klasma.github.io/Logging_2039/klagomålsmail/A 7921-2026 FSC-klagomål mail.docx", "A 7921-2026")</f>
        <v/>
      </c>
      <c r="X62">
        <f>HYPERLINK("https://klasma.github.io/Logging_2039/tillsyn/A 7921-2026 tillsynsbegäran.docx", "A 7921-2026")</f>
        <v/>
      </c>
      <c r="Y62">
        <f>HYPERLINK("https://klasma.github.io/Logging_2039/tillsynsmail/A 7921-2026 tillsynsbegäran mail.docx", "A 7921-2026")</f>
        <v/>
      </c>
      <c r="Z62">
        <f>HYPERLINK("https://klasma.github.io/Logging_2039/fåglar/A 7921-2026 prioriterade fågelarter.docx", "A 7921-2026")</f>
        <v/>
      </c>
    </row>
    <row r="63" ht="15" customHeight="1">
      <c r="A63" t="inlineStr">
        <is>
          <t>A 7900-2026</t>
        </is>
      </c>
      <c r="B63" s="1" t="n">
        <v>46063</v>
      </c>
      <c r="C63" s="1" t="n">
        <v>46145</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31658-2025</t>
        </is>
      </c>
      <c r="B64" s="1" t="n">
        <v>45834.34892361111</v>
      </c>
      <c r="C64" s="1" t="n">
        <v>46145</v>
      </c>
      <c r="D64" t="inlineStr">
        <is>
          <t>DALARNAS LÄN</t>
        </is>
      </c>
      <c r="E64" t="inlineStr">
        <is>
          <t>ÄLVDALEN</t>
        </is>
      </c>
      <c r="F64" t="inlineStr">
        <is>
          <t>Allmännings- och besparingsskogar</t>
        </is>
      </c>
      <c r="G64" t="n">
        <v>0.7</v>
      </c>
      <c r="H64" t="n">
        <v>2</v>
      </c>
      <c r="I64" t="n">
        <v>1</v>
      </c>
      <c r="J64" t="n">
        <v>9</v>
      </c>
      <c r="K64" t="n">
        <v>0</v>
      </c>
      <c r="L64" t="n">
        <v>0</v>
      </c>
      <c r="M64" t="n">
        <v>0</v>
      </c>
      <c r="N64" t="n">
        <v>0</v>
      </c>
      <c r="O64" t="n">
        <v>9</v>
      </c>
      <c r="P64" t="n">
        <v>0</v>
      </c>
      <c r="Q64" t="n">
        <v>10</v>
      </c>
      <c r="R64" s="2" t="inlineStr">
        <is>
          <t>Blanksvart spiklav
Blågrå svartspik
Dvärgbägarlav
Mörk kolflarnlav
Nordtagging
Talltita
Tretåig hackspett
Vedflamlav
Vedskivlav
Vedticka</t>
        </is>
      </c>
      <c r="S64">
        <f>HYPERLINK("https://klasma.github.io/Logging_2039/artfynd/A 31658-2025 artfynd.xlsx", "A 31658-2025")</f>
        <v/>
      </c>
      <c r="T64">
        <f>HYPERLINK("https://klasma.github.io/Logging_2039/kartor/A 31658-2025 karta.png", "A 31658-2025")</f>
        <v/>
      </c>
      <c r="V64">
        <f>HYPERLINK("https://klasma.github.io/Logging_2039/klagomål/A 31658-2025 FSC-klagomål.docx", "A 31658-2025")</f>
        <v/>
      </c>
      <c r="W64">
        <f>HYPERLINK("https://klasma.github.io/Logging_2039/klagomålsmail/A 31658-2025 FSC-klagomål mail.docx", "A 31658-2025")</f>
        <v/>
      </c>
      <c r="X64">
        <f>HYPERLINK("https://klasma.github.io/Logging_2039/tillsyn/A 31658-2025 tillsynsbegäran.docx", "A 31658-2025")</f>
        <v/>
      </c>
      <c r="Y64">
        <f>HYPERLINK("https://klasma.github.io/Logging_2039/tillsynsmail/A 31658-2025 tillsynsbegäran mail.docx", "A 31658-2025")</f>
        <v/>
      </c>
      <c r="Z64">
        <f>HYPERLINK("https://klasma.github.io/Logging_2039/fåglar/A 31658-2025 prioriterade fågelarter.docx", "A 31658-2025")</f>
        <v/>
      </c>
    </row>
    <row r="65" ht="15" customHeight="1">
      <c r="A65" t="inlineStr">
        <is>
          <t>A 41753-2025</t>
        </is>
      </c>
      <c r="B65" s="1" t="n">
        <v>45902.49891203704</v>
      </c>
      <c r="C65" s="1" t="n">
        <v>46145</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15738-2025</t>
        </is>
      </c>
      <c r="B66" s="1" t="n">
        <v>45748.54524305555</v>
      </c>
      <c r="C66" s="1" t="n">
        <v>46145</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46145</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38582-2023</t>
        </is>
      </c>
      <c r="B68" s="1" t="n">
        <v>45162</v>
      </c>
      <c r="C68" s="1" t="n">
        <v>46145</v>
      </c>
      <c r="D68" t="inlineStr">
        <is>
          <t>DALARNAS LÄN</t>
        </is>
      </c>
      <c r="E68" t="inlineStr">
        <is>
          <t>ÄLVDALEN</t>
        </is>
      </c>
      <c r="F68" t="inlineStr">
        <is>
          <t>Sveaskog</t>
        </is>
      </c>
      <c r="G68" t="n">
        <v>4.4</v>
      </c>
      <c r="H68" t="n">
        <v>1</v>
      </c>
      <c r="I68" t="n">
        <v>3</v>
      </c>
      <c r="J68" t="n">
        <v>5</v>
      </c>
      <c r="K68" t="n">
        <v>1</v>
      </c>
      <c r="L68" t="n">
        <v>0</v>
      </c>
      <c r="M68" t="n">
        <v>0</v>
      </c>
      <c r="N68" t="n">
        <v>0</v>
      </c>
      <c r="O68" t="n">
        <v>6</v>
      </c>
      <c r="P68" t="n">
        <v>1</v>
      </c>
      <c r="Q68" t="n">
        <v>9</v>
      </c>
      <c r="R68" s="2" t="inlineStr">
        <is>
          <t>Gräddporing
Blanksvart spiklav
Blå taggsvamp
Kolflarnlav
Mörk kolflarnlav
Vedskivlav
Dropptaggsvamp
Plattlummer
Skarp dropptaggsvamp</t>
        </is>
      </c>
      <c r="S68">
        <f>HYPERLINK("https://klasma.github.io/Logging_2039/artfynd/A 38582-2023 artfynd.xlsx", "A 38582-2023")</f>
        <v/>
      </c>
      <c r="T68">
        <f>HYPERLINK("https://klasma.github.io/Logging_2039/kartor/A 38582-2023 karta.png", "A 38582-2023")</f>
        <v/>
      </c>
      <c r="V68">
        <f>HYPERLINK("https://klasma.github.io/Logging_2039/klagomål/A 38582-2023 FSC-klagomål.docx", "A 38582-2023")</f>
        <v/>
      </c>
      <c r="W68">
        <f>HYPERLINK("https://klasma.github.io/Logging_2039/klagomålsmail/A 38582-2023 FSC-klagomål mail.docx", "A 38582-2023")</f>
        <v/>
      </c>
      <c r="X68">
        <f>HYPERLINK("https://klasma.github.io/Logging_2039/tillsyn/A 38582-2023 tillsynsbegäran.docx", "A 38582-2023")</f>
        <v/>
      </c>
      <c r="Y68">
        <f>HYPERLINK("https://klasma.github.io/Logging_2039/tillsynsmail/A 38582-2023 tillsynsbegäran mail.docx", "A 38582-2023")</f>
        <v/>
      </c>
    </row>
    <row r="69" ht="15" customHeight="1">
      <c r="A69" t="inlineStr">
        <is>
          <t>A 41913-2022</t>
        </is>
      </c>
      <c r="B69" s="1" t="n">
        <v>44830</v>
      </c>
      <c r="C69" s="1" t="n">
        <v>46145</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7213-2026</t>
        </is>
      </c>
      <c r="B70" s="1" t="n">
        <v>46058.54565972222</v>
      </c>
      <c r="C70" s="1" t="n">
        <v>46145</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16123-2026</t>
        </is>
      </c>
      <c r="B71" s="1" t="n">
        <v>46108</v>
      </c>
      <c r="C71" s="1" t="n">
        <v>46145</v>
      </c>
      <c r="D71" t="inlineStr">
        <is>
          <t>DALARNAS LÄN</t>
        </is>
      </c>
      <c r="E71" t="inlineStr">
        <is>
          <t>ÄLVDALEN</t>
        </is>
      </c>
      <c r="F71" t="inlineStr">
        <is>
          <t>Allmännings- och besparingsskogar</t>
        </is>
      </c>
      <c r="G71" t="n">
        <v>14.5</v>
      </c>
      <c r="H71" t="n">
        <v>2</v>
      </c>
      <c r="I71" t="n">
        <v>1</v>
      </c>
      <c r="J71" t="n">
        <v>7</v>
      </c>
      <c r="K71" t="n">
        <v>0</v>
      </c>
      <c r="L71" t="n">
        <v>0</v>
      </c>
      <c r="M71" t="n">
        <v>0</v>
      </c>
      <c r="N71" t="n">
        <v>0</v>
      </c>
      <c r="O71" t="n">
        <v>7</v>
      </c>
      <c r="P71" t="n">
        <v>0</v>
      </c>
      <c r="Q71" t="n">
        <v>9</v>
      </c>
      <c r="R71" s="2" t="inlineStr">
        <is>
          <t>Blanksvart spiklav
Garnlav
Järpe
Kolflarnlav
Mörk kolflarnlav
Vedflamlav
Vedskivlav
Dropptaggsvamp
Tjäder</t>
        </is>
      </c>
      <c r="S71">
        <f>HYPERLINK("https://klasma.github.io/Logging_2039/artfynd/A 16123-2026 artfynd.xlsx", "A 16123-2026")</f>
        <v/>
      </c>
      <c r="T71">
        <f>HYPERLINK("https://klasma.github.io/Logging_2039/kartor/A 16123-2026 karta.png", "A 16123-2026")</f>
        <v/>
      </c>
      <c r="V71">
        <f>HYPERLINK("https://klasma.github.io/Logging_2039/klagomål/A 16123-2026 FSC-klagomål.docx", "A 16123-2026")</f>
        <v/>
      </c>
      <c r="W71">
        <f>HYPERLINK("https://klasma.github.io/Logging_2039/klagomålsmail/A 16123-2026 FSC-klagomål mail.docx", "A 16123-2026")</f>
        <v/>
      </c>
      <c r="X71">
        <f>HYPERLINK("https://klasma.github.io/Logging_2039/tillsyn/A 16123-2026 tillsynsbegäran.docx", "A 16123-2026")</f>
        <v/>
      </c>
      <c r="Y71">
        <f>HYPERLINK("https://klasma.github.io/Logging_2039/tillsynsmail/A 16123-2026 tillsynsbegäran mail.docx", "A 16123-2026")</f>
        <v/>
      </c>
      <c r="Z71">
        <f>HYPERLINK("https://klasma.github.io/Logging_2039/fåglar/A 16123-2026 prioriterade fågelarter.docx", "A 16123-2026")</f>
        <v/>
      </c>
    </row>
    <row r="72" ht="15" customHeight="1">
      <c r="A72" t="inlineStr">
        <is>
          <t>A 33487-2025</t>
        </is>
      </c>
      <c r="B72" s="1" t="n">
        <v>45841.50515046297</v>
      </c>
      <c r="C72" s="1" t="n">
        <v>46145</v>
      </c>
      <c r="D72" t="inlineStr">
        <is>
          <t>DALARNAS LÄN</t>
        </is>
      </c>
      <c r="E72" t="inlineStr">
        <is>
          <t>ÄLVDALEN</t>
        </is>
      </c>
      <c r="F72" t="inlineStr">
        <is>
          <t>Sveaskog</t>
        </is>
      </c>
      <c r="G72" t="n">
        <v>15.2</v>
      </c>
      <c r="H72" t="n">
        <v>4</v>
      </c>
      <c r="I72" t="n">
        <v>2</v>
      </c>
      <c r="J72" t="n">
        <v>5</v>
      </c>
      <c r="K72" t="n">
        <v>0</v>
      </c>
      <c r="L72" t="n">
        <v>1</v>
      </c>
      <c r="M72" t="n">
        <v>0</v>
      </c>
      <c r="N72" t="n">
        <v>0</v>
      </c>
      <c r="O72" t="n">
        <v>6</v>
      </c>
      <c r="P72" t="n">
        <v>1</v>
      </c>
      <c r="Q72" t="n">
        <v>9</v>
      </c>
      <c r="R72" s="2" t="inlineStr">
        <is>
          <t>Mosippa
Dvärgbägarlav
Kolflarnlav
Mörk kolflarnlav
Talltita
Vedflamlav
Dropptaggsvamp
Plattlummer
Fläcknycklar</t>
        </is>
      </c>
      <c r="S72">
        <f>HYPERLINK("https://klasma.github.io/Logging_2039/artfynd/A 33487-2025 artfynd.xlsx", "A 33487-2025")</f>
        <v/>
      </c>
      <c r="T72">
        <f>HYPERLINK("https://klasma.github.io/Logging_2039/kartor/A 33487-2025 karta.png", "A 33487-2025")</f>
        <v/>
      </c>
      <c r="V72">
        <f>HYPERLINK("https://klasma.github.io/Logging_2039/klagomål/A 33487-2025 FSC-klagomål.docx", "A 33487-2025")</f>
        <v/>
      </c>
      <c r="W72">
        <f>HYPERLINK("https://klasma.github.io/Logging_2039/klagomålsmail/A 33487-2025 FSC-klagomål mail.docx", "A 33487-2025")</f>
        <v/>
      </c>
      <c r="X72">
        <f>HYPERLINK("https://klasma.github.io/Logging_2039/tillsyn/A 33487-2025 tillsynsbegäran.docx", "A 33487-2025")</f>
        <v/>
      </c>
      <c r="Y72">
        <f>HYPERLINK("https://klasma.github.io/Logging_2039/tillsynsmail/A 33487-2025 tillsynsbegäran mail.docx", "A 33487-2025")</f>
        <v/>
      </c>
      <c r="Z72">
        <f>HYPERLINK("https://klasma.github.io/Logging_2039/fåglar/A 33487-2025 prioriterade fågelarter.docx", "A 33487-2025")</f>
        <v/>
      </c>
    </row>
    <row r="73" ht="15" customHeight="1">
      <c r="A73" t="inlineStr">
        <is>
          <t>A 17715-2024</t>
        </is>
      </c>
      <c r="B73" s="1" t="n">
        <v>45415</v>
      </c>
      <c r="C73" s="1" t="n">
        <v>46145</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41755-2025</t>
        </is>
      </c>
      <c r="B74" s="1" t="n">
        <v>45902.50262731482</v>
      </c>
      <c r="C74" s="1" t="n">
        <v>46145</v>
      </c>
      <c r="D74" t="inlineStr">
        <is>
          <t>DALARNAS LÄN</t>
        </is>
      </c>
      <c r="E74" t="inlineStr">
        <is>
          <t>ÄLVDALEN</t>
        </is>
      </c>
      <c r="F74" t="inlineStr">
        <is>
          <t>Sveaskog</t>
        </is>
      </c>
      <c r="G74" t="n">
        <v>18.2</v>
      </c>
      <c r="H74" t="n">
        <v>0</v>
      </c>
      <c r="I74" t="n">
        <v>2</v>
      </c>
      <c r="J74" t="n">
        <v>6</v>
      </c>
      <c r="K74" t="n">
        <v>0</v>
      </c>
      <c r="L74" t="n">
        <v>0</v>
      </c>
      <c r="M74" t="n">
        <v>0</v>
      </c>
      <c r="N74" t="n">
        <v>0</v>
      </c>
      <c r="O74" t="n">
        <v>6</v>
      </c>
      <c r="P74" t="n">
        <v>0</v>
      </c>
      <c r="Q74" t="n">
        <v>8</v>
      </c>
      <c r="R74" s="2" t="inlineStr">
        <is>
          <t>Blå taggsvamp
Kolflarnlav
Mörk kolflarnlav
Orange taggsvamp
Talltaggsvamp
Vedflamlav
Dropptaggsvamp
Skarp dropptaggsvamp</t>
        </is>
      </c>
      <c r="S74">
        <f>HYPERLINK("https://klasma.github.io/Logging_2039/artfynd/A 41755-2025 artfynd.xlsx", "A 41755-2025")</f>
        <v/>
      </c>
      <c r="T74">
        <f>HYPERLINK("https://klasma.github.io/Logging_2039/kartor/A 41755-2025 karta.png", "A 41755-2025")</f>
        <v/>
      </c>
      <c r="V74">
        <f>HYPERLINK("https://klasma.github.io/Logging_2039/klagomål/A 41755-2025 FSC-klagomål.docx", "A 41755-2025")</f>
        <v/>
      </c>
      <c r="W74">
        <f>HYPERLINK("https://klasma.github.io/Logging_2039/klagomålsmail/A 41755-2025 FSC-klagomål mail.docx", "A 41755-2025")</f>
        <v/>
      </c>
      <c r="X74">
        <f>HYPERLINK("https://klasma.github.io/Logging_2039/tillsyn/A 41755-2025 tillsynsbegäran.docx", "A 41755-2025")</f>
        <v/>
      </c>
      <c r="Y74">
        <f>HYPERLINK("https://klasma.github.io/Logging_2039/tillsynsmail/A 41755-2025 tillsynsbegäran mail.docx", "A 41755-2025")</f>
        <v/>
      </c>
    </row>
    <row r="75" ht="15" customHeight="1">
      <c r="A75" t="inlineStr">
        <is>
          <t>A 44785-2025</t>
        </is>
      </c>
      <c r="B75" s="1" t="n">
        <v>45917.96543981481</v>
      </c>
      <c r="C75" s="1" t="n">
        <v>46145</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54840-2025</t>
        </is>
      </c>
      <c r="B76" s="1" t="n">
        <v>45966.68414351852</v>
      </c>
      <c r="C76" s="1" t="n">
        <v>46145</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50070-2025</t>
        </is>
      </c>
      <c r="B77" s="1" t="n">
        <v>45943</v>
      </c>
      <c r="C77" s="1" t="n">
        <v>46145</v>
      </c>
      <c r="D77" t="inlineStr">
        <is>
          <t>DALARNAS LÄN</t>
        </is>
      </c>
      <c r="E77" t="inlineStr">
        <is>
          <t>ÄLVDALEN</t>
        </is>
      </c>
      <c r="F77" t="inlineStr">
        <is>
          <t>Allmännings- och besparingsskogar</t>
        </is>
      </c>
      <c r="G77" t="n">
        <v>2.6</v>
      </c>
      <c r="H77" t="n">
        <v>3</v>
      </c>
      <c r="I77" t="n">
        <v>0</v>
      </c>
      <c r="J77" t="n">
        <v>7</v>
      </c>
      <c r="K77" t="n">
        <v>0</v>
      </c>
      <c r="L77" t="n">
        <v>0</v>
      </c>
      <c r="M77" t="n">
        <v>0</v>
      </c>
      <c r="N77" t="n">
        <v>0</v>
      </c>
      <c r="O77" t="n">
        <v>7</v>
      </c>
      <c r="P77" t="n">
        <v>0</v>
      </c>
      <c r="Q77" t="n">
        <v>8</v>
      </c>
      <c r="R77" s="2" t="inlineStr">
        <is>
          <t>Garnlav
Kolflarnlav
Mörk kolflarnlav
Spillkråka
Tallticka
Varglav
Vedskivlav
Tjäder</t>
        </is>
      </c>
      <c r="S77">
        <f>HYPERLINK("https://klasma.github.io/Logging_2039/artfynd/A 50070-2025 artfynd.xlsx", "A 50070-2025")</f>
        <v/>
      </c>
      <c r="T77">
        <f>HYPERLINK("https://klasma.github.io/Logging_2039/kartor/A 50070-2025 karta.png", "A 50070-2025")</f>
        <v/>
      </c>
      <c r="V77">
        <f>HYPERLINK("https://klasma.github.io/Logging_2039/klagomål/A 50070-2025 FSC-klagomål.docx", "A 50070-2025")</f>
        <v/>
      </c>
      <c r="W77">
        <f>HYPERLINK("https://klasma.github.io/Logging_2039/klagomålsmail/A 50070-2025 FSC-klagomål mail.docx", "A 50070-2025")</f>
        <v/>
      </c>
      <c r="X77">
        <f>HYPERLINK("https://klasma.github.io/Logging_2039/tillsyn/A 50070-2025 tillsynsbegäran.docx", "A 50070-2025")</f>
        <v/>
      </c>
      <c r="Y77">
        <f>HYPERLINK("https://klasma.github.io/Logging_2039/tillsynsmail/A 50070-2025 tillsynsbegäran mail.docx", "A 50070-2025")</f>
        <v/>
      </c>
      <c r="Z77">
        <f>HYPERLINK("https://klasma.github.io/Logging_2039/fåglar/A 50070-2025 prioriterade fågelarter.docx", "A 50070-2025")</f>
        <v/>
      </c>
    </row>
    <row r="78" ht="15" customHeight="1">
      <c r="A78" t="inlineStr">
        <is>
          <t>A 43051-2025</t>
        </is>
      </c>
      <c r="B78" s="1" t="n">
        <v>45909.56883101852</v>
      </c>
      <c r="C78" s="1" t="n">
        <v>46145</v>
      </c>
      <c r="D78" t="inlineStr">
        <is>
          <t>DALARNAS LÄN</t>
        </is>
      </c>
      <c r="E78" t="inlineStr">
        <is>
          <t>ÄLVDALEN</t>
        </is>
      </c>
      <c r="G78" t="n">
        <v>1.1</v>
      </c>
      <c r="H78" t="n">
        <v>4</v>
      </c>
      <c r="I78" t="n">
        <v>1</v>
      </c>
      <c r="J78" t="n">
        <v>4</v>
      </c>
      <c r="K78" t="n">
        <v>0</v>
      </c>
      <c r="L78" t="n">
        <v>0</v>
      </c>
      <c r="M78" t="n">
        <v>0</v>
      </c>
      <c r="N78" t="n">
        <v>0</v>
      </c>
      <c r="O78" t="n">
        <v>4</v>
      </c>
      <c r="P78" t="n">
        <v>0</v>
      </c>
      <c r="Q78" t="n">
        <v>8</v>
      </c>
      <c r="R78" s="2" t="inlineStr">
        <is>
          <t>Garnlav
Skrovellav
Tretåig hackspett
Vitgrynig nållav
Bronshjon
Pärluggla
Tjäder
Revlummer</t>
        </is>
      </c>
      <c r="S78">
        <f>HYPERLINK("https://klasma.github.io/Logging_2039/artfynd/A 43051-2025 artfynd.xlsx", "A 43051-2025")</f>
        <v/>
      </c>
      <c r="T78">
        <f>HYPERLINK("https://klasma.github.io/Logging_2039/kartor/A 43051-2025 karta.png", "A 43051-2025")</f>
        <v/>
      </c>
      <c r="V78">
        <f>HYPERLINK("https://klasma.github.io/Logging_2039/klagomål/A 43051-2025 FSC-klagomål.docx", "A 43051-2025")</f>
        <v/>
      </c>
      <c r="W78">
        <f>HYPERLINK("https://klasma.github.io/Logging_2039/klagomålsmail/A 43051-2025 FSC-klagomål mail.docx", "A 43051-2025")</f>
        <v/>
      </c>
      <c r="X78">
        <f>HYPERLINK("https://klasma.github.io/Logging_2039/tillsyn/A 43051-2025 tillsynsbegäran.docx", "A 43051-2025")</f>
        <v/>
      </c>
      <c r="Y78">
        <f>HYPERLINK("https://klasma.github.io/Logging_2039/tillsynsmail/A 43051-2025 tillsynsbegäran mail.docx", "A 43051-2025")</f>
        <v/>
      </c>
      <c r="Z78">
        <f>HYPERLINK("https://klasma.github.io/Logging_2039/fåglar/A 43051-2025 prioriterade fågelarter.docx", "A 43051-2025")</f>
        <v/>
      </c>
    </row>
    <row r="79" ht="15" customHeight="1">
      <c r="A79" t="inlineStr">
        <is>
          <t>A 23427-2025</t>
        </is>
      </c>
      <c r="B79" s="1" t="n">
        <v>45792</v>
      </c>
      <c r="C79" s="1" t="n">
        <v>46145</v>
      </c>
      <c r="D79" t="inlineStr">
        <is>
          <t>DALARNAS LÄN</t>
        </is>
      </c>
      <c r="E79" t="inlineStr">
        <is>
          <t>ÄLVDALEN</t>
        </is>
      </c>
      <c r="F79" t="inlineStr">
        <is>
          <t>Bergvik skog väst AB</t>
        </is>
      </c>
      <c r="G79" t="n">
        <v>11.7</v>
      </c>
      <c r="H79" t="n">
        <v>4</v>
      </c>
      <c r="I79" t="n">
        <v>1</v>
      </c>
      <c r="J79" t="n">
        <v>5</v>
      </c>
      <c r="K79" t="n">
        <v>0</v>
      </c>
      <c r="L79" t="n">
        <v>0</v>
      </c>
      <c r="M79" t="n">
        <v>0</v>
      </c>
      <c r="N79" t="n">
        <v>0</v>
      </c>
      <c r="O79" t="n">
        <v>5</v>
      </c>
      <c r="P79" t="n">
        <v>0</v>
      </c>
      <c r="Q79" t="n">
        <v>8</v>
      </c>
      <c r="R79" s="2" t="inlineStr">
        <is>
          <t>Blågrå svartspik
Garnlav
Tretåig hackspett
Varglav
Vedflamlav
Bronshjon
Fläcknycklar
Revlummer</t>
        </is>
      </c>
      <c r="S79">
        <f>HYPERLINK("https://klasma.github.io/Logging_2039/artfynd/A 23427-2025 artfynd.xlsx", "A 23427-2025")</f>
        <v/>
      </c>
      <c r="T79">
        <f>HYPERLINK("https://klasma.github.io/Logging_2039/kartor/A 23427-2025 karta.png", "A 23427-2025")</f>
        <v/>
      </c>
      <c r="V79">
        <f>HYPERLINK("https://klasma.github.io/Logging_2039/klagomål/A 23427-2025 FSC-klagomål.docx", "A 23427-2025")</f>
        <v/>
      </c>
      <c r="W79">
        <f>HYPERLINK("https://klasma.github.io/Logging_2039/klagomålsmail/A 23427-2025 FSC-klagomål mail.docx", "A 23427-2025")</f>
        <v/>
      </c>
      <c r="X79">
        <f>HYPERLINK("https://klasma.github.io/Logging_2039/tillsyn/A 23427-2025 tillsynsbegäran.docx", "A 23427-2025")</f>
        <v/>
      </c>
      <c r="Y79">
        <f>HYPERLINK("https://klasma.github.io/Logging_2039/tillsynsmail/A 23427-2025 tillsynsbegäran mail.docx", "A 23427-2025")</f>
        <v/>
      </c>
      <c r="Z79">
        <f>HYPERLINK("https://klasma.github.io/Logging_2039/fåglar/A 23427-2025 prioriterade fågelarter.docx", "A 23427-2025")</f>
        <v/>
      </c>
    </row>
    <row r="80" ht="15" customHeight="1">
      <c r="A80" t="inlineStr">
        <is>
          <t>A 71652-2021</t>
        </is>
      </c>
      <c r="B80" s="1" t="n">
        <v>44543</v>
      </c>
      <c r="C80" s="1" t="n">
        <v>46145</v>
      </c>
      <c r="D80" t="inlineStr">
        <is>
          <t>DALARNAS LÄN</t>
        </is>
      </c>
      <c r="E80" t="inlineStr">
        <is>
          <t>ÄLVDALEN</t>
        </is>
      </c>
      <c r="G80" t="n">
        <v>4.3</v>
      </c>
      <c r="H80" t="n">
        <v>3</v>
      </c>
      <c r="I80" t="n">
        <v>2</v>
      </c>
      <c r="J80" t="n">
        <v>6</v>
      </c>
      <c r="K80" t="n">
        <v>0</v>
      </c>
      <c r="L80" t="n">
        <v>0</v>
      </c>
      <c r="M80" t="n">
        <v>0</v>
      </c>
      <c r="N80" t="n">
        <v>0</v>
      </c>
      <c r="O80" t="n">
        <v>6</v>
      </c>
      <c r="P80" t="n">
        <v>0</v>
      </c>
      <c r="Q80" t="n">
        <v>8</v>
      </c>
      <c r="R80" s="2" t="inlineStr">
        <is>
          <t>Garnlav
Kolflarnlav
Spillkråka
Talltita
Tretåig hackspett
Vedskivlav
Björksplintborre
Mindre märgborre</t>
        </is>
      </c>
      <c r="S80">
        <f>HYPERLINK("https://klasma.github.io/Logging_2039/artfynd/A 71652-2021 artfynd.xlsx", "A 71652-2021")</f>
        <v/>
      </c>
      <c r="T80">
        <f>HYPERLINK("https://klasma.github.io/Logging_2039/kartor/A 71652-2021 karta.png", "A 71652-2021")</f>
        <v/>
      </c>
      <c r="V80">
        <f>HYPERLINK("https://klasma.github.io/Logging_2039/klagomål/A 71652-2021 FSC-klagomål.docx", "A 71652-2021")</f>
        <v/>
      </c>
      <c r="W80">
        <f>HYPERLINK("https://klasma.github.io/Logging_2039/klagomålsmail/A 71652-2021 FSC-klagomål mail.docx", "A 71652-2021")</f>
        <v/>
      </c>
      <c r="X80">
        <f>HYPERLINK("https://klasma.github.io/Logging_2039/tillsyn/A 71652-2021 tillsynsbegäran.docx", "A 71652-2021")</f>
        <v/>
      </c>
      <c r="Y80">
        <f>HYPERLINK("https://klasma.github.io/Logging_2039/tillsynsmail/A 71652-2021 tillsynsbegäran mail.docx", "A 71652-2021")</f>
        <v/>
      </c>
      <c r="Z80">
        <f>HYPERLINK("https://klasma.github.io/Logging_2039/fåglar/A 71652-2021 prioriterade fågelarter.docx", "A 71652-2021")</f>
        <v/>
      </c>
    </row>
    <row r="81" ht="15" customHeight="1">
      <c r="A81" t="inlineStr">
        <is>
          <t>A 51041-2025</t>
        </is>
      </c>
      <c r="B81" s="1" t="n">
        <v>45947</v>
      </c>
      <c r="C81" s="1" t="n">
        <v>46145</v>
      </c>
      <c r="D81" t="inlineStr">
        <is>
          <t>DALARNAS LÄN</t>
        </is>
      </c>
      <c r="E81" t="inlineStr">
        <is>
          <t>ÄLVDALEN</t>
        </is>
      </c>
      <c r="G81" t="n">
        <v>10.4</v>
      </c>
      <c r="H81" t="n">
        <v>4</v>
      </c>
      <c r="I81" t="n">
        <v>1</v>
      </c>
      <c r="J81" t="n">
        <v>5</v>
      </c>
      <c r="K81" t="n">
        <v>0</v>
      </c>
      <c r="L81" t="n">
        <v>0</v>
      </c>
      <c r="M81" t="n">
        <v>0</v>
      </c>
      <c r="N81" t="n">
        <v>0</v>
      </c>
      <c r="O81" t="n">
        <v>5</v>
      </c>
      <c r="P81" t="n">
        <v>0</v>
      </c>
      <c r="Q81" t="n">
        <v>8</v>
      </c>
      <c r="R81" s="2" t="inlineStr">
        <is>
          <t>Garnlav
Spillkråka
Tallticka
Talltita
Vedskivlav
Mindre märgborre
Kungsfågel
Tjäder</t>
        </is>
      </c>
      <c r="S81">
        <f>HYPERLINK("https://klasma.github.io/Logging_2039/artfynd/A 51041-2025 artfynd.xlsx", "A 51041-2025")</f>
        <v/>
      </c>
      <c r="T81">
        <f>HYPERLINK("https://klasma.github.io/Logging_2039/kartor/A 51041-2025 karta.png", "A 51041-2025")</f>
        <v/>
      </c>
      <c r="V81">
        <f>HYPERLINK("https://klasma.github.io/Logging_2039/klagomål/A 51041-2025 FSC-klagomål.docx", "A 51041-2025")</f>
        <v/>
      </c>
      <c r="W81">
        <f>HYPERLINK("https://klasma.github.io/Logging_2039/klagomålsmail/A 51041-2025 FSC-klagomål mail.docx", "A 51041-2025")</f>
        <v/>
      </c>
      <c r="X81">
        <f>HYPERLINK("https://klasma.github.io/Logging_2039/tillsyn/A 51041-2025 tillsynsbegäran.docx", "A 51041-2025")</f>
        <v/>
      </c>
      <c r="Y81">
        <f>HYPERLINK("https://klasma.github.io/Logging_2039/tillsynsmail/A 51041-2025 tillsynsbegäran mail.docx", "A 51041-2025")</f>
        <v/>
      </c>
      <c r="Z81">
        <f>HYPERLINK("https://klasma.github.io/Logging_2039/fåglar/A 51041-2025 prioriterade fågelarter.docx", "A 51041-2025")</f>
        <v/>
      </c>
    </row>
    <row r="82" ht="15" customHeight="1">
      <c r="A82" t="inlineStr">
        <is>
          <t>A 9783-2024</t>
        </is>
      </c>
      <c r="B82" s="1" t="n">
        <v>45362</v>
      </c>
      <c r="C82" s="1" t="n">
        <v>46145</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46145</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33882-2024</t>
        </is>
      </c>
      <c r="B84" s="1" t="n">
        <v>45522</v>
      </c>
      <c r="C84" s="1" t="n">
        <v>46145</v>
      </c>
      <c r="D84" t="inlineStr">
        <is>
          <t>DALARNAS LÄN</t>
        </is>
      </c>
      <c r="E84" t="inlineStr">
        <is>
          <t>ÄLVDALEN</t>
        </is>
      </c>
      <c r="G84" t="n">
        <v>53.8</v>
      </c>
      <c r="H84" t="n">
        <v>3</v>
      </c>
      <c r="I84" t="n">
        <v>1</v>
      </c>
      <c r="J84" t="n">
        <v>5</v>
      </c>
      <c r="K84" t="n">
        <v>0</v>
      </c>
      <c r="L84" t="n">
        <v>0</v>
      </c>
      <c r="M84" t="n">
        <v>0</v>
      </c>
      <c r="N84" t="n">
        <v>0</v>
      </c>
      <c r="O84" t="n">
        <v>5</v>
      </c>
      <c r="P84" t="n">
        <v>0</v>
      </c>
      <c r="Q84" t="n">
        <v>7</v>
      </c>
      <c r="R84" s="2" t="inlineStr">
        <is>
          <t>Garnlav
Granticka
Skrovellav
Tretåig hackspett
Vitplätt
Spindelblomster
Lavskrika</t>
        </is>
      </c>
      <c r="S84">
        <f>HYPERLINK("https://klasma.github.io/Logging_2039/artfynd/A 33882-2024 artfynd.xlsx", "A 33882-2024")</f>
        <v/>
      </c>
      <c r="T84">
        <f>HYPERLINK("https://klasma.github.io/Logging_2039/kartor/A 33882-2024 karta.png", "A 33882-2024")</f>
        <v/>
      </c>
      <c r="V84">
        <f>HYPERLINK("https://klasma.github.io/Logging_2039/klagomål/A 33882-2024 FSC-klagomål.docx", "A 33882-2024")</f>
        <v/>
      </c>
      <c r="W84">
        <f>HYPERLINK("https://klasma.github.io/Logging_2039/klagomålsmail/A 33882-2024 FSC-klagomål mail.docx", "A 33882-2024")</f>
        <v/>
      </c>
      <c r="X84">
        <f>HYPERLINK("https://klasma.github.io/Logging_2039/tillsyn/A 33882-2024 tillsynsbegäran.docx", "A 33882-2024")</f>
        <v/>
      </c>
      <c r="Y84">
        <f>HYPERLINK("https://klasma.github.io/Logging_2039/tillsynsmail/A 33882-2024 tillsynsbegäran mail.docx", "A 33882-2024")</f>
        <v/>
      </c>
      <c r="Z84">
        <f>HYPERLINK("https://klasma.github.io/Logging_2039/fåglar/A 33882-2024 prioriterade fågelarter.docx", "A 33882-2024")</f>
        <v/>
      </c>
    </row>
    <row r="85" ht="15" customHeight="1">
      <c r="A85" t="inlineStr">
        <is>
          <t>A 14277-2024</t>
        </is>
      </c>
      <c r="B85" s="1" t="n">
        <v>45393</v>
      </c>
      <c r="C85" s="1" t="n">
        <v>46145</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46145</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25754-2025</t>
        </is>
      </c>
      <c r="B87" s="1" t="n">
        <v>45804.32020833333</v>
      </c>
      <c r="C87" s="1" t="n">
        <v>46145</v>
      </c>
      <c r="D87" t="inlineStr">
        <is>
          <t>DALARNAS LÄN</t>
        </is>
      </c>
      <c r="E87" t="inlineStr">
        <is>
          <t>ÄLVDALEN</t>
        </is>
      </c>
      <c r="F87" t="inlineStr">
        <is>
          <t>Kommuner</t>
        </is>
      </c>
      <c r="G87" t="n">
        <v>2.2</v>
      </c>
      <c r="H87" t="n">
        <v>4</v>
      </c>
      <c r="I87" t="n">
        <v>2</v>
      </c>
      <c r="J87" t="n">
        <v>3</v>
      </c>
      <c r="K87" t="n">
        <v>0</v>
      </c>
      <c r="L87" t="n">
        <v>0</v>
      </c>
      <c r="M87" t="n">
        <v>0</v>
      </c>
      <c r="N87" t="n">
        <v>0</v>
      </c>
      <c r="O87" t="n">
        <v>3</v>
      </c>
      <c r="P87" t="n">
        <v>0</v>
      </c>
      <c r="Q87" t="n">
        <v>7</v>
      </c>
      <c r="R87" s="2" t="inlineStr">
        <is>
          <t>Garnlav
Spillkråka
Talltita
Dropptaggsvamp
Mindre märgborre
Kungsfågel
Revlummer</t>
        </is>
      </c>
      <c r="S87">
        <f>HYPERLINK("https://klasma.github.io/Logging_2039/artfynd/A 25754-2025 artfynd.xlsx", "A 25754-2025")</f>
        <v/>
      </c>
      <c r="T87">
        <f>HYPERLINK("https://klasma.github.io/Logging_2039/kartor/A 25754-2025 karta.png", "A 25754-2025")</f>
        <v/>
      </c>
      <c r="V87">
        <f>HYPERLINK("https://klasma.github.io/Logging_2039/klagomål/A 25754-2025 FSC-klagomål.docx", "A 25754-2025")</f>
        <v/>
      </c>
      <c r="W87">
        <f>HYPERLINK("https://klasma.github.io/Logging_2039/klagomålsmail/A 25754-2025 FSC-klagomål mail.docx", "A 25754-2025")</f>
        <v/>
      </c>
      <c r="X87">
        <f>HYPERLINK("https://klasma.github.io/Logging_2039/tillsyn/A 25754-2025 tillsynsbegäran.docx", "A 25754-2025")</f>
        <v/>
      </c>
      <c r="Y87">
        <f>HYPERLINK("https://klasma.github.io/Logging_2039/tillsynsmail/A 25754-2025 tillsynsbegäran mail.docx", "A 25754-2025")</f>
        <v/>
      </c>
      <c r="Z87">
        <f>HYPERLINK("https://klasma.github.io/Logging_2039/fåglar/A 25754-2025 prioriterade fågelarter.docx", "A 25754-2025")</f>
        <v/>
      </c>
    </row>
    <row r="88" ht="15" customHeight="1">
      <c r="A88" t="inlineStr">
        <is>
          <t>A 39267-2021</t>
        </is>
      </c>
      <c r="B88" s="1" t="n">
        <v>44413</v>
      </c>
      <c r="C88" s="1" t="n">
        <v>46145</v>
      </c>
      <c r="D88" t="inlineStr">
        <is>
          <t>DALARNAS LÄN</t>
        </is>
      </c>
      <c r="E88" t="inlineStr">
        <is>
          <t>ÄLVDALEN</t>
        </is>
      </c>
      <c r="G88" t="n">
        <v>2.4</v>
      </c>
      <c r="H88" t="n">
        <v>4</v>
      </c>
      <c r="I88" t="n">
        <v>0</v>
      </c>
      <c r="J88" t="n">
        <v>4</v>
      </c>
      <c r="K88" t="n">
        <v>1</v>
      </c>
      <c r="L88" t="n">
        <v>0</v>
      </c>
      <c r="M88" t="n">
        <v>0</v>
      </c>
      <c r="N88" t="n">
        <v>0</v>
      </c>
      <c r="O88" t="n">
        <v>5</v>
      </c>
      <c r="P88" t="n">
        <v>1</v>
      </c>
      <c r="Q88" t="n">
        <v>6</v>
      </c>
      <c r="R88" s="2" t="inlineStr">
        <is>
          <t>Knärot
Garnlav
Spillkråka
Tretåig hackspett
Vedskivlav
Kungsfågel</t>
        </is>
      </c>
      <c r="S88">
        <f>HYPERLINK("https://klasma.github.io/Logging_2039/artfynd/A 39267-2021 artfynd.xlsx", "A 39267-2021")</f>
        <v/>
      </c>
      <c r="T88">
        <f>HYPERLINK("https://klasma.github.io/Logging_2039/kartor/A 39267-2021 karta.png", "A 39267-2021")</f>
        <v/>
      </c>
      <c r="U88">
        <f>HYPERLINK("https://klasma.github.io/Logging_2039/knärot/A 39267-2021 karta knärot.png", "A 39267-2021")</f>
        <v/>
      </c>
      <c r="V88">
        <f>HYPERLINK("https://klasma.github.io/Logging_2039/klagomål/A 39267-2021 FSC-klagomål.docx", "A 39267-2021")</f>
        <v/>
      </c>
      <c r="W88">
        <f>HYPERLINK("https://klasma.github.io/Logging_2039/klagomålsmail/A 39267-2021 FSC-klagomål mail.docx", "A 39267-2021")</f>
        <v/>
      </c>
      <c r="X88">
        <f>HYPERLINK("https://klasma.github.io/Logging_2039/tillsyn/A 39267-2021 tillsynsbegäran.docx", "A 39267-2021")</f>
        <v/>
      </c>
      <c r="Y88">
        <f>HYPERLINK("https://klasma.github.io/Logging_2039/tillsynsmail/A 39267-2021 tillsynsbegäran mail.docx", "A 39267-2021")</f>
        <v/>
      </c>
      <c r="Z88">
        <f>HYPERLINK("https://klasma.github.io/Logging_2039/fåglar/A 39267-2021 prioriterade fågelarter.docx", "A 39267-2021")</f>
        <v/>
      </c>
    </row>
    <row r="89" ht="15" customHeight="1">
      <c r="A89" t="inlineStr">
        <is>
          <t>A 54314-2021</t>
        </is>
      </c>
      <c r="B89" s="1" t="n">
        <v>44472</v>
      </c>
      <c r="C89" s="1" t="n">
        <v>46145</v>
      </c>
      <c r="D89" t="inlineStr">
        <is>
          <t>DALARNAS LÄN</t>
        </is>
      </c>
      <c r="E89" t="inlineStr">
        <is>
          <t>ÄLVDALEN</t>
        </is>
      </c>
      <c r="G89" t="n">
        <v>48.4</v>
      </c>
      <c r="H89" t="n">
        <v>0</v>
      </c>
      <c r="I89" t="n">
        <v>1</v>
      </c>
      <c r="J89" t="n">
        <v>5</v>
      </c>
      <c r="K89" t="n">
        <v>0</v>
      </c>
      <c r="L89" t="n">
        <v>0</v>
      </c>
      <c r="M89" t="n">
        <v>0</v>
      </c>
      <c r="N89" t="n">
        <v>0</v>
      </c>
      <c r="O89" t="n">
        <v>5</v>
      </c>
      <c r="P89" t="n">
        <v>0</v>
      </c>
      <c r="Q89" t="n">
        <v>6</v>
      </c>
      <c r="R89" s="2" t="inlineStr">
        <is>
          <t>Garnlav
Mörk kolflarnlav
Vedflamlav
Vedskivlav
Violettgrå tagellav
Mindre märgborre</t>
        </is>
      </c>
      <c r="S89">
        <f>HYPERLINK("https://klasma.github.io/Logging_2039/artfynd/A 54314-2021 artfynd.xlsx", "A 54314-2021")</f>
        <v/>
      </c>
      <c r="T89">
        <f>HYPERLINK("https://klasma.github.io/Logging_2039/kartor/A 54314-2021 karta.png", "A 54314-2021")</f>
        <v/>
      </c>
      <c r="V89">
        <f>HYPERLINK("https://klasma.github.io/Logging_2039/klagomål/A 54314-2021 FSC-klagomål.docx", "A 54314-2021")</f>
        <v/>
      </c>
      <c r="W89">
        <f>HYPERLINK("https://klasma.github.io/Logging_2039/klagomålsmail/A 54314-2021 FSC-klagomål mail.docx", "A 54314-2021")</f>
        <v/>
      </c>
      <c r="X89">
        <f>HYPERLINK("https://klasma.github.io/Logging_2039/tillsyn/A 54314-2021 tillsynsbegäran.docx", "A 54314-2021")</f>
        <v/>
      </c>
      <c r="Y89">
        <f>HYPERLINK("https://klasma.github.io/Logging_2039/tillsynsmail/A 54314-2021 tillsynsbegäran mail.docx", "A 54314-2021")</f>
        <v/>
      </c>
    </row>
    <row r="90" ht="15" customHeight="1">
      <c r="A90" t="inlineStr">
        <is>
          <t>A 49052-2023</t>
        </is>
      </c>
      <c r="B90" s="1" t="n">
        <v>45210</v>
      </c>
      <c r="C90" s="1" t="n">
        <v>46145</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22701-2024</t>
        </is>
      </c>
      <c r="B91" s="1" t="n">
        <v>45448</v>
      </c>
      <c r="C91" s="1" t="n">
        <v>46145</v>
      </c>
      <c r="D91" t="inlineStr">
        <is>
          <t>DALARNAS LÄN</t>
        </is>
      </c>
      <c r="E91" t="inlineStr">
        <is>
          <t>ÄLVDALEN</t>
        </is>
      </c>
      <c r="F91" t="inlineStr">
        <is>
          <t>Sveaskog</t>
        </is>
      </c>
      <c r="G91" t="n">
        <v>2.7</v>
      </c>
      <c r="H91" t="n">
        <v>0</v>
      </c>
      <c r="I91" t="n">
        <v>2</v>
      </c>
      <c r="J91" t="n">
        <v>1</v>
      </c>
      <c r="K91" t="n">
        <v>3</v>
      </c>
      <c r="L91" t="n">
        <v>0</v>
      </c>
      <c r="M91" t="n">
        <v>0</v>
      </c>
      <c r="N91" t="n">
        <v>0</v>
      </c>
      <c r="O91" t="n">
        <v>4</v>
      </c>
      <c r="P91" t="n">
        <v>3</v>
      </c>
      <c r="Q91" t="n">
        <v>6</v>
      </c>
      <c r="R91" s="2" t="inlineStr">
        <is>
          <t>Smalfotad taggsvamp
Tajgataggsvamp
Tallstocksticka
Dvärgbägarlav
Dropptaggsvamp
Skarp dropptaggsvamp</t>
        </is>
      </c>
      <c r="S91">
        <f>HYPERLINK("https://klasma.github.io/Logging_2039/artfynd/A 22701-2024 artfynd.xlsx", "A 22701-2024")</f>
        <v/>
      </c>
      <c r="T91">
        <f>HYPERLINK("https://klasma.github.io/Logging_2039/kartor/A 22701-2024 karta.png", "A 22701-2024")</f>
        <v/>
      </c>
      <c r="V91">
        <f>HYPERLINK("https://klasma.github.io/Logging_2039/klagomål/A 22701-2024 FSC-klagomål.docx", "A 22701-2024")</f>
        <v/>
      </c>
      <c r="W91">
        <f>HYPERLINK("https://klasma.github.io/Logging_2039/klagomålsmail/A 22701-2024 FSC-klagomål mail.docx", "A 22701-2024")</f>
        <v/>
      </c>
      <c r="X91">
        <f>HYPERLINK("https://klasma.github.io/Logging_2039/tillsyn/A 22701-2024 tillsynsbegäran.docx", "A 22701-2024")</f>
        <v/>
      </c>
      <c r="Y91">
        <f>HYPERLINK("https://klasma.github.io/Logging_2039/tillsynsmail/A 22701-2024 tillsynsbegäran mail.docx", "A 22701-2024")</f>
        <v/>
      </c>
    </row>
    <row r="92" ht="15" customHeight="1">
      <c r="A92" t="inlineStr">
        <is>
          <t>A 41750-2025</t>
        </is>
      </c>
      <c r="B92" s="1" t="n">
        <v>45902.49466435185</v>
      </c>
      <c r="C92" s="1" t="n">
        <v>46145</v>
      </c>
      <c r="D92" t="inlineStr">
        <is>
          <t>DALARNAS LÄN</t>
        </is>
      </c>
      <c r="E92" t="inlineStr">
        <is>
          <t>ÄLVDALEN</t>
        </is>
      </c>
      <c r="G92" t="n">
        <v>1.2</v>
      </c>
      <c r="H92" t="n">
        <v>0</v>
      </c>
      <c r="I92" t="n">
        <v>1</v>
      </c>
      <c r="J92" t="n">
        <v>4</v>
      </c>
      <c r="K92" t="n">
        <v>1</v>
      </c>
      <c r="L92" t="n">
        <v>0</v>
      </c>
      <c r="M92" t="n">
        <v>0</v>
      </c>
      <c r="N92" t="n">
        <v>0</v>
      </c>
      <c r="O92" t="n">
        <v>5</v>
      </c>
      <c r="P92" t="n">
        <v>1</v>
      </c>
      <c r="Q92" t="n">
        <v>6</v>
      </c>
      <c r="R92" s="2" t="inlineStr">
        <is>
          <t>Gräddporing
Dvärgbägarlav
Kolflarnlav
Mörk kolflarnlav
Vedflamlav
Dropptaggsvamp</t>
        </is>
      </c>
      <c r="S92">
        <f>HYPERLINK("https://klasma.github.io/Logging_2039/artfynd/A 41750-2025 artfynd.xlsx", "A 41750-2025")</f>
        <v/>
      </c>
      <c r="T92">
        <f>HYPERLINK("https://klasma.github.io/Logging_2039/kartor/A 41750-2025 karta.png", "A 41750-2025")</f>
        <v/>
      </c>
      <c r="V92">
        <f>HYPERLINK("https://klasma.github.io/Logging_2039/klagomål/A 41750-2025 FSC-klagomål.docx", "A 41750-2025")</f>
        <v/>
      </c>
      <c r="W92">
        <f>HYPERLINK("https://klasma.github.io/Logging_2039/klagomålsmail/A 41750-2025 FSC-klagomål mail.docx", "A 41750-2025")</f>
        <v/>
      </c>
      <c r="X92">
        <f>HYPERLINK("https://klasma.github.io/Logging_2039/tillsyn/A 41750-2025 tillsynsbegäran.docx", "A 41750-2025")</f>
        <v/>
      </c>
      <c r="Y92">
        <f>HYPERLINK("https://klasma.github.io/Logging_2039/tillsynsmail/A 41750-2025 tillsynsbegäran mail.docx", "A 41750-2025")</f>
        <v/>
      </c>
    </row>
    <row r="93" ht="15" customHeight="1">
      <c r="A93" t="inlineStr">
        <is>
          <t>A 19534-2025</t>
        </is>
      </c>
      <c r="B93" s="1" t="n">
        <v>45770.47667824074</v>
      </c>
      <c r="C93" s="1" t="n">
        <v>46145</v>
      </c>
      <c r="D93" t="inlineStr">
        <is>
          <t>DALARNAS LÄN</t>
        </is>
      </c>
      <c r="E93" t="inlineStr">
        <is>
          <t>ÄLVDALEN</t>
        </is>
      </c>
      <c r="F93" t="inlineStr">
        <is>
          <t>Sveaskog</t>
        </is>
      </c>
      <c r="G93" t="n">
        <v>34</v>
      </c>
      <c r="H93" t="n">
        <v>1</v>
      </c>
      <c r="I93" t="n">
        <v>1</v>
      </c>
      <c r="J93" t="n">
        <v>5</v>
      </c>
      <c r="K93" t="n">
        <v>0</v>
      </c>
      <c r="L93" t="n">
        <v>0</v>
      </c>
      <c r="M93" t="n">
        <v>0</v>
      </c>
      <c r="N93" t="n">
        <v>0</v>
      </c>
      <c r="O93" t="n">
        <v>5</v>
      </c>
      <c r="P93" t="n">
        <v>0</v>
      </c>
      <c r="Q93" t="n">
        <v>6</v>
      </c>
      <c r="R93" s="2" t="inlineStr">
        <is>
          <t>Dvärgbägarlav
Kolflarnlav
Mörk kolflarnlav
Varglav
Vedflamlav
Dropptaggsvamp</t>
        </is>
      </c>
      <c r="S93">
        <f>HYPERLINK("https://klasma.github.io/Logging_2039/artfynd/A 19534-2025 artfynd.xlsx", "A 19534-2025")</f>
        <v/>
      </c>
      <c r="T93">
        <f>HYPERLINK("https://klasma.github.io/Logging_2039/kartor/A 19534-2025 karta.png", "A 19534-2025")</f>
        <v/>
      </c>
      <c r="V93">
        <f>HYPERLINK("https://klasma.github.io/Logging_2039/klagomål/A 19534-2025 FSC-klagomål.docx", "A 19534-2025")</f>
        <v/>
      </c>
      <c r="W93">
        <f>HYPERLINK("https://klasma.github.io/Logging_2039/klagomålsmail/A 19534-2025 FSC-klagomål mail.docx", "A 19534-2025")</f>
        <v/>
      </c>
      <c r="X93">
        <f>HYPERLINK("https://klasma.github.io/Logging_2039/tillsyn/A 19534-2025 tillsynsbegäran.docx", "A 19534-2025")</f>
        <v/>
      </c>
      <c r="Y93">
        <f>HYPERLINK("https://klasma.github.io/Logging_2039/tillsynsmail/A 19534-2025 tillsynsbegäran mail.docx", "A 19534-2025")</f>
        <v/>
      </c>
    </row>
    <row r="94" ht="15" customHeight="1">
      <c r="A94" t="inlineStr">
        <is>
          <t>A 54671-2021</t>
        </is>
      </c>
      <c r="B94" s="1" t="n">
        <v>44473</v>
      </c>
      <c r="C94" s="1" t="n">
        <v>46145</v>
      </c>
      <c r="D94" t="inlineStr">
        <is>
          <t>DALARNAS LÄN</t>
        </is>
      </c>
      <c r="E94" t="inlineStr">
        <is>
          <t>ÄLVDALEN</t>
        </is>
      </c>
      <c r="G94" t="n">
        <v>26.4</v>
      </c>
      <c r="H94" t="n">
        <v>0</v>
      </c>
      <c r="I94" t="n">
        <v>0</v>
      </c>
      <c r="J94" t="n">
        <v>4</v>
      </c>
      <c r="K94" t="n">
        <v>1</v>
      </c>
      <c r="L94" t="n">
        <v>1</v>
      </c>
      <c r="M94" t="n">
        <v>0</v>
      </c>
      <c r="N94" t="n">
        <v>0</v>
      </c>
      <c r="O94" t="n">
        <v>6</v>
      </c>
      <c r="P94" t="n">
        <v>2</v>
      </c>
      <c r="Q94" t="n">
        <v>6</v>
      </c>
      <c r="R94" s="2" t="inlineStr">
        <is>
          <t>Timmerskapania
Fläckporing
Granticka
Kolflarnlav
Mörk kolflarnlav
Ullticka</t>
        </is>
      </c>
      <c r="S94">
        <f>HYPERLINK("https://klasma.github.io/Logging_2039/artfynd/A 54671-2021 artfynd.xlsx", "A 54671-2021")</f>
        <v/>
      </c>
      <c r="T94">
        <f>HYPERLINK("https://klasma.github.io/Logging_2039/kartor/A 54671-2021 karta.png", "A 54671-2021")</f>
        <v/>
      </c>
      <c r="V94">
        <f>HYPERLINK("https://klasma.github.io/Logging_2039/klagomål/A 54671-2021 FSC-klagomål.docx", "A 54671-2021")</f>
        <v/>
      </c>
      <c r="W94">
        <f>HYPERLINK("https://klasma.github.io/Logging_2039/klagomålsmail/A 54671-2021 FSC-klagomål mail.docx", "A 54671-2021")</f>
        <v/>
      </c>
      <c r="X94">
        <f>HYPERLINK("https://klasma.github.io/Logging_2039/tillsyn/A 54671-2021 tillsynsbegäran.docx", "A 54671-2021")</f>
        <v/>
      </c>
      <c r="Y94">
        <f>HYPERLINK("https://klasma.github.io/Logging_2039/tillsynsmail/A 54671-2021 tillsynsbegäran mail.docx", "A 54671-2021")</f>
        <v/>
      </c>
    </row>
    <row r="95" ht="15" customHeight="1">
      <c r="A95" t="inlineStr">
        <is>
          <t>A 40417-2025</t>
        </is>
      </c>
      <c r="B95" s="1" t="n">
        <v>45895</v>
      </c>
      <c r="C95" s="1" t="n">
        <v>46145</v>
      </c>
      <c r="D95" t="inlineStr">
        <is>
          <t>DALARNAS LÄN</t>
        </is>
      </c>
      <c r="E95" t="inlineStr">
        <is>
          <t>ÄLVDALEN</t>
        </is>
      </c>
      <c r="G95" t="n">
        <v>14.2</v>
      </c>
      <c r="H95" t="n">
        <v>2</v>
      </c>
      <c r="I95" t="n">
        <v>1</v>
      </c>
      <c r="J95" t="n">
        <v>4</v>
      </c>
      <c r="K95" t="n">
        <v>0</v>
      </c>
      <c r="L95" t="n">
        <v>0</v>
      </c>
      <c r="M95" t="n">
        <v>0</v>
      </c>
      <c r="N95" t="n">
        <v>0</v>
      </c>
      <c r="O95" t="n">
        <v>4</v>
      </c>
      <c r="P95" t="n">
        <v>0</v>
      </c>
      <c r="Q95" t="n">
        <v>6</v>
      </c>
      <c r="R95" s="2" t="inlineStr">
        <is>
          <t>Garnlav
Kolflarnlav
Mörk kolflarnlav
Vedskivlav
Plattlummer
Tjäder</t>
        </is>
      </c>
      <c r="S95">
        <f>HYPERLINK("https://klasma.github.io/Logging_2039/artfynd/A 40417-2025 artfynd.xlsx", "A 40417-2025")</f>
        <v/>
      </c>
      <c r="T95">
        <f>HYPERLINK("https://klasma.github.io/Logging_2039/kartor/A 40417-2025 karta.png", "A 40417-2025")</f>
        <v/>
      </c>
      <c r="V95">
        <f>HYPERLINK("https://klasma.github.io/Logging_2039/klagomål/A 40417-2025 FSC-klagomål.docx", "A 40417-2025")</f>
        <v/>
      </c>
      <c r="W95">
        <f>HYPERLINK("https://klasma.github.io/Logging_2039/klagomålsmail/A 40417-2025 FSC-klagomål mail.docx", "A 40417-2025")</f>
        <v/>
      </c>
      <c r="X95">
        <f>HYPERLINK("https://klasma.github.io/Logging_2039/tillsyn/A 40417-2025 tillsynsbegäran.docx", "A 40417-2025")</f>
        <v/>
      </c>
      <c r="Y95">
        <f>HYPERLINK("https://klasma.github.io/Logging_2039/tillsynsmail/A 40417-2025 tillsynsbegäran mail.docx", "A 40417-2025")</f>
        <v/>
      </c>
      <c r="Z95">
        <f>HYPERLINK("https://klasma.github.io/Logging_2039/fåglar/A 40417-2025 prioriterade fågelarter.docx", "A 40417-2025")</f>
        <v/>
      </c>
    </row>
    <row r="96" ht="15" customHeight="1">
      <c r="A96" t="inlineStr">
        <is>
          <t>A 58889-2025</t>
        </is>
      </c>
      <c r="B96" s="1" t="n">
        <v>45987.48891203704</v>
      </c>
      <c r="C96" s="1" t="n">
        <v>46145</v>
      </c>
      <c r="D96" t="inlineStr">
        <is>
          <t>DALARNAS LÄN</t>
        </is>
      </c>
      <c r="E96" t="inlineStr">
        <is>
          <t>ÄLVDALEN</t>
        </is>
      </c>
      <c r="F96" t="inlineStr">
        <is>
          <t>Sveaskog</t>
        </is>
      </c>
      <c r="G96" t="n">
        <v>6.6</v>
      </c>
      <c r="H96" t="n">
        <v>1</v>
      </c>
      <c r="I96" t="n">
        <v>2</v>
      </c>
      <c r="J96" t="n">
        <v>4</v>
      </c>
      <c r="K96" t="n">
        <v>0</v>
      </c>
      <c r="L96" t="n">
        <v>0</v>
      </c>
      <c r="M96" t="n">
        <v>0</v>
      </c>
      <c r="N96" t="n">
        <v>0</v>
      </c>
      <c r="O96" t="n">
        <v>4</v>
      </c>
      <c r="P96" t="n">
        <v>0</v>
      </c>
      <c r="Q96" t="n">
        <v>6</v>
      </c>
      <c r="R96" s="2" t="inlineStr">
        <is>
          <t>Dvärgbägarlav
Kolflarnlav
Mörk kolflarnlav
Vedflamlav
Dropptaggsvamp
Plattlummer</t>
        </is>
      </c>
      <c r="S96">
        <f>HYPERLINK("https://klasma.github.io/Logging_2039/artfynd/A 58889-2025 artfynd.xlsx", "A 58889-2025")</f>
        <v/>
      </c>
      <c r="T96">
        <f>HYPERLINK("https://klasma.github.io/Logging_2039/kartor/A 58889-2025 karta.png", "A 58889-2025")</f>
        <v/>
      </c>
      <c r="V96">
        <f>HYPERLINK("https://klasma.github.io/Logging_2039/klagomål/A 58889-2025 FSC-klagomål.docx", "A 58889-2025")</f>
        <v/>
      </c>
      <c r="W96">
        <f>HYPERLINK("https://klasma.github.io/Logging_2039/klagomålsmail/A 58889-2025 FSC-klagomål mail.docx", "A 58889-2025")</f>
        <v/>
      </c>
      <c r="X96">
        <f>HYPERLINK("https://klasma.github.io/Logging_2039/tillsyn/A 58889-2025 tillsynsbegäran.docx", "A 58889-2025")</f>
        <v/>
      </c>
      <c r="Y96">
        <f>HYPERLINK("https://klasma.github.io/Logging_2039/tillsynsmail/A 58889-2025 tillsynsbegäran mail.docx", "A 58889-2025")</f>
        <v/>
      </c>
    </row>
    <row r="97" ht="15" customHeight="1">
      <c r="A97" t="inlineStr">
        <is>
          <t>A 59303-2025</t>
        </is>
      </c>
      <c r="B97" s="1" t="n">
        <v>45988</v>
      </c>
      <c r="C97" s="1" t="n">
        <v>46145</v>
      </c>
      <c r="D97" t="inlineStr">
        <is>
          <t>DALARNAS LÄN</t>
        </is>
      </c>
      <c r="E97" t="inlineStr">
        <is>
          <t>ÄLVDALEN</t>
        </is>
      </c>
      <c r="F97" t="inlineStr">
        <is>
          <t>Allmännings- och besparingsskogar</t>
        </is>
      </c>
      <c r="G97" t="n">
        <v>18.2</v>
      </c>
      <c r="H97" t="n">
        <v>1</v>
      </c>
      <c r="I97" t="n">
        <v>0</v>
      </c>
      <c r="J97" t="n">
        <v>6</v>
      </c>
      <c r="K97" t="n">
        <v>0</v>
      </c>
      <c r="L97" t="n">
        <v>0</v>
      </c>
      <c r="M97" t="n">
        <v>0</v>
      </c>
      <c r="N97" t="n">
        <v>0</v>
      </c>
      <c r="O97" t="n">
        <v>6</v>
      </c>
      <c r="P97" t="n">
        <v>0</v>
      </c>
      <c r="Q97" t="n">
        <v>6</v>
      </c>
      <c r="R97" s="2" t="inlineStr">
        <is>
          <t>Blanksvart spiklav
Garnlav
Liten svartspik
Tretåig hackspett
Violettgrå tagellav
Vitgrynig nållav</t>
        </is>
      </c>
      <c r="S97">
        <f>HYPERLINK("https://klasma.github.io/Logging_2039/artfynd/A 59303-2025 artfynd.xlsx", "A 59303-2025")</f>
        <v/>
      </c>
      <c r="T97">
        <f>HYPERLINK("https://klasma.github.io/Logging_2039/kartor/A 59303-2025 karta.png", "A 59303-2025")</f>
        <v/>
      </c>
      <c r="V97">
        <f>HYPERLINK("https://klasma.github.io/Logging_2039/klagomål/A 59303-2025 FSC-klagomål.docx", "A 59303-2025")</f>
        <v/>
      </c>
      <c r="W97">
        <f>HYPERLINK("https://klasma.github.io/Logging_2039/klagomålsmail/A 59303-2025 FSC-klagomål mail.docx", "A 59303-2025")</f>
        <v/>
      </c>
      <c r="X97">
        <f>HYPERLINK("https://klasma.github.io/Logging_2039/tillsyn/A 59303-2025 tillsynsbegäran.docx", "A 59303-2025")</f>
        <v/>
      </c>
      <c r="Y97">
        <f>HYPERLINK("https://klasma.github.io/Logging_2039/tillsynsmail/A 59303-2025 tillsynsbegäran mail.docx", "A 59303-2025")</f>
        <v/>
      </c>
      <c r="Z97">
        <f>HYPERLINK("https://klasma.github.io/Logging_2039/fåglar/A 59303-2025 prioriterade fågelarter.docx", "A 59303-2025")</f>
        <v/>
      </c>
    </row>
    <row r="98" ht="15" customHeight="1">
      <c r="A98" t="inlineStr">
        <is>
          <t>A 19262-2025</t>
        </is>
      </c>
      <c r="B98" s="1" t="n">
        <v>45769.51054398148</v>
      </c>
      <c r="C98" s="1" t="n">
        <v>46145</v>
      </c>
      <c r="D98" t="inlineStr">
        <is>
          <t>DALARNAS LÄN</t>
        </is>
      </c>
      <c r="E98" t="inlineStr">
        <is>
          <t>ÄLVDALEN</t>
        </is>
      </c>
      <c r="F98" t="inlineStr">
        <is>
          <t>Allmännings- och besparingsskogar</t>
        </is>
      </c>
      <c r="G98" t="n">
        <v>8.800000000000001</v>
      </c>
      <c r="H98" t="n">
        <v>0</v>
      </c>
      <c r="I98" t="n">
        <v>1</v>
      </c>
      <c r="J98" t="n">
        <v>3</v>
      </c>
      <c r="K98" t="n">
        <v>1</v>
      </c>
      <c r="L98" t="n">
        <v>1</v>
      </c>
      <c r="M98" t="n">
        <v>0</v>
      </c>
      <c r="N98" t="n">
        <v>0</v>
      </c>
      <c r="O98" t="n">
        <v>5</v>
      </c>
      <c r="P98" t="n">
        <v>2</v>
      </c>
      <c r="Q98" t="n">
        <v>6</v>
      </c>
      <c r="R98" s="2" t="inlineStr">
        <is>
          <t>Broktagel
Gräddporing
Dvärgbägarlav
Garnlav
Nordtagging
Skuggblåslav</t>
        </is>
      </c>
      <c r="S98">
        <f>HYPERLINK("https://klasma.github.io/Logging_2039/artfynd/A 19262-2025 artfynd.xlsx", "A 19262-2025")</f>
        <v/>
      </c>
      <c r="T98">
        <f>HYPERLINK("https://klasma.github.io/Logging_2039/kartor/A 19262-2025 karta.png", "A 19262-2025")</f>
        <v/>
      </c>
      <c r="V98">
        <f>HYPERLINK("https://klasma.github.io/Logging_2039/klagomål/A 19262-2025 FSC-klagomål.docx", "A 19262-2025")</f>
        <v/>
      </c>
      <c r="W98">
        <f>HYPERLINK("https://klasma.github.io/Logging_2039/klagomålsmail/A 19262-2025 FSC-klagomål mail.docx", "A 19262-2025")</f>
        <v/>
      </c>
      <c r="X98">
        <f>HYPERLINK("https://klasma.github.io/Logging_2039/tillsyn/A 19262-2025 tillsynsbegäran.docx", "A 19262-2025")</f>
        <v/>
      </c>
      <c r="Y98">
        <f>HYPERLINK("https://klasma.github.io/Logging_2039/tillsynsmail/A 19262-2025 tillsynsbegäran mail.docx", "A 19262-2025")</f>
        <v/>
      </c>
    </row>
    <row r="99" ht="15" customHeight="1">
      <c r="A99" t="inlineStr">
        <is>
          <t>A 39278-2022</t>
        </is>
      </c>
      <c r="B99" s="1" t="n">
        <v>44817</v>
      </c>
      <c r="C99" s="1" t="n">
        <v>46145</v>
      </c>
      <c r="D99" t="inlineStr">
        <is>
          <t>DALARNAS LÄN</t>
        </is>
      </c>
      <c r="E99" t="inlineStr">
        <is>
          <t>ÄLVDALEN</t>
        </is>
      </c>
      <c r="G99" t="n">
        <v>20.3</v>
      </c>
      <c r="H99" t="n">
        <v>1</v>
      </c>
      <c r="I99" t="n">
        <v>0</v>
      </c>
      <c r="J99" t="n">
        <v>4</v>
      </c>
      <c r="K99" t="n">
        <v>2</v>
      </c>
      <c r="L99" t="n">
        <v>0</v>
      </c>
      <c r="M99" t="n">
        <v>0</v>
      </c>
      <c r="N99" t="n">
        <v>0</v>
      </c>
      <c r="O99" t="n">
        <v>6</v>
      </c>
      <c r="P99" t="n">
        <v>2</v>
      </c>
      <c r="Q99" t="n">
        <v>6</v>
      </c>
      <c r="R99" s="2" t="inlineStr">
        <is>
          <t>Rynkskinn
Sprickporing
Granticka
Gränsticka
Tretåig hackspett
Violettgrå tagellav</t>
        </is>
      </c>
      <c r="S99">
        <f>HYPERLINK("https://klasma.github.io/Logging_2039/artfynd/A 39278-2022 artfynd.xlsx", "A 39278-2022")</f>
        <v/>
      </c>
      <c r="T99">
        <f>HYPERLINK("https://klasma.github.io/Logging_2039/kartor/A 39278-2022 karta.png", "A 39278-2022")</f>
        <v/>
      </c>
      <c r="V99">
        <f>HYPERLINK("https://klasma.github.io/Logging_2039/klagomål/A 39278-2022 FSC-klagomål.docx", "A 39278-2022")</f>
        <v/>
      </c>
      <c r="W99">
        <f>HYPERLINK("https://klasma.github.io/Logging_2039/klagomålsmail/A 39278-2022 FSC-klagomål mail.docx", "A 39278-2022")</f>
        <v/>
      </c>
      <c r="X99">
        <f>HYPERLINK("https://klasma.github.io/Logging_2039/tillsyn/A 39278-2022 tillsynsbegäran.docx", "A 39278-2022")</f>
        <v/>
      </c>
      <c r="Y99">
        <f>HYPERLINK("https://klasma.github.io/Logging_2039/tillsynsmail/A 39278-2022 tillsynsbegäran mail.docx", "A 39278-2022")</f>
        <v/>
      </c>
      <c r="Z99">
        <f>HYPERLINK("https://klasma.github.io/Logging_2039/fåglar/A 39278-2022 prioriterade fågelarter.docx", "A 39278-2022")</f>
        <v/>
      </c>
    </row>
    <row r="100" ht="15" customHeight="1">
      <c r="A100" t="inlineStr">
        <is>
          <t>A 6823-2026</t>
        </is>
      </c>
      <c r="B100" s="1" t="n">
        <v>46057.39158564815</v>
      </c>
      <c r="C100" s="1" t="n">
        <v>46145</v>
      </c>
      <c r="D100" t="inlineStr">
        <is>
          <t>DALARNAS LÄN</t>
        </is>
      </c>
      <c r="E100" t="inlineStr">
        <is>
          <t>ÄLVDALEN</t>
        </is>
      </c>
      <c r="G100" t="n">
        <v>3.9</v>
      </c>
      <c r="H100" t="n">
        <v>4</v>
      </c>
      <c r="I100" t="n">
        <v>0</v>
      </c>
      <c r="J100" t="n">
        <v>5</v>
      </c>
      <c r="K100" t="n">
        <v>0</v>
      </c>
      <c r="L100" t="n">
        <v>0</v>
      </c>
      <c r="M100" t="n">
        <v>0</v>
      </c>
      <c r="N100" t="n">
        <v>0</v>
      </c>
      <c r="O100" t="n">
        <v>5</v>
      </c>
      <c r="P100" t="n">
        <v>0</v>
      </c>
      <c r="Q100" t="n">
        <v>6</v>
      </c>
      <c r="R100" s="2" t="inlineStr">
        <is>
          <t>Garnlav
Järpe
Spillkråka
Tallticka
Tretåig hackspett
Tjäder</t>
        </is>
      </c>
      <c r="S100">
        <f>HYPERLINK("https://klasma.github.io/Logging_2039/artfynd/A 6823-2026 artfynd.xlsx", "A 6823-2026")</f>
        <v/>
      </c>
      <c r="T100">
        <f>HYPERLINK("https://klasma.github.io/Logging_2039/kartor/A 6823-2026 karta.png", "A 6823-2026")</f>
        <v/>
      </c>
      <c r="V100">
        <f>HYPERLINK("https://klasma.github.io/Logging_2039/klagomål/A 6823-2026 FSC-klagomål.docx", "A 6823-2026")</f>
        <v/>
      </c>
      <c r="W100">
        <f>HYPERLINK("https://klasma.github.io/Logging_2039/klagomålsmail/A 6823-2026 FSC-klagomål mail.docx", "A 6823-2026")</f>
        <v/>
      </c>
      <c r="X100">
        <f>HYPERLINK("https://klasma.github.io/Logging_2039/tillsyn/A 6823-2026 tillsynsbegäran.docx", "A 6823-2026")</f>
        <v/>
      </c>
      <c r="Y100">
        <f>HYPERLINK("https://klasma.github.io/Logging_2039/tillsynsmail/A 6823-2026 tillsynsbegäran mail.docx", "A 6823-2026")</f>
        <v/>
      </c>
      <c r="Z100">
        <f>HYPERLINK("https://klasma.github.io/Logging_2039/fåglar/A 6823-2026 prioriterade fågelarter.docx", "A 6823-2026")</f>
        <v/>
      </c>
    </row>
    <row r="101" ht="15" customHeight="1">
      <c r="A101" t="inlineStr">
        <is>
          <t>A 31821-2025</t>
        </is>
      </c>
      <c r="B101" s="1" t="n">
        <v>45834.57958333333</v>
      </c>
      <c r="C101" s="1" t="n">
        <v>46145</v>
      </c>
      <c r="D101" t="inlineStr">
        <is>
          <t>DALARNAS LÄN</t>
        </is>
      </c>
      <c r="E101" t="inlineStr">
        <is>
          <t>ÄLVDALEN</t>
        </is>
      </c>
      <c r="F101" t="inlineStr">
        <is>
          <t>Allmännings- och besparingsskogar</t>
        </is>
      </c>
      <c r="G101" t="n">
        <v>1.2</v>
      </c>
      <c r="H101" t="n">
        <v>1</v>
      </c>
      <c r="I101" t="n">
        <v>1</v>
      </c>
      <c r="J101" t="n">
        <v>4</v>
      </c>
      <c r="K101" t="n">
        <v>1</v>
      </c>
      <c r="L101" t="n">
        <v>0</v>
      </c>
      <c r="M101" t="n">
        <v>0</v>
      </c>
      <c r="N101" t="n">
        <v>0</v>
      </c>
      <c r="O101" t="n">
        <v>5</v>
      </c>
      <c r="P101" t="n">
        <v>1</v>
      </c>
      <c r="Q101" t="n">
        <v>6</v>
      </c>
      <c r="R101" s="2" t="inlineStr">
        <is>
          <t>Fläckporing
Blanksvart spiklav
Varglav
Vedflamlav
Vedskivlav
Mindre märgborre</t>
        </is>
      </c>
      <c r="S101">
        <f>HYPERLINK("https://klasma.github.io/Logging_2039/artfynd/A 31821-2025 artfynd.xlsx", "A 31821-2025")</f>
        <v/>
      </c>
      <c r="T101">
        <f>HYPERLINK("https://klasma.github.io/Logging_2039/kartor/A 31821-2025 karta.png", "A 31821-2025")</f>
        <v/>
      </c>
      <c r="V101">
        <f>HYPERLINK("https://klasma.github.io/Logging_2039/klagomål/A 31821-2025 FSC-klagomål.docx", "A 31821-2025")</f>
        <v/>
      </c>
      <c r="W101">
        <f>HYPERLINK("https://klasma.github.io/Logging_2039/klagomålsmail/A 31821-2025 FSC-klagomål mail.docx", "A 31821-2025")</f>
        <v/>
      </c>
      <c r="X101">
        <f>HYPERLINK("https://klasma.github.io/Logging_2039/tillsyn/A 31821-2025 tillsynsbegäran.docx", "A 31821-2025")</f>
        <v/>
      </c>
      <c r="Y101">
        <f>HYPERLINK("https://klasma.github.io/Logging_2039/tillsynsmail/A 31821-2025 tillsynsbegäran mail.docx", "A 31821-2025")</f>
        <v/>
      </c>
    </row>
    <row r="102" ht="15" customHeight="1">
      <c r="A102" t="inlineStr">
        <is>
          <t>A 31631-2025</t>
        </is>
      </c>
      <c r="B102" s="1" t="n">
        <v>45834</v>
      </c>
      <c r="C102" s="1" t="n">
        <v>46145</v>
      </c>
      <c r="D102" t="inlineStr">
        <is>
          <t>DALARNAS LÄN</t>
        </is>
      </c>
      <c r="E102" t="inlineStr">
        <is>
          <t>ÄLVDALEN</t>
        </is>
      </c>
      <c r="F102" t="inlineStr">
        <is>
          <t>Sveaskog</t>
        </is>
      </c>
      <c r="G102" t="n">
        <v>9</v>
      </c>
      <c r="H102" t="n">
        <v>0</v>
      </c>
      <c r="I102" t="n">
        <v>1</v>
      </c>
      <c r="J102" t="n">
        <v>5</v>
      </c>
      <c r="K102" t="n">
        <v>0</v>
      </c>
      <c r="L102" t="n">
        <v>0</v>
      </c>
      <c r="M102" t="n">
        <v>0</v>
      </c>
      <c r="N102" t="n">
        <v>0</v>
      </c>
      <c r="O102" t="n">
        <v>5</v>
      </c>
      <c r="P102" t="n">
        <v>0</v>
      </c>
      <c r="Q102" t="n">
        <v>6</v>
      </c>
      <c r="R102" s="2" t="inlineStr">
        <is>
          <t>Dvärgbägarlav
Kolflarnlav
Lunglav
Mörk kolflarnlav
Vedflamlav
Dropptaggsvamp</t>
        </is>
      </c>
      <c r="S102">
        <f>HYPERLINK("https://klasma.github.io/Logging_2039/artfynd/A 31631-2025 artfynd.xlsx", "A 31631-2025")</f>
        <v/>
      </c>
      <c r="T102">
        <f>HYPERLINK("https://klasma.github.io/Logging_2039/kartor/A 31631-2025 karta.png", "A 31631-2025")</f>
        <v/>
      </c>
      <c r="V102">
        <f>HYPERLINK("https://klasma.github.io/Logging_2039/klagomål/A 31631-2025 FSC-klagomål.docx", "A 31631-2025")</f>
        <v/>
      </c>
      <c r="W102">
        <f>HYPERLINK("https://klasma.github.io/Logging_2039/klagomålsmail/A 31631-2025 FSC-klagomål mail.docx", "A 31631-2025")</f>
        <v/>
      </c>
      <c r="X102">
        <f>HYPERLINK("https://klasma.github.io/Logging_2039/tillsyn/A 31631-2025 tillsynsbegäran.docx", "A 31631-2025")</f>
        <v/>
      </c>
      <c r="Y102">
        <f>HYPERLINK("https://klasma.github.io/Logging_2039/tillsynsmail/A 31631-2025 tillsynsbegäran mail.docx", "A 31631-2025")</f>
        <v/>
      </c>
    </row>
    <row r="103" ht="15" customHeight="1">
      <c r="A103" t="inlineStr">
        <is>
          <t>A 33638-2025</t>
        </is>
      </c>
      <c r="B103" s="1" t="n">
        <v>45841.64807870371</v>
      </c>
      <c r="C103" s="1" t="n">
        <v>46145</v>
      </c>
      <c r="D103" t="inlineStr">
        <is>
          <t>DALARNAS LÄN</t>
        </is>
      </c>
      <c r="E103" t="inlineStr">
        <is>
          <t>ÄLVDALEN</t>
        </is>
      </c>
      <c r="F103" t="inlineStr">
        <is>
          <t>Sveaskog</t>
        </is>
      </c>
      <c r="G103" t="n">
        <v>2.1</v>
      </c>
      <c r="H103" t="n">
        <v>0</v>
      </c>
      <c r="I103" t="n">
        <v>1</v>
      </c>
      <c r="J103" t="n">
        <v>4</v>
      </c>
      <c r="K103" t="n">
        <v>1</v>
      </c>
      <c r="L103" t="n">
        <v>0</v>
      </c>
      <c r="M103" t="n">
        <v>0</v>
      </c>
      <c r="N103" t="n">
        <v>0</v>
      </c>
      <c r="O103" t="n">
        <v>5</v>
      </c>
      <c r="P103" t="n">
        <v>1</v>
      </c>
      <c r="Q103" t="n">
        <v>6</v>
      </c>
      <c r="R103" s="2" t="inlineStr">
        <is>
          <t>Gräddporing
Blanksvart spiklav
Dvärgbägarlav
Kolflarnlav
Mörk kolflarnlav
Dropptaggsvamp</t>
        </is>
      </c>
      <c r="S103">
        <f>HYPERLINK("https://klasma.github.io/Logging_2039/artfynd/A 33638-2025 artfynd.xlsx", "A 33638-2025")</f>
        <v/>
      </c>
      <c r="T103">
        <f>HYPERLINK("https://klasma.github.io/Logging_2039/kartor/A 33638-2025 karta.png", "A 33638-2025")</f>
        <v/>
      </c>
      <c r="V103">
        <f>HYPERLINK("https://klasma.github.io/Logging_2039/klagomål/A 33638-2025 FSC-klagomål.docx", "A 33638-2025")</f>
        <v/>
      </c>
      <c r="W103">
        <f>HYPERLINK("https://klasma.github.io/Logging_2039/klagomålsmail/A 33638-2025 FSC-klagomål mail.docx", "A 33638-2025")</f>
        <v/>
      </c>
      <c r="X103">
        <f>HYPERLINK("https://klasma.github.io/Logging_2039/tillsyn/A 33638-2025 tillsynsbegäran.docx", "A 33638-2025")</f>
        <v/>
      </c>
      <c r="Y103">
        <f>HYPERLINK("https://klasma.github.io/Logging_2039/tillsynsmail/A 33638-2025 tillsynsbegäran mail.docx", "A 33638-2025")</f>
        <v/>
      </c>
    </row>
    <row r="104" ht="15" customHeight="1">
      <c r="A104" t="inlineStr">
        <is>
          <t>A 33822-2025</t>
        </is>
      </c>
      <c r="B104" s="1" t="n">
        <v>45842.46769675926</v>
      </c>
      <c r="C104" s="1" t="n">
        <v>46145</v>
      </c>
      <c r="D104" t="inlineStr">
        <is>
          <t>DALARNAS LÄN</t>
        </is>
      </c>
      <c r="E104" t="inlineStr">
        <is>
          <t>ÄLVDALEN</t>
        </is>
      </c>
      <c r="F104" t="inlineStr">
        <is>
          <t>Sveaskog</t>
        </is>
      </c>
      <c r="G104" t="n">
        <v>3.9</v>
      </c>
      <c r="H104" t="n">
        <v>0</v>
      </c>
      <c r="I104" t="n">
        <v>1</v>
      </c>
      <c r="J104" t="n">
        <v>5</v>
      </c>
      <c r="K104" t="n">
        <v>0</v>
      </c>
      <c r="L104" t="n">
        <v>0</v>
      </c>
      <c r="M104" t="n">
        <v>0</v>
      </c>
      <c r="N104" t="n">
        <v>0</v>
      </c>
      <c r="O104" t="n">
        <v>5</v>
      </c>
      <c r="P104" t="n">
        <v>0</v>
      </c>
      <c r="Q104" t="n">
        <v>6</v>
      </c>
      <c r="R104" s="2" t="inlineStr">
        <is>
          <t>Blå taggsvamp
Kolflarnlav
Motaggsvamp
Mörk kolflarnlav
Vedflamlav
Skarp dropptaggsvamp</t>
        </is>
      </c>
      <c r="S104">
        <f>HYPERLINK("https://klasma.github.io/Logging_2039/artfynd/A 33822-2025 artfynd.xlsx", "A 33822-2025")</f>
        <v/>
      </c>
      <c r="T104">
        <f>HYPERLINK("https://klasma.github.io/Logging_2039/kartor/A 33822-2025 karta.png", "A 33822-2025")</f>
        <v/>
      </c>
      <c r="V104">
        <f>HYPERLINK("https://klasma.github.io/Logging_2039/klagomål/A 33822-2025 FSC-klagomål.docx", "A 33822-2025")</f>
        <v/>
      </c>
      <c r="W104">
        <f>HYPERLINK("https://klasma.github.io/Logging_2039/klagomålsmail/A 33822-2025 FSC-klagomål mail.docx", "A 33822-2025")</f>
        <v/>
      </c>
      <c r="X104">
        <f>HYPERLINK("https://klasma.github.io/Logging_2039/tillsyn/A 33822-2025 tillsynsbegäran.docx", "A 33822-2025")</f>
        <v/>
      </c>
      <c r="Y104">
        <f>HYPERLINK("https://klasma.github.io/Logging_2039/tillsynsmail/A 33822-2025 tillsynsbegäran mail.docx", "A 33822-2025")</f>
        <v/>
      </c>
    </row>
    <row r="105" ht="15" customHeight="1">
      <c r="A105" t="inlineStr">
        <is>
          <t>A 16894-2025</t>
        </is>
      </c>
      <c r="B105" s="1" t="n">
        <v>45755.33045138889</v>
      </c>
      <c r="C105" s="1" t="n">
        <v>46145</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41782-2025</t>
        </is>
      </c>
      <c r="B106" s="1" t="n">
        <v>45902.58693287037</v>
      </c>
      <c r="C106" s="1" t="n">
        <v>46145</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38585-2023</t>
        </is>
      </c>
      <c r="B107" s="1" t="n">
        <v>45162</v>
      </c>
      <c r="C107" s="1" t="n">
        <v>46145</v>
      </c>
      <c r="D107" t="inlineStr">
        <is>
          <t>DALARNAS LÄN</t>
        </is>
      </c>
      <c r="E107" t="inlineStr">
        <is>
          <t>ÄLVDALEN</t>
        </is>
      </c>
      <c r="F107" t="inlineStr">
        <is>
          <t>Sveaskog</t>
        </is>
      </c>
      <c r="G107" t="n">
        <v>7.8</v>
      </c>
      <c r="H107" t="n">
        <v>0</v>
      </c>
      <c r="I107" t="n">
        <v>1</v>
      </c>
      <c r="J107" t="n">
        <v>4</v>
      </c>
      <c r="K107" t="n">
        <v>0</v>
      </c>
      <c r="L107" t="n">
        <v>0</v>
      </c>
      <c r="M107" t="n">
        <v>0</v>
      </c>
      <c r="N107" t="n">
        <v>0</v>
      </c>
      <c r="O107" t="n">
        <v>4</v>
      </c>
      <c r="P107" t="n">
        <v>0</v>
      </c>
      <c r="Q107" t="n">
        <v>5</v>
      </c>
      <c r="R107" s="2" t="inlineStr">
        <is>
          <t>Blanksvart spiklav
Blå taggsvamp
Dvärgbägarlav
Kolflarnlav
Dropptaggsvamp</t>
        </is>
      </c>
      <c r="S107">
        <f>HYPERLINK("https://klasma.github.io/Logging_2039/artfynd/A 38585-2023 artfynd.xlsx", "A 38585-2023")</f>
        <v/>
      </c>
      <c r="T107">
        <f>HYPERLINK("https://klasma.github.io/Logging_2039/kartor/A 38585-2023 karta.png", "A 38585-2023")</f>
        <v/>
      </c>
      <c r="V107">
        <f>HYPERLINK("https://klasma.github.io/Logging_2039/klagomål/A 38585-2023 FSC-klagomål.docx", "A 38585-2023")</f>
        <v/>
      </c>
      <c r="W107">
        <f>HYPERLINK("https://klasma.github.io/Logging_2039/klagomålsmail/A 38585-2023 FSC-klagomål mail.docx", "A 38585-2023")</f>
        <v/>
      </c>
      <c r="X107">
        <f>HYPERLINK("https://klasma.github.io/Logging_2039/tillsyn/A 38585-2023 tillsynsbegäran.docx", "A 38585-2023")</f>
        <v/>
      </c>
      <c r="Y107">
        <f>HYPERLINK("https://klasma.github.io/Logging_2039/tillsynsmail/A 38585-2023 tillsynsbegäran mail.docx", "A 38585-2023")</f>
        <v/>
      </c>
    </row>
    <row r="108" ht="15" customHeight="1">
      <c r="A108" t="inlineStr">
        <is>
          <t>A 61585-2025</t>
        </is>
      </c>
      <c r="B108" s="1" t="n">
        <v>46002.34267361111</v>
      </c>
      <c r="C108" s="1" t="n">
        <v>46145</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46145</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49053-2023</t>
        </is>
      </c>
      <c r="B110" s="1" t="n">
        <v>45210</v>
      </c>
      <c r="C110" s="1" t="n">
        <v>46145</v>
      </c>
      <c r="D110" t="inlineStr">
        <is>
          <t>DALARNAS LÄN</t>
        </is>
      </c>
      <c r="E110" t="inlineStr">
        <is>
          <t>ÄLVDALEN</t>
        </is>
      </c>
      <c r="F110" t="inlineStr">
        <is>
          <t>Sveaskog</t>
        </is>
      </c>
      <c r="G110" t="n">
        <v>3.6</v>
      </c>
      <c r="H110" t="n">
        <v>0</v>
      </c>
      <c r="I110" t="n">
        <v>2</v>
      </c>
      <c r="J110" t="n">
        <v>3</v>
      </c>
      <c r="K110" t="n">
        <v>0</v>
      </c>
      <c r="L110" t="n">
        <v>0</v>
      </c>
      <c r="M110" t="n">
        <v>0</v>
      </c>
      <c r="N110" t="n">
        <v>0</v>
      </c>
      <c r="O110" t="n">
        <v>3</v>
      </c>
      <c r="P110" t="n">
        <v>0</v>
      </c>
      <c r="Q110" t="n">
        <v>5</v>
      </c>
      <c r="R110" s="2" t="inlineStr">
        <is>
          <t>Kolflarnlav
Nordtagging
Vedflamlav
Dropptaggsvamp
Skarp dropptaggsvamp</t>
        </is>
      </c>
      <c r="S110">
        <f>HYPERLINK("https://klasma.github.io/Logging_2039/artfynd/A 49053-2023 artfynd.xlsx", "A 49053-2023")</f>
        <v/>
      </c>
      <c r="T110">
        <f>HYPERLINK("https://klasma.github.io/Logging_2039/kartor/A 49053-2023 karta.png", "A 49053-2023")</f>
        <v/>
      </c>
      <c r="V110">
        <f>HYPERLINK("https://klasma.github.io/Logging_2039/klagomål/A 49053-2023 FSC-klagomål.docx", "A 49053-2023")</f>
        <v/>
      </c>
      <c r="W110">
        <f>HYPERLINK("https://klasma.github.io/Logging_2039/klagomålsmail/A 49053-2023 FSC-klagomål mail.docx", "A 49053-2023")</f>
        <v/>
      </c>
      <c r="X110">
        <f>HYPERLINK("https://klasma.github.io/Logging_2039/tillsyn/A 49053-2023 tillsynsbegäran.docx", "A 49053-2023")</f>
        <v/>
      </c>
      <c r="Y110">
        <f>HYPERLINK("https://klasma.github.io/Logging_2039/tillsynsmail/A 49053-2023 tillsynsbegäran mail.docx", "A 49053-2023")</f>
        <v/>
      </c>
    </row>
    <row r="111" ht="15" customHeight="1">
      <c r="A111" t="inlineStr">
        <is>
          <t>A 2221-2026</t>
        </is>
      </c>
      <c r="B111" s="1" t="n">
        <v>46036.50204861111</v>
      </c>
      <c r="C111" s="1" t="n">
        <v>46145</v>
      </c>
      <c r="D111" t="inlineStr">
        <is>
          <t>DALARNAS LÄN</t>
        </is>
      </c>
      <c r="E111" t="inlineStr">
        <is>
          <t>ÄLVDALEN</t>
        </is>
      </c>
      <c r="F111" t="inlineStr">
        <is>
          <t>Allmännings- och besparingsskogar</t>
        </is>
      </c>
      <c r="G111" t="n">
        <v>3</v>
      </c>
      <c r="H111" t="n">
        <v>1</v>
      </c>
      <c r="I111" t="n">
        <v>0</v>
      </c>
      <c r="J111" t="n">
        <v>4</v>
      </c>
      <c r="K111" t="n">
        <v>0</v>
      </c>
      <c r="L111" t="n">
        <v>0</v>
      </c>
      <c r="M111" t="n">
        <v>0</v>
      </c>
      <c r="N111" t="n">
        <v>0</v>
      </c>
      <c r="O111" t="n">
        <v>4</v>
      </c>
      <c r="P111" t="n">
        <v>0</v>
      </c>
      <c r="Q111" t="n">
        <v>5</v>
      </c>
      <c r="R111" s="2" t="inlineStr">
        <is>
          <t>Garnlav
Kolflarnlav
Vedflamlav
Vedskivlav
Orre</t>
        </is>
      </c>
      <c r="S111">
        <f>HYPERLINK("https://klasma.github.io/Logging_2039/artfynd/A 2221-2026 artfynd.xlsx", "A 2221-2026")</f>
        <v/>
      </c>
      <c r="T111">
        <f>HYPERLINK("https://klasma.github.io/Logging_2039/kartor/A 2221-2026 karta.png", "A 2221-2026")</f>
        <v/>
      </c>
      <c r="V111">
        <f>HYPERLINK("https://klasma.github.io/Logging_2039/klagomål/A 2221-2026 FSC-klagomål.docx", "A 2221-2026")</f>
        <v/>
      </c>
      <c r="W111">
        <f>HYPERLINK("https://klasma.github.io/Logging_2039/klagomålsmail/A 2221-2026 FSC-klagomål mail.docx", "A 2221-2026")</f>
        <v/>
      </c>
      <c r="X111">
        <f>HYPERLINK("https://klasma.github.io/Logging_2039/tillsyn/A 2221-2026 tillsynsbegäran.docx", "A 2221-2026")</f>
        <v/>
      </c>
      <c r="Y111">
        <f>HYPERLINK("https://klasma.github.io/Logging_2039/tillsynsmail/A 2221-2026 tillsynsbegäran mail.docx", "A 2221-2026")</f>
        <v/>
      </c>
      <c r="Z111">
        <f>HYPERLINK("https://klasma.github.io/Logging_2039/fåglar/A 2221-2026 prioriterade fågelarter.docx", "A 2221-2026")</f>
        <v/>
      </c>
    </row>
    <row r="112" ht="15" customHeight="1">
      <c r="A112" t="inlineStr">
        <is>
          <t>A 6847-2026</t>
        </is>
      </c>
      <c r="B112" s="1" t="n">
        <v>46057.42493055556</v>
      </c>
      <c r="C112" s="1" t="n">
        <v>46145</v>
      </c>
      <c r="D112" t="inlineStr">
        <is>
          <t>DALARNAS LÄN</t>
        </is>
      </c>
      <c r="E112" t="inlineStr">
        <is>
          <t>ÄLVDALEN</t>
        </is>
      </c>
      <c r="G112" t="n">
        <v>3.6</v>
      </c>
      <c r="H112" t="n">
        <v>2</v>
      </c>
      <c r="I112" t="n">
        <v>1</v>
      </c>
      <c r="J112" t="n">
        <v>3</v>
      </c>
      <c r="K112" t="n">
        <v>0</v>
      </c>
      <c r="L112" t="n">
        <v>0</v>
      </c>
      <c r="M112" t="n">
        <v>0</v>
      </c>
      <c r="N112" t="n">
        <v>0</v>
      </c>
      <c r="O112" t="n">
        <v>3</v>
      </c>
      <c r="P112" t="n">
        <v>0</v>
      </c>
      <c r="Q112" t="n">
        <v>5</v>
      </c>
      <c r="R112" s="2" t="inlineStr">
        <is>
          <t>Garnlav
Spillkråka
Vedskivlav
Mindre märgborre
Tjäder</t>
        </is>
      </c>
      <c r="S112">
        <f>HYPERLINK("https://klasma.github.io/Logging_2039/artfynd/A 6847-2026 artfynd.xlsx", "A 6847-2026")</f>
        <v/>
      </c>
      <c r="T112">
        <f>HYPERLINK("https://klasma.github.io/Logging_2039/kartor/A 6847-2026 karta.png", "A 6847-2026")</f>
        <v/>
      </c>
      <c r="V112">
        <f>HYPERLINK("https://klasma.github.io/Logging_2039/klagomål/A 6847-2026 FSC-klagomål.docx", "A 6847-2026")</f>
        <v/>
      </c>
      <c r="W112">
        <f>HYPERLINK("https://klasma.github.io/Logging_2039/klagomålsmail/A 6847-2026 FSC-klagomål mail.docx", "A 6847-2026")</f>
        <v/>
      </c>
      <c r="X112">
        <f>HYPERLINK("https://klasma.github.io/Logging_2039/tillsyn/A 6847-2026 tillsynsbegäran.docx", "A 6847-2026")</f>
        <v/>
      </c>
      <c r="Y112">
        <f>HYPERLINK("https://klasma.github.io/Logging_2039/tillsynsmail/A 6847-2026 tillsynsbegäran mail.docx", "A 6847-2026")</f>
        <v/>
      </c>
      <c r="Z112">
        <f>HYPERLINK("https://klasma.github.io/Logging_2039/fåglar/A 6847-2026 prioriterade fågelarter.docx", "A 6847-2026")</f>
        <v/>
      </c>
    </row>
    <row r="113" ht="15" customHeight="1">
      <c r="A113" t="inlineStr">
        <is>
          <t>A 19616-2024</t>
        </is>
      </c>
      <c r="B113" s="1" t="n">
        <v>45432.31541666666</v>
      </c>
      <c r="C113" s="1" t="n">
        <v>46145</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46145</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19686-2026</t>
        </is>
      </c>
      <c r="B115" s="1" t="n">
        <v>46134.67353009259</v>
      </c>
      <c r="C115" s="1" t="n">
        <v>46145</v>
      </c>
      <c r="D115" t="inlineStr">
        <is>
          <t>DALARNAS LÄN</t>
        </is>
      </c>
      <c r="E115" t="inlineStr">
        <is>
          <t>ÄLVDALEN</t>
        </is>
      </c>
      <c r="G115" t="n">
        <v>5.1</v>
      </c>
      <c r="H115" t="n">
        <v>3</v>
      </c>
      <c r="I115" t="n">
        <v>1</v>
      </c>
      <c r="J115" t="n">
        <v>3</v>
      </c>
      <c r="K115" t="n">
        <v>0</v>
      </c>
      <c r="L115" t="n">
        <v>0</v>
      </c>
      <c r="M115" t="n">
        <v>0</v>
      </c>
      <c r="N115" t="n">
        <v>0</v>
      </c>
      <c r="O115" t="n">
        <v>3</v>
      </c>
      <c r="P115" t="n">
        <v>0</v>
      </c>
      <c r="Q115" t="n">
        <v>5</v>
      </c>
      <c r="R115" s="2" t="inlineStr">
        <is>
          <t>Garnlav
Spillkråka
Talltita
Mindre märgborre
Revlummer</t>
        </is>
      </c>
      <c r="S115">
        <f>HYPERLINK("https://klasma.github.io/Logging_2039/artfynd/A 19686-2026 artfynd.xlsx", "A 19686-2026")</f>
        <v/>
      </c>
      <c r="T115">
        <f>HYPERLINK("https://klasma.github.io/Logging_2039/kartor/A 19686-2026 karta.png", "A 19686-2026")</f>
        <v/>
      </c>
      <c r="V115">
        <f>HYPERLINK("https://klasma.github.io/Logging_2039/klagomål/A 19686-2026 FSC-klagomål.docx", "A 19686-2026")</f>
        <v/>
      </c>
      <c r="W115">
        <f>HYPERLINK("https://klasma.github.io/Logging_2039/klagomålsmail/A 19686-2026 FSC-klagomål mail.docx", "A 19686-2026")</f>
        <v/>
      </c>
      <c r="X115">
        <f>HYPERLINK("https://klasma.github.io/Logging_2039/tillsyn/A 19686-2026 tillsynsbegäran.docx", "A 19686-2026")</f>
        <v/>
      </c>
      <c r="Y115">
        <f>HYPERLINK("https://klasma.github.io/Logging_2039/tillsynsmail/A 19686-2026 tillsynsbegäran mail.docx", "A 19686-2026")</f>
        <v/>
      </c>
      <c r="Z115">
        <f>HYPERLINK("https://klasma.github.io/Logging_2039/fåglar/A 19686-2026 prioriterade fågelarter.docx", "A 19686-2026")</f>
        <v/>
      </c>
    </row>
    <row r="116" ht="15" customHeight="1">
      <c r="A116" t="inlineStr">
        <is>
          <t>A 10282-2024</t>
        </is>
      </c>
      <c r="B116" s="1" t="n">
        <v>45365</v>
      </c>
      <c r="C116" s="1" t="n">
        <v>46145</v>
      </c>
      <c r="D116" t="inlineStr">
        <is>
          <t>DALARNAS LÄN</t>
        </is>
      </c>
      <c r="E116" t="inlineStr">
        <is>
          <t>ÄLVDALEN</t>
        </is>
      </c>
      <c r="G116" t="n">
        <v>1.2</v>
      </c>
      <c r="H116" t="n">
        <v>1</v>
      </c>
      <c r="I116" t="n">
        <v>1</v>
      </c>
      <c r="J116" t="n">
        <v>3</v>
      </c>
      <c r="K116" t="n">
        <v>1</v>
      </c>
      <c r="L116" t="n">
        <v>0</v>
      </c>
      <c r="M116" t="n">
        <v>0</v>
      </c>
      <c r="N116" t="n">
        <v>0</v>
      </c>
      <c r="O116" t="n">
        <v>4</v>
      </c>
      <c r="P116" t="n">
        <v>1</v>
      </c>
      <c r="Q116" t="n">
        <v>5</v>
      </c>
      <c r="R116" s="2" t="inlineStr">
        <is>
          <t>Knärot
Garnlav
Ullticka
Violettgrå tagellav
Vedticka</t>
        </is>
      </c>
      <c r="S116">
        <f>HYPERLINK("https://klasma.github.io/Logging_2039/artfynd/A 10282-2024 artfynd.xlsx", "A 10282-2024")</f>
        <v/>
      </c>
      <c r="T116">
        <f>HYPERLINK("https://klasma.github.io/Logging_2039/kartor/A 10282-2024 karta.png", "A 10282-2024")</f>
        <v/>
      </c>
      <c r="U116">
        <f>HYPERLINK("https://klasma.github.io/Logging_2039/knärot/A 10282-2024 karta knärot.png", "A 10282-2024")</f>
        <v/>
      </c>
      <c r="V116">
        <f>HYPERLINK("https://klasma.github.io/Logging_2039/klagomål/A 10282-2024 FSC-klagomål.docx", "A 10282-2024")</f>
        <v/>
      </c>
      <c r="W116">
        <f>HYPERLINK("https://klasma.github.io/Logging_2039/klagomålsmail/A 10282-2024 FSC-klagomål mail.docx", "A 10282-2024")</f>
        <v/>
      </c>
      <c r="X116">
        <f>HYPERLINK("https://klasma.github.io/Logging_2039/tillsyn/A 10282-2024 tillsynsbegäran.docx", "A 10282-2024")</f>
        <v/>
      </c>
      <c r="Y116">
        <f>HYPERLINK("https://klasma.github.io/Logging_2039/tillsynsmail/A 10282-2024 tillsynsbegäran mail.docx", "A 10282-2024")</f>
        <v/>
      </c>
    </row>
    <row r="117" ht="15" customHeight="1">
      <c r="A117" t="inlineStr">
        <is>
          <t>A 36580-2024</t>
        </is>
      </c>
      <c r="B117" s="1" t="n">
        <v>45537.50400462963</v>
      </c>
      <c r="C117" s="1" t="n">
        <v>46145</v>
      </c>
      <c r="D117" t="inlineStr">
        <is>
          <t>DALARNAS LÄN</t>
        </is>
      </c>
      <c r="E117" t="inlineStr">
        <is>
          <t>ÄLVDALEN</t>
        </is>
      </c>
      <c r="F117" t="inlineStr">
        <is>
          <t>Sveaskog</t>
        </is>
      </c>
      <c r="G117" t="n">
        <v>4.2</v>
      </c>
      <c r="H117" t="n">
        <v>0</v>
      </c>
      <c r="I117" t="n">
        <v>0</v>
      </c>
      <c r="J117" t="n">
        <v>4</v>
      </c>
      <c r="K117" t="n">
        <v>0</v>
      </c>
      <c r="L117" t="n">
        <v>0</v>
      </c>
      <c r="M117" t="n">
        <v>0</v>
      </c>
      <c r="N117" t="n">
        <v>0</v>
      </c>
      <c r="O117" t="n">
        <v>4</v>
      </c>
      <c r="P117" t="n">
        <v>0</v>
      </c>
      <c r="Q117" t="n">
        <v>4</v>
      </c>
      <c r="R117" s="2" t="inlineStr">
        <is>
          <t>Garnlav
Kolflarnlav
Mörk kolflarnlav
Vedflamlav</t>
        </is>
      </c>
      <c r="S117">
        <f>HYPERLINK("https://klasma.github.io/Logging_2039/artfynd/A 36580-2024 artfynd.xlsx", "A 36580-2024")</f>
        <v/>
      </c>
      <c r="T117">
        <f>HYPERLINK("https://klasma.github.io/Logging_2039/kartor/A 36580-2024 karta.png", "A 36580-2024")</f>
        <v/>
      </c>
      <c r="V117">
        <f>HYPERLINK("https://klasma.github.io/Logging_2039/klagomål/A 36580-2024 FSC-klagomål.docx", "A 36580-2024")</f>
        <v/>
      </c>
      <c r="W117">
        <f>HYPERLINK("https://klasma.github.io/Logging_2039/klagomålsmail/A 36580-2024 FSC-klagomål mail.docx", "A 36580-2024")</f>
        <v/>
      </c>
      <c r="X117">
        <f>HYPERLINK("https://klasma.github.io/Logging_2039/tillsyn/A 36580-2024 tillsynsbegäran.docx", "A 36580-2024")</f>
        <v/>
      </c>
      <c r="Y117">
        <f>HYPERLINK("https://klasma.github.io/Logging_2039/tillsynsmail/A 36580-2024 tillsynsbegäran mail.docx", "A 36580-2024")</f>
        <v/>
      </c>
    </row>
    <row r="118" ht="15" customHeight="1">
      <c r="A118" t="inlineStr">
        <is>
          <t>A 43344-2025</t>
        </is>
      </c>
      <c r="B118" s="1" t="n">
        <v>45910.76924768519</v>
      </c>
      <c r="C118" s="1" t="n">
        <v>46145</v>
      </c>
      <c r="D118" t="inlineStr">
        <is>
          <t>DALARNAS LÄN</t>
        </is>
      </c>
      <c r="E118" t="inlineStr">
        <is>
          <t>ÄLVDALEN</t>
        </is>
      </c>
      <c r="G118" t="n">
        <v>11.6</v>
      </c>
      <c r="H118" t="n">
        <v>1</v>
      </c>
      <c r="I118" t="n">
        <v>1</v>
      </c>
      <c r="J118" t="n">
        <v>3</v>
      </c>
      <c r="K118" t="n">
        <v>0</v>
      </c>
      <c r="L118" t="n">
        <v>0</v>
      </c>
      <c r="M118" t="n">
        <v>0</v>
      </c>
      <c r="N118" t="n">
        <v>0</v>
      </c>
      <c r="O118" t="n">
        <v>3</v>
      </c>
      <c r="P118" t="n">
        <v>0</v>
      </c>
      <c r="Q118" t="n">
        <v>4</v>
      </c>
      <c r="R118" s="2" t="inlineStr">
        <is>
          <t>Garnlav
Motaggsvamp
Talltita
Nästlav</t>
        </is>
      </c>
      <c r="S118">
        <f>HYPERLINK("https://klasma.github.io/Logging_2039/artfynd/A 43344-2025 artfynd.xlsx", "A 43344-2025")</f>
        <v/>
      </c>
      <c r="T118">
        <f>HYPERLINK("https://klasma.github.io/Logging_2039/kartor/A 43344-2025 karta.png", "A 43344-2025")</f>
        <v/>
      </c>
      <c r="V118">
        <f>HYPERLINK("https://klasma.github.io/Logging_2039/klagomål/A 43344-2025 FSC-klagomål.docx", "A 43344-2025")</f>
        <v/>
      </c>
      <c r="W118">
        <f>HYPERLINK("https://klasma.github.io/Logging_2039/klagomålsmail/A 43344-2025 FSC-klagomål mail.docx", "A 43344-2025")</f>
        <v/>
      </c>
      <c r="X118">
        <f>HYPERLINK("https://klasma.github.io/Logging_2039/tillsyn/A 43344-2025 tillsynsbegäran.docx", "A 43344-2025")</f>
        <v/>
      </c>
      <c r="Y118">
        <f>HYPERLINK("https://klasma.github.io/Logging_2039/tillsynsmail/A 43344-2025 tillsynsbegäran mail.docx", "A 43344-2025")</f>
        <v/>
      </c>
      <c r="Z118">
        <f>HYPERLINK("https://klasma.github.io/Logging_2039/fåglar/A 43344-2025 prioriterade fågelarter.docx", "A 43344-2025")</f>
        <v/>
      </c>
    </row>
    <row r="119" ht="15" customHeight="1">
      <c r="A119" t="inlineStr">
        <is>
          <t>A 32207-2024</t>
        </is>
      </c>
      <c r="B119" s="1" t="n">
        <v>45511.67440972223</v>
      </c>
      <c r="C119" s="1" t="n">
        <v>46145</v>
      </c>
      <c r="D119" t="inlineStr">
        <is>
          <t>DALARNAS LÄN</t>
        </is>
      </c>
      <c r="E119" t="inlineStr">
        <is>
          <t>ÄLVDALEN</t>
        </is>
      </c>
      <c r="F119" t="inlineStr">
        <is>
          <t>Sveaskog</t>
        </is>
      </c>
      <c r="G119" t="n">
        <v>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32207-2024 artfynd.xlsx", "A 32207-2024")</f>
        <v/>
      </c>
      <c r="T119">
        <f>HYPERLINK("https://klasma.github.io/Logging_2039/kartor/A 32207-2024 karta.png", "A 32207-2024")</f>
        <v/>
      </c>
      <c r="V119">
        <f>HYPERLINK("https://klasma.github.io/Logging_2039/klagomål/A 32207-2024 FSC-klagomål.docx", "A 32207-2024")</f>
        <v/>
      </c>
      <c r="W119">
        <f>HYPERLINK("https://klasma.github.io/Logging_2039/klagomålsmail/A 32207-2024 FSC-klagomål mail.docx", "A 32207-2024")</f>
        <v/>
      </c>
      <c r="X119">
        <f>HYPERLINK("https://klasma.github.io/Logging_2039/tillsyn/A 32207-2024 tillsynsbegäran.docx", "A 32207-2024")</f>
        <v/>
      </c>
      <c r="Y119">
        <f>HYPERLINK("https://klasma.github.io/Logging_2039/tillsynsmail/A 32207-2024 tillsynsbegäran mail.docx", "A 32207-2024")</f>
        <v/>
      </c>
    </row>
    <row r="120" ht="15" customHeight="1">
      <c r="A120" t="inlineStr">
        <is>
          <t>A 29252-2023</t>
        </is>
      </c>
      <c r="B120" s="1" t="n">
        <v>45105</v>
      </c>
      <c r="C120" s="1" t="n">
        <v>46145</v>
      </c>
      <c r="D120" t="inlineStr">
        <is>
          <t>DALARNAS LÄN</t>
        </is>
      </c>
      <c r="E120" t="inlineStr">
        <is>
          <t>ÄLVDALEN</t>
        </is>
      </c>
      <c r="F120" t="inlineStr">
        <is>
          <t>Allmännings- och besparingsskogar</t>
        </is>
      </c>
      <c r="G120" t="n">
        <v>3.5</v>
      </c>
      <c r="H120" t="n">
        <v>1</v>
      </c>
      <c r="I120" t="n">
        <v>0</v>
      </c>
      <c r="J120" t="n">
        <v>4</v>
      </c>
      <c r="K120" t="n">
        <v>0</v>
      </c>
      <c r="L120" t="n">
        <v>0</v>
      </c>
      <c r="M120" t="n">
        <v>0</v>
      </c>
      <c r="N120" t="n">
        <v>0</v>
      </c>
      <c r="O120" t="n">
        <v>4</v>
      </c>
      <c r="P120" t="n">
        <v>0</v>
      </c>
      <c r="Q120" t="n">
        <v>4</v>
      </c>
      <c r="R120" s="2" t="inlineStr">
        <is>
          <t>Knottrig blåslav
Kolflarnlav
Varglav
Vedflamlav</t>
        </is>
      </c>
      <c r="S120">
        <f>HYPERLINK("https://klasma.github.io/Logging_2039/artfynd/A 29252-2023 artfynd.xlsx", "A 29252-2023")</f>
        <v/>
      </c>
      <c r="T120">
        <f>HYPERLINK("https://klasma.github.io/Logging_2039/kartor/A 29252-2023 karta.png", "A 29252-2023")</f>
        <v/>
      </c>
      <c r="V120">
        <f>HYPERLINK("https://klasma.github.io/Logging_2039/klagomål/A 29252-2023 FSC-klagomål.docx", "A 29252-2023")</f>
        <v/>
      </c>
      <c r="W120">
        <f>HYPERLINK("https://klasma.github.io/Logging_2039/klagomålsmail/A 29252-2023 FSC-klagomål mail.docx", "A 29252-2023")</f>
        <v/>
      </c>
      <c r="X120">
        <f>HYPERLINK("https://klasma.github.io/Logging_2039/tillsyn/A 29252-2023 tillsynsbegäran.docx", "A 29252-2023")</f>
        <v/>
      </c>
      <c r="Y120">
        <f>HYPERLINK("https://klasma.github.io/Logging_2039/tillsynsmail/A 29252-2023 tillsynsbegäran mail.docx", "A 29252-2023")</f>
        <v/>
      </c>
    </row>
    <row r="121" ht="15" customHeight="1">
      <c r="A121" t="inlineStr">
        <is>
          <t>A 51896-2025</t>
        </is>
      </c>
      <c r="B121" s="1" t="n">
        <v>45952.43372685185</v>
      </c>
      <c r="C121" s="1" t="n">
        <v>46145</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55222-2025</t>
        </is>
      </c>
      <c r="B122" s="1" t="n">
        <v>45968.59255787037</v>
      </c>
      <c r="C122" s="1" t="n">
        <v>46145</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32204-2024</t>
        </is>
      </c>
      <c r="B123" s="1" t="n">
        <v>45511.67277777778</v>
      </c>
      <c r="C123" s="1" t="n">
        <v>46145</v>
      </c>
      <c r="D123" t="inlineStr">
        <is>
          <t>DALARNAS LÄN</t>
        </is>
      </c>
      <c r="E123" t="inlineStr">
        <is>
          <t>ÄLVDALEN</t>
        </is>
      </c>
      <c r="F123" t="inlineStr">
        <is>
          <t>Sveaskog</t>
        </is>
      </c>
      <c r="G123" t="n">
        <v>2.9</v>
      </c>
      <c r="H123" t="n">
        <v>0</v>
      </c>
      <c r="I123" t="n">
        <v>0</v>
      </c>
      <c r="J123" t="n">
        <v>4</v>
      </c>
      <c r="K123" t="n">
        <v>0</v>
      </c>
      <c r="L123" t="n">
        <v>0</v>
      </c>
      <c r="M123" t="n">
        <v>0</v>
      </c>
      <c r="N123" t="n">
        <v>0</v>
      </c>
      <c r="O123" t="n">
        <v>4</v>
      </c>
      <c r="P123" t="n">
        <v>0</v>
      </c>
      <c r="Q123" t="n">
        <v>4</v>
      </c>
      <c r="R123" s="2" t="inlineStr">
        <is>
          <t>Blanksvart spiklav
Kolflarnlav
Mörk kolflarnlav
Vedflamlav</t>
        </is>
      </c>
      <c r="S123">
        <f>HYPERLINK("https://klasma.github.io/Logging_2039/artfynd/A 32204-2024 artfynd.xlsx", "A 32204-2024")</f>
        <v/>
      </c>
      <c r="T123">
        <f>HYPERLINK("https://klasma.github.io/Logging_2039/kartor/A 32204-2024 karta.png", "A 32204-2024")</f>
        <v/>
      </c>
      <c r="V123">
        <f>HYPERLINK("https://klasma.github.io/Logging_2039/klagomål/A 32204-2024 FSC-klagomål.docx", "A 32204-2024")</f>
        <v/>
      </c>
      <c r="W123">
        <f>HYPERLINK("https://klasma.github.io/Logging_2039/klagomålsmail/A 32204-2024 FSC-klagomål mail.docx", "A 32204-2024")</f>
        <v/>
      </c>
      <c r="X123">
        <f>HYPERLINK("https://klasma.github.io/Logging_2039/tillsyn/A 32204-2024 tillsynsbegäran.docx", "A 32204-2024")</f>
        <v/>
      </c>
      <c r="Y123">
        <f>HYPERLINK("https://klasma.github.io/Logging_2039/tillsynsmail/A 32204-2024 tillsynsbegäran mail.docx", "A 32204-2024")</f>
        <v/>
      </c>
    </row>
    <row r="124" ht="15" customHeight="1">
      <c r="A124" t="inlineStr">
        <is>
          <t>A 61583-2025</t>
        </is>
      </c>
      <c r="B124" s="1" t="n">
        <v>46002.34027777778</v>
      </c>
      <c r="C124" s="1" t="n">
        <v>46145</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46145</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38819-2024</t>
        </is>
      </c>
      <c r="B126" s="1" t="n">
        <v>45547.5541087963</v>
      </c>
      <c r="C126" s="1" t="n">
        <v>46145</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19870-2026</t>
        </is>
      </c>
      <c r="B127" s="1" t="n">
        <v>46135.65122685185</v>
      </c>
      <c r="C127" s="1" t="n">
        <v>46145</v>
      </c>
      <c r="D127" t="inlineStr">
        <is>
          <t>DALARNAS LÄN</t>
        </is>
      </c>
      <c r="E127" t="inlineStr">
        <is>
          <t>ÄLVDALEN</t>
        </is>
      </c>
      <c r="F127" t="inlineStr">
        <is>
          <t>Sveaskog</t>
        </is>
      </c>
      <c r="G127" t="n">
        <v>31.7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19870-2026 artfynd.xlsx", "A 19870-2026")</f>
        <v/>
      </c>
      <c r="T127">
        <f>HYPERLINK("https://klasma.github.io/Logging_2039/kartor/A 19870-2026 karta.png", "A 19870-2026")</f>
        <v/>
      </c>
      <c r="V127">
        <f>HYPERLINK("https://klasma.github.io/Logging_2039/klagomål/A 19870-2026 FSC-klagomål.docx", "A 19870-2026")</f>
        <v/>
      </c>
      <c r="W127">
        <f>HYPERLINK("https://klasma.github.io/Logging_2039/klagomålsmail/A 19870-2026 FSC-klagomål mail.docx", "A 19870-2026")</f>
        <v/>
      </c>
      <c r="X127">
        <f>HYPERLINK("https://klasma.github.io/Logging_2039/tillsyn/A 19870-2026 tillsynsbegäran.docx", "A 19870-2026")</f>
        <v/>
      </c>
      <c r="Y127">
        <f>HYPERLINK("https://klasma.github.io/Logging_2039/tillsynsmail/A 19870-2026 tillsynsbegäran mail.docx", "A 19870-2026")</f>
        <v/>
      </c>
    </row>
    <row r="128" ht="15" customHeight="1">
      <c r="A128" t="inlineStr">
        <is>
          <t>A 57505-2024</t>
        </is>
      </c>
      <c r="B128" s="1" t="n">
        <v>45630</v>
      </c>
      <c r="C128" s="1" t="n">
        <v>46145</v>
      </c>
      <c r="D128" t="inlineStr">
        <is>
          <t>DALARNAS LÄN</t>
        </is>
      </c>
      <c r="E128" t="inlineStr">
        <is>
          <t>ÄLVDALEN</t>
        </is>
      </c>
      <c r="F128" t="inlineStr">
        <is>
          <t>Allmännings- och besparingsskogar</t>
        </is>
      </c>
      <c r="G128" t="n">
        <v>2.3</v>
      </c>
      <c r="H128" t="n">
        <v>0</v>
      </c>
      <c r="I128" t="n">
        <v>2</v>
      </c>
      <c r="J128" t="n">
        <v>2</v>
      </c>
      <c r="K128" t="n">
        <v>0</v>
      </c>
      <c r="L128" t="n">
        <v>0</v>
      </c>
      <c r="M128" t="n">
        <v>0</v>
      </c>
      <c r="N128" t="n">
        <v>0</v>
      </c>
      <c r="O128" t="n">
        <v>2</v>
      </c>
      <c r="P128" t="n">
        <v>0</v>
      </c>
      <c r="Q128" t="n">
        <v>4</v>
      </c>
      <c r="R128" s="2" t="inlineStr">
        <is>
          <t>Skrovellav
Vedskivlav
Bronshjon
Vågbandad barkbock</t>
        </is>
      </c>
      <c r="S128">
        <f>HYPERLINK("https://klasma.github.io/Logging_2039/artfynd/A 57505-2024 artfynd.xlsx", "A 57505-2024")</f>
        <v/>
      </c>
      <c r="T128">
        <f>HYPERLINK("https://klasma.github.io/Logging_2039/kartor/A 57505-2024 karta.png", "A 57505-2024")</f>
        <v/>
      </c>
      <c r="V128">
        <f>HYPERLINK("https://klasma.github.io/Logging_2039/klagomål/A 57505-2024 FSC-klagomål.docx", "A 57505-2024")</f>
        <v/>
      </c>
      <c r="W128">
        <f>HYPERLINK("https://klasma.github.io/Logging_2039/klagomålsmail/A 57505-2024 FSC-klagomål mail.docx", "A 57505-2024")</f>
        <v/>
      </c>
      <c r="X128">
        <f>HYPERLINK("https://klasma.github.io/Logging_2039/tillsyn/A 57505-2024 tillsynsbegäran.docx", "A 57505-2024")</f>
        <v/>
      </c>
      <c r="Y128">
        <f>HYPERLINK("https://klasma.github.io/Logging_2039/tillsynsmail/A 57505-2024 tillsynsbegäran mail.docx", "A 57505-2024")</f>
        <v/>
      </c>
    </row>
    <row r="129" ht="15" customHeight="1">
      <c r="A129" t="inlineStr">
        <is>
          <t>A 22291-2025</t>
        </is>
      </c>
      <c r="B129" s="1" t="n">
        <v>45786.34568287037</v>
      </c>
      <c r="C129" s="1" t="n">
        <v>46145</v>
      </c>
      <c r="D129" t="inlineStr">
        <is>
          <t>DALARNAS LÄN</t>
        </is>
      </c>
      <c r="E129" t="inlineStr">
        <is>
          <t>ÄLVDALEN</t>
        </is>
      </c>
      <c r="F129" t="inlineStr">
        <is>
          <t>Sveaskog</t>
        </is>
      </c>
      <c r="G129" t="n">
        <v>3.7</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HYPERLINK("https://klasma.github.io/Logging_2039/artfynd/A 22291-2025 artfynd.xlsx", "A 22291-2025")</f>
        <v/>
      </c>
      <c r="T129">
        <f>HYPERLINK("https://klasma.github.io/Logging_2039/kartor/A 22291-2025 karta.png", "A 22291-2025")</f>
        <v/>
      </c>
      <c r="V129">
        <f>HYPERLINK("https://klasma.github.io/Logging_2039/klagomål/A 22291-2025 FSC-klagomål.docx", "A 22291-2025")</f>
        <v/>
      </c>
      <c r="W129">
        <f>HYPERLINK("https://klasma.github.io/Logging_2039/klagomålsmail/A 22291-2025 FSC-klagomål mail.docx", "A 22291-2025")</f>
        <v/>
      </c>
      <c r="X129">
        <f>HYPERLINK("https://klasma.github.io/Logging_2039/tillsyn/A 22291-2025 tillsynsbegäran.docx", "A 22291-2025")</f>
        <v/>
      </c>
      <c r="Y129">
        <f>HYPERLINK("https://klasma.github.io/Logging_2039/tillsynsmail/A 22291-2025 tillsynsbegäran mail.docx", "A 22291-2025")</f>
        <v/>
      </c>
    </row>
    <row r="130" ht="15" customHeight="1">
      <c r="A130" t="inlineStr">
        <is>
          <t>A 25090-2025</t>
        </is>
      </c>
      <c r="B130" s="1" t="n">
        <v>45800.31733796297</v>
      </c>
      <c r="C130" s="1" t="n">
        <v>46145</v>
      </c>
      <c r="D130" t="inlineStr">
        <is>
          <t>DALARNAS LÄN</t>
        </is>
      </c>
      <c r="E130" t="inlineStr">
        <is>
          <t>ÄLVDALEN</t>
        </is>
      </c>
      <c r="F130" t="inlineStr">
        <is>
          <t>Sveaskog</t>
        </is>
      </c>
      <c r="G130" t="n">
        <v>12.5</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25090-2025 artfynd.xlsx", "A 25090-2025")</f>
        <v/>
      </c>
      <c r="T130">
        <f>HYPERLINK("https://klasma.github.io/Logging_2039/kartor/A 25090-2025 karta.png", "A 25090-2025")</f>
        <v/>
      </c>
      <c r="V130">
        <f>HYPERLINK("https://klasma.github.io/Logging_2039/klagomål/A 25090-2025 FSC-klagomål.docx", "A 25090-2025")</f>
        <v/>
      </c>
      <c r="W130">
        <f>HYPERLINK("https://klasma.github.io/Logging_2039/klagomålsmail/A 25090-2025 FSC-klagomål mail.docx", "A 25090-2025")</f>
        <v/>
      </c>
      <c r="X130">
        <f>HYPERLINK("https://klasma.github.io/Logging_2039/tillsyn/A 25090-2025 tillsynsbegäran.docx", "A 25090-2025")</f>
        <v/>
      </c>
      <c r="Y130">
        <f>HYPERLINK("https://klasma.github.io/Logging_2039/tillsynsmail/A 25090-2025 tillsynsbegäran mail.docx", "A 25090-2025")</f>
        <v/>
      </c>
    </row>
    <row r="131" ht="15" customHeight="1">
      <c r="A131" t="inlineStr">
        <is>
          <t>A 41921-2022</t>
        </is>
      </c>
      <c r="B131" s="1" t="n">
        <v>44830</v>
      </c>
      <c r="C131" s="1" t="n">
        <v>46145</v>
      </c>
      <c r="D131" t="inlineStr">
        <is>
          <t>DALARNAS LÄN</t>
        </is>
      </c>
      <c r="E131" t="inlineStr">
        <is>
          <t>ÄLVDALEN</t>
        </is>
      </c>
      <c r="F131" t="inlineStr">
        <is>
          <t>Sveaskog</t>
        </is>
      </c>
      <c r="G131" t="n">
        <v>5.4</v>
      </c>
      <c r="H131" t="n">
        <v>1</v>
      </c>
      <c r="I131" t="n">
        <v>0</v>
      </c>
      <c r="J131" t="n">
        <v>3</v>
      </c>
      <c r="K131" t="n">
        <v>0</v>
      </c>
      <c r="L131" t="n">
        <v>0</v>
      </c>
      <c r="M131" t="n">
        <v>0</v>
      </c>
      <c r="N131" t="n">
        <v>0</v>
      </c>
      <c r="O131" t="n">
        <v>3</v>
      </c>
      <c r="P131" t="n">
        <v>0</v>
      </c>
      <c r="Q131" t="n">
        <v>3</v>
      </c>
      <c r="R131" s="2" t="inlineStr">
        <is>
          <t>Blågrå svartspik
Tretåig hackspett
Vedskivlav</t>
        </is>
      </c>
      <c r="S131">
        <f>HYPERLINK("https://klasma.github.io/Logging_2039/artfynd/A 41921-2022 artfynd.xlsx", "A 41921-2022")</f>
        <v/>
      </c>
      <c r="T131">
        <f>HYPERLINK("https://klasma.github.io/Logging_2039/kartor/A 41921-2022 karta.png", "A 41921-2022")</f>
        <v/>
      </c>
      <c r="V131">
        <f>HYPERLINK("https://klasma.github.io/Logging_2039/klagomål/A 41921-2022 FSC-klagomål.docx", "A 41921-2022")</f>
        <v/>
      </c>
      <c r="W131">
        <f>HYPERLINK("https://klasma.github.io/Logging_2039/klagomålsmail/A 41921-2022 FSC-klagomål mail.docx", "A 41921-2022")</f>
        <v/>
      </c>
      <c r="X131">
        <f>HYPERLINK("https://klasma.github.io/Logging_2039/tillsyn/A 41921-2022 tillsynsbegäran.docx", "A 41921-2022")</f>
        <v/>
      </c>
      <c r="Y131">
        <f>HYPERLINK("https://klasma.github.io/Logging_2039/tillsynsmail/A 41921-2022 tillsynsbegäran mail.docx", "A 41921-2022")</f>
        <v/>
      </c>
      <c r="Z131">
        <f>HYPERLINK("https://klasma.github.io/Logging_2039/fåglar/A 41921-2022 prioriterade fågelarter.docx", "A 41921-2022")</f>
        <v/>
      </c>
    </row>
    <row r="132" ht="15" customHeight="1">
      <c r="A132" t="inlineStr">
        <is>
          <t>A 35141-2023</t>
        </is>
      </c>
      <c r="B132" s="1" t="n">
        <v>45145</v>
      </c>
      <c r="C132" s="1" t="n">
        <v>46145</v>
      </c>
      <c r="D132" t="inlineStr">
        <is>
          <t>DALARNAS LÄN</t>
        </is>
      </c>
      <c r="E132" t="inlineStr">
        <is>
          <t>ÄLVDALEN</t>
        </is>
      </c>
      <c r="F132" t="inlineStr">
        <is>
          <t>Sveaskog</t>
        </is>
      </c>
      <c r="G132" t="n">
        <v>1.8</v>
      </c>
      <c r="H132" t="n">
        <v>1</v>
      </c>
      <c r="I132" t="n">
        <v>0</v>
      </c>
      <c r="J132" t="n">
        <v>3</v>
      </c>
      <c r="K132" t="n">
        <v>0</v>
      </c>
      <c r="L132" t="n">
        <v>0</v>
      </c>
      <c r="M132" t="n">
        <v>0</v>
      </c>
      <c r="N132" t="n">
        <v>0</v>
      </c>
      <c r="O132" t="n">
        <v>3</v>
      </c>
      <c r="P132" t="n">
        <v>0</v>
      </c>
      <c r="Q132" t="n">
        <v>3</v>
      </c>
      <c r="R132" s="2" t="inlineStr">
        <is>
          <t>Garnlav
Kolflarnlav
Varglav</t>
        </is>
      </c>
      <c r="S132">
        <f>HYPERLINK("https://klasma.github.io/Logging_2039/artfynd/A 35141-2023 artfynd.xlsx", "A 35141-2023")</f>
        <v/>
      </c>
      <c r="T132">
        <f>HYPERLINK("https://klasma.github.io/Logging_2039/kartor/A 35141-2023 karta.png", "A 35141-2023")</f>
        <v/>
      </c>
      <c r="V132">
        <f>HYPERLINK("https://klasma.github.io/Logging_2039/klagomål/A 35141-2023 FSC-klagomål.docx", "A 35141-2023")</f>
        <v/>
      </c>
      <c r="W132">
        <f>HYPERLINK("https://klasma.github.io/Logging_2039/klagomålsmail/A 35141-2023 FSC-klagomål mail.docx", "A 35141-2023")</f>
        <v/>
      </c>
      <c r="X132">
        <f>HYPERLINK("https://klasma.github.io/Logging_2039/tillsyn/A 35141-2023 tillsynsbegäran.docx", "A 35141-2023")</f>
        <v/>
      </c>
      <c r="Y132">
        <f>HYPERLINK("https://klasma.github.io/Logging_2039/tillsynsmail/A 35141-2023 tillsynsbegäran mail.docx", "A 35141-2023")</f>
        <v/>
      </c>
    </row>
    <row r="133" ht="15" customHeight="1">
      <c r="A133" t="inlineStr">
        <is>
          <t>A 44128-2023</t>
        </is>
      </c>
      <c r="B133" s="1" t="n">
        <v>45188.45712962963</v>
      </c>
      <c r="C133" s="1" t="n">
        <v>46145</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51732-2021</t>
        </is>
      </c>
      <c r="B134" s="1" t="n">
        <v>44461</v>
      </c>
      <c r="C134" s="1" t="n">
        <v>46145</v>
      </c>
      <c r="D134" t="inlineStr">
        <is>
          <t>DALARNAS LÄN</t>
        </is>
      </c>
      <c r="E134" t="inlineStr">
        <is>
          <t>ÄLVDALEN</t>
        </is>
      </c>
      <c r="F134" t="inlineStr">
        <is>
          <t>Övriga statliga verk och myndigheter</t>
        </is>
      </c>
      <c r="G134" t="n">
        <v>5</v>
      </c>
      <c r="H134" t="n">
        <v>0</v>
      </c>
      <c r="I134" t="n">
        <v>2</v>
      </c>
      <c r="J134" t="n">
        <v>1</v>
      </c>
      <c r="K134" t="n">
        <v>0</v>
      </c>
      <c r="L134" t="n">
        <v>0</v>
      </c>
      <c r="M134" t="n">
        <v>0</v>
      </c>
      <c r="N134" t="n">
        <v>0</v>
      </c>
      <c r="O134" t="n">
        <v>1</v>
      </c>
      <c r="P134" t="n">
        <v>0</v>
      </c>
      <c r="Q134" t="n">
        <v>3</v>
      </c>
      <c r="R134" s="2" t="inlineStr">
        <is>
          <t>Garnlav
Svavelriska
Vedticka</t>
        </is>
      </c>
      <c r="S134">
        <f>HYPERLINK("https://klasma.github.io/Logging_2039/artfynd/A 51732-2021 artfynd.xlsx", "A 51732-2021")</f>
        <v/>
      </c>
      <c r="T134">
        <f>HYPERLINK("https://klasma.github.io/Logging_2039/kartor/A 51732-2021 karta.png", "A 51732-2021")</f>
        <v/>
      </c>
      <c r="V134">
        <f>HYPERLINK("https://klasma.github.io/Logging_2039/klagomål/A 51732-2021 FSC-klagomål.docx", "A 51732-2021")</f>
        <v/>
      </c>
      <c r="W134">
        <f>HYPERLINK("https://klasma.github.io/Logging_2039/klagomålsmail/A 51732-2021 FSC-klagomål mail.docx", "A 51732-2021")</f>
        <v/>
      </c>
      <c r="X134">
        <f>HYPERLINK("https://klasma.github.io/Logging_2039/tillsyn/A 51732-2021 tillsynsbegäran.docx", "A 51732-2021")</f>
        <v/>
      </c>
      <c r="Y134">
        <f>HYPERLINK("https://klasma.github.io/Logging_2039/tillsynsmail/A 51732-2021 tillsynsbegäran mail.docx", "A 51732-2021")</f>
        <v/>
      </c>
    </row>
    <row r="135" ht="15" customHeight="1">
      <c r="A135" t="inlineStr">
        <is>
          <t>A 43740-2024</t>
        </is>
      </c>
      <c r="B135" s="1" t="n">
        <v>45569.65748842592</v>
      </c>
      <c r="C135" s="1" t="n">
        <v>46145</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49125-2025</t>
        </is>
      </c>
      <c r="B136" s="1" t="n">
        <v>45937.86962962963</v>
      </c>
      <c r="C136" s="1" t="n">
        <v>46145</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55218-2025</t>
        </is>
      </c>
      <c r="B137" s="1" t="n">
        <v>45968.58936342593</v>
      </c>
      <c r="C137" s="1" t="n">
        <v>46145</v>
      </c>
      <c r="D137" t="inlineStr">
        <is>
          <t>DALARNAS LÄN</t>
        </is>
      </c>
      <c r="E137" t="inlineStr">
        <is>
          <t>ÄLVDALEN</t>
        </is>
      </c>
      <c r="F137" t="inlineStr">
        <is>
          <t>Sveaskog</t>
        </is>
      </c>
      <c r="G137" t="n">
        <v>3.5</v>
      </c>
      <c r="H137" t="n">
        <v>1</v>
      </c>
      <c r="I137" t="n">
        <v>1</v>
      </c>
      <c r="J137" t="n">
        <v>1</v>
      </c>
      <c r="K137" t="n">
        <v>1</v>
      </c>
      <c r="L137" t="n">
        <v>0</v>
      </c>
      <c r="M137" t="n">
        <v>0</v>
      </c>
      <c r="N137" t="n">
        <v>0</v>
      </c>
      <c r="O137" t="n">
        <v>2</v>
      </c>
      <c r="P137" t="n">
        <v>1</v>
      </c>
      <c r="Q137" t="n">
        <v>3</v>
      </c>
      <c r="R137" s="2" t="inlineStr">
        <is>
          <t>Gräddporing
Varglav
Dropptaggsvamp</t>
        </is>
      </c>
      <c r="S137">
        <f>HYPERLINK("https://klasma.github.io/Logging_2039/artfynd/A 55218-2025 artfynd.xlsx", "A 55218-2025")</f>
        <v/>
      </c>
      <c r="T137">
        <f>HYPERLINK("https://klasma.github.io/Logging_2039/kartor/A 55218-2025 karta.png", "A 55218-2025")</f>
        <v/>
      </c>
      <c r="V137">
        <f>HYPERLINK("https://klasma.github.io/Logging_2039/klagomål/A 55218-2025 FSC-klagomål.docx", "A 55218-2025")</f>
        <v/>
      </c>
      <c r="W137">
        <f>HYPERLINK("https://klasma.github.io/Logging_2039/klagomålsmail/A 55218-2025 FSC-klagomål mail.docx", "A 55218-2025")</f>
        <v/>
      </c>
      <c r="X137">
        <f>HYPERLINK("https://klasma.github.io/Logging_2039/tillsyn/A 55218-2025 tillsynsbegäran.docx", "A 55218-2025")</f>
        <v/>
      </c>
      <c r="Y137">
        <f>HYPERLINK("https://klasma.github.io/Logging_2039/tillsynsmail/A 55218-2025 tillsynsbegäran mail.docx", "A 55218-2025")</f>
        <v/>
      </c>
    </row>
    <row r="138" ht="15" customHeight="1">
      <c r="A138" t="inlineStr">
        <is>
          <t>A 59587-2025</t>
        </is>
      </c>
      <c r="B138" s="1" t="n">
        <v>45992.33722222222</v>
      </c>
      <c r="C138" s="1" t="n">
        <v>46145</v>
      </c>
      <c r="D138" t="inlineStr">
        <is>
          <t>DALARNAS LÄN</t>
        </is>
      </c>
      <c r="E138" t="inlineStr">
        <is>
          <t>ÄLVDALEN</t>
        </is>
      </c>
      <c r="F138" t="inlineStr">
        <is>
          <t>Sveaskog</t>
        </is>
      </c>
      <c r="G138" t="n">
        <v>10.7</v>
      </c>
      <c r="H138" t="n">
        <v>0</v>
      </c>
      <c r="I138" t="n">
        <v>1</v>
      </c>
      <c r="J138" t="n">
        <v>2</v>
      </c>
      <c r="K138" t="n">
        <v>0</v>
      </c>
      <c r="L138" t="n">
        <v>0</v>
      </c>
      <c r="M138" t="n">
        <v>0</v>
      </c>
      <c r="N138" t="n">
        <v>0</v>
      </c>
      <c r="O138" t="n">
        <v>2</v>
      </c>
      <c r="P138" t="n">
        <v>0</v>
      </c>
      <c r="Q138" t="n">
        <v>3</v>
      </c>
      <c r="R138" s="2" t="inlineStr">
        <is>
          <t>Kolflarnlav
Vedflamlav
Dropptaggsvamp</t>
        </is>
      </c>
      <c r="S138">
        <f>HYPERLINK("https://klasma.github.io/Logging_2039/artfynd/A 59587-2025 artfynd.xlsx", "A 59587-2025")</f>
        <v/>
      </c>
      <c r="T138">
        <f>HYPERLINK("https://klasma.github.io/Logging_2039/kartor/A 59587-2025 karta.png", "A 59587-2025")</f>
        <v/>
      </c>
      <c r="V138">
        <f>HYPERLINK("https://klasma.github.io/Logging_2039/klagomål/A 59587-2025 FSC-klagomål.docx", "A 59587-2025")</f>
        <v/>
      </c>
      <c r="W138">
        <f>HYPERLINK("https://klasma.github.io/Logging_2039/klagomålsmail/A 59587-2025 FSC-klagomål mail.docx", "A 59587-2025")</f>
        <v/>
      </c>
      <c r="X138">
        <f>HYPERLINK("https://klasma.github.io/Logging_2039/tillsyn/A 59587-2025 tillsynsbegäran.docx", "A 59587-2025")</f>
        <v/>
      </c>
      <c r="Y138">
        <f>HYPERLINK("https://klasma.github.io/Logging_2039/tillsynsmail/A 59587-2025 tillsynsbegäran mail.docx", "A 59587-2025")</f>
        <v/>
      </c>
    </row>
    <row r="139" ht="15" customHeight="1">
      <c r="A139" t="inlineStr">
        <is>
          <t>A 41909-2022</t>
        </is>
      </c>
      <c r="B139" s="1" t="n">
        <v>44830</v>
      </c>
      <c r="C139" s="1" t="n">
        <v>46145</v>
      </c>
      <c r="D139" t="inlineStr">
        <is>
          <t>DALARNAS LÄN</t>
        </is>
      </c>
      <c r="E139" t="inlineStr">
        <is>
          <t>ÄLVDALEN</t>
        </is>
      </c>
      <c r="F139" t="inlineStr">
        <is>
          <t>Sveaskog</t>
        </is>
      </c>
      <c r="G139" t="n">
        <v>3.5</v>
      </c>
      <c r="H139" t="n">
        <v>1</v>
      </c>
      <c r="I139" t="n">
        <v>0</v>
      </c>
      <c r="J139" t="n">
        <v>2</v>
      </c>
      <c r="K139" t="n">
        <v>1</v>
      </c>
      <c r="L139" t="n">
        <v>0</v>
      </c>
      <c r="M139" t="n">
        <v>0</v>
      </c>
      <c r="N139" t="n">
        <v>0</v>
      </c>
      <c r="O139" t="n">
        <v>3</v>
      </c>
      <c r="P139" t="n">
        <v>1</v>
      </c>
      <c r="Q139" t="n">
        <v>3</v>
      </c>
      <c r="R139" s="2" t="inlineStr">
        <is>
          <t>Tajgataggsvamp
Blanksvart spiklav
Talltita</t>
        </is>
      </c>
      <c r="S139">
        <f>HYPERLINK("https://klasma.github.io/Logging_2039/artfynd/A 41909-2022 artfynd.xlsx", "A 41909-2022")</f>
        <v/>
      </c>
      <c r="T139">
        <f>HYPERLINK("https://klasma.github.io/Logging_2039/kartor/A 41909-2022 karta.png", "A 41909-2022")</f>
        <v/>
      </c>
      <c r="V139">
        <f>HYPERLINK("https://klasma.github.io/Logging_2039/klagomål/A 41909-2022 FSC-klagomål.docx", "A 41909-2022")</f>
        <v/>
      </c>
      <c r="W139">
        <f>HYPERLINK("https://klasma.github.io/Logging_2039/klagomålsmail/A 41909-2022 FSC-klagomål mail.docx", "A 41909-2022")</f>
        <v/>
      </c>
      <c r="X139">
        <f>HYPERLINK("https://klasma.github.io/Logging_2039/tillsyn/A 41909-2022 tillsynsbegäran.docx", "A 41909-2022")</f>
        <v/>
      </c>
      <c r="Y139">
        <f>HYPERLINK("https://klasma.github.io/Logging_2039/tillsynsmail/A 41909-2022 tillsynsbegäran mail.docx", "A 41909-2022")</f>
        <v/>
      </c>
      <c r="Z139">
        <f>HYPERLINK("https://klasma.github.io/Logging_2039/fåglar/A 41909-2022 prioriterade fågelarter.docx", "A 41909-2022")</f>
        <v/>
      </c>
    </row>
    <row r="140" ht="15" customHeight="1">
      <c r="A140" t="inlineStr">
        <is>
          <t>A 31057-2024</t>
        </is>
      </c>
      <c r="B140" s="1" t="n">
        <v>45502.37813657407</v>
      </c>
      <c r="C140" s="1" t="n">
        <v>46145</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32403-2023</t>
        </is>
      </c>
      <c r="B141" s="1" t="n">
        <v>45120</v>
      </c>
      <c r="C141" s="1" t="n">
        <v>46145</v>
      </c>
      <c r="D141" t="inlineStr">
        <is>
          <t>DALARNAS LÄN</t>
        </is>
      </c>
      <c r="E141" t="inlineStr">
        <is>
          <t>ÄLVDALEN</t>
        </is>
      </c>
      <c r="F141" t="inlineStr">
        <is>
          <t>Sveaskog</t>
        </is>
      </c>
      <c r="G141" t="n">
        <v>3</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HYPERLINK("https://klasma.github.io/Logging_2039/artfynd/A 32403-2023 artfynd.xlsx", "A 32403-2023")</f>
        <v/>
      </c>
      <c r="T141">
        <f>HYPERLINK("https://klasma.github.io/Logging_2039/kartor/A 32403-2023 karta.png", "A 32403-2023")</f>
        <v/>
      </c>
      <c r="V141">
        <f>HYPERLINK("https://klasma.github.io/Logging_2039/klagomål/A 32403-2023 FSC-klagomål.docx", "A 32403-2023")</f>
        <v/>
      </c>
      <c r="W141">
        <f>HYPERLINK("https://klasma.github.io/Logging_2039/klagomålsmail/A 32403-2023 FSC-klagomål mail.docx", "A 32403-2023")</f>
        <v/>
      </c>
      <c r="X141">
        <f>HYPERLINK("https://klasma.github.io/Logging_2039/tillsyn/A 32403-2023 tillsynsbegäran.docx", "A 32403-2023")</f>
        <v/>
      </c>
      <c r="Y141">
        <f>HYPERLINK("https://klasma.github.io/Logging_2039/tillsynsmail/A 32403-2023 tillsynsbegäran mail.docx", "A 32403-2023")</f>
        <v/>
      </c>
    </row>
    <row r="142" ht="15" customHeight="1">
      <c r="A142" t="inlineStr">
        <is>
          <t>A 18839-2024</t>
        </is>
      </c>
      <c r="B142" s="1" t="n">
        <v>45426</v>
      </c>
      <c r="C142" s="1" t="n">
        <v>46145</v>
      </c>
      <c r="D142" t="inlineStr">
        <is>
          <t>DALARNAS LÄN</t>
        </is>
      </c>
      <c r="E142" t="inlineStr">
        <is>
          <t>ÄLVDALEN</t>
        </is>
      </c>
      <c r="F142" t="inlineStr">
        <is>
          <t>Sveaskog</t>
        </is>
      </c>
      <c r="G142" t="n">
        <v>1.3</v>
      </c>
      <c r="H142" t="n">
        <v>0</v>
      </c>
      <c r="I142" t="n">
        <v>1</v>
      </c>
      <c r="J142" t="n">
        <v>2</v>
      </c>
      <c r="K142" t="n">
        <v>0</v>
      </c>
      <c r="L142" t="n">
        <v>0</v>
      </c>
      <c r="M142" t="n">
        <v>0</v>
      </c>
      <c r="N142" t="n">
        <v>0</v>
      </c>
      <c r="O142" t="n">
        <v>2</v>
      </c>
      <c r="P142" t="n">
        <v>0</v>
      </c>
      <c r="Q142" t="n">
        <v>3</v>
      </c>
      <c r="R142" s="2" t="inlineStr">
        <is>
          <t>Kolflarnlav
Vedflamlav
Dropptaggsvamp</t>
        </is>
      </c>
      <c r="S142">
        <f>HYPERLINK("https://klasma.github.io/Logging_2039/artfynd/A 18839-2024 artfynd.xlsx", "A 18839-2024")</f>
        <v/>
      </c>
      <c r="T142">
        <f>HYPERLINK("https://klasma.github.io/Logging_2039/kartor/A 18839-2024 karta.png", "A 18839-2024")</f>
        <v/>
      </c>
      <c r="V142">
        <f>HYPERLINK("https://klasma.github.io/Logging_2039/klagomål/A 18839-2024 FSC-klagomål.docx", "A 18839-2024")</f>
        <v/>
      </c>
      <c r="W142">
        <f>HYPERLINK("https://klasma.github.io/Logging_2039/klagomålsmail/A 18839-2024 FSC-klagomål mail.docx", "A 18839-2024")</f>
        <v/>
      </c>
      <c r="X142">
        <f>HYPERLINK("https://klasma.github.io/Logging_2039/tillsyn/A 18839-2024 tillsynsbegäran.docx", "A 18839-2024")</f>
        <v/>
      </c>
      <c r="Y142">
        <f>HYPERLINK("https://klasma.github.io/Logging_2039/tillsynsmail/A 18839-2024 tillsynsbegäran mail.docx", "A 18839-2024")</f>
        <v/>
      </c>
    </row>
    <row r="143" ht="15" customHeight="1">
      <c r="A143" t="inlineStr">
        <is>
          <t>A 7024-2024</t>
        </is>
      </c>
      <c r="B143" s="1" t="n">
        <v>45343.57924768519</v>
      </c>
      <c r="C143" s="1" t="n">
        <v>46145</v>
      </c>
      <c r="D143" t="inlineStr">
        <is>
          <t>DALARNAS LÄN</t>
        </is>
      </c>
      <c r="E143" t="inlineStr">
        <is>
          <t>ÄLVDALEN</t>
        </is>
      </c>
      <c r="F143" t="inlineStr">
        <is>
          <t>Sveaskog</t>
        </is>
      </c>
      <c r="G143" t="n">
        <v>30.1</v>
      </c>
      <c r="H143" t="n">
        <v>0</v>
      </c>
      <c r="I143" t="n">
        <v>0</v>
      </c>
      <c r="J143" t="n">
        <v>2</v>
      </c>
      <c r="K143" t="n">
        <v>1</v>
      </c>
      <c r="L143" t="n">
        <v>0</v>
      </c>
      <c r="M143" t="n">
        <v>0</v>
      </c>
      <c r="N143" t="n">
        <v>0</v>
      </c>
      <c r="O143" t="n">
        <v>3</v>
      </c>
      <c r="P143" t="n">
        <v>1</v>
      </c>
      <c r="Q143" t="n">
        <v>3</v>
      </c>
      <c r="R143" s="2" t="inlineStr">
        <is>
          <t>Gräddporing
Nordtagging
Vaddporing</t>
        </is>
      </c>
      <c r="S143">
        <f>HYPERLINK("https://klasma.github.io/Logging_2039/artfynd/A 7024-2024 artfynd.xlsx", "A 7024-2024")</f>
        <v/>
      </c>
      <c r="T143">
        <f>HYPERLINK("https://klasma.github.io/Logging_2039/kartor/A 7024-2024 karta.png", "A 7024-2024")</f>
        <v/>
      </c>
      <c r="V143">
        <f>HYPERLINK("https://klasma.github.io/Logging_2039/klagomål/A 7024-2024 FSC-klagomål.docx", "A 7024-2024")</f>
        <v/>
      </c>
      <c r="W143">
        <f>HYPERLINK("https://klasma.github.io/Logging_2039/klagomålsmail/A 7024-2024 FSC-klagomål mail.docx", "A 7024-2024")</f>
        <v/>
      </c>
      <c r="X143">
        <f>HYPERLINK("https://klasma.github.io/Logging_2039/tillsyn/A 7024-2024 tillsynsbegäran.docx", "A 7024-2024")</f>
        <v/>
      </c>
      <c r="Y143">
        <f>HYPERLINK("https://klasma.github.io/Logging_2039/tillsynsmail/A 7024-2024 tillsynsbegäran mail.docx", "A 7024-2024")</f>
        <v/>
      </c>
    </row>
    <row r="144" ht="15" customHeight="1">
      <c r="A144" t="inlineStr">
        <is>
          <t>A 25758-2025</t>
        </is>
      </c>
      <c r="B144" s="1" t="n">
        <v>45804.33314814815</v>
      </c>
      <c r="C144" s="1" t="n">
        <v>46145</v>
      </c>
      <c r="D144" t="inlineStr">
        <is>
          <t>DALARNAS LÄN</t>
        </is>
      </c>
      <c r="E144" t="inlineStr">
        <is>
          <t>ÄLVDALEN</t>
        </is>
      </c>
      <c r="F144" t="inlineStr">
        <is>
          <t>Kommuner</t>
        </is>
      </c>
      <c r="G144" t="n">
        <v>2.2</v>
      </c>
      <c r="H144" t="n">
        <v>1</v>
      </c>
      <c r="I144" t="n">
        <v>1</v>
      </c>
      <c r="J144" t="n">
        <v>2</v>
      </c>
      <c r="K144" t="n">
        <v>0</v>
      </c>
      <c r="L144" t="n">
        <v>0</v>
      </c>
      <c r="M144" t="n">
        <v>0</v>
      </c>
      <c r="N144" t="n">
        <v>0</v>
      </c>
      <c r="O144" t="n">
        <v>2</v>
      </c>
      <c r="P144" t="n">
        <v>0</v>
      </c>
      <c r="Q144" t="n">
        <v>3</v>
      </c>
      <c r="R144" s="2" t="inlineStr">
        <is>
          <t>Garnlav
Spillkråka
Dropptaggsvamp</t>
        </is>
      </c>
      <c r="S144">
        <f>HYPERLINK("https://klasma.github.io/Logging_2039/artfynd/A 25758-2025 artfynd.xlsx", "A 25758-2025")</f>
        <v/>
      </c>
      <c r="T144">
        <f>HYPERLINK("https://klasma.github.io/Logging_2039/kartor/A 25758-2025 karta.png", "A 25758-2025")</f>
        <v/>
      </c>
      <c r="V144">
        <f>HYPERLINK("https://klasma.github.io/Logging_2039/klagomål/A 25758-2025 FSC-klagomål.docx", "A 25758-2025")</f>
        <v/>
      </c>
      <c r="W144">
        <f>HYPERLINK("https://klasma.github.io/Logging_2039/klagomålsmail/A 25758-2025 FSC-klagomål mail.docx", "A 25758-2025")</f>
        <v/>
      </c>
      <c r="X144">
        <f>HYPERLINK("https://klasma.github.io/Logging_2039/tillsyn/A 25758-2025 tillsynsbegäran.docx", "A 25758-2025")</f>
        <v/>
      </c>
      <c r="Y144">
        <f>HYPERLINK("https://klasma.github.io/Logging_2039/tillsynsmail/A 25758-2025 tillsynsbegäran mail.docx", "A 25758-2025")</f>
        <v/>
      </c>
      <c r="Z144">
        <f>HYPERLINK("https://klasma.github.io/Logging_2039/fåglar/A 25758-2025 prioriterade fågelarter.docx", "A 25758-2025")</f>
        <v/>
      </c>
    </row>
    <row r="145" ht="15" customHeight="1">
      <c r="A145" t="inlineStr">
        <is>
          <t>A 26751-2025</t>
        </is>
      </c>
      <c r="B145" s="1" t="n">
        <v>45810.55134259259</v>
      </c>
      <c r="C145" s="1" t="n">
        <v>46145</v>
      </c>
      <c r="D145" t="inlineStr">
        <is>
          <t>DALARNAS LÄN</t>
        </is>
      </c>
      <c r="E145" t="inlineStr">
        <is>
          <t>ÄLVDALEN</t>
        </is>
      </c>
      <c r="F145" t="inlineStr">
        <is>
          <t>Allmännings- och besparingsskogar</t>
        </is>
      </c>
      <c r="G145" t="n">
        <v>3.6</v>
      </c>
      <c r="H145" t="n">
        <v>1</v>
      </c>
      <c r="I145" t="n">
        <v>1</v>
      </c>
      <c r="J145" t="n">
        <v>2</v>
      </c>
      <c r="K145" t="n">
        <v>0</v>
      </c>
      <c r="L145" t="n">
        <v>0</v>
      </c>
      <c r="M145" t="n">
        <v>0</v>
      </c>
      <c r="N145" t="n">
        <v>0</v>
      </c>
      <c r="O145" t="n">
        <v>2</v>
      </c>
      <c r="P145" t="n">
        <v>0</v>
      </c>
      <c r="Q145" t="n">
        <v>3</v>
      </c>
      <c r="R145" s="2" t="inlineStr">
        <is>
          <t>Garnlav
Skrovellav
Spindelblomster</t>
        </is>
      </c>
      <c r="S145">
        <f>HYPERLINK("https://klasma.github.io/Logging_2039/artfynd/A 26751-2025 artfynd.xlsx", "A 26751-2025")</f>
        <v/>
      </c>
      <c r="T145">
        <f>HYPERLINK("https://klasma.github.io/Logging_2039/kartor/A 26751-2025 karta.png", "A 26751-2025")</f>
        <v/>
      </c>
      <c r="V145">
        <f>HYPERLINK("https://klasma.github.io/Logging_2039/klagomål/A 26751-2025 FSC-klagomål.docx", "A 26751-2025")</f>
        <v/>
      </c>
      <c r="W145">
        <f>HYPERLINK("https://klasma.github.io/Logging_2039/klagomålsmail/A 26751-2025 FSC-klagomål mail.docx", "A 26751-2025")</f>
        <v/>
      </c>
      <c r="X145">
        <f>HYPERLINK("https://klasma.github.io/Logging_2039/tillsyn/A 26751-2025 tillsynsbegäran.docx", "A 26751-2025")</f>
        <v/>
      </c>
      <c r="Y145">
        <f>HYPERLINK("https://klasma.github.io/Logging_2039/tillsynsmail/A 26751-2025 tillsynsbegäran mail.docx", "A 26751-2025")</f>
        <v/>
      </c>
    </row>
    <row r="146" ht="15" customHeight="1">
      <c r="A146" t="inlineStr">
        <is>
          <t>A 27933-2025</t>
        </is>
      </c>
      <c r="B146" s="1" t="n">
        <v>45817.49630787037</v>
      </c>
      <c r="C146" s="1" t="n">
        <v>46145</v>
      </c>
      <c r="D146" t="inlineStr">
        <is>
          <t>DALARNAS LÄN</t>
        </is>
      </c>
      <c r="E146" t="inlineStr">
        <is>
          <t>ÄLVDALEN</t>
        </is>
      </c>
      <c r="F146" t="inlineStr">
        <is>
          <t>Sveaskog</t>
        </is>
      </c>
      <c r="G146" t="n">
        <v>2.5</v>
      </c>
      <c r="H146" t="n">
        <v>0</v>
      </c>
      <c r="I146" t="n">
        <v>0</v>
      </c>
      <c r="J146" t="n">
        <v>3</v>
      </c>
      <c r="K146" t="n">
        <v>0</v>
      </c>
      <c r="L146" t="n">
        <v>0</v>
      </c>
      <c r="M146" t="n">
        <v>0</v>
      </c>
      <c r="N146" t="n">
        <v>0</v>
      </c>
      <c r="O146" t="n">
        <v>3</v>
      </c>
      <c r="P146" t="n">
        <v>0</v>
      </c>
      <c r="Q146" t="n">
        <v>3</v>
      </c>
      <c r="R146" s="2" t="inlineStr">
        <is>
          <t>Kolflarnlav
Mörk kolflarnlav
Vedflamlav</t>
        </is>
      </c>
      <c r="S146">
        <f>HYPERLINK("https://klasma.github.io/Logging_2039/artfynd/A 27933-2025 artfynd.xlsx", "A 27933-2025")</f>
        <v/>
      </c>
      <c r="T146">
        <f>HYPERLINK("https://klasma.github.io/Logging_2039/kartor/A 27933-2025 karta.png", "A 27933-2025")</f>
        <v/>
      </c>
      <c r="V146">
        <f>HYPERLINK("https://klasma.github.io/Logging_2039/klagomål/A 27933-2025 FSC-klagomål.docx", "A 27933-2025")</f>
        <v/>
      </c>
      <c r="W146">
        <f>HYPERLINK("https://klasma.github.io/Logging_2039/klagomålsmail/A 27933-2025 FSC-klagomål mail.docx", "A 27933-2025")</f>
        <v/>
      </c>
      <c r="X146">
        <f>HYPERLINK("https://klasma.github.io/Logging_2039/tillsyn/A 27933-2025 tillsynsbegäran.docx", "A 27933-2025")</f>
        <v/>
      </c>
      <c r="Y146">
        <f>HYPERLINK("https://klasma.github.io/Logging_2039/tillsynsmail/A 27933-2025 tillsynsbegäran mail.docx", "A 27933-2025")</f>
        <v/>
      </c>
    </row>
    <row r="147" ht="15" customHeight="1">
      <c r="A147" t="inlineStr">
        <is>
          <t>A 33645-2025</t>
        </is>
      </c>
      <c r="B147" s="1" t="n">
        <v>45841.65282407407</v>
      </c>
      <c r="C147" s="1" t="n">
        <v>46145</v>
      </c>
      <c r="D147" t="inlineStr">
        <is>
          <t>DALARNAS LÄN</t>
        </is>
      </c>
      <c r="E147" t="inlineStr">
        <is>
          <t>ÄLVDALEN</t>
        </is>
      </c>
      <c r="F147" t="inlineStr">
        <is>
          <t>Sveaskog</t>
        </is>
      </c>
      <c r="G147" t="n">
        <v>1.6</v>
      </c>
      <c r="H147" t="n">
        <v>0</v>
      </c>
      <c r="I147" t="n">
        <v>0</v>
      </c>
      <c r="J147" t="n">
        <v>3</v>
      </c>
      <c r="K147" t="n">
        <v>0</v>
      </c>
      <c r="L147" t="n">
        <v>0</v>
      </c>
      <c r="M147" t="n">
        <v>0</v>
      </c>
      <c r="N147" t="n">
        <v>0</v>
      </c>
      <c r="O147" t="n">
        <v>3</v>
      </c>
      <c r="P147" t="n">
        <v>0</v>
      </c>
      <c r="Q147" t="n">
        <v>3</v>
      </c>
      <c r="R147" s="2" t="inlineStr">
        <is>
          <t>Dvärgbägarlav
Kolflarnlav
Vedflamlav</t>
        </is>
      </c>
      <c r="S147">
        <f>HYPERLINK("https://klasma.github.io/Logging_2039/artfynd/A 33645-2025 artfynd.xlsx", "A 33645-2025")</f>
        <v/>
      </c>
      <c r="T147">
        <f>HYPERLINK("https://klasma.github.io/Logging_2039/kartor/A 33645-2025 karta.png", "A 33645-2025")</f>
        <v/>
      </c>
      <c r="V147">
        <f>HYPERLINK("https://klasma.github.io/Logging_2039/klagomål/A 33645-2025 FSC-klagomål.docx", "A 33645-2025")</f>
        <v/>
      </c>
      <c r="W147">
        <f>HYPERLINK("https://klasma.github.io/Logging_2039/klagomålsmail/A 33645-2025 FSC-klagomål mail.docx", "A 33645-2025")</f>
        <v/>
      </c>
      <c r="X147">
        <f>HYPERLINK("https://klasma.github.io/Logging_2039/tillsyn/A 33645-2025 tillsynsbegäran.docx", "A 33645-2025")</f>
        <v/>
      </c>
      <c r="Y147">
        <f>HYPERLINK("https://klasma.github.io/Logging_2039/tillsynsmail/A 33645-2025 tillsynsbegäran mail.docx", "A 33645-2025")</f>
        <v/>
      </c>
    </row>
    <row r="148" ht="15" customHeight="1">
      <c r="A148" t="inlineStr">
        <is>
          <t>A 67709-2021</t>
        </is>
      </c>
      <c r="B148" s="1" t="n">
        <v>44525</v>
      </c>
      <c r="C148" s="1" t="n">
        <v>46145</v>
      </c>
      <c r="D148" t="inlineStr">
        <is>
          <t>DALARNAS LÄN</t>
        </is>
      </c>
      <c r="E148" t="inlineStr">
        <is>
          <t>ÄLVDALEN</t>
        </is>
      </c>
      <c r="F148" t="inlineStr">
        <is>
          <t>Sveaskog</t>
        </is>
      </c>
      <c r="G148" t="n">
        <v>4.4</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67709-2021 artfynd.xlsx", "A 67709-2021")</f>
        <v/>
      </c>
      <c r="T148">
        <f>HYPERLINK("https://klasma.github.io/Logging_2039/kartor/A 67709-2021 karta.png", "A 67709-2021")</f>
        <v/>
      </c>
      <c r="V148">
        <f>HYPERLINK("https://klasma.github.io/Logging_2039/klagomål/A 67709-2021 FSC-klagomål.docx", "A 67709-2021")</f>
        <v/>
      </c>
      <c r="W148">
        <f>HYPERLINK("https://klasma.github.io/Logging_2039/klagomålsmail/A 67709-2021 FSC-klagomål mail.docx", "A 67709-2021")</f>
        <v/>
      </c>
      <c r="X148">
        <f>HYPERLINK("https://klasma.github.io/Logging_2039/tillsyn/A 67709-2021 tillsynsbegäran.docx", "A 67709-2021")</f>
        <v/>
      </c>
      <c r="Y148">
        <f>HYPERLINK("https://klasma.github.io/Logging_2039/tillsynsmail/A 67709-2021 tillsynsbegäran mail.docx", "A 67709-2021")</f>
        <v/>
      </c>
    </row>
    <row r="149" ht="15" customHeight="1">
      <c r="A149" t="inlineStr">
        <is>
          <t>A 44407-2021</t>
        </is>
      </c>
      <c r="B149" s="1" t="n">
        <v>44435</v>
      </c>
      <c r="C149" s="1" t="n">
        <v>46145</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69726-2021</t>
        </is>
      </c>
      <c r="B150" s="1" t="n">
        <v>44532</v>
      </c>
      <c r="C150" s="1" t="n">
        <v>46145</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30615-2021</t>
        </is>
      </c>
      <c r="B151" s="1" t="n">
        <v>44365</v>
      </c>
      <c r="C151" s="1" t="n">
        <v>46145</v>
      </c>
      <c r="D151" t="inlineStr">
        <is>
          <t>DALARNAS LÄN</t>
        </is>
      </c>
      <c r="E151" t="inlineStr">
        <is>
          <t>ÄLVDALEN</t>
        </is>
      </c>
      <c r="F151" t="inlineStr">
        <is>
          <t>Sveaskog</t>
        </is>
      </c>
      <c r="G151" t="n">
        <v>22.8</v>
      </c>
      <c r="H151" t="n">
        <v>0</v>
      </c>
      <c r="I151" t="n">
        <v>1</v>
      </c>
      <c r="J151" t="n">
        <v>0</v>
      </c>
      <c r="K151" t="n">
        <v>1</v>
      </c>
      <c r="L151" t="n">
        <v>0</v>
      </c>
      <c r="M151" t="n">
        <v>0</v>
      </c>
      <c r="N151" t="n">
        <v>0</v>
      </c>
      <c r="O151" t="n">
        <v>1</v>
      </c>
      <c r="P151" t="n">
        <v>1</v>
      </c>
      <c r="Q151" t="n">
        <v>2</v>
      </c>
      <c r="R151" s="2" t="inlineStr">
        <is>
          <t>Smalfotad taggsvamp
Dropptaggsvamp</t>
        </is>
      </c>
      <c r="S151">
        <f>HYPERLINK("https://klasma.github.io/Logging_2039/artfynd/A 30615-2021 artfynd.xlsx", "A 30615-2021")</f>
        <v/>
      </c>
      <c r="T151">
        <f>HYPERLINK("https://klasma.github.io/Logging_2039/kartor/A 30615-2021 karta.png", "A 30615-2021")</f>
        <v/>
      </c>
      <c r="V151">
        <f>HYPERLINK("https://klasma.github.io/Logging_2039/klagomål/A 30615-2021 FSC-klagomål.docx", "A 30615-2021")</f>
        <v/>
      </c>
      <c r="W151">
        <f>HYPERLINK("https://klasma.github.io/Logging_2039/klagomålsmail/A 30615-2021 FSC-klagomål mail.docx", "A 30615-2021")</f>
        <v/>
      </c>
      <c r="X151">
        <f>HYPERLINK("https://klasma.github.io/Logging_2039/tillsyn/A 30615-2021 tillsynsbegäran.docx", "A 30615-2021")</f>
        <v/>
      </c>
      <c r="Y151">
        <f>HYPERLINK("https://klasma.github.io/Logging_2039/tillsynsmail/A 30615-2021 tillsynsbegäran mail.docx", "A 30615-2021")</f>
        <v/>
      </c>
    </row>
    <row r="152" ht="15" customHeight="1">
      <c r="A152" t="inlineStr">
        <is>
          <t>A 32206-2024</t>
        </is>
      </c>
      <c r="B152" s="1" t="n">
        <v>45511.67366898148</v>
      </c>
      <c r="C152" s="1" t="n">
        <v>46145</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52490-2022</t>
        </is>
      </c>
      <c r="B153" s="1" t="n">
        <v>44874</v>
      </c>
      <c r="C153" s="1" t="n">
        <v>46145</v>
      </c>
      <c r="D153" t="inlineStr">
        <is>
          <t>DALARNAS LÄN</t>
        </is>
      </c>
      <c r="E153" t="inlineStr">
        <is>
          <t>ÄLVDALEN</t>
        </is>
      </c>
      <c r="G153" t="n">
        <v>4.3</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52490-2022 artfynd.xlsx", "A 52490-2022")</f>
        <v/>
      </c>
      <c r="T153">
        <f>HYPERLINK("https://klasma.github.io/Logging_2039/kartor/A 52490-2022 karta.png", "A 52490-2022")</f>
        <v/>
      </c>
      <c r="V153">
        <f>HYPERLINK("https://klasma.github.io/Logging_2039/klagomål/A 52490-2022 FSC-klagomål.docx", "A 52490-2022")</f>
        <v/>
      </c>
      <c r="W153">
        <f>HYPERLINK("https://klasma.github.io/Logging_2039/klagomålsmail/A 52490-2022 FSC-klagomål mail.docx", "A 52490-2022")</f>
        <v/>
      </c>
      <c r="X153">
        <f>HYPERLINK("https://klasma.github.io/Logging_2039/tillsyn/A 52490-2022 tillsynsbegäran.docx", "A 52490-2022")</f>
        <v/>
      </c>
      <c r="Y153">
        <f>HYPERLINK("https://klasma.github.io/Logging_2039/tillsynsmail/A 52490-2022 tillsynsbegäran mail.docx", "A 52490-2022")</f>
        <v/>
      </c>
    </row>
    <row r="154" ht="15" customHeight="1">
      <c r="A154" t="inlineStr">
        <is>
          <t>A 59429-2024</t>
        </is>
      </c>
      <c r="B154" s="1" t="n">
        <v>45638.42091435185</v>
      </c>
      <c r="C154" s="1" t="n">
        <v>46145</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54632-2021</t>
        </is>
      </c>
      <c r="B155" s="1" t="n">
        <v>44473</v>
      </c>
      <c r="C155" s="1" t="n">
        <v>46145</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46145</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40461-2025</t>
        </is>
      </c>
      <c r="B157" s="1" t="n">
        <v>45895</v>
      </c>
      <c r="C157" s="1" t="n">
        <v>46145</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55225-2025</t>
        </is>
      </c>
      <c r="B158" s="1" t="n">
        <v>45968.59571759259</v>
      </c>
      <c r="C158" s="1" t="n">
        <v>46145</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55227-2025</t>
        </is>
      </c>
      <c r="B159" s="1" t="n">
        <v>45968.59744212963</v>
      </c>
      <c r="C159" s="1" t="n">
        <v>46145</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58476-2025</t>
        </is>
      </c>
      <c r="B160" s="1" t="n">
        <v>45985.64229166666</v>
      </c>
      <c r="C160" s="1" t="n">
        <v>46145</v>
      </c>
      <c r="D160" t="inlineStr">
        <is>
          <t>DALARNAS LÄN</t>
        </is>
      </c>
      <c r="E160" t="inlineStr">
        <is>
          <t>ÄLVDALEN</t>
        </is>
      </c>
      <c r="F160" t="inlineStr">
        <is>
          <t>Allmännings- och besparingsskogar</t>
        </is>
      </c>
      <c r="G160" t="n">
        <v>17.9</v>
      </c>
      <c r="H160" t="n">
        <v>2</v>
      </c>
      <c r="I160" t="n">
        <v>0</v>
      </c>
      <c r="J160" t="n">
        <v>0</v>
      </c>
      <c r="K160" t="n">
        <v>0</v>
      </c>
      <c r="L160" t="n">
        <v>0</v>
      </c>
      <c r="M160" t="n">
        <v>0</v>
      </c>
      <c r="N160" t="n">
        <v>0</v>
      </c>
      <c r="O160" t="n">
        <v>0</v>
      </c>
      <c r="P160" t="n">
        <v>0</v>
      </c>
      <c r="Q160" t="n">
        <v>2</v>
      </c>
      <c r="R160" s="2" t="inlineStr">
        <is>
          <t>Tjäder
Huggorm</t>
        </is>
      </c>
      <c r="S160">
        <f>HYPERLINK("https://klasma.github.io/Logging_2039/artfynd/A 58476-2025 artfynd.xlsx", "A 58476-2025")</f>
        <v/>
      </c>
      <c r="T160">
        <f>HYPERLINK("https://klasma.github.io/Logging_2039/kartor/A 58476-2025 karta.png", "A 58476-2025")</f>
        <v/>
      </c>
      <c r="V160">
        <f>HYPERLINK("https://klasma.github.io/Logging_2039/klagomål/A 58476-2025 FSC-klagomål.docx", "A 58476-2025")</f>
        <v/>
      </c>
      <c r="W160">
        <f>HYPERLINK("https://klasma.github.io/Logging_2039/klagomålsmail/A 58476-2025 FSC-klagomål mail.docx", "A 58476-2025")</f>
        <v/>
      </c>
      <c r="X160">
        <f>HYPERLINK("https://klasma.github.io/Logging_2039/tillsyn/A 58476-2025 tillsynsbegäran.docx", "A 58476-2025")</f>
        <v/>
      </c>
      <c r="Y160">
        <f>HYPERLINK("https://klasma.github.io/Logging_2039/tillsynsmail/A 58476-2025 tillsynsbegäran mail.docx", "A 58476-2025")</f>
        <v/>
      </c>
      <c r="Z160">
        <f>HYPERLINK("https://klasma.github.io/Logging_2039/fåglar/A 58476-2025 prioriterade fågelarter.docx", "A 58476-2025")</f>
        <v/>
      </c>
    </row>
    <row r="161" ht="15" customHeight="1">
      <c r="A161" t="inlineStr">
        <is>
          <t>A 59951-2025</t>
        </is>
      </c>
      <c r="B161" s="1" t="n">
        <v>45993.45759259259</v>
      </c>
      <c r="C161" s="1" t="n">
        <v>46145</v>
      </c>
      <c r="D161" t="inlineStr">
        <is>
          <t>DALARNAS LÄN</t>
        </is>
      </c>
      <c r="E161" t="inlineStr">
        <is>
          <t>ÄLVDALEN</t>
        </is>
      </c>
      <c r="F161" t="inlineStr">
        <is>
          <t>Bergvik skog väst AB</t>
        </is>
      </c>
      <c r="G161" t="n">
        <v>13</v>
      </c>
      <c r="H161" t="n">
        <v>0</v>
      </c>
      <c r="I161" t="n">
        <v>0</v>
      </c>
      <c r="J161" t="n">
        <v>2</v>
      </c>
      <c r="K161" t="n">
        <v>0</v>
      </c>
      <c r="L161" t="n">
        <v>0</v>
      </c>
      <c r="M161" t="n">
        <v>0</v>
      </c>
      <c r="N161" t="n">
        <v>0</v>
      </c>
      <c r="O161" t="n">
        <v>2</v>
      </c>
      <c r="P161" t="n">
        <v>0</v>
      </c>
      <c r="Q161" t="n">
        <v>2</v>
      </c>
      <c r="R161" s="2" t="inlineStr">
        <is>
          <t>Garnlav
Mörk kolflarnlav</t>
        </is>
      </c>
      <c r="S161">
        <f>HYPERLINK("https://klasma.github.io/Logging_2039/artfynd/A 59951-2025 artfynd.xlsx", "A 59951-2025")</f>
        <v/>
      </c>
      <c r="T161">
        <f>HYPERLINK("https://klasma.github.io/Logging_2039/kartor/A 59951-2025 karta.png", "A 59951-2025")</f>
        <v/>
      </c>
      <c r="V161">
        <f>HYPERLINK("https://klasma.github.io/Logging_2039/klagomål/A 59951-2025 FSC-klagomål.docx", "A 59951-2025")</f>
        <v/>
      </c>
      <c r="W161">
        <f>HYPERLINK("https://klasma.github.io/Logging_2039/klagomålsmail/A 59951-2025 FSC-klagomål mail.docx", "A 59951-2025")</f>
        <v/>
      </c>
      <c r="X161">
        <f>HYPERLINK("https://klasma.github.io/Logging_2039/tillsyn/A 59951-2025 tillsynsbegäran.docx", "A 59951-2025")</f>
        <v/>
      </c>
      <c r="Y161">
        <f>HYPERLINK("https://klasma.github.io/Logging_2039/tillsynsmail/A 59951-2025 tillsynsbegäran mail.docx", "A 59951-2025")</f>
        <v/>
      </c>
    </row>
    <row r="162" ht="15" customHeight="1">
      <c r="A162" t="inlineStr">
        <is>
          <t>A 21629-2022</t>
        </is>
      </c>
      <c r="B162" s="1" t="n">
        <v>44706</v>
      </c>
      <c r="C162" s="1" t="n">
        <v>46145</v>
      </c>
      <c r="D162" t="inlineStr">
        <is>
          <t>DALARNAS LÄN</t>
        </is>
      </c>
      <c r="E162" t="inlineStr">
        <is>
          <t>ÄLVDALEN</t>
        </is>
      </c>
      <c r="F162" t="inlineStr">
        <is>
          <t>Övriga statliga verk och myndigheter</t>
        </is>
      </c>
      <c r="G162" t="n">
        <v>19.2</v>
      </c>
      <c r="H162" t="n">
        <v>0</v>
      </c>
      <c r="I162" t="n">
        <v>1</v>
      </c>
      <c r="J162" t="n">
        <v>1</v>
      </c>
      <c r="K162" t="n">
        <v>0</v>
      </c>
      <c r="L162" t="n">
        <v>0</v>
      </c>
      <c r="M162" t="n">
        <v>0</v>
      </c>
      <c r="N162" t="n">
        <v>0</v>
      </c>
      <c r="O162" t="n">
        <v>1</v>
      </c>
      <c r="P162" t="n">
        <v>0</v>
      </c>
      <c r="Q162" t="n">
        <v>2</v>
      </c>
      <c r="R162" s="2" t="inlineStr">
        <is>
          <t>Vitgrynig nållav
Kransrams</t>
        </is>
      </c>
      <c r="S162">
        <f>HYPERLINK("https://klasma.github.io/Logging_2039/artfynd/A 21629-2022 artfynd.xlsx", "A 21629-2022")</f>
        <v/>
      </c>
      <c r="T162">
        <f>HYPERLINK("https://klasma.github.io/Logging_2039/kartor/A 21629-2022 karta.png", "A 21629-2022")</f>
        <v/>
      </c>
      <c r="V162">
        <f>HYPERLINK("https://klasma.github.io/Logging_2039/klagomål/A 21629-2022 FSC-klagomål.docx", "A 21629-2022")</f>
        <v/>
      </c>
      <c r="W162">
        <f>HYPERLINK("https://klasma.github.io/Logging_2039/klagomålsmail/A 21629-2022 FSC-klagomål mail.docx", "A 21629-2022")</f>
        <v/>
      </c>
      <c r="X162">
        <f>HYPERLINK("https://klasma.github.io/Logging_2039/tillsyn/A 21629-2022 tillsynsbegäran.docx", "A 21629-2022")</f>
        <v/>
      </c>
      <c r="Y162">
        <f>HYPERLINK("https://klasma.github.io/Logging_2039/tillsynsmail/A 21629-2022 tillsynsbegäran mail.docx", "A 21629-2022")</f>
        <v/>
      </c>
    </row>
    <row r="163" ht="15" customHeight="1">
      <c r="A163" t="inlineStr">
        <is>
          <t>A 40231-2021</t>
        </is>
      </c>
      <c r="B163" s="1" t="n">
        <v>44419.31553240741</v>
      </c>
      <c r="C163" s="1" t="n">
        <v>46145</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46145</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30727-2024</t>
        </is>
      </c>
      <c r="B165" s="1" t="n">
        <v>45496.55789351852</v>
      </c>
      <c r="C165" s="1" t="n">
        <v>46145</v>
      </c>
      <c r="D165" t="inlineStr">
        <is>
          <t>DALARNAS LÄN</t>
        </is>
      </c>
      <c r="E165" t="inlineStr">
        <is>
          <t>ÄLVDALEN</t>
        </is>
      </c>
      <c r="F165" t="inlineStr">
        <is>
          <t>Allmännings- och besparingsskogar</t>
        </is>
      </c>
      <c r="G165" t="n">
        <v>35.7</v>
      </c>
      <c r="H165" t="n">
        <v>1</v>
      </c>
      <c r="I165" t="n">
        <v>0</v>
      </c>
      <c r="J165" t="n">
        <v>2</v>
      </c>
      <c r="K165" t="n">
        <v>0</v>
      </c>
      <c r="L165" t="n">
        <v>0</v>
      </c>
      <c r="M165" t="n">
        <v>0</v>
      </c>
      <c r="N165" t="n">
        <v>0</v>
      </c>
      <c r="O165" t="n">
        <v>2</v>
      </c>
      <c r="P165" t="n">
        <v>0</v>
      </c>
      <c r="Q165" t="n">
        <v>2</v>
      </c>
      <c r="R165" s="2" t="inlineStr">
        <is>
          <t>Garnlav
Spillkråka</t>
        </is>
      </c>
      <c r="S165">
        <f>HYPERLINK("https://klasma.github.io/Logging_2039/artfynd/A 30727-2024 artfynd.xlsx", "A 30727-2024")</f>
        <v/>
      </c>
      <c r="T165">
        <f>HYPERLINK("https://klasma.github.io/Logging_2039/kartor/A 30727-2024 karta.png", "A 30727-2024")</f>
        <v/>
      </c>
      <c r="V165">
        <f>HYPERLINK("https://klasma.github.io/Logging_2039/klagomål/A 30727-2024 FSC-klagomål.docx", "A 30727-2024")</f>
        <v/>
      </c>
      <c r="W165">
        <f>HYPERLINK("https://klasma.github.io/Logging_2039/klagomålsmail/A 30727-2024 FSC-klagomål mail.docx", "A 30727-2024")</f>
        <v/>
      </c>
      <c r="X165">
        <f>HYPERLINK("https://klasma.github.io/Logging_2039/tillsyn/A 30727-2024 tillsynsbegäran.docx", "A 30727-2024")</f>
        <v/>
      </c>
      <c r="Y165">
        <f>HYPERLINK("https://klasma.github.io/Logging_2039/tillsynsmail/A 30727-2024 tillsynsbegäran mail.docx", "A 30727-2024")</f>
        <v/>
      </c>
      <c r="Z165">
        <f>HYPERLINK("https://klasma.github.io/Logging_2039/fåglar/A 30727-2024 prioriterade fågelarter.docx", "A 30727-2024")</f>
        <v/>
      </c>
    </row>
    <row r="166" ht="15" customHeight="1">
      <c r="A166" t="inlineStr">
        <is>
          <t>A 27937-2025</t>
        </is>
      </c>
      <c r="B166" s="1" t="n">
        <v>45817.50025462963</v>
      </c>
      <c r="C166" s="1" t="n">
        <v>46145</v>
      </c>
      <c r="D166" t="inlineStr">
        <is>
          <t>DALARNAS LÄN</t>
        </is>
      </c>
      <c r="E166" t="inlineStr">
        <is>
          <t>ÄLVDALEN</t>
        </is>
      </c>
      <c r="F166" t="inlineStr">
        <is>
          <t>Sveaskog</t>
        </is>
      </c>
      <c r="G166" t="n">
        <v>0.9</v>
      </c>
      <c r="H166" t="n">
        <v>0</v>
      </c>
      <c r="I166" t="n">
        <v>1</v>
      </c>
      <c r="J166" t="n">
        <v>1</v>
      </c>
      <c r="K166" t="n">
        <v>0</v>
      </c>
      <c r="L166" t="n">
        <v>0</v>
      </c>
      <c r="M166" t="n">
        <v>0</v>
      </c>
      <c r="N166" t="n">
        <v>0</v>
      </c>
      <c r="O166" t="n">
        <v>1</v>
      </c>
      <c r="P166" t="n">
        <v>0</v>
      </c>
      <c r="Q166" t="n">
        <v>2</v>
      </c>
      <c r="R166" s="2" t="inlineStr">
        <is>
          <t>Kolflarnlav
Dropptaggsvamp</t>
        </is>
      </c>
      <c r="S166">
        <f>HYPERLINK("https://klasma.github.io/Logging_2039/artfynd/A 27937-2025 artfynd.xlsx", "A 27937-2025")</f>
        <v/>
      </c>
      <c r="T166">
        <f>HYPERLINK("https://klasma.github.io/Logging_2039/kartor/A 27937-2025 karta.png", "A 27937-2025")</f>
        <v/>
      </c>
      <c r="V166">
        <f>HYPERLINK("https://klasma.github.io/Logging_2039/klagomål/A 27937-2025 FSC-klagomål.docx", "A 27937-2025")</f>
        <v/>
      </c>
      <c r="W166">
        <f>HYPERLINK("https://klasma.github.io/Logging_2039/klagomålsmail/A 27937-2025 FSC-klagomål mail.docx", "A 27937-2025")</f>
        <v/>
      </c>
      <c r="X166">
        <f>HYPERLINK("https://klasma.github.io/Logging_2039/tillsyn/A 27937-2025 tillsynsbegäran.docx", "A 27937-2025")</f>
        <v/>
      </c>
      <c r="Y166">
        <f>HYPERLINK("https://klasma.github.io/Logging_2039/tillsynsmail/A 27937-2025 tillsynsbegäran mail.docx", "A 27937-2025")</f>
        <v/>
      </c>
    </row>
    <row r="167" ht="15" customHeight="1">
      <c r="A167" t="inlineStr">
        <is>
          <t>A 31264-2025</t>
        </is>
      </c>
      <c r="B167" s="1" t="n">
        <v>45833.3283912037</v>
      </c>
      <c r="C167" s="1" t="n">
        <v>46145</v>
      </c>
      <c r="D167" t="inlineStr">
        <is>
          <t>DALARNAS LÄN</t>
        </is>
      </c>
      <c r="E167" t="inlineStr">
        <is>
          <t>ÄLVDALEN</t>
        </is>
      </c>
      <c r="F167" t="inlineStr">
        <is>
          <t>Sveaskog</t>
        </is>
      </c>
      <c r="G167" t="n">
        <v>1.3</v>
      </c>
      <c r="H167" t="n">
        <v>2</v>
      </c>
      <c r="I167" t="n">
        <v>0</v>
      </c>
      <c r="J167" t="n">
        <v>1</v>
      </c>
      <c r="K167" t="n">
        <v>0</v>
      </c>
      <c r="L167" t="n">
        <v>1</v>
      </c>
      <c r="M167" t="n">
        <v>0</v>
      </c>
      <c r="N167" t="n">
        <v>0</v>
      </c>
      <c r="O167" t="n">
        <v>2</v>
      </c>
      <c r="P167" t="n">
        <v>1</v>
      </c>
      <c r="Q167" t="n">
        <v>2</v>
      </c>
      <c r="R167" s="2" t="inlineStr">
        <is>
          <t>Mosippa
Drillsnäppa</t>
        </is>
      </c>
      <c r="S167">
        <f>HYPERLINK("https://klasma.github.io/Logging_2039/artfynd/A 31264-2025 artfynd.xlsx", "A 31264-2025")</f>
        <v/>
      </c>
      <c r="T167">
        <f>HYPERLINK("https://klasma.github.io/Logging_2039/kartor/A 31264-2025 karta.png", "A 31264-2025")</f>
        <v/>
      </c>
      <c r="V167">
        <f>HYPERLINK("https://klasma.github.io/Logging_2039/klagomål/A 31264-2025 FSC-klagomål.docx", "A 31264-2025")</f>
        <v/>
      </c>
      <c r="W167">
        <f>HYPERLINK("https://klasma.github.io/Logging_2039/klagomålsmail/A 31264-2025 FSC-klagomål mail.docx", "A 31264-2025")</f>
        <v/>
      </c>
      <c r="X167">
        <f>HYPERLINK("https://klasma.github.io/Logging_2039/tillsyn/A 31264-2025 tillsynsbegäran.docx", "A 31264-2025")</f>
        <v/>
      </c>
      <c r="Y167">
        <f>HYPERLINK("https://klasma.github.io/Logging_2039/tillsynsmail/A 31264-2025 tillsynsbegäran mail.docx", "A 31264-2025")</f>
        <v/>
      </c>
    </row>
    <row r="168" ht="15" customHeight="1">
      <c r="A168" t="inlineStr">
        <is>
          <t>A 31761-2021</t>
        </is>
      </c>
      <c r="B168" s="1" t="n">
        <v>44370</v>
      </c>
      <c r="C168" s="1" t="n">
        <v>46145</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50251-2022</t>
        </is>
      </c>
      <c r="B169" s="1" t="n">
        <v>44865</v>
      </c>
      <c r="C169" s="1" t="n">
        <v>46145</v>
      </c>
      <c r="D169" t="inlineStr">
        <is>
          <t>DALARNAS LÄN</t>
        </is>
      </c>
      <c r="E169" t="inlineStr">
        <is>
          <t>ÄLVDALEN</t>
        </is>
      </c>
      <c r="F169" t="inlineStr">
        <is>
          <t>Sveaskog</t>
        </is>
      </c>
      <c r="G169" t="n">
        <v>4.4</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50251-2022 artfynd.xlsx", "A 50251-2022")</f>
        <v/>
      </c>
      <c r="T169">
        <f>HYPERLINK("https://klasma.github.io/Logging_2039/kartor/A 50251-2022 karta.png", "A 50251-2022")</f>
        <v/>
      </c>
      <c r="V169">
        <f>HYPERLINK("https://klasma.github.io/Logging_2039/klagomål/A 50251-2022 FSC-klagomål.docx", "A 50251-2022")</f>
        <v/>
      </c>
      <c r="W169">
        <f>HYPERLINK("https://klasma.github.io/Logging_2039/klagomålsmail/A 50251-2022 FSC-klagomål mail.docx", "A 50251-2022")</f>
        <v/>
      </c>
      <c r="X169">
        <f>HYPERLINK("https://klasma.github.io/Logging_2039/tillsyn/A 50251-2022 tillsynsbegäran.docx", "A 50251-2022")</f>
        <v/>
      </c>
      <c r="Y169">
        <f>HYPERLINK("https://klasma.github.io/Logging_2039/tillsynsmail/A 50251-2022 tillsynsbegäran mail.docx", "A 50251-2022")</f>
        <v/>
      </c>
    </row>
    <row r="170" ht="15" customHeight="1">
      <c r="A170" t="inlineStr">
        <is>
          <t>A 30971-2021</t>
        </is>
      </c>
      <c r="B170" s="1" t="n">
        <v>44365.90097222223</v>
      </c>
      <c r="C170" s="1" t="n">
        <v>46145</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65500-2021</t>
        </is>
      </c>
      <c r="B171" s="1" t="n">
        <v>44516</v>
      </c>
      <c r="C171" s="1" t="n">
        <v>46145</v>
      </c>
      <c r="D171" t="inlineStr">
        <is>
          <t>DALARNAS LÄN</t>
        </is>
      </c>
      <c r="E171" t="inlineStr">
        <is>
          <t>ÄLVDALEN</t>
        </is>
      </c>
      <c r="F171" t="inlineStr">
        <is>
          <t>Sveaskog</t>
        </is>
      </c>
      <c r="G171" t="n">
        <v>10.4</v>
      </c>
      <c r="H171" t="n">
        <v>1</v>
      </c>
      <c r="I171" t="n">
        <v>0</v>
      </c>
      <c r="J171" t="n">
        <v>1</v>
      </c>
      <c r="K171" t="n">
        <v>0</v>
      </c>
      <c r="L171" t="n">
        <v>0</v>
      </c>
      <c r="M171" t="n">
        <v>0</v>
      </c>
      <c r="N171" t="n">
        <v>0</v>
      </c>
      <c r="O171" t="n">
        <v>1</v>
      </c>
      <c r="P171" t="n">
        <v>0</v>
      </c>
      <c r="Q171" t="n">
        <v>1</v>
      </c>
      <c r="R171" s="2" t="inlineStr">
        <is>
          <t>Varglav</t>
        </is>
      </c>
      <c r="S171">
        <f>HYPERLINK("https://klasma.github.io/Logging_2039/artfynd/A 65500-2021 artfynd.xlsx", "A 65500-2021")</f>
        <v/>
      </c>
      <c r="T171">
        <f>HYPERLINK("https://klasma.github.io/Logging_2039/kartor/A 65500-2021 karta.png", "A 65500-2021")</f>
        <v/>
      </c>
      <c r="V171">
        <f>HYPERLINK("https://klasma.github.io/Logging_2039/klagomål/A 65500-2021 FSC-klagomål.docx", "A 65500-2021")</f>
        <v/>
      </c>
      <c r="W171">
        <f>HYPERLINK("https://klasma.github.io/Logging_2039/klagomålsmail/A 65500-2021 FSC-klagomål mail.docx", "A 65500-2021")</f>
        <v/>
      </c>
      <c r="X171">
        <f>HYPERLINK("https://klasma.github.io/Logging_2039/tillsyn/A 65500-2021 tillsynsbegäran.docx", "A 65500-2021")</f>
        <v/>
      </c>
      <c r="Y171">
        <f>HYPERLINK("https://klasma.github.io/Logging_2039/tillsynsmail/A 65500-2021 tillsynsbegäran mail.docx", "A 65500-2021")</f>
        <v/>
      </c>
    </row>
    <row r="172" ht="15" customHeight="1">
      <c r="A172" t="inlineStr">
        <is>
          <t>A 22759-2021</t>
        </is>
      </c>
      <c r="B172" s="1" t="n">
        <v>44327.86341435185</v>
      </c>
      <c r="C172" s="1" t="n">
        <v>46145</v>
      </c>
      <c r="D172" t="inlineStr">
        <is>
          <t>DALARNAS LÄN</t>
        </is>
      </c>
      <c r="E172" t="inlineStr">
        <is>
          <t>ÄLVDALEN</t>
        </is>
      </c>
      <c r="F172" t="inlineStr">
        <is>
          <t>Sveaskog</t>
        </is>
      </c>
      <c r="G172" t="n">
        <v>1.8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22759-2021 artfynd.xlsx", "A 22759-2021")</f>
        <v/>
      </c>
      <c r="T172">
        <f>HYPERLINK("https://klasma.github.io/Logging_2039/kartor/A 22759-2021 karta.png", "A 22759-2021")</f>
        <v/>
      </c>
      <c r="V172">
        <f>HYPERLINK("https://klasma.github.io/Logging_2039/klagomål/A 22759-2021 FSC-klagomål.docx", "A 22759-2021")</f>
        <v/>
      </c>
      <c r="W172">
        <f>HYPERLINK("https://klasma.github.io/Logging_2039/klagomålsmail/A 22759-2021 FSC-klagomål mail.docx", "A 22759-2021")</f>
        <v/>
      </c>
      <c r="X172">
        <f>HYPERLINK("https://klasma.github.io/Logging_2039/tillsyn/A 22759-2021 tillsynsbegäran.docx", "A 22759-2021")</f>
        <v/>
      </c>
      <c r="Y172">
        <f>HYPERLINK("https://klasma.github.io/Logging_2039/tillsynsmail/A 22759-2021 tillsynsbegäran mail.docx", "A 22759-2021")</f>
        <v/>
      </c>
    </row>
    <row r="173" ht="15" customHeight="1">
      <c r="A173" t="inlineStr">
        <is>
          <t>A 34099-2021</t>
        </is>
      </c>
      <c r="B173" s="1" t="n">
        <v>44379</v>
      </c>
      <c r="C173" s="1" t="n">
        <v>46145</v>
      </c>
      <c r="D173" t="inlineStr">
        <is>
          <t>DALARNAS LÄN</t>
        </is>
      </c>
      <c r="E173" t="inlineStr">
        <is>
          <t>ÄLVDALEN</t>
        </is>
      </c>
      <c r="F173" t="inlineStr">
        <is>
          <t>Sveaskog</t>
        </is>
      </c>
      <c r="G173" t="n">
        <v>9.4</v>
      </c>
      <c r="H173" t="n">
        <v>1</v>
      </c>
      <c r="I173" t="n">
        <v>0</v>
      </c>
      <c r="J173" t="n">
        <v>1</v>
      </c>
      <c r="K173" t="n">
        <v>0</v>
      </c>
      <c r="L173" t="n">
        <v>0</v>
      </c>
      <c r="M173" t="n">
        <v>0</v>
      </c>
      <c r="N173" t="n">
        <v>0</v>
      </c>
      <c r="O173" t="n">
        <v>1</v>
      </c>
      <c r="P173" t="n">
        <v>0</v>
      </c>
      <c r="Q173" t="n">
        <v>1</v>
      </c>
      <c r="R173" s="2" t="inlineStr">
        <is>
          <t>Varglav</t>
        </is>
      </c>
      <c r="S173">
        <f>HYPERLINK("https://klasma.github.io/Logging_2039/artfynd/A 34099-2021 artfynd.xlsx", "A 34099-2021")</f>
        <v/>
      </c>
      <c r="T173">
        <f>HYPERLINK("https://klasma.github.io/Logging_2039/kartor/A 34099-2021 karta.png", "A 34099-2021")</f>
        <v/>
      </c>
      <c r="V173">
        <f>HYPERLINK("https://klasma.github.io/Logging_2039/klagomål/A 34099-2021 FSC-klagomål.docx", "A 34099-2021")</f>
        <v/>
      </c>
      <c r="W173">
        <f>HYPERLINK("https://klasma.github.io/Logging_2039/klagomålsmail/A 34099-2021 FSC-klagomål mail.docx", "A 34099-2021")</f>
        <v/>
      </c>
      <c r="X173">
        <f>HYPERLINK("https://klasma.github.io/Logging_2039/tillsyn/A 34099-2021 tillsynsbegäran.docx", "A 34099-2021")</f>
        <v/>
      </c>
      <c r="Y173">
        <f>HYPERLINK("https://klasma.github.io/Logging_2039/tillsynsmail/A 34099-2021 tillsynsbegäran mail.docx", "A 34099-2021")</f>
        <v/>
      </c>
    </row>
    <row r="174" ht="15" customHeight="1">
      <c r="A174" t="inlineStr">
        <is>
          <t>A 50252-2022</t>
        </is>
      </c>
      <c r="B174" s="1" t="n">
        <v>44865</v>
      </c>
      <c r="C174" s="1" t="n">
        <v>46145</v>
      </c>
      <c r="D174" t="inlineStr">
        <is>
          <t>DALARNAS LÄN</t>
        </is>
      </c>
      <c r="E174" t="inlineStr">
        <is>
          <t>ÄLVDALEN</t>
        </is>
      </c>
      <c r="F174" t="inlineStr">
        <is>
          <t>Sveaskog</t>
        </is>
      </c>
      <c r="G174" t="n">
        <v>3</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50252-2022 artfynd.xlsx", "A 50252-2022")</f>
        <v/>
      </c>
      <c r="T174">
        <f>HYPERLINK("https://klasma.github.io/Logging_2039/kartor/A 50252-2022 karta.png", "A 50252-2022")</f>
        <v/>
      </c>
      <c r="V174">
        <f>HYPERLINK("https://klasma.github.io/Logging_2039/klagomål/A 50252-2022 FSC-klagomål.docx", "A 50252-2022")</f>
        <v/>
      </c>
      <c r="W174">
        <f>HYPERLINK("https://klasma.github.io/Logging_2039/klagomålsmail/A 50252-2022 FSC-klagomål mail.docx", "A 50252-2022")</f>
        <v/>
      </c>
      <c r="X174">
        <f>HYPERLINK("https://klasma.github.io/Logging_2039/tillsyn/A 50252-2022 tillsynsbegäran.docx", "A 50252-2022")</f>
        <v/>
      </c>
      <c r="Y174">
        <f>HYPERLINK("https://klasma.github.io/Logging_2039/tillsynsmail/A 50252-2022 tillsynsbegäran mail.docx", "A 50252-2022")</f>
        <v/>
      </c>
    </row>
    <row r="175" ht="15" customHeight="1">
      <c r="A175" t="inlineStr">
        <is>
          <t>A 22407-2021</t>
        </is>
      </c>
      <c r="B175" s="1" t="n">
        <v>44326.61526620371</v>
      </c>
      <c r="C175" s="1" t="n">
        <v>46145</v>
      </c>
      <c r="D175" t="inlineStr">
        <is>
          <t>DALARNAS LÄN</t>
        </is>
      </c>
      <c r="E175" t="inlineStr">
        <is>
          <t>ÄLVDALEN</t>
        </is>
      </c>
      <c r="F175" t="inlineStr">
        <is>
          <t>Sveaskog</t>
        </is>
      </c>
      <c r="G175" t="n">
        <v>4.2</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22407-2021 artfynd.xlsx", "A 22407-2021")</f>
        <v/>
      </c>
      <c r="T175">
        <f>HYPERLINK("https://klasma.github.io/Logging_2039/kartor/A 22407-2021 karta.png", "A 22407-2021")</f>
        <v/>
      </c>
      <c r="V175">
        <f>HYPERLINK("https://klasma.github.io/Logging_2039/klagomål/A 22407-2021 FSC-klagomål.docx", "A 22407-2021")</f>
        <v/>
      </c>
      <c r="W175">
        <f>HYPERLINK("https://klasma.github.io/Logging_2039/klagomålsmail/A 22407-2021 FSC-klagomål mail.docx", "A 22407-2021")</f>
        <v/>
      </c>
      <c r="X175">
        <f>HYPERLINK("https://klasma.github.io/Logging_2039/tillsyn/A 22407-2021 tillsynsbegäran.docx", "A 22407-2021")</f>
        <v/>
      </c>
      <c r="Y175">
        <f>HYPERLINK("https://klasma.github.io/Logging_2039/tillsynsmail/A 22407-2021 tillsynsbegäran mail.docx", "A 22407-2021")</f>
        <v/>
      </c>
    </row>
    <row r="176" ht="15" customHeight="1">
      <c r="A176" t="inlineStr">
        <is>
          <t>A 24847-2021</t>
        </is>
      </c>
      <c r="B176" s="1" t="n">
        <v>44340</v>
      </c>
      <c r="C176" s="1" t="n">
        <v>46145</v>
      </c>
      <c r="D176" t="inlineStr">
        <is>
          <t>DALARNAS LÄN</t>
        </is>
      </c>
      <c r="E176" t="inlineStr">
        <is>
          <t>ÄLVDALEN</t>
        </is>
      </c>
      <c r="F176" t="inlineStr">
        <is>
          <t>Sveaskog</t>
        </is>
      </c>
      <c r="G176" t="n">
        <v>7.1</v>
      </c>
      <c r="H176" t="n">
        <v>1</v>
      </c>
      <c r="I176" t="n">
        <v>0</v>
      </c>
      <c r="J176" t="n">
        <v>1</v>
      </c>
      <c r="K176" t="n">
        <v>0</v>
      </c>
      <c r="L176" t="n">
        <v>0</v>
      </c>
      <c r="M176" t="n">
        <v>0</v>
      </c>
      <c r="N176" t="n">
        <v>0</v>
      </c>
      <c r="O176" t="n">
        <v>1</v>
      </c>
      <c r="P176" t="n">
        <v>0</v>
      </c>
      <c r="Q176" t="n">
        <v>1</v>
      </c>
      <c r="R176" s="2" t="inlineStr">
        <is>
          <t>Varglav</t>
        </is>
      </c>
      <c r="S176">
        <f>HYPERLINK("https://klasma.github.io/Logging_2039/artfynd/A 24847-2021 artfynd.xlsx", "A 24847-2021")</f>
        <v/>
      </c>
      <c r="T176">
        <f>HYPERLINK("https://klasma.github.io/Logging_2039/kartor/A 24847-2021 karta.png", "A 24847-2021")</f>
        <v/>
      </c>
      <c r="V176">
        <f>HYPERLINK("https://klasma.github.io/Logging_2039/klagomål/A 24847-2021 FSC-klagomål.docx", "A 24847-2021")</f>
        <v/>
      </c>
      <c r="W176">
        <f>HYPERLINK("https://klasma.github.io/Logging_2039/klagomålsmail/A 24847-2021 FSC-klagomål mail.docx", "A 24847-2021")</f>
        <v/>
      </c>
      <c r="X176">
        <f>HYPERLINK("https://klasma.github.io/Logging_2039/tillsyn/A 24847-2021 tillsynsbegäran.docx", "A 24847-2021")</f>
        <v/>
      </c>
      <c r="Y176">
        <f>HYPERLINK("https://klasma.github.io/Logging_2039/tillsynsmail/A 24847-2021 tillsynsbegäran mail.docx", "A 24847-2021")</f>
        <v/>
      </c>
    </row>
    <row r="177" ht="15" customHeight="1">
      <c r="A177" t="inlineStr">
        <is>
          <t>A 51477-2022</t>
        </is>
      </c>
      <c r="B177" s="1" t="n">
        <v>44869</v>
      </c>
      <c r="C177" s="1" t="n">
        <v>46145</v>
      </c>
      <c r="D177" t="inlineStr">
        <is>
          <t>DALARNAS LÄN</t>
        </is>
      </c>
      <c r="E177" t="inlineStr">
        <is>
          <t>ÄLVDALEN</t>
        </is>
      </c>
      <c r="F177" t="inlineStr">
        <is>
          <t>Sveaskog</t>
        </is>
      </c>
      <c r="G177" t="n">
        <v>3.8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51477-2022 artfynd.xlsx", "A 51477-2022")</f>
        <v/>
      </c>
      <c r="T177">
        <f>HYPERLINK("https://klasma.github.io/Logging_2039/kartor/A 51477-2022 karta.png", "A 51477-2022")</f>
        <v/>
      </c>
      <c r="V177">
        <f>HYPERLINK("https://klasma.github.io/Logging_2039/klagomål/A 51477-2022 FSC-klagomål.docx", "A 51477-2022")</f>
        <v/>
      </c>
      <c r="W177">
        <f>HYPERLINK("https://klasma.github.io/Logging_2039/klagomålsmail/A 51477-2022 FSC-klagomål mail.docx", "A 51477-2022")</f>
        <v/>
      </c>
      <c r="X177">
        <f>HYPERLINK("https://klasma.github.io/Logging_2039/tillsyn/A 51477-2022 tillsynsbegäran.docx", "A 51477-2022")</f>
        <v/>
      </c>
      <c r="Y177">
        <f>HYPERLINK("https://klasma.github.io/Logging_2039/tillsynsmail/A 51477-2022 tillsynsbegäran mail.docx", "A 51477-2022")</f>
        <v/>
      </c>
    </row>
    <row r="178" ht="15" customHeight="1">
      <c r="A178" t="inlineStr">
        <is>
          <t>A 60419-2021</t>
        </is>
      </c>
      <c r="B178" s="1" t="n">
        <v>44496.40606481482</v>
      </c>
      <c r="C178" s="1" t="n">
        <v>46145</v>
      </c>
      <c r="D178" t="inlineStr">
        <is>
          <t>DALARNAS LÄN</t>
        </is>
      </c>
      <c r="E178" t="inlineStr">
        <is>
          <t>ÄLVDALEN</t>
        </is>
      </c>
      <c r="F178" t="inlineStr">
        <is>
          <t>Sveaskog</t>
        </is>
      </c>
      <c r="G178" t="n">
        <v>9.1</v>
      </c>
      <c r="H178" t="n">
        <v>0</v>
      </c>
      <c r="I178" t="n">
        <v>1</v>
      </c>
      <c r="J178" t="n">
        <v>0</v>
      </c>
      <c r="K178" t="n">
        <v>0</v>
      </c>
      <c r="L178" t="n">
        <v>0</v>
      </c>
      <c r="M178" t="n">
        <v>0</v>
      </c>
      <c r="N178" t="n">
        <v>0</v>
      </c>
      <c r="O178" t="n">
        <v>0</v>
      </c>
      <c r="P178" t="n">
        <v>0</v>
      </c>
      <c r="Q178" t="n">
        <v>1</v>
      </c>
      <c r="R178" s="2" t="inlineStr">
        <is>
          <t>Dropptaggsvamp</t>
        </is>
      </c>
      <c r="S178">
        <f>HYPERLINK("https://klasma.github.io/Logging_2039/artfynd/A 60419-2021 artfynd.xlsx", "A 60419-2021")</f>
        <v/>
      </c>
      <c r="T178">
        <f>HYPERLINK("https://klasma.github.io/Logging_2039/kartor/A 60419-2021 karta.png", "A 60419-2021")</f>
        <v/>
      </c>
      <c r="V178">
        <f>HYPERLINK("https://klasma.github.io/Logging_2039/klagomål/A 60419-2021 FSC-klagomål.docx", "A 60419-2021")</f>
        <v/>
      </c>
      <c r="W178">
        <f>HYPERLINK("https://klasma.github.io/Logging_2039/klagomålsmail/A 60419-2021 FSC-klagomål mail.docx", "A 60419-2021")</f>
        <v/>
      </c>
      <c r="X178">
        <f>HYPERLINK("https://klasma.github.io/Logging_2039/tillsyn/A 60419-2021 tillsynsbegäran.docx", "A 60419-2021")</f>
        <v/>
      </c>
      <c r="Y178">
        <f>HYPERLINK("https://klasma.github.io/Logging_2039/tillsynsmail/A 60419-2021 tillsynsbegäran mail.docx", "A 60419-2021")</f>
        <v/>
      </c>
    </row>
    <row r="179" ht="15" customHeight="1">
      <c r="A179" t="inlineStr">
        <is>
          <t>A 26736-2021</t>
        </is>
      </c>
      <c r="B179" s="1" t="n">
        <v>44349</v>
      </c>
      <c r="C179" s="1" t="n">
        <v>46145</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55062-2022</t>
        </is>
      </c>
      <c r="B180" s="1" t="n">
        <v>44881</v>
      </c>
      <c r="C180" s="1" t="n">
        <v>46145</v>
      </c>
      <c r="D180" t="inlineStr">
        <is>
          <t>DALARNAS LÄN</t>
        </is>
      </c>
      <c r="E180" t="inlineStr">
        <is>
          <t>ÄLVDALEN</t>
        </is>
      </c>
      <c r="F180" t="inlineStr">
        <is>
          <t>Övriga statliga verk och myndigheter</t>
        </is>
      </c>
      <c r="G180" t="n">
        <v>28.1</v>
      </c>
      <c r="H180" t="n">
        <v>1</v>
      </c>
      <c r="I180" t="n">
        <v>0</v>
      </c>
      <c r="J180" t="n">
        <v>1</v>
      </c>
      <c r="K180" t="n">
        <v>0</v>
      </c>
      <c r="L180" t="n">
        <v>0</v>
      </c>
      <c r="M180" t="n">
        <v>0</v>
      </c>
      <c r="N180" t="n">
        <v>0</v>
      </c>
      <c r="O180" t="n">
        <v>1</v>
      </c>
      <c r="P180" t="n">
        <v>0</v>
      </c>
      <c r="Q180" t="n">
        <v>1</v>
      </c>
      <c r="R180" s="2" t="inlineStr">
        <is>
          <t>Utter</t>
        </is>
      </c>
      <c r="S180">
        <f>HYPERLINK("https://klasma.github.io/Logging_2039/artfynd/A 55062-2022 artfynd.xlsx", "A 55062-2022")</f>
        <v/>
      </c>
      <c r="T180">
        <f>HYPERLINK("https://klasma.github.io/Logging_2039/kartor/A 55062-2022 karta.png", "A 55062-2022")</f>
        <v/>
      </c>
      <c r="V180">
        <f>HYPERLINK("https://klasma.github.io/Logging_2039/klagomål/A 55062-2022 FSC-klagomål.docx", "A 55062-2022")</f>
        <v/>
      </c>
      <c r="W180">
        <f>HYPERLINK("https://klasma.github.io/Logging_2039/klagomålsmail/A 55062-2022 FSC-klagomål mail.docx", "A 55062-2022")</f>
        <v/>
      </c>
      <c r="X180">
        <f>HYPERLINK("https://klasma.github.io/Logging_2039/tillsyn/A 55062-2022 tillsynsbegäran.docx", "A 55062-2022")</f>
        <v/>
      </c>
      <c r="Y180">
        <f>HYPERLINK("https://klasma.github.io/Logging_2039/tillsynsmail/A 55062-2022 tillsynsbegäran mail.docx", "A 55062-2022")</f>
        <v/>
      </c>
    </row>
    <row r="181" ht="15" customHeight="1">
      <c r="A181" t="inlineStr">
        <is>
          <t>A 31145-2024</t>
        </is>
      </c>
      <c r="B181" s="1" t="n">
        <v>45502.85956018518</v>
      </c>
      <c r="C181" s="1" t="n">
        <v>46145</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32199-2024</t>
        </is>
      </c>
      <c r="B182" s="1" t="n">
        <v>45511.66325231481</v>
      </c>
      <c r="C182" s="1" t="n">
        <v>46145</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41728-2025</t>
        </is>
      </c>
      <c r="B183" s="1" t="n">
        <v>45902.45748842593</v>
      </c>
      <c r="C183" s="1" t="n">
        <v>46145</v>
      </c>
      <c r="D183" t="inlineStr">
        <is>
          <t>DALARNAS LÄN</t>
        </is>
      </c>
      <c r="E183" t="inlineStr">
        <is>
          <t>ÄLVDALEN</t>
        </is>
      </c>
      <c r="F183" t="inlineStr">
        <is>
          <t>Sveaskog</t>
        </is>
      </c>
      <c r="G183" t="n">
        <v>0.9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41728-2025 artfynd.xlsx", "A 41728-2025")</f>
        <v/>
      </c>
      <c r="T183">
        <f>HYPERLINK("https://klasma.github.io/Logging_2039/kartor/A 41728-2025 karta.png", "A 41728-2025")</f>
        <v/>
      </c>
      <c r="V183">
        <f>HYPERLINK("https://klasma.github.io/Logging_2039/klagomål/A 41728-2025 FSC-klagomål.docx", "A 41728-2025")</f>
        <v/>
      </c>
      <c r="W183">
        <f>HYPERLINK("https://klasma.github.io/Logging_2039/klagomålsmail/A 41728-2025 FSC-klagomål mail.docx", "A 41728-2025")</f>
        <v/>
      </c>
      <c r="X183">
        <f>HYPERLINK("https://klasma.github.io/Logging_2039/tillsyn/A 41728-2025 tillsynsbegäran.docx", "A 41728-2025")</f>
        <v/>
      </c>
      <c r="Y183">
        <f>HYPERLINK("https://klasma.github.io/Logging_2039/tillsynsmail/A 41728-2025 tillsynsbegäran mail.docx", "A 41728-2025")</f>
        <v/>
      </c>
    </row>
    <row r="184" ht="15" customHeight="1">
      <c r="A184" t="inlineStr">
        <is>
          <t>A 41932-2025</t>
        </is>
      </c>
      <c r="B184" s="1" t="n">
        <v>45903.43458333334</v>
      </c>
      <c r="C184" s="1" t="n">
        <v>46145</v>
      </c>
      <c r="D184" t="inlineStr">
        <is>
          <t>DALARNAS LÄN</t>
        </is>
      </c>
      <c r="E184" t="inlineStr">
        <is>
          <t>ÄLVDALEN</t>
        </is>
      </c>
      <c r="F184" t="inlineStr">
        <is>
          <t>Sveaskog</t>
        </is>
      </c>
      <c r="G184" t="n">
        <v>5.5</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41932-2025 artfynd.xlsx", "A 41932-2025")</f>
        <v/>
      </c>
      <c r="T184">
        <f>HYPERLINK("https://klasma.github.io/Logging_2039/kartor/A 41932-2025 karta.png", "A 41932-2025")</f>
        <v/>
      </c>
      <c r="V184">
        <f>HYPERLINK("https://klasma.github.io/Logging_2039/klagomål/A 41932-2025 FSC-klagomål.docx", "A 41932-2025")</f>
        <v/>
      </c>
      <c r="W184">
        <f>HYPERLINK("https://klasma.github.io/Logging_2039/klagomålsmail/A 41932-2025 FSC-klagomål mail.docx", "A 41932-2025")</f>
        <v/>
      </c>
      <c r="X184">
        <f>HYPERLINK("https://klasma.github.io/Logging_2039/tillsyn/A 41932-2025 tillsynsbegäran.docx", "A 41932-2025")</f>
        <v/>
      </c>
      <c r="Y184">
        <f>HYPERLINK("https://klasma.github.io/Logging_2039/tillsynsmail/A 41932-2025 tillsynsbegäran mail.docx", "A 41932-2025")</f>
        <v/>
      </c>
    </row>
    <row r="185" ht="15" customHeight="1">
      <c r="A185" t="inlineStr">
        <is>
          <t>A 36574-2021</t>
        </is>
      </c>
      <c r="B185" s="1" t="n">
        <v>44391</v>
      </c>
      <c r="C185" s="1" t="n">
        <v>46145</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49141-2025</t>
        </is>
      </c>
      <c r="B186" s="1" t="n">
        <v>45938.31905092593</v>
      </c>
      <c r="C186" s="1" t="n">
        <v>46145</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23872-2023</t>
        </is>
      </c>
      <c r="B187" s="1" t="n">
        <v>45078</v>
      </c>
      <c r="C187" s="1" t="n">
        <v>46145</v>
      </c>
      <c r="D187" t="inlineStr">
        <is>
          <t>DALARNAS LÄN</t>
        </is>
      </c>
      <c r="E187" t="inlineStr">
        <is>
          <t>ÄLVDALEN</t>
        </is>
      </c>
      <c r="F187" t="inlineStr">
        <is>
          <t>Allmännings- och besparingsskogar</t>
        </is>
      </c>
      <c r="G187" t="n">
        <v>79.5</v>
      </c>
      <c r="H187" t="n">
        <v>1</v>
      </c>
      <c r="I187" t="n">
        <v>0</v>
      </c>
      <c r="J187" t="n">
        <v>0</v>
      </c>
      <c r="K187" t="n">
        <v>0</v>
      </c>
      <c r="L187" t="n">
        <v>0</v>
      </c>
      <c r="M187" t="n">
        <v>0</v>
      </c>
      <c r="N187" t="n">
        <v>0</v>
      </c>
      <c r="O187" t="n">
        <v>0</v>
      </c>
      <c r="P187" t="n">
        <v>0</v>
      </c>
      <c r="Q187" t="n">
        <v>1</v>
      </c>
      <c r="R187" s="2" t="inlineStr">
        <is>
          <t>Vanlig groda</t>
        </is>
      </c>
      <c r="S187">
        <f>HYPERLINK("https://klasma.github.io/Logging_2039/artfynd/A 23872-2023 artfynd.xlsx", "A 23872-2023")</f>
        <v/>
      </c>
      <c r="T187">
        <f>HYPERLINK("https://klasma.github.io/Logging_2039/kartor/A 23872-2023 karta.png", "A 23872-2023")</f>
        <v/>
      </c>
      <c r="V187">
        <f>HYPERLINK("https://klasma.github.io/Logging_2039/klagomål/A 23872-2023 FSC-klagomål.docx", "A 23872-2023")</f>
        <v/>
      </c>
      <c r="W187">
        <f>HYPERLINK("https://klasma.github.io/Logging_2039/klagomålsmail/A 23872-2023 FSC-klagomål mail.docx", "A 23872-2023")</f>
        <v/>
      </c>
      <c r="X187">
        <f>HYPERLINK("https://klasma.github.io/Logging_2039/tillsyn/A 23872-2023 tillsynsbegäran.docx", "A 23872-2023")</f>
        <v/>
      </c>
      <c r="Y187">
        <f>HYPERLINK("https://klasma.github.io/Logging_2039/tillsynsmail/A 23872-2023 tillsynsbegäran mail.docx", "A 23872-2023")</f>
        <v/>
      </c>
    </row>
    <row r="188" ht="15" customHeight="1">
      <c r="A188" t="inlineStr">
        <is>
          <t>A 59380-2025</t>
        </is>
      </c>
      <c r="B188" s="1" t="n">
        <v>45989.4540625</v>
      </c>
      <c r="C188" s="1" t="n">
        <v>46145</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60082-2025</t>
        </is>
      </c>
      <c r="B189" s="1" t="n">
        <v>45993</v>
      </c>
      <c r="C189" s="1" t="n">
        <v>46145</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50981-2024</t>
        </is>
      </c>
      <c r="B190" s="1" t="n">
        <v>45603.36233796296</v>
      </c>
      <c r="C190" s="1" t="n">
        <v>46145</v>
      </c>
      <c r="D190" t="inlineStr">
        <is>
          <t>DALARNAS LÄN</t>
        </is>
      </c>
      <c r="E190" t="inlineStr">
        <is>
          <t>ÄLVDALEN</t>
        </is>
      </c>
      <c r="G190" t="n">
        <v>5.1</v>
      </c>
      <c r="H190" t="n">
        <v>0</v>
      </c>
      <c r="I190" t="n">
        <v>0</v>
      </c>
      <c r="J190" t="n">
        <v>1</v>
      </c>
      <c r="K190" t="n">
        <v>0</v>
      </c>
      <c r="L190" t="n">
        <v>0</v>
      </c>
      <c r="M190" t="n">
        <v>0</v>
      </c>
      <c r="N190" t="n">
        <v>0</v>
      </c>
      <c r="O190" t="n">
        <v>1</v>
      </c>
      <c r="P190" t="n">
        <v>0</v>
      </c>
      <c r="Q190" t="n">
        <v>1</v>
      </c>
      <c r="R190" s="2" t="inlineStr">
        <is>
          <t>Vedskivlav</t>
        </is>
      </c>
      <c r="S190">
        <f>HYPERLINK("https://klasma.github.io/Logging_2039/artfynd/A 50981-2024 artfynd.xlsx", "A 50981-2024")</f>
        <v/>
      </c>
      <c r="T190">
        <f>HYPERLINK("https://klasma.github.io/Logging_2039/kartor/A 50981-2024 karta.png", "A 50981-2024")</f>
        <v/>
      </c>
      <c r="V190">
        <f>HYPERLINK("https://klasma.github.io/Logging_2039/klagomål/A 50981-2024 FSC-klagomål.docx", "A 50981-2024")</f>
        <v/>
      </c>
      <c r="W190">
        <f>HYPERLINK("https://klasma.github.io/Logging_2039/klagomålsmail/A 50981-2024 FSC-klagomål mail.docx", "A 50981-2024")</f>
        <v/>
      </c>
      <c r="X190">
        <f>HYPERLINK("https://klasma.github.io/Logging_2039/tillsyn/A 50981-2024 tillsynsbegäran.docx", "A 50981-2024")</f>
        <v/>
      </c>
      <c r="Y190">
        <f>HYPERLINK("https://klasma.github.io/Logging_2039/tillsynsmail/A 50981-2024 tillsynsbegäran mail.docx", "A 50981-2024")</f>
        <v/>
      </c>
    </row>
    <row r="191" ht="15" customHeight="1">
      <c r="A191" t="inlineStr">
        <is>
          <t>A 19614-2024</t>
        </is>
      </c>
      <c r="B191" s="1" t="n">
        <v>45432.30798611111</v>
      </c>
      <c r="C191" s="1" t="n">
        <v>46145</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45201-2024</t>
        </is>
      </c>
      <c r="B192" s="1" t="n">
        <v>45575</v>
      </c>
      <c r="C192" s="1" t="n">
        <v>46145</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45202-2024</t>
        </is>
      </c>
      <c r="B193" s="1" t="n">
        <v>45575</v>
      </c>
      <c r="C193" s="1" t="n">
        <v>46145</v>
      </c>
      <c r="D193" t="inlineStr">
        <is>
          <t>DALARNAS LÄN</t>
        </is>
      </c>
      <c r="E193" t="inlineStr">
        <is>
          <t>ÄLVDALEN</t>
        </is>
      </c>
      <c r="G193" t="n">
        <v>183</v>
      </c>
      <c r="H193" t="n">
        <v>1</v>
      </c>
      <c r="I193" t="n">
        <v>0</v>
      </c>
      <c r="J193" t="n">
        <v>0</v>
      </c>
      <c r="K193" t="n">
        <v>0</v>
      </c>
      <c r="L193" t="n">
        <v>0</v>
      </c>
      <c r="M193" t="n">
        <v>0</v>
      </c>
      <c r="N193" t="n">
        <v>0</v>
      </c>
      <c r="O193" t="n">
        <v>0</v>
      </c>
      <c r="P193" t="n">
        <v>0</v>
      </c>
      <c r="Q193" t="n">
        <v>1</v>
      </c>
      <c r="R193" s="2" t="inlineStr">
        <is>
          <t>Lavskrika</t>
        </is>
      </c>
      <c r="S193">
        <f>HYPERLINK("https://klasma.github.io/Logging_2039/artfynd/A 45202-2024 artfynd.xlsx", "A 45202-2024")</f>
        <v/>
      </c>
      <c r="T193">
        <f>HYPERLINK("https://klasma.github.io/Logging_2039/kartor/A 45202-2024 karta.png", "A 45202-2024")</f>
        <v/>
      </c>
      <c r="V193">
        <f>HYPERLINK("https://klasma.github.io/Logging_2039/klagomål/A 45202-2024 FSC-klagomål.docx", "A 45202-2024")</f>
        <v/>
      </c>
      <c r="W193">
        <f>HYPERLINK("https://klasma.github.io/Logging_2039/klagomålsmail/A 45202-2024 FSC-klagomål mail.docx", "A 45202-2024")</f>
        <v/>
      </c>
      <c r="X193">
        <f>HYPERLINK("https://klasma.github.io/Logging_2039/tillsyn/A 45202-2024 tillsynsbegäran.docx", "A 45202-2024")</f>
        <v/>
      </c>
      <c r="Y193">
        <f>HYPERLINK("https://klasma.github.io/Logging_2039/tillsynsmail/A 45202-2024 tillsynsbegäran mail.docx", "A 45202-2024")</f>
        <v/>
      </c>
      <c r="Z193">
        <f>HYPERLINK("https://klasma.github.io/Logging_2039/fåglar/A 45202-2024 prioriterade fågelarter.docx", "A 45202-2024")</f>
        <v/>
      </c>
    </row>
    <row r="194" ht="15" customHeight="1">
      <c r="A194" t="inlineStr">
        <is>
          <t>A 7273-2026</t>
        </is>
      </c>
      <c r="B194" s="1" t="n">
        <v>46058</v>
      </c>
      <c r="C194" s="1" t="n">
        <v>46145</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17672-2026</t>
        </is>
      </c>
      <c r="B195" s="1" t="n">
        <v>46121.59119212963</v>
      </c>
      <c r="C195" s="1" t="n">
        <v>46145</v>
      </c>
      <c r="D195" t="inlineStr">
        <is>
          <t>DALARNAS LÄN</t>
        </is>
      </c>
      <c r="E195" t="inlineStr">
        <is>
          <t>ÄLVDALEN</t>
        </is>
      </c>
      <c r="F195" t="inlineStr">
        <is>
          <t>Allmännings- och besparingsskogar</t>
        </is>
      </c>
      <c r="G195" t="n">
        <v>0.2</v>
      </c>
      <c r="H195" t="n">
        <v>1</v>
      </c>
      <c r="I195" t="n">
        <v>0</v>
      </c>
      <c r="J195" t="n">
        <v>0</v>
      </c>
      <c r="K195" t="n">
        <v>0</v>
      </c>
      <c r="L195" t="n">
        <v>0</v>
      </c>
      <c r="M195" t="n">
        <v>0</v>
      </c>
      <c r="N195" t="n">
        <v>0</v>
      </c>
      <c r="O195" t="n">
        <v>0</v>
      </c>
      <c r="P195" t="n">
        <v>0</v>
      </c>
      <c r="Q195" t="n">
        <v>1</v>
      </c>
      <c r="R195" s="2" t="inlineStr">
        <is>
          <t>Orre</t>
        </is>
      </c>
      <c r="S195">
        <f>HYPERLINK("https://klasma.github.io/Logging_2039/artfynd/A 17672-2026 artfynd.xlsx", "A 17672-2026")</f>
        <v/>
      </c>
      <c r="T195">
        <f>HYPERLINK("https://klasma.github.io/Logging_2039/kartor/A 17672-2026 karta.png", "A 17672-2026")</f>
        <v/>
      </c>
      <c r="V195">
        <f>HYPERLINK("https://klasma.github.io/Logging_2039/klagomål/A 17672-2026 FSC-klagomål.docx", "A 17672-2026")</f>
        <v/>
      </c>
      <c r="W195">
        <f>HYPERLINK("https://klasma.github.io/Logging_2039/klagomålsmail/A 17672-2026 FSC-klagomål mail.docx", "A 17672-2026")</f>
        <v/>
      </c>
      <c r="X195">
        <f>HYPERLINK("https://klasma.github.io/Logging_2039/tillsyn/A 17672-2026 tillsynsbegäran.docx", "A 17672-2026")</f>
        <v/>
      </c>
      <c r="Y195">
        <f>HYPERLINK("https://klasma.github.io/Logging_2039/tillsynsmail/A 17672-2026 tillsynsbegäran mail.docx", "A 17672-2026")</f>
        <v/>
      </c>
      <c r="Z195">
        <f>HYPERLINK("https://klasma.github.io/Logging_2039/fåglar/A 17672-2026 prioriterade fågelarter.docx", "A 17672-2026")</f>
        <v/>
      </c>
    </row>
    <row r="196" ht="15" customHeight="1">
      <c r="A196" t="inlineStr">
        <is>
          <t>A 18584-2026</t>
        </is>
      </c>
      <c r="B196" s="1" t="n">
        <v>46127.62803240741</v>
      </c>
      <c r="C196" s="1" t="n">
        <v>46145</v>
      </c>
      <c r="D196" t="inlineStr">
        <is>
          <t>DALARNAS LÄN</t>
        </is>
      </c>
      <c r="E196" t="inlineStr">
        <is>
          <t>ÄLVDALEN</t>
        </is>
      </c>
      <c r="F196" t="inlineStr">
        <is>
          <t>Sveaskog</t>
        </is>
      </c>
      <c r="G196" t="n">
        <v>1.9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18584-2026 artfynd.xlsx", "A 18584-2026")</f>
        <v/>
      </c>
      <c r="T196">
        <f>HYPERLINK("https://klasma.github.io/Logging_2039/kartor/A 18584-2026 karta.png", "A 18584-2026")</f>
        <v/>
      </c>
      <c r="V196">
        <f>HYPERLINK("https://klasma.github.io/Logging_2039/klagomål/A 18584-2026 FSC-klagomål.docx", "A 18584-2026")</f>
        <v/>
      </c>
      <c r="W196">
        <f>HYPERLINK("https://klasma.github.io/Logging_2039/klagomålsmail/A 18584-2026 FSC-klagomål mail.docx", "A 18584-2026")</f>
        <v/>
      </c>
      <c r="X196">
        <f>HYPERLINK("https://klasma.github.io/Logging_2039/tillsyn/A 18584-2026 tillsynsbegäran.docx", "A 18584-2026")</f>
        <v/>
      </c>
      <c r="Y196">
        <f>HYPERLINK("https://klasma.github.io/Logging_2039/tillsynsmail/A 18584-2026 tillsynsbegäran mail.docx", "A 18584-2026")</f>
        <v/>
      </c>
    </row>
    <row r="197" ht="15" customHeight="1">
      <c r="A197" t="inlineStr">
        <is>
          <t>A 6820-2026</t>
        </is>
      </c>
      <c r="B197" s="1" t="n">
        <v>46057.38668981481</v>
      </c>
      <c r="C197" s="1" t="n">
        <v>46145</v>
      </c>
      <c r="D197" t="inlineStr">
        <is>
          <t>DALARNAS LÄN</t>
        </is>
      </c>
      <c r="E197" t="inlineStr">
        <is>
          <t>ÄLVDALEN</t>
        </is>
      </c>
      <c r="G197" t="n">
        <v>0.8</v>
      </c>
      <c r="H197" t="n">
        <v>1</v>
      </c>
      <c r="I197" t="n">
        <v>0</v>
      </c>
      <c r="J197" t="n">
        <v>1</v>
      </c>
      <c r="K197" t="n">
        <v>0</v>
      </c>
      <c r="L197" t="n">
        <v>0</v>
      </c>
      <c r="M197" t="n">
        <v>0</v>
      </c>
      <c r="N197" t="n">
        <v>0</v>
      </c>
      <c r="O197" t="n">
        <v>1</v>
      </c>
      <c r="P197" t="n">
        <v>0</v>
      </c>
      <c r="Q197" t="n">
        <v>1</v>
      </c>
      <c r="R197" s="2" t="inlineStr">
        <is>
          <t>Spillkråka</t>
        </is>
      </c>
      <c r="S197">
        <f>HYPERLINK("https://klasma.github.io/Logging_2039/artfynd/A 6820-2026 artfynd.xlsx", "A 6820-2026")</f>
        <v/>
      </c>
      <c r="T197">
        <f>HYPERLINK("https://klasma.github.io/Logging_2039/kartor/A 6820-2026 karta.png", "A 6820-2026")</f>
        <v/>
      </c>
      <c r="V197">
        <f>HYPERLINK("https://klasma.github.io/Logging_2039/klagomål/A 6820-2026 FSC-klagomål.docx", "A 6820-2026")</f>
        <v/>
      </c>
      <c r="W197">
        <f>HYPERLINK("https://klasma.github.io/Logging_2039/klagomålsmail/A 6820-2026 FSC-klagomål mail.docx", "A 6820-2026")</f>
        <v/>
      </c>
      <c r="X197">
        <f>HYPERLINK("https://klasma.github.io/Logging_2039/tillsyn/A 6820-2026 tillsynsbegäran.docx", "A 6820-2026")</f>
        <v/>
      </c>
      <c r="Y197">
        <f>HYPERLINK("https://klasma.github.io/Logging_2039/tillsynsmail/A 6820-2026 tillsynsbegäran mail.docx", "A 6820-2026")</f>
        <v/>
      </c>
      <c r="Z197">
        <f>HYPERLINK("https://klasma.github.io/Logging_2039/fåglar/A 6820-2026 prioriterade fågelarter.docx", "A 6820-2026")</f>
        <v/>
      </c>
    </row>
    <row r="198" ht="15" customHeight="1">
      <c r="A198" t="inlineStr">
        <is>
          <t>A 662-2025</t>
        </is>
      </c>
      <c r="B198" s="1" t="n">
        <v>45664</v>
      </c>
      <c r="C198" s="1" t="n">
        <v>46145</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30691-2024</t>
        </is>
      </c>
      <c r="B199" s="1" t="n">
        <v>45496.26998842593</v>
      </c>
      <c r="C199" s="1" t="n">
        <v>46145</v>
      </c>
      <c r="D199" t="inlineStr">
        <is>
          <t>DALARNAS LÄN</t>
        </is>
      </c>
      <c r="E199" t="inlineStr">
        <is>
          <t>ÄLVDALEN</t>
        </is>
      </c>
      <c r="G199" t="n">
        <v>2.9</v>
      </c>
      <c r="H199" t="n">
        <v>0</v>
      </c>
      <c r="I199" t="n">
        <v>1</v>
      </c>
      <c r="J199" t="n">
        <v>0</v>
      </c>
      <c r="K199" t="n">
        <v>0</v>
      </c>
      <c r="L199" t="n">
        <v>0</v>
      </c>
      <c r="M199" t="n">
        <v>0</v>
      </c>
      <c r="N199" t="n">
        <v>0</v>
      </c>
      <c r="O199" t="n">
        <v>0</v>
      </c>
      <c r="P199" t="n">
        <v>0</v>
      </c>
      <c r="Q199" t="n">
        <v>1</v>
      </c>
      <c r="R199" s="2" t="inlineStr">
        <is>
          <t>Dropptaggsvamp</t>
        </is>
      </c>
      <c r="S199">
        <f>HYPERLINK("https://klasma.github.io/Logging_2039/artfynd/A 30691-2024 artfynd.xlsx", "A 30691-2024")</f>
        <v/>
      </c>
      <c r="T199">
        <f>HYPERLINK("https://klasma.github.io/Logging_2039/kartor/A 30691-2024 karta.png", "A 30691-2024")</f>
        <v/>
      </c>
      <c r="V199">
        <f>HYPERLINK("https://klasma.github.io/Logging_2039/klagomål/A 30691-2024 FSC-klagomål.docx", "A 30691-2024")</f>
        <v/>
      </c>
      <c r="W199">
        <f>HYPERLINK("https://klasma.github.io/Logging_2039/klagomålsmail/A 30691-2024 FSC-klagomål mail.docx", "A 30691-2024")</f>
        <v/>
      </c>
      <c r="X199">
        <f>HYPERLINK("https://klasma.github.io/Logging_2039/tillsyn/A 30691-2024 tillsynsbegäran.docx", "A 30691-2024")</f>
        <v/>
      </c>
      <c r="Y199">
        <f>HYPERLINK("https://klasma.github.io/Logging_2039/tillsynsmail/A 30691-2024 tillsynsbegäran mail.docx", "A 30691-2024")</f>
        <v/>
      </c>
    </row>
    <row r="200" ht="15" customHeight="1">
      <c r="A200" t="inlineStr">
        <is>
          <t>A 22286-2025</t>
        </is>
      </c>
      <c r="B200" s="1" t="n">
        <v>45786.34402777778</v>
      </c>
      <c r="C200" s="1" t="n">
        <v>46145</v>
      </c>
      <c r="D200" t="inlineStr">
        <is>
          <t>DALARNAS LÄN</t>
        </is>
      </c>
      <c r="E200" t="inlineStr">
        <is>
          <t>ÄLVDALEN</t>
        </is>
      </c>
      <c r="F200" t="inlineStr">
        <is>
          <t>Sveaskog</t>
        </is>
      </c>
      <c r="G200" t="n">
        <v>1.3</v>
      </c>
      <c r="H200" t="n">
        <v>0</v>
      </c>
      <c r="I200" t="n">
        <v>0</v>
      </c>
      <c r="J200" t="n">
        <v>1</v>
      </c>
      <c r="K200" t="n">
        <v>0</v>
      </c>
      <c r="L200" t="n">
        <v>0</v>
      </c>
      <c r="M200" t="n">
        <v>0</v>
      </c>
      <c r="N200" t="n">
        <v>0</v>
      </c>
      <c r="O200" t="n">
        <v>1</v>
      </c>
      <c r="P200" t="n">
        <v>0</v>
      </c>
      <c r="Q200" t="n">
        <v>1</v>
      </c>
      <c r="R200" s="2" t="inlineStr">
        <is>
          <t>Kolflarnlav</t>
        </is>
      </c>
      <c r="S200">
        <f>HYPERLINK("https://klasma.github.io/Logging_2039/artfynd/A 22286-2025 artfynd.xlsx", "A 22286-2025")</f>
        <v/>
      </c>
      <c r="T200">
        <f>HYPERLINK("https://klasma.github.io/Logging_2039/kartor/A 22286-2025 karta.png", "A 22286-2025")</f>
        <v/>
      </c>
      <c r="V200">
        <f>HYPERLINK("https://klasma.github.io/Logging_2039/klagomål/A 22286-2025 FSC-klagomål.docx", "A 22286-2025")</f>
        <v/>
      </c>
      <c r="W200">
        <f>HYPERLINK("https://klasma.github.io/Logging_2039/klagomålsmail/A 22286-2025 FSC-klagomål mail.docx", "A 22286-2025")</f>
        <v/>
      </c>
      <c r="X200">
        <f>HYPERLINK("https://klasma.github.io/Logging_2039/tillsyn/A 22286-2025 tillsynsbegäran.docx", "A 22286-2025")</f>
        <v/>
      </c>
      <c r="Y200">
        <f>HYPERLINK("https://klasma.github.io/Logging_2039/tillsynsmail/A 22286-2025 tillsynsbegäran mail.docx", "A 22286-2025")</f>
        <v/>
      </c>
    </row>
    <row r="201" ht="15" customHeight="1">
      <c r="A201" t="inlineStr">
        <is>
          <t>A 27923-2025</t>
        </is>
      </c>
      <c r="B201" s="1" t="n">
        <v>45817.48814814815</v>
      </c>
      <c r="C201" s="1" t="n">
        <v>46145</v>
      </c>
      <c r="D201" t="inlineStr">
        <is>
          <t>DALARNAS LÄN</t>
        </is>
      </c>
      <c r="E201" t="inlineStr">
        <is>
          <t>ÄLVDALEN</t>
        </is>
      </c>
      <c r="G201" t="n">
        <v>2.9</v>
      </c>
      <c r="H201" t="n">
        <v>1</v>
      </c>
      <c r="I201" t="n">
        <v>0</v>
      </c>
      <c r="J201" t="n">
        <v>0</v>
      </c>
      <c r="K201" t="n">
        <v>0</v>
      </c>
      <c r="L201" t="n">
        <v>0</v>
      </c>
      <c r="M201" t="n">
        <v>0</v>
      </c>
      <c r="N201" t="n">
        <v>0</v>
      </c>
      <c r="O201" t="n">
        <v>0</v>
      </c>
      <c r="P201" t="n">
        <v>0</v>
      </c>
      <c r="Q201" t="n">
        <v>1</v>
      </c>
      <c r="R201" s="2" t="inlineStr">
        <is>
          <t>Lavskrika</t>
        </is>
      </c>
      <c r="S201">
        <f>HYPERLINK("https://klasma.github.io/Logging_2039/artfynd/A 27923-2025 artfynd.xlsx", "A 27923-2025")</f>
        <v/>
      </c>
      <c r="T201">
        <f>HYPERLINK("https://klasma.github.io/Logging_2039/kartor/A 27923-2025 karta.png", "A 27923-2025")</f>
        <v/>
      </c>
      <c r="V201">
        <f>HYPERLINK("https://klasma.github.io/Logging_2039/klagomål/A 27923-2025 FSC-klagomål.docx", "A 27923-2025")</f>
        <v/>
      </c>
      <c r="W201">
        <f>HYPERLINK("https://klasma.github.io/Logging_2039/klagomålsmail/A 27923-2025 FSC-klagomål mail.docx", "A 27923-2025")</f>
        <v/>
      </c>
      <c r="X201">
        <f>HYPERLINK("https://klasma.github.io/Logging_2039/tillsyn/A 27923-2025 tillsynsbegäran.docx", "A 27923-2025")</f>
        <v/>
      </c>
      <c r="Y201">
        <f>HYPERLINK("https://klasma.github.io/Logging_2039/tillsynsmail/A 27923-2025 tillsynsbegäran mail.docx", "A 27923-2025")</f>
        <v/>
      </c>
      <c r="Z201">
        <f>HYPERLINK("https://klasma.github.io/Logging_2039/fåglar/A 27923-2025 prioriterade fågelarter.docx", "A 27923-2025")</f>
        <v/>
      </c>
    </row>
    <row r="202" ht="15" customHeight="1">
      <c r="A202" t="inlineStr">
        <is>
          <t>A 27929-2025</t>
        </is>
      </c>
      <c r="B202" s="1" t="n">
        <v>45817.49222222222</v>
      </c>
      <c r="C202" s="1" t="n">
        <v>46145</v>
      </c>
      <c r="D202" t="inlineStr">
        <is>
          <t>DALARNAS LÄN</t>
        </is>
      </c>
      <c r="E202" t="inlineStr">
        <is>
          <t>ÄLVDALEN</t>
        </is>
      </c>
      <c r="F202" t="inlineStr">
        <is>
          <t>Sveaskog</t>
        </is>
      </c>
      <c r="G202" t="n">
        <v>2.7</v>
      </c>
      <c r="H202" t="n">
        <v>0</v>
      </c>
      <c r="I202" t="n">
        <v>1</v>
      </c>
      <c r="J202" t="n">
        <v>0</v>
      </c>
      <c r="K202" t="n">
        <v>0</v>
      </c>
      <c r="L202" t="n">
        <v>0</v>
      </c>
      <c r="M202" t="n">
        <v>0</v>
      </c>
      <c r="N202" t="n">
        <v>0</v>
      </c>
      <c r="O202" t="n">
        <v>0</v>
      </c>
      <c r="P202" t="n">
        <v>0</v>
      </c>
      <c r="Q202" t="n">
        <v>1</v>
      </c>
      <c r="R202" s="2" t="inlineStr">
        <is>
          <t>Dropptaggsvamp</t>
        </is>
      </c>
      <c r="S202">
        <f>HYPERLINK("https://klasma.github.io/Logging_2039/artfynd/A 27929-2025 artfynd.xlsx", "A 27929-2025")</f>
        <v/>
      </c>
      <c r="T202">
        <f>HYPERLINK("https://klasma.github.io/Logging_2039/kartor/A 27929-2025 karta.png", "A 27929-2025")</f>
        <v/>
      </c>
      <c r="V202">
        <f>HYPERLINK("https://klasma.github.io/Logging_2039/klagomål/A 27929-2025 FSC-klagomål.docx", "A 27929-2025")</f>
        <v/>
      </c>
      <c r="W202">
        <f>HYPERLINK("https://klasma.github.io/Logging_2039/klagomålsmail/A 27929-2025 FSC-klagomål mail.docx", "A 27929-2025")</f>
        <v/>
      </c>
      <c r="X202">
        <f>HYPERLINK("https://klasma.github.io/Logging_2039/tillsyn/A 27929-2025 tillsynsbegäran.docx", "A 27929-2025")</f>
        <v/>
      </c>
      <c r="Y202">
        <f>HYPERLINK("https://klasma.github.io/Logging_2039/tillsynsmail/A 27929-2025 tillsynsbegäran mail.docx", "A 27929-2025")</f>
        <v/>
      </c>
    </row>
    <row r="203" ht="15" customHeight="1">
      <c r="A203" t="inlineStr">
        <is>
          <t>A 50385-2024</t>
        </is>
      </c>
      <c r="B203" s="1" t="n">
        <v>45600</v>
      </c>
      <c r="C203" s="1" t="n">
        <v>46145</v>
      </c>
      <c r="D203" t="inlineStr">
        <is>
          <t>DALARNAS LÄN</t>
        </is>
      </c>
      <c r="E203" t="inlineStr">
        <is>
          <t>ÄLVDALEN</t>
        </is>
      </c>
      <c r="F203" t="inlineStr">
        <is>
          <t>Övriga statliga verk och myndigheter</t>
        </is>
      </c>
      <c r="G203" t="n">
        <v>13.9</v>
      </c>
      <c r="H203" t="n">
        <v>0</v>
      </c>
      <c r="I203" t="n">
        <v>0</v>
      </c>
      <c r="J203" t="n">
        <v>1</v>
      </c>
      <c r="K203" t="n">
        <v>0</v>
      </c>
      <c r="L203" t="n">
        <v>0</v>
      </c>
      <c r="M203" t="n">
        <v>0</v>
      </c>
      <c r="N203" t="n">
        <v>0</v>
      </c>
      <c r="O203" t="n">
        <v>1</v>
      </c>
      <c r="P203" t="n">
        <v>0</v>
      </c>
      <c r="Q203" t="n">
        <v>1</v>
      </c>
      <c r="R203" s="2" t="inlineStr">
        <is>
          <t>Gammelgransskål</t>
        </is>
      </c>
      <c r="S203">
        <f>HYPERLINK("https://klasma.github.io/Logging_2039/artfynd/A 50385-2024 artfynd.xlsx", "A 50385-2024")</f>
        <v/>
      </c>
      <c r="T203">
        <f>HYPERLINK("https://klasma.github.io/Logging_2039/kartor/A 50385-2024 karta.png", "A 50385-2024")</f>
        <v/>
      </c>
      <c r="V203">
        <f>HYPERLINK("https://klasma.github.io/Logging_2039/klagomål/A 50385-2024 FSC-klagomål.docx", "A 50385-2024")</f>
        <v/>
      </c>
      <c r="W203">
        <f>HYPERLINK("https://klasma.github.io/Logging_2039/klagomålsmail/A 50385-2024 FSC-klagomål mail.docx", "A 50385-2024")</f>
        <v/>
      </c>
      <c r="X203">
        <f>HYPERLINK("https://klasma.github.io/Logging_2039/tillsyn/A 50385-2024 tillsynsbegäran.docx", "A 50385-2024")</f>
        <v/>
      </c>
      <c r="Y203">
        <f>HYPERLINK("https://klasma.github.io/Logging_2039/tillsynsmail/A 50385-2024 tillsynsbegäran mail.docx", "A 50385-2024")</f>
        <v/>
      </c>
    </row>
    <row r="204" ht="15" customHeight="1">
      <c r="A204" t="inlineStr">
        <is>
          <t>A 35352-2025</t>
        </is>
      </c>
      <c r="B204" s="1" t="n">
        <v>45853</v>
      </c>
      <c r="C204" s="1" t="n">
        <v>46145</v>
      </c>
      <c r="D204" t="inlineStr">
        <is>
          <t>DALARNAS LÄN</t>
        </is>
      </c>
      <c r="E204" t="inlineStr">
        <is>
          <t>ÄLVDALEN</t>
        </is>
      </c>
      <c r="F204" t="inlineStr">
        <is>
          <t>Sveaskog</t>
        </is>
      </c>
      <c r="G204" t="n">
        <v>0.7</v>
      </c>
      <c r="H204" t="n">
        <v>0</v>
      </c>
      <c r="I204" t="n">
        <v>0</v>
      </c>
      <c r="J204" t="n">
        <v>0</v>
      </c>
      <c r="K204" t="n">
        <v>1</v>
      </c>
      <c r="L204" t="n">
        <v>0</v>
      </c>
      <c r="M204" t="n">
        <v>0</v>
      </c>
      <c r="N204" t="n">
        <v>0</v>
      </c>
      <c r="O204" t="n">
        <v>1</v>
      </c>
      <c r="P204" t="n">
        <v>1</v>
      </c>
      <c r="Q204" t="n">
        <v>1</v>
      </c>
      <c r="R204" s="2" t="inlineStr">
        <is>
          <t>Gräddporing</t>
        </is>
      </c>
      <c r="S204">
        <f>HYPERLINK("https://klasma.github.io/Logging_2039/artfynd/A 35352-2025 artfynd.xlsx", "A 35352-2025")</f>
        <v/>
      </c>
      <c r="T204">
        <f>HYPERLINK("https://klasma.github.io/Logging_2039/kartor/A 35352-2025 karta.png", "A 35352-2025")</f>
        <v/>
      </c>
      <c r="V204">
        <f>HYPERLINK("https://klasma.github.io/Logging_2039/klagomål/A 35352-2025 FSC-klagomål.docx", "A 35352-2025")</f>
        <v/>
      </c>
      <c r="W204">
        <f>HYPERLINK("https://klasma.github.io/Logging_2039/klagomålsmail/A 35352-2025 FSC-klagomål mail.docx", "A 35352-2025")</f>
        <v/>
      </c>
      <c r="X204">
        <f>HYPERLINK("https://klasma.github.io/Logging_2039/tillsyn/A 35352-2025 tillsynsbegäran.docx", "A 35352-2025")</f>
        <v/>
      </c>
      <c r="Y204">
        <f>HYPERLINK("https://klasma.github.io/Logging_2039/tillsynsmail/A 35352-2025 tillsynsbegäran mail.docx", "A 35352-2025")</f>
        <v/>
      </c>
    </row>
    <row r="205" ht="15" customHeight="1">
      <c r="A205" t="inlineStr">
        <is>
          <t>A 15603-2022</t>
        </is>
      </c>
      <c r="B205" s="1" t="n">
        <v>44662.62577546296</v>
      </c>
      <c r="C205" s="1" t="n">
        <v>46145</v>
      </c>
      <c r="D205" t="inlineStr">
        <is>
          <t>DALARNAS LÄN</t>
        </is>
      </c>
      <c r="E205" t="inlineStr">
        <is>
          <t>ÄLVDALEN</t>
        </is>
      </c>
      <c r="G205" t="n">
        <v>2.6</v>
      </c>
      <c r="H205" t="n">
        <v>0</v>
      </c>
      <c r="I205" t="n">
        <v>0</v>
      </c>
      <c r="J205" t="n">
        <v>0</v>
      </c>
      <c r="K205" t="n">
        <v>0</v>
      </c>
      <c r="L205" t="n">
        <v>0</v>
      </c>
      <c r="M205" t="n">
        <v>0</v>
      </c>
      <c r="N205" t="n">
        <v>0</v>
      </c>
      <c r="O205" t="n">
        <v>0</v>
      </c>
      <c r="P205" t="n">
        <v>0</v>
      </c>
      <c r="Q205" t="n">
        <v>0</v>
      </c>
      <c r="R205" s="2" t="inlineStr"/>
    </row>
    <row r="206" ht="15" customHeight="1">
      <c r="A206" t="inlineStr">
        <is>
          <t>A 31167-2021</t>
        </is>
      </c>
      <c r="B206" s="1" t="n">
        <v>44368.58009259259</v>
      </c>
      <c r="C206" s="1" t="n">
        <v>46145</v>
      </c>
      <c r="D206" t="inlineStr">
        <is>
          <t>DALARNAS LÄN</t>
        </is>
      </c>
      <c r="E206" t="inlineStr">
        <is>
          <t>ÄLVDALEN</t>
        </is>
      </c>
      <c r="G206" t="n">
        <v>1.3</v>
      </c>
      <c r="H206" t="n">
        <v>0</v>
      </c>
      <c r="I206" t="n">
        <v>0</v>
      </c>
      <c r="J206" t="n">
        <v>0</v>
      </c>
      <c r="K206" t="n">
        <v>0</v>
      </c>
      <c r="L206" t="n">
        <v>0</v>
      </c>
      <c r="M206" t="n">
        <v>0</v>
      </c>
      <c r="N206" t="n">
        <v>0</v>
      </c>
      <c r="O206" t="n">
        <v>0</v>
      </c>
      <c r="P206" t="n">
        <v>0</v>
      </c>
      <c r="Q206" t="n">
        <v>0</v>
      </c>
      <c r="R206" s="2" t="inlineStr"/>
    </row>
    <row r="207" ht="15" customHeight="1">
      <c r="A207" t="inlineStr">
        <is>
          <t>A 37740-2022</t>
        </is>
      </c>
      <c r="B207" s="1" t="n">
        <v>44810.58001157407</v>
      </c>
      <c r="C207" s="1" t="n">
        <v>46145</v>
      </c>
      <c r="D207" t="inlineStr">
        <is>
          <t>DALARNAS LÄN</t>
        </is>
      </c>
      <c r="E207" t="inlineStr">
        <is>
          <t>ÄLVDALEN</t>
        </is>
      </c>
      <c r="F207" t="inlineStr">
        <is>
          <t>Bergvik skog väst AB</t>
        </is>
      </c>
      <c r="G207" t="n">
        <v>4</v>
      </c>
      <c r="H207" t="n">
        <v>0</v>
      </c>
      <c r="I207" t="n">
        <v>0</v>
      </c>
      <c r="J207" t="n">
        <v>0</v>
      </c>
      <c r="K207" t="n">
        <v>0</v>
      </c>
      <c r="L207" t="n">
        <v>0</v>
      </c>
      <c r="M207" t="n">
        <v>0</v>
      </c>
      <c r="N207" t="n">
        <v>0</v>
      </c>
      <c r="O207" t="n">
        <v>0</v>
      </c>
      <c r="P207" t="n">
        <v>0</v>
      </c>
      <c r="Q207" t="n">
        <v>0</v>
      </c>
      <c r="R207" s="2" t="inlineStr"/>
    </row>
    <row r="208" ht="15" customHeight="1">
      <c r="A208" t="inlineStr">
        <is>
          <t>A 29558-2022</t>
        </is>
      </c>
      <c r="B208" s="1" t="n">
        <v>44754.35296296296</v>
      </c>
      <c r="C208" s="1" t="n">
        <v>46145</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52124-2021</t>
        </is>
      </c>
      <c r="B209" s="1" t="n">
        <v>44463.48194444444</v>
      </c>
      <c r="C209" s="1" t="n">
        <v>46145</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54292-2021</t>
        </is>
      </c>
      <c r="B210" s="1" t="n">
        <v>44471</v>
      </c>
      <c r="C210" s="1" t="n">
        <v>46145</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46145</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40235-2021</t>
        </is>
      </c>
      <c r="B212" s="1" t="n">
        <v>44419.31731481481</v>
      </c>
      <c r="C212" s="1" t="n">
        <v>46145</v>
      </c>
      <c r="D212" t="inlineStr">
        <is>
          <t>DALARNAS LÄN</t>
        </is>
      </c>
      <c r="E212" t="inlineStr">
        <is>
          <t>ÄLVDALEN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45783-2022</t>
        </is>
      </c>
      <c r="B213" s="1" t="n">
        <v>44846</v>
      </c>
      <c r="C213" s="1" t="n">
        <v>46145</v>
      </c>
      <c r="D213" t="inlineStr">
        <is>
          <t>DALARNAS LÄN</t>
        </is>
      </c>
      <c r="E213" t="inlineStr">
        <is>
          <t>ÄLVDALEN</t>
        </is>
      </c>
      <c r="G213" t="n">
        <v>9.1</v>
      </c>
      <c r="H213" t="n">
        <v>0</v>
      </c>
      <c r="I213" t="n">
        <v>0</v>
      </c>
      <c r="J213" t="n">
        <v>0</v>
      </c>
      <c r="K213" t="n">
        <v>0</v>
      </c>
      <c r="L213" t="n">
        <v>0</v>
      </c>
      <c r="M213" t="n">
        <v>0</v>
      </c>
      <c r="N213" t="n">
        <v>0</v>
      </c>
      <c r="O213" t="n">
        <v>0</v>
      </c>
      <c r="P213" t="n">
        <v>0</v>
      </c>
      <c r="Q213" t="n">
        <v>0</v>
      </c>
      <c r="R213" s="2" t="inlineStr"/>
    </row>
    <row r="214" ht="15" customHeight="1">
      <c r="A214" t="inlineStr">
        <is>
          <t>A 14235-2022</t>
        </is>
      </c>
      <c r="B214" s="1" t="n">
        <v>44651</v>
      </c>
      <c r="C214" s="1" t="n">
        <v>46145</v>
      </c>
      <c r="D214" t="inlineStr">
        <is>
          <t>DALARNAS LÄN</t>
        </is>
      </c>
      <c r="E214" t="inlineStr">
        <is>
          <t>ÄLVDALEN</t>
        </is>
      </c>
      <c r="G214" t="n">
        <v>1.1</v>
      </c>
      <c r="H214" t="n">
        <v>0</v>
      </c>
      <c r="I214" t="n">
        <v>0</v>
      </c>
      <c r="J214" t="n">
        <v>0</v>
      </c>
      <c r="K214" t="n">
        <v>0</v>
      </c>
      <c r="L214" t="n">
        <v>0</v>
      </c>
      <c r="M214" t="n">
        <v>0</v>
      </c>
      <c r="N214" t="n">
        <v>0</v>
      </c>
      <c r="O214" t="n">
        <v>0</v>
      </c>
      <c r="P214" t="n">
        <v>0</v>
      </c>
      <c r="Q214" t="n">
        <v>0</v>
      </c>
      <c r="R214" s="2" t="inlineStr"/>
    </row>
    <row r="215" ht="15" customHeight="1">
      <c r="A215" t="inlineStr">
        <is>
          <t>A 26874-2021</t>
        </is>
      </c>
      <c r="B215" s="1" t="n">
        <v>44349</v>
      </c>
      <c r="C215" s="1" t="n">
        <v>46145</v>
      </c>
      <c r="D215" t="inlineStr">
        <is>
          <t>DALARNAS LÄN</t>
        </is>
      </c>
      <c r="E215" t="inlineStr">
        <is>
          <t>ÄLVDALEN</t>
        </is>
      </c>
      <c r="F215" t="inlineStr">
        <is>
          <t>Bergvik skog öst AB</t>
        </is>
      </c>
      <c r="G215" t="n">
        <v>3.2</v>
      </c>
      <c r="H215" t="n">
        <v>0</v>
      </c>
      <c r="I215" t="n">
        <v>0</v>
      </c>
      <c r="J215" t="n">
        <v>0</v>
      </c>
      <c r="K215" t="n">
        <v>0</v>
      </c>
      <c r="L215" t="n">
        <v>0</v>
      </c>
      <c r="M215" t="n">
        <v>0</v>
      </c>
      <c r="N215" t="n">
        <v>0</v>
      </c>
      <c r="O215" t="n">
        <v>0</v>
      </c>
      <c r="P215" t="n">
        <v>0</v>
      </c>
      <c r="Q215" t="n">
        <v>0</v>
      </c>
      <c r="R215" s="2" t="inlineStr"/>
    </row>
    <row r="216" ht="15" customHeight="1">
      <c r="A216" t="inlineStr">
        <is>
          <t>A 24849-2021</t>
        </is>
      </c>
      <c r="B216" s="1" t="n">
        <v>44340.86222222223</v>
      </c>
      <c r="C216" s="1" t="n">
        <v>46145</v>
      </c>
      <c r="D216" t="inlineStr">
        <is>
          <t>DALARNAS LÄN</t>
        </is>
      </c>
      <c r="E216" t="inlineStr">
        <is>
          <t>ÄLVDALEN</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29716-2022</t>
        </is>
      </c>
      <c r="B217" s="1" t="n">
        <v>44755</v>
      </c>
      <c r="C217" s="1" t="n">
        <v>46145</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40919-2021</t>
        </is>
      </c>
      <c r="B218" s="1" t="n">
        <v>44421</v>
      </c>
      <c r="C218" s="1" t="n">
        <v>46145</v>
      </c>
      <c r="D218" t="inlineStr">
        <is>
          <t>DALARNAS LÄN</t>
        </is>
      </c>
      <c r="E218" t="inlineStr">
        <is>
          <t>ÄLVDALEN</t>
        </is>
      </c>
      <c r="F218" t="inlineStr">
        <is>
          <t>Kyrkan</t>
        </is>
      </c>
      <c r="G218" t="n">
        <v>3.4</v>
      </c>
      <c r="H218" t="n">
        <v>0</v>
      </c>
      <c r="I218" t="n">
        <v>0</v>
      </c>
      <c r="J218" t="n">
        <v>0</v>
      </c>
      <c r="K218" t="n">
        <v>0</v>
      </c>
      <c r="L218" t="n">
        <v>0</v>
      </c>
      <c r="M218" t="n">
        <v>0</v>
      </c>
      <c r="N218" t="n">
        <v>0</v>
      </c>
      <c r="O218" t="n">
        <v>0</v>
      </c>
      <c r="P218" t="n">
        <v>0</v>
      </c>
      <c r="Q218" t="n">
        <v>0</v>
      </c>
      <c r="R218" s="2" t="inlineStr"/>
    </row>
    <row r="219" ht="15" customHeight="1">
      <c r="A219" t="inlineStr">
        <is>
          <t>A 66634-2021</t>
        </is>
      </c>
      <c r="B219" s="1" t="n">
        <v>44519</v>
      </c>
      <c r="C219" s="1" t="n">
        <v>46145</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38957-2021</t>
        </is>
      </c>
      <c r="B220" s="1" t="n">
        <v>44411</v>
      </c>
      <c r="C220" s="1" t="n">
        <v>46145</v>
      </c>
      <c r="D220" t="inlineStr">
        <is>
          <t>DALARNAS LÄN</t>
        </is>
      </c>
      <c r="E220" t="inlineStr">
        <is>
          <t>ÄLVDALEN</t>
        </is>
      </c>
      <c r="G220" t="n">
        <v>4.6</v>
      </c>
      <c r="H220" t="n">
        <v>0</v>
      </c>
      <c r="I220" t="n">
        <v>0</v>
      </c>
      <c r="J220" t="n">
        <v>0</v>
      </c>
      <c r="K220" t="n">
        <v>0</v>
      </c>
      <c r="L220" t="n">
        <v>0</v>
      </c>
      <c r="M220" t="n">
        <v>0</v>
      </c>
      <c r="N220" t="n">
        <v>0</v>
      </c>
      <c r="O220" t="n">
        <v>0</v>
      </c>
      <c r="P220" t="n">
        <v>0</v>
      </c>
      <c r="Q220" t="n">
        <v>0</v>
      </c>
      <c r="R220" s="2" t="inlineStr"/>
    </row>
    <row r="221" ht="15" customHeight="1">
      <c r="A221" t="inlineStr">
        <is>
          <t>A 56045-2021</t>
        </is>
      </c>
      <c r="B221" s="1" t="n">
        <v>44477</v>
      </c>
      <c r="C221" s="1" t="n">
        <v>46145</v>
      </c>
      <c r="D221" t="inlineStr">
        <is>
          <t>DALARNAS LÄN</t>
        </is>
      </c>
      <c r="E221" t="inlineStr">
        <is>
          <t>ÄLVDALEN</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29565-2022</t>
        </is>
      </c>
      <c r="B222" s="1" t="n">
        <v>44754.36063657407</v>
      </c>
      <c r="C222" s="1" t="n">
        <v>46145</v>
      </c>
      <c r="D222" t="inlineStr">
        <is>
          <t>DALARNAS LÄN</t>
        </is>
      </c>
      <c r="E222" t="inlineStr">
        <is>
          <t>ÄLVDALEN</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73691-2021</t>
        </is>
      </c>
      <c r="B223" s="1" t="n">
        <v>44552</v>
      </c>
      <c r="C223" s="1" t="n">
        <v>46145</v>
      </c>
      <c r="D223" t="inlineStr">
        <is>
          <t>DALARNAS LÄN</t>
        </is>
      </c>
      <c r="E223" t="inlineStr">
        <is>
          <t>ÄLVDALEN</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22760-2021</t>
        </is>
      </c>
      <c r="B224" s="1" t="n">
        <v>44327.86443287037</v>
      </c>
      <c r="C224" s="1" t="n">
        <v>46145</v>
      </c>
      <c r="D224" t="inlineStr">
        <is>
          <t>DALARNAS LÄN</t>
        </is>
      </c>
      <c r="E224" t="inlineStr">
        <is>
          <t>ÄLVDALEN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22761-2021</t>
        </is>
      </c>
      <c r="B225" s="1" t="n">
        <v>44327.86510416667</v>
      </c>
      <c r="C225" s="1" t="n">
        <v>46145</v>
      </c>
      <c r="D225" t="inlineStr">
        <is>
          <t>DALARNAS LÄN</t>
        </is>
      </c>
      <c r="E225" t="inlineStr">
        <is>
          <t>ÄLVDALEN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46145</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46145</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46145</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22651-2021</t>
        </is>
      </c>
      <c r="B229" s="1" t="n">
        <v>44327</v>
      </c>
      <c r="C229" s="1" t="n">
        <v>46145</v>
      </c>
      <c r="D229" t="inlineStr">
        <is>
          <t>DALARNAS LÄN</t>
        </is>
      </c>
      <c r="E229" t="inlineStr">
        <is>
          <t>ÄLVDALEN</t>
        </is>
      </c>
      <c r="G229" t="n">
        <v>5.9</v>
      </c>
      <c r="H229" t="n">
        <v>0</v>
      </c>
      <c r="I229" t="n">
        <v>0</v>
      </c>
      <c r="J229" t="n">
        <v>0</v>
      </c>
      <c r="K229" t="n">
        <v>0</v>
      </c>
      <c r="L229" t="n">
        <v>0</v>
      </c>
      <c r="M229" t="n">
        <v>0</v>
      </c>
      <c r="N229" t="n">
        <v>0</v>
      </c>
      <c r="O229" t="n">
        <v>0</v>
      </c>
      <c r="P229" t="n">
        <v>0</v>
      </c>
      <c r="Q229" t="n">
        <v>0</v>
      </c>
      <c r="R229" s="2" t="inlineStr"/>
    </row>
    <row r="230" ht="15" customHeight="1">
      <c r="A230" t="inlineStr">
        <is>
          <t>A 41020-2021</t>
        </is>
      </c>
      <c r="B230" s="1" t="n">
        <v>44421</v>
      </c>
      <c r="C230" s="1" t="n">
        <v>46145</v>
      </c>
      <c r="D230" t="inlineStr">
        <is>
          <t>DALARNAS LÄN</t>
        </is>
      </c>
      <c r="E230" t="inlineStr">
        <is>
          <t>ÄLVDALEN</t>
        </is>
      </c>
      <c r="G230" t="n">
        <v>5.5</v>
      </c>
      <c r="H230" t="n">
        <v>0</v>
      </c>
      <c r="I230" t="n">
        <v>0</v>
      </c>
      <c r="J230" t="n">
        <v>0</v>
      </c>
      <c r="K230" t="n">
        <v>0</v>
      </c>
      <c r="L230" t="n">
        <v>0</v>
      </c>
      <c r="M230" t="n">
        <v>0</v>
      </c>
      <c r="N230" t="n">
        <v>0</v>
      </c>
      <c r="O230" t="n">
        <v>0</v>
      </c>
      <c r="P230" t="n">
        <v>0</v>
      </c>
      <c r="Q230" t="n">
        <v>0</v>
      </c>
      <c r="R230" s="2" t="inlineStr"/>
    </row>
    <row r="231" ht="15" customHeight="1">
      <c r="A231" t="inlineStr">
        <is>
          <t>A 52064-2022</t>
        </is>
      </c>
      <c r="B231" s="1" t="n">
        <v>44873.34854166667</v>
      </c>
      <c r="C231" s="1" t="n">
        <v>46145</v>
      </c>
      <c r="D231" t="inlineStr">
        <is>
          <t>DALARNAS LÄN</t>
        </is>
      </c>
      <c r="E231" t="inlineStr">
        <is>
          <t>ÄLVDALEN</t>
        </is>
      </c>
      <c r="G231" t="n">
        <v>0.3</v>
      </c>
      <c r="H231" t="n">
        <v>0</v>
      </c>
      <c r="I231" t="n">
        <v>0</v>
      </c>
      <c r="J231" t="n">
        <v>0</v>
      </c>
      <c r="K231" t="n">
        <v>0</v>
      </c>
      <c r="L231" t="n">
        <v>0</v>
      </c>
      <c r="M231" t="n">
        <v>0</v>
      </c>
      <c r="N231" t="n">
        <v>0</v>
      </c>
      <c r="O231" t="n">
        <v>0</v>
      </c>
      <c r="P231" t="n">
        <v>0</v>
      </c>
      <c r="Q231" t="n">
        <v>0</v>
      </c>
      <c r="R231" s="2" t="inlineStr"/>
    </row>
    <row r="232" ht="15" customHeight="1">
      <c r="A232" t="inlineStr">
        <is>
          <t>A 39311-2022</t>
        </is>
      </c>
      <c r="B232" s="1" t="n">
        <v>44817.69123842593</v>
      </c>
      <c r="C232" s="1" t="n">
        <v>46145</v>
      </c>
      <c r="D232" t="inlineStr">
        <is>
          <t>DALARNAS LÄN</t>
        </is>
      </c>
      <c r="E232" t="inlineStr">
        <is>
          <t>ÄLVDALEN</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45228-2022</t>
        </is>
      </c>
      <c r="B233" s="1" t="n">
        <v>44844.47071759259</v>
      </c>
      <c r="C233" s="1" t="n">
        <v>46145</v>
      </c>
      <c r="D233" t="inlineStr">
        <is>
          <t>DALARNAS LÄN</t>
        </is>
      </c>
      <c r="E233" t="inlineStr">
        <is>
          <t>ÄLVDALEN</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46145</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45785-2022</t>
        </is>
      </c>
      <c r="B235" s="1" t="n">
        <v>44846</v>
      </c>
      <c r="C235" s="1" t="n">
        <v>46145</v>
      </c>
      <c r="D235" t="inlineStr">
        <is>
          <t>DALARNAS LÄN</t>
        </is>
      </c>
      <c r="E235" t="inlineStr">
        <is>
          <t>ÄLVDALEN</t>
        </is>
      </c>
      <c r="G235" t="n">
        <v>0.5</v>
      </c>
      <c r="H235" t="n">
        <v>0</v>
      </c>
      <c r="I235" t="n">
        <v>0</v>
      </c>
      <c r="J235" t="n">
        <v>0</v>
      </c>
      <c r="K235" t="n">
        <v>0</v>
      </c>
      <c r="L235" t="n">
        <v>0</v>
      </c>
      <c r="M235" t="n">
        <v>0</v>
      </c>
      <c r="N235" t="n">
        <v>0</v>
      </c>
      <c r="O235" t="n">
        <v>0</v>
      </c>
      <c r="P235" t="n">
        <v>0</v>
      </c>
      <c r="Q235" t="n">
        <v>0</v>
      </c>
      <c r="R235" s="2" t="inlineStr"/>
    </row>
    <row r="236" ht="15" customHeight="1">
      <c r="A236" t="inlineStr">
        <is>
          <t>A 50349-2021</t>
        </is>
      </c>
      <c r="B236" s="1" t="n">
        <v>44459</v>
      </c>
      <c r="C236" s="1" t="n">
        <v>46145</v>
      </c>
      <c r="D236" t="inlineStr">
        <is>
          <t>DALARNAS LÄN</t>
        </is>
      </c>
      <c r="E236" t="inlineStr">
        <is>
          <t>ÄLVDALEN</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52877-2021</t>
        </is>
      </c>
      <c r="B237" s="1" t="n">
        <v>44467.47215277778</v>
      </c>
      <c r="C237" s="1" t="n">
        <v>46145</v>
      </c>
      <c r="D237" t="inlineStr">
        <is>
          <t>DALARNAS LÄN</t>
        </is>
      </c>
      <c r="E237" t="inlineStr">
        <is>
          <t>ÄLVDALEN</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70990-2021</t>
        </is>
      </c>
      <c r="B238" s="1" t="n">
        <v>44538</v>
      </c>
      <c r="C238" s="1" t="n">
        <v>46145</v>
      </c>
      <c r="D238" t="inlineStr">
        <is>
          <t>DALARNAS LÄN</t>
        </is>
      </c>
      <c r="E238" t="inlineStr">
        <is>
          <t>ÄLVDALEN</t>
        </is>
      </c>
      <c r="F238" t="inlineStr">
        <is>
          <t>Kyrkan</t>
        </is>
      </c>
      <c r="G238" t="n">
        <v>3.5</v>
      </c>
      <c r="H238" t="n">
        <v>0</v>
      </c>
      <c r="I238" t="n">
        <v>0</v>
      </c>
      <c r="J238" t="n">
        <v>0</v>
      </c>
      <c r="K238" t="n">
        <v>0</v>
      </c>
      <c r="L238" t="n">
        <v>0</v>
      </c>
      <c r="M238" t="n">
        <v>0</v>
      </c>
      <c r="N238" t="n">
        <v>0</v>
      </c>
      <c r="O238" t="n">
        <v>0</v>
      </c>
      <c r="P238" t="n">
        <v>0</v>
      </c>
      <c r="Q238" t="n">
        <v>0</v>
      </c>
      <c r="R238" s="2" t="inlineStr"/>
    </row>
    <row r="239" ht="15" customHeight="1">
      <c r="A239" t="inlineStr">
        <is>
          <t>A 30972-2021</t>
        </is>
      </c>
      <c r="B239" s="1" t="n">
        <v>44365</v>
      </c>
      <c r="C239" s="1" t="n">
        <v>46145</v>
      </c>
      <c r="D239" t="inlineStr">
        <is>
          <t>DALARNAS LÄN</t>
        </is>
      </c>
      <c r="E239" t="inlineStr">
        <is>
          <t>ÄLVDALEN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46145</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26726-2021</t>
        </is>
      </c>
      <c r="B241" s="1" t="n">
        <v>44349.38230324074</v>
      </c>
      <c r="C241" s="1" t="n">
        <v>46145</v>
      </c>
      <c r="D241" t="inlineStr">
        <is>
          <t>DALARNAS LÄN</t>
        </is>
      </c>
      <c r="E241" t="inlineStr">
        <is>
          <t>ÄLVDALEN</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50209-2022</t>
        </is>
      </c>
      <c r="B242" s="1" t="n">
        <v>44865</v>
      </c>
      <c r="C242" s="1" t="n">
        <v>46145</v>
      </c>
      <c r="D242" t="inlineStr">
        <is>
          <t>DALARNAS LÄN</t>
        </is>
      </c>
      <c r="E242" t="inlineStr">
        <is>
          <t>ÄLVDALEN</t>
        </is>
      </c>
      <c r="F242" t="inlineStr">
        <is>
          <t>Sveaskog</t>
        </is>
      </c>
      <c r="G242" t="n">
        <v>3.7</v>
      </c>
      <c r="H242" t="n">
        <v>0</v>
      </c>
      <c r="I242" t="n">
        <v>0</v>
      </c>
      <c r="J242" t="n">
        <v>0</v>
      </c>
      <c r="K242" t="n">
        <v>0</v>
      </c>
      <c r="L242" t="n">
        <v>0</v>
      </c>
      <c r="M242" t="n">
        <v>0</v>
      </c>
      <c r="N242" t="n">
        <v>0</v>
      </c>
      <c r="O242" t="n">
        <v>0</v>
      </c>
      <c r="P242" t="n">
        <v>0</v>
      </c>
      <c r="Q242" t="n">
        <v>0</v>
      </c>
      <c r="R242" s="2" t="inlineStr"/>
    </row>
    <row r="243" ht="15" customHeight="1">
      <c r="A243" t="inlineStr">
        <is>
          <t>A 43972-2021</t>
        </is>
      </c>
      <c r="B243" s="1" t="n">
        <v>44434.45565972223</v>
      </c>
      <c r="C243" s="1" t="n">
        <v>46145</v>
      </c>
      <c r="D243" t="inlineStr">
        <is>
          <t>DALARNAS LÄN</t>
        </is>
      </c>
      <c r="E243" t="inlineStr">
        <is>
          <t>ÄLVDALEN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36824-2021</t>
        </is>
      </c>
      <c r="B244" s="1" t="n">
        <v>44393</v>
      </c>
      <c r="C244" s="1" t="n">
        <v>46145</v>
      </c>
      <c r="D244" t="inlineStr">
        <is>
          <t>DALARNAS LÄN</t>
        </is>
      </c>
      <c r="E244" t="inlineStr">
        <is>
          <t>ÄLVDALEN</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51844-2021</t>
        </is>
      </c>
      <c r="B245" s="1" t="n">
        <v>44462.68480324074</v>
      </c>
      <c r="C245" s="1" t="n">
        <v>46145</v>
      </c>
      <c r="D245" t="inlineStr">
        <is>
          <t>DALARNAS LÄN</t>
        </is>
      </c>
      <c r="E245" t="inlineStr">
        <is>
          <t>ÄLVDALEN</t>
        </is>
      </c>
      <c r="F245" t="inlineStr">
        <is>
          <t>Bergvik skog väst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48558-2021</t>
        </is>
      </c>
      <c r="B246" s="1" t="n">
        <v>44452</v>
      </c>
      <c r="C246" s="1" t="n">
        <v>46145</v>
      </c>
      <c r="D246" t="inlineStr">
        <is>
          <t>DALARNAS LÄN</t>
        </is>
      </c>
      <c r="E246" t="inlineStr">
        <is>
          <t>ÄLVDALEN</t>
        </is>
      </c>
      <c r="F246" t="inlineStr">
        <is>
          <t>Sveaskog</t>
        </is>
      </c>
      <c r="G246" t="n">
        <v>0.1</v>
      </c>
      <c r="H246" t="n">
        <v>0</v>
      </c>
      <c r="I246" t="n">
        <v>0</v>
      </c>
      <c r="J246" t="n">
        <v>0</v>
      </c>
      <c r="K246" t="n">
        <v>0</v>
      </c>
      <c r="L246" t="n">
        <v>0</v>
      </c>
      <c r="M246" t="n">
        <v>0</v>
      </c>
      <c r="N246" t="n">
        <v>0</v>
      </c>
      <c r="O246" t="n">
        <v>0</v>
      </c>
      <c r="P246" t="n">
        <v>0</v>
      </c>
      <c r="Q246" t="n">
        <v>0</v>
      </c>
      <c r="R246" s="2" t="inlineStr"/>
    </row>
    <row r="247" ht="15" customHeight="1">
      <c r="A247" t="inlineStr">
        <is>
          <t>A 50708-2021</t>
        </is>
      </c>
      <c r="B247" s="1" t="n">
        <v>44459</v>
      </c>
      <c r="C247" s="1" t="n">
        <v>46145</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19933-2022</t>
        </is>
      </c>
      <c r="B248" s="1" t="n">
        <v>44697</v>
      </c>
      <c r="C248" s="1" t="n">
        <v>46145</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19939-2022</t>
        </is>
      </c>
      <c r="B249" s="1" t="n">
        <v>44697</v>
      </c>
      <c r="C249" s="1" t="n">
        <v>46145</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33690-2021</t>
        </is>
      </c>
      <c r="B250" s="1" t="n">
        <v>44378</v>
      </c>
      <c r="C250" s="1" t="n">
        <v>46145</v>
      </c>
      <c r="D250" t="inlineStr">
        <is>
          <t>DALARNAS LÄN</t>
        </is>
      </c>
      <c r="E250" t="inlineStr">
        <is>
          <t>ÄLVDALEN</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56047-2021</t>
        </is>
      </c>
      <c r="B251" s="1" t="n">
        <v>44477.48498842592</v>
      </c>
      <c r="C251" s="1" t="n">
        <v>46145</v>
      </c>
      <c r="D251" t="inlineStr">
        <is>
          <t>DALARNAS LÄN</t>
        </is>
      </c>
      <c r="E251" t="inlineStr">
        <is>
          <t>ÄLVDALEN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46917-2021</t>
        </is>
      </c>
      <c r="B252" s="1" t="n">
        <v>44446</v>
      </c>
      <c r="C252" s="1" t="n">
        <v>46145</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30249-2021</t>
        </is>
      </c>
      <c r="B253" s="1" t="n">
        <v>44363</v>
      </c>
      <c r="C253" s="1" t="n">
        <v>46145</v>
      </c>
      <c r="D253" t="inlineStr">
        <is>
          <t>DALARNAS LÄN</t>
        </is>
      </c>
      <c r="E253" t="inlineStr">
        <is>
          <t>ÄLVDALEN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51161-2021</t>
        </is>
      </c>
      <c r="B254" s="1" t="n">
        <v>44461.46195601852</v>
      </c>
      <c r="C254" s="1" t="n">
        <v>46145</v>
      </c>
      <c r="D254" t="inlineStr">
        <is>
          <t>DALARNAS LÄN</t>
        </is>
      </c>
      <c r="E254" t="inlineStr">
        <is>
          <t>ÄLVDALEN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51504-2022</t>
        </is>
      </c>
      <c r="B255" s="1" t="n">
        <v>44869</v>
      </c>
      <c r="C255" s="1" t="n">
        <v>46145</v>
      </c>
      <c r="D255" t="inlineStr">
        <is>
          <t>DALARNAS LÄN</t>
        </is>
      </c>
      <c r="E255" t="inlineStr">
        <is>
          <t>ÄLVDALEN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36825-2021</t>
        </is>
      </c>
      <c r="B256" s="1" t="n">
        <v>44393</v>
      </c>
      <c r="C256" s="1" t="n">
        <v>46145</v>
      </c>
      <c r="D256" t="inlineStr">
        <is>
          <t>DALARNAS LÄN</t>
        </is>
      </c>
      <c r="E256" t="inlineStr">
        <is>
          <t>ÄLVDALEN</t>
        </is>
      </c>
      <c r="F256" t="inlineStr">
        <is>
          <t>Sveaskog</t>
        </is>
      </c>
      <c r="G256" t="n">
        <v>12.2</v>
      </c>
      <c r="H256" t="n">
        <v>0</v>
      </c>
      <c r="I256" t="n">
        <v>0</v>
      </c>
      <c r="J256" t="n">
        <v>0</v>
      </c>
      <c r="K256" t="n">
        <v>0</v>
      </c>
      <c r="L256" t="n">
        <v>0</v>
      </c>
      <c r="M256" t="n">
        <v>0</v>
      </c>
      <c r="N256" t="n">
        <v>0</v>
      </c>
      <c r="O256" t="n">
        <v>0</v>
      </c>
      <c r="P256" t="n">
        <v>0</v>
      </c>
      <c r="Q256" t="n">
        <v>0</v>
      </c>
      <c r="R256" s="2" t="inlineStr"/>
    </row>
    <row r="257" ht="15" customHeight="1">
      <c r="A257" t="inlineStr">
        <is>
          <t>A 59658-2021</t>
        </is>
      </c>
      <c r="B257" s="1" t="n">
        <v>44494.3159375</v>
      </c>
      <c r="C257" s="1" t="n">
        <v>46145</v>
      </c>
      <c r="D257" t="inlineStr">
        <is>
          <t>DALARNAS LÄN</t>
        </is>
      </c>
      <c r="E257" t="inlineStr">
        <is>
          <t>ÄLVDALEN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61563-2021</t>
        </is>
      </c>
      <c r="B258" s="1" t="n">
        <v>44501</v>
      </c>
      <c r="C258" s="1" t="n">
        <v>46145</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21279-2022</t>
        </is>
      </c>
      <c r="B259" s="1" t="n">
        <v>44705</v>
      </c>
      <c r="C259" s="1" t="n">
        <v>46145</v>
      </c>
      <c r="D259" t="inlineStr">
        <is>
          <t>DALARNAS LÄN</t>
        </is>
      </c>
      <c r="E259" t="inlineStr">
        <is>
          <t>ÄLVDALEN</t>
        </is>
      </c>
      <c r="G259" t="n">
        <v>4.6</v>
      </c>
      <c r="H259" t="n">
        <v>0</v>
      </c>
      <c r="I259" t="n">
        <v>0</v>
      </c>
      <c r="J259" t="n">
        <v>0</v>
      </c>
      <c r="K259" t="n">
        <v>0</v>
      </c>
      <c r="L259" t="n">
        <v>0</v>
      </c>
      <c r="M259" t="n">
        <v>0</v>
      </c>
      <c r="N259" t="n">
        <v>0</v>
      </c>
      <c r="O259" t="n">
        <v>0</v>
      </c>
      <c r="P259" t="n">
        <v>0</v>
      </c>
      <c r="Q259" t="n">
        <v>0</v>
      </c>
      <c r="R259" s="2" t="inlineStr"/>
    </row>
    <row r="260" ht="15" customHeight="1">
      <c r="A260" t="inlineStr">
        <is>
          <t>A 40234-2021</t>
        </is>
      </c>
      <c r="B260" s="1" t="n">
        <v>44419</v>
      </c>
      <c r="C260" s="1" t="n">
        <v>46145</v>
      </c>
      <c r="D260" t="inlineStr">
        <is>
          <t>DALARNAS LÄN</t>
        </is>
      </c>
      <c r="E260" t="inlineStr">
        <is>
          <t>ÄLVDALEN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46145</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57783-2021</t>
        </is>
      </c>
      <c r="B262" s="1" t="n">
        <v>44484</v>
      </c>
      <c r="C262" s="1" t="n">
        <v>46145</v>
      </c>
      <c r="D262" t="inlineStr">
        <is>
          <t>DALARNAS LÄN</t>
        </is>
      </c>
      <c r="E262" t="inlineStr">
        <is>
          <t>ÄLVDALEN</t>
        </is>
      </c>
      <c r="G262" t="n">
        <v>6.9</v>
      </c>
      <c r="H262" t="n">
        <v>0</v>
      </c>
      <c r="I262" t="n">
        <v>0</v>
      </c>
      <c r="J262" t="n">
        <v>0</v>
      </c>
      <c r="K262" t="n">
        <v>0</v>
      </c>
      <c r="L262" t="n">
        <v>0</v>
      </c>
      <c r="M262" t="n">
        <v>0</v>
      </c>
      <c r="N262" t="n">
        <v>0</v>
      </c>
      <c r="O262" t="n">
        <v>0</v>
      </c>
      <c r="P262" t="n">
        <v>0</v>
      </c>
      <c r="Q262" t="n">
        <v>0</v>
      </c>
      <c r="R262" s="2" t="inlineStr"/>
    </row>
    <row r="263" ht="15" customHeight="1">
      <c r="A263" t="inlineStr">
        <is>
          <t>A 55990-2021</t>
        </is>
      </c>
      <c r="B263" s="1" t="n">
        <v>44477.40155092593</v>
      </c>
      <c r="C263" s="1" t="n">
        <v>46145</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25602-2022</t>
        </is>
      </c>
      <c r="B264" s="1" t="n">
        <v>44732.6975</v>
      </c>
      <c r="C264" s="1" t="n">
        <v>46145</v>
      </c>
      <c r="D264" t="inlineStr">
        <is>
          <t>DALARNAS LÄN</t>
        </is>
      </c>
      <c r="E264" t="inlineStr">
        <is>
          <t>ÄLVDALEN</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46145</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46145</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46145</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46145</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46145</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46145</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46145</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46145</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46145</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46145</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46145</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46145</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46145</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46145</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46145</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46145</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46145</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46145</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46145</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27480-2022</t>
        </is>
      </c>
      <c r="B284" s="1" t="n">
        <v>44742.60590277778</v>
      </c>
      <c r="C284" s="1" t="n">
        <v>46145</v>
      </c>
      <c r="D284" t="inlineStr">
        <is>
          <t>DALARNAS LÄN</t>
        </is>
      </c>
      <c r="E284" t="inlineStr">
        <is>
          <t>ÄLVDALEN</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46145</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46145</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46145</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2381-2024</t>
        </is>
      </c>
      <c r="B288" s="1" t="n">
        <v>45310.64228009259</v>
      </c>
      <c r="C288" s="1" t="n">
        <v>46145</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46145</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26080-2021</t>
        </is>
      </c>
      <c r="B290" s="1" t="n">
        <v>44344</v>
      </c>
      <c r="C290" s="1" t="n">
        <v>46145</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53408-2023</t>
        </is>
      </c>
      <c r="B291" s="1" t="n">
        <v>45229</v>
      </c>
      <c r="C291" s="1" t="n">
        <v>46145</v>
      </c>
      <c r="D291" t="inlineStr">
        <is>
          <t>DALARNAS LÄN</t>
        </is>
      </c>
      <c r="E291" t="inlineStr">
        <is>
          <t>ÄLVDALEN</t>
        </is>
      </c>
      <c r="G291" t="n">
        <v>2</v>
      </c>
      <c r="H291" t="n">
        <v>0</v>
      </c>
      <c r="I291" t="n">
        <v>0</v>
      </c>
      <c r="J291" t="n">
        <v>0</v>
      </c>
      <c r="K291" t="n">
        <v>0</v>
      </c>
      <c r="L291" t="n">
        <v>0</v>
      </c>
      <c r="M291" t="n">
        <v>0</v>
      </c>
      <c r="N291" t="n">
        <v>0</v>
      </c>
      <c r="O291" t="n">
        <v>0</v>
      </c>
      <c r="P291" t="n">
        <v>0</v>
      </c>
      <c r="Q291" t="n">
        <v>0</v>
      </c>
      <c r="R291" s="2" t="inlineStr"/>
    </row>
    <row r="292" ht="15" customHeight="1">
      <c r="A292" t="inlineStr">
        <is>
          <t>A 21832-2021</t>
        </is>
      </c>
      <c r="B292" s="1" t="n">
        <v>44322.6378125</v>
      </c>
      <c r="C292" s="1" t="n">
        <v>46145</v>
      </c>
      <c r="D292" t="inlineStr">
        <is>
          <t>DALARNAS LÄN</t>
        </is>
      </c>
      <c r="E292" t="inlineStr">
        <is>
          <t>ÄLVDALEN</t>
        </is>
      </c>
      <c r="F292" t="inlineStr">
        <is>
          <t>Allmännings- och besparingsskogar</t>
        </is>
      </c>
      <c r="G292" t="n">
        <v>2.5</v>
      </c>
      <c r="H292" t="n">
        <v>0</v>
      </c>
      <c r="I292" t="n">
        <v>0</v>
      </c>
      <c r="J292" t="n">
        <v>0</v>
      </c>
      <c r="K292" t="n">
        <v>0</v>
      </c>
      <c r="L292" t="n">
        <v>0</v>
      </c>
      <c r="M292" t="n">
        <v>0</v>
      </c>
      <c r="N292" t="n">
        <v>0</v>
      </c>
      <c r="O292" t="n">
        <v>0</v>
      </c>
      <c r="P292" t="n">
        <v>0</v>
      </c>
      <c r="Q292" t="n">
        <v>0</v>
      </c>
      <c r="R292" s="2" t="inlineStr"/>
    </row>
    <row r="293" ht="15" customHeight="1">
      <c r="A293" t="inlineStr">
        <is>
          <t>A 18075-2024</t>
        </is>
      </c>
      <c r="B293" s="1" t="n">
        <v>45420.43453703704</v>
      </c>
      <c r="C293" s="1" t="n">
        <v>46145</v>
      </c>
      <c r="D293" t="inlineStr">
        <is>
          <t>DALARNAS LÄN</t>
        </is>
      </c>
      <c r="E293" t="inlineStr">
        <is>
          <t>ÄLVDALEN</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28473-2024</t>
        </is>
      </c>
      <c r="B294" s="1" t="n">
        <v>45477.73017361111</v>
      </c>
      <c r="C294" s="1" t="n">
        <v>46145</v>
      </c>
      <c r="D294" t="inlineStr">
        <is>
          <t>DALARNAS LÄN</t>
        </is>
      </c>
      <c r="E294" t="inlineStr">
        <is>
          <t>ÄLVDALEN</t>
        </is>
      </c>
      <c r="G294" t="n">
        <v>5</v>
      </c>
      <c r="H294" t="n">
        <v>0</v>
      </c>
      <c r="I294" t="n">
        <v>0</v>
      </c>
      <c r="J294" t="n">
        <v>0</v>
      </c>
      <c r="K294" t="n">
        <v>0</v>
      </c>
      <c r="L294" t="n">
        <v>0</v>
      </c>
      <c r="M294" t="n">
        <v>0</v>
      </c>
      <c r="N294" t="n">
        <v>0</v>
      </c>
      <c r="O294" t="n">
        <v>0</v>
      </c>
      <c r="P294" t="n">
        <v>0</v>
      </c>
      <c r="Q294" t="n">
        <v>0</v>
      </c>
      <c r="R294" s="2" t="inlineStr"/>
    </row>
    <row r="295" ht="15" customHeight="1">
      <c r="A295" t="inlineStr">
        <is>
          <t>A 28479-2024</t>
        </is>
      </c>
      <c r="B295" s="1" t="n">
        <v>45477.74017361111</v>
      </c>
      <c r="C295" s="1" t="n">
        <v>46145</v>
      </c>
      <c r="D295" t="inlineStr">
        <is>
          <t>DALARNAS LÄN</t>
        </is>
      </c>
      <c r="E295" t="inlineStr">
        <is>
          <t>ÄLVDALEN</t>
        </is>
      </c>
      <c r="G295" t="n">
        <v>4.1</v>
      </c>
      <c r="H295" t="n">
        <v>0</v>
      </c>
      <c r="I295" t="n">
        <v>0</v>
      </c>
      <c r="J295" t="n">
        <v>0</v>
      </c>
      <c r="K295" t="n">
        <v>0</v>
      </c>
      <c r="L295" t="n">
        <v>0</v>
      </c>
      <c r="M295" t="n">
        <v>0</v>
      </c>
      <c r="N295" t="n">
        <v>0</v>
      </c>
      <c r="O295" t="n">
        <v>0</v>
      </c>
      <c r="P295" t="n">
        <v>0</v>
      </c>
      <c r="Q295" t="n">
        <v>0</v>
      </c>
      <c r="R295" s="2" t="inlineStr"/>
    </row>
    <row r="296" ht="15" customHeight="1">
      <c r="A296" t="inlineStr">
        <is>
          <t>A 33102-2023</t>
        </is>
      </c>
      <c r="B296" s="1" t="n">
        <v>45114</v>
      </c>
      <c r="C296" s="1" t="n">
        <v>46145</v>
      </c>
      <c r="D296" t="inlineStr">
        <is>
          <t>DALARNAS LÄN</t>
        </is>
      </c>
      <c r="E296" t="inlineStr">
        <is>
          <t>ÄLVDALEN</t>
        </is>
      </c>
      <c r="G296" t="n">
        <v>1.6</v>
      </c>
      <c r="H296" t="n">
        <v>0</v>
      </c>
      <c r="I296" t="n">
        <v>0</v>
      </c>
      <c r="J296" t="n">
        <v>0</v>
      </c>
      <c r="K296" t="n">
        <v>0</v>
      </c>
      <c r="L296" t="n">
        <v>0</v>
      </c>
      <c r="M296" t="n">
        <v>0</v>
      </c>
      <c r="N296" t="n">
        <v>0</v>
      </c>
      <c r="O296" t="n">
        <v>0</v>
      </c>
      <c r="P296" t="n">
        <v>0</v>
      </c>
      <c r="Q296" t="n">
        <v>0</v>
      </c>
      <c r="R296" s="2" t="inlineStr"/>
    </row>
    <row r="297" ht="15" customHeight="1">
      <c r="A297" t="inlineStr">
        <is>
          <t>A 32361-2024</t>
        </is>
      </c>
      <c r="B297" s="1" t="n">
        <v>45512.56725694444</v>
      </c>
      <c r="C297" s="1" t="n">
        <v>46145</v>
      </c>
      <c r="D297" t="inlineStr">
        <is>
          <t>DALARNAS LÄN</t>
        </is>
      </c>
      <c r="E297" t="inlineStr">
        <is>
          <t>ÄLVDALEN</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32363-2024</t>
        </is>
      </c>
      <c r="B298" s="1" t="n">
        <v>45512</v>
      </c>
      <c r="C298" s="1" t="n">
        <v>46145</v>
      </c>
      <c r="D298" t="inlineStr">
        <is>
          <t>DALARNAS LÄN</t>
        </is>
      </c>
      <c r="E298" t="inlineStr">
        <is>
          <t>ÄLVDALEN</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38277-2024</t>
        </is>
      </c>
      <c r="B299" s="1" t="n">
        <v>45545.61171296296</v>
      </c>
      <c r="C299" s="1" t="n">
        <v>46145</v>
      </c>
      <c r="D299" t="inlineStr">
        <is>
          <t>DALARNAS LÄN</t>
        </is>
      </c>
      <c r="E299" t="inlineStr">
        <is>
          <t>ÄLVDALEN</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27615-2023</t>
        </is>
      </c>
      <c r="B300" s="1" t="n">
        <v>45097</v>
      </c>
      <c r="C300" s="1" t="n">
        <v>46145</v>
      </c>
      <c r="D300" t="inlineStr">
        <is>
          <t>DALARNAS LÄN</t>
        </is>
      </c>
      <c r="E300" t="inlineStr">
        <is>
          <t>ÄLVDALEN</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31047-2024</t>
        </is>
      </c>
      <c r="B301" s="1" t="n">
        <v>45502.33021990741</v>
      </c>
      <c r="C301" s="1" t="n">
        <v>46145</v>
      </c>
      <c r="D301" t="inlineStr">
        <is>
          <t>DALARNAS LÄN</t>
        </is>
      </c>
      <c r="E301" t="inlineStr">
        <is>
          <t>ÄLVDALEN</t>
        </is>
      </c>
      <c r="F301" t="inlineStr">
        <is>
          <t>Sveaskog</t>
        </is>
      </c>
      <c r="G301" t="n">
        <v>8</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46145</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56882-2022</t>
        </is>
      </c>
      <c r="B303" s="1" t="n">
        <v>44894</v>
      </c>
      <c r="C303" s="1" t="n">
        <v>46145</v>
      </c>
      <c r="D303" t="inlineStr">
        <is>
          <t>DALARNAS LÄN</t>
        </is>
      </c>
      <c r="E303" t="inlineStr">
        <is>
          <t>ÄLVDALEN</t>
        </is>
      </c>
      <c r="G303" t="n">
        <v>7.4</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46145</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30143-2024</t>
        </is>
      </c>
      <c r="B305" s="1" t="n">
        <v>45488</v>
      </c>
      <c r="C305" s="1" t="n">
        <v>46145</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30146-2024</t>
        </is>
      </c>
      <c r="B306" s="1" t="n">
        <v>45488</v>
      </c>
      <c r="C306" s="1" t="n">
        <v>46145</v>
      </c>
      <c r="D306" t="inlineStr">
        <is>
          <t>DALARNAS LÄN</t>
        </is>
      </c>
      <c r="E306" t="inlineStr">
        <is>
          <t>ÄLVDALEN</t>
        </is>
      </c>
      <c r="G306" t="n">
        <v>1.1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46145</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46145</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5170-2024</t>
        </is>
      </c>
      <c r="B309" s="1" t="n">
        <v>45330.55390046296</v>
      </c>
      <c r="C309" s="1" t="n">
        <v>46145</v>
      </c>
      <c r="D309" t="inlineStr">
        <is>
          <t>DALARNAS LÄN</t>
        </is>
      </c>
      <c r="E309" t="inlineStr">
        <is>
          <t>ÄLVDALEN</t>
        </is>
      </c>
      <c r="G309" t="n">
        <v>15.8</v>
      </c>
      <c r="H309" t="n">
        <v>0</v>
      </c>
      <c r="I309" t="n">
        <v>0</v>
      </c>
      <c r="J309" t="n">
        <v>0</v>
      </c>
      <c r="K309" t="n">
        <v>0</v>
      </c>
      <c r="L309" t="n">
        <v>0</v>
      </c>
      <c r="M309" t="n">
        <v>0</v>
      </c>
      <c r="N309" t="n">
        <v>0</v>
      </c>
      <c r="O309" t="n">
        <v>0</v>
      </c>
      <c r="P309" t="n">
        <v>0</v>
      </c>
      <c r="Q309" t="n">
        <v>0</v>
      </c>
      <c r="R309" s="2" t="inlineStr"/>
    </row>
    <row r="310" ht="15" customHeight="1">
      <c r="A310" t="inlineStr">
        <is>
          <t>A 29129-2024</t>
        </is>
      </c>
      <c r="B310" s="1" t="n">
        <v>45482.35762731481</v>
      </c>
      <c r="C310" s="1" t="n">
        <v>46145</v>
      </c>
      <c r="D310" t="inlineStr">
        <is>
          <t>DALARNAS LÄN</t>
        </is>
      </c>
      <c r="E310" t="inlineStr">
        <is>
          <t>ÄLVDALEN</t>
        </is>
      </c>
      <c r="F310" t="inlineStr">
        <is>
          <t>Allmännings- och besparingsskogar</t>
        </is>
      </c>
      <c r="G310" t="n">
        <v>19.8</v>
      </c>
      <c r="H310" t="n">
        <v>0</v>
      </c>
      <c r="I310" t="n">
        <v>0</v>
      </c>
      <c r="J310" t="n">
        <v>0</v>
      </c>
      <c r="K310" t="n">
        <v>0</v>
      </c>
      <c r="L310" t="n">
        <v>0</v>
      </c>
      <c r="M310" t="n">
        <v>0</v>
      </c>
      <c r="N310" t="n">
        <v>0</v>
      </c>
      <c r="O310" t="n">
        <v>0</v>
      </c>
      <c r="P310" t="n">
        <v>0</v>
      </c>
      <c r="Q310" t="n">
        <v>0</v>
      </c>
      <c r="R310" s="2" t="inlineStr"/>
    </row>
    <row r="311" ht="15" customHeight="1">
      <c r="A311" t="inlineStr">
        <is>
          <t>A 9108-2024</t>
        </is>
      </c>
      <c r="B311" s="1" t="n">
        <v>45357.96072916667</v>
      </c>
      <c r="C311" s="1" t="n">
        <v>46145</v>
      </c>
      <c r="D311" t="inlineStr">
        <is>
          <t>DALARNAS LÄN</t>
        </is>
      </c>
      <c r="E311" t="inlineStr">
        <is>
          <t>ÄLVDALEN</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39006-2024</t>
        </is>
      </c>
      <c r="B312" s="1" t="n">
        <v>45548.42846064815</v>
      </c>
      <c r="C312" s="1" t="n">
        <v>46145</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62355-2022</t>
        </is>
      </c>
      <c r="B313" s="1" t="n">
        <v>44923</v>
      </c>
      <c r="C313" s="1" t="n">
        <v>46145</v>
      </c>
      <c r="D313" t="inlineStr">
        <is>
          <t>DALARNAS LÄN</t>
        </is>
      </c>
      <c r="E313" t="inlineStr">
        <is>
          <t>ÄLVDALEN</t>
        </is>
      </c>
      <c r="G313" t="n">
        <v>4.3</v>
      </c>
      <c r="H313" t="n">
        <v>0</v>
      </c>
      <c r="I313" t="n">
        <v>0</v>
      </c>
      <c r="J313" t="n">
        <v>0</v>
      </c>
      <c r="K313" t="n">
        <v>0</v>
      </c>
      <c r="L313" t="n">
        <v>0</v>
      </c>
      <c r="M313" t="n">
        <v>0</v>
      </c>
      <c r="N313" t="n">
        <v>0</v>
      </c>
      <c r="O313" t="n">
        <v>0</v>
      </c>
      <c r="P313" t="n">
        <v>0</v>
      </c>
      <c r="Q313" t="n">
        <v>0</v>
      </c>
      <c r="R313" s="2" t="inlineStr"/>
    </row>
    <row r="314" ht="15" customHeight="1">
      <c r="A314" t="inlineStr">
        <is>
          <t>A 52060-2022</t>
        </is>
      </c>
      <c r="B314" s="1" t="n">
        <v>44873.34417824074</v>
      </c>
      <c r="C314" s="1" t="n">
        <v>46145</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68204-2021</t>
        </is>
      </c>
      <c r="B315" s="1" t="n">
        <v>44526</v>
      </c>
      <c r="C315" s="1" t="n">
        <v>46145</v>
      </c>
      <c r="D315" t="inlineStr">
        <is>
          <t>DALARNAS LÄN</t>
        </is>
      </c>
      <c r="E315" t="inlineStr">
        <is>
          <t>ÄLVDALEN</t>
        </is>
      </c>
      <c r="F315" t="inlineStr">
        <is>
          <t>Kyrkan</t>
        </is>
      </c>
      <c r="G315" t="n">
        <v>5</v>
      </c>
      <c r="H315" t="n">
        <v>0</v>
      </c>
      <c r="I315" t="n">
        <v>0</v>
      </c>
      <c r="J315" t="n">
        <v>0</v>
      </c>
      <c r="K315" t="n">
        <v>0</v>
      </c>
      <c r="L315" t="n">
        <v>0</v>
      </c>
      <c r="M315" t="n">
        <v>0</v>
      </c>
      <c r="N315" t="n">
        <v>0</v>
      </c>
      <c r="O315" t="n">
        <v>0</v>
      </c>
      <c r="P315" t="n">
        <v>0</v>
      </c>
      <c r="Q315" t="n">
        <v>0</v>
      </c>
      <c r="R315" s="2" t="inlineStr"/>
    </row>
    <row r="316" ht="15" customHeight="1">
      <c r="A316" t="inlineStr">
        <is>
          <t>A 36462-2024</t>
        </is>
      </c>
      <c r="B316" s="1" t="n">
        <v>45537.35211805555</v>
      </c>
      <c r="C316" s="1" t="n">
        <v>46145</v>
      </c>
      <c r="D316" t="inlineStr">
        <is>
          <t>DALARNAS LÄN</t>
        </is>
      </c>
      <c r="E316" t="inlineStr">
        <is>
          <t>ÄLVDALEN</t>
        </is>
      </c>
      <c r="G316" t="n">
        <v>5</v>
      </c>
      <c r="H316" t="n">
        <v>0</v>
      </c>
      <c r="I316" t="n">
        <v>0</v>
      </c>
      <c r="J316" t="n">
        <v>0</v>
      </c>
      <c r="K316" t="n">
        <v>0</v>
      </c>
      <c r="L316" t="n">
        <v>0</v>
      </c>
      <c r="M316" t="n">
        <v>0</v>
      </c>
      <c r="N316" t="n">
        <v>0</v>
      </c>
      <c r="O316" t="n">
        <v>0</v>
      </c>
      <c r="P316" t="n">
        <v>0</v>
      </c>
      <c r="Q316" t="n">
        <v>0</v>
      </c>
      <c r="R316" s="2" t="inlineStr"/>
    </row>
    <row r="317" ht="15" customHeight="1">
      <c r="A317" t="inlineStr">
        <is>
          <t>A 61575-2024</t>
        </is>
      </c>
      <c r="B317" s="1" t="n">
        <v>45646.61907407407</v>
      </c>
      <c r="C317" s="1" t="n">
        <v>46145</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771-2025</t>
        </is>
      </c>
      <c r="B318" s="1" t="n">
        <v>45665.46518518519</v>
      </c>
      <c r="C318" s="1" t="n">
        <v>46145</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41137-2024</t>
        </is>
      </c>
      <c r="B319" s="1" t="n">
        <v>45559.46734953704</v>
      </c>
      <c r="C319" s="1" t="n">
        <v>46145</v>
      </c>
      <c r="D319" t="inlineStr">
        <is>
          <t>DALARNAS LÄN</t>
        </is>
      </c>
      <c r="E319" t="inlineStr">
        <is>
          <t>ÄLVDALEN</t>
        </is>
      </c>
      <c r="G319" t="n">
        <v>4.8</v>
      </c>
      <c r="H319" t="n">
        <v>0</v>
      </c>
      <c r="I319" t="n">
        <v>0</v>
      </c>
      <c r="J319" t="n">
        <v>0</v>
      </c>
      <c r="K319" t="n">
        <v>0</v>
      </c>
      <c r="L319" t="n">
        <v>0</v>
      </c>
      <c r="M319" t="n">
        <v>0</v>
      </c>
      <c r="N319" t="n">
        <v>0</v>
      </c>
      <c r="O319" t="n">
        <v>0</v>
      </c>
      <c r="P319" t="n">
        <v>0</v>
      </c>
      <c r="Q319" t="n">
        <v>0</v>
      </c>
      <c r="R319" s="2" t="inlineStr"/>
    </row>
    <row r="320" ht="15" customHeight="1">
      <c r="A320" t="inlineStr">
        <is>
          <t>A 39064-2021</t>
        </is>
      </c>
      <c r="B320" s="1" t="n">
        <v>44411</v>
      </c>
      <c r="C320" s="1" t="n">
        <v>46145</v>
      </c>
      <c r="D320" t="inlineStr">
        <is>
          <t>DALARNAS LÄN</t>
        </is>
      </c>
      <c r="E320" t="inlineStr">
        <is>
          <t>ÄLVDALEN</t>
        </is>
      </c>
      <c r="F320" t="inlineStr">
        <is>
          <t>Övriga statliga verk och myndigheter</t>
        </is>
      </c>
      <c r="G320" t="n">
        <v>4.5</v>
      </c>
      <c r="H320" t="n">
        <v>0</v>
      </c>
      <c r="I320" t="n">
        <v>0</v>
      </c>
      <c r="J320" t="n">
        <v>0</v>
      </c>
      <c r="K320" t="n">
        <v>0</v>
      </c>
      <c r="L320" t="n">
        <v>0</v>
      </c>
      <c r="M320" t="n">
        <v>0</v>
      </c>
      <c r="N320" t="n">
        <v>0</v>
      </c>
      <c r="O320" t="n">
        <v>0</v>
      </c>
      <c r="P320" t="n">
        <v>0</v>
      </c>
      <c r="Q320" t="n">
        <v>0</v>
      </c>
      <c r="R320" s="2" t="inlineStr"/>
    </row>
    <row r="321" ht="15" customHeight="1">
      <c r="A321" t="inlineStr">
        <is>
          <t>A 52469-2022</t>
        </is>
      </c>
      <c r="B321" s="1" t="n">
        <v>44874</v>
      </c>
      <c r="C321" s="1" t="n">
        <v>46145</v>
      </c>
      <c r="D321" t="inlineStr">
        <is>
          <t>DALARNAS LÄN</t>
        </is>
      </c>
      <c r="E321" t="inlineStr">
        <is>
          <t>ÄLVDALEN</t>
        </is>
      </c>
      <c r="G321" t="n">
        <v>1.7</v>
      </c>
      <c r="H321" t="n">
        <v>0</v>
      </c>
      <c r="I321" t="n">
        <v>0</v>
      </c>
      <c r="J321" t="n">
        <v>0</v>
      </c>
      <c r="K321" t="n">
        <v>0</v>
      </c>
      <c r="L321" t="n">
        <v>0</v>
      </c>
      <c r="M321" t="n">
        <v>0</v>
      </c>
      <c r="N321" t="n">
        <v>0</v>
      </c>
      <c r="O321" t="n">
        <v>0</v>
      </c>
      <c r="P321" t="n">
        <v>0</v>
      </c>
      <c r="Q321" t="n">
        <v>0</v>
      </c>
      <c r="R321" s="2" t="inlineStr"/>
    </row>
    <row r="322" ht="15" customHeight="1">
      <c r="A322" t="inlineStr">
        <is>
          <t>A 30411-2024</t>
        </is>
      </c>
      <c r="B322" s="1" t="n">
        <v>45491.62447916667</v>
      </c>
      <c r="C322" s="1" t="n">
        <v>46145</v>
      </c>
      <c r="D322" t="inlineStr">
        <is>
          <t>DALARNAS LÄN</t>
        </is>
      </c>
      <c r="E322" t="inlineStr">
        <is>
          <t>ÄLVDALEN</t>
        </is>
      </c>
      <c r="G322" t="n">
        <v>1.1</v>
      </c>
      <c r="H322" t="n">
        <v>0</v>
      </c>
      <c r="I322" t="n">
        <v>0</v>
      </c>
      <c r="J322" t="n">
        <v>0</v>
      </c>
      <c r="K322" t="n">
        <v>0</v>
      </c>
      <c r="L322" t="n">
        <v>0</v>
      </c>
      <c r="M322" t="n">
        <v>0</v>
      </c>
      <c r="N322" t="n">
        <v>0</v>
      </c>
      <c r="O322" t="n">
        <v>0</v>
      </c>
      <c r="P322" t="n">
        <v>0</v>
      </c>
      <c r="Q322" t="n">
        <v>0</v>
      </c>
      <c r="R322" s="2" t="inlineStr"/>
    </row>
    <row r="323" ht="15" customHeight="1">
      <c r="A323" t="inlineStr">
        <is>
          <t>A 32740-2024</t>
        </is>
      </c>
      <c r="B323" s="1" t="n">
        <v>45516.43834490741</v>
      </c>
      <c r="C323" s="1" t="n">
        <v>46145</v>
      </c>
      <c r="D323" t="inlineStr">
        <is>
          <t>DALARNAS LÄN</t>
        </is>
      </c>
      <c r="E323" t="inlineStr">
        <is>
          <t>ÄLVDALEN</t>
        </is>
      </c>
      <c r="G323" t="n">
        <v>2.1</v>
      </c>
      <c r="H323" t="n">
        <v>0</v>
      </c>
      <c r="I323" t="n">
        <v>0</v>
      </c>
      <c r="J323" t="n">
        <v>0</v>
      </c>
      <c r="K323" t="n">
        <v>0</v>
      </c>
      <c r="L323" t="n">
        <v>0</v>
      </c>
      <c r="M323" t="n">
        <v>0</v>
      </c>
      <c r="N323" t="n">
        <v>0</v>
      </c>
      <c r="O323" t="n">
        <v>0</v>
      </c>
      <c r="P323" t="n">
        <v>0</v>
      </c>
      <c r="Q323" t="n">
        <v>0</v>
      </c>
      <c r="R323" s="2" t="inlineStr"/>
    </row>
    <row r="324" ht="15" customHeight="1">
      <c r="A324" t="inlineStr">
        <is>
          <t>A 43900-2024</t>
        </is>
      </c>
      <c r="B324" s="1" t="n">
        <v>45572.41975694444</v>
      </c>
      <c r="C324" s="1" t="n">
        <v>46145</v>
      </c>
      <c r="D324" t="inlineStr">
        <is>
          <t>DALARNAS LÄN</t>
        </is>
      </c>
      <c r="E324" t="inlineStr">
        <is>
          <t>ÄLVDALEN</t>
        </is>
      </c>
      <c r="F324" t="inlineStr">
        <is>
          <t>Bergvik skog väst AB</t>
        </is>
      </c>
      <c r="G324" t="n">
        <v>7.3</v>
      </c>
      <c r="H324" t="n">
        <v>0</v>
      </c>
      <c r="I324" t="n">
        <v>0</v>
      </c>
      <c r="J324" t="n">
        <v>0</v>
      </c>
      <c r="K324" t="n">
        <v>0</v>
      </c>
      <c r="L324" t="n">
        <v>0</v>
      </c>
      <c r="M324" t="n">
        <v>0</v>
      </c>
      <c r="N324" t="n">
        <v>0</v>
      </c>
      <c r="O324" t="n">
        <v>0</v>
      </c>
      <c r="P324" t="n">
        <v>0</v>
      </c>
      <c r="Q324" t="n">
        <v>0</v>
      </c>
      <c r="R324" s="2" t="inlineStr"/>
    </row>
    <row r="325" ht="15" customHeight="1">
      <c r="A325" t="inlineStr">
        <is>
          <t>A 59668-2024</t>
        </is>
      </c>
      <c r="B325" s="1" t="n">
        <v>45639.37899305556</v>
      </c>
      <c r="C325" s="1" t="n">
        <v>46145</v>
      </c>
      <c r="D325" t="inlineStr">
        <is>
          <t>DALARNAS LÄN</t>
        </is>
      </c>
      <c r="E325" t="inlineStr">
        <is>
          <t>ÄLVDALEN</t>
        </is>
      </c>
      <c r="G325" t="n">
        <v>2.5</v>
      </c>
      <c r="H325" t="n">
        <v>0</v>
      </c>
      <c r="I325" t="n">
        <v>0</v>
      </c>
      <c r="J325" t="n">
        <v>0</v>
      </c>
      <c r="K325" t="n">
        <v>0</v>
      </c>
      <c r="L325" t="n">
        <v>0</v>
      </c>
      <c r="M325" t="n">
        <v>0</v>
      </c>
      <c r="N325" t="n">
        <v>0</v>
      </c>
      <c r="O325" t="n">
        <v>0</v>
      </c>
      <c r="P325" t="n">
        <v>0</v>
      </c>
      <c r="Q325" t="n">
        <v>0</v>
      </c>
      <c r="R325" s="2" t="inlineStr"/>
    </row>
    <row r="326" ht="15" customHeight="1">
      <c r="A326" t="inlineStr">
        <is>
          <t>A 59671-2024</t>
        </is>
      </c>
      <c r="B326" s="1" t="n">
        <v>45639.3862962963</v>
      </c>
      <c r="C326" s="1" t="n">
        <v>46145</v>
      </c>
      <c r="D326" t="inlineStr">
        <is>
          <t>DALARNAS LÄN</t>
        </is>
      </c>
      <c r="E326" t="inlineStr">
        <is>
          <t>ÄLVDALEN</t>
        </is>
      </c>
      <c r="G326" t="n">
        <v>2.2</v>
      </c>
      <c r="H326" t="n">
        <v>0</v>
      </c>
      <c r="I326" t="n">
        <v>0</v>
      </c>
      <c r="J326" t="n">
        <v>0</v>
      </c>
      <c r="K326" t="n">
        <v>0</v>
      </c>
      <c r="L326" t="n">
        <v>0</v>
      </c>
      <c r="M326" t="n">
        <v>0</v>
      </c>
      <c r="N326" t="n">
        <v>0</v>
      </c>
      <c r="O326" t="n">
        <v>0</v>
      </c>
      <c r="P326" t="n">
        <v>0</v>
      </c>
      <c r="Q326" t="n">
        <v>0</v>
      </c>
      <c r="R326" s="2" t="inlineStr"/>
    </row>
    <row r="327" ht="15" customHeight="1">
      <c r="A327" t="inlineStr">
        <is>
          <t>A 49723-2023</t>
        </is>
      </c>
      <c r="B327" s="1" t="n">
        <v>45212</v>
      </c>
      <c r="C327" s="1" t="n">
        <v>46145</v>
      </c>
      <c r="D327" t="inlineStr">
        <is>
          <t>DALARNAS LÄN</t>
        </is>
      </c>
      <c r="E327" t="inlineStr">
        <is>
          <t>ÄLVDALEN</t>
        </is>
      </c>
      <c r="F327" t="inlineStr">
        <is>
          <t>Bergvik skog väst AB</t>
        </is>
      </c>
      <c r="G327" t="n">
        <v>5</v>
      </c>
      <c r="H327" t="n">
        <v>0</v>
      </c>
      <c r="I327" t="n">
        <v>0</v>
      </c>
      <c r="J327" t="n">
        <v>0</v>
      </c>
      <c r="K327" t="n">
        <v>0</v>
      </c>
      <c r="L327" t="n">
        <v>0</v>
      </c>
      <c r="M327" t="n">
        <v>0</v>
      </c>
      <c r="N327" t="n">
        <v>0</v>
      </c>
      <c r="O327" t="n">
        <v>0</v>
      </c>
      <c r="P327" t="n">
        <v>0</v>
      </c>
      <c r="Q327" t="n">
        <v>0</v>
      </c>
      <c r="R327" s="2" t="inlineStr"/>
    </row>
    <row r="328" ht="15" customHeight="1">
      <c r="A328" t="inlineStr">
        <is>
          <t>A 43903-2024</t>
        </is>
      </c>
      <c r="B328" s="1" t="n">
        <v>45572</v>
      </c>
      <c r="C328" s="1" t="n">
        <v>46145</v>
      </c>
      <c r="D328" t="inlineStr">
        <is>
          <t>DALARNAS LÄN</t>
        </is>
      </c>
      <c r="E328" t="inlineStr">
        <is>
          <t>ÄLVDALEN</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5885-2024</t>
        </is>
      </c>
      <c r="B329" s="1" t="n">
        <v>45335</v>
      </c>
      <c r="C329" s="1" t="n">
        <v>46145</v>
      </c>
      <c r="D329" t="inlineStr">
        <is>
          <t>DALARNAS LÄN</t>
        </is>
      </c>
      <c r="E329" t="inlineStr">
        <is>
          <t>ÄLVDALEN</t>
        </is>
      </c>
      <c r="G329" t="n">
        <v>0.8</v>
      </c>
      <c r="H329" t="n">
        <v>0</v>
      </c>
      <c r="I329" t="n">
        <v>0</v>
      </c>
      <c r="J329" t="n">
        <v>0</v>
      </c>
      <c r="K329" t="n">
        <v>0</v>
      </c>
      <c r="L329" t="n">
        <v>0</v>
      </c>
      <c r="M329" t="n">
        <v>0</v>
      </c>
      <c r="N329" t="n">
        <v>0</v>
      </c>
      <c r="O329" t="n">
        <v>0</v>
      </c>
      <c r="P329" t="n">
        <v>0</v>
      </c>
      <c r="Q329" t="n">
        <v>0</v>
      </c>
      <c r="R329" s="2" t="inlineStr"/>
    </row>
    <row r="330" ht="15" customHeight="1">
      <c r="A330" t="inlineStr">
        <is>
          <t>A 8492-2025</t>
        </is>
      </c>
      <c r="B330" s="1" t="n">
        <v>45709.50980324074</v>
      </c>
      <c r="C330" s="1" t="n">
        <v>46145</v>
      </c>
      <c r="D330" t="inlineStr">
        <is>
          <t>DALARNAS LÄN</t>
        </is>
      </c>
      <c r="E330" t="inlineStr">
        <is>
          <t>ÄLVDALEN</t>
        </is>
      </c>
      <c r="G330" t="n">
        <v>1.4</v>
      </c>
      <c r="H330" t="n">
        <v>0</v>
      </c>
      <c r="I330" t="n">
        <v>0</v>
      </c>
      <c r="J330" t="n">
        <v>0</v>
      </c>
      <c r="K330" t="n">
        <v>0</v>
      </c>
      <c r="L330" t="n">
        <v>0</v>
      </c>
      <c r="M330" t="n">
        <v>0</v>
      </c>
      <c r="N330" t="n">
        <v>0</v>
      </c>
      <c r="O330" t="n">
        <v>0</v>
      </c>
      <c r="P330" t="n">
        <v>0</v>
      </c>
      <c r="Q330" t="n">
        <v>0</v>
      </c>
      <c r="R330" s="2" t="inlineStr"/>
    </row>
    <row r="331" ht="15" customHeight="1">
      <c r="A331" t="inlineStr">
        <is>
          <t>A 47087-2024</t>
        </is>
      </c>
      <c r="B331" s="1" t="n">
        <v>45586.50946759259</v>
      </c>
      <c r="C331" s="1" t="n">
        <v>46145</v>
      </c>
      <c r="D331" t="inlineStr">
        <is>
          <t>DALARNAS LÄN</t>
        </is>
      </c>
      <c r="E331" t="inlineStr">
        <is>
          <t>ÄLVDALEN</t>
        </is>
      </c>
      <c r="G331" t="n">
        <v>2.6</v>
      </c>
      <c r="H331" t="n">
        <v>0</v>
      </c>
      <c r="I331" t="n">
        <v>0</v>
      </c>
      <c r="J331" t="n">
        <v>0</v>
      </c>
      <c r="K331" t="n">
        <v>0</v>
      </c>
      <c r="L331" t="n">
        <v>0</v>
      </c>
      <c r="M331" t="n">
        <v>0</v>
      </c>
      <c r="N331" t="n">
        <v>0</v>
      </c>
      <c r="O331" t="n">
        <v>0</v>
      </c>
      <c r="P331" t="n">
        <v>0</v>
      </c>
      <c r="Q331" t="n">
        <v>0</v>
      </c>
      <c r="R331" s="2" t="inlineStr"/>
    </row>
    <row r="332" ht="15" customHeight="1">
      <c r="A332" t="inlineStr">
        <is>
          <t>A 59209-2022</t>
        </is>
      </c>
      <c r="B332" s="1" t="n">
        <v>44904</v>
      </c>
      <c r="C332" s="1" t="n">
        <v>46145</v>
      </c>
      <c r="D332" t="inlineStr">
        <is>
          <t>DALARNAS LÄN</t>
        </is>
      </c>
      <c r="E332" t="inlineStr">
        <is>
          <t>ÄLVDALEN</t>
        </is>
      </c>
      <c r="G332" t="n">
        <v>2.6</v>
      </c>
      <c r="H332" t="n">
        <v>0</v>
      </c>
      <c r="I332" t="n">
        <v>0</v>
      </c>
      <c r="J332" t="n">
        <v>0</v>
      </c>
      <c r="K332" t="n">
        <v>0</v>
      </c>
      <c r="L332" t="n">
        <v>0</v>
      </c>
      <c r="M332" t="n">
        <v>0</v>
      </c>
      <c r="N332" t="n">
        <v>0</v>
      </c>
      <c r="O332" t="n">
        <v>0</v>
      </c>
      <c r="P332" t="n">
        <v>0</v>
      </c>
      <c r="Q332" t="n">
        <v>0</v>
      </c>
      <c r="R332" s="2" t="inlineStr"/>
    </row>
    <row r="333" ht="15" customHeight="1">
      <c r="A333" t="inlineStr">
        <is>
          <t>A 54493-2023</t>
        </is>
      </c>
      <c r="B333" s="1" t="n">
        <v>45233.50606481481</v>
      </c>
      <c r="C333" s="1" t="n">
        <v>46145</v>
      </c>
      <c r="D333" t="inlineStr">
        <is>
          <t>DALARNAS LÄN</t>
        </is>
      </c>
      <c r="E333" t="inlineStr">
        <is>
          <t>ÄLVDALEN</t>
        </is>
      </c>
      <c r="F333" t="inlineStr">
        <is>
          <t>Allmännings- och besparingsskogar</t>
        </is>
      </c>
      <c r="G333" t="n">
        <v>2</v>
      </c>
      <c r="H333" t="n">
        <v>0</v>
      </c>
      <c r="I333" t="n">
        <v>0</v>
      </c>
      <c r="J333" t="n">
        <v>0</v>
      </c>
      <c r="K333" t="n">
        <v>0</v>
      </c>
      <c r="L333" t="n">
        <v>0</v>
      </c>
      <c r="M333" t="n">
        <v>0</v>
      </c>
      <c r="N333" t="n">
        <v>0</v>
      </c>
      <c r="O333" t="n">
        <v>0</v>
      </c>
      <c r="P333" t="n">
        <v>0</v>
      </c>
      <c r="Q333" t="n">
        <v>0</v>
      </c>
      <c r="R333" s="2" t="inlineStr"/>
    </row>
    <row r="334" ht="15" customHeight="1">
      <c r="A334" t="inlineStr">
        <is>
          <t>A 45155-2023</t>
        </is>
      </c>
      <c r="B334" s="1" t="n">
        <v>45187</v>
      </c>
      <c r="C334" s="1" t="n">
        <v>46145</v>
      </c>
      <c r="D334" t="inlineStr">
        <is>
          <t>DALARNAS LÄN</t>
        </is>
      </c>
      <c r="E334" t="inlineStr">
        <is>
          <t>ÄLVDALEN</t>
        </is>
      </c>
      <c r="G334" t="n">
        <v>40.1</v>
      </c>
      <c r="H334" t="n">
        <v>0</v>
      </c>
      <c r="I334" t="n">
        <v>0</v>
      </c>
      <c r="J334" t="n">
        <v>0</v>
      </c>
      <c r="K334" t="n">
        <v>0</v>
      </c>
      <c r="L334" t="n">
        <v>0</v>
      </c>
      <c r="M334" t="n">
        <v>0</v>
      </c>
      <c r="N334" t="n">
        <v>0</v>
      </c>
      <c r="O334" t="n">
        <v>0</v>
      </c>
      <c r="P334" t="n">
        <v>0</v>
      </c>
      <c r="Q334" t="n">
        <v>0</v>
      </c>
      <c r="R334" s="2" t="inlineStr"/>
    </row>
    <row r="335" ht="15" customHeight="1">
      <c r="A335" t="inlineStr">
        <is>
          <t>A 59108-2022</t>
        </is>
      </c>
      <c r="B335" s="1" t="n">
        <v>44904</v>
      </c>
      <c r="C335" s="1" t="n">
        <v>46145</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7917-2025</t>
        </is>
      </c>
      <c r="B336" s="1" t="n">
        <v>45707.35225694445</v>
      </c>
      <c r="C336" s="1" t="n">
        <v>46145</v>
      </c>
      <c r="D336" t="inlineStr">
        <is>
          <t>DALARNAS LÄN</t>
        </is>
      </c>
      <c r="E336" t="inlineStr">
        <is>
          <t>ÄLVDALEN</t>
        </is>
      </c>
      <c r="G336" t="n">
        <v>4.2</v>
      </c>
      <c r="H336" t="n">
        <v>0</v>
      </c>
      <c r="I336" t="n">
        <v>0</v>
      </c>
      <c r="J336" t="n">
        <v>0</v>
      </c>
      <c r="K336" t="n">
        <v>0</v>
      </c>
      <c r="L336" t="n">
        <v>0</v>
      </c>
      <c r="M336" t="n">
        <v>0</v>
      </c>
      <c r="N336" t="n">
        <v>0</v>
      </c>
      <c r="O336" t="n">
        <v>0</v>
      </c>
      <c r="P336" t="n">
        <v>0</v>
      </c>
      <c r="Q336" t="n">
        <v>0</v>
      </c>
      <c r="R336" s="2" t="inlineStr"/>
    </row>
    <row r="337" ht="15" customHeight="1">
      <c r="A337" t="inlineStr">
        <is>
          <t>A 7937-2025</t>
        </is>
      </c>
      <c r="B337" s="1" t="n">
        <v>45707.3953125</v>
      </c>
      <c r="C337" s="1" t="n">
        <v>46145</v>
      </c>
      <c r="D337" t="inlineStr">
        <is>
          <t>DALARNAS LÄN</t>
        </is>
      </c>
      <c r="E337" t="inlineStr">
        <is>
          <t>ÄLVDALEN</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39283-2024</t>
        </is>
      </c>
      <c r="B338" s="1" t="n">
        <v>45551.36314814815</v>
      </c>
      <c r="C338" s="1" t="n">
        <v>46145</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19588-2025</t>
        </is>
      </c>
      <c r="B339" s="1" t="n">
        <v>45770</v>
      </c>
      <c r="C339" s="1" t="n">
        <v>46145</v>
      </c>
      <c r="D339" t="inlineStr">
        <is>
          <t>DALARNAS LÄN</t>
        </is>
      </c>
      <c r="E339" t="inlineStr">
        <is>
          <t>ÄLVDALEN</t>
        </is>
      </c>
      <c r="F339" t="inlineStr">
        <is>
          <t>Sveaskog</t>
        </is>
      </c>
      <c r="G339" t="n">
        <v>5.1</v>
      </c>
      <c r="H339" t="n">
        <v>0</v>
      </c>
      <c r="I339" t="n">
        <v>0</v>
      </c>
      <c r="J339" t="n">
        <v>0</v>
      </c>
      <c r="K339" t="n">
        <v>0</v>
      </c>
      <c r="L339" t="n">
        <v>0</v>
      </c>
      <c r="M339" t="n">
        <v>0</v>
      </c>
      <c r="N339" t="n">
        <v>0</v>
      </c>
      <c r="O339" t="n">
        <v>0</v>
      </c>
      <c r="P339" t="n">
        <v>0</v>
      </c>
      <c r="Q339" t="n">
        <v>0</v>
      </c>
      <c r="R339" s="2" t="inlineStr"/>
    </row>
    <row r="340" ht="15" customHeight="1">
      <c r="A340" t="inlineStr">
        <is>
          <t>A 37186-2025</t>
        </is>
      </c>
      <c r="B340" s="1" t="n">
        <v>45875.63905092593</v>
      </c>
      <c r="C340" s="1" t="n">
        <v>46145</v>
      </c>
      <c r="D340" t="inlineStr">
        <is>
          <t>DALARNAS LÄN</t>
        </is>
      </c>
      <c r="E340" t="inlineStr">
        <is>
          <t>ÄLVDALEN</t>
        </is>
      </c>
      <c r="G340" t="n">
        <v>0.5</v>
      </c>
      <c r="H340" t="n">
        <v>0</v>
      </c>
      <c r="I340" t="n">
        <v>0</v>
      </c>
      <c r="J340" t="n">
        <v>0</v>
      </c>
      <c r="K340" t="n">
        <v>0</v>
      </c>
      <c r="L340" t="n">
        <v>0</v>
      </c>
      <c r="M340" t="n">
        <v>0</v>
      </c>
      <c r="N340" t="n">
        <v>0</v>
      </c>
      <c r="O340" t="n">
        <v>0</v>
      </c>
      <c r="P340" t="n">
        <v>0</v>
      </c>
      <c r="Q340" t="n">
        <v>0</v>
      </c>
      <c r="R340" s="2" t="inlineStr"/>
    </row>
    <row r="341" ht="15" customHeight="1">
      <c r="A341" t="inlineStr">
        <is>
          <t>A 14489-2025</t>
        </is>
      </c>
      <c r="B341" s="1" t="n">
        <v>45741.60680555556</v>
      </c>
      <c r="C341" s="1" t="n">
        <v>46145</v>
      </c>
      <c r="D341" t="inlineStr">
        <is>
          <t>DALARNAS LÄN</t>
        </is>
      </c>
      <c r="E341" t="inlineStr">
        <is>
          <t>ÄLVDALEN</t>
        </is>
      </c>
      <c r="G341" t="n">
        <v>7.9</v>
      </c>
      <c r="H341" t="n">
        <v>0</v>
      </c>
      <c r="I341" t="n">
        <v>0</v>
      </c>
      <c r="J341" t="n">
        <v>0</v>
      </c>
      <c r="K341" t="n">
        <v>0</v>
      </c>
      <c r="L341" t="n">
        <v>0</v>
      </c>
      <c r="M341" t="n">
        <v>0</v>
      </c>
      <c r="N341" t="n">
        <v>0</v>
      </c>
      <c r="O341" t="n">
        <v>0</v>
      </c>
      <c r="P341" t="n">
        <v>0</v>
      </c>
      <c r="Q341" t="n">
        <v>0</v>
      </c>
      <c r="R341" s="2" t="inlineStr"/>
    </row>
    <row r="342" ht="15" customHeight="1">
      <c r="A342" t="inlineStr">
        <is>
          <t>A 7576-2024</t>
        </is>
      </c>
      <c r="B342" s="1" t="n">
        <v>45348.47555555555</v>
      </c>
      <c r="C342" s="1" t="n">
        <v>46145</v>
      </c>
      <c r="D342" t="inlineStr">
        <is>
          <t>DALARNAS LÄN</t>
        </is>
      </c>
      <c r="E342" t="inlineStr">
        <is>
          <t>ÄLVDALEN</t>
        </is>
      </c>
      <c r="G342" t="n">
        <v>11.1</v>
      </c>
      <c r="H342" t="n">
        <v>0</v>
      </c>
      <c r="I342" t="n">
        <v>0</v>
      </c>
      <c r="J342" t="n">
        <v>0</v>
      </c>
      <c r="K342" t="n">
        <v>0</v>
      </c>
      <c r="L342" t="n">
        <v>0</v>
      </c>
      <c r="M342" t="n">
        <v>0</v>
      </c>
      <c r="N342" t="n">
        <v>0</v>
      </c>
      <c r="O342" t="n">
        <v>0</v>
      </c>
      <c r="P342" t="n">
        <v>0</v>
      </c>
      <c r="Q342" t="n">
        <v>0</v>
      </c>
      <c r="R342" s="2" t="inlineStr"/>
    </row>
    <row r="343" ht="15" customHeight="1">
      <c r="A343" t="inlineStr">
        <is>
          <t>A 62315-2022</t>
        </is>
      </c>
      <c r="B343" s="1" t="n">
        <v>44916</v>
      </c>
      <c r="C343" s="1" t="n">
        <v>46145</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1790-2024</t>
        </is>
      </c>
      <c r="B344" s="1" t="n">
        <v>45307.5731712963</v>
      </c>
      <c r="C344" s="1" t="n">
        <v>46145</v>
      </c>
      <c r="D344" t="inlineStr">
        <is>
          <t>DALARNAS LÄN</t>
        </is>
      </c>
      <c r="E344" t="inlineStr">
        <is>
          <t>ÄLVDALEN</t>
        </is>
      </c>
      <c r="G344" t="n">
        <v>1.9</v>
      </c>
      <c r="H344" t="n">
        <v>0</v>
      </c>
      <c r="I344" t="n">
        <v>0</v>
      </c>
      <c r="J344" t="n">
        <v>0</v>
      </c>
      <c r="K344" t="n">
        <v>0</v>
      </c>
      <c r="L344" t="n">
        <v>0</v>
      </c>
      <c r="M344" t="n">
        <v>0</v>
      </c>
      <c r="N344" t="n">
        <v>0</v>
      </c>
      <c r="O344" t="n">
        <v>0</v>
      </c>
      <c r="P344" t="n">
        <v>0</v>
      </c>
      <c r="Q344" t="n">
        <v>0</v>
      </c>
      <c r="R344" s="2" t="inlineStr"/>
    </row>
    <row r="345" ht="15" customHeight="1">
      <c r="A345" t="inlineStr">
        <is>
          <t>A 37873-2025</t>
        </is>
      </c>
      <c r="B345" s="1" t="n">
        <v>45881</v>
      </c>
      <c r="C345" s="1" t="n">
        <v>46145</v>
      </c>
      <c r="D345" t="inlineStr">
        <is>
          <t>DALARNAS LÄN</t>
        </is>
      </c>
      <c r="E345" t="inlineStr">
        <is>
          <t>ÄLVDALEN</t>
        </is>
      </c>
      <c r="F345" t="inlineStr">
        <is>
          <t>Övriga Aktiebolag</t>
        </is>
      </c>
      <c r="G345" t="n">
        <v>40.7</v>
      </c>
      <c r="H345" t="n">
        <v>0</v>
      </c>
      <c r="I345" t="n">
        <v>0</v>
      </c>
      <c r="J345" t="n">
        <v>0</v>
      </c>
      <c r="K345" t="n">
        <v>0</v>
      </c>
      <c r="L345" t="n">
        <v>0</v>
      </c>
      <c r="M345" t="n">
        <v>0</v>
      </c>
      <c r="N345" t="n">
        <v>0</v>
      </c>
      <c r="O345" t="n">
        <v>0</v>
      </c>
      <c r="P345" t="n">
        <v>0</v>
      </c>
      <c r="Q345" t="n">
        <v>0</v>
      </c>
      <c r="R345" s="2" t="inlineStr"/>
    </row>
    <row r="346" ht="15" customHeight="1">
      <c r="A346" t="inlineStr">
        <is>
          <t>A 52167-2024</t>
        </is>
      </c>
      <c r="B346" s="1" t="n">
        <v>45608.53949074074</v>
      </c>
      <c r="C346" s="1" t="n">
        <v>46145</v>
      </c>
      <c r="D346" t="inlineStr">
        <is>
          <t>DALARNAS LÄN</t>
        </is>
      </c>
      <c r="E346" t="inlineStr">
        <is>
          <t>ÄLVDALEN</t>
        </is>
      </c>
      <c r="G346" t="n">
        <v>0.6</v>
      </c>
      <c r="H346" t="n">
        <v>0</v>
      </c>
      <c r="I346" t="n">
        <v>0</v>
      </c>
      <c r="J346" t="n">
        <v>0</v>
      </c>
      <c r="K346" t="n">
        <v>0</v>
      </c>
      <c r="L346" t="n">
        <v>0</v>
      </c>
      <c r="M346" t="n">
        <v>0</v>
      </c>
      <c r="N346" t="n">
        <v>0</v>
      </c>
      <c r="O346" t="n">
        <v>0</v>
      </c>
      <c r="P346" t="n">
        <v>0</v>
      </c>
      <c r="Q346" t="n">
        <v>0</v>
      </c>
      <c r="R346" s="2" t="inlineStr"/>
    </row>
    <row r="347" ht="15" customHeight="1">
      <c r="A347" t="inlineStr">
        <is>
          <t>A 37874-2025</t>
        </is>
      </c>
      <c r="B347" s="1" t="n">
        <v>45881</v>
      </c>
      <c r="C347" s="1" t="n">
        <v>46145</v>
      </c>
      <c r="D347" t="inlineStr">
        <is>
          <t>DALARNAS LÄN</t>
        </is>
      </c>
      <c r="E347" t="inlineStr">
        <is>
          <t>ÄLVDALEN</t>
        </is>
      </c>
      <c r="F347" t="inlineStr">
        <is>
          <t>Övriga Aktiebolag</t>
        </is>
      </c>
      <c r="G347" t="n">
        <v>33.5</v>
      </c>
      <c r="H347" t="n">
        <v>0</v>
      </c>
      <c r="I347" t="n">
        <v>0</v>
      </c>
      <c r="J347" t="n">
        <v>0</v>
      </c>
      <c r="K347" t="n">
        <v>0</v>
      </c>
      <c r="L347" t="n">
        <v>0</v>
      </c>
      <c r="M347" t="n">
        <v>0</v>
      </c>
      <c r="N347" t="n">
        <v>0</v>
      </c>
      <c r="O347" t="n">
        <v>0</v>
      </c>
      <c r="P347" t="n">
        <v>0</v>
      </c>
      <c r="Q347" t="n">
        <v>0</v>
      </c>
      <c r="R347" s="2" t="inlineStr"/>
    </row>
    <row r="348" ht="15" customHeight="1">
      <c r="A348" t="inlineStr">
        <is>
          <t>A 8069-2025</t>
        </is>
      </c>
      <c r="B348" s="1" t="n">
        <v>45707.64342592593</v>
      </c>
      <c r="C348" s="1" t="n">
        <v>46145</v>
      </c>
      <c r="D348" t="inlineStr">
        <is>
          <t>DALARNAS LÄN</t>
        </is>
      </c>
      <c r="E348" t="inlineStr">
        <is>
          <t>ÄLVDALEN</t>
        </is>
      </c>
      <c r="F348" t="inlineStr">
        <is>
          <t>Allmännings- och besparingsskogar</t>
        </is>
      </c>
      <c r="G348" t="n">
        <v>4.2</v>
      </c>
      <c r="H348" t="n">
        <v>0</v>
      </c>
      <c r="I348" t="n">
        <v>0</v>
      </c>
      <c r="J348" t="n">
        <v>0</v>
      </c>
      <c r="K348" t="n">
        <v>0</v>
      </c>
      <c r="L348" t="n">
        <v>0</v>
      </c>
      <c r="M348" t="n">
        <v>0</v>
      </c>
      <c r="N348" t="n">
        <v>0</v>
      </c>
      <c r="O348" t="n">
        <v>0</v>
      </c>
      <c r="P348" t="n">
        <v>0</v>
      </c>
      <c r="Q348" t="n">
        <v>0</v>
      </c>
      <c r="R348" s="2" t="inlineStr"/>
    </row>
    <row r="349" ht="15" customHeight="1">
      <c r="A349" t="inlineStr">
        <is>
          <t>A 43351-2024</t>
        </is>
      </c>
      <c r="B349" s="1" t="n">
        <v>45568.56023148148</v>
      </c>
      <c r="C349" s="1" t="n">
        <v>46145</v>
      </c>
      <c r="D349" t="inlineStr">
        <is>
          <t>DALARNAS LÄN</t>
        </is>
      </c>
      <c r="E349" t="inlineStr">
        <is>
          <t>ÄLVDALEN</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33099-2023</t>
        </is>
      </c>
      <c r="B350" s="1" t="n">
        <v>45114</v>
      </c>
      <c r="C350" s="1" t="n">
        <v>46145</v>
      </c>
      <c r="D350" t="inlineStr">
        <is>
          <t>DALARNAS LÄN</t>
        </is>
      </c>
      <c r="E350" t="inlineStr">
        <is>
          <t>ÄLVDALEN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39041-2025</t>
        </is>
      </c>
      <c r="B351" s="1" t="n">
        <v>45888</v>
      </c>
      <c r="C351" s="1" t="n">
        <v>46145</v>
      </c>
      <c r="D351" t="inlineStr">
        <is>
          <t>DALARNAS LÄN</t>
        </is>
      </c>
      <c r="E351" t="inlineStr">
        <is>
          <t>ÄLVDALEN</t>
        </is>
      </c>
      <c r="G351" t="n">
        <v>4.7</v>
      </c>
      <c r="H351" t="n">
        <v>0</v>
      </c>
      <c r="I351" t="n">
        <v>0</v>
      </c>
      <c r="J351" t="n">
        <v>0</v>
      </c>
      <c r="K351" t="n">
        <v>0</v>
      </c>
      <c r="L351" t="n">
        <v>0</v>
      </c>
      <c r="M351" t="n">
        <v>0</v>
      </c>
      <c r="N351" t="n">
        <v>0</v>
      </c>
      <c r="O351" t="n">
        <v>0</v>
      </c>
      <c r="P351" t="n">
        <v>0</v>
      </c>
      <c r="Q351" t="n">
        <v>0</v>
      </c>
      <c r="R351" s="2" t="inlineStr"/>
    </row>
    <row r="352" ht="15" customHeight="1">
      <c r="A352" t="inlineStr">
        <is>
          <t>A 38754-2025</t>
        </is>
      </c>
      <c r="B352" s="1" t="n">
        <v>45887.39354166666</v>
      </c>
      <c r="C352" s="1" t="n">
        <v>46145</v>
      </c>
      <c r="D352" t="inlineStr">
        <is>
          <t>DALARNAS LÄN</t>
        </is>
      </c>
      <c r="E352" t="inlineStr">
        <is>
          <t>ÄLVDALEN</t>
        </is>
      </c>
      <c r="F352" t="inlineStr">
        <is>
          <t>Bergvik skog väst AB</t>
        </is>
      </c>
      <c r="G352" t="n">
        <v>7.1</v>
      </c>
      <c r="H352" t="n">
        <v>0</v>
      </c>
      <c r="I352" t="n">
        <v>0</v>
      </c>
      <c r="J352" t="n">
        <v>0</v>
      </c>
      <c r="K352" t="n">
        <v>0</v>
      </c>
      <c r="L352" t="n">
        <v>0</v>
      </c>
      <c r="M352" t="n">
        <v>0</v>
      </c>
      <c r="N352" t="n">
        <v>0</v>
      </c>
      <c r="O352" t="n">
        <v>0</v>
      </c>
      <c r="P352" t="n">
        <v>0</v>
      </c>
      <c r="Q352" t="n">
        <v>0</v>
      </c>
      <c r="R352" s="2" t="inlineStr"/>
    </row>
    <row r="353" ht="15" customHeight="1">
      <c r="A353" t="inlineStr">
        <is>
          <t>A 59444-2024</t>
        </is>
      </c>
      <c r="B353" s="1" t="n">
        <v>45638.45292824074</v>
      </c>
      <c r="C353" s="1" t="n">
        <v>46145</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59483-2024</t>
        </is>
      </c>
      <c r="B354" s="1" t="n">
        <v>45638.52847222222</v>
      </c>
      <c r="C354" s="1" t="n">
        <v>46145</v>
      </c>
      <c r="D354" t="inlineStr">
        <is>
          <t>DALARNAS LÄN</t>
        </is>
      </c>
      <c r="E354" t="inlineStr">
        <is>
          <t>ÄLVDALEN</t>
        </is>
      </c>
      <c r="F354" t="inlineStr">
        <is>
          <t>Allmännings- och besparingsskogar</t>
        </is>
      </c>
      <c r="G354" t="n">
        <v>6.9</v>
      </c>
      <c r="H354" t="n">
        <v>0</v>
      </c>
      <c r="I354" t="n">
        <v>0</v>
      </c>
      <c r="J354" t="n">
        <v>0</v>
      </c>
      <c r="K354" t="n">
        <v>0</v>
      </c>
      <c r="L354" t="n">
        <v>0</v>
      </c>
      <c r="M354" t="n">
        <v>0</v>
      </c>
      <c r="N354" t="n">
        <v>0</v>
      </c>
      <c r="O354" t="n">
        <v>0</v>
      </c>
      <c r="P354" t="n">
        <v>0</v>
      </c>
      <c r="Q354" t="n">
        <v>0</v>
      </c>
      <c r="R354" s="2" t="inlineStr"/>
    </row>
    <row r="355" ht="15" customHeight="1">
      <c r="A355" t="inlineStr">
        <is>
          <t>A 26656-2025</t>
        </is>
      </c>
      <c r="B355" s="1" t="n">
        <v>45810</v>
      </c>
      <c r="C355" s="1" t="n">
        <v>46145</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61072-2024</t>
        </is>
      </c>
      <c r="B356" s="1" t="n">
        <v>45645.50583333334</v>
      </c>
      <c r="C356" s="1" t="n">
        <v>46145</v>
      </c>
      <c r="D356" t="inlineStr">
        <is>
          <t>DALARNAS LÄN</t>
        </is>
      </c>
      <c r="E356" t="inlineStr">
        <is>
          <t>ÄLVDALEN</t>
        </is>
      </c>
      <c r="G356" t="n">
        <v>3.9</v>
      </c>
      <c r="H356" t="n">
        <v>0</v>
      </c>
      <c r="I356" t="n">
        <v>0</v>
      </c>
      <c r="J356" t="n">
        <v>0</v>
      </c>
      <c r="K356" t="n">
        <v>0</v>
      </c>
      <c r="L356" t="n">
        <v>0</v>
      </c>
      <c r="M356" t="n">
        <v>0</v>
      </c>
      <c r="N356" t="n">
        <v>0</v>
      </c>
      <c r="O356" t="n">
        <v>0</v>
      </c>
      <c r="P356" t="n">
        <v>0</v>
      </c>
      <c r="Q356" t="n">
        <v>0</v>
      </c>
      <c r="R356" s="2" t="inlineStr"/>
    </row>
    <row r="357" ht="15" customHeight="1">
      <c r="A357" t="inlineStr">
        <is>
          <t>A 39893-2025</t>
        </is>
      </c>
      <c r="B357" s="1" t="n">
        <v>45891.63013888889</v>
      </c>
      <c r="C357" s="1" t="n">
        <v>46145</v>
      </c>
      <c r="D357" t="inlineStr">
        <is>
          <t>DALARNAS LÄN</t>
        </is>
      </c>
      <c r="E357" t="inlineStr">
        <is>
          <t>ÄLVDALEN</t>
        </is>
      </c>
      <c r="F357" t="inlineStr">
        <is>
          <t>Kommuner</t>
        </is>
      </c>
      <c r="G357" t="n">
        <v>5.8</v>
      </c>
      <c r="H357" t="n">
        <v>0</v>
      </c>
      <c r="I357" t="n">
        <v>0</v>
      </c>
      <c r="J357" t="n">
        <v>0</v>
      </c>
      <c r="K357" t="n">
        <v>0</v>
      </c>
      <c r="L357" t="n">
        <v>0</v>
      </c>
      <c r="M357" t="n">
        <v>0</v>
      </c>
      <c r="N357" t="n">
        <v>0</v>
      </c>
      <c r="O357" t="n">
        <v>0</v>
      </c>
      <c r="P357" t="n">
        <v>0</v>
      </c>
      <c r="Q357" t="n">
        <v>0</v>
      </c>
      <c r="R357" s="2" t="inlineStr"/>
    </row>
    <row r="358" ht="15" customHeight="1">
      <c r="A358" t="inlineStr">
        <is>
          <t>A 31332-2023</t>
        </is>
      </c>
      <c r="B358" s="1" t="n">
        <v>45114</v>
      </c>
      <c r="C358" s="1" t="n">
        <v>46145</v>
      </c>
      <c r="D358" t="inlineStr">
        <is>
          <t>DALARNAS LÄN</t>
        </is>
      </c>
      <c r="E358" t="inlineStr">
        <is>
          <t>ÄLVDALEN</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39789-2025</t>
        </is>
      </c>
      <c r="B359" s="1" t="n">
        <v>45891.48471064815</v>
      </c>
      <c r="C359" s="1" t="n">
        <v>46145</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40081-2025</t>
        </is>
      </c>
      <c r="B360" s="1" t="n">
        <v>45894.46609953704</v>
      </c>
      <c r="C360" s="1" t="n">
        <v>46145</v>
      </c>
      <c r="D360" t="inlineStr">
        <is>
          <t>DALARNAS LÄN</t>
        </is>
      </c>
      <c r="E360" t="inlineStr">
        <is>
          <t>ÄLVDALEN</t>
        </is>
      </c>
      <c r="F360" t="inlineStr">
        <is>
          <t>Övriga statliga verk och myndigheter</t>
        </is>
      </c>
      <c r="G360" t="n">
        <v>1.4</v>
      </c>
      <c r="H360" t="n">
        <v>0</v>
      </c>
      <c r="I360" t="n">
        <v>0</v>
      </c>
      <c r="J360" t="n">
        <v>0</v>
      </c>
      <c r="K360" t="n">
        <v>0</v>
      </c>
      <c r="L360" t="n">
        <v>0</v>
      </c>
      <c r="M360" t="n">
        <v>0</v>
      </c>
      <c r="N360" t="n">
        <v>0</v>
      </c>
      <c r="O360" t="n">
        <v>0</v>
      </c>
      <c r="P360" t="n">
        <v>0</v>
      </c>
      <c r="Q360" t="n">
        <v>0</v>
      </c>
      <c r="R360" s="2" t="inlineStr"/>
    </row>
    <row r="361" ht="15" customHeight="1">
      <c r="A361" t="inlineStr">
        <is>
          <t>A 39755-2025</t>
        </is>
      </c>
      <c r="B361" s="1" t="n">
        <v>45891</v>
      </c>
      <c r="C361" s="1" t="n">
        <v>46145</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61070-2024</t>
        </is>
      </c>
      <c r="B362" s="1" t="n">
        <v>45645.50170138889</v>
      </c>
      <c r="C362" s="1" t="n">
        <v>46145</v>
      </c>
      <c r="D362" t="inlineStr">
        <is>
          <t>DALARNAS LÄN</t>
        </is>
      </c>
      <c r="E362" t="inlineStr">
        <is>
          <t>ÄLVDALEN</t>
        </is>
      </c>
      <c r="G362" t="n">
        <v>5.6</v>
      </c>
      <c r="H362" t="n">
        <v>0</v>
      </c>
      <c r="I362" t="n">
        <v>0</v>
      </c>
      <c r="J362" t="n">
        <v>0</v>
      </c>
      <c r="K362" t="n">
        <v>0</v>
      </c>
      <c r="L362" t="n">
        <v>0</v>
      </c>
      <c r="M362" t="n">
        <v>0</v>
      </c>
      <c r="N362" t="n">
        <v>0</v>
      </c>
      <c r="O362" t="n">
        <v>0</v>
      </c>
      <c r="P362" t="n">
        <v>0</v>
      </c>
      <c r="Q362" t="n">
        <v>0</v>
      </c>
      <c r="R362" s="2" t="inlineStr"/>
    </row>
    <row r="363" ht="15" customHeight="1">
      <c r="A363" t="inlineStr">
        <is>
          <t>A 29713-2022</t>
        </is>
      </c>
      <c r="B363" s="1" t="n">
        <v>44755</v>
      </c>
      <c r="C363" s="1" t="n">
        <v>46145</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40954-2025</t>
        </is>
      </c>
      <c r="B364" s="1" t="n">
        <v>45897.67196759259</v>
      </c>
      <c r="C364" s="1" t="n">
        <v>46145</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627-2025</t>
        </is>
      </c>
      <c r="B365" s="1" t="n">
        <v>45660</v>
      </c>
      <c r="C365" s="1" t="n">
        <v>46145</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41115-2025</t>
        </is>
      </c>
      <c r="B366" s="1" t="n">
        <v>45898.46256944445</v>
      </c>
      <c r="C366" s="1" t="n">
        <v>46145</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10817-2025</t>
        </is>
      </c>
      <c r="B367" s="1" t="n">
        <v>45722.54625</v>
      </c>
      <c r="C367" s="1" t="n">
        <v>46145</v>
      </c>
      <c r="D367" t="inlineStr">
        <is>
          <t>DALARNAS LÄN</t>
        </is>
      </c>
      <c r="E367" t="inlineStr">
        <is>
          <t>ÄLVDALEN</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10831-2025</t>
        </is>
      </c>
      <c r="B368" s="1" t="n">
        <v>45722.56425925926</v>
      </c>
      <c r="C368" s="1" t="n">
        <v>46145</v>
      </c>
      <c r="D368" t="inlineStr">
        <is>
          <t>DALARNAS LÄN</t>
        </is>
      </c>
      <c r="E368" t="inlineStr">
        <is>
          <t>ÄLVDALEN</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41566-2025</t>
        </is>
      </c>
      <c r="B369" s="1" t="n">
        <v>45901.6049537037</v>
      </c>
      <c r="C369" s="1" t="n">
        <v>46145</v>
      </c>
      <c r="D369" t="inlineStr">
        <is>
          <t>DALARNAS LÄN</t>
        </is>
      </c>
      <c r="E369" t="inlineStr">
        <is>
          <t>ÄLVDALEN</t>
        </is>
      </c>
      <c r="G369" t="n">
        <v>2.6</v>
      </c>
      <c r="H369" t="n">
        <v>0</v>
      </c>
      <c r="I369" t="n">
        <v>0</v>
      </c>
      <c r="J369" t="n">
        <v>0</v>
      </c>
      <c r="K369" t="n">
        <v>0</v>
      </c>
      <c r="L369" t="n">
        <v>0</v>
      </c>
      <c r="M369" t="n">
        <v>0</v>
      </c>
      <c r="N369" t="n">
        <v>0</v>
      </c>
      <c r="O369" t="n">
        <v>0</v>
      </c>
      <c r="P369" t="n">
        <v>0</v>
      </c>
      <c r="Q369" t="n">
        <v>0</v>
      </c>
      <c r="R369" s="2" t="inlineStr"/>
    </row>
    <row r="370" ht="15" customHeight="1">
      <c r="A370" t="inlineStr">
        <is>
          <t>A 41571-2025</t>
        </is>
      </c>
      <c r="B370" s="1" t="n">
        <v>45901.61150462963</v>
      </c>
      <c r="C370" s="1" t="n">
        <v>46145</v>
      </c>
      <c r="D370" t="inlineStr">
        <is>
          <t>DALARNAS LÄN</t>
        </is>
      </c>
      <c r="E370" t="inlineStr">
        <is>
          <t>ÄLVDALEN</t>
        </is>
      </c>
      <c r="G370" t="n">
        <v>1.8</v>
      </c>
      <c r="H370" t="n">
        <v>0</v>
      </c>
      <c r="I370" t="n">
        <v>0</v>
      </c>
      <c r="J370" t="n">
        <v>0</v>
      </c>
      <c r="K370" t="n">
        <v>0</v>
      </c>
      <c r="L370" t="n">
        <v>0</v>
      </c>
      <c r="M370" t="n">
        <v>0</v>
      </c>
      <c r="N370" t="n">
        <v>0</v>
      </c>
      <c r="O370" t="n">
        <v>0</v>
      </c>
      <c r="P370" t="n">
        <v>0</v>
      </c>
      <c r="Q370" t="n">
        <v>0</v>
      </c>
      <c r="R370" s="2" t="inlineStr"/>
    </row>
    <row r="371" ht="15" customHeight="1">
      <c r="A371" t="inlineStr">
        <is>
          <t>A 47081-2023</t>
        </is>
      </c>
      <c r="B371" s="1" t="n">
        <v>45201.61148148148</v>
      </c>
      <c r="C371" s="1" t="n">
        <v>46145</v>
      </c>
      <c r="D371" t="inlineStr">
        <is>
          <t>DALARNAS LÄN</t>
        </is>
      </c>
      <c r="E371" t="inlineStr">
        <is>
          <t>ÄLVDALEN</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23369-2023</t>
        </is>
      </c>
      <c r="B372" s="1" t="n">
        <v>45076</v>
      </c>
      <c r="C372" s="1" t="n">
        <v>46145</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9719-2023</t>
        </is>
      </c>
      <c r="B373" s="1" t="n">
        <v>44978</v>
      </c>
      <c r="C373" s="1" t="n">
        <v>46145</v>
      </c>
      <c r="D373" t="inlineStr">
        <is>
          <t>DALARNAS LÄN</t>
        </is>
      </c>
      <c r="E373" t="inlineStr">
        <is>
          <t>ÄLVDALEN</t>
        </is>
      </c>
      <c r="G373" t="n">
        <v>20.2</v>
      </c>
      <c r="H373" t="n">
        <v>0</v>
      </c>
      <c r="I373" t="n">
        <v>0</v>
      </c>
      <c r="J373" t="n">
        <v>0</v>
      </c>
      <c r="K373" t="n">
        <v>0</v>
      </c>
      <c r="L373" t="n">
        <v>0</v>
      </c>
      <c r="M373" t="n">
        <v>0</v>
      </c>
      <c r="N373" t="n">
        <v>0</v>
      </c>
      <c r="O373" t="n">
        <v>0</v>
      </c>
      <c r="P373" t="n">
        <v>0</v>
      </c>
      <c r="Q373" t="n">
        <v>0</v>
      </c>
      <c r="R373" s="2" t="inlineStr"/>
    </row>
    <row r="374" ht="15" customHeight="1">
      <c r="A374" t="inlineStr">
        <is>
          <t>A 40003-2022</t>
        </is>
      </c>
      <c r="B374" s="1" t="n">
        <v>44820.36509259259</v>
      </c>
      <c r="C374" s="1" t="n">
        <v>46145</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48849-2022</t>
        </is>
      </c>
      <c r="B375" s="1" t="n">
        <v>44859</v>
      </c>
      <c r="C375" s="1" t="n">
        <v>46145</v>
      </c>
      <c r="D375" t="inlineStr">
        <is>
          <t>DALARNAS LÄN</t>
        </is>
      </c>
      <c r="E375" t="inlineStr">
        <is>
          <t>ÄLVDALEN</t>
        </is>
      </c>
      <c r="F375" t="inlineStr">
        <is>
          <t>Allmännings- och besparingsskogar</t>
        </is>
      </c>
      <c r="G375" t="n">
        <v>2.4</v>
      </c>
      <c r="H375" t="n">
        <v>0</v>
      </c>
      <c r="I375" t="n">
        <v>0</v>
      </c>
      <c r="J375" t="n">
        <v>0</v>
      </c>
      <c r="K375" t="n">
        <v>0</v>
      </c>
      <c r="L375" t="n">
        <v>0</v>
      </c>
      <c r="M375" t="n">
        <v>0</v>
      </c>
      <c r="N375" t="n">
        <v>0</v>
      </c>
      <c r="O375" t="n">
        <v>0</v>
      </c>
      <c r="P375" t="n">
        <v>0</v>
      </c>
      <c r="Q375" t="n">
        <v>0</v>
      </c>
      <c r="R375" s="2" t="inlineStr"/>
    </row>
    <row r="376" ht="15" customHeight="1">
      <c r="A376" t="inlineStr">
        <is>
          <t>A 36593-2023</t>
        </is>
      </c>
      <c r="B376" s="1" t="n">
        <v>45153.47732638889</v>
      </c>
      <c r="C376" s="1" t="n">
        <v>46145</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8538-2025</t>
        </is>
      </c>
      <c r="B377" s="1" t="n">
        <v>45709.59030092593</v>
      </c>
      <c r="C377" s="1" t="n">
        <v>46145</v>
      </c>
      <c r="D377" t="inlineStr">
        <is>
          <t>DALARNAS LÄN</t>
        </is>
      </c>
      <c r="E377" t="inlineStr">
        <is>
          <t>ÄLVDALEN</t>
        </is>
      </c>
      <c r="F377" t="inlineStr">
        <is>
          <t>Allmännings- och besparingsskogar</t>
        </is>
      </c>
      <c r="G377" t="n">
        <v>0.6</v>
      </c>
      <c r="H377" t="n">
        <v>0</v>
      </c>
      <c r="I377" t="n">
        <v>0</v>
      </c>
      <c r="J377" t="n">
        <v>0</v>
      </c>
      <c r="K377" t="n">
        <v>0</v>
      </c>
      <c r="L377" t="n">
        <v>0</v>
      </c>
      <c r="M377" t="n">
        <v>0</v>
      </c>
      <c r="N377" t="n">
        <v>0</v>
      </c>
      <c r="O377" t="n">
        <v>0</v>
      </c>
      <c r="P377" t="n">
        <v>0</v>
      </c>
      <c r="Q377" t="n">
        <v>0</v>
      </c>
      <c r="R377" s="2" t="inlineStr"/>
    </row>
    <row r="378" ht="15" customHeight="1">
      <c r="A378" t="inlineStr">
        <is>
          <t>A 36284-2024</t>
        </is>
      </c>
      <c r="B378" s="1" t="n">
        <v>45534.5897337963</v>
      </c>
      <c r="C378" s="1" t="n">
        <v>46145</v>
      </c>
      <c r="D378" t="inlineStr">
        <is>
          <t>DALARNAS LÄN</t>
        </is>
      </c>
      <c r="E378" t="inlineStr">
        <is>
          <t>ÄLVDALEN</t>
        </is>
      </c>
      <c r="G378" t="n">
        <v>3.4</v>
      </c>
      <c r="H378" t="n">
        <v>0</v>
      </c>
      <c r="I378" t="n">
        <v>0</v>
      </c>
      <c r="J378" t="n">
        <v>0</v>
      </c>
      <c r="K378" t="n">
        <v>0</v>
      </c>
      <c r="L378" t="n">
        <v>0</v>
      </c>
      <c r="M378" t="n">
        <v>0</v>
      </c>
      <c r="N378" t="n">
        <v>0</v>
      </c>
      <c r="O378" t="n">
        <v>0</v>
      </c>
      <c r="P378" t="n">
        <v>0</v>
      </c>
      <c r="Q378" t="n">
        <v>0</v>
      </c>
      <c r="R378" s="2" t="inlineStr"/>
    </row>
    <row r="379" ht="15" customHeight="1">
      <c r="A379" t="inlineStr">
        <is>
          <t>A 54632-2021</t>
        </is>
      </c>
      <c r="B379" s="1" t="n">
        <v>44473</v>
      </c>
      <c r="C379" s="1" t="n">
        <v>46145</v>
      </c>
      <c r="D379" t="inlineStr">
        <is>
          <t>DALARNAS LÄN</t>
        </is>
      </c>
      <c r="E379" t="inlineStr">
        <is>
          <t>ÄLVDALEN</t>
        </is>
      </c>
      <c r="G379" t="n">
        <v>0.5</v>
      </c>
      <c r="H379" t="n">
        <v>0</v>
      </c>
      <c r="I379" t="n">
        <v>0</v>
      </c>
      <c r="J379" t="n">
        <v>0</v>
      </c>
      <c r="K379" t="n">
        <v>0</v>
      </c>
      <c r="L379" t="n">
        <v>0</v>
      </c>
      <c r="M379" t="n">
        <v>0</v>
      </c>
      <c r="N379" t="n">
        <v>0</v>
      </c>
      <c r="O379" t="n">
        <v>0</v>
      </c>
      <c r="P379" t="n">
        <v>0</v>
      </c>
      <c r="Q379" t="n">
        <v>0</v>
      </c>
      <c r="R379" s="2" t="inlineStr"/>
      <c r="T379">
        <f>HYPERLINK("https://klasma.github.io/Logging_2039/kartor/A 54632-2021 karta.png", "A 54632-2021")</f>
        <v/>
      </c>
      <c r="V379">
        <f>HYPERLINK("https://klasma.github.io/Logging_2039/klagomål/A 54632-2021 FSC-klagomål.docx", "A 54632-2021")</f>
        <v/>
      </c>
      <c r="W379">
        <f>HYPERLINK("https://klasma.github.io/Logging_2039/klagomålsmail/A 54632-2021 FSC-klagomål mail.docx", "A 54632-2021")</f>
        <v/>
      </c>
      <c r="X379">
        <f>HYPERLINK("https://klasma.github.io/Logging_2039/tillsyn/A 54632-2021 tillsynsbegäran.docx", "A 54632-2021")</f>
        <v/>
      </c>
      <c r="Y379">
        <f>HYPERLINK("https://klasma.github.io/Logging_2039/tillsynsmail/A 54632-2021 tillsynsbegäran mail.docx", "A 54632-2021")</f>
        <v/>
      </c>
    </row>
    <row r="380" ht="15" customHeight="1">
      <c r="A380" t="inlineStr">
        <is>
          <t>A 43602-2025</t>
        </is>
      </c>
      <c r="B380" s="1" t="n">
        <v>45911.66576388889</v>
      </c>
      <c r="C380" s="1" t="n">
        <v>46145</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43342-2025</t>
        </is>
      </c>
      <c r="B381" s="1" t="n">
        <v>45910.7628125</v>
      </c>
      <c r="C381" s="1" t="n">
        <v>46145</v>
      </c>
      <c r="D381" t="inlineStr">
        <is>
          <t>DALARNAS LÄN</t>
        </is>
      </c>
      <c r="E381" t="inlineStr">
        <is>
          <t>ÄLVDALEN</t>
        </is>
      </c>
      <c r="G381" t="n">
        <v>2.9</v>
      </c>
      <c r="H381" t="n">
        <v>0</v>
      </c>
      <c r="I381" t="n">
        <v>0</v>
      </c>
      <c r="J381" t="n">
        <v>0</v>
      </c>
      <c r="K381" t="n">
        <v>0</v>
      </c>
      <c r="L381" t="n">
        <v>0</v>
      </c>
      <c r="M381" t="n">
        <v>0</v>
      </c>
      <c r="N381" t="n">
        <v>0</v>
      </c>
      <c r="O381" t="n">
        <v>0</v>
      </c>
      <c r="P381" t="n">
        <v>0</v>
      </c>
      <c r="Q381" t="n">
        <v>0</v>
      </c>
      <c r="R381" s="2" t="inlineStr"/>
    </row>
    <row r="382" ht="15" customHeight="1">
      <c r="A382" t="inlineStr">
        <is>
          <t>A 43514-2025</t>
        </is>
      </c>
      <c r="B382" s="1" t="n">
        <v>45911.56475694444</v>
      </c>
      <c r="C382" s="1" t="n">
        <v>46145</v>
      </c>
      <c r="D382" t="inlineStr">
        <is>
          <t>DALARNAS LÄN</t>
        </is>
      </c>
      <c r="E382" t="inlineStr">
        <is>
          <t>ÄLVDALEN</t>
        </is>
      </c>
      <c r="F382" t="inlineStr">
        <is>
          <t>Allmännings- och besparingsskogar</t>
        </is>
      </c>
      <c r="G382" t="n">
        <v>1.3</v>
      </c>
      <c r="H382" t="n">
        <v>0</v>
      </c>
      <c r="I382" t="n">
        <v>0</v>
      </c>
      <c r="J382" t="n">
        <v>0</v>
      </c>
      <c r="K382" t="n">
        <v>0</v>
      </c>
      <c r="L382" t="n">
        <v>0</v>
      </c>
      <c r="M382" t="n">
        <v>0</v>
      </c>
      <c r="N382" t="n">
        <v>0</v>
      </c>
      <c r="O382" t="n">
        <v>0</v>
      </c>
      <c r="P382" t="n">
        <v>0</v>
      </c>
      <c r="Q382" t="n">
        <v>0</v>
      </c>
      <c r="R382" s="2" t="inlineStr"/>
    </row>
    <row r="383" ht="15" customHeight="1">
      <c r="A383" t="inlineStr">
        <is>
          <t>A 43581-2025</t>
        </is>
      </c>
      <c r="B383" s="1" t="n">
        <v>45911.64846064815</v>
      </c>
      <c r="C383" s="1" t="n">
        <v>46145</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43585-2025</t>
        </is>
      </c>
      <c r="B384" s="1" t="n">
        <v>45911.65087962963</v>
      </c>
      <c r="C384" s="1" t="n">
        <v>46145</v>
      </c>
      <c r="D384" t="inlineStr">
        <is>
          <t>DALARNAS LÄN</t>
        </is>
      </c>
      <c r="E384" t="inlineStr">
        <is>
          <t>ÄLVDALEN</t>
        </is>
      </c>
      <c r="G384" t="n">
        <v>2.8</v>
      </c>
      <c r="H384" t="n">
        <v>0</v>
      </c>
      <c r="I384" t="n">
        <v>0</v>
      </c>
      <c r="J384" t="n">
        <v>0</v>
      </c>
      <c r="K384" t="n">
        <v>0</v>
      </c>
      <c r="L384" t="n">
        <v>0</v>
      </c>
      <c r="M384" t="n">
        <v>0</v>
      </c>
      <c r="N384" t="n">
        <v>0</v>
      </c>
      <c r="O384" t="n">
        <v>0</v>
      </c>
      <c r="P384" t="n">
        <v>0</v>
      </c>
      <c r="Q384" t="n">
        <v>0</v>
      </c>
      <c r="R384" s="2" t="inlineStr"/>
    </row>
    <row r="385" ht="15" customHeight="1">
      <c r="A385" t="inlineStr">
        <is>
          <t>A 19587-2025</t>
        </is>
      </c>
      <c r="B385" s="1" t="n">
        <v>45770.56820601852</v>
      </c>
      <c r="C385" s="1" t="n">
        <v>46145</v>
      </c>
      <c r="D385" t="inlineStr">
        <is>
          <t>DALARNAS LÄN</t>
        </is>
      </c>
      <c r="E385" t="inlineStr">
        <is>
          <t>ÄLVDALEN</t>
        </is>
      </c>
      <c r="F385" t="inlineStr">
        <is>
          <t>Allmännings- och besparingsskogar</t>
        </is>
      </c>
      <c r="G385" t="n">
        <v>1.4</v>
      </c>
      <c r="H385" t="n">
        <v>0</v>
      </c>
      <c r="I385" t="n">
        <v>0</v>
      </c>
      <c r="J385" t="n">
        <v>0</v>
      </c>
      <c r="K385" t="n">
        <v>0</v>
      </c>
      <c r="L385" t="n">
        <v>0</v>
      </c>
      <c r="M385" t="n">
        <v>0</v>
      </c>
      <c r="N385" t="n">
        <v>0</v>
      </c>
      <c r="O385" t="n">
        <v>0</v>
      </c>
      <c r="P385" t="n">
        <v>0</v>
      </c>
      <c r="Q385" t="n">
        <v>0</v>
      </c>
      <c r="R385" s="2" t="inlineStr"/>
    </row>
    <row r="386" ht="15" customHeight="1">
      <c r="A386" t="inlineStr">
        <is>
          <t>A 747-2025</t>
        </is>
      </c>
      <c r="B386" s="1" t="n">
        <v>45665.43965277778</v>
      </c>
      <c r="C386" s="1" t="n">
        <v>46145</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3196-2025</t>
        </is>
      </c>
      <c r="B387" s="1" t="n">
        <v>45679.42957175926</v>
      </c>
      <c r="C387" s="1" t="n">
        <v>46145</v>
      </c>
      <c r="D387" t="inlineStr">
        <is>
          <t>DALARNAS LÄN</t>
        </is>
      </c>
      <c r="E387" t="inlineStr">
        <is>
          <t>ÄLVDALEN</t>
        </is>
      </c>
      <c r="G387" t="n">
        <v>5.2</v>
      </c>
      <c r="H387" t="n">
        <v>0</v>
      </c>
      <c r="I387" t="n">
        <v>0</v>
      </c>
      <c r="J387" t="n">
        <v>0</v>
      </c>
      <c r="K387" t="n">
        <v>0</v>
      </c>
      <c r="L387" t="n">
        <v>0</v>
      </c>
      <c r="M387" t="n">
        <v>0</v>
      </c>
      <c r="N387" t="n">
        <v>0</v>
      </c>
      <c r="O387" t="n">
        <v>0</v>
      </c>
      <c r="P387" t="n">
        <v>0</v>
      </c>
      <c r="Q387" t="n">
        <v>0</v>
      </c>
      <c r="R387" s="2" t="inlineStr"/>
    </row>
    <row r="388" ht="15" customHeight="1">
      <c r="A388" t="inlineStr">
        <is>
          <t>A 43998-2025</t>
        </is>
      </c>
      <c r="B388" s="1" t="n">
        <v>45915</v>
      </c>
      <c r="C388" s="1" t="n">
        <v>46145</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19182-2023</t>
        </is>
      </c>
      <c r="B389" s="1" t="n">
        <v>45048</v>
      </c>
      <c r="C389" s="1" t="n">
        <v>46145</v>
      </c>
      <c r="D389" t="inlineStr">
        <is>
          <t>DALARNAS LÄN</t>
        </is>
      </c>
      <c r="E389" t="inlineStr">
        <is>
          <t>ÄLVDALEN</t>
        </is>
      </c>
      <c r="G389" t="n">
        <v>0.6</v>
      </c>
      <c r="H389" t="n">
        <v>0</v>
      </c>
      <c r="I389" t="n">
        <v>0</v>
      </c>
      <c r="J389" t="n">
        <v>0</v>
      </c>
      <c r="K389" t="n">
        <v>0</v>
      </c>
      <c r="L389" t="n">
        <v>0</v>
      </c>
      <c r="M389" t="n">
        <v>0</v>
      </c>
      <c r="N389" t="n">
        <v>0</v>
      </c>
      <c r="O389" t="n">
        <v>0</v>
      </c>
      <c r="P389" t="n">
        <v>0</v>
      </c>
      <c r="Q389" t="n">
        <v>0</v>
      </c>
      <c r="R389" s="2" t="inlineStr"/>
    </row>
    <row r="390" ht="15" customHeight="1">
      <c r="A390" t="inlineStr">
        <is>
          <t>A 52249-2022</t>
        </is>
      </c>
      <c r="B390" s="1" t="n">
        <v>44873</v>
      </c>
      <c r="C390" s="1" t="n">
        <v>46145</v>
      </c>
      <c r="D390" t="inlineStr">
        <is>
          <t>DALARNAS LÄN</t>
        </is>
      </c>
      <c r="E390" t="inlineStr">
        <is>
          <t>ÄLVDALEN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6230-2024</t>
        </is>
      </c>
      <c r="B391" s="1" t="n">
        <v>45337</v>
      </c>
      <c r="C391" s="1" t="n">
        <v>46145</v>
      </c>
      <c r="D391" t="inlineStr">
        <is>
          <t>DALARNAS LÄN</t>
        </is>
      </c>
      <c r="E391" t="inlineStr">
        <is>
          <t>ÄLVDALEN</t>
        </is>
      </c>
      <c r="G391" t="n">
        <v>6.2</v>
      </c>
      <c r="H391" t="n">
        <v>0</v>
      </c>
      <c r="I391" t="n">
        <v>0</v>
      </c>
      <c r="J391" t="n">
        <v>0</v>
      </c>
      <c r="K391" t="n">
        <v>0</v>
      </c>
      <c r="L391" t="n">
        <v>0</v>
      </c>
      <c r="M391" t="n">
        <v>0</v>
      </c>
      <c r="N391" t="n">
        <v>0</v>
      </c>
      <c r="O391" t="n">
        <v>0</v>
      </c>
      <c r="P391" t="n">
        <v>0</v>
      </c>
      <c r="Q391" t="n">
        <v>0</v>
      </c>
      <c r="R391" s="2" t="inlineStr"/>
    </row>
    <row r="392" ht="15" customHeight="1">
      <c r="A392" t="inlineStr">
        <is>
          <t>A 68383-2021</t>
        </is>
      </c>
      <c r="B392" s="1" t="n">
        <v>44529</v>
      </c>
      <c r="C392" s="1" t="n">
        <v>46145</v>
      </c>
      <c r="D392" t="inlineStr">
        <is>
          <t>DALARNAS LÄN</t>
        </is>
      </c>
      <c r="E392" t="inlineStr">
        <is>
          <t>ÄLVDALEN</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45156-2025</t>
        </is>
      </c>
      <c r="B393" s="1" t="n">
        <v>45919.48063657407</v>
      </c>
      <c r="C393" s="1" t="n">
        <v>46145</v>
      </c>
      <c r="D393" t="inlineStr">
        <is>
          <t>DALARNAS LÄN</t>
        </is>
      </c>
      <c r="E393" t="inlineStr">
        <is>
          <t>ÄLVDALEN</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30225-2023</t>
        </is>
      </c>
      <c r="B394" s="1" t="n">
        <v>45110.64971064815</v>
      </c>
      <c r="C394" s="1" t="n">
        <v>46145</v>
      </c>
      <c r="D394" t="inlineStr">
        <is>
          <t>DALARNAS LÄN</t>
        </is>
      </c>
      <c r="E394" t="inlineStr">
        <is>
          <t>ÄLVDALEN</t>
        </is>
      </c>
      <c r="F394" t="inlineStr">
        <is>
          <t>Allmännings- och besparingsskogar</t>
        </is>
      </c>
      <c r="G394" t="n">
        <v>0.6</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46145</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19567-2025</t>
        </is>
      </c>
      <c r="B396" s="1" t="n">
        <v>45770.5349537037</v>
      </c>
      <c r="C396" s="1" t="n">
        <v>46145</v>
      </c>
      <c r="D396" t="inlineStr">
        <is>
          <t>DALARNAS LÄN</t>
        </is>
      </c>
      <c r="E396" t="inlineStr">
        <is>
          <t>ÄLVDALEN</t>
        </is>
      </c>
      <c r="F396" t="inlineStr">
        <is>
          <t>Allmännings- och besparingsskogar</t>
        </is>
      </c>
      <c r="G396" t="n">
        <v>3.7</v>
      </c>
      <c r="H396" t="n">
        <v>0</v>
      </c>
      <c r="I396" t="n">
        <v>0</v>
      </c>
      <c r="J396" t="n">
        <v>0</v>
      </c>
      <c r="K396" t="n">
        <v>0</v>
      </c>
      <c r="L396" t="n">
        <v>0</v>
      </c>
      <c r="M396" t="n">
        <v>0</v>
      </c>
      <c r="N396" t="n">
        <v>0</v>
      </c>
      <c r="O396" t="n">
        <v>0</v>
      </c>
      <c r="P396" t="n">
        <v>0</v>
      </c>
      <c r="Q396" t="n">
        <v>0</v>
      </c>
      <c r="R396" s="2" t="inlineStr"/>
    </row>
    <row r="397" ht="15" customHeight="1">
      <c r="A397" t="inlineStr">
        <is>
          <t>A 70140-2021</t>
        </is>
      </c>
      <c r="B397" s="1" t="n">
        <v>44533</v>
      </c>
      <c r="C397" s="1" t="n">
        <v>46145</v>
      </c>
      <c r="D397" t="inlineStr">
        <is>
          <t>DALARNAS LÄN</t>
        </is>
      </c>
      <c r="E397" t="inlineStr">
        <is>
          <t>ÄLVDALEN</t>
        </is>
      </c>
      <c r="G397" t="n">
        <v>2.5</v>
      </c>
      <c r="H397" t="n">
        <v>0</v>
      </c>
      <c r="I397" t="n">
        <v>0</v>
      </c>
      <c r="J397" t="n">
        <v>0</v>
      </c>
      <c r="K397" t="n">
        <v>0</v>
      </c>
      <c r="L397" t="n">
        <v>0</v>
      </c>
      <c r="M397" t="n">
        <v>0</v>
      </c>
      <c r="N397" t="n">
        <v>0</v>
      </c>
      <c r="O397" t="n">
        <v>0</v>
      </c>
      <c r="P397" t="n">
        <v>0</v>
      </c>
      <c r="Q397" t="n">
        <v>0</v>
      </c>
      <c r="R397" s="2" t="inlineStr"/>
    </row>
    <row r="398" ht="15" customHeight="1">
      <c r="A398" t="inlineStr">
        <is>
          <t>A 32031-2023</t>
        </is>
      </c>
      <c r="B398" s="1" t="n">
        <v>45107</v>
      </c>
      <c r="C398" s="1" t="n">
        <v>46145</v>
      </c>
      <c r="D398" t="inlineStr">
        <is>
          <t>DALARNAS LÄN</t>
        </is>
      </c>
      <c r="E398" t="inlineStr">
        <is>
          <t>ÄLVDALEN</t>
        </is>
      </c>
      <c r="G398" t="n">
        <v>2.7</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46145</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46582-2025</t>
        </is>
      </c>
      <c r="B400" s="1" t="n">
        <v>45926.37971064815</v>
      </c>
      <c r="C400" s="1" t="n">
        <v>46145</v>
      </c>
      <c r="D400" t="inlineStr">
        <is>
          <t>DALARNAS LÄN</t>
        </is>
      </c>
      <c r="E400" t="inlineStr">
        <is>
          <t>ÄLVDALEN</t>
        </is>
      </c>
      <c r="F400" t="inlineStr">
        <is>
          <t>Allmännings- och besparingsskogar</t>
        </is>
      </c>
      <c r="G400" t="n">
        <v>20.7</v>
      </c>
      <c r="H400" t="n">
        <v>0</v>
      </c>
      <c r="I400" t="n">
        <v>0</v>
      </c>
      <c r="J400" t="n">
        <v>0</v>
      </c>
      <c r="K400" t="n">
        <v>0</v>
      </c>
      <c r="L400" t="n">
        <v>0</v>
      </c>
      <c r="M400" t="n">
        <v>0</v>
      </c>
      <c r="N400" t="n">
        <v>0</v>
      </c>
      <c r="O400" t="n">
        <v>0</v>
      </c>
      <c r="P400" t="n">
        <v>0</v>
      </c>
      <c r="Q400" t="n">
        <v>0</v>
      </c>
      <c r="R400" s="2" t="inlineStr"/>
    </row>
    <row r="401" ht="15" customHeight="1">
      <c r="A401" t="inlineStr">
        <is>
          <t>A 45122-2023</t>
        </is>
      </c>
      <c r="B401" s="1" t="n">
        <v>45191.44871527778</v>
      </c>
      <c r="C401" s="1" t="n">
        <v>46145</v>
      </c>
      <c r="D401" t="inlineStr">
        <is>
          <t>DALARNAS LÄN</t>
        </is>
      </c>
      <c r="E401" t="inlineStr">
        <is>
          <t>ÄLVDALEN</t>
        </is>
      </c>
      <c r="G401" t="n">
        <v>2.7</v>
      </c>
      <c r="H401" t="n">
        <v>0</v>
      </c>
      <c r="I401" t="n">
        <v>0</v>
      </c>
      <c r="J401" t="n">
        <v>0</v>
      </c>
      <c r="K401" t="n">
        <v>0</v>
      </c>
      <c r="L401" t="n">
        <v>0</v>
      </c>
      <c r="M401" t="n">
        <v>0</v>
      </c>
      <c r="N401" t="n">
        <v>0</v>
      </c>
      <c r="O401" t="n">
        <v>0</v>
      </c>
      <c r="P401" t="n">
        <v>0</v>
      </c>
      <c r="Q401" t="n">
        <v>0</v>
      </c>
      <c r="R401" s="2" t="inlineStr"/>
    </row>
    <row r="402" ht="15" customHeight="1">
      <c r="A402" t="inlineStr">
        <is>
          <t>A 47743-2024</t>
        </is>
      </c>
      <c r="B402" s="1" t="n">
        <v>45588.52550925926</v>
      </c>
      <c r="C402" s="1" t="n">
        <v>46145</v>
      </c>
      <c r="D402" t="inlineStr">
        <is>
          <t>DALARNAS LÄN</t>
        </is>
      </c>
      <c r="E402" t="inlineStr">
        <is>
          <t>ÄLVDALEN</t>
        </is>
      </c>
      <c r="G402" t="n">
        <v>4.4</v>
      </c>
      <c r="H402" t="n">
        <v>0</v>
      </c>
      <c r="I402" t="n">
        <v>0</v>
      </c>
      <c r="J402" t="n">
        <v>0</v>
      </c>
      <c r="K402" t="n">
        <v>0</v>
      </c>
      <c r="L402" t="n">
        <v>0</v>
      </c>
      <c r="M402" t="n">
        <v>0</v>
      </c>
      <c r="N402" t="n">
        <v>0</v>
      </c>
      <c r="O402" t="n">
        <v>0</v>
      </c>
      <c r="P402" t="n">
        <v>0</v>
      </c>
      <c r="Q402" t="n">
        <v>0</v>
      </c>
      <c r="R402" s="2" t="inlineStr"/>
    </row>
    <row r="403" ht="15" customHeight="1">
      <c r="A403" t="inlineStr">
        <is>
          <t>A 8496-2025</t>
        </is>
      </c>
      <c r="B403" s="1" t="n">
        <v>45709.51084490741</v>
      </c>
      <c r="C403" s="1" t="n">
        <v>46145</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47018-2025</t>
        </is>
      </c>
      <c r="B404" s="1" t="n">
        <v>45929.57569444444</v>
      </c>
      <c r="C404" s="1" t="n">
        <v>46145</v>
      </c>
      <c r="D404" t="inlineStr">
        <is>
          <t>DALARNAS LÄN</t>
        </is>
      </c>
      <c r="E404" t="inlineStr">
        <is>
          <t>ÄLVDALEN</t>
        </is>
      </c>
      <c r="F404" t="inlineStr">
        <is>
          <t>Allmännings- och besparingsskogar</t>
        </is>
      </c>
      <c r="G404" t="n">
        <v>3.4</v>
      </c>
      <c r="H404" t="n">
        <v>0</v>
      </c>
      <c r="I404" t="n">
        <v>0</v>
      </c>
      <c r="J404" t="n">
        <v>0</v>
      </c>
      <c r="K404" t="n">
        <v>0</v>
      </c>
      <c r="L404" t="n">
        <v>0</v>
      </c>
      <c r="M404" t="n">
        <v>0</v>
      </c>
      <c r="N404" t="n">
        <v>0</v>
      </c>
      <c r="O404" t="n">
        <v>0</v>
      </c>
      <c r="P404" t="n">
        <v>0</v>
      </c>
      <c r="Q404" t="n">
        <v>0</v>
      </c>
      <c r="R404" s="2" t="inlineStr"/>
    </row>
    <row r="405" ht="15" customHeight="1">
      <c r="A405" t="inlineStr">
        <is>
          <t>A 46882-2025</t>
        </is>
      </c>
      <c r="B405" s="1" t="n">
        <v>45929.36357638889</v>
      </c>
      <c r="C405" s="1" t="n">
        <v>46145</v>
      </c>
      <c r="D405" t="inlineStr">
        <is>
          <t>DALARNAS LÄN</t>
        </is>
      </c>
      <c r="E405" t="inlineStr">
        <is>
          <t>ÄLVDALEN</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47692-2025</t>
        </is>
      </c>
      <c r="B406" s="1" t="n">
        <v>45931.59818287037</v>
      </c>
      <c r="C406" s="1" t="n">
        <v>46145</v>
      </c>
      <c r="D406" t="inlineStr">
        <is>
          <t>DALARNAS LÄN</t>
        </is>
      </c>
      <c r="E406" t="inlineStr">
        <is>
          <t>ÄLVDALEN</t>
        </is>
      </c>
      <c r="G406" t="n">
        <v>0.4</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46145</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46145</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48197-2025</t>
        </is>
      </c>
      <c r="B409" s="1" t="n">
        <v>45933.47471064814</v>
      </c>
      <c r="C409" s="1" t="n">
        <v>46145</v>
      </c>
      <c r="D409" t="inlineStr">
        <is>
          <t>DALARNAS LÄN</t>
        </is>
      </c>
      <c r="E409" t="inlineStr">
        <is>
          <t>ÄLVDALEN</t>
        </is>
      </c>
      <c r="F409" t="inlineStr">
        <is>
          <t>Bergvik skog öst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54219-2025</t>
        </is>
      </c>
      <c r="B410" s="1" t="n">
        <v>45964</v>
      </c>
      <c r="C410" s="1" t="n">
        <v>46145</v>
      </c>
      <c r="D410" t="inlineStr">
        <is>
          <t>DALARNAS LÄN</t>
        </is>
      </c>
      <c r="E410" t="inlineStr">
        <is>
          <t>ÄLVDALEN</t>
        </is>
      </c>
      <c r="G410" t="n">
        <v>11.5</v>
      </c>
      <c r="H410" t="n">
        <v>0</v>
      </c>
      <c r="I410" t="n">
        <v>0</v>
      </c>
      <c r="J410" t="n">
        <v>0</v>
      </c>
      <c r="K410" t="n">
        <v>0</v>
      </c>
      <c r="L410" t="n">
        <v>0</v>
      </c>
      <c r="M410" t="n">
        <v>0</v>
      </c>
      <c r="N410" t="n">
        <v>0</v>
      </c>
      <c r="O410" t="n">
        <v>0</v>
      </c>
      <c r="P410" t="n">
        <v>0</v>
      </c>
      <c r="Q410" t="n">
        <v>0</v>
      </c>
      <c r="R410" s="2" t="inlineStr"/>
    </row>
    <row r="411" ht="15" customHeight="1">
      <c r="A411" t="inlineStr">
        <is>
          <t>A 60793-2022</t>
        </is>
      </c>
      <c r="B411" s="1" t="n">
        <v>44911</v>
      </c>
      <c r="C411" s="1" t="n">
        <v>46145</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row>
    <row r="412" ht="15" customHeight="1">
      <c r="A412" t="inlineStr">
        <is>
          <t>A 48135-2025</t>
        </is>
      </c>
      <c r="B412" s="1" t="n">
        <v>45933.37452546296</v>
      </c>
      <c r="C412" s="1" t="n">
        <v>46145</v>
      </c>
      <c r="D412" t="inlineStr">
        <is>
          <t>DALARNAS LÄN</t>
        </is>
      </c>
      <c r="E412" t="inlineStr">
        <is>
          <t>ÄLVDALEN</t>
        </is>
      </c>
      <c r="G412" t="n">
        <v>2.4</v>
      </c>
      <c r="H412" t="n">
        <v>0</v>
      </c>
      <c r="I412" t="n">
        <v>0</v>
      </c>
      <c r="J412" t="n">
        <v>0</v>
      </c>
      <c r="K412" t="n">
        <v>0</v>
      </c>
      <c r="L412" t="n">
        <v>0</v>
      </c>
      <c r="M412" t="n">
        <v>0</v>
      </c>
      <c r="N412" t="n">
        <v>0</v>
      </c>
      <c r="O412" t="n">
        <v>0</v>
      </c>
      <c r="P412" t="n">
        <v>0</v>
      </c>
      <c r="Q412" t="n">
        <v>0</v>
      </c>
      <c r="R412" s="2" t="inlineStr"/>
    </row>
    <row r="413" ht="15" customHeight="1">
      <c r="A413" t="inlineStr">
        <is>
          <t>A 38814-2025</t>
        </is>
      </c>
      <c r="B413" s="1" t="n">
        <v>45887</v>
      </c>
      <c r="C413" s="1" t="n">
        <v>46145</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42332-2023</t>
        </is>
      </c>
      <c r="B414" s="1" t="n">
        <v>45175</v>
      </c>
      <c r="C414" s="1" t="n">
        <v>46145</v>
      </c>
      <c r="D414" t="inlineStr">
        <is>
          <t>DALARNAS LÄN</t>
        </is>
      </c>
      <c r="E414" t="inlineStr">
        <is>
          <t>ÄLVDALEN</t>
        </is>
      </c>
      <c r="G414" t="n">
        <v>2.7</v>
      </c>
      <c r="H414" t="n">
        <v>0</v>
      </c>
      <c r="I414" t="n">
        <v>0</v>
      </c>
      <c r="J414" t="n">
        <v>0</v>
      </c>
      <c r="K414" t="n">
        <v>0</v>
      </c>
      <c r="L414" t="n">
        <v>0</v>
      </c>
      <c r="M414" t="n">
        <v>0</v>
      </c>
      <c r="N414" t="n">
        <v>0</v>
      </c>
      <c r="O414" t="n">
        <v>0</v>
      </c>
      <c r="P414" t="n">
        <v>0</v>
      </c>
      <c r="Q414" t="n">
        <v>0</v>
      </c>
      <c r="R414" s="2" t="inlineStr"/>
    </row>
    <row r="415" ht="15" customHeight="1">
      <c r="A415" t="inlineStr">
        <is>
          <t>A 59177-2023</t>
        </is>
      </c>
      <c r="B415" s="1" t="n">
        <v>45253</v>
      </c>
      <c r="C415" s="1" t="n">
        <v>46145</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50314-2025</t>
        </is>
      </c>
      <c r="B416" s="1" t="n">
        <v>45944.44439814815</v>
      </c>
      <c r="C416" s="1" t="n">
        <v>46145</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41158-2024</t>
        </is>
      </c>
      <c r="B417" s="1" t="n">
        <v>45559.47958333333</v>
      </c>
      <c r="C417" s="1" t="n">
        <v>46145</v>
      </c>
      <c r="D417" t="inlineStr">
        <is>
          <t>DALARNAS LÄN</t>
        </is>
      </c>
      <c r="E417" t="inlineStr">
        <is>
          <t>ÄLVDALEN</t>
        </is>
      </c>
      <c r="G417" t="n">
        <v>5.6</v>
      </c>
      <c r="H417" t="n">
        <v>0</v>
      </c>
      <c r="I417" t="n">
        <v>0</v>
      </c>
      <c r="J417" t="n">
        <v>0</v>
      </c>
      <c r="K417" t="n">
        <v>0</v>
      </c>
      <c r="L417" t="n">
        <v>0</v>
      </c>
      <c r="M417" t="n">
        <v>0</v>
      </c>
      <c r="N417" t="n">
        <v>0</v>
      </c>
      <c r="O417" t="n">
        <v>0</v>
      </c>
      <c r="P417" t="n">
        <v>0</v>
      </c>
      <c r="Q417" t="n">
        <v>0</v>
      </c>
      <c r="R417" s="2" t="inlineStr"/>
    </row>
    <row r="418" ht="15" customHeight="1">
      <c r="A418" t="inlineStr">
        <is>
          <t>A 51392-2025</t>
        </is>
      </c>
      <c r="B418" s="1" t="n">
        <v>45950.46956018519</v>
      </c>
      <c r="C418" s="1" t="n">
        <v>46145</v>
      </c>
      <c r="D418" t="inlineStr">
        <is>
          <t>DALARNAS LÄN</t>
        </is>
      </c>
      <c r="E418" t="inlineStr">
        <is>
          <t>ÄLVDALEN</t>
        </is>
      </c>
      <c r="G418" t="n">
        <v>0.8</v>
      </c>
      <c r="H418" t="n">
        <v>0</v>
      </c>
      <c r="I418" t="n">
        <v>0</v>
      </c>
      <c r="J418" t="n">
        <v>0</v>
      </c>
      <c r="K418" t="n">
        <v>0</v>
      </c>
      <c r="L418" t="n">
        <v>0</v>
      </c>
      <c r="M418" t="n">
        <v>0</v>
      </c>
      <c r="N418" t="n">
        <v>0</v>
      </c>
      <c r="O418" t="n">
        <v>0</v>
      </c>
      <c r="P418" t="n">
        <v>0</v>
      </c>
      <c r="Q418" t="n">
        <v>0</v>
      </c>
      <c r="R418" s="2" t="inlineStr"/>
    </row>
    <row r="419" ht="15" customHeight="1">
      <c r="A419" t="inlineStr">
        <is>
          <t>A 30985-2023</t>
        </is>
      </c>
      <c r="B419" s="1" t="n">
        <v>45113</v>
      </c>
      <c r="C419" s="1" t="n">
        <v>46145</v>
      </c>
      <c r="D419" t="inlineStr">
        <is>
          <t>DALARNAS LÄN</t>
        </is>
      </c>
      <c r="E419" t="inlineStr">
        <is>
          <t>ÄLVDALEN</t>
        </is>
      </c>
      <c r="F419" t="inlineStr">
        <is>
          <t>Allmännings- och besparingsskogar</t>
        </is>
      </c>
      <c r="G419" t="n">
        <v>2.9</v>
      </c>
      <c r="H419" t="n">
        <v>0</v>
      </c>
      <c r="I419" t="n">
        <v>0</v>
      </c>
      <c r="J419" t="n">
        <v>0</v>
      </c>
      <c r="K419" t="n">
        <v>0</v>
      </c>
      <c r="L419" t="n">
        <v>0</v>
      </c>
      <c r="M419" t="n">
        <v>0</v>
      </c>
      <c r="N419" t="n">
        <v>0</v>
      </c>
      <c r="O419" t="n">
        <v>0</v>
      </c>
      <c r="P419" t="n">
        <v>0</v>
      </c>
      <c r="Q419" t="n">
        <v>0</v>
      </c>
      <c r="R419" s="2" t="inlineStr"/>
    </row>
    <row r="420" ht="15" customHeight="1">
      <c r="A420" t="inlineStr">
        <is>
          <t>A 51381-2025</t>
        </is>
      </c>
      <c r="B420" s="1" t="n">
        <v>45950.45982638889</v>
      </c>
      <c r="C420" s="1" t="n">
        <v>46145</v>
      </c>
      <c r="D420" t="inlineStr">
        <is>
          <t>DALARNAS LÄN</t>
        </is>
      </c>
      <c r="E420" t="inlineStr">
        <is>
          <t>ÄLVDALEN</t>
        </is>
      </c>
      <c r="G420" t="n">
        <v>1.3</v>
      </c>
      <c r="H420" t="n">
        <v>0</v>
      </c>
      <c r="I420" t="n">
        <v>0</v>
      </c>
      <c r="J420" t="n">
        <v>0</v>
      </c>
      <c r="K420" t="n">
        <v>0</v>
      </c>
      <c r="L420" t="n">
        <v>0</v>
      </c>
      <c r="M420" t="n">
        <v>0</v>
      </c>
      <c r="N420" t="n">
        <v>0</v>
      </c>
      <c r="O420" t="n">
        <v>0</v>
      </c>
      <c r="P420" t="n">
        <v>0</v>
      </c>
      <c r="Q420" t="n">
        <v>0</v>
      </c>
      <c r="R420" s="2" t="inlineStr"/>
    </row>
    <row r="421" ht="15" customHeight="1">
      <c r="A421" t="inlineStr">
        <is>
          <t>A 51461-2025</t>
        </is>
      </c>
      <c r="B421" s="1" t="n">
        <v>45950.6047337963</v>
      </c>
      <c r="C421" s="1" t="n">
        <v>46145</v>
      </c>
      <c r="D421" t="inlineStr">
        <is>
          <t>DALARNAS LÄN</t>
        </is>
      </c>
      <c r="E421" t="inlineStr">
        <is>
          <t>ÄLVDALEN</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51399-2025</t>
        </is>
      </c>
      <c r="B422" s="1" t="n">
        <v>45950.47741898148</v>
      </c>
      <c r="C422" s="1" t="n">
        <v>46145</v>
      </c>
      <c r="D422" t="inlineStr">
        <is>
          <t>DALARNAS LÄN</t>
        </is>
      </c>
      <c r="E422" t="inlineStr">
        <is>
          <t>ÄLVDALEN</t>
        </is>
      </c>
      <c r="G422" t="n">
        <v>5.9</v>
      </c>
      <c r="H422" t="n">
        <v>0</v>
      </c>
      <c r="I422" t="n">
        <v>0</v>
      </c>
      <c r="J422" t="n">
        <v>0</v>
      </c>
      <c r="K422" t="n">
        <v>0</v>
      </c>
      <c r="L422" t="n">
        <v>0</v>
      </c>
      <c r="M422" t="n">
        <v>0</v>
      </c>
      <c r="N422" t="n">
        <v>0</v>
      </c>
      <c r="O422" t="n">
        <v>0</v>
      </c>
      <c r="P422" t="n">
        <v>0</v>
      </c>
      <c r="Q422" t="n">
        <v>0</v>
      </c>
      <c r="R422" s="2" t="inlineStr"/>
    </row>
    <row r="423" ht="15" customHeight="1">
      <c r="A423" t="inlineStr">
        <is>
          <t>A 14938-2023</t>
        </is>
      </c>
      <c r="B423" s="1" t="n">
        <v>45015</v>
      </c>
      <c r="C423" s="1" t="n">
        <v>46145</v>
      </c>
      <c r="D423" t="inlineStr">
        <is>
          <t>DALARNAS LÄN</t>
        </is>
      </c>
      <c r="E423" t="inlineStr">
        <is>
          <t>ÄLVDALEN</t>
        </is>
      </c>
      <c r="G423" t="n">
        <v>1.8</v>
      </c>
      <c r="H423" t="n">
        <v>0</v>
      </c>
      <c r="I423" t="n">
        <v>0</v>
      </c>
      <c r="J423" t="n">
        <v>0</v>
      </c>
      <c r="K423" t="n">
        <v>0</v>
      </c>
      <c r="L423" t="n">
        <v>0</v>
      </c>
      <c r="M423" t="n">
        <v>0</v>
      </c>
      <c r="N423" t="n">
        <v>0</v>
      </c>
      <c r="O423" t="n">
        <v>0</v>
      </c>
      <c r="P423" t="n">
        <v>0</v>
      </c>
      <c r="Q423" t="n">
        <v>0</v>
      </c>
      <c r="R423" s="2" t="inlineStr"/>
    </row>
    <row r="424" ht="15" customHeight="1">
      <c r="A424" t="inlineStr">
        <is>
          <t>A 51442-2025</t>
        </is>
      </c>
      <c r="B424" s="1" t="n">
        <v>45950.57458333333</v>
      </c>
      <c r="C424" s="1" t="n">
        <v>46145</v>
      </c>
      <c r="D424" t="inlineStr">
        <is>
          <t>DALARNAS LÄN</t>
        </is>
      </c>
      <c r="E424" t="inlineStr">
        <is>
          <t>ÄLVDALEN</t>
        </is>
      </c>
      <c r="F424" t="inlineStr">
        <is>
          <t>Bergvik skog väst AB</t>
        </is>
      </c>
      <c r="G424" t="n">
        <v>6.3</v>
      </c>
      <c r="H424" t="n">
        <v>0</v>
      </c>
      <c r="I424" t="n">
        <v>0</v>
      </c>
      <c r="J424" t="n">
        <v>0</v>
      </c>
      <c r="K424" t="n">
        <v>0</v>
      </c>
      <c r="L424" t="n">
        <v>0</v>
      </c>
      <c r="M424" t="n">
        <v>0</v>
      </c>
      <c r="N424" t="n">
        <v>0</v>
      </c>
      <c r="O424" t="n">
        <v>0</v>
      </c>
      <c r="P424" t="n">
        <v>0</v>
      </c>
      <c r="Q424" t="n">
        <v>0</v>
      </c>
      <c r="R424" s="2" t="inlineStr"/>
    </row>
    <row r="425" ht="15" customHeight="1">
      <c r="A425" t="inlineStr">
        <is>
          <t>A 56487-2024</t>
        </is>
      </c>
      <c r="B425" s="1" t="n">
        <v>45625.48621527778</v>
      </c>
      <c r="C425" s="1" t="n">
        <v>46145</v>
      </c>
      <c r="D425" t="inlineStr">
        <is>
          <t>DALARNAS LÄN</t>
        </is>
      </c>
      <c r="E425" t="inlineStr">
        <is>
          <t>ÄLVDALEN</t>
        </is>
      </c>
      <c r="F425" t="inlineStr">
        <is>
          <t>Allmännings- och besparingsskogar</t>
        </is>
      </c>
      <c r="G425" t="n">
        <v>5.6</v>
      </c>
      <c r="H425" t="n">
        <v>0</v>
      </c>
      <c r="I425" t="n">
        <v>0</v>
      </c>
      <c r="J425" t="n">
        <v>0</v>
      </c>
      <c r="K425" t="n">
        <v>0</v>
      </c>
      <c r="L425" t="n">
        <v>0</v>
      </c>
      <c r="M425" t="n">
        <v>0</v>
      </c>
      <c r="N425" t="n">
        <v>0</v>
      </c>
      <c r="O425" t="n">
        <v>0</v>
      </c>
      <c r="P425" t="n">
        <v>0</v>
      </c>
      <c r="Q425" t="n">
        <v>0</v>
      </c>
      <c r="R425" s="2" t="inlineStr"/>
    </row>
    <row r="426" ht="15" customHeight="1">
      <c r="A426" t="inlineStr">
        <is>
          <t>A 60265-2021</t>
        </is>
      </c>
      <c r="B426" s="1" t="n">
        <v>44495.68053240741</v>
      </c>
      <c r="C426" s="1" t="n">
        <v>46145</v>
      </c>
      <c r="D426" t="inlineStr">
        <is>
          <t>DALARNAS LÄN</t>
        </is>
      </c>
      <c r="E426" t="inlineStr">
        <is>
          <t>ÄLVDALEN</t>
        </is>
      </c>
      <c r="F426" t="inlineStr">
        <is>
          <t>Allmännings- och besparingsskogar</t>
        </is>
      </c>
      <c r="G426" t="n">
        <v>10</v>
      </c>
      <c r="H426" t="n">
        <v>0</v>
      </c>
      <c r="I426" t="n">
        <v>0</v>
      </c>
      <c r="J426" t="n">
        <v>0</v>
      </c>
      <c r="K426" t="n">
        <v>0</v>
      </c>
      <c r="L426" t="n">
        <v>0</v>
      </c>
      <c r="M426" t="n">
        <v>0</v>
      </c>
      <c r="N426" t="n">
        <v>0</v>
      </c>
      <c r="O426" t="n">
        <v>0</v>
      </c>
      <c r="P426" t="n">
        <v>0</v>
      </c>
      <c r="Q426" t="n">
        <v>0</v>
      </c>
      <c r="R426" s="2" t="inlineStr"/>
    </row>
    <row r="427" ht="15" customHeight="1">
      <c r="A427" t="inlineStr">
        <is>
          <t>A 52033-2025</t>
        </is>
      </c>
      <c r="B427" s="1" t="n">
        <v>45952.6122337963</v>
      </c>
      <c r="C427" s="1" t="n">
        <v>46145</v>
      </c>
      <c r="D427" t="inlineStr">
        <is>
          <t>DALARNAS LÄN</t>
        </is>
      </c>
      <c r="E427" t="inlineStr">
        <is>
          <t>ÄLVDALEN</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51975-2025</t>
        </is>
      </c>
      <c r="B428" s="1" t="n">
        <v>45952</v>
      </c>
      <c r="C428" s="1" t="n">
        <v>46145</v>
      </c>
      <c r="D428" t="inlineStr">
        <is>
          <t>DALARNAS LÄN</t>
        </is>
      </c>
      <c r="E428" t="inlineStr">
        <is>
          <t>ÄLVDALEN</t>
        </is>
      </c>
      <c r="F428" t="inlineStr">
        <is>
          <t>Allmännings- och besparingsskogar</t>
        </is>
      </c>
      <c r="G428" t="n">
        <v>3.5</v>
      </c>
      <c r="H428" t="n">
        <v>0</v>
      </c>
      <c r="I428" t="n">
        <v>0</v>
      </c>
      <c r="J428" t="n">
        <v>0</v>
      </c>
      <c r="K428" t="n">
        <v>0</v>
      </c>
      <c r="L428" t="n">
        <v>0</v>
      </c>
      <c r="M428" t="n">
        <v>0</v>
      </c>
      <c r="N428" t="n">
        <v>0</v>
      </c>
      <c r="O428" t="n">
        <v>0</v>
      </c>
      <c r="P428" t="n">
        <v>0</v>
      </c>
      <c r="Q428" t="n">
        <v>0</v>
      </c>
      <c r="R428" s="2" t="inlineStr"/>
    </row>
    <row r="429" ht="15" customHeight="1">
      <c r="A429" t="inlineStr">
        <is>
          <t>A 52072-2025</t>
        </is>
      </c>
      <c r="B429" s="1" t="n">
        <v>45952.64829861111</v>
      </c>
      <c r="C429" s="1" t="n">
        <v>46145</v>
      </c>
      <c r="D429" t="inlineStr">
        <is>
          <t>DALARNAS LÄN</t>
        </is>
      </c>
      <c r="E429" t="inlineStr">
        <is>
          <t>ÄLVDALEN</t>
        </is>
      </c>
      <c r="F429" t="inlineStr">
        <is>
          <t>Allmännings- och besparingsskogar</t>
        </is>
      </c>
      <c r="G429" t="n">
        <v>54.2</v>
      </c>
      <c r="H429" t="n">
        <v>0</v>
      </c>
      <c r="I429" t="n">
        <v>0</v>
      </c>
      <c r="J429" t="n">
        <v>0</v>
      </c>
      <c r="K429" t="n">
        <v>0</v>
      </c>
      <c r="L429" t="n">
        <v>0</v>
      </c>
      <c r="M429" t="n">
        <v>0</v>
      </c>
      <c r="N429" t="n">
        <v>0</v>
      </c>
      <c r="O429" t="n">
        <v>0</v>
      </c>
      <c r="P429" t="n">
        <v>0</v>
      </c>
      <c r="Q429" t="n">
        <v>0</v>
      </c>
      <c r="R429" s="2" t="inlineStr"/>
    </row>
    <row r="430" ht="15" customHeight="1">
      <c r="A430" t="inlineStr">
        <is>
          <t>A 32237-2025</t>
        </is>
      </c>
      <c r="B430" s="1" t="n">
        <v>45835</v>
      </c>
      <c r="C430" s="1" t="n">
        <v>46145</v>
      </c>
      <c r="D430" t="inlineStr">
        <is>
          <t>DALARNAS LÄN</t>
        </is>
      </c>
      <c r="E430" t="inlineStr">
        <is>
          <t>ÄLVDALEN</t>
        </is>
      </c>
      <c r="G430" t="n">
        <v>4.6</v>
      </c>
      <c r="H430" t="n">
        <v>0</v>
      </c>
      <c r="I430" t="n">
        <v>0</v>
      </c>
      <c r="J430" t="n">
        <v>0</v>
      </c>
      <c r="K430" t="n">
        <v>0</v>
      </c>
      <c r="L430" t="n">
        <v>0</v>
      </c>
      <c r="M430" t="n">
        <v>0</v>
      </c>
      <c r="N430" t="n">
        <v>0</v>
      </c>
      <c r="O430" t="n">
        <v>0</v>
      </c>
      <c r="P430" t="n">
        <v>0</v>
      </c>
      <c r="Q430" t="n">
        <v>0</v>
      </c>
      <c r="R430" s="2" t="inlineStr"/>
    </row>
    <row r="431" ht="15" customHeight="1">
      <c r="A431" t="inlineStr">
        <is>
          <t>A 5826-2023</t>
        </is>
      </c>
      <c r="B431" s="1" t="n">
        <v>44963.52038194444</v>
      </c>
      <c r="C431" s="1" t="n">
        <v>46145</v>
      </c>
      <c r="D431" t="inlineStr">
        <is>
          <t>DALARNAS LÄN</t>
        </is>
      </c>
      <c r="E431" t="inlineStr">
        <is>
          <t>ÄLVDALEN</t>
        </is>
      </c>
      <c r="G431" t="n">
        <v>1.7</v>
      </c>
      <c r="H431" t="n">
        <v>0</v>
      </c>
      <c r="I431" t="n">
        <v>0</v>
      </c>
      <c r="J431" t="n">
        <v>0</v>
      </c>
      <c r="K431" t="n">
        <v>0</v>
      </c>
      <c r="L431" t="n">
        <v>0</v>
      </c>
      <c r="M431" t="n">
        <v>0</v>
      </c>
      <c r="N431" t="n">
        <v>0</v>
      </c>
      <c r="O431" t="n">
        <v>0</v>
      </c>
      <c r="P431" t="n">
        <v>0</v>
      </c>
      <c r="Q431" t="n">
        <v>0</v>
      </c>
      <c r="R431" s="2" t="inlineStr"/>
    </row>
    <row r="432" ht="15" customHeight="1">
      <c r="A432" t="inlineStr">
        <is>
          <t>A 51915-2025</t>
        </is>
      </c>
      <c r="B432" s="1" t="n">
        <v>45952.47706018519</v>
      </c>
      <c r="C432" s="1" t="n">
        <v>46145</v>
      </c>
      <c r="D432" t="inlineStr">
        <is>
          <t>DALARNAS LÄN</t>
        </is>
      </c>
      <c r="E432" t="inlineStr">
        <is>
          <t>ÄLVDALEN</t>
        </is>
      </c>
      <c r="F432" t="inlineStr">
        <is>
          <t>Allmännings- och besparingsskogar</t>
        </is>
      </c>
      <c r="G432" t="n">
        <v>66.7</v>
      </c>
      <c r="H432" t="n">
        <v>0</v>
      </c>
      <c r="I432" t="n">
        <v>0</v>
      </c>
      <c r="J432" t="n">
        <v>0</v>
      </c>
      <c r="K432" t="n">
        <v>0</v>
      </c>
      <c r="L432" t="n">
        <v>0</v>
      </c>
      <c r="M432" t="n">
        <v>0</v>
      </c>
      <c r="N432" t="n">
        <v>0</v>
      </c>
      <c r="O432" t="n">
        <v>0</v>
      </c>
      <c r="P432" t="n">
        <v>0</v>
      </c>
      <c r="Q432" t="n">
        <v>0</v>
      </c>
      <c r="R432" s="2" t="inlineStr"/>
    </row>
    <row r="433" ht="15" customHeight="1">
      <c r="A433" t="inlineStr">
        <is>
          <t>A 52152-2025</t>
        </is>
      </c>
      <c r="B433" s="1" t="n">
        <v>45953.34563657407</v>
      </c>
      <c r="C433" s="1" t="n">
        <v>46145</v>
      </c>
      <c r="D433" t="inlineStr">
        <is>
          <t>DALARNAS LÄN</t>
        </is>
      </c>
      <c r="E433" t="inlineStr">
        <is>
          <t>ÄLVDALEN</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30987-2023</t>
        </is>
      </c>
      <c r="B434" s="1" t="n">
        <v>45113</v>
      </c>
      <c r="C434" s="1" t="n">
        <v>46145</v>
      </c>
      <c r="D434" t="inlineStr">
        <is>
          <t>DALARNAS LÄN</t>
        </is>
      </c>
      <c r="E434" t="inlineStr">
        <is>
          <t>ÄLVDALEN</t>
        </is>
      </c>
      <c r="F434" t="inlineStr">
        <is>
          <t>Allmännings- och besparingsskogar</t>
        </is>
      </c>
      <c r="G434" t="n">
        <v>3.8</v>
      </c>
      <c r="H434" t="n">
        <v>0</v>
      </c>
      <c r="I434" t="n">
        <v>0</v>
      </c>
      <c r="J434" t="n">
        <v>0</v>
      </c>
      <c r="K434" t="n">
        <v>0</v>
      </c>
      <c r="L434" t="n">
        <v>0</v>
      </c>
      <c r="M434" t="n">
        <v>0</v>
      </c>
      <c r="N434" t="n">
        <v>0</v>
      </c>
      <c r="O434" t="n">
        <v>0</v>
      </c>
      <c r="P434" t="n">
        <v>0</v>
      </c>
      <c r="Q434" t="n">
        <v>0</v>
      </c>
      <c r="R434" s="2" t="inlineStr"/>
    </row>
    <row r="435" ht="15" customHeight="1">
      <c r="A435" t="inlineStr">
        <is>
          <t>A 47080-2024</t>
        </is>
      </c>
      <c r="B435" s="1" t="n">
        <v>45586.50578703704</v>
      </c>
      <c r="C435" s="1" t="n">
        <v>46145</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2377-2024</t>
        </is>
      </c>
      <c r="B436" s="1" t="n">
        <v>45310.63633101852</v>
      </c>
      <c r="C436" s="1" t="n">
        <v>46145</v>
      </c>
      <c r="D436" t="inlineStr">
        <is>
          <t>DALARNAS LÄN</t>
        </is>
      </c>
      <c r="E436" t="inlineStr">
        <is>
          <t>ÄLVDALEN</t>
        </is>
      </c>
      <c r="G436" t="n">
        <v>1.5</v>
      </c>
      <c r="H436" t="n">
        <v>0</v>
      </c>
      <c r="I436" t="n">
        <v>0</v>
      </c>
      <c r="J436" t="n">
        <v>0</v>
      </c>
      <c r="K436" t="n">
        <v>0</v>
      </c>
      <c r="L436" t="n">
        <v>0</v>
      </c>
      <c r="M436" t="n">
        <v>0</v>
      </c>
      <c r="N436" t="n">
        <v>0</v>
      </c>
      <c r="O436" t="n">
        <v>0</v>
      </c>
      <c r="P436" t="n">
        <v>0</v>
      </c>
      <c r="Q436" t="n">
        <v>0</v>
      </c>
      <c r="R436" s="2" t="inlineStr"/>
    </row>
    <row r="437" ht="15" customHeight="1">
      <c r="A437" t="inlineStr">
        <is>
          <t>A 2384-2024</t>
        </is>
      </c>
      <c r="B437" s="1" t="n">
        <v>45310.65099537037</v>
      </c>
      <c r="C437" s="1" t="n">
        <v>46145</v>
      </c>
      <c r="D437" t="inlineStr">
        <is>
          <t>DALARNAS LÄN</t>
        </is>
      </c>
      <c r="E437" t="inlineStr">
        <is>
          <t>ÄLVDALEN</t>
        </is>
      </c>
      <c r="G437" t="n">
        <v>2.7</v>
      </c>
      <c r="H437" t="n">
        <v>0</v>
      </c>
      <c r="I437" t="n">
        <v>0</v>
      </c>
      <c r="J437" t="n">
        <v>0</v>
      </c>
      <c r="K437" t="n">
        <v>0</v>
      </c>
      <c r="L437" t="n">
        <v>0</v>
      </c>
      <c r="M437" t="n">
        <v>0</v>
      </c>
      <c r="N437" t="n">
        <v>0</v>
      </c>
      <c r="O437" t="n">
        <v>0</v>
      </c>
      <c r="P437" t="n">
        <v>0</v>
      </c>
      <c r="Q437" t="n">
        <v>0</v>
      </c>
      <c r="R437" s="2" t="inlineStr"/>
    </row>
    <row r="438" ht="15" customHeight="1">
      <c r="A438" t="inlineStr">
        <is>
          <t>A 5883-2024</t>
        </is>
      </c>
      <c r="B438" s="1" t="n">
        <v>45335.69585648148</v>
      </c>
      <c r="C438" s="1" t="n">
        <v>46145</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53319-2025</t>
        </is>
      </c>
      <c r="B439" s="1" t="n">
        <v>45959.35554398148</v>
      </c>
      <c r="C439" s="1" t="n">
        <v>46145</v>
      </c>
      <c r="D439" t="inlineStr">
        <is>
          <t>DALARNAS LÄN</t>
        </is>
      </c>
      <c r="E439" t="inlineStr">
        <is>
          <t>ÄLVDALEN</t>
        </is>
      </c>
      <c r="G439" t="n">
        <v>3.8</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44505.56753472222</v>
      </c>
      <c r="C440" s="1" t="n">
        <v>46145</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54114-2025</t>
        </is>
      </c>
      <c r="B441" s="1" t="n">
        <v>45964.44096064815</v>
      </c>
      <c r="C441" s="1" t="n">
        <v>46145</v>
      </c>
      <c r="D441" t="inlineStr">
        <is>
          <t>DALARNAS LÄN</t>
        </is>
      </c>
      <c r="E441" t="inlineStr">
        <is>
          <t>ÄLVDALEN</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74324-2021</t>
        </is>
      </c>
      <c r="B442" s="1" t="n">
        <v>44558</v>
      </c>
      <c r="C442" s="1" t="n">
        <v>46145</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43039-2025</t>
        </is>
      </c>
      <c r="B443" s="1" t="n">
        <v>45909.55166666667</v>
      </c>
      <c r="C443" s="1" t="n">
        <v>46145</v>
      </c>
      <c r="D443" t="inlineStr">
        <is>
          <t>DALARNAS LÄN</t>
        </is>
      </c>
      <c r="E443" t="inlineStr">
        <is>
          <t>ÄLVDALEN</t>
        </is>
      </c>
      <c r="G443" t="n">
        <v>2.3</v>
      </c>
      <c r="H443" t="n">
        <v>0</v>
      </c>
      <c r="I443" t="n">
        <v>0</v>
      </c>
      <c r="J443" t="n">
        <v>0</v>
      </c>
      <c r="K443" t="n">
        <v>0</v>
      </c>
      <c r="L443" t="n">
        <v>0</v>
      </c>
      <c r="M443" t="n">
        <v>0</v>
      </c>
      <c r="N443" t="n">
        <v>0</v>
      </c>
      <c r="O443" t="n">
        <v>0</v>
      </c>
      <c r="P443" t="n">
        <v>0</v>
      </c>
      <c r="Q443" t="n">
        <v>0</v>
      </c>
      <c r="R443" s="2" t="inlineStr"/>
    </row>
    <row r="444" ht="15" customHeight="1">
      <c r="A444" t="inlineStr">
        <is>
          <t>A 55176-2025</t>
        </is>
      </c>
      <c r="B444" s="1" t="n">
        <v>45968.51841435185</v>
      </c>
      <c r="C444" s="1" t="n">
        <v>46145</v>
      </c>
      <c r="D444" t="inlineStr">
        <is>
          <t>DALARNAS LÄN</t>
        </is>
      </c>
      <c r="E444" t="inlineStr">
        <is>
          <t>ÄLVDALEN</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47525-2024</t>
        </is>
      </c>
      <c r="B445" s="1" t="n">
        <v>45587.6328587963</v>
      </c>
      <c r="C445" s="1" t="n">
        <v>46145</v>
      </c>
      <c r="D445" t="inlineStr">
        <is>
          <t>DALARNAS LÄN</t>
        </is>
      </c>
      <c r="E445" t="inlineStr">
        <is>
          <t>ÄLVDALEN</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34835-2023</t>
        </is>
      </c>
      <c r="B446" s="1" t="n">
        <v>45141</v>
      </c>
      <c r="C446" s="1" t="n">
        <v>46145</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629-2025</t>
        </is>
      </c>
      <c r="B447" s="1" t="n">
        <v>45660</v>
      </c>
      <c r="C447" s="1" t="n">
        <v>46145</v>
      </c>
      <c r="D447" t="inlineStr">
        <is>
          <t>DALARNAS LÄN</t>
        </is>
      </c>
      <c r="E447" t="inlineStr">
        <is>
          <t>ÄLVDALEN</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55919-2025</t>
        </is>
      </c>
      <c r="B448" s="1" t="n">
        <v>45973.41636574074</v>
      </c>
      <c r="C448" s="1" t="n">
        <v>46145</v>
      </c>
      <c r="D448" t="inlineStr">
        <is>
          <t>DALARNAS LÄN</t>
        </is>
      </c>
      <c r="E448" t="inlineStr">
        <is>
          <t>ÄLVDALEN</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55924-2025</t>
        </is>
      </c>
      <c r="B449" s="1" t="n">
        <v>45973.42548611111</v>
      </c>
      <c r="C449" s="1" t="n">
        <v>46145</v>
      </c>
      <c r="D449" t="inlineStr">
        <is>
          <t>DALARNAS LÄN</t>
        </is>
      </c>
      <c r="E449" t="inlineStr">
        <is>
          <t>ÄLVDALEN</t>
        </is>
      </c>
      <c r="F449" t="inlineStr">
        <is>
          <t>Övriga statliga verk och myndigheter</t>
        </is>
      </c>
      <c r="G449" t="n">
        <v>1.1</v>
      </c>
      <c r="H449" t="n">
        <v>0</v>
      </c>
      <c r="I449" t="n">
        <v>0</v>
      </c>
      <c r="J449" t="n">
        <v>0</v>
      </c>
      <c r="K449" t="n">
        <v>0</v>
      </c>
      <c r="L449" t="n">
        <v>0</v>
      </c>
      <c r="M449" t="n">
        <v>0</v>
      </c>
      <c r="N449" t="n">
        <v>0</v>
      </c>
      <c r="O449" t="n">
        <v>0</v>
      </c>
      <c r="P449" t="n">
        <v>0</v>
      </c>
      <c r="Q449" t="n">
        <v>0</v>
      </c>
      <c r="R449" s="2" t="inlineStr"/>
    </row>
    <row r="450" ht="15" customHeight="1">
      <c r="A450" t="inlineStr">
        <is>
          <t>A 17051-2023</t>
        </is>
      </c>
      <c r="B450" s="1" t="n">
        <v>45034</v>
      </c>
      <c r="C450" s="1" t="n">
        <v>46145</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56252-2025</t>
        </is>
      </c>
      <c r="B451" s="1" t="n">
        <v>45974.56061342593</v>
      </c>
      <c r="C451" s="1" t="n">
        <v>46145</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47666-2024</t>
        </is>
      </c>
      <c r="B452" s="1" t="n">
        <v>45588.39283564815</v>
      </c>
      <c r="C452" s="1" t="n">
        <v>46145</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47071-2023</t>
        </is>
      </c>
      <c r="B453" s="1" t="n">
        <v>45201.60141203704</v>
      </c>
      <c r="C453" s="1" t="n">
        <v>46145</v>
      </c>
      <c r="D453" t="inlineStr">
        <is>
          <t>DALARNAS LÄN</t>
        </is>
      </c>
      <c r="E453" t="inlineStr">
        <is>
          <t>ÄLVDALEN</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50056-2024</t>
        </is>
      </c>
      <c r="B454" s="1" t="n">
        <v>45600.34134259259</v>
      </c>
      <c r="C454" s="1" t="n">
        <v>46145</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56501-2025</t>
        </is>
      </c>
      <c r="B455" s="1" t="n">
        <v>45975.43454861111</v>
      </c>
      <c r="C455" s="1" t="n">
        <v>46145</v>
      </c>
      <c r="D455" t="inlineStr">
        <is>
          <t>DALARNAS LÄN</t>
        </is>
      </c>
      <c r="E455" t="inlineStr">
        <is>
          <t>ÄLVDALEN</t>
        </is>
      </c>
      <c r="G455" t="n">
        <v>14.9</v>
      </c>
      <c r="H455" t="n">
        <v>0</v>
      </c>
      <c r="I455" t="n">
        <v>0</v>
      </c>
      <c r="J455" t="n">
        <v>0</v>
      </c>
      <c r="K455" t="n">
        <v>0</v>
      </c>
      <c r="L455" t="n">
        <v>0</v>
      </c>
      <c r="M455" t="n">
        <v>0</v>
      </c>
      <c r="N455" t="n">
        <v>0</v>
      </c>
      <c r="O455" t="n">
        <v>0</v>
      </c>
      <c r="P455" t="n">
        <v>0</v>
      </c>
      <c r="Q455" t="n">
        <v>0</v>
      </c>
      <c r="R455" s="2" t="inlineStr"/>
    </row>
    <row r="456" ht="15" customHeight="1">
      <c r="A456" t="inlineStr">
        <is>
          <t>A 62314-2022</t>
        </is>
      </c>
      <c r="B456" s="1" t="n">
        <v>44916</v>
      </c>
      <c r="C456" s="1" t="n">
        <v>46145</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47751-2024</t>
        </is>
      </c>
      <c r="B457" s="1" t="n">
        <v>45588.53628472222</v>
      </c>
      <c r="C457" s="1" t="n">
        <v>46145</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57510-2025</t>
        </is>
      </c>
      <c r="B458" s="1" t="n">
        <v>45980.60502314815</v>
      </c>
      <c r="C458" s="1" t="n">
        <v>46145</v>
      </c>
      <c r="D458" t="inlineStr">
        <is>
          <t>DALARNAS LÄN</t>
        </is>
      </c>
      <c r="E458" t="inlineStr">
        <is>
          <t>ÄLVDALEN</t>
        </is>
      </c>
      <c r="G458" t="n">
        <v>2.1</v>
      </c>
      <c r="H458" t="n">
        <v>0</v>
      </c>
      <c r="I458" t="n">
        <v>0</v>
      </c>
      <c r="J458" t="n">
        <v>0</v>
      </c>
      <c r="K458" t="n">
        <v>0</v>
      </c>
      <c r="L458" t="n">
        <v>0</v>
      </c>
      <c r="M458" t="n">
        <v>0</v>
      </c>
      <c r="N458" t="n">
        <v>0</v>
      </c>
      <c r="O458" t="n">
        <v>0</v>
      </c>
      <c r="P458" t="n">
        <v>0</v>
      </c>
      <c r="Q458" t="n">
        <v>0</v>
      </c>
      <c r="R458" s="2" t="inlineStr"/>
    </row>
    <row r="459" ht="15" customHeight="1">
      <c r="A459" t="inlineStr">
        <is>
          <t>A 57980-2025</t>
        </is>
      </c>
      <c r="B459" s="1" t="n">
        <v>45982.40280092593</v>
      </c>
      <c r="C459" s="1" t="n">
        <v>46145</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32352-2023</t>
        </is>
      </c>
      <c r="B460" s="1" t="n">
        <v>45120</v>
      </c>
      <c r="C460" s="1" t="n">
        <v>46145</v>
      </c>
      <c r="D460" t="inlineStr">
        <is>
          <t>DALARNAS LÄN</t>
        </is>
      </c>
      <c r="E460" t="inlineStr">
        <is>
          <t>ÄLVDALEN</t>
        </is>
      </c>
      <c r="G460" t="n">
        <v>2</v>
      </c>
      <c r="H460" t="n">
        <v>0</v>
      </c>
      <c r="I460" t="n">
        <v>0</v>
      </c>
      <c r="J460" t="n">
        <v>0</v>
      </c>
      <c r="K460" t="n">
        <v>0</v>
      </c>
      <c r="L460" t="n">
        <v>0</v>
      </c>
      <c r="M460" t="n">
        <v>0</v>
      </c>
      <c r="N460" t="n">
        <v>0</v>
      </c>
      <c r="O460" t="n">
        <v>0</v>
      </c>
      <c r="P460" t="n">
        <v>0</v>
      </c>
      <c r="Q460" t="n">
        <v>0</v>
      </c>
      <c r="R460" s="2" t="inlineStr"/>
    </row>
    <row r="461" ht="15" customHeight="1">
      <c r="A461" t="inlineStr">
        <is>
          <t>A 58739-2025</t>
        </is>
      </c>
      <c r="B461" s="1" t="n">
        <v>45986.63236111111</v>
      </c>
      <c r="C461" s="1" t="n">
        <v>46145</v>
      </c>
      <c r="D461" t="inlineStr">
        <is>
          <t>DALARNAS LÄN</t>
        </is>
      </c>
      <c r="E461" t="inlineStr">
        <is>
          <t>ÄLVDALEN</t>
        </is>
      </c>
      <c r="F461" t="inlineStr">
        <is>
          <t>Övriga statliga verk och myndigheter</t>
        </is>
      </c>
      <c r="G461" t="n">
        <v>0.5</v>
      </c>
      <c r="H461" t="n">
        <v>0</v>
      </c>
      <c r="I461" t="n">
        <v>0</v>
      </c>
      <c r="J461" t="n">
        <v>0</v>
      </c>
      <c r="K461" t="n">
        <v>0</v>
      </c>
      <c r="L461" t="n">
        <v>0</v>
      </c>
      <c r="M461" t="n">
        <v>0</v>
      </c>
      <c r="N461" t="n">
        <v>0</v>
      </c>
      <c r="O461" t="n">
        <v>0</v>
      </c>
      <c r="P461" t="n">
        <v>0</v>
      </c>
      <c r="Q461" t="n">
        <v>0</v>
      </c>
      <c r="R461" s="2" t="inlineStr"/>
    </row>
    <row r="462" ht="15" customHeight="1">
      <c r="A462" t="inlineStr">
        <is>
          <t>A 47877-2023</t>
        </is>
      </c>
      <c r="B462" s="1" t="n">
        <v>45204</v>
      </c>
      <c r="C462" s="1" t="n">
        <v>46145</v>
      </c>
      <c r="D462" t="inlineStr">
        <is>
          <t>DALARNAS LÄN</t>
        </is>
      </c>
      <c r="E462" t="inlineStr">
        <is>
          <t>ÄLVDALEN</t>
        </is>
      </c>
      <c r="G462" t="n">
        <v>4.8</v>
      </c>
      <c r="H462" t="n">
        <v>0</v>
      </c>
      <c r="I462" t="n">
        <v>0</v>
      </c>
      <c r="J462" t="n">
        <v>0</v>
      </c>
      <c r="K462" t="n">
        <v>0</v>
      </c>
      <c r="L462" t="n">
        <v>0</v>
      </c>
      <c r="M462" t="n">
        <v>0</v>
      </c>
      <c r="N462" t="n">
        <v>0</v>
      </c>
      <c r="O462" t="n">
        <v>0</v>
      </c>
      <c r="P462" t="n">
        <v>0</v>
      </c>
      <c r="Q462" t="n">
        <v>0</v>
      </c>
      <c r="R462" s="2" t="inlineStr"/>
    </row>
    <row r="463" ht="15" customHeight="1">
      <c r="A463" t="inlineStr">
        <is>
          <t>A 33107-2023</t>
        </is>
      </c>
      <c r="B463" s="1" t="n">
        <v>45114</v>
      </c>
      <c r="C463" s="1" t="n">
        <v>46145</v>
      </c>
      <c r="D463" t="inlineStr">
        <is>
          <t>DALARNAS LÄN</t>
        </is>
      </c>
      <c r="E463" t="inlineStr">
        <is>
          <t>ÄLVDALEN</t>
        </is>
      </c>
      <c r="G463" t="n">
        <v>0.9</v>
      </c>
      <c r="H463" t="n">
        <v>0</v>
      </c>
      <c r="I463" t="n">
        <v>0</v>
      </c>
      <c r="J463" t="n">
        <v>0</v>
      </c>
      <c r="K463" t="n">
        <v>0</v>
      </c>
      <c r="L463" t="n">
        <v>0</v>
      </c>
      <c r="M463" t="n">
        <v>0</v>
      </c>
      <c r="N463" t="n">
        <v>0</v>
      </c>
      <c r="O463" t="n">
        <v>0</v>
      </c>
      <c r="P463" t="n">
        <v>0</v>
      </c>
      <c r="Q463" t="n">
        <v>0</v>
      </c>
      <c r="R463" s="2" t="inlineStr"/>
    </row>
    <row r="464" ht="15" customHeight="1">
      <c r="A464" t="inlineStr">
        <is>
          <t>A 713-2022</t>
        </is>
      </c>
      <c r="B464" s="1" t="n">
        <v>44568</v>
      </c>
      <c r="C464" s="1" t="n">
        <v>46145</v>
      </c>
      <c r="D464" t="inlineStr">
        <is>
          <t>DALARNAS LÄN</t>
        </is>
      </c>
      <c r="E464" t="inlineStr">
        <is>
          <t>ÄLVDALEN</t>
        </is>
      </c>
      <c r="G464" t="n">
        <v>1.6</v>
      </c>
      <c r="H464" t="n">
        <v>0</v>
      </c>
      <c r="I464" t="n">
        <v>0</v>
      </c>
      <c r="J464" t="n">
        <v>0</v>
      </c>
      <c r="K464" t="n">
        <v>0</v>
      </c>
      <c r="L464" t="n">
        <v>0</v>
      </c>
      <c r="M464" t="n">
        <v>0</v>
      </c>
      <c r="N464" t="n">
        <v>0</v>
      </c>
      <c r="O464" t="n">
        <v>0</v>
      </c>
      <c r="P464" t="n">
        <v>0</v>
      </c>
      <c r="Q464" t="n">
        <v>0</v>
      </c>
      <c r="R464" s="2" t="inlineStr"/>
    </row>
    <row r="465" ht="15" customHeight="1">
      <c r="A465" t="inlineStr">
        <is>
          <t>A 59256-2025</t>
        </is>
      </c>
      <c r="B465" s="1" t="n">
        <v>45988.65612268518</v>
      </c>
      <c r="C465" s="1" t="n">
        <v>46145</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59478-2024</t>
        </is>
      </c>
      <c r="B466" s="1" t="n">
        <v>45638.52181712963</v>
      </c>
      <c r="C466" s="1" t="n">
        <v>46145</v>
      </c>
      <c r="D466" t="inlineStr">
        <is>
          <t>DALARNAS LÄN</t>
        </is>
      </c>
      <c r="E466" t="inlineStr">
        <is>
          <t>ÄLVDALEN</t>
        </is>
      </c>
      <c r="F466" t="inlineStr">
        <is>
          <t>Allmännings- och besparingsskogar</t>
        </is>
      </c>
      <c r="G466" t="n">
        <v>6.9</v>
      </c>
      <c r="H466" t="n">
        <v>0</v>
      </c>
      <c r="I466" t="n">
        <v>0</v>
      </c>
      <c r="J466" t="n">
        <v>0</v>
      </c>
      <c r="K466" t="n">
        <v>0</v>
      </c>
      <c r="L466" t="n">
        <v>0</v>
      </c>
      <c r="M466" t="n">
        <v>0</v>
      </c>
      <c r="N466" t="n">
        <v>0</v>
      </c>
      <c r="O466" t="n">
        <v>0</v>
      </c>
      <c r="P466" t="n">
        <v>0</v>
      </c>
      <c r="Q466" t="n">
        <v>0</v>
      </c>
      <c r="R466" s="2" t="inlineStr"/>
    </row>
    <row r="467" ht="15" customHeight="1">
      <c r="A467" t="inlineStr">
        <is>
          <t>A 59234-2025</t>
        </is>
      </c>
      <c r="B467" s="1" t="n">
        <v>45988.62946759259</v>
      </c>
      <c r="C467" s="1" t="n">
        <v>46145</v>
      </c>
      <c r="D467" t="inlineStr">
        <is>
          <t>DALARNAS LÄN</t>
        </is>
      </c>
      <c r="E467" t="inlineStr">
        <is>
          <t>ÄLVDALEN</t>
        </is>
      </c>
      <c r="G467" t="n">
        <v>1.5</v>
      </c>
      <c r="H467" t="n">
        <v>0</v>
      </c>
      <c r="I467" t="n">
        <v>0</v>
      </c>
      <c r="J467" t="n">
        <v>0</v>
      </c>
      <c r="K467" t="n">
        <v>0</v>
      </c>
      <c r="L467" t="n">
        <v>0</v>
      </c>
      <c r="M467" t="n">
        <v>0</v>
      </c>
      <c r="N467" t="n">
        <v>0</v>
      </c>
      <c r="O467" t="n">
        <v>0</v>
      </c>
      <c r="P467" t="n">
        <v>0</v>
      </c>
      <c r="Q467" t="n">
        <v>0</v>
      </c>
      <c r="R467" s="2" t="inlineStr"/>
    </row>
    <row r="468" ht="15" customHeight="1">
      <c r="A468" t="inlineStr">
        <is>
          <t>A 32187-2024</t>
        </is>
      </c>
      <c r="B468" s="1" t="n">
        <v>45511.64925925926</v>
      </c>
      <c r="C468" s="1" t="n">
        <v>46145</v>
      </c>
      <c r="D468" t="inlineStr">
        <is>
          <t>DALARNAS LÄN</t>
        </is>
      </c>
      <c r="E468" t="inlineStr">
        <is>
          <t>ÄLVDALEN</t>
        </is>
      </c>
      <c r="F468" t="inlineStr">
        <is>
          <t>Allmännings- och besparingsskogar</t>
        </is>
      </c>
      <c r="G468" t="n">
        <v>20</v>
      </c>
      <c r="H468" t="n">
        <v>0</v>
      </c>
      <c r="I468" t="n">
        <v>0</v>
      </c>
      <c r="J468" t="n">
        <v>0</v>
      </c>
      <c r="K468" t="n">
        <v>0</v>
      </c>
      <c r="L468" t="n">
        <v>0</v>
      </c>
      <c r="M468" t="n">
        <v>0</v>
      </c>
      <c r="N468" t="n">
        <v>0</v>
      </c>
      <c r="O468" t="n">
        <v>0</v>
      </c>
      <c r="P468" t="n">
        <v>0</v>
      </c>
      <c r="Q468" t="n">
        <v>0</v>
      </c>
      <c r="R468" s="2" t="inlineStr"/>
    </row>
    <row r="469" ht="15" customHeight="1">
      <c r="A469" t="inlineStr">
        <is>
          <t>A 59250-2025</t>
        </is>
      </c>
      <c r="B469" s="1" t="n">
        <v>45988.65004629629</v>
      </c>
      <c r="C469" s="1" t="n">
        <v>46145</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760-2025</t>
        </is>
      </c>
      <c r="B470" s="1" t="n">
        <v>45665.44936342593</v>
      </c>
      <c r="C470" s="1" t="n">
        <v>46145</v>
      </c>
      <c r="D470" t="inlineStr">
        <is>
          <t>DALARNAS LÄN</t>
        </is>
      </c>
      <c r="E470" t="inlineStr">
        <is>
          <t>ÄLVDALEN</t>
        </is>
      </c>
      <c r="G470" t="n">
        <v>1.5</v>
      </c>
      <c r="H470" t="n">
        <v>0</v>
      </c>
      <c r="I470" t="n">
        <v>0</v>
      </c>
      <c r="J470" t="n">
        <v>0</v>
      </c>
      <c r="K470" t="n">
        <v>0</v>
      </c>
      <c r="L470" t="n">
        <v>0</v>
      </c>
      <c r="M470" t="n">
        <v>0</v>
      </c>
      <c r="N470" t="n">
        <v>0</v>
      </c>
      <c r="O470" t="n">
        <v>0</v>
      </c>
      <c r="P470" t="n">
        <v>0</v>
      </c>
      <c r="Q470" t="n">
        <v>0</v>
      </c>
      <c r="R470" s="2" t="inlineStr"/>
    </row>
    <row r="471" ht="15" customHeight="1">
      <c r="A471" t="inlineStr">
        <is>
          <t>A 777-2025</t>
        </is>
      </c>
      <c r="B471" s="1" t="n">
        <v>45665.47403935185</v>
      </c>
      <c r="C471" s="1" t="n">
        <v>46145</v>
      </c>
      <c r="D471" t="inlineStr">
        <is>
          <t>DALARNAS LÄN</t>
        </is>
      </c>
      <c r="E471" t="inlineStr">
        <is>
          <t>ÄLVDALEN</t>
        </is>
      </c>
      <c r="G471" t="n">
        <v>2.4</v>
      </c>
      <c r="H471" t="n">
        <v>0</v>
      </c>
      <c r="I471" t="n">
        <v>0</v>
      </c>
      <c r="J471" t="n">
        <v>0</v>
      </c>
      <c r="K471" t="n">
        <v>0</v>
      </c>
      <c r="L471" t="n">
        <v>0</v>
      </c>
      <c r="M471" t="n">
        <v>0</v>
      </c>
      <c r="N471" t="n">
        <v>0</v>
      </c>
      <c r="O471" t="n">
        <v>0</v>
      </c>
      <c r="P471" t="n">
        <v>0</v>
      </c>
      <c r="Q471" t="n">
        <v>0</v>
      </c>
      <c r="R471" s="2" t="inlineStr"/>
    </row>
    <row r="472" ht="15" customHeight="1">
      <c r="A472" t="inlineStr">
        <is>
          <t>A 54076-2024</t>
        </is>
      </c>
      <c r="B472" s="1" t="n">
        <v>45616</v>
      </c>
      <c r="C472" s="1" t="n">
        <v>46145</v>
      </c>
      <c r="D472" t="inlineStr">
        <is>
          <t>DALARNAS LÄN</t>
        </is>
      </c>
      <c r="E472" t="inlineStr">
        <is>
          <t>ÄLVDALEN</t>
        </is>
      </c>
      <c r="G472" t="n">
        <v>1.7</v>
      </c>
      <c r="H472" t="n">
        <v>0</v>
      </c>
      <c r="I472" t="n">
        <v>0</v>
      </c>
      <c r="J472" t="n">
        <v>0</v>
      </c>
      <c r="K472" t="n">
        <v>0</v>
      </c>
      <c r="L472" t="n">
        <v>0</v>
      </c>
      <c r="M472" t="n">
        <v>0</v>
      </c>
      <c r="N472" t="n">
        <v>0</v>
      </c>
      <c r="O472" t="n">
        <v>0</v>
      </c>
      <c r="P472" t="n">
        <v>0</v>
      </c>
      <c r="Q472" t="n">
        <v>0</v>
      </c>
      <c r="R472" s="2" t="inlineStr"/>
    </row>
    <row r="473" ht="15" customHeight="1">
      <c r="A473" t="inlineStr">
        <is>
          <t>A 57665-2024</t>
        </is>
      </c>
      <c r="B473" s="1" t="n">
        <v>45630.62005787037</v>
      </c>
      <c r="C473" s="1" t="n">
        <v>46145</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59590-2025</t>
        </is>
      </c>
      <c r="B474" s="1" t="n">
        <v>45992.34043981481</v>
      </c>
      <c r="C474" s="1" t="n">
        <v>46145</v>
      </c>
      <c r="D474" t="inlineStr">
        <is>
          <t>DALARNAS LÄN</t>
        </is>
      </c>
      <c r="E474" t="inlineStr">
        <is>
          <t>ÄLVDALEN</t>
        </is>
      </c>
      <c r="F474" t="inlineStr">
        <is>
          <t>Sveaskog</t>
        </is>
      </c>
      <c r="G474" t="n">
        <v>4.2</v>
      </c>
      <c r="H474" t="n">
        <v>0</v>
      </c>
      <c r="I474" t="n">
        <v>0</v>
      </c>
      <c r="J474" t="n">
        <v>0</v>
      </c>
      <c r="K474" t="n">
        <v>0</v>
      </c>
      <c r="L474" t="n">
        <v>0</v>
      </c>
      <c r="M474" t="n">
        <v>0</v>
      </c>
      <c r="N474" t="n">
        <v>0</v>
      </c>
      <c r="O474" t="n">
        <v>0</v>
      </c>
      <c r="P474" t="n">
        <v>0</v>
      </c>
      <c r="Q474" t="n">
        <v>0</v>
      </c>
      <c r="R474" s="2" t="inlineStr"/>
    </row>
    <row r="475" ht="15" customHeight="1">
      <c r="A475" t="inlineStr">
        <is>
          <t>A 52483-2023</t>
        </is>
      </c>
      <c r="B475" s="1" t="n">
        <v>45225</v>
      </c>
      <c r="C475" s="1" t="n">
        <v>46145</v>
      </c>
      <c r="D475" t="inlineStr">
        <is>
          <t>DALARNAS LÄN</t>
        </is>
      </c>
      <c r="E475" t="inlineStr">
        <is>
          <t>ÄLVDALEN</t>
        </is>
      </c>
      <c r="F475" t="inlineStr">
        <is>
          <t>Allmännings- och besparingsskogar</t>
        </is>
      </c>
      <c r="G475" t="n">
        <v>30.9</v>
      </c>
      <c r="H475" t="n">
        <v>0</v>
      </c>
      <c r="I475" t="n">
        <v>0</v>
      </c>
      <c r="J475" t="n">
        <v>0</v>
      </c>
      <c r="K475" t="n">
        <v>0</v>
      </c>
      <c r="L475" t="n">
        <v>0</v>
      </c>
      <c r="M475" t="n">
        <v>0</v>
      </c>
      <c r="N475" t="n">
        <v>0</v>
      </c>
      <c r="O475" t="n">
        <v>0</v>
      </c>
      <c r="P475" t="n">
        <v>0</v>
      </c>
      <c r="Q475" t="n">
        <v>0</v>
      </c>
      <c r="R475" s="2" t="inlineStr"/>
      <c r="U475">
        <f>HYPERLINK("https://klasma.github.io/Logging_2039/knärot/A 52483-2023 karta knärot.png", "A 52483-2023")</f>
        <v/>
      </c>
      <c r="V475">
        <f>HYPERLINK("https://klasma.github.io/Logging_2039/klagomål/A 52483-2023 FSC-klagomål.docx", "A 52483-2023")</f>
        <v/>
      </c>
      <c r="W475">
        <f>HYPERLINK("https://klasma.github.io/Logging_2039/klagomålsmail/A 52483-2023 FSC-klagomål mail.docx", "A 52483-2023")</f>
        <v/>
      </c>
      <c r="X475">
        <f>HYPERLINK("https://klasma.github.io/Logging_2039/tillsyn/A 52483-2023 tillsynsbegäran.docx", "A 52483-2023")</f>
        <v/>
      </c>
      <c r="Y475">
        <f>HYPERLINK("https://klasma.github.io/Logging_2039/tillsynsmail/A 52483-2023 tillsynsbegäran mail.docx", "A 52483-2023")</f>
        <v/>
      </c>
    </row>
    <row r="476" ht="15" customHeight="1">
      <c r="A476" t="inlineStr">
        <is>
          <t>A 59588-2025</t>
        </is>
      </c>
      <c r="B476" s="1" t="n">
        <v>45992.33900462963</v>
      </c>
      <c r="C476" s="1" t="n">
        <v>46145</v>
      </c>
      <c r="D476" t="inlineStr">
        <is>
          <t>DALARNAS LÄN</t>
        </is>
      </c>
      <c r="E476" t="inlineStr">
        <is>
          <t>ÄLVDALEN</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59591-2025</t>
        </is>
      </c>
      <c r="B477" s="1" t="n">
        <v>45992</v>
      </c>
      <c r="C477" s="1" t="n">
        <v>46145</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74322-2021</t>
        </is>
      </c>
      <c r="B478" s="1" t="n">
        <v>44558</v>
      </c>
      <c r="C478" s="1" t="n">
        <v>46145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30414-2024</t>
        </is>
      </c>
      <c r="B479" s="1" t="n">
        <v>45491.63538194444</v>
      </c>
      <c r="C479" s="1" t="n">
        <v>46145</v>
      </c>
      <c r="D479" t="inlineStr">
        <is>
          <t>DALARNAS LÄN</t>
        </is>
      </c>
      <c r="E479" t="inlineStr">
        <is>
          <t>ÄLVDALEN</t>
        </is>
      </c>
      <c r="G479" t="n">
        <v>0.7</v>
      </c>
      <c r="H479" t="n">
        <v>0</v>
      </c>
      <c r="I479" t="n">
        <v>0</v>
      </c>
      <c r="J479" t="n">
        <v>0</v>
      </c>
      <c r="K479" t="n">
        <v>0</v>
      </c>
      <c r="L479" t="n">
        <v>0</v>
      </c>
      <c r="M479" t="n">
        <v>0</v>
      </c>
      <c r="N479" t="n">
        <v>0</v>
      </c>
      <c r="O479" t="n">
        <v>0</v>
      </c>
      <c r="P479" t="n">
        <v>0</v>
      </c>
      <c r="Q479" t="n">
        <v>0</v>
      </c>
      <c r="R479" s="2" t="inlineStr"/>
    </row>
    <row r="480" ht="15" customHeight="1">
      <c r="A480" t="inlineStr">
        <is>
          <t>A 60292-2025</t>
        </is>
      </c>
      <c r="B480" s="1" t="n">
        <v>45994.65491898148</v>
      </c>
      <c r="C480" s="1" t="n">
        <v>46145</v>
      </c>
      <c r="D480" t="inlineStr">
        <is>
          <t>DALARNAS LÄN</t>
        </is>
      </c>
      <c r="E480" t="inlineStr">
        <is>
          <t>ÄLVDALEN</t>
        </is>
      </c>
      <c r="F480" t="inlineStr">
        <is>
          <t>Allmännings- och besparingsskogar</t>
        </is>
      </c>
      <c r="G480" t="n">
        <v>11.8</v>
      </c>
      <c r="H480" t="n">
        <v>0</v>
      </c>
      <c r="I480" t="n">
        <v>0</v>
      </c>
      <c r="J480" t="n">
        <v>0</v>
      </c>
      <c r="K480" t="n">
        <v>0</v>
      </c>
      <c r="L480" t="n">
        <v>0</v>
      </c>
      <c r="M480" t="n">
        <v>0</v>
      </c>
      <c r="N480" t="n">
        <v>0</v>
      </c>
      <c r="O480" t="n">
        <v>0</v>
      </c>
      <c r="P480" t="n">
        <v>0</v>
      </c>
      <c r="Q480" t="n">
        <v>0</v>
      </c>
      <c r="R480" s="2" t="inlineStr"/>
    </row>
    <row r="481" ht="15" customHeight="1">
      <c r="A481" t="inlineStr">
        <is>
          <t>A 60672-2025</t>
        </is>
      </c>
      <c r="B481" s="1" t="n">
        <v>45996.53233796296</v>
      </c>
      <c r="C481" s="1" t="n">
        <v>46145</v>
      </c>
      <c r="D481" t="inlineStr">
        <is>
          <t>DALARNAS LÄN</t>
        </is>
      </c>
      <c r="E481" t="inlineStr">
        <is>
          <t>ÄLVDALEN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44643.44597222222</v>
      </c>
      <c r="C482" s="1" t="n">
        <v>46145</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23999-2024</t>
        </is>
      </c>
      <c r="B483" s="1" t="n">
        <v>45456.37555555555</v>
      </c>
      <c r="C483" s="1" t="n">
        <v>46145</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24002-2024</t>
        </is>
      </c>
      <c r="B484" s="1" t="n">
        <v>45456.3827662037</v>
      </c>
      <c r="C484" s="1" t="n">
        <v>46145</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61477-2025</t>
        </is>
      </c>
      <c r="B485" s="1" t="n">
        <v>46001.62087962963</v>
      </c>
      <c r="C485" s="1" t="n">
        <v>46145</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61529-2025</t>
        </is>
      </c>
      <c r="B486" s="1" t="n">
        <v>46001.7033912037</v>
      </c>
      <c r="C486" s="1" t="n">
        <v>46145</v>
      </c>
      <c r="D486" t="inlineStr">
        <is>
          <t>DALARNAS LÄN</t>
        </is>
      </c>
      <c r="E486" t="inlineStr">
        <is>
          <t>ÄLVDALEN</t>
        </is>
      </c>
      <c r="G486" t="n">
        <v>3</v>
      </c>
      <c r="H486" t="n">
        <v>0</v>
      </c>
      <c r="I486" t="n">
        <v>0</v>
      </c>
      <c r="J486" t="n">
        <v>0</v>
      </c>
      <c r="K486" t="n">
        <v>0</v>
      </c>
      <c r="L486" t="n">
        <v>0</v>
      </c>
      <c r="M486" t="n">
        <v>0</v>
      </c>
      <c r="N486" t="n">
        <v>0</v>
      </c>
      <c r="O486" t="n">
        <v>0</v>
      </c>
      <c r="P486" t="n">
        <v>0</v>
      </c>
      <c r="Q486" t="n">
        <v>0</v>
      </c>
      <c r="R486" s="2" t="inlineStr"/>
    </row>
    <row r="487" ht="15" customHeight="1">
      <c r="A487" t="inlineStr">
        <is>
          <t>A 61589-2025</t>
        </is>
      </c>
      <c r="B487" s="1" t="n">
        <v>46002.34538194445</v>
      </c>
      <c r="C487" s="1" t="n">
        <v>46145</v>
      </c>
      <c r="D487" t="inlineStr">
        <is>
          <t>DALARNAS LÄN</t>
        </is>
      </c>
      <c r="E487" t="inlineStr">
        <is>
          <t>ÄLVDALEN</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61495-2025</t>
        </is>
      </c>
      <c r="B488" s="1" t="n">
        <v>46001.64834490741</v>
      </c>
      <c r="C488" s="1" t="n">
        <v>46145</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32359-2024</t>
        </is>
      </c>
      <c r="B489" s="1" t="n">
        <v>45512.56623842593</v>
      </c>
      <c r="C489" s="1" t="n">
        <v>46145</v>
      </c>
      <c r="D489" t="inlineStr">
        <is>
          <t>DALARNAS LÄN</t>
        </is>
      </c>
      <c r="E489" t="inlineStr">
        <is>
          <t>ÄLVDALEN</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46800-2025</t>
        </is>
      </c>
      <c r="B490" s="1" t="n">
        <v>45926</v>
      </c>
      <c r="C490" s="1" t="n">
        <v>46145</v>
      </c>
      <c r="D490" t="inlineStr">
        <is>
          <t>DALARNAS LÄN</t>
        </is>
      </c>
      <c r="E490" t="inlineStr">
        <is>
          <t>ÄLVDALEN</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c r="T490">
        <f>HYPERLINK("https://klasma.github.io/Logging_2039/kartor/A 46800-2025 karta.png", "A 46800-2025")</f>
        <v/>
      </c>
      <c r="V490">
        <f>HYPERLINK("https://klasma.github.io/Logging_2039/klagomål/A 46800-2025 FSC-klagomål.docx", "A 46800-2025")</f>
        <v/>
      </c>
      <c r="W490">
        <f>HYPERLINK("https://klasma.github.io/Logging_2039/klagomålsmail/A 46800-2025 FSC-klagomål mail.docx", "A 46800-2025")</f>
        <v/>
      </c>
      <c r="X490">
        <f>HYPERLINK("https://klasma.github.io/Logging_2039/tillsyn/A 46800-2025 tillsynsbegäran.docx", "A 46800-2025")</f>
        <v/>
      </c>
      <c r="Y490">
        <f>HYPERLINK("https://klasma.github.io/Logging_2039/tillsynsmail/A 46800-2025 tillsynsbegäran mail.docx", "A 46800-2025")</f>
        <v/>
      </c>
      <c r="Z490">
        <f>HYPERLINK("https://klasma.github.io/Logging_2039/fåglar/A 46800-2025 prioriterade fågelarter.docx", "A 46800-2025")</f>
        <v/>
      </c>
    </row>
    <row r="491" ht="15" customHeight="1">
      <c r="A491" t="inlineStr">
        <is>
          <t>A 61971-2025</t>
        </is>
      </c>
      <c r="B491" s="1" t="n">
        <v>46003.59724537037</v>
      </c>
      <c r="C491" s="1" t="n">
        <v>46145</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62106-2025</t>
        </is>
      </c>
      <c r="B492" s="1" t="n">
        <v>46006.42576388889</v>
      </c>
      <c r="C492" s="1" t="n">
        <v>46145</v>
      </c>
      <c r="D492" t="inlineStr">
        <is>
          <t>DALARNAS LÄN</t>
        </is>
      </c>
      <c r="E492" t="inlineStr">
        <is>
          <t>ÄLVDALEN</t>
        </is>
      </c>
      <c r="G492" t="n">
        <v>2.8</v>
      </c>
      <c r="H492" t="n">
        <v>0</v>
      </c>
      <c r="I492" t="n">
        <v>0</v>
      </c>
      <c r="J492" t="n">
        <v>0</v>
      </c>
      <c r="K492" t="n">
        <v>0</v>
      </c>
      <c r="L492" t="n">
        <v>0</v>
      </c>
      <c r="M492" t="n">
        <v>0</v>
      </c>
      <c r="N492" t="n">
        <v>0</v>
      </c>
      <c r="O492" t="n">
        <v>0</v>
      </c>
      <c r="P492" t="n">
        <v>0</v>
      </c>
      <c r="Q492" t="n">
        <v>0</v>
      </c>
      <c r="R492" s="2" t="inlineStr"/>
    </row>
    <row r="493" ht="15" customHeight="1">
      <c r="A493" t="inlineStr">
        <is>
          <t>A 15759-2024</t>
        </is>
      </c>
      <c r="B493" s="1" t="n">
        <v>45404</v>
      </c>
      <c r="C493" s="1" t="n">
        <v>46145</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61973-2025</t>
        </is>
      </c>
      <c r="B494" s="1" t="n">
        <v>46003.60017361111</v>
      </c>
      <c r="C494" s="1" t="n">
        <v>46145</v>
      </c>
      <c r="D494" t="inlineStr">
        <is>
          <t>DALARNAS LÄN</t>
        </is>
      </c>
      <c r="E494" t="inlineStr">
        <is>
          <t>ÄLVDALEN</t>
        </is>
      </c>
      <c r="G494" t="n">
        <v>1.7</v>
      </c>
      <c r="H494" t="n">
        <v>0</v>
      </c>
      <c r="I494" t="n">
        <v>0</v>
      </c>
      <c r="J494" t="n">
        <v>0</v>
      </c>
      <c r="K494" t="n">
        <v>0</v>
      </c>
      <c r="L494" t="n">
        <v>0</v>
      </c>
      <c r="M494" t="n">
        <v>0</v>
      </c>
      <c r="N494" t="n">
        <v>0</v>
      </c>
      <c r="O494" t="n">
        <v>0</v>
      </c>
      <c r="P494" t="n">
        <v>0</v>
      </c>
      <c r="Q494" t="n">
        <v>0</v>
      </c>
      <c r="R494" s="2" t="inlineStr"/>
    </row>
    <row r="495" ht="15" customHeight="1">
      <c r="A495" t="inlineStr">
        <is>
          <t>A 56222-2023</t>
        </is>
      </c>
      <c r="B495" s="1" t="n">
        <v>45240</v>
      </c>
      <c r="C495" s="1" t="n">
        <v>46145</v>
      </c>
      <c r="D495" t="inlineStr">
        <is>
          <t>DALARNAS LÄN</t>
        </is>
      </c>
      <c r="E495" t="inlineStr">
        <is>
          <t>ÄLVDALEN</t>
        </is>
      </c>
      <c r="F495" t="inlineStr">
        <is>
          <t>Övriga Aktiebolag</t>
        </is>
      </c>
      <c r="G495" t="n">
        <v>3.2</v>
      </c>
      <c r="H495" t="n">
        <v>0</v>
      </c>
      <c r="I495" t="n">
        <v>0</v>
      </c>
      <c r="J495" t="n">
        <v>0</v>
      </c>
      <c r="K495" t="n">
        <v>0</v>
      </c>
      <c r="L495" t="n">
        <v>0</v>
      </c>
      <c r="M495" t="n">
        <v>0</v>
      </c>
      <c r="N495" t="n">
        <v>0</v>
      </c>
      <c r="O495" t="n">
        <v>0</v>
      </c>
      <c r="P495" t="n">
        <v>0</v>
      </c>
      <c r="Q495" t="n">
        <v>0</v>
      </c>
      <c r="R495" s="2" t="inlineStr"/>
    </row>
    <row r="496" ht="15" customHeight="1">
      <c r="A496" t="inlineStr">
        <is>
          <t>A 56224-2023</t>
        </is>
      </c>
      <c r="B496" s="1" t="n">
        <v>45240</v>
      </c>
      <c r="C496" s="1" t="n">
        <v>46145</v>
      </c>
      <c r="D496" t="inlineStr">
        <is>
          <t>DALARNAS LÄN</t>
        </is>
      </c>
      <c r="E496" t="inlineStr">
        <is>
          <t>ÄLVDALEN</t>
        </is>
      </c>
      <c r="F496" t="inlineStr">
        <is>
          <t>Övriga Aktiebolag</t>
        </is>
      </c>
      <c r="G496" t="n">
        <v>10.9</v>
      </c>
      <c r="H496" t="n">
        <v>0</v>
      </c>
      <c r="I496" t="n">
        <v>0</v>
      </c>
      <c r="J496" t="n">
        <v>0</v>
      </c>
      <c r="K496" t="n">
        <v>0</v>
      </c>
      <c r="L496" t="n">
        <v>0</v>
      </c>
      <c r="M496" t="n">
        <v>0</v>
      </c>
      <c r="N496" t="n">
        <v>0</v>
      </c>
      <c r="O496" t="n">
        <v>0</v>
      </c>
      <c r="P496" t="n">
        <v>0</v>
      </c>
      <c r="Q496" t="n">
        <v>0</v>
      </c>
      <c r="R496" s="2" t="inlineStr"/>
    </row>
    <row r="497" ht="15" customHeight="1">
      <c r="A497" t="inlineStr">
        <is>
          <t>A 8192-2025</t>
        </is>
      </c>
      <c r="B497" s="1" t="n">
        <v>45708.41151620371</v>
      </c>
      <c r="C497" s="1" t="n">
        <v>46145</v>
      </c>
      <c r="D497" t="inlineStr">
        <is>
          <t>DALARNAS LÄN</t>
        </is>
      </c>
      <c r="E497" t="inlineStr">
        <is>
          <t>ÄLVDALEN</t>
        </is>
      </c>
      <c r="F497" t="inlineStr">
        <is>
          <t>Allmännings- och besparingsskogar</t>
        </is>
      </c>
      <c r="G497" t="n">
        <v>15.1</v>
      </c>
      <c r="H497" t="n">
        <v>0</v>
      </c>
      <c r="I497" t="n">
        <v>0</v>
      </c>
      <c r="J497" t="n">
        <v>0</v>
      </c>
      <c r="K497" t="n">
        <v>0</v>
      </c>
      <c r="L497" t="n">
        <v>0</v>
      </c>
      <c r="M497" t="n">
        <v>0</v>
      </c>
      <c r="N497" t="n">
        <v>0</v>
      </c>
      <c r="O497" t="n">
        <v>0</v>
      </c>
      <c r="P497" t="n">
        <v>0</v>
      </c>
      <c r="Q497" t="n">
        <v>0</v>
      </c>
      <c r="R497" s="2" t="inlineStr"/>
    </row>
    <row r="498" ht="15" customHeight="1">
      <c r="A498" t="inlineStr">
        <is>
          <t>A 63107-2025</t>
        </is>
      </c>
      <c r="B498" s="1" t="n">
        <v>46009.72113425926</v>
      </c>
      <c r="C498" s="1" t="n">
        <v>46145</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63525-2025</t>
        </is>
      </c>
      <c r="B499" s="1" t="n">
        <v>46013.54934027778</v>
      </c>
      <c r="C499" s="1" t="n">
        <v>46145</v>
      </c>
      <c r="D499" t="inlineStr">
        <is>
          <t>DALARNAS LÄN</t>
        </is>
      </c>
      <c r="E499" t="inlineStr">
        <is>
          <t>ÄLVDALEN</t>
        </is>
      </c>
      <c r="G499" t="n">
        <v>2.9</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46145</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63601-2025</t>
        </is>
      </c>
      <c r="B501" s="1" t="n">
        <v>46014.31347222222</v>
      </c>
      <c r="C501" s="1" t="n">
        <v>46145</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51058-2025</t>
        </is>
      </c>
      <c r="B502" s="1" t="n">
        <v>45947</v>
      </c>
      <c r="C502" s="1" t="n">
        <v>46145</v>
      </c>
      <c r="D502" t="inlineStr">
        <is>
          <t>DALARNAS LÄN</t>
        </is>
      </c>
      <c r="E502" t="inlineStr">
        <is>
          <t>ÄLVDALEN</t>
        </is>
      </c>
      <c r="G502" t="n">
        <v>3.8</v>
      </c>
      <c r="H502" t="n">
        <v>0</v>
      </c>
      <c r="I502" t="n">
        <v>0</v>
      </c>
      <c r="J502" t="n">
        <v>0</v>
      </c>
      <c r="K502" t="n">
        <v>0</v>
      </c>
      <c r="L502" t="n">
        <v>0</v>
      </c>
      <c r="M502" t="n">
        <v>0</v>
      </c>
      <c r="N502" t="n">
        <v>0</v>
      </c>
      <c r="O502" t="n">
        <v>0</v>
      </c>
      <c r="P502" t="n">
        <v>0</v>
      </c>
      <c r="Q502" t="n">
        <v>0</v>
      </c>
      <c r="R502" s="2" t="inlineStr"/>
    </row>
    <row r="503" ht="15" customHeight="1">
      <c r="A503" t="inlineStr">
        <is>
          <t>A 41004-2023</t>
        </is>
      </c>
      <c r="B503" s="1" t="n">
        <v>45173</v>
      </c>
      <c r="C503" s="1" t="n">
        <v>46145</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49203-2023</t>
        </is>
      </c>
      <c r="B504" s="1" t="n">
        <v>45210</v>
      </c>
      <c r="C504" s="1" t="n">
        <v>46145</v>
      </c>
      <c r="D504" t="inlineStr">
        <is>
          <t>DALARNAS LÄN</t>
        </is>
      </c>
      <c r="E504" t="inlineStr">
        <is>
          <t>ÄLVDALEN</t>
        </is>
      </c>
      <c r="F504" t="inlineStr">
        <is>
          <t>Bergvik skog väst AB</t>
        </is>
      </c>
      <c r="G504" t="n">
        <v>18.2</v>
      </c>
      <c r="H504" t="n">
        <v>0</v>
      </c>
      <c r="I504" t="n">
        <v>0</v>
      </c>
      <c r="J504" t="n">
        <v>0</v>
      </c>
      <c r="K504" t="n">
        <v>0</v>
      </c>
      <c r="L504" t="n">
        <v>0</v>
      </c>
      <c r="M504" t="n">
        <v>0</v>
      </c>
      <c r="N504" t="n">
        <v>0</v>
      </c>
      <c r="O504" t="n">
        <v>0</v>
      </c>
      <c r="P504" t="n">
        <v>0</v>
      </c>
      <c r="Q504" t="n">
        <v>0</v>
      </c>
      <c r="R504" s="2" t="inlineStr"/>
    </row>
    <row r="505" ht="15" customHeight="1">
      <c r="A505" t="inlineStr">
        <is>
          <t>A 6675-2025</t>
        </is>
      </c>
      <c r="B505" s="1" t="n">
        <v>45700.47643518518</v>
      </c>
      <c r="C505" s="1" t="n">
        <v>46145</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140-2026</t>
        </is>
      </c>
      <c r="B506" s="1" t="n">
        <v>46024</v>
      </c>
      <c r="C506" s="1" t="n">
        <v>46145</v>
      </c>
      <c r="D506" t="inlineStr">
        <is>
          <t>DALARNAS LÄN</t>
        </is>
      </c>
      <c r="E506" t="inlineStr">
        <is>
          <t>ÄLVDALEN</t>
        </is>
      </c>
      <c r="G506" t="n">
        <v>0.9</v>
      </c>
      <c r="H506" t="n">
        <v>0</v>
      </c>
      <c r="I506" t="n">
        <v>0</v>
      </c>
      <c r="J506" t="n">
        <v>0</v>
      </c>
      <c r="K506" t="n">
        <v>0</v>
      </c>
      <c r="L506" t="n">
        <v>0</v>
      </c>
      <c r="M506" t="n">
        <v>0</v>
      </c>
      <c r="N506" t="n">
        <v>0</v>
      </c>
      <c r="O506" t="n">
        <v>0</v>
      </c>
      <c r="P506" t="n">
        <v>0</v>
      </c>
      <c r="Q506" t="n">
        <v>0</v>
      </c>
      <c r="R506" s="2" t="inlineStr"/>
    </row>
    <row r="507" ht="15" customHeight="1">
      <c r="A507" t="inlineStr">
        <is>
          <t>A 241-2026</t>
        </is>
      </c>
      <c r="B507" s="1" t="n">
        <v>46027</v>
      </c>
      <c r="C507" s="1" t="n">
        <v>46145</v>
      </c>
      <c r="D507" t="inlineStr">
        <is>
          <t>DALARNAS LÄN</t>
        </is>
      </c>
      <c r="E507" t="inlineStr">
        <is>
          <t>ÄLVDALEN</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5583-2025</t>
        </is>
      </c>
      <c r="B508" s="1" t="n">
        <v>45693.55244212963</v>
      </c>
      <c r="C508" s="1" t="n">
        <v>46145</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24009-2024</t>
        </is>
      </c>
      <c r="B509" s="1" t="n">
        <v>45456.40030092592</v>
      </c>
      <c r="C509" s="1" t="n">
        <v>46145</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1011-2026</t>
        </is>
      </c>
      <c r="B510" s="1" t="n">
        <v>46030.60111111111</v>
      </c>
      <c r="C510" s="1" t="n">
        <v>46145</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36640-2023</t>
        </is>
      </c>
      <c r="B511" s="1" t="n">
        <v>45153.54498842593</v>
      </c>
      <c r="C511" s="1" t="n">
        <v>46145</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583-2026</t>
        </is>
      </c>
      <c r="B512" s="1" t="n">
        <v>46029.48274305555</v>
      </c>
      <c r="C512" s="1" t="n">
        <v>46145</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1138-2026</t>
        </is>
      </c>
      <c r="B513" s="1" t="n">
        <v>46030</v>
      </c>
      <c r="C513" s="1" t="n">
        <v>46145</v>
      </c>
      <c r="D513" t="inlineStr">
        <is>
          <t>DALARNAS LÄN</t>
        </is>
      </c>
      <c r="E513" t="inlineStr">
        <is>
          <t>ÄLVDALEN</t>
        </is>
      </c>
      <c r="G513" t="n">
        <v>2.6</v>
      </c>
      <c r="H513" t="n">
        <v>0</v>
      </c>
      <c r="I513" t="n">
        <v>0</v>
      </c>
      <c r="J513" t="n">
        <v>0</v>
      </c>
      <c r="K513" t="n">
        <v>0</v>
      </c>
      <c r="L513" t="n">
        <v>0</v>
      </c>
      <c r="M513" t="n">
        <v>0</v>
      </c>
      <c r="N513" t="n">
        <v>0</v>
      </c>
      <c r="O513" t="n">
        <v>0</v>
      </c>
      <c r="P513" t="n">
        <v>0</v>
      </c>
      <c r="Q513" t="n">
        <v>0</v>
      </c>
      <c r="R513" s="2" t="inlineStr"/>
    </row>
    <row r="514" ht="15" customHeight="1">
      <c r="A514" t="inlineStr">
        <is>
          <t>A 588-2026</t>
        </is>
      </c>
      <c r="B514" s="1" t="n">
        <v>46029.4896875</v>
      </c>
      <c r="C514" s="1" t="n">
        <v>46145</v>
      </c>
      <c r="D514" t="inlineStr">
        <is>
          <t>DALARNAS LÄN</t>
        </is>
      </c>
      <c r="E514" t="inlineStr">
        <is>
          <t>ÄLVDALEN</t>
        </is>
      </c>
      <c r="G514" t="n">
        <v>0.6</v>
      </c>
      <c r="H514" t="n">
        <v>0</v>
      </c>
      <c r="I514" t="n">
        <v>0</v>
      </c>
      <c r="J514" t="n">
        <v>0</v>
      </c>
      <c r="K514" t="n">
        <v>0</v>
      </c>
      <c r="L514" t="n">
        <v>0</v>
      </c>
      <c r="M514" t="n">
        <v>0</v>
      </c>
      <c r="N514" t="n">
        <v>0</v>
      </c>
      <c r="O514" t="n">
        <v>0</v>
      </c>
      <c r="P514" t="n">
        <v>0</v>
      </c>
      <c r="Q514" t="n">
        <v>0</v>
      </c>
      <c r="R514" s="2" t="inlineStr"/>
    </row>
    <row r="515" ht="15" customHeight="1">
      <c r="A515" t="inlineStr">
        <is>
          <t>A 575-2026</t>
        </is>
      </c>
      <c r="B515" s="1" t="n">
        <v>46029.47552083333</v>
      </c>
      <c r="C515" s="1" t="n">
        <v>46145</v>
      </c>
      <c r="D515" t="inlineStr">
        <is>
          <t>DALARNAS LÄN</t>
        </is>
      </c>
      <c r="E515" t="inlineStr">
        <is>
          <t>ÄLVDALEN</t>
        </is>
      </c>
      <c r="G515" t="n">
        <v>4.3</v>
      </c>
      <c r="H515" t="n">
        <v>0</v>
      </c>
      <c r="I515" t="n">
        <v>0</v>
      </c>
      <c r="J515" t="n">
        <v>0</v>
      </c>
      <c r="K515" t="n">
        <v>0</v>
      </c>
      <c r="L515" t="n">
        <v>0</v>
      </c>
      <c r="M515" t="n">
        <v>0</v>
      </c>
      <c r="N515" t="n">
        <v>0</v>
      </c>
      <c r="O515" t="n">
        <v>0</v>
      </c>
      <c r="P515" t="n">
        <v>0</v>
      </c>
      <c r="Q515" t="n">
        <v>0</v>
      </c>
      <c r="R515" s="2" t="inlineStr"/>
    </row>
    <row r="516" ht="15" customHeight="1">
      <c r="A516" t="inlineStr">
        <is>
          <t>A 42649-2023</t>
        </is>
      </c>
      <c r="B516" s="1" t="n">
        <v>45181.53310185186</v>
      </c>
      <c r="C516" s="1" t="n">
        <v>46145</v>
      </c>
      <c r="D516" t="inlineStr">
        <is>
          <t>DALARNAS LÄN</t>
        </is>
      </c>
      <c r="E516" t="inlineStr">
        <is>
          <t>ÄLVDALEN</t>
        </is>
      </c>
      <c r="G516" t="n">
        <v>5.3</v>
      </c>
      <c r="H516" t="n">
        <v>0</v>
      </c>
      <c r="I516" t="n">
        <v>0</v>
      </c>
      <c r="J516" t="n">
        <v>0</v>
      </c>
      <c r="K516" t="n">
        <v>0</v>
      </c>
      <c r="L516" t="n">
        <v>0</v>
      </c>
      <c r="M516" t="n">
        <v>0</v>
      </c>
      <c r="N516" t="n">
        <v>0</v>
      </c>
      <c r="O516" t="n">
        <v>0</v>
      </c>
      <c r="P516" t="n">
        <v>0</v>
      </c>
      <c r="Q516" t="n">
        <v>0</v>
      </c>
      <c r="R516" s="2" t="inlineStr"/>
    </row>
    <row r="517" ht="15" customHeight="1">
      <c r="A517" t="inlineStr">
        <is>
          <t>A 33100-2023</t>
        </is>
      </c>
      <c r="B517" s="1" t="n">
        <v>45114</v>
      </c>
      <c r="C517" s="1" t="n">
        <v>46145</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1934-2026</t>
        </is>
      </c>
      <c r="B518" s="1" t="n">
        <v>46035.58578703704</v>
      </c>
      <c r="C518" s="1" t="n">
        <v>46145</v>
      </c>
      <c r="D518" t="inlineStr">
        <is>
          <t>DALARNAS LÄN</t>
        </is>
      </c>
      <c r="E518" t="inlineStr">
        <is>
          <t>ÄLVDALEN</t>
        </is>
      </c>
      <c r="F518" t="inlineStr">
        <is>
          <t>Övriga statliga verk och myndigheter</t>
        </is>
      </c>
      <c r="G518" t="n">
        <v>22.9</v>
      </c>
      <c r="H518" t="n">
        <v>0</v>
      </c>
      <c r="I518" t="n">
        <v>0</v>
      </c>
      <c r="J518" t="n">
        <v>0</v>
      </c>
      <c r="K518" t="n">
        <v>0</v>
      </c>
      <c r="L518" t="n">
        <v>0</v>
      </c>
      <c r="M518" t="n">
        <v>0</v>
      </c>
      <c r="N518" t="n">
        <v>0</v>
      </c>
      <c r="O518" t="n">
        <v>0</v>
      </c>
      <c r="P518" t="n">
        <v>0</v>
      </c>
      <c r="Q518" t="n">
        <v>0</v>
      </c>
      <c r="R518" s="2" t="inlineStr"/>
    </row>
    <row r="519" ht="15" customHeight="1">
      <c r="A519" t="inlineStr">
        <is>
          <t>A 2917-2026</t>
        </is>
      </c>
      <c r="B519" s="1" t="n">
        <v>46038.57403935185</v>
      </c>
      <c r="C519" s="1" t="n">
        <v>46145</v>
      </c>
      <c r="D519" t="inlineStr">
        <is>
          <t>DALARNAS LÄN</t>
        </is>
      </c>
      <c r="E519" t="inlineStr">
        <is>
          <t>ÄLVDALEN</t>
        </is>
      </c>
      <c r="G519" t="n">
        <v>4.6</v>
      </c>
      <c r="H519" t="n">
        <v>0</v>
      </c>
      <c r="I519" t="n">
        <v>0</v>
      </c>
      <c r="J519" t="n">
        <v>0</v>
      </c>
      <c r="K519" t="n">
        <v>0</v>
      </c>
      <c r="L519" t="n">
        <v>0</v>
      </c>
      <c r="M519" t="n">
        <v>0</v>
      </c>
      <c r="N519" t="n">
        <v>0</v>
      </c>
      <c r="O519" t="n">
        <v>0</v>
      </c>
      <c r="P519" t="n">
        <v>0</v>
      </c>
      <c r="Q519" t="n">
        <v>0</v>
      </c>
      <c r="R519" s="2" t="inlineStr"/>
    </row>
    <row r="520" ht="15" customHeight="1">
      <c r="A520" t="inlineStr">
        <is>
          <t>A 2939-2026</t>
        </is>
      </c>
      <c r="B520" s="1" t="n">
        <v>46038.58866898148</v>
      </c>
      <c r="C520" s="1" t="n">
        <v>46145</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2788-2026</t>
        </is>
      </c>
      <c r="B521" s="1" t="n">
        <v>46038.39409722222</v>
      </c>
      <c r="C521" s="1" t="n">
        <v>46145</v>
      </c>
      <c r="D521" t="inlineStr">
        <is>
          <t>DALARNAS LÄN</t>
        </is>
      </c>
      <c r="E521" t="inlineStr">
        <is>
          <t>ÄLVDALEN</t>
        </is>
      </c>
      <c r="G521" t="n">
        <v>1.3</v>
      </c>
      <c r="H521" t="n">
        <v>0</v>
      </c>
      <c r="I521" t="n">
        <v>0</v>
      </c>
      <c r="J521" t="n">
        <v>0</v>
      </c>
      <c r="K521" t="n">
        <v>0</v>
      </c>
      <c r="L521" t="n">
        <v>0</v>
      </c>
      <c r="M521" t="n">
        <v>0</v>
      </c>
      <c r="N521" t="n">
        <v>0</v>
      </c>
      <c r="O521" t="n">
        <v>0</v>
      </c>
      <c r="P521" t="n">
        <v>0</v>
      </c>
      <c r="Q521" t="n">
        <v>0</v>
      </c>
      <c r="R521" s="2" t="inlineStr"/>
    </row>
    <row r="522" ht="15" customHeight="1">
      <c r="A522" t="inlineStr">
        <is>
          <t>A 2921-2026</t>
        </is>
      </c>
      <c r="B522" s="1" t="n">
        <v>46038.57729166667</v>
      </c>
      <c r="C522" s="1" t="n">
        <v>46145</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3893-2024</t>
        </is>
      </c>
      <c r="B523" s="1" t="n">
        <v>45322</v>
      </c>
      <c r="C523" s="1" t="n">
        <v>46145</v>
      </c>
      <c r="D523" t="inlineStr">
        <is>
          <t>DALARNAS LÄN</t>
        </is>
      </c>
      <c r="E523" t="inlineStr">
        <is>
          <t>ÄLVDALEN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2927-2026</t>
        </is>
      </c>
      <c r="B524" s="1" t="n">
        <v>46038.58077546296</v>
      </c>
      <c r="C524" s="1" t="n">
        <v>46145</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45203-2024</t>
        </is>
      </c>
      <c r="B525" s="1" t="n">
        <v>45575</v>
      </c>
      <c r="C525" s="1" t="n">
        <v>46145</v>
      </c>
      <c r="D525" t="inlineStr">
        <is>
          <t>DALARNAS LÄN</t>
        </is>
      </c>
      <c r="E525" t="inlineStr">
        <is>
          <t>ÄLVDALEN</t>
        </is>
      </c>
      <c r="G525" t="n">
        <v>7.3</v>
      </c>
      <c r="H525" t="n">
        <v>0</v>
      </c>
      <c r="I525" t="n">
        <v>0</v>
      </c>
      <c r="J525" t="n">
        <v>0</v>
      </c>
      <c r="K525" t="n">
        <v>0</v>
      </c>
      <c r="L525" t="n">
        <v>0</v>
      </c>
      <c r="M525" t="n">
        <v>0</v>
      </c>
      <c r="N525" t="n">
        <v>0</v>
      </c>
      <c r="O525" t="n">
        <v>0</v>
      </c>
      <c r="P525" t="n">
        <v>0</v>
      </c>
      <c r="Q525" t="n">
        <v>0</v>
      </c>
      <c r="R525" s="2" t="inlineStr"/>
    </row>
    <row r="526" ht="15" customHeight="1">
      <c r="A526" t="inlineStr">
        <is>
          <t>A 2648-2026</t>
        </is>
      </c>
      <c r="B526" s="1" t="n">
        <v>46037.62459490741</v>
      </c>
      <c r="C526" s="1" t="n">
        <v>46145</v>
      </c>
      <c r="D526" t="inlineStr">
        <is>
          <t>DALARNAS LÄN</t>
        </is>
      </c>
      <c r="E526" t="inlineStr">
        <is>
          <t>ÄLVDALEN</t>
        </is>
      </c>
      <c r="G526" t="n">
        <v>6.6</v>
      </c>
      <c r="H526" t="n">
        <v>0</v>
      </c>
      <c r="I526" t="n">
        <v>0</v>
      </c>
      <c r="J526" t="n">
        <v>0</v>
      </c>
      <c r="K526" t="n">
        <v>0</v>
      </c>
      <c r="L526" t="n">
        <v>0</v>
      </c>
      <c r="M526" t="n">
        <v>0</v>
      </c>
      <c r="N526" t="n">
        <v>0</v>
      </c>
      <c r="O526" t="n">
        <v>0</v>
      </c>
      <c r="P526" t="n">
        <v>0</v>
      </c>
      <c r="Q526" t="n">
        <v>0</v>
      </c>
      <c r="R526" s="2" t="inlineStr"/>
    </row>
    <row r="527" ht="15" customHeight="1">
      <c r="A527" t="inlineStr">
        <is>
          <t>A 2674-2026</t>
        </is>
      </c>
      <c r="B527" s="1" t="n">
        <v>46037.64707175926</v>
      </c>
      <c r="C527" s="1" t="n">
        <v>46145</v>
      </c>
      <c r="D527" t="inlineStr">
        <is>
          <t>DALARNAS LÄN</t>
        </is>
      </c>
      <c r="E527" t="inlineStr">
        <is>
          <t>ÄLVDALEN</t>
        </is>
      </c>
      <c r="G527" t="n">
        <v>1.1</v>
      </c>
      <c r="H527" t="n">
        <v>0</v>
      </c>
      <c r="I527" t="n">
        <v>0</v>
      </c>
      <c r="J527" t="n">
        <v>0</v>
      </c>
      <c r="K527" t="n">
        <v>0</v>
      </c>
      <c r="L527" t="n">
        <v>0</v>
      </c>
      <c r="M527" t="n">
        <v>0</v>
      </c>
      <c r="N527" t="n">
        <v>0</v>
      </c>
      <c r="O527" t="n">
        <v>0</v>
      </c>
      <c r="P527" t="n">
        <v>0</v>
      </c>
      <c r="Q527" t="n">
        <v>0</v>
      </c>
      <c r="R527" s="2" t="inlineStr"/>
    </row>
    <row r="528" ht="15" customHeight="1">
      <c r="A528" t="inlineStr">
        <is>
          <t>A 2897-2026</t>
        </is>
      </c>
      <c r="B528" s="1" t="n">
        <v>46038.55563657408</v>
      </c>
      <c r="C528" s="1" t="n">
        <v>46145</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2914-2026</t>
        </is>
      </c>
      <c r="B529" s="1" t="n">
        <v>46038.56950231481</v>
      </c>
      <c r="C529" s="1" t="n">
        <v>46145</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2957-2026</t>
        </is>
      </c>
      <c r="B530" s="1" t="n">
        <v>46038.60658564815</v>
      </c>
      <c r="C530" s="1" t="n">
        <v>46145</v>
      </c>
      <c r="D530" t="inlineStr">
        <is>
          <t>DALARNAS LÄN</t>
        </is>
      </c>
      <c r="E530" t="inlineStr">
        <is>
          <t>ÄLVDALEN</t>
        </is>
      </c>
      <c r="G530" t="n">
        <v>0.8</v>
      </c>
      <c r="H530" t="n">
        <v>0</v>
      </c>
      <c r="I530" t="n">
        <v>0</v>
      </c>
      <c r="J530" t="n">
        <v>0</v>
      </c>
      <c r="K530" t="n">
        <v>0</v>
      </c>
      <c r="L530" t="n">
        <v>0</v>
      </c>
      <c r="M530" t="n">
        <v>0</v>
      </c>
      <c r="N530" t="n">
        <v>0</v>
      </c>
      <c r="O530" t="n">
        <v>0</v>
      </c>
      <c r="P530" t="n">
        <v>0</v>
      </c>
      <c r="Q530" t="n">
        <v>0</v>
      </c>
      <c r="R530" s="2" t="inlineStr"/>
    </row>
    <row r="531" ht="15" customHeight="1">
      <c r="A531" t="inlineStr">
        <is>
          <t>A 2906-2026</t>
        </is>
      </c>
      <c r="B531" s="1" t="n">
        <v>46038.56025462963</v>
      </c>
      <c r="C531" s="1" t="n">
        <v>46145</v>
      </c>
      <c r="D531" t="inlineStr">
        <is>
          <t>DALARNAS LÄN</t>
        </is>
      </c>
      <c r="E531" t="inlineStr">
        <is>
          <t>ÄLVDALEN</t>
        </is>
      </c>
      <c r="G531" t="n">
        <v>1.4</v>
      </c>
      <c r="H531" t="n">
        <v>0</v>
      </c>
      <c r="I531" t="n">
        <v>0</v>
      </c>
      <c r="J531" t="n">
        <v>0</v>
      </c>
      <c r="K531" t="n">
        <v>0</v>
      </c>
      <c r="L531" t="n">
        <v>0</v>
      </c>
      <c r="M531" t="n">
        <v>0</v>
      </c>
      <c r="N531" t="n">
        <v>0</v>
      </c>
      <c r="O531" t="n">
        <v>0</v>
      </c>
      <c r="P531" t="n">
        <v>0</v>
      </c>
      <c r="Q531" t="n">
        <v>0</v>
      </c>
      <c r="R531" s="2" t="inlineStr"/>
    </row>
    <row r="532" ht="15" customHeight="1">
      <c r="A532" t="inlineStr">
        <is>
          <t>A 37665-2023</t>
        </is>
      </c>
      <c r="B532" s="1" t="n">
        <v>45159.5371875</v>
      </c>
      <c r="C532" s="1" t="n">
        <v>46145</v>
      </c>
      <c r="D532" t="inlineStr">
        <is>
          <t>DALARNAS LÄN</t>
        </is>
      </c>
      <c r="E532" t="inlineStr">
        <is>
          <t>ÄLVDALEN</t>
        </is>
      </c>
      <c r="F532" t="inlineStr">
        <is>
          <t>Allmännings- och besparingsskogar</t>
        </is>
      </c>
      <c r="G532" t="n">
        <v>0.5</v>
      </c>
      <c r="H532" t="n">
        <v>0</v>
      </c>
      <c r="I532" t="n">
        <v>0</v>
      </c>
      <c r="J532" t="n">
        <v>0</v>
      </c>
      <c r="K532" t="n">
        <v>0</v>
      </c>
      <c r="L532" t="n">
        <v>0</v>
      </c>
      <c r="M532" t="n">
        <v>0</v>
      </c>
      <c r="N532" t="n">
        <v>0</v>
      </c>
      <c r="O532" t="n">
        <v>0</v>
      </c>
      <c r="P532" t="n">
        <v>0</v>
      </c>
      <c r="Q532" t="n">
        <v>0</v>
      </c>
      <c r="R532" s="2" t="inlineStr"/>
    </row>
    <row r="533" ht="15" customHeight="1">
      <c r="A533" t="inlineStr">
        <is>
          <t>A 2042-2026</t>
        </is>
      </c>
      <c r="B533" s="1" t="n">
        <v>46031</v>
      </c>
      <c r="C533" s="1" t="n">
        <v>46145</v>
      </c>
      <c r="D533" t="inlineStr">
        <is>
          <t>DALARNAS LÄN</t>
        </is>
      </c>
      <c r="E533" t="inlineStr">
        <is>
          <t>ÄLVDALEN</t>
        </is>
      </c>
      <c r="F533" t="inlineStr">
        <is>
          <t>Sveaskog</t>
        </is>
      </c>
      <c r="G533" t="n">
        <v>7.7</v>
      </c>
      <c r="H533" t="n">
        <v>0</v>
      </c>
      <c r="I533" t="n">
        <v>0</v>
      </c>
      <c r="J533" t="n">
        <v>0</v>
      </c>
      <c r="K533" t="n">
        <v>0</v>
      </c>
      <c r="L533" t="n">
        <v>0</v>
      </c>
      <c r="M533" t="n">
        <v>0</v>
      </c>
      <c r="N533" t="n">
        <v>0</v>
      </c>
      <c r="O533" t="n">
        <v>0</v>
      </c>
      <c r="P533" t="n">
        <v>0</v>
      </c>
      <c r="Q533" t="n">
        <v>0</v>
      </c>
      <c r="R533" s="2" t="inlineStr"/>
    </row>
    <row r="534" ht="15" customHeight="1">
      <c r="A534" t="inlineStr">
        <is>
          <t>A 2778-2026</t>
        </is>
      </c>
      <c r="B534" s="1" t="n">
        <v>46038.38387731482</v>
      </c>
      <c r="C534" s="1" t="n">
        <v>46145</v>
      </c>
      <c r="D534" t="inlineStr">
        <is>
          <t>DALARNAS LÄN</t>
        </is>
      </c>
      <c r="E534" t="inlineStr">
        <is>
          <t>ÄLVDALEN</t>
        </is>
      </c>
      <c r="G534" t="n">
        <v>3.9</v>
      </c>
      <c r="H534" t="n">
        <v>0</v>
      </c>
      <c r="I534" t="n">
        <v>0</v>
      </c>
      <c r="J534" t="n">
        <v>0</v>
      </c>
      <c r="K534" t="n">
        <v>0</v>
      </c>
      <c r="L534" t="n">
        <v>0</v>
      </c>
      <c r="M534" t="n">
        <v>0</v>
      </c>
      <c r="N534" t="n">
        <v>0</v>
      </c>
      <c r="O534" t="n">
        <v>0</v>
      </c>
      <c r="P534" t="n">
        <v>0</v>
      </c>
      <c r="Q534" t="n">
        <v>0</v>
      </c>
      <c r="R534" s="2" t="inlineStr"/>
    </row>
    <row r="535" ht="15" customHeight="1">
      <c r="A535" t="inlineStr">
        <is>
          <t>A 2932-2026</t>
        </is>
      </c>
      <c r="B535" s="1" t="n">
        <v>46038.58458333334</v>
      </c>
      <c r="C535" s="1" t="n">
        <v>46145</v>
      </c>
      <c r="D535" t="inlineStr">
        <is>
          <t>DALARNAS LÄN</t>
        </is>
      </c>
      <c r="E535" t="inlineStr">
        <is>
          <t>ÄLVDALEN</t>
        </is>
      </c>
      <c r="G535" t="n">
        <v>0.4</v>
      </c>
      <c r="H535" t="n">
        <v>0</v>
      </c>
      <c r="I535" t="n">
        <v>0</v>
      </c>
      <c r="J535" t="n">
        <v>0</v>
      </c>
      <c r="K535" t="n">
        <v>0</v>
      </c>
      <c r="L535" t="n">
        <v>0</v>
      </c>
      <c r="M535" t="n">
        <v>0</v>
      </c>
      <c r="N535" t="n">
        <v>0</v>
      </c>
      <c r="O535" t="n">
        <v>0</v>
      </c>
      <c r="P535" t="n">
        <v>0</v>
      </c>
      <c r="Q535" t="n">
        <v>0</v>
      </c>
      <c r="R535" s="2" t="inlineStr"/>
    </row>
    <row r="536" ht="15" customHeight="1">
      <c r="A536" t="inlineStr">
        <is>
          <t>A 1310-2024</t>
        </is>
      </c>
      <c r="B536" s="1" t="n">
        <v>45303</v>
      </c>
      <c r="C536" s="1" t="n">
        <v>46145</v>
      </c>
      <c r="D536" t="inlineStr">
        <is>
          <t>DALARNAS LÄN</t>
        </is>
      </c>
      <c r="E536" t="inlineStr">
        <is>
          <t>ÄLVDALEN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3386-2026</t>
        </is>
      </c>
      <c r="B537" s="1" t="n">
        <v>46042.36486111111</v>
      </c>
      <c r="C537" s="1" t="n">
        <v>46145</v>
      </c>
      <c r="D537" t="inlineStr">
        <is>
          <t>DALARNAS LÄN</t>
        </is>
      </c>
      <c r="E537" t="inlineStr">
        <is>
          <t>ÄLVDALEN</t>
        </is>
      </c>
      <c r="G537" t="n">
        <v>2.5</v>
      </c>
      <c r="H537" t="n">
        <v>0</v>
      </c>
      <c r="I537" t="n">
        <v>0</v>
      </c>
      <c r="J537" t="n">
        <v>0</v>
      </c>
      <c r="K537" t="n">
        <v>0</v>
      </c>
      <c r="L537" t="n">
        <v>0</v>
      </c>
      <c r="M537" t="n">
        <v>0</v>
      </c>
      <c r="N537" t="n">
        <v>0</v>
      </c>
      <c r="O537" t="n">
        <v>0</v>
      </c>
      <c r="P537" t="n">
        <v>0</v>
      </c>
      <c r="Q537" t="n">
        <v>0</v>
      </c>
      <c r="R537" s="2" t="inlineStr"/>
    </row>
    <row r="538" ht="15" customHeight="1">
      <c r="A538" t="inlineStr">
        <is>
          <t>A 3120-2026</t>
        </is>
      </c>
      <c r="B538" s="1" t="n">
        <v>46041.37177083334</v>
      </c>
      <c r="C538" s="1" t="n">
        <v>46145</v>
      </c>
      <c r="D538" t="inlineStr">
        <is>
          <t>DALARNAS LÄN</t>
        </is>
      </c>
      <c r="E538" t="inlineStr">
        <is>
          <t>ÄLVDALEN</t>
        </is>
      </c>
      <c r="G538" t="n">
        <v>2.4</v>
      </c>
      <c r="H538" t="n">
        <v>0</v>
      </c>
      <c r="I538" t="n">
        <v>0</v>
      </c>
      <c r="J538" t="n">
        <v>0</v>
      </c>
      <c r="K538" t="n">
        <v>0</v>
      </c>
      <c r="L538" t="n">
        <v>0</v>
      </c>
      <c r="M538" t="n">
        <v>0</v>
      </c>
      <c r="N538" t="n">
        <v>0</v>
      </c>
      <c r="O538" t="n">
        <v>0</v>
      </c>
      <c r="P538" t="n">
        <v>0</v>
      </c>
      <c r="Q538" t="n">
        <v>0</v>
      </c>
      <c r="R538" s="2" t="inlineStr"/>
    </row>
    <row r="539" ht="15" customHeight="1">
      <c r="A539" t="inlineStr">
        <is>
          <t>A 3124-2026</t>
        </is>
      </c>
      <c r="B539" s="1" t="n">
        <v>46041.37598379629</v>
      </c>
      <c r="C539" s="1" t="n">
        <v>46145</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3574-2026</t>
        </is>
      </c>
      <c r="B540" s="1" t="n">
        <v>46042.70995370371</v>
      </c>
      <c r="C540" s="1" t="n">
        <v>46145</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3390-2026</t>
        </is>
      </c>
      <c r="B541" s="1" t="n">
        <v>46042.37128472222</v>
      </c>
      <c r="C541" s="1" t="n">
        <v>46145</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3654-2026</t>
        </is>
      </c>
      <c r="B542" s="1" t="n">
        <v>46043.37592592592</v>
      </c>
      <c r="C542" s="1" t="n">
        <v>46145</v>
      </c>
      <c r="D542" t="inlineStr">
        <is>
          <t>DALARNAS LÄN</t>
        </is>
      </c>
      <c r="E542" t="inlineStr">
        <is>
          <t>ÄLVDALEN</t>
        </is>
      </c>
      <c r="G542" t="n">
        <v>1</v>
      </c>
      <c r="H542" t="n">
        <v>0</v>
      </c>
      <c r="I542" t="n">
        <v>0</v>
      </c>
      <c r="J542" t="n">
        <v>0</v>
      </c>
      <c r="K542" t="n">
        <v>0</v>
      </c>
      <c r="L542" t="n">
        <v>0</v>
      </c>
      <c r="M542" t="n">
        <v>0</v>
      </c>
      <c r="N542" t="n">
        <v>0</v>
      </c>
      <c r="O542" t="n">
        <v>0</v>
      </c>
      <c r="P542" t="n">
        <v>0</v>
      </c>
      <c r="Q542" t="n">
        <v>0</v>
      </c>
      <c r="R542" s="2" t="inlineStr"/>
    </row>
    <row r="543" ht="15" customHeight="1">
      <c r="A543" t="inlineStr">
        <is>
          <t>A 19527-2025</t>
        </is>
      </c>
      <c r="B543" s="1" t="n">
        <v>45770.46546296297</v>
      </c>
      <c r="C543" s="1" t="n">
        <v>46145</v>
      </c>
      <c r="D543" t="inlineStr">
        <is>
          <t>DALARNAS LÄN</t>
        </is>
      </c>
      <c r="E543" t="inlineStr">
        <is>
          <t>ÄLVDALEN</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4199-2026</t>
        </is>
      </c>
      <c r="B544" s="1" t="n">
        <v>46044.69938657407</v>
      </c>
      <c r="C544" s="1" t="n">
        <v>46145</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4023-2026</t>
        </is>
      </c>
      <c r="B545" s="1" t="n">
        <v>46044.42760416667</v>
      </c>
      <c r="C545" s="1" t="n">
        <v>46145</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3887-2026</t>
        </is>
      </c>
      <c r="B546" s="1" t="n">
        <v>46043.66733796296</v>
      </c>
      <c r="C546" s="1" t="n">
        <v>46145</v>
      </c>
      <c r="D546" t="inlineStr">
        <is>
          <t>DALARNAS LÄN</t>
        </is>
      </c>
      <c r="E546" t="inlineStr">
        <is>
          <t>ÄLVDALEN</t>
        </is>
      </c>
      <c r="G546" t="n">
        <v>0.7</v>
      </c>
      <c r="H546" t="n">
        <v>0</v>
      </c>
      <c r="I546" t="n">
        <v>0</v>
      </c>
      <c r="J546" t="n">
        <v>0</v>
      </c>
      <c r="K546" t="n">
        <v>0</v>
      </c>
      <c r="L546" t="n">
        <v>0</v>
      </c>
      <c r="M546" t="n">
        <v>0</v>
      </c>
      <c r="N546" t="n">
        <v>0</v>
      </c>
      <c r="O546" t="n">
        <v>0</v>
      </c>
      <c r="P546" t="n">
        <v>0</v>
      </c>
      <c r="Q546" t="n">
        <v>0</v>
      </c>
      <c r="R546" s="2" t="inlineStr"/>
    </row>
    <row r="547" ht="15" customHeight="1">
      <c r="A547" t="inlineStr">
        <is>
          <t>A 3859-2026</t>
        </is>
      </c>
      <c r="B547" s="1" t="n">
        <v>46043.6222337963</v>
      </c>
      <c r="C547" s="1" t="n">
        <v>46145</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3645-2026</t>
        </is>
      </c>
      <c r="B548" s="1" t="n">
        <v>46043.36129629629</v>
      </c>
      <c r="C548" s="1" t="n">
        <v>46145</v>
      </c>
      <c r="D548" t="inlineStr">
        <is>
          <t>DALARNAS LÄN</t>
        </is>
      </c>
      <c r="E548" t="inlineStr">
        <is>
          <t>ÄLVDALEN</t>
        </is>
      </c>
      <c r="G548" t="n">
        <v>3.2</v>
      </c>
      <c r="H548" t="n">
        <v>0</v>
      </c>
      <c r="I548" t="n">
        <v>0</v>
      </c>
      <c r="J548" t="n">
        <v>0</v>
      </c>
      <c r="K548" t="n">
        <v>0</v>
      </c>
      <c r="L548" t="n">
        <v>0</v>
      </c>
      <c r="M548" t="n">
        <v>0</v>
      </c>
      <c r="N548" t="n">
        <v>0</v>
      </c>
      <c r="O548" t="n">
        <v>0</v>
      </c>
      <c r="P548" t="n">
        <v>0</v>
      </c>
      <c r="Q548" t="n">
        <v>0</v>
      </c>
      <c r="R548" s="2" t="inlineStr"/>
    </row>
    <row r="549" ht="15" customHeight="1">
      <c r="A549" t="inlineStr">
        <is>
          <t>A 3649-2026</t>
        </is>
      </c>
      <c r="B549" s="1" t="n">
        <v>46043.36797453704</v>
      </c>
      <c r="C549" s="1" t="n">
        <v>46145</v>
      </c>
      <c r="D549" t="inlineStr">
        <is>
          <t>DALARNAS LÄN</t>
        </is>
      </c>
      <c r="E549" t="inlineStr">
        <is>
          <t>ÄLVDALEN</t>
        </is>
      </c>
      <c r="G549" t="n">
        <v>3.6</v>
      </c>
      <c r="H549" t="n">
        <v>0</v>
      </c>
      <c r="I549" t="n">
        <v>0</v>
      </c>
      <c r="J549" t="n">
        <v>0</v>
      </c>
      <c r="K549" t="n">
        <v>0</v>
      </c>
      <c r="L549" t="n">
        <v>0</v>
      </c>
      <c r="M549" t="n">
        <v>0</v>
      </c>
      <c r="N549" t="n">
        <v>0</v>
      </c>
      <c r="O549" t="n">
        <v>0</v>
      </c>
      <c r="P549" t="n">
        <v>0</v>
      </c>
      <c r="Q549" t="n">
        <v>0</v>
      </c>
      <c r="R549" s="2" t="inlineStr"/>
    </row>
    <row r="550" ht="15" customHeight="1">
      <c r="A550" t="inlineStr">
        <is>
          <t>A 3191-2026</t>
        </is>
      </c>
      <c r="B550" s="1" t="n">
        <v>46041</v>
      </c>
      <c r="C550" s="1" t="n">
        <v>46145</v>
      </c>
      <c r="D550" t="inlineStr">
        <is>
          <t>DALARNAS LÄN</t>
        </is>
      </c>
      <c r="E550" t="inlineStr">
        <is>
          <t>ÄLVDALEN</t>
        </is>
      </c>
      <c r="G550" t="n">
        <v>3.2</v>
      </c>
      <c r="H550" t="n">
        <v>0</v>
      </c>
      <c r="I550" t="n">
        <v>0</v>
      </c>
      <c r="J550" t="n">
        <v>0</v>
      </c>
      <c r="K550" t="n">
        <v>0</v>
      </c>
      <c r="L550" t="n">
        <v>0</v>
      </c>
      <c r="M550" t="n">
        <v>0</v>
      </c>
      <c r="N550" t="n">
        <v>0</v>
      </c>
      <c r="O550" t="n">
        <v>0</v>
      </c>
      <c r="P550" t="n">
        <v>0</v>
      </c>
      <c r="Q550" t="n">
        <v>0</v>
      </c>
      <c r="R550" s="2" t="inlineStr"/>
    </row>
    <row r="551" ht="15" customHeight="1">
      <c r="A551" t="inlineStr">
        <is>
          <t>A 6001-2024</t>
        </is>
      </c>
      <c r="B551" s="1" t="n">
        <v>45336</v>
      </c>
      <c r="C551" s="1" t="n">
        <v>46145</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19583-2025</t>
        </is>
      </c>
      <c r="B552" s="1" t="n">
        <v>45770</v>
      </c>
      <c r="C552" s="1" t="n">
        <v>46145</v>
      </c>
      <c r="D552" t="inlineStr">
        <is>
          <t>DALARNAS LÄN</t>
        </is>
      </c>
      <c r="E552" t="inlineStr">
        <is>
          <t>ÄLVDALEN</t>
        </is>
      </c>
      <c r="F552" t="inlineStr">
        <is>
          <t>Sveaskog</t>
        </is>
      </c>
      <c r="G552" t="n">
        <v>24.1</v>
      </c>
      <c r="H552" t="n">
        <v>0</v>
      </c>
      <c r="I552" t="n">
        <v>0</v>
      </c>
      <c r="J552" t="n">
        <v>0</v>
      </c>
      <c r="K552" t="n">
        <v>0</v>
      </c>
      <c r="L552" t="n">
        <v>0</v>
      </c>
      <c r="M552" t="n">
        <v>0</v>
      </c>
      <c r="N552" t="n">
        <v>0</v>
      </c>
      <c r="O552" t="n">
        <v>0</v>
      </c>
      <c r="P552" t="n">
        <v>0</v>
      </c>
      <c r="Q552" t="n">
        <v>0</v>
      </c>
      <c r="R552" s="2" t="inlineStr"/>
    </row>
    <row r="553" ht="15" customHeight="1">
      <c r="A553" t="inlineStr">
        <is>
          <t>A 44119-2022</t>
        </is>
      </c>
      <c r="B553" s="1" t="n">
        <v>44839.39157407408</v>
      </c>
      <c r="C553" s="1" t="n">
        <v>46145</v>
      </c>
      <c r="D553" t="inlineStr">
        <is>
          <t>DALARNAS LÄN</t>
        </is>
      </c>
      <c r="E553" t="inlineStr">
        <is>
          <t>ÄLVDALEN</t>
        </is>
      </c>
      <c r="G553" t="n">
        <v>3.2</v>
      </c>
      <c r="H553" t="n">
        <v>0</v>
      </c>
      <c r="I553" t="n">
        <v>0</v>
      </c>
      <c r="J553" t="n">
        <v>0</v>
      </c>
      <c r="K553" t="n">
        <v>0</v>
      </c>
      <c r="L553" t="n">
        <v>0</v>
      </c>
      <c r="M553" t="n">
        <v>0</v>
      </c>
      <c r="N553" t="n">
        <v>0</v>
      </c>
      <c r="O553" t="n">
        <v>0</v>
      </c>
      <c r="P553" t="n">
        <v>0</v>
      </c>
      <c r="Q553" t="n">
        <v>0</v>
      </c>
      <c r="R553" s="2" t="inlineStr"/>
    </row>
    <row r="554" ht="15" customHeight="1">
      <c r="A554" t="inlineStr">
        <is>
          <t>A 68219-2021</t>
        </is>
      </c>
      <c r="B554" s="1" t="n">
        <v>44526.57060185185</v>
      </c>
      <c r="C554" s="1" t="n">
        <v>46145</v>
      </c>
      <c r="D554" t="inlineStr">
        <is>
          <t>DALARNAS LÄN</t>
        </is>
      </c>
      <c r="E554" t="inlineStr">
        <is>
          <t>ÄLVDALEN</t>
        </is>
      </c>
      <c r="F554" t="inlineStr">
        <is>
          <t>Kyrkan</t>
        </is>
      </c>
      <c r="G554" t="n">
        <v>2.7</v>
      </c>
      <c r="H554" t="n">
        <v>0</v>
      </c>
      <c r="I554" t="n">
        <v>0</v>
      </c>
      <c r="J554" t="n">
        <v>0</v>
      </c>
      <c r="K554" t="n">
        <v>0</v>
      </c>
      <c r="L554" t="n">
        <v>0</v>
      </c>
      <c r="M554" t="n">
        <v>0</v>
      </c>
      <c r="N554" t="n">
        <v>0</v>
      </c>
      <c r="O554" t="n">
        <v>0</v>
      </c>
      <c r="P554" t="n">
        <v>0</v>
      </c>
      <c r="Q554" t="n">
        <v>0</v>
      </c>
      <c r="R554" s="2" t="inlineStr"/>
    </row>
    <row r="555" ht="15" customHeight="1">
      <c r="A555" t="inlineStr">
        <is>
          <t>A 29610-2024</t>
        </is>
      </c>
      <c r="B555" s="1" t="n">
        <v>45484</v>
      </c>
      <c r="C555" s="1" t="n">
        <v>46145</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3900-2024</t>
        </is>
      </c>
      <c r="B556" s="1" t="n">
        <v>45322</v>
      </c>
      <c r="C556" s="1" t="n">
        <v>46145</v>
      </c>
      <c r="D556" t="inlineStr">
        <is>
          <t>DALARNAS LÄN</t>
        </is>
      </c>
      <c r="E556" t="inlineStr">
        <is>
          <t>ÄLVDALEN</t>
        </is>
      </c>
      <c r="G556" t="n">
        <v>1.1</v>
      </c>
      <c r="H556" t="n">
        <v>0</v>
      </c>
      <c r="I556" t="n">
        <v>0</v>
      </c>
      <c r="J556" t="n">
        <v>0</v>
      </c>
      <c r="K556" t="n">
        <v>0</v>
      </c>
      <c r="L556" t="n">
        <v>0</v>
      </c>
      <c r="M556" t="n">
        <v>0</v>
      </c>
      <c r="N556" t="n">
        <v>0</v>
      </c>
      <c r="O556" t="n">
        <v>0</v>
      </c>
      <c r="P556" t="n">
        <v>0</v>
      </c>
      <c r="Q556" t="n">
        <v>0</v>
      </c>
      <c r="R556" s="2" t="inlineStr"/>
    </row>
    <row r="557" ht="15" customHeight="1">
      <c r="A557" t="inlineStr">
        <is>
          <t>A 2375-2024</t>
        </is>
      </c>
      <c r="B557" s="1" t="n">
        <v>45310</v>
      </c>
      <c r="C557" s="1" t="n">
        <v>46145</v>
      </c>
      <c r="D557" t="inlineStr">
        <is>
          <t>DALARNAS LÄN</t>
        </is>
      </c>
      <c r="E557" t="inlineStr">
        <is>
          <t>ÄLVDALEN</t>
        </is>
      </c>
      <c r="G557" t="n">
        <v>5.4</v>
      </c>
      <c r="H557" t="n">
        <v>0</v>
      </c>
      <c r="I557" t="n">
        <v>0</v>
      </c>
      <c r="J557" t="n">
        <v>0</v>
      </c>
      <c r="K557" t="n">
        <v>0</v>
      </c>
      <c r="L557" t="n">
        <v>0</v>
      </c>
      <c r="M557" t="n">
        <v>0</v>
      </c>
      <c r="N557" t="n">
        <v>0</v>
      </c>
      <c r="O557" t="n">
        <v>0</v>
      </c>
      <c r="P557" t="n">
        <v>0</v>
      </c>
      <c r="Q557" t="n">
        <v>0</v>
      </c>
      <c r="R557" s="2" t="inlineStr"/>
    </row>
    <row r="558" ht="15" customHeight="1">
      <c r="A558" t="inlineStr">
        <is>
          <t>A 35161-2023</t>
        </is>
      </c>
      <c r="B558" s="1" t="n">
        <v>45145.57525462963</v>
      </c>
      <c r="C558" s="1" t="n">
        <v>46145</v>
      </c>
      <c r="D558" t="inlineStr">
        <is>
          <t>DALARNAS LÄN</t>
        </is>
      </c>
      <c r="E558" t="inlineStr">
        <is>
          <t>ÄLVDALEN</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5925-2026</t>
        </is>
      </c>
      <c r="B559" s="1" t="n">
        <v>46052</v>
      </c>
      <c r="C559" s="1" t="n">
        <v>46145</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5875-2026</t>
        </is>
      </c>
      <c r="B560" s="1" t="n">
        <v>46052.37825231482</v>
      </c>
      <c r="C560" s="1" t="n">
        <v>46145</v>
      </c>
      <c r="D560" t="inlineStr">
        <is>
          <t>DALARNAS LÄN</t>
        </is>
      </c>
      <c r="E560" t="inlineStr">
        <is>
          <t>ÄLVDALEN</t>
        </is>
      </c>
      <c r="G560" t="n">
        <v>0.7</v>
      </c>
      <c r="H560" t="n">
        <v>0</v>
      </c>
      <c r="I560" t="n">
        <v>0</v>
      </c>
      <c r="J560" t="n">
        <v>0</v>
      </c>
      <c r="K560" t="n">
        <v>0</v>
      </c>
      <c r="L560" t="n">
        <v>0</v>
      </c>
      <c r="M560" t="n">
        <v>0</v>
      </c>
      <c r="N560" t="n">
        <v>0</v>
      </c>
      <c r="O560" t="n">
        <v>0</v>
      </c>
      <c r="P560" t="n">
        <v>0</v>
      </c>
      <c r="Q560" t="n">
        <v>0</v>
      </c>
      <c r="R560" s="2" t="inlineStr"/>
    </row>
    <row r="561" ht="15" customHeight="1">
      <c r="A561" t="inlineStr">
        <is>
          <t>A 47873-2023</t>
        </is>
      </c>
      <c r="B561" s="1" t="n">
        <v>45204</v>
      </c>
      <c r="C561" s="1" t="n">
        <v>46145</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31690-2024</t>
        </is>
      </c>
      <c r="B562" s="1" t="n">
        <v>45507</v>
      </c>
      <c r="C562" s="1" t="n">
        <v>46145</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23570-2023</t>
        </is>
      </c>
      <c r="B563" s="1" t="n">
        <v>45077</v>
      </c>
      <c r="C563" s="1" t="n">
        <v>46145</v>
      </c>
      <c r="D563" t="inlineStr">
        <is>
          <t>DALARNAS LÄN</t>
        </is>
      </c>
      <c r="E563" t="inlineStr">
        <is>
          <t>ÄLVDALEN</t>
        </is>
      </c>
      <c r="G563" t="n">
        <v>4.9</v>
      </c>
      <c r="H563" t="n">
        <v>0</v>
      </c>
      <c r="I563" t="n">
        <v>0</v>
      </c>
      <c r="J563" t="n">
        <v>0</v>
      </c>
      <c r="K563" t="n">
        <v>0</v>
      </c>
      <c r="L563" t="n">
        <v>0</v>
      </c>
      <c r="M563" t="n">
        <v>0</v>
      </c>
      <c r="N563" t="n">
        <v>0</v>
      </c>
      <c r="O563" t="n">
        <v>0</v>
      </c>
      <c r="P563" t="n">
        <v>0</v>
      </c>
      <c r="Q563" t="n">
        <v>0</v>
      </c>
      <c r="R563" s="2" t="inlineStr"/>
    </row>
    <row r="564" ht="15" customHeight="1">
      <c r="A564" t="inlineStr">
        <is>
          <t>A 39227-2024</t>
        </is>
      </c>
      <c r="B564" s="1" t="n">
        <v>45550.50548611111</v>
      </c>
      <c r="C564" s="1" t="n">
        <v>46145</v>
      </c>
      <c r="D564" t="inlineStr">
        <is>
          <t>DALARNAS LÄN</t>
        </is>
      </c>
      <c r="E564" t="inlineStr">
        <is>
          <t>ÄLVDALEN</t>
        </is>
      </c>
      <c r="G564" t="n">
        <v>0.2</v>
      </c>
      <c r="H564" t="n">
        <v>0</v>
      </c>
      <c r="I564" t="n">
        <v>0</v>
      </c>
      <c r="J564" t="n">
        <v>0</v>
      </c>
      <c r="K564" t="n">
        <v>0</v>
      </c>
      <c r="L564" t="n">
        <v>0</v>
      </c>
      <c r="M564" t="n">
        <v>0</v>
      </c>
      <c r="N564" t="n">
        <v>0</v>
      </c>
      <c r="O564" t="n">
        <v>0</v>
      </c>
      <c r="P564" t="n">
        <v>0</v>
      </c>
      <c r="Q564" t="n">
        <v>0</v>
      </c>
      <c r="R564" s="2" t="inlineStr"/>
    </row>
    <row r="565" ht="15" customHeight="1">
      <c r="A565" t="inlineStr">
        <is>
          <t>A 7101-2026</t>
        </is>
      </c>
      <c r="B565" s="1" t="n">
        <v>46058.35846064815</v>
      </c>
      <c r="C565" s="1" t="n">
        <v>46145</v>
      </c>
      <c r="D565" t="inlineStr">
        <is>
          <t>DALARNAS LÄN</t>
        </is>
      </c>
      <c r="E565" t="inlineStr">
        <is>
          <t>ÄLVDALEN</t>
        </is>
      </c>
      <c r="G565" t="n">
        <v>2.6</v>
      </c>
      <c r="H565" t="n">
        <v>0</v>
      </c>
      <c r="I565" t="n">
        <v>0</v>
      </c>
      <c r="J565" t="n">
        <v>0</v>
      </c>
      <c r="K565" t="n">
        <v>0</v>
      </c>
      <c r="L565" t="n">
        <v>0</v>
      </c>
      <c r="M565" t="n">
        <v>0</v>
      </c>
      <c r="N565" t="n">
        <v>0</v>
      </c>
      <c r="O565" t="n">
        <v>0</v>
      </c>
      <c r="P565" t="n">
        <v>0</v>
      </c>
      <c r="Q565" t="n">
        <v>0</v>
      </c>
      <c r="R565" s="2" t="inlineStr"/>
    </row>
    <row r="566" ht="15" customHeight="1">
      <c r="A566" t="inlineStr">
        <is>
          <t>A 6936-2026</t>
        </is>
      </c>
      <c r="B566" s="1" t="n">
        <v>46057.55954861111</v>
      </c>
      <c r="C566" s="1" t="n">
        <v>46145</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510-2024</t>
        </is>
      </c>
      <c r="B567" s="1" t="n">
        <v>45299.39997685186</v>
      </c>
      <c r="C567" s="1" t="n">
        <v>46145</v>
      </c>
      <c r="D567" t="inlineStr">
        <is>
          <t>DALARNAS LÄN</t>
        </is>
      </c>
      <c r="E567" t="inlineStr">
        <is>
          <t>ÄLVDALEN</t>
        </is>
      </c>
      <c r="G567" t="n">
        <v>1.5</v>
      </c>
      <c r="H567" t="n">
        <v>0</v>
      </c>
      <c r="I567" t="n">
        <v>0</v>
      </c>
      <c r="J567" t="n">
        <v>0</v>
      </c>
      <c r="K567" t="n">
        <v>0</v>
      </c>
      <c r="L567" t="n">
        <v>0</v>
      </c>
      <c r="M567" t="n">
        <v>0</v>
      </c>
      <c r="N567" t="n">
        <v>0</v>
      </c>
      <c r="O567" t="n">
        <v>0</v>
      </c>
      <c r="P567" t="n">
        <v>0</v>
      </c>
      <c r="Q567" t="n">
        <v>0</v>
      </c>
      <c r="R567" s="2" t="inlineStr"/>
    </row>
    <row r="568" ht="15" customHeight="1">
      <c r="A568" t="inlineStr">
        <is>
          <t>A 7458-2026</t>
        </is>
      </c>
      <c r="B568" s="1" t="n">
        <v>46059.47412037037</v>
      </c>
      <c r="C568" s="1" t="n">
        <v>46145</v>
      </c>
      <c r="D568" t="inlineStr">
        <is>
          <t>DALARNAS LÄN</t>
        </is>
      </c>
      <c r="E568" t="inlineStr">
        <is>
          <t>ÄLVDALEN</t>
        </is>
      </c>
      <c r="G568" t="n">
        <v>0.9</v>
      </c>
      <c r="H568" t="n">
        <v>0</v>
      </c>
      <c r="I568" t="n">
        <v>0</v>
      </c>
      <c r="J568" t="n">
        <v>0</v>
      </c>
      <c r="K568" t="n">
        <v>0</v>
      </c>
      <c r="L568" t="n">
        <v>0</v>
      </c>
      <c r="M568" t="n">
        <v>0</v>
      </c>
      <c r="N568" t="n">
        <v>0</v>
      </c>
      <c r="O568" t="n">
        <v>0</v>
      </c>
      <c r="P568" t="n">
        <v>0</v>
      </c>
      <c r="Q568" t="n">
        <v>0</v>
      </c>
      <c r="R568" s="2" t="inlineStr"/>
    </row>
    <row r="569" ht="15" customHeight="1">
      <c r="A569" t="inlineStr">
        <is>
          <t>A 4662-2024</t>
        </is>
      </c>
      <c r="B569" s="1" t="n">
        <v>45328.465625</v>
      </c>
      <c r="C569" s="1" t="n">
        <v>46145</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7795-2026</t>
        </is>
      </c>
      <c r="B570" s="1" t="n">
        <v>46062.59821759259</v>
      </c>
      <c r="C570" s="1" t="n">
        <v>46145</v>
      </c>
      <c r="D570" t="inlineStr">
        <is>
          <t>DALARNAS LÄN</t>
        </is>
      </c>
      <c r="E570" t="inlineStr">
        <is>
          <t>ÄLVDALEN</t>
        </is>
      </c>
      <c r="G570" t="n">
        <v>0.4</v>
      </c>
      <c r="H570" t="n">
        <v>0</v>
      </c>
      <c r="I570" t="n">
        <v>0</v>
      </c>
      <c r="J570" t="n">
        <v>0</v>
      </c>
      <c r="K570" t="n">
        <v>0</v>
      </c>
      <c r="L570" t="n">
        <v>0</v>
      </c>
      <c r="M570" t="n">
        <v>0</v>
      </c>
      <c r="N570" t="n">
        <v>0</v>
      </c>
      <c r="O570" t="n">
        <v>0</v>
      </c>
      <c r="P570" t="n">
        <v>0</v>
      </c>
      <c r="Q570" t="n">
        <v>0</v>
      </c>
      <c r="R570" s="2" t="inlineStr"/>
    </row>
    <row r="571" ht="15" customHeight="1">
      <c r="A571" t="inlineStr">
        <is>
          <t>A 7802-2026</t>
        </is>
      </c>
      <c r="B571" s="1" t="n">
        <v>46062.60400462963</v>
      </c>
      <c r="C571" s="1" t="n">
        <v>46145</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7782-2026</t>
        </is>
      </c>
      <c r="B572" s="1" t="n">
        <v>46062.57849537037</v>
      </c>
      <c r="C572" s="1" t="n">
        <v>46145</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7788-2026</t>
        </is>
      </c>
      <c r="B573" s="1" t="n">
        <v>46062.58864583333</v>
      </c>
      <c r="C573" s="1" t="n">
        <v>46145</v>
      </c>
      <c r="D573" t="inlineStr">
        <is>
          <t>DALARNAS LÄN</t>
        </is>
      </c>
      <c r="E573" t="inlineStr">
        <is>
          <t>ÄLVDALEN</t>
        </is>
      </c>
      <c r="G573" t="n">
        <v>0.9</v>
      </c>
      <c r="H573" t="n">
        <v>0</v>
      </c>
      <c r="I573" t="n">
        <v>0</v>
      </c>
      <c r="J573" t="n">
        <v>0</v>
      </c>
      <c r="K573" t="n">
        <v>0</v>
      </c>
      <c r="L573" t="n">
        <v>0</v>
      </c>
      <c r="M573" t="n">
        <v>0</v>
      </c>
      <c r="N573" t="n">
        <v>0</v>
      </c>
      <c r="O573" t="n">
        <v>0</v>
      </c>
      <c r="P573" t="n">
        <v>0</v>
      </c>
      <c r="Q573" t="n">
        <v>0</v>
      </c>
      <c r="R573" s="2" t="inlineStr"/>
    </row>
    <row r="574" ht="15" customHeight="1">
      <c r="A574" t="inlineStr">
        <is>
          <t>A 5063-2025</t>
        </is>
      </c>
      <c r="B574" s="1" t="n">
        <v>45691.47466435185</v>
      </c>
      <c r="C574" s="1" t="n">
        <v>46145</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1554-2026</t>
        </is>
      </c>
      <c r="B575" s="1" t="n">
        <v>46034</v>
      </c>
      <c r="C575" s="1" t="n">
        <v>46145</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7784-2026</t>
        </is>
      </c>
      <c r="B576" s="1" t="n">
        <v>46062.58371527777</v>
      </c>
      <c r="C576" s="1" t="n">
        <v>46145</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37438-2024</t>
        </is>
      </c>
      <c r="B577" s="1" t="n">
        <v>45540</v>
      </c>
      <c r="C577" s="1" t="n">
        <v>46145</v>
      </c>
      <c r="D577" t="inlineStr">
        <is>
          <t>DALARNAS LÄN</t>
        </is>
      </c>
      <c r="E577" t="inlineStr">
        <is>
          <t>ÄLVDALEN</t>
        </is>
      </c>
      <c r="G577" t="n">
        <v>3.9</v>
      </c>
      <c r="H577" t="n">
        <v>0</v>
      </c>
      <c r="I577" t="n">
        <v>0</v>
      </c>
      <c r="J577" t="n">
        <v>0</v>
      </c>
      <c r="K577" t="n">
        <v>0</v>
      </c>
      <c r="L577" t="n">
        <v>0</v>
      </c>
      <c r="M577" t="n">
        <v>0</v>
      </c>
      <c r="N577" t="n">
        <v>0</v>
      </c>
      <c r="O577" t="n">
        <v>0</v>
      </c>
      <c r="P577" t="n">
        <v>0</v>
      </c>
      <c r="Q577" t="n">
        <v>0</v>
      </c>
      <c r="R577" s="2" t="inlineStr"/>
    </row>
    <row r="578" ht="15" customHeight="1">
      <c r="A578" t="inlineStr">
        <is>
          <t>A 42679-2024</t>
        </is>
      </c>
      <c r="B578" s="1" t="n">
        <v>45566.37706018519</v>
      </c>
      <c r="C578" s="1" t="n">
        <v>46145</v>
      </c>
      <c r="D578" t="inlineStr">
        <is>
          <t>DALARNAS LÄN</t>
        </is>
      </c>
      <c r="E578" t="inlineStr">
        <is>
          <t>ÄLVDALEN</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8085-2026</t>
        </is>
      </c>
      <c r="B579" s="1" t="n">
        <v>46063.68006944445</v>
      </c>
      <c r="C579" s="1" t="n">
        <v>46145</v>
      </c>
      <c r="D579" t="inlineStr">
        <is>
          <t>DALARNAS LÄN</t>
        </is>
      </c>
      <c r="E579" t="inlineStr">
        <is>
          <t>ÄLVDALEN</t>
        </is>
      </c>
      <c r="G579" t="n">
        <v>3.5</v>
      </c>
      <c r="H579" t="n">
        <v>0</v>
      </c>
      <c r="I579" t="n">
        <v>0</v>
      </c>
      <c r="J579" t="n">
        <v>0</v>
      </c>
      <c r="K579" t="n">
        <v>0</v>
      </c>
      <c r="L579" t="n">
        <v>0</v>
      </c>
      <c r="M579" t="n">
        <v>0</v>
      </c>
      <c r="N579" t="n">
        <v>0</v>
      </c>
      <c r="O579" t="n">
        <v>0</v>
      </c>
      <c r="P579" t="n">
        <v>0</v>
      </c>
      <c r="Q579" t="n">
        <v>0</v>
      </c>
      <c r="R579" s="2" t="inlineStr"/>
    </row>
    <row r="580" ht="15" customHeight="1">
      <c r="A580" t="inlineStr">
        <is>
          <t>A 19553-2025</t>
        </is>
      </c>
      <c r="B580" s="1" t="n">
        <v>45770</v>
      </c>
      <c r="C580" s="1" t="n">
        <v>46145</v>
      </c>
      <c r="D580" t="inlineStr">
        <is>
          <t>DALARNAS LÄN</t>
        </is>
      </c>
      <c r="E580" t="inlineStr">
        <is>
          <t>ÄLVDALEN</t>
        </is>
      </c>
      <c r="F580" t="inlineStr">
        <is>
          <t>Sveaskog</t>
        </is>
      </c>
      <c r="G580" t="n">
        <v>25.2</v>
      </c>
      <c r="H580" t="n">
        <v>0</v>
      </c>
      <c r="I580" t="n">
        <v>0</v>
      </c>
      <c r="J580" t="n">
        <v>0</v>
      </c>
      <c r="K580" t="n">
        <v>0</v>
      </c>
      <c r="L580" t="n">
        <v>0</v>
      </c>
      <c r="M580" t="n">
        <v>0</v>
      </c>
      <c r="N580" t="n">
        <v>0</v>
      </c>
      <c r="O580" t="n">
        <v>0</v>
      </c>
      <c r="P580" t="n">
        <v>0</v>
      </c>
      <c r="Q580" t="n">
        <v>0</v>
      </c>
      <c r="R580" s="2" t="inlineStr"/>
    </row>
    <row r="581" ht="15" customHeight="1">
      <c r="A581" t="inlineStr">
        <is>
          <t>A 15202-2026</t>
        </is>
      </c>
      <c r="B581" s="1" t="n">
        <v>46105</v>
      </c>
      <c r="C581" s="1" t="n">
        <v>46145</v>
      </c>
      <c r="D581" t="inlineStr">
        <is>
          <t>DALARNAS LÄN</t>
        </is>
      </c>
      <c r="E581" t="inlineStr">
        <is>
          <t>ÄLVDALEN</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4380-2024</t>
        </is>
      </c>
      <c r="B582" s="1" t="n">
        <v>45327</v>
      </c>
      <c r="C582" s="1" t="n">
        <v>46145</v>
      </c>
      <c r="D582" t="inlineStr">
        <is>
          <t>DALARNAS LÄN</t>
        </is>
      </c>
      <c r="E582" t="inlineStr">
        <is>
          <t>ÄLVDALEN</t>
        </is>
      </c>
      <c r="G582" t="n">
        <v>6.3</v>
      </c>
      <c r="H582" t="n">
        <v>0</v>
      </c>
      <c r="I582" t="n">
        <v>0</v>
      </c>
      <c r="J582" t="n">
        <v>0</v>
      </c>
      <c r="K582" t="n">
        <v>0</v>
      </c>
      <c r="L582" t="n">
        <v>0</v>
      </c>
      <c r="M582" t="n">
        <v>0</v>
      </c>
      <c r="N582" t="n">
        <v>0</v>
      </c>
      <c r="O582" t="n">
        <v>0</v>
      </c>
      <c r="P582" t="n">
        <v>0</v>
      </c>
      <c r="Q582" t="n">
        <v>0</v>
      </c>
      <c r="R582" s="2" t="inlineStr"/>
    </row>
    <row r="583" ht="15" customHeight="1">
      <c r="A583" t="inlineStr">
        <is>
          <t>A 15200-2026</t>
        </is>
      </c>
      <c r="B583" s="1" t="n">
        <v>46105</v>
      </c>
      <c r="C583" s="1" t="n">
        <v>46145</v>
      </c>
      <c r="D583" t="inlineStr">
        <is>
          <t>DALARNAS LÄN</t>
        </is>
      </c>
      <c r="E583" t="inlineStr">
        <is>
          <t>ÄLVDALEN</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15816-2026</t>
        </is>
      </c>
      <c r="B584" s="1" t="n">
        <v>46107.50123842592</v>
      </c>
      <c r="C584" s="1" t="n">
        <v>46145</v>
      </c>
      <c r="D584" t="inlineStr">
        <is>
          <t>DALARNAS LÄN</t>
        </is>
      </c>
      <c r="E584" t="inlineStr">
        <is>
          <t>ÄLVDALEN</t>
        </is>
      </c>
      <c r="F584" t="inlineStr">
        <is>
          <t>Allmännings- och besparingsskogar</t>
        </is>
      </c>
      <c r="G584" t="n">
        <v>2.1</v>
      </c>
      <c r="H584" t="n">
        <v>0</v>
      </c>
      <c r="I584" t="n">
        <v>0</v>
      </c>
      <c r="J584" t="n">
        <v>0</v>
      </c>
      <c r="K584" t="n">
        <v>0</v>
      </c>
      <c r="L584" t="n">
        <v>0</v>
      </c>
      <c r="M584" t="n">
        <v>0</v>
      </c>
      <c r="N584" t="n">
        <v>0</v>
      </c>
      <c r="O584" t="n">
        <v>0</v>
      </c>
      <c r="P584" t="n">
        <v>0</v>
      </c>
      <c r="Q584" t="n">
        <v>0</v>
      </c>
      <c r="R584" s="2" t="inlineStr"/>
    </row>
    <row r="585" ht="15" customHeight="1">
      <c r="A585" t="inlineStr">
        <is>
          <t>A 41446-2024</t>
        </is>
      </c>
      <c r="B585" s="1" t="n">
        <v>45560.39483796297</v>
      </c>
      <c r="C585" s="1" t="n">
        <v>46145</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15841-2026</t>
        </is>
      </c>
      <c r="B586" s="1" t="n">
        <v>46107.56314814815</v>
      </c>
      <c r="C586" s="1" t="n">
        <v>46145</v>
      </c>
      <c r="D586" t="inlineStr">
        <is>
          <t>DALARNAS LÄN</t>
        </is>
      </c>
      <c r="E586" t="inlineStr">
        <is>
          <t>ÄLVDALEN</t>
        </is>
      </c>
      <c r="F586" t="inlineStr">
        <is>
          <t>Allmännings- och besparingsskogar</t>
        </is>
      </c>
      <c r="G586" t="n">
        <v>0.2</v>
      </c>
      <c r="H586" t="n">
        <v>0</v>
      </c>
      <c r="I586" t="n">
        <v>0</v>
      </c>
      <c r="J586" t="n">
        <v>0</v>
      </c>
      <c r="K586" t="n">
        <v>0</v>
      </c>
      <c r="L586" t="n">
        <v>0</v>
      </c>
      <c r="M586" t="n">
        <v>0</v>
      </c>
      <c r="N586" t="n">
        <v>0</v>
      </c>
      <c r="O586" t="n">
        <v>0</v>
      </c>
      <c r="P586" t="n">
        <v>0</v>
      </c>
      <c r="Q586" t="n">
        <v>0</v>
      </c>
      <c r="R586" s="2" t="inlineStr"/>
    </row>
    <row r="587" ht="15" customHeight="1">
      <c r="A587" t="inlineStr">
        <is>
          <t>A 17346-2022</t>
        </is>
      </c>
      <c r="B587" s="1" t="n">
        <v>44678.56600694444</v>
      </c>
      <c r="C587" s="1" t="n">
        <v>46145</v>
      </c>
      <c r="D587" t="inlineStr">
        <is>
          <t>DALARNAS LÄN</t>
        </is>
      </c>
      <c r="E587" t="inlineStr">
        <is>
          <t>ÄLVDALEN</t>
        </is>
      </c>
      <c r="G587" t="n">
        <v>4.4</v>
      </c>
      <c r="H587" t="n">
        <v>0</v>
      </c>
      <c r="I587" t="n">
        <v>0</v>
      </c>
      <c r="J587" t="n">
        <v>0</v>
      </c>
      <c r="K587" t="n">
        <v>0</v>
      </c>
      <c r="L587" t="n">
        <v>0</v>
      </c>
      <c r="M587" t="n">
        <v>0</v>
      </c>
      <c r="N587" t="n">
        <v>0</v>
      </c>
      <c r="O587" t="n">
        <v>0</v>
      </c>
      <c r="P587" t="n">
        <v>0</v>
      </c>
      <c r="Q587" t="n">
        <v>0</v>
      </c>
      <c r="R587" s="2" t="inlineStr"/>
    </row>
    <row r="588" ht="15" customHeight="1">
      <c r="A588" t="inlineStr">
        <is>
          <t>A 61450-2022</t>
        </is>
      </c>
      <c r="B588" s="1" t="n">
        <v>44910</v>
      </c>
      <c r="C588" s="1" t="n">
        <v>46145</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8644-2026</t>
        </is>
      </c>
      <c r="B589" s="1" t="n">
        <v>46066.36326388889</v>
      </c>
      <c r="C589" s="1" t="n">
        <v>46145</v>
      </c>
      <c r="D589" t="inlineStr">
        <is>
          <t>DALARNAS LÄN</t>
        </is>
      </c>
      <c r="E589" t="inlineStr">
        <is>
          <t>ÄLVDALEN</t>
        </is>
      </c>
      <c r="G589" t="n">
        <v>12</v>
      </c>
      <c r="H589" t="n">
        <v>0</v>
      </c>
      <c r="I589" t="n">
        <v>0</v>
      </c>
      <c r="J589" t="n">
        <v>0</v>
      </c>
      <c r="K589" t="n">
        <v>0</v>
      </c>
      <c r="L589" t="n">
        <v>0</v>
      </c>
      <c r="M589" t="n">
        <v>0</v>
      </c>
      <c r="N589" t="n">
        <v>0</v>
      </c>
      <c r="O589" t="n">
        <v>0</v>
      </c>
      <c r="P589" t="n">
        <v>0</v>
      </c>
      <c r="Q589" t="n">
        <v>0</v>
      </c>
      <c r="R589" s="2" t="inlineStr"/>
    </row>
    <row r="590" ht="15" customHeight="1">
      <c r="A590" t="inlineStr">
        <is>
          <t>A 16552-2026</t>
        </is>
      </c>
      <c r="B590" s="1" t="n">
        <v>46112.54060185186</v>
      </c>
      <c r="C590" s="1" t="n">
        <v>46145</v>
      </c>
      <c r="D590" t="inlineStr">
        <is>
          <t>DALARNAS LÄN</t>
        </is>
      </c>
      <c r="E590" t="inlineStr">
        <is>
          <t>ÄLVDALEN</t>
        </is>
      </c>
      <c r="G590" t="n">
        <v>17.2</v>
      </c>
      <c r="H590" t="n">
        <v>0</v>
      </c>
      <c r="I590" t="n">
        <v>0</v>
      </c>
      <c r="J590" t="n">
        <v>0</v>
      </c>
      <c r="K590" t="n">
        <v>0</v>
      </c>
      <c r="L590" t="n">
        <v>0</v>
      </c>
      <c r="M590" t="n">
        <v>0</v>
      </c>
      <c r="N590" t="n">
        <v>0</v>
      </c>
      <c r="O590" t="n">
        <v>0</v>
      </c>
      <c r="P590" t="n">
        <v>0</v>
      </c>
      <c r="Q590" t="n">
        <v>0</v>
      </c>
      <c r="R590" s="2" t="inlineStr"/>
    </row>
    <row r="591" ht="15" customHeight="1">
      <c r="A591" t="inlineStr">
        <is>
          <t>A 32009-2021</t>
        </is>
      </c>
      <c r="B591" s="1" t="n">
        <v>44370.63354166667</v>
      </c>
      <c r="C591" s="1" t="n">
        <v>46145</v>
      </c>
      <c r="D591" t="inlineStr">
        <is>
          <t>DALARNAS LÄN</t>
        </is>
      </c>
      <c r="E591" t="inlineStr">
        <is>
          <t>ÄLVDALEN</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16489-2026</t>
        </is>
      </c>
      <c r="B592" s="1" t="n">
        <v>46112.4153125</v>
      </c>
      <c r="C592" s="1" t="n">
        <v>46145</v>
      </c>
      <c r="D592" t="inlineStr">
        <is>
          <t>DALARNAS LÄN</t>
        </is>
      </c>
      <c r="E592" t="inlineStr">
        <is>
          <t>ÄLVDALEN</t>
        </is>
      </c>
      <c r="G592" t="n">
        <v>0.9</v>
      </c>
      <c r="H592" t="n">
        <v>0</v>
      </c>
      <c r="I592" t="n">
        <v>0</v>
      </c>
      <c r="J592" t="n">
        <v>0</v>
      </c>
      <c r="K592" t="n">
        <v>0</v>
      </c>
      <c r="L592" t="n">
        <v>0</v>
      </c>
      <c r="M592" t="n">
        <v>0</v>
      </c>
      <c r="N592" t="n">
        <v>0</v>
      </c>
      <c r="O592" t="n">
        <v>0</v>
      </c>
      <c r="P592" t="n">
        <v>0</v>
      </c>
      <c r="Q592" t="n">
        <v>0</v>
      </c>
      <c r="R592" s="2" t="inlineStr"/>
    </row>
    <row r="593" ht="15" customHeight="1">
      <c r="A593" t="inlineStr">
        <is>
          <t>A 59207-2022</t>
        </is>
      </c>
      <c r="B593" s="1" t="n">
        <v>44904</v>
      </c>
      <c r="C593" s="1" t="n">
        <v>46145</v>
      </c>
      <c r="D593" t="inlineStr">
        <is>
          <t>DALARNAS LÄN</t>
        </is>
      </c>
      <c r="E593" t="inlineStr">
        <is>
          <t>ÄLVDALEN</t>
        </is>
      </c>
      <c r="G593" t="n">
        <v>4.7</v>
      </c>
      <c r="H593" t="n">
        <v>0</v>
      </c>
      <c r="I593" t="n">
        <v>0</v>
      </c>
      <c r="J593" t="n">
        <v>0</v>
      </c>
      <c r="K593" t="n">
        <v>0</v>
      </c>
      <c r="L593" t="n">
        <v>0</v>
      </c>
      <c r="M593" t="n">
        <v>0</v>
      </c>
      <c r="N593" t="n">
        <v>0</v>
      </c>
      <c r="O593" t="n">
        <v>0</v>
      </c>
      <c r="P593" t="n">
        <v>0</v>
      </c>
      <c r="Q593" t="n">
        <v>0</v>
      </c>
      <c r="R593" s="2" t="inlineStr"/>
    </row>
    <row r="594" ht="15" customHeight="1">
      <c r="A594" t="inlineStr">
        <is>
          <t>A 57821-2023</t>
        </is>
      </c>
      <c r="B594" s="1" t="n">
        <v>45247</v>
      </c>
      <c r="C594" s="1" t="n">
        <v>46145</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26734-2021</t>
        </is>
      </c>
      <c r="B595" s="1" t="n">
        <v>44349.39537037037</v>
      </c>
      <c r="C595" s="1" t="n">
        <v>46145</v>
      </c>
      <c r="D595" t="inlineStr">
        <is>
          <t>DALARNAS LÄN</t>
        </is>
      </c>
      <c r="E595" t="inlineStr">
        <is>
          <t>ÄLVDALEN</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9115-2026</t>
        </is>
      </c>
      <c r="B596" s="1" t="n">
        <v>46069</v>
      </c>
      <c r="C596" s="1" t="n">
        <v>46145</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16517-2026</t>
        </is>
      </c>
      <c r="B597" s="1" t="n">
        <v>46112.45333333333</v>
      </c>
      <c r="C597" s="1" t="n">
        <v>46145</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23129-2023</t>
        </is>
      </c>
      <c r="B598" s="1" t="n">
        <v>45075</v>
      </c>
      <c r="C598" s="1" t="n">
        <v>46145</v>
      </c>
      <c r="D598" t="inlineStr">
        <is>
          <t>DALARNAS LÄN</t>
        </is>
      </c>
      <c r="E598" t="inlineStr">
        <is>
          <t>ÄLVDALEN</t>
        </is>
      </c>
      <c r="G598" t="n">
        <v>0.8</v>
      </c>
      <c r="H598" t="n">
        <v>0</v>
      </c>
      <c r="I598" t="n">
        <v>0</v>
      </c>
      <c r="J598" t="n">
        <v>0</v>
      </c>
      <c r="K598" t="n">
        <v>0</v>
      </c>
      <c r="L598" t="n">
        <v>0</v>
      </c>
      <c r="M598" t="n">
        <v>0</v>
      </c>
      <c r="N598" t="n">
        <v>0</v>
      </c>
      <c r="O598" t="n">
        <v>0</v>
      </c>
      <c r="P598" t="n">
        <v>0</v>
      </c>
      <c r="Q598" t="n">
        <v>0</v>
      </c>
      <c r="R598" s="2" t="inlineStr"/>
    </row>
    <row r="599" ht="15" customHeight="1">
      <c r="A599" t="inlineStr">
        <is>
          <t>A 16425-2026</t>
        </is>
      </c>
      <c r="B599" s="1" t="n">
        <v>46111.68306712963</v>
      </c>
      <c r="C599" s="1" t="n">
        <v>46145</v>
      </c>
      <c r="D599" t="inlineStr">
        <is>
          <t>DALARNAS LÄN</t>
        </is>
      </c>
      <c r="E599" t="inlineStr">
        <is>
          <t>ÄLVDALEN</t>
        </is>
      </c>
      <c r="G599" t="n">
        <v>1.4</v>
      </c>
      <c r="H599" t="n">
        <v>0</v>
      </c>
      <c r="I599" t="n">
        <v>0</v>
      </c>
      <c r="J599" t="n">
        <v>0</v>
      </c>
      <c r="K599" t="n">
        <v>0</v>
      </c>
      <c r="L599" t="n">
        <v>0</v>
      </c>
      <c r="M599" t="n">
        <v>0</v>
      </c>
      <c r="N599" t="n">
        <v>0</v>
      </c>
      <c r="O599" t="n">
        <v>0</v>
      </c>
      <c r="P599" t="n">
        <v>0</v>
      </c>
      <c r="Q599" t="n">
        <v>0</v>
      </c>
      <c r="R599" s="2" t="inlineStr"/>
    </row>
    <row r="600" ht="15" customHeight="1">
      <c r="A600" t="inlineStr">
        <is>
          <t>A 9492-2026</t>
        </is>
      </c>
      <c r="B600" s="1" t="n">
        <v>46071.55731481482</v>
      </c>
      <c r="C600" s="1" t="n">
        <v>46145</v>
      </c>
      <c r="D600" t="inlineStr">
        <is>
          <t>DALARNAS LÄN</t>
        </is>
      </c>
      <c r="E600" t="inlineStr">
        <is>
          <t>ÄLVDALEN</t>
        </is>
      </c>
      <c r="G600" t="n">
        <v>2.4</v>
      </c>
      <c r="H600" t="n">
        <v>0</v>
      </c>
      <c r="I600" t="n">
        <v>0</v>
      </c>
      <c r="J600" t="n">
        <v>0</v>
      </c>
      <c r="K600" t="n">
        <v>0</v>
      </c>
      <c r="L600" t="n">
        <v>0</v>
      </c>
      <c r="M600" t="n">
        <v>0</v>
      </c>
      <c r="N600" t="n">
        <v>0</v>
      </c>
      <c r="O600" t="n">
        <v>0</v>
      </c>
      <c r="P600" t="n">
        <v>0</v>
      </c>
      <c r="Q600" t="n">
        <v>0</v>
      </c>
      <c r="R600" s="2" t="inlineStr"/>
    </row>
    <row r="601" ht="15" customHeight="1">
      <c r="A601" t="inlineStr">
        <is>
          <t>A 9498-2026</t>
        </is>
      </c>
      <c r="B601" s="1" t="n">
        <v>46071.57155092592</v>
      </c>
      <c r="C601" s="1" t="n">
        <v>46145</v>
      </c>
      <c r="D601" t="inlineStr">
        <is>
          <t>DALARNAS LÄN</t>
        </is>
      </c>
      <c r="E601" t="inlineStr">
        <is>
          <t>ÄLVDALEN</t>
        </is>
      </c>
      <c r="G601" t="n">
        <v>5.3</v>
      </c>
      <c r="H601" t="n">
        <v>0</v>
      </c>
      <c r="I601" t="n">
        <v>0</v>
      </c>
      <c r="J601" t="n">
        <v>0</v>
      </c>
      <c r="K601" t="n">
        <v>0</v>
      </c>
      <c r="L601" t="n">
        <v>0</v>
      </c>
      <c r="M601" t="n">
        <v>0</v>
      </c>
      <c r="N601" t="n">
        <v>0</v>
      </c>
      <c r="O601" t="n">
        <v>0</v>
      </c>
      <c r="P601" t="n">
        <v>0</v>
      </c>
      <c r="Q601" t="n">
        <v>0</v>
      </c>
      <c r="R601" s="2" t="inlineStr"/>
    </row>
    <row r="602" ht="15" customHeight="1">
      <c r="A602" t="inlineStr">
        <is>
          <t>A 57467-2023</t>
        </is>
      </c>
      <c r="B602" s="1" t="n">
        <v>45246.36751157408</v>
      </c>
      <c r="C602" s="1" t="n">
        <v>46145</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22847-2023</t>
        </is>
      </c>
      <c r="B603" s="1" t="n">
        <v>45072</v>
      </c>
      <c r="C603" s="1" t="n">
        <v>46145</v>
      </c>
      <c r="D603" t="inlineStr">
        <is>
          <t>DALARNAS LÄN</t>
        </is>
      </c>
      <c r="E603" t="inlineStr">
        <is>
          <t>ÄLVDALEN</t>
        </is>
      </c>
      <c r="F603" t="inlineStr">
        <is>
          <t>Bergvik skog väst AB</t>
        </is>
      </c>
      <c r="G603" t="n">
        <v>8.1</v>
      </c>
      <c r="H603" t="n">
        <v>0</v>
      </c>
      <c r="I603" t="n">
        <v>0</v>
      </c>
      <c r="J603" t="n">
        <v>0</v>
      </c>
      <c r="K603" t="n">
        <v>0</v>
      </c>
      <c r="L603" t="n">
        <v>0</v>
      </c>
      <c r="M603" t="n">
        <v>0</v>
      </c>
      <c r="N603" t="n">
        <v>0</v>
      </c>
      <c r="O603" t="n">
        <v>0</v>
      </c>
      <c r="P603" t="n">
        <v>0</v>
      </c>
      <c r="Q603" t="n">
        <v>0</v>
      </c>
      <c r="R603" s="2" t="inlineStr"/>
    </row>
    <row r="604" ht="15" customHeight="1">
      <c r="A604" t="inlineStr">
        <is>
          <t>A 42426-2023</t>
        </is>
      </c>
      <c r="B604" s="1" t="n">
        <v>45175</v>
      </c>
      <c r="C604" s="1" t="n">
        <v>46145</v>
      </c>
      <c r="D604" t="inlineStr">
        <is>
          <t>DALARNAS LÄN</t>
        </is>
      </c>
      <c r="E604" t="inlineStr">
        <is>
          <t>ÄLVDALEN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32362-2021</t>
        </is>
      </c>
      <c r="B605" s="1" t="n">
        <v>44371</v>
      </c>
      <c r="C605" s="1" t="n">
        <v>46145</v>
      </c>
      <c r="D605" t="inlineStr">
        <is>
          <t>DALARNAS LÄN</t>
        </is>
      </c>
      <c r="E605" t="inlineStr">
        <is>
          <t>ÄLVDALEN</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29710-2022</t>
        </is>
      </c>
      <c r="B606" s="1" t="n">
        <v>44755</v>
      </c>
      <c r="C606" s="1" t="n">
        <v>46145</v>
      </c>
      <c r="D606" t="inlineStr">
        <is>
          <t>DALARNAS LÄN</t>
        </is>
      </c>
      <c r="E606" t="inlineStr">
        <is>
          <t>ÄLVDALEN</t>
        </is>
      </c>
      <c r="F606" t="inlineStr">
        <is>
          <t>Sveaskog</t>
        </is>
      </c>
      <c r="G606" t="n">
        <v>9.1</v>
      </c>
      <c r="H606" t="n">
        <v>0</v>
      </c>
      <c r="I606" t="n">
        <v>0</v>
      </c>
      <c r="J606" t="n">
        <v>0</v>
      </c>
      <c r="K606" t="n">
        <v>0</v>
      </c>
      <c r="L606" t="n">
        <v>0</v>
      </c>
      <c r="M606" t="n">
        <v>0</v>
      </c>
      <c r="N606" t="n">
        <v>0</v>
      </c>
      <c r="O606" t="n">
        <v>0</v>
      </c>
      <c r="P606" t="n">
        <v>0</v>
      </c>
      <c r="Q606" t="n">
        <v>0</v>
      </c>
      <c r="R606" s="2" t="inlineStr"/>
    </row>
    <row r="607" ht="15" customHeight="1">
      <c r="A607" t="inlineStr">
        <is>
          <t>A 60642-2021</t>
        </is>
      </c>
      <c r="B607" s="1" t="n">
        <v>44496.61677083333</v>
      </c>
      <c r="C607" s="1" t="n">
        <v>46145</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44386-2021</t>
        </is>
      </c>
      <c r="B608" s="1" t="n">
        <v>44435</v>
      </c>
      <c r="C608" s="1" t="n">
        <v>46145</v>
      </c>
      <c r="D608" t="inlineStr">
        <is>
          <t>DALARNAS LÄN</t>
        </is>
      </c>
      <c r="E608" t="inlineStr">
        <is>
          <t>ÄLVDALEN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9915-2026</t>
        </is>
      </c>
      <c r="B609" s="1" t="n">
        <v>46073.43303240741</v>
      </c>
      <c r="C609" s="1" t="n">
        <v>46145</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49906-2024</t>
        </is>
      </c>
      <c r="B610" s="1" t="n">
        <v>45597.55230324074</v>
      </c>
      <c r="C610" s="1" t="n">
        <v>46145</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11084-2026</t>
        </is>
      </c>
      <c r="B611" s="1" t="n">
        <v>46079</v>
      </c>
      <c r="C611" s="1" t="n">
        <v>46145</v>
      </c>
      <c r="D611" t="inlineStr">
        <is>
          <t>DALARNAS LÄN</t>
        </is>
      </c>
      <c r="E611" t="inlineStr">
        <is>
          <t>ÄLVDALEN</t>
        </is>
      </c>
      <c r="G611" t="n">
        <v>2.5</v>
      </c>
      <c r="H611" t="n">
        <v>0</v>
      </c>
      <c r="I611" t="n">
        <v>0</v>
      </c>
      <c r="J611" t="n">
        <v>0</v>
      </c>
      <c r="K611" t="n">
        <v>0</v>
      </c>
      <c r="L611" t="n">
        <v>0</v>
      </c>
      <c r="M611" t="n">
        <v>0</v>
      </c>
      <c r="N611" t="n">
        <v>0</v>
      </c>
      <c r="O611" t="n">
        <v>0</v>
      </c>
      <c r="P611" t="n">
        <v>0</v>
      </c>
      <c r="Q611" t="n">
        <v>0</v>
      </c>
      <c r="R611" s="2" t="inlineStr"/>
    </row>
    <row r="612" ht="15" customHeight="1">
      <c r="A612" t="inlineStr">
        <is>
          <t>A 8784-2024</t>
        </is>
      </c>
      <c r="B612" s="1" t="n">
        <v>45356.58180555556</v>
      </c>
      <c r="C612" s="1" t="n">
        <v>46145</v>
      </c>
      <c r="D612" t="inlineStr">
        <is>
          <t>DALARNAS LÄN</t>
        </is>
      </c>
      <c r="E612" t="inlineStr">
        <is>
          <t>ÄLVDALEN</t>
        </is>
      </c>
      <c r="G612" t="n">
        <v>1.6</v>
      </c>
      <c r="H612" t="n">
        <v>0</v>
      </c>
      <c r="I612" t="n">
        <v>0</v>
      </c>
      <c r="J612" t="n">
        <v>0</v>
      </c>
      <c r="K612" t="n">
        <v>0</v>
      </c>
      <c r="L612" t="n">
        <v>0</v>
      </c>
      <c r="M612" t="n">
        <v>0</v>
      </c>
      <c r="N612" t="n">
        <v>0</v>
      </c>
      <c r="O612" t="n">
        <v>0</v>
      </c>
      <c r="P612" t="n">
        <v>0</v>
      </c>
      <c r="Q612" t="n">
        <v>0</v>
      </c>
      <c r="R612" s="2" t="inlineStr"/>
    </row>
    <row r="613" ht="15" customHeight="1">
      <c r="A613" t="inlineStr">
        <is>
          <t>A 11124-2026</t>
        </is>
      </c>
      <c r="B613" s="1" t="n">
        <v>46079.68990740741</v>
      </c>
      <c r="C613" s="1" t="n">
        <v>46145</v>
      </c>
      <c r="D613" t="inlineStr">
        <is>
          <t>DALARNAS LÄN</t>
        </is>
      </c>
      <c r="E613" t="inlineStr">
        <is>
          <t>ÄLVDALEN</t>
        </is>
      </c>
      <c r="G613" t="n">
        <v>4.4</v>
      </c>
      <c r="H613" t="n">
        <v>0</v>
      </c>
      <c r="I613" t="n">
        <v>0</v>
      </c>
      <c r="J613" t="n">
        <v>0</v>
      </c>
      <c r="K613" t="n">
        <v>0</v>
      </c>
      <c r="L613" t="n">
        <v>0</v>
      </c>
      <c r="M613" t="n">
        <v>0</v>
      </c>
      <c r="N613" t="n">
        <v>0</v>
      </c>
      <c r="O613" t="n">
        <v>0</v>
      </c>
      <c r="P613" t="n">
        <v>0</v>
      </c>
      <c r="Q613" t="n">
        <v>0</v>
      </c>
      <c r="R613" s="2" t="inlineStr"/>
    </row>
    <row r="614" ht="15" customHeight="1">
      <c r="A614" t="inlineStr">
        <is>
          <t>A 8146-2025</t>
        </is>
      </c>
      <c r="B614" s="1" t="n">
        <v>45708.30415509259</v>
      </c>
      <c r="C614" s="1" t="n">
        <v>46145</v>
      </c>
      <c r="D614" t="inlineStr">
        <is>
          <t>DALARNAS LÄN</t>
        </is>
      </c>
      <c r="E614" t="inlineStr">
        <is>
          <t>ÄLVDALEN</t>
        </is>
      </c>
      <c r="F614" t="inlineStr">
        <is>
          <t>Allmännings- och besparingsskogar</t>
        </is>
      </c>
      <c r="G614" t="n">
        <v>1</v>
      </c>
      <c r="H614" t="n">
        <v>0</v>
      </c>
      <c r="I614" t="n">
        <v>0</v>
      </c>
      <c r="J614" t="n">
        <v>0</v>
      </c>
      <c r="K614" t="n">
        <v>0</v>
      </c>
      <c r="L614" t="n">
        <v>0</v>
      </c>
      <c r="M614" t="n">
        <v>0</v>
      </c>
      <c r="N614" t="n">
        <v>0</v>
      </c>
      <c r="O614" t="n">
        <v>0</v>
      </c>
      <c r="P614" t="n">
        <v>0</v>
      </c>
      <c r="Q614" t="n">
        <v>0</v>
      </c>
      <c r="R614" s="2" t="inlineStr"/>
    </row>
    <row r="615" ht="15" customHeight="1">
      <c r="A615" t="inlineStr">
        <is>
          <t>A 15014-2026</t>
        </is>
      </c>
      <c r="B615" s="1" t="n">
        <v>46104</v>
      </c>
      <c r="C615" s="1" t="n">
        <v>46145</v>
      </c>
      <c r="D615" t="inlineStr">
        <is>
          <t>DALARNAS LÄN</t>
        </is>
      </c>
      <c r="E615" t="inlineStr">
        <is>
          <t>ÄLVDALEN</t>
        </is>
      </c>
      <c r="G615" t="n">
        <v>7.4</v>
      </c>
      <c r="H615" t="n">
        <v>0</v>
      </c>
      <c r="I615" t="n">
        <v>0</v>
      </c>
      <c r="J615" t="n">
        <v>0</v>
      </c>
      <c r="K615" t="n">
        <v>0</v>
      </c>
      <c r="L615" t="n">
        <v>0</v>
      </c>
      <c r="M615" t="n">
        <v>0</v>
      </c>
      <c r="N615" t="n">
        <v>0</v>
      </c>
      <c r="O615" t="n">
        <v>0</v>
      </c>
      <c r="P615" t="n">
        <v>0</v>
      </c>
      <c r="Q615" t="n">
        <v>0</v>
      </c>
      <c r="R615" s="2" t="inlineStr"/>
    </row>
    <row r="616" ht="15" customHeight="1">
      <c r="A616" t="inlineStr">
        <is>
          <t>A 10704-2026</t>
        </is>
      </c>
      <c r="B616" s="1" t="n">
        <v>46078.4482175926</v>
      </c>
      <c r="C616" s="1" t="n">
        <v>46145</v>
      </c>
      <c r="D616" t="inlineStr">
        <is>
          <t>DALARNAS LÄN</t>
        </is>
      </c>
      <c r="E616" t="inlineStr">
        <is>
          <t>ÄLVDALEN</t>
        </is>
      </c>
      <c r="G616" t="n">
        <v>1.2</v>
      </c>
      <c r="H616" t="n">
        <v>0</v>
      </c>
      <c r="I616" t="n">
        <v>0</v>
      </c>
      <c r="J616" t="n">
        <v>0</v>
      </c>
      <c r="K616" t="n">
        <v>0</v>
      </c>
      <c r="L616" t="n">
        <v>0</v>
      </c>
      <c r="M616" t="n">
        <v>0</v>
      </c>
      <c r="N616" t="n">
        <v>0</v>
      </c>
      <c r="O616" t="n">
        <v>0</v>
      </c>
      <c r="P616" t="n">
        <v>0</v>
      </c>
      <c r="Q616" t="n">
        <v>0</v>
      </c>
      <c r="R616" s="2" t="inlineStr"/>
    </row>
    <row r="617" ht="15" customHeight="1">
      <c r="A617" t="inlineStr">
        <is>
          <t>A 11506-2026</t>
        </is>
      </c>
      <c r="B617" s="1" t="n">
        <v>46083.65452546296</v>
      </c>
      <c r="C617" s="1" t="n">
        <v>46145</v>
      </c>
      <c r="D617" t="inlineStr">
        <is>
          <t>DALARNAS LÄN</t>
        </is>
      </c>
      <c r="E617" t="inlineStr">
        <is>
          <t>ÄLVDALEN</t>
        </is>
      </c>
      <c r="G617" t="n">
        <v>5.7</v>
      </c>
      <c r="H617" t="n">
        <v>0</v>
      </c>
      <c r="I617" t="n">
        <v>0</v>
      </c>
      <c r="J617" t="n">
        <v>0</v>
      </c>
      <c r="K617" t="n">
        <v>0</v>
      </c>
      <c r="L617" t="n">
        <v>0</v>
      </c>
      <c r="M617" t="n">
        <v>0</v>
      </c>
      <c r="N617" t="n">
        <v>0</v>
      </c>
      <c r="O617" t="n">
        <v>0</v>
      </c>
      <c r="P617" t="n">
        <v>0</v>
      </c>
      <c r="Q617" t="n">
        <v>0</v>
      </c>
      <c r="R617" s="2" t="inlineStr"/>
    </row>
    <row r="618" ht="15" customHeight="1">
      <c r="A618" t="inlineStr">
        <is>
          <t>A 31857-2023</t>
        </is>
      </c>
      <c r="B618" s="1" t="n">
        <v>45106</v>
      </c>
      <c r="C618" s="1" t="n">
        <v>46145</v>
      </c>
      <c r="D618" t="inlineStr">
        <is>
          <t>DALARNAS LÄN</t>
        </is>
      </c>
      <c r="E618" t="inlineStr">
        <is>
          <t>ÄLVDALEN</t>
        </is>
      </c>
      <c r="G618" t="n">
        <v>1</v>
      </c>
      <c r="H618" t="n">
        <v>0</v>
      </c>
      <c r="I618" t="n">
        <v>0</v>
      </c>
      <c r="J618" t="n">
        <v>0</v>
      </c>
      <c r="K618" t="n">
        <v>0</v>
      </c>
      <c r="L618" t="n">
        <v>0</v>
      </c>
      <c r="M618" t="n">
        <v>0</v>
      </c>
      <c r="N618" t="n">
        <v>0</v>
      </c>
      <c r="O618" t="n">
        <v>0</v>
      </c>
      <c r="P618" t="n">
        <v>0</v>
      </c>
      <c r="Q618" t="n">
        <v>0</v>
      </c>
      <c r="R618" s="2" t="inlineStr"/>
    </row>
    <row r="619" ht="15" customHeight="1">
      <c r="A619" t="inlineStr">
        <is>
          <t>A 16488-2026</t>
        </is>
      </c>
      <c r="B619" s="1" t="n">
        <v>46112</v>
      </c>
      <c r="C619" s="1" t="n">
        <v>46145</v>
      </c>
      <c r="D619" t="inlineStr">
        <is>
          <t>DALARNAS LÄN</t>
        </is>
      </c>
      <c r="E619" t="inlineStr">
        <is>
          <t>ÄLVDALEN</t>
        </is>
      </c>
      <c r="G619" t="n">
        <v>3.3</v>
      </c>
      <c r="H619" t="n">
        <v>0</v>
      </c>
      <c r="I619" t="n">
        <v>0</v>
      </c>
      <c r="J619" t="n">
        <v>0</v>
      </c>
      <c r="K619" t="n">
        <v>0</v>
      </c>
      <c r="L619" t="n">
        <v>0</v>
      </c>
      <c r="M619" t="n">
        <v>0</v>
      </c>
      <c r="N619" t="n">
        <v>0</v>
      </c>
      <c r="O619" t="n">
        <v>0</v>
      </c>
      <c r="P619" t="n">
        <v>0</v>
      </c>
      <c r="Q619" t="n">
        <v>0</v>
      </c>
      <c r="R619" s="2" t="inlineStr"/>
    </row>
    <row r="620" ht="15" customHeight="1">
      <c r="A620" t="inlineStr">
        <is>
          <t>A 11125-2026</t>
        </is>
      </c>
      <c r="B620" s="1" t="n">
        <v>46079.69038194444</v>
      </c>
      <c r="C620" s="1" t="n">
        <v>46145</v>
      </c>
      <c r="D620" t="inlineStr">
        <is>
          <t>DALARNAS LÄN</t>
        </is>
      </c>
      <c r="E620" t="inlineStr">
        <is>
          <t>ÄLVDALEN</t>
        </is>
      </c>
      <c r="G620" t="n">
        <v>10.5</v>
      </c>
      <c r="H620" t="n">
        <v>0</v>
      </c>
      <c r="I620" t="n">
        <v>0</v>
      </c>
      <c r="J620" t="n">
        <v>0</v>
      </c>
      <c r="K620" t="n">
        <v>0</v>
      </c>
      <c r="L620" t="n">
        <v>0</v>
      </c>
      <c r="M620" t="n">
        <v>0</v>
      </c>
      <c r="N620" t="n">
        <v>0</v>
      </c>
      <c r="O620" t="n">
        <v>0</v>
      </c>
      <c r="P620" t="n">
        <v>0</v>
      </c>
      <c r="Q620" t="n">
        <v>0</v>
      </c>
      <c r="R620" s="2" t="inlineStr"/>
    </row>
    <row r="621" ht="15" customHeight="1">
      <c r="A621" t="inlineStr">
        <is>
          <t>A 49236-2023</t>
        </is>
      </c>
      <c r="B621" s="1" t="n">
        <v>45210.63995370371</v>
      </c>
      <c r="C621" s="1" t="n">
        <v>46145</v>
      </c>
      <c r="D621" t="inlineStr">
        <is>
          <t>DALARNAS LÄN</t>
        </is>
      </c>
      <c r="E621" t="inlineStr">
        <is>
          <t>ÄLVDALEN</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48552-2024</t>
        </is>
      </c>
      <c r="B622" s="1" t="n">
        <v>45593.37266203704</v>
      </c>
      <c r="C622" s="1" t="n">
        <v>46145</v>
      </c>
      <c r="D622" t="inlineStr">
        <is>
          <t>DALARNAS LÄN</t>
        </is>
      </c>
      <c r="E622" t="inlineStr">
        <is>
          <t>ÄLVDALEN</t>
        </is>
      </c>
      <c r="G622" t="n">
        <v>4.1</v>
      </c>
      <c r="H622" t="n">
        <v>0</v>
      </c>
      <c r="I622" t="n">
        <v>0</v>
      </c>
      <c r="J622" t="n">
        <v>0</v>
      </c>
      <c r="K622" t="n">
        <v>0</v>
      </c>
      <c r="L622" t="n">
        <v>0</v>
      </c>
      <c r="M622" t="n">
        <v>0</v>
      </c>
      <c r="N622" t="n">
        <v>0</v>
      </c>
      <c r="O622" t="n">
        <v>0</v>
      </c>
      <c r="P622" t="n">
        <v>0</v>
      </c>
      <c r="Q622" t="n">
        <v>0</v>
      </c>
      <c r="R622" s="2" t="inlineStr"/>
    </row>
    <row r="623" ht="15" customHeight="1">
      <c r="A623" t="inlineStr">
        <is>
          <t>A 18614-2026</t>
        </is>
      </c>
      <c r="B623" s="1" t="n">
        <v>46127.68162037037</v>
      </c>
      <c r="C623" s="1" t="n">
        <v>46145</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18617-2026</t>
        </is>
      </c>
      <c r="B624" s="1" t="n">
        <v>46127.68923611111</v>
      </c>
      <c r="C624" s="1" t="n">
        <v>46145</v>
      </c>
      <c r="D624" t="inlineStr">
        <is>
          <t>DALARNAS LÄN</t>
        </is>
      </c>
      <c r="E624" t="inlineStr">
        <is>
          <t>ÄLVDALEN</t>
        </is>
      </c>
      <c r="G624" t="n">
        <v>1.3</v>
      </c>
      <c r="H624" t="n">
        <v>0</v>
      </c>
      <c r="I624" t="n">
        <v>0</v>
      </c>
      <c r="J624" t="n">
        <v>0</v>
      </c>
      <c r="K624" t="n">
        <v>0</v>
      </c>
      <c r="L624" t="n">
        <v>0</v>
      </c>
      <c r="M624" t="n">
        <v>0</v>
      </c>
      <c r="N624" t="n">
        <v>0</v>
      </c>
      <c r="O624" t="n">
        <v>0</v>
      </c>
      <c r="P624" t="n">
        <v>0</v>
      </c>
      <c r="Q624" t="n">
        <v>0</v>
      </c>
      <c r="R624" s="2" t="inlineStr"/>
    </row>
    <row r="625" ht="15" customHeight="1">
      <c r="A625" t="inlineStr">
        <is>
          <t>A 18619-2026</t>
        </is>
      </c>
      <c r="B625" s="1" t="n">
        <v>46127.69319444444</v>
      </c>
      <c r="C625" s="1" t="n">
        <v>46145</v>
      </c>
      <c r="D625" t="inlineStr">
        <is>
          <t>DALARNAS LÄN</t>
        </is>
      </c>
      <c r="E625" t="inlineStr">
        <is>
          <t>ÄLVDALEN</t>
        </is>
      </c>
      <c r="G625" t="n">
        <v>1.2</v>
      </c>
      <c r="H625" t="n">
        <v>0</v>
      </c>
      <c r="I625" t="n">
        <v>0</v>
      </c>
      <c r="J625" t="n">
        <v>0</v>
      </c>
      <c r="K625" t="n">
        <v>0</v>
      </c>
      <c r="L625" t="n">
        <v>0</v>
      </c>
      <c r="M625" t="n">
        <v>0</v>
      </c>
      <c r="N625" t="n">
        <v>0</v>
      </c>
      <c r="O625" t="n">
        <v>0</v>
      </c>
      <c r="P625" t="n">
        <v>0</v>
      </c>
      <c r="Q625" t="n">
        <v>0</v>
      </c>
      <c r="R625" s="2" t="inlineStr"/>
    </row>
    <row r="626" ht="15" customHeight="1">
      <c r="A626" t="inlineStr">
        <is>
          <t>A 11801-2026</t>
        </is>
      </c>
      <c r="B626" s="1" t="n">
        <v>46085.35175925926</v>
      </c>
      <c r="C626" s="1" t="n">
        <v>46145</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431-2023</t>
        </is>
      </c>
      <c r="B627" s="1" t="n">
        <v>44923</v>
      </c>
      <c r="C627" s="1" t="n">
        <v>46145</v>
      </c>
      <c r="D627" t="inlineStr">
        <is>
          <t>DALARNAS LÄN</t>
        </is>
      </c>
      <c r="E627" t="inlineStr">
        <is>
          <t>ÄLVDALEN</t>
        </is>
      </c>
      <c r="G627" t="n">
        <v>2.9</v>
      </c>
      <c r="H627" t="n">
        <v>0</v>
      </c>
      <c r="I627" t="n">
        <v>0</v>
      </c>
      <c r="J627" t="n">
        <v>0</v>
      </c>
      <c r="K627" t="n">
        <v>0</v>
      </c>
      <c r="L627" t="n">
        <v>0</v>
      </c>
      <c r="M627" t="n">
        <v>0</v>
      </c>
      <c r="N627" t="n">
        <v>0</v>
      </c>
      <c r="O627" t="n">
        <v>0</v>
      </c>
      <c r="P627" t="n">
        <v>0</v>
      </c>
      <c r="Q627" t="n">
        <v>0</v>
      </c>
      <c r="R627" s="2" t="inlineStr"/>
    </row>
    <row r="628" ht="15" customHeight="1">
      <c r="A628" t="inlineStr">
        <is>
          <t>A 55589-2022</t>
        </is>
      </c>
      <c r="B628" s="1" t="n">
        <v>44888.40673611111</v>
      </c>
      <c r="C628" s="1" t="n">
        <v>46145</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29819-2024</t>
        </is>
      </c>
      <c r="B629" s="1" t="n">
        <v>45485.55760416666</v>
      </c>
      <c r="C629" s="1" t="n">
        <v>46145</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52107-2022</t>
        </is>
      </c>
      <c r="B630" s="1" t="n">
        <v>44873.41295138889</v>
      </c>
      <c r="C630" s="1" t="n">
        <v>46145</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59547-2023</t>
        </is>
      </c>
      <c r="B631" s="1" t="n">
        <v>45254.55645833333</v>
      </c>
      <c r="C631" s="1" t="n">
        <v>46145</v>
      </c>
      <c r="D631" t="inlineStr">
        <is>
          <t>DALARNAS LÄN</t>
        </is>
      </c>
      <c r="E631" t="inlineStr">
        <is>
          <t>ÄLVDALEN</t>
        </is>
      </c>
      <c r="G631" t="n">
        <v>2.5</v>
      </c>
      <c r="H631" t="n">
        <v>0</v>
      </c>
      <c r="I631" t="n">
        <v>0</v>
      </c>
      <c r="J631" t="n">
        <v>0</v>
      </c>
      <c r="K631" t="n">
        <v>0</v>
      </c>
      <c r="L631" t="n">
        <v>0</v>
      </c>
      <c r="M631" t="n">
        <v>0</v>
      </c>
      <c r="N631" t="n">
        <v>0</v>
      </c>
      <c r="O631" t="n">
        <v>0</v>
      </c>
      <c r="P631" t="n">
        <v>0</v>
      </c>
      <c r="Q631" t="n">
        <v>0</v>
      </c>
      <c r="R631" s="2" t="inlineStr"/>
    </row>
    <row r="632" ht="15" customHeight="1">
      <c r="A632" t="inlineStr">
        <is>
          <t>A 59692-2024</t>
        </is>
      </c>
      <c r="B632" s="1" t="n">
        <v>45639.40686342592</v>
      </c>
      <c r="C632" s="1" t="n">
        <v>46145</v>
      </c>
      <c r="D632" t="inlineStr">
        <is>
          <t>DALARNAS LÄN</t>
        </is>
      </c>
      <c r="E632" t="inlineStr">
        <is>
          <t>ÄLVDALEN</t>
        </is>
      </c>
      <c r="G632" t="n">
        <v>2.2</v>
      </c>
      <c r="H632" t="n">
        <v>0</v>
      </c>
      <c r="I632" t="n">
        <v>0</v>
      </c>
      <c r="J632" t="n">
        <v>0</v>
      </c>
      <c r="K632" t="n">
        <v>0</v>
      </c>
      <c r="L632" t="n">
        <v>0</v>
      </c>
      <c r="M632" t="n">
        <v>0</v>
      </c>
      <c r="N632" t="n">
        <v>0</v>
      </c>
      <c r="O632" t="n">
        <v>0</v>
      </c>
      <c r="P632" t="n">
        <v>0</v>
      </c>
      <c r="Q632" t="n">
        <v>0</v>
      </c>
      <c r="R632" s="2" t="inlineStr"/>
    </row>
    <row r="633" ht="15" customHeight="1">
      <c r="A633" t="inlineStr">
        <is>
          <t>A 15450-2026</t>
        </is>
      </c>
      <c r="B633" s="1" t="n">
        <v>46106</v>
      </c>
      <c r="C633" s="1" t="n">
        <v>46145</v>
      </c>
      <c r="D633" t="inlineStr">
        <is>
          <t>DALARNAS LÄN</t>
        </is>
      </c>
      <c r="E633" t="inlineStr">
        <is>
          <t>ÄLVDALEN</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28467-2024</t>
        </is>
      </c>
      <c r="B634" s="1" t="n">
        <v>45477.71173611111</v>
      </c>
      <c r="C634" s="1" t="n">
        <v>46145</v>
      </c>
      <c r="D634" t="inlineStr">
        <is>
          <t>DALARNAS LÄN</t>
        </is>
      </c>
      <c r="E634" t="inlineStr">
        <is>
          <t>ÄLVDALEN</t>
        </is>
      </c>
      <c r="G634" t="n">
        <v>4</v>
      </c>
      <c r="H634" t="n">
        <v>0</v>
      </c>
      <c r="I634" t="n">
        <v>0</v>
      </c>
      <c r="J634" t="n">
        <v>0</v>
      </c>
      <c r="K634" t="n">
        <v>0</v>
      </c>
      <c r="L634" t="n">
        <v>0</v>
      </c>
      <c r="M634" t="n">
        <v>0</v>
      </c>
      <c r="N634" t="n">
        <v>0</v>
      </c>
      <c r="O634" t="n">
        <v>0</v>
      </c>
      <c r="P634" t="n">
        <v>0</v>
      </c>
      <c r="Q634" t="n">
        <v>0</v>
      </c>
      <c r="R634" s="2" t="inlineStr"/>
    </row>
    <row r="635" ht="15" customHeight="1">
      <c r="A635" t="inlineStr">
        <is>
          <t>A 46927-2024</t>
        </is>
      </c>
      <c r="B635" s="1" t="n">
        <v>45584.69063657407</v>
      </c>
      <c r="C635" s="1" t="n">
        <v>46145</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58848-2022</t>
        </is>
      </c>
      <c r="B636" s="1" t="n">
        <v>44896</v>
      </c>
      <c r="C636" s="1" t="n">
        <v>46145</v>
      </c>
      <c r="D636" t="inlineStr">
        <is>
          <t>DALARNAS LÄN</t>
        </is>
      </c>
      <c r="E636" t="inlineStr">
        <is>
          <t>ÄLVDALEN</t>
        </is>
      </c>
      <c r="F636" t="inlineStr">
        <is>
          <t>Övriga statliga verk och myndigheter</t>
        </is>
      </c>
      <c r="G636" t="n">
        <v>18.1</v>
      </c>
      <c r="H636" t="n">
        <v>0</v>
      </c>
      <c r="I636" t="n">
        <v>0</v>
      </c>
      <c r="J636" t="n">
        <v>0</v>
      </c>
      <c r="K636" t="n">
        <v>0</v>
      </c>
      <c r="L636" t="n">
        <v>0</v>
      </c>
      <c r="M636" t="n">
        <v>0</v>
      </c>
      <c r="N636" t="n">
        <v>0</v>
      </c>
      <c r="O636" t="n">
        <v>0</v>
      </c>
      <c r="P636" t="n">
        <v>0</v>
      </c>
      <c r="Q636" t="n">
        <v>0</v>
      </c>
      <c r="R636" s="2" t="inlineStr"/>
    </row>
    <row r="637" ht="15" customHeight="1">
      <c r="A637" t="inlineStr">
        <is>
          <t>A 13019-2026</t>
        </is>
      </c>
      <c r="B637" s="1" t="n">
        <v>46092.75688657408</v>
      </c>
      <c r="C637" s="1" t="n">
        <v>46145</v>
      </c>
      <c r="D637" t="inlineStr">
        <is>
          <t>DALARNAS LÄN</t>
        </is>
      </c>
      <c r="E637" t="inlineStr">
        <is>
          <t>ÄLVDALEN</t>
        </is>
      </c>
      <c r="G637" t="n">
        <v>27.2</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46145</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14089-2022</t>
        </is>
      </c>
      <c r="B639" s="1" t="n">
        <v>44651</v>
      </c>
      <c r="C639" s="1" t="n">
        <v>46145</v>
      </c>
      <c r="D639" t="inlineStr">
        <is>
          <t>DALARNAS LÄN</t>
        </is>
      </c>
      <c r="E639" t="inlineStr">
        <is>
          <t>ÄLVDALEN</t>
        </is>
      </c>
      <c r="F639" t="inlineStr">
        <is>
          <t>Kommuner</t>
        </is>
      </c>
      <c r="G639" t="n">
        <v>2.1</v>
      </c>
      <c r="H639" t="n">
        <v>0</v>
      </c>
      <c r="I639" t="n">
        <v>0</v>
      </c>
      <c r="J639" t="n">
        <v>0</v>
      </c>
      <c r="K639" t="n">
        <v>0</v>
      </c>
      <c r="L639" t="n">
        <v>0</v>
      </c>
      <c r="M639" t="n">
        <v>0</v>
      </c>
      <c r="N639" t="n">
        <v>0</v>
      </c>
      <c r="O639" t="n">
        <v>0</v>
      </c>
      <c r="P639" t="n">
        <v>0</v>
      </c>
      <c r="Q639" t="n">
        <v>0</v>
      </c>
      <c r="R639" s="2" t="inlineStr"/>
    </row>
    <row r="640" ht="15" customHeight="1">
      <c r="A640" t="inlineStr">
        <is>
          <t>A 57560-2024</t>
        </is>
      </c>
      <c r="B640" s="1" t="n">
        <v>45630.4566550926</v>
      </c>
      <c r="C640" s="1" t="n">
        <v>46145</v>
      </c>
      <c r="D640" t="inlineStr">
        <is>
          <t>DALARNAS LÄN</t>
        </is>
      </c>
      <c r="E640" t="inlineStr">
        <is>
          <t>ÄLVDALEN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23553-2025</t>
        </is>
      </c>
      <c r="B641" s="1" t="n">
        <v>45792</v>
      </c>
      <c r="C641" s="1" t="n">
        <v>46145</v>
      </c>
      <c r="D641" t="inlineStr">
        <is>
          <t>DALARNAS LÄN</t>
        </is>
      </c>
      <c r="E641" t="inlineStr">
        <is>
          <t>ÄLVDALEN</t>
        </is>
      </c>
      <c r="G641" t="n">
        <v>41.4</v>
      </c>
      <c r="H641" t="n">
        <v>0</v>
      </c>
      <c r="I641" t="n">
        <v>0</v>
      </c>
      <c r="J641" t="n">
        <v>0</v>
      </c>
      <c r="K641" t="n">
        <v>0</v>
      </c>
      <c r="L641" t="n">
        <v>0</v>
      </c>
      <c r="M641" t="n">
        <v>0</v>
      </c>
      <c r="N641" t="n">
        <v>0</v>
      </c>
      <c r="O641" t="n">
        <v>0</v>
      </c>
      <c r="P641" t="n">
        <v>0</v>
      </c>
      <c r="Q641" t="n">
        <v>0</v>
      </c>
      <c r="R641" s="2" t="inlineStr"/>
    </row>
    <row r="642" ht="15" customHeight="1">
      <c r="A642" t="inlineStr">
        <is>
          <t>A 63329-2023</t>
        </is>
      </c>
      <c r="B642" s="1" t="n">
        <v>45274.38255787037</v>
      </c>
      <c r="C642" s="1" t="n">
        <v>46145</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20584-2025</t>
        </is>
      </c>
      <c r="B643" s="1" t="n">
        <v>45775.695</v>
      </c>
      <c r="C643" s="1" t="n">
        <v>46145</v>
      </c>
      <c r="D643" t="inlineStr">
        <is>
          <t>DALARNAS LÄN</t>
        </is>
      </c>
      <c r="E643" t="inlineStr">
        <is>
          <t>ÄLVDALEN</t>
        </is>
      </c>
      <c r="G643" t="n">
        <v>1.8</v>
      </c>
      <c r="H643" t="n">
        <v>0</v>
      </c>
      <c r="I643" t="n">
        <v>0</v>
      </c>
      <c r="J643" t="n">
        <v>0</v>
      </c>
      <c r="K643" t="n">
        <v>0</v>
      </c>
      <c r="L643" t="n">
        <v>0</v>
      </c>
      <c r="M643" t="n">
        <v>0</v>
      </c>
      <c r="N643" t="n">
        <v>0</v>
      </c>
      <c r="O643" t="n">
        <v>0</v>
      </c>
      <c r="P643" t="n">
        <v>0</v>
      </c>
      <c r="Q643" t="n">
        <v>0</v>
      </c>
      <c r="R643" s="2" t="inlineStr"/>
    </row>
    <row r="644" ht="15" customHeight="1">
      <c r="A644" t="inlineStr">
        <is>
          <t>A 3903-2024</t>
        </is>
      </c>
      <c r="B644" s="1" t="n">
        <v>45322</v>
      </c>
      <c r="C644" s="1" t="n">
        <v>46145</v>
      </c>
      <c r="D644" t="inlineStr">
        <is>
          <t>DALARNAS LÄN</t>
        </is>
      </c>
      <c r="E644" t="inlineStr">
        <is>
          <t>ÄLVDALEN</t>
        </is>
      </c>
      <c r="G644" t="n">
        <v>0.7</v>
      </c>
      <c r="H644" t="n">
        <v>0</v>
      </c>
      <c r="I644" t="n">
        <v>0</v>
      </c>
      <c r="J644" t="n">
        <v>0</v>
      </c>
      <c r="K644" t="n">
        <v>0</v>
      </c>
      <c r="L644" t="n">
        <v>0</v>
      </c>
      <c r="M644" t="n">
        <v>0</v>
      </c>
      <c r="N644" t="n">
        <v>0</v>
      </c>
      <c r="O644" t="n">
        <v>0</v>
      </c>
      <c r="P644" t="n">
        <v>0</v>
      </c>
      <c r="Q644" t="n">
        <v>0</v>
      </c>
      <c r="R644" s="2" t="inlineStr"/>
    </row>
    <row r="645" ht="15" customHeight="1">
      <c r="A645" t="inlineStr">
        <is>
          <t>A 3914-2024</t>
        </is>
      </c>
      <c r="B645" s="1" t="n">
        <v>45322</v>
      </c>
      <c r="C645" s="1" t="n">
        <v>46145</v>
      </c>
      <c r="D645" t="inlineStr">
        <is>
          <t>DALARNAS LÄN</t>
        </is>
      </c>
      <c r="E645" t="inlineStr">
        <is>
          <t>ÄLVDALEN</t>
        </is>
      </c>
      <c r="G645" t="n">
        <v>0.3</v>
      </c>
      <c r="H645" t="n">
        <v>0</v>
      </c>
      <c r="I645" t="n">
        <v>0</v>
      </c>
      <c r="J645" t="n">
        <v>0</v>
      </c>
      <c r="K645" t="n">
        <v>0</v>
      </c>
      <c r="L645" t="n">
        <v>0</v>
      </c>
      <c r="M645" t="n">
        <v>0</v>
      </c>
      <c r="N645" t="n">
        <v>0</v>
      </c>
      <c r="O645" t="n">
        <v>0</v>
      </c>
      <c r="P645" t="n">
        <v>0</v>
      </c>
      <c r="Q645" t="n">
        <v>0</v>
      </c>
      <c r="R645" s="2" t="inlineStr"/>
    </row>
    <row r="646" ht="15" customHeight="1">
      <c r="A646" t="inlineStr">
        <is>
          <t>A 39010-2024</t>
        </is>
      </c>
      <c r="B646" s="1" t="n">
        <v>45548</v>
      </c>
      <c r="C646" s="1" t="n">
        <v>46145</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6791-2025</t>
        </is>
      </c>
      <c r="B647" s="1" t="n">
        <v>45700.66315972222</v>
      </c>
      <c r="C647" s="1" t="n">
        <v>46145</v>
      </c>
      <c r="D647" t="inlineStr">
        <is>
          <t>DALARNAS LÄN</t>
        </is>
      </c>
      <c r="E647" t="inlineStr">
        <is>
          <t>ÄLVDALEN</t>
        </is>
      </c>
      <c r="G647" t="n">
        <v>30.2</v>
      </c>
      <c r="H647" t="n">
        <v>0</v>
      </c>
      <c r="I647" t="n">
        <v>0</v>
      </c>
      <c r="J647" t="n">
        <v>0</v>
      </c>
      <c r="K647" t="n">
        <v>0</v>
      </c>
      <c r="L647" t="n">
        <v>0</v>
      </c>
      <c r="M647" t="n">
        <v>0</v>
      </c>
      <c r="N647" t="n">
        <v>0</v>
      </c>
      <c r="O647" t="n">
        <v>0</v>
      </c>
      <c r="P647" t="n">
        <v>0</v>
      </c>
      <c r="Q647" t="n">
        <v>0</v>
      </c>
      <c r="R647" s="2" t="inlineStr"/>
    </row>
    <row r="648" ht="15" customHeight="1">
      <c r="A648" t="inlineStr">
        <is>
          <t>A 1804-2024</t>
        </is>
      </c>
      <c r="B648" s="1" t="n">
        <v>45307.59216435185</v>
      </c>
      <c r="C648" s="1" t="n">
        <v>46145</v>
      </c>
      <c r="D648" t="inlineStr">
        <is>
          <t>DALARNAS LÄN</t>
        </is>
      </c>
      <c r="E648" t="inlineStr">
        <is>
          <t>ÄLVDALEN</t>
        </is>
      </c>
      <c r="G648" t="n">
        <v>1.9</v>
      </c>
      <c r="H648" t="n">
        <v>0</v>
      </c>
      <c r="I648" t="n">
        <v>0</v>
      </c>
      <c r="J648" t="n">
        <v>0</v>
      </c>
      <c r="K648" t="n">
        <v>0</v>
      </c>
      <c r="L648" t="n">
        <v>0</v>
      </c>
      <c r="M648" t="n">
        <v>0</v>
      </c>
      <c r="N648" t="n">
        <v>0</v>
      </c>
      <c r="O648" t="n">
        <v>0</v>
      </c>
      <c r="P648" t="n">
        <v>0</v>
      </c>
      <c r="Q648" t="n">
        <v>0</v>
      </c>
      <c r="R648" s="2" t="inlineStr"/>
    </row>
    <row r="649" ht="15" customHeight="1">
      <c r="A649" t="inlineStr">
        <is>
          <t>A 57817-2023</t>
        </is>
      </c>
      <c r="B649" s="1" t="n">
        <v>45247</v>
      </c>
      <c r="C649" s="1" t="n">
        <v>46145</v>
      </c>
      <c r="D649" t="inlineStr">
        <is>
          <t>DALARNAS LÄN</t>
        </is>
      </c>
      <c r="E649" t="inlineStr">
        <is>
          <t>ÄLVDALEN</t>
        </is>
      </c>
      <c r="G649" t="n">
        <v>6.4</v>
      </c>
      <c r="H649" t="n">
        <v>0</v>
      </c>
      <c r="I649" t="n">
        <v>0</v>
      </c>
      <c r="J649" t="n">
        <v>0</v>
      </c>
      <c r="K649" t="n">
        <v>0</v>
      </c>
      <c r="L649" t="n">
        <v>0</v>
      </c>
      <c r="M649" t="n">
        <v>0</v>
      </c>
      <c r="N649" t="n">
        <v>0</v>
      </c>
      <c r="O649" t="n">
        <v>0</v>
      </c>
      <c r="P649" t="n">
        <v>0</v>
      </c>
      <c r="Q649" t="n">
        <v>0</v>
      </c>
      <c r="R649" s="2" t="inlineStr"/>
    </row>
    <row r="650" ht="15" customHeight="1">
      <c r="A650" t="inlineStr">
        <is>
          <t>A 13735-2026</t>
        </is>
      </c>
      <c r="B650" s="1" t="n">
        <v>46097</v>
      </c>
      <c r="C650" s="1" t="n">
        <v>46145</v>
      </c>
      <c r="D650" t="inlineStr">
        <is>
          <t>DALARNAS LÄN</t>
        </is>
      </c>
      <c r="E650" t="inlineStr">
        <is>
          <t>ÄLVDALEN</t>
        </is>
      </c>
      <c r="G650" t="n">
        <v>2.1</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45104.48320601852</v>
      </c>
      <c r="C651" s="1" t="n">
        <v>46145</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46145</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505-2024</t>
        </is>
      </c>
      <c r="B653" s="1" t="n">
        <v>45299</v>
      </c>
      <c r="C653" s="1" t="n">
        <v>46145</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48954-2023</t>
        </is>
      </c>
      <c r="B654" s="1" t="n">
        <v>45209.58488425926</v>
      </c>
      <c r="C654" s="1" t="n">
        <v>46145</v>
      </c>
      <c r="D654" t="inlineStr">
        <is>
          <t>DALARNAS LÄN</t>
        </is>
      </c>
      <c r="E654" t="inlineStr">
        <is>
          <t>ÄLVDALEN</t>
        </is>
      </c>
      <c r="G654" t="n">
        <v>7</v>
      </c>
      <c r="H654" t="n">
        <v>0</v>
      </c>
      <c r="I654" t="n">
        <v>0</v>
      </c>
      <c r="J654" t="n">
        <v>0</v>
      </c>
      <c r="K654" t="n">
        <v>0</v>
      </c>
      <c r="L654" t="n">
        <v>0</v>
      </c>
      <c r="M654" t="n">
        <v>0</v>
      </c>
      <c r="N654" t="n">
        <v>0</v>
      </c>
      <c r="O654" t="n">
        <v>0</v>
      </c>
      <c r="P654" t="n">
        <v>0</v>
      </c>
      <c r="Q654" t="n">
        <v>0</v>
      </c>
      <c r="R654" s="2" t="inlineStr"/>
    </row>
    <row r="655" ht="15" customHeight="1">
      <c r="A655" t="inlineStr">
        <is>
          <t>A 20947-2026</t>
        </is>
      </c>
      <c r="B655" s="1" t="n">
        <v>46142.50988425926</v>
      </c>
      <c r="C655" s="1" t="n">
        <v>46145</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14358-2026</t>
        </is>
      </c>
      <c r="B656" s="1" t="n">
        <v>46100.34856481481</v>
      </c>
      <c r="C656" s="1" t="n">
        <v>46145</v>
      </c>
      <c r="D656" t="inlineStr">
        <is>
          <t>DALARNAS LÄN</t>
        </is>
      </c>
      <c r="E656" t="inlineStr">
        <is>
          <t>ÄLVDALEN</t>
        </is>
      </c>
      <c r="G656" t="n">
        <v>1.6</v>
      </c>
      <c r="H656" t="n">
        <v>0</v>
      </c>
      <c r="I656" t="n">
        <v>0</v>
      </c>
      <c r="J656" t="n">
        <v>0</v>
      </c>
      <c r="K656" t="n">
        <v>0</v>
      </c>
      <c r="L656" t="n">
        <v>0</v>
      </c>
      <c r="M656" t="n">
        <v>0</v>
      </c>
      <c r="N656" t="n">
        <v>0</v>
      </c>
      <c r="O656" t="n">
        <v>0</v>
      </c>
      <c r="P656" t="n">
        <v>0</v>
      </c>
      <c r="Q656" t="n">
        <v>0</v>
      </c>
      <c r="R656" s="2" t="inlineStr"/>
    </row>
    <row r="657" ht="15" customHeight="1">
      <c r="A657" t="inlineStr">
        <is>
          <t>A 20945-2026</t>
        </is>
      </c>
      <c r="B657" s="1" t="n">
        <v>46142.50454861111</v>
      </c>
      <c r="C657" s="1" t="n">
        <v>46145</v>
      </c>
      <c r="D657" t="inlineStr">
        <is>
          <t>DALARNAS LÄN</t>
        </is>
      </c>
      <c r="E657" t="inlineStr">
        <is>
          <t>ÄLVDALEN</t>
        </is>
      </c>
      <c r="F657" t="inlineStr">
        <is>
          <t>Bergvik skog väst AB</t>
        </is>
      </c>
      <c r="G657" t="n">
        <v>6.2</v>
      </c>
      <c r="H657" t="n">
        <v>0</v>
      </c>
      <c r="I657" t="n">
        <v>0</v>
      </c>
      <c r="J657" t="n">
        <v>0</v>
      </c>
      <c r="K657" t="n">
        <v>0</v>
      </c>
      <c r="L657" t="n">
        <v>0</v>
      </c>
      <c r="M657" t="n">
        <v>0</v>
      </c>
      <c r="N657" t="n">
        <v>0</v>
      </c>
      <c r="O657" t="n">
        <v>0</v>
      </c>
      <c r="P657" t="n">
        <v>0</v>
      </c>
      <c r="Q657" t="n">
        <v>0</v>
      </c>
      <c r="R657" s="2" t="inlineStr"/>
    </row>
    <row r="658" ht="15" customHeight="1">
      <c r="A658" t="inlineStr">
        <is>
          <t>A 36285-2024</t>
        </is>
      </c>
      <c r="B658" s="1" t="n">
        <v>45534.59008101852</v>
      </c>
      <c r="C658" s="1" t="n">
        <v>46145</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37439-2024</t>
        </is>
      </c>
      <c r="B659" s="1" t="n">
        <v>45540</v>
      </c>
      <c r="C659" s="1" t="n">
        <v>46145</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46145</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9045-2025</t>
        </is>
      </c>
      <c r="B661" s="1" t="n">
        <v>45713.62837962963</v>
      </c>
      <c r="C661" s="1" t="n">
        <v>46145</v>
      </c>
      <c r="D661" t="inlineStr">
        <is>
          <t>DALARNAS LÄN</t>
        </is>
      </c>
      <c r="E661" t="inlineStr">
        <is>
          <t>ÄLVDALEN</t>
        </is>
      </c>
      <c r="F661" t="inlineStr">
        <is>
          <t>Allmännings- och besparingsskogar</t>
        </is>
      </c>
      <c r="G661" t="n">
        <v>39.1</v>
      </c>
      <c r="H661" t="n">
        <v>0</v>
      </c>
      <c r="I661" t="n">
        <v>0</v>
      </c>
      <c r="J661" t="n">
        <v>0</v>
      </c>
      <c r="K661" t="n">
        <v>0</v>
      </c>
      <c r="L661" t="n">
        <v>0</v>
      </c>
      <c r="M661" t="n">
        <v>0</v>
      </c>
      <c r="N661" t="n">
        <v>0</v>
      </c>
      <c r="O661" t="n">
        <v>0</v>
      </c>
      <c r="P661" t="n">
        <v>0</v>
      </c>
      <c r="Q661" t="n">
        <v>0</v>
      </c>
      <c r="R661" s="2" t="inlineStr"/>
    </row>
    <row r="662" ht="15" customHeight="1">
      <c r="A662" t="inlineStr">
        <is>
          <t>A 12318-2025</t>
        </is>
      </c>
      <c r="B662" s="1" t="n">
        <v>45729.87777777778</v>
      </c>
      <c r="C662" s="1" t="n">
        <v>46145</v>
      </c>
      <c r="D662" t="inlineStr">
        <is>
          <t>DALARNAS LÄN</t>
        </is>
      </c>
      <c r="E662" t="inlineStr">
        <is>
          <t>ÄLVDALEN</t>
        </is>
      </c>
      <c r="G662" t="n">
        <v>3.3</v>
      </c>
      <c r="H662" t="n">
        <v>0</v>
      </c>
      <c r="I662" t="n">
        <v>0</v>
      </c>
      <c r="J662" t="n">
        <v>0</v>
      </c>
      <c r="K662" t="n">
        <v>0</v>
      </c>
      <c r="L662" t="n">
        <v>0</v>
      </c>
      <c r="M662" t="n">
        <v>0</v>
      </c>
      <c r="N662" t="n">
        <v>0</v>
      </c>
      <c r="O662" t="n">
        <v>0</v>
      </c>
      <c r="P662" t="n">
        <v>0</v>
      </c>
      <c r="Q662" t="n">
        <v>0</v>
      </c>
      <c r="R662" s="2" t="inlineStr"/>
    </row>
    <row r="663" ht="15" customHeight="1">
      <c r="A663" t="inlineStr">
        <is>
          <t>A 59138-2023</t>
        </is>
      </c>
      <c r="B663" s="1" t="n">
        <v>45253</v>
      </c>
      <c r="C663" s="1" t="n">
        <v>46145</v>
      </c>
      <c r="D663" t="inlineStr">
        <is>
          <t>DALARNAS LÄN</t>
        </is>
      </c>
      <c r="E663" t="inlineStr">
        <is>
          <t>ÄLVDALEN</t>
        </is>
      </c>
      <c r="G663" t="n">
        <v>0.4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46145</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57470-2023</t>
        </is>
      </c>
      <c r="B665" s="1" t="n">
        <v>45246</v>
      </c>
      <c r="C665" s="1" t="n">
        <v>46145</v>
      </c>
      <c r="D665" t="inlineStr">
        <is>
          <t>DALARNAS LÄN</t>
        </is>
      </c>
      <c r="E665" t="inlineStr">
        <is>
          <t>ÄLVDALEN</t>
        </is>
      </c>
      <c r="G665" t="n">
        <v>0.4</v>
      </c>
      <c r="H665" t="n">
        <v>0</v>
      </c>
      <c r="I665" t="n">
        <v>0</v>
      </c>
      <c r="J665" t="n">
        <v>0</v>
      </c>
      <c r="K665" t="n">
        <v>0</v>
      </c>
      <c r="L665" t="n">
        <v>0</v>
      </c>
      <c r="M665" t="n">
        <v>0</v>
      </c>
      <c r="N665" t="n">
        <v>0</v>
      </c>
      <c r="O665" t="n">
        <v>0</v>
      </c>
      <c r="P665" t="n">
        <v>0</v>
      </c>
      <c r="Q665" t="n">
        <v>0</v>
      </c>
      <c r="R665" s="2" t="inlineStr"/>
    </row>
    <row r="666" ht="15" customHeight="1">
      <c r="A666" t="inlineStr">
        <is>
          <t>A 1081-2025</t>
        </is>
      </c>
      <c r="B666" s="1" t="n">
        <v>45666.61589120371</v>
      </c>
      <c r="C666" s="1" t="n">
        <v>46145</v>
      </c>
      <c r="D666" t="inlineStr">
        <is>
          <t>DALARNAS LÄN</t>
        </is>
      </c>
      <c r="E666" t="inlineStr">
        <is>
          <t>ÄLVDALEN</t>
        </is>
      </c>
      <c r="G666" t="n">
        <v>5.8</v>
      </c>
      <c r="H666" t="n">
        <v>0</v>
      </c>
      <c r="I666" t="n">
        <v>0</v>
      </c>
      <c r="J666" t="n">
        <v>0</v>
      </c>
      <c r="K666" t="n">
        <v>0</v>
      </c>
      <c r="L666" t="n">
        <v>0</v>
      </c>
      <c r="M666" t="n">
        <v>0</v>
      </c>
      <c r="N666" t="n">
        <v>0</v>
      </c>
      <c r="O666" t="n">
        <v>0</v>
      </c>
      <c r="P666" t="n">
        <v>0</v>
      </c>
      <c r="Q666" t="n">
        <v>0</v>
      </c>
      <c r="R666" s="2" t="inlineStr"/>
    </row>
    <row r="667" ht="15" customHeight="1">
      <c r="A667" t="inlineStr">
        <is>
          <t>A 1088-2025</t>
        </is>
      </c>
      <c r="B667" s="1" t="n">
        <v>45666.62162037037</v>
      </c>
      <c r="C667" s="1" t="n">
        <v>46145</v>
      </c>
      <c r="D667" t="inlineStr">
        <is>
          <t>DALARNAS LÄN</t>
        </is>
      </c>
      <c r="E667" t="inlineStr">
        <is>
          <t>ÄLVDALEN</t>
        </is>
      </c>
      <c r="G667" t="n">
        <v>5.4</v>
      </c>
      <c r="H667" t="n">
        <v>0</v>
      </c>
      <c r="I667" t="n">
        <v>0</v>
      </c>
      <c r="J667" t="n">
        <v>0</v>
      </c>
      <c r="K667" t="n">
        <v>0</v>
      </c>
      <c r="L667" t="n">
        <v>0</v>
      </c>
      <c r="M667" t="n">
        <v>0</v>
      </c>
      <c r="N667" t="n">
        <v>0</v>
      </c>
      <c r="O667" t="n">
        <v>0</v>
      </c>
      <c r="P667" t="n">
        <v>0</v>
      </c>
      <c r="Q667" t="n">
        <v>0</v>
      </c>
      <c r="R667" s="2" t="inlineStr"/>
    </row>
    <row r="668" ht="15" customHeight="1">
      <c r="A668" t="inlineStr">
        <is>
          <t>A 15760-2024</t>
        </is>
      </c>
      <c r="B668" s="1" t="n">
        <v>45404</v>
      </c>
      <c r="C668" s="1" t="n">
        <v>46145</v>
      </c>
      <c r="D668" t="inlineStr">
        <is>
          <t>DALARNAS LÄN</t>
        </is>
      </c>
      <c r="E668" t="inlineStr">
        <is>
          <t>ÄLVDALEN</t>
        </is>
      </c>
      <c r="G668" t="n">
        <v>1.9</v>
      </c>
      <c r="H668" t="n">
        <v>0</v>
      </c>
      <c r="I668" t="n">
        <v>0</v>
      </c>
      <c r="J668" t="n">
        <v>0</v>
      </c>
      <c r="K668" t="n">
        <v>0</v>
      </c>
      <c r="L668" t="n">
        <v>0</v>
      </c>
      <c r="M668" t="n">
        <v>0</v>
      </c>
      <c r="N668" t="n">
        <v>0</v>
      </c>
      <c r="O668" t="n">
        <v>0</v>
      </c>
      <c r="P668" t="n">
        <v>0</v>
      </c>
      <c r="Q668" t="n">
        <v>0</v>
      </c>
      <c r="R668" s="2" t="inlineStr"/>
    </row>
    <row r="669" ht="15" customHeight="1">
      <c r="A669" t="inlineStr">
        <is>
          <t>A 53168-2024</t>
        </is>
      </c>
      <c r="B669" s="1" t="n">
        <v>45611.65569444445</v>
      </c>
      <c r="C669" s="1" t="n">
        <v>46145</v>
      </c>
      <c r="D669" t="inlineStr">
        <is>
          <t>DALARNAS LÄN</t>
        </is>
      </c>
      <c r="E669" t="inlineStr">
        <is>
          <t>ÄLVDALEN</t>
        </is>
      </c>
      <c r="G669" t="n">
        <v>3.4</v>
      </c>
      <c r="H669" t="n">
        <v>0</v>
      </c>
      <c r="I669" t="n">
        <v>0</v>
      </c>
      <c r="J669" t="n">
        <v>0</v>
      </c>
      <c r="K669" t="n">
        <v>0</v>
      </c>
      <c r="L669" t="n">
        <v>0</v>
      </c>
      <c r="M669" t="n">
        <v>0</v>
      </c>
      <c r="N669" t="n">
        <v>0</v>
      </c>
      <c r="O669" t="n">
        <v>0</v>
      </c>
      <c r="P669" t="n">
        <v>0</v>
      </c>
      <c r="Q669" t="n">
        <v>0</v>
      </c>
      <c r="R669" s="2" t="inlineStr"/>
    </row>
    <row r="670" ht="15" customHeight="1">
      <c r="A670" t="inlineStr">
        <is>
          <t>A 20924-2025</t>
        </is>
      </c>
      <c r="B670" s="1" t="n">
        <v>45777</v>
      </c>
      <c r="C670" s="1" t="n">
        <v>46145</v>
      </c>
      <c r="D670" t="inlineStr">
        <is>
          <t>DALARNAS LÄN</t>
        </is>
      </c>
      <c r="E670" t="inlineStr">
        <is>
          <t>ÄLVDALEN</t>
        </is>
      </c>
      <c r="G670" t="n">
        <v>2.3</v>
      </c>
      <c r="H670" t="n">
        <v>0</v>
      </c>
      <c r="I670" t="n">
        <v>0</v>
      </c>
      <c r="J670" t="n">
        <v>0</v>
      </c>
      <c r="K670" t="n">
        <v>0</v>
      </c>
      <c r="L670" t="n">
        <v>0</v>
      </c>
      <c r="M670" t="n">
        <v>0</v>
      </c>
      <c r="N670" t="n">
        <v>0</v>
      </c>
      <c r="O670" t="n">
        <v>0</v>
      </c>
      <c r="P670" t="n">
        <v>0</v>
      </c>
      <c r="Q670" t="n">
        <v>0</v>
      </c>
      <c r="R670" s="2" t="inlineStr"/>
    </row>
    <row r="671" ht="15" customHeight="1">
      <c r="A671" t="inlineStr">
        <is>
          <t>A 21395-2025</t>
        </is>
      </c>
      <c r="B671" s="1" t="n">
        <v>45782.48197916667</v>
      </c>
      <c r="C671" s="1" t="n">
        <v>46145</v>
      </c>
      <c r="D671" t="inlineStr">
        <is>
          <t>DALARNAS LÄN</t>
        </is>
      </c>
      <c r="E671" t="inlineStr">
        <is>
          <t>ÄLVDALEN</t>
        </is>
      </c>
      <c r="G671" t="n">
        <v>6.4</v>
      </c>
      <c r="H671" t="n">
        <v>0</v>
      </c>
      <c r="I671" t="n">
        <v>0</v>
      </c>
      <c r="J671" t="n">
        <v>0</v>
      </c>
      <c r="K671" t="n">
        <v>0</v>
      </c>
      <c r="L671" t="n">
        <v>0</v>
      </c>
      <c r="M671" t="n">
        <v>0</v>
      </c>
      <c r="N671" t="n">
        <v>0</v>
      </c>
      <c r="O671" t="n">
        <v>0</v>
      </c>
      <c r="P671" t="n">
        <v>0</v>
      </c>
      <c r="Q671" t="n">
        <v>0</v>
      </c>
      <c r="R671" s="2" t="inlineStr"/>
    </row>
    <row r="672" ht="15" customHeight="1">
      <c r="A672" t="inlineStr">
        <is>
          <t>A 21629-2025</t>
        </is>
      </c>
      <c r="B672" s="1" t="n">
        <v>45783.4247337963</v>
      </c>
      <c r="C672" s="1" t="n">
        <v>46145</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21613-2025</t>
        </is>
      </c>
      <c r="B673" s="1" t="n">
        <v>45783.39542824074</v>
      </c>
      <c r="C673" s="1" t="n">
        <v>46145</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37061-2024</t>
        </is>
      </c>
      <c r="B674" s="1" t="n">
        <v>45539</v>
      </c>
      <c r="C674" s="1" t="n">
        <v>46145</v>
      </c>
      <c r="D674" t="inlineStr">
        <is>
          <t>DALARNAS LÄN</t>
        </is>
      </c>
      <c r="E674" t="inlineStr">
        <is>
          <t>ÄLVDALEN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7581-2024</t>
        </is>
      </c>
      <c r="B675" s="1" t="n">
        <v>45348.49204861111</v>
      </c>
      <c r="C675" s="1" t="n">
        <v>46145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32594-2023</t>
        </is>
      </c>
      <c r="B676" s="1" t="n">
        <v>45121.50986111111</v>
      </c>
      <c r="C676" s="1" t="n">
        <v>46145</v>
      </c>
      <c r="D676" t="inlineStr">
        <is>
          <t>DALARNAS LÄN</t>
        </is>
      </c>
      <c r="E676" t="inlineStr">
        <is>
          <t>ÄLVDALEN</t>
        </is>
      </c>
      <c r="G676" t="n">
        <v>4</v>
      </c>
      <c r="H676" t="n">
        <v>0</v>
      </c>
      <c r="I676" t="n">
        <v>0</v>
      </c>
      <c r="J676" t="n">
        <v>0</v>
      </c>
      <c r="K676" t="n">
        <v>0</v>
      </c>
      <c r="L676" t="n">
        <v>0</v>
      </c>
      <c r="M676" t="n">
        <v>0</v>
      </c>
      <c r="N676" t="n">
        <v>0</v>
      </c>
      <c r="O676" t="n">
        <v>0</v>
      </c>
      <c r="P676" t="n">
        <v>0</v>
      </c>
      <c r="Q676" t="n">
        <v>0</v>
      </c>
      <c r="R676" s="2" t="inlineStr"/>
    </row>
    <row r="677" ht="15" customHeight="1">
      <c r="A677" t="inlineStr">
        <is>
          <t>A 22189-2025</t>
        </is>
      </c>
      <c r="B677" s="1" t="n">
        <v>45785.62479166667</v>
      </c>
      <c r="C677" s="1" t="n">
        <v>46145</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19708-2024</t>
        </is>
      </c>
      <c r="B678" s="1" t="n">
        <v>45432.55324074074</v>
      </c>
      <c r="C678" s="1" t="n">
        <v>46145</v>
      </c>
      <c r="D678" t="inlineStr">
        <is>
          <t>DALARNAS LÄN</t>
        </is>
      </c>
      <c r="E678" t="inlineStr">
        <is>
          <t>ÄLVDALEN</t>
        </is>
      </c>
      <c r="G678" t="n">
        <v>12.4</v>
      </c>
      <c r="H678" t="n">
        <v>0</v>
      </c>
      <c r="I678" t="n">
        <v>0</v>
      </c>
      <c r="J678" t="n">
        <v>0</v>
      </c>
      <c r="K678" t="n">
        <v>0</v>
      </c>
      <c r="L678" t="n">
        <v>0</v>
      </c>
      <c r="M678" t="n">
        <v>0</v>
      </c>
      <c r="N678" t="n">
        <v>0</v>
      </c>
      <c r="O678" t="n">
        <v>0</v>
      </c>
      <c r="P678" t="n">
        <v>0</v>
      </c>
      <c r="Q678" t="n">
        <v>0</v>
      </c>
      <c r="R678" s="2" t="inlineStr"/>
    </row>
    <row r="679" ht="15" customHeight="1">
      <c r="A679" t="inlineStr">
        <is>
          <t>A 21469-2024</t>
        </is>
      </c>
      <c r="B679" s="1" t="n">
        <v>45441.486875</v>
      </c>
      <c r="C679" s="1" t="n">
        <v>46145</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22577-2025</t>
        </is>
      </c>
      <c r="B680" s="1" t="n">
        <v>45789.36928240741</v>
      </c>
      <c r="C680" s="1" t="n">
        <v>46145</v>
      </c>
      <c r="D680" t="inlineStr">
        <is>
          <t>DALARNAS LÄN</t>
        </is>
      </c>
      <c r="E680" t="inlineStr">
        <is>
          <t>ÄLVDALEN</t>
        </is>
      </c>
      <c r="F680" t="inlineStr">
        <is>
          <t>Allmännings- och besparingsskogar</t>
        </is>
      </c>
      <c r="G680" t="n">
        <v>18.1</v>
      </c>
      <c r="H680" t="n">
        <v>0</v>
      </c>
      <c r="I680" t="n">
        <v>0</v>
      </c>
      <c r="J680" t="n">
        <v>0</v>
      </c>
      <c r="K680" t="n">
        <v>0</v>
      </c>
      <c r="L680" t="n">
        <v>0</v>
      </c>
      <c r="M680" t="n">
        <v>0</v>
      </c>
      <c r="N680" t="n">
        <v>0</v>
      </c>
      <c r="O680" t="n">
        <v>0</v>
      </c>
      <c r="P680" t="n">
        <v>0</v>
      </c>
      <c r="Q680" t="n">
        <v>0</v>
      </c>
      <c r="R680" s="2" t="inlineStr"/>
    </row>
    <row r="681" ht="15" customHeight="1">
      <c r="A681" t="inlineStr">
        <is>
          <t>A 22303-2025</t>
        </is>
      </c>
      <c r="B681" s="1" t="n">
        <v>45786</v>
      </c>
      <c r="C681" s="1" t="n">
        <v>46145</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22559-2025</t>
        </is>
      </c>
      <c r="B682" s="1" t="n">
        <v>45789.32916666667</v>
      </c>
      <c r="C682" s="1" t="n">
        <v>46145</v>
      </c>
      <c r="D682" t="inlineStr">
        <is>
          <t>DALARNAS LÄN</t>
        </is>
      </c>
      <c r="E682" t="inlineStr">
        <is>
          <t>ÄLVDALEN</t>
        </is>
      </c>
      <c r="F682" t="inlineStr">
        <is>
          <t>Allmännings- och besparingsskogar</t>
        </is>
      </c>
      <c r="G682" t="n">
        <v>6.4</v>
      </c>
      <c r="H682" t="n">
        <v>0</v>
      </c>
      <c r="I682" t="n">
        <v>0</v>
      </c>
      <c r="J682" t="n">
        <v>0</v>
      </c>
      <c r="K682" t="n">
        <v>0</v>
      </c>
      <c r="L682" t="n">
        <v>0</v>
      </c>
      <c r="M682" t="n">
        <v>0</v>
      </c>
      <c r="N682" t="n">
        <v>0</v>
      </c>
      <c r="O682" t="n">
        <v>0</v>
      </c>
      <c r="P682" t="n">
        <v>0</v>
      </c>
      <c r="Q682" t="n">
        <v>0</v>
      </c>
      <c r="R682" s="2" t="inlineStr"/>
    </row>
    <row r="683" ht="15" customHeight="1">
      <c r="A683" t="inlineStr">
        <is>
          <t>A 22631-2025</t>
        </is>
      </c>
      <c r="B683" s="1" t="n">
        <v>45789.44056712963</v>
      </c>
      <c r="C683" s="1" t="n">
        <v>46145</v>
      </c>
      <c r="D683" t="inlineStr">
        <is>
          <t>DALARNAS LÄN</t>
        </is>
      </c>
      <c r="E683" t="inlineStr">
        <is>
          <t>ÄLVDALEN</t>
        </is>
      </c>
      <c r="F683" t="inlineStr">
        <is>
          <t>Allmännings- och besparingsskogar</t>
        </is>
      </c>
      <c r="G683" t="n">
        <v>2</v>
      </c>
      <c r="H683" t="n">
        <v>0</v>
      </c>
      <c r="I683" t="n">
        <v>0</v>
      </c>
      <c r="J683" t="n">
        <v>0</v>
      </c>
      <c r="K683" t="n">
        <v>0</v>
      </c>
      <c r="L683" t="n">
        <v>0</v>
      </c>
      <c r="M683" t="n">
        <v>0</v>
      </c>
      <c r="N683" t="n">
        <v>0</v>
      </c>
      <c r="O683" t="n">
        <v>0</v>
      </c>
      <c r="P683" t="n">
        <v>0</v>
      </c>
      <c r="Q683" t="n">
        <v>0</v>
      </c>
      <c r="R683" s="2" t="inlineStr"/>
    </row>
    <row r="684" ht="15" customHeight="1">
      <c r="A684" t="inlineStr">
        <is>
          <t>A 22909-2025</t>
        </is>
      </c>
      <c r="B684" s="1" t="n">
        <v>45790.42219907408</v>
      </c>
      <c r="C684" s="1" t="n">
        <v>46145</v>
      </c>
      <c r="D684" t="inlineStr">
        <is>
          <t>DALARNAS LÄN</t>
        </is>
      </c>
      <c r="E684" t="inlineStr">
        <is>
          <t>ÄLVDALEN</t>
        </is>
      </c>
      <c r="G684" t="n">
        <v>1.1</v>
      </c>
      <c r="H684" t="n">
        <v>0</v>
      </c>
      <c r="I684" t="n">
        <v>0</v>
      </c>
      <c r="J684" t="n">
        <v>0</v>
      </c>
      <c r="K684" t="n">
        <v>0</v>
      </c>
      <c r="L684" t="n">
        <v>0</v>
      </c>
      <c r="M684" t="n">
        <v>0</v>
      </c>
      <c r="N684" t="n">
        <v>0</v>
      </c>
      <c r="O684" t="n">
        <v>0</v>
      </c>
      <c r="P684" t="n">
        <v>0</v>
      </c>
      <c r="Q684" t="n">
        <v>0</v>
      </c>
      <c r="R684" s="2" t="inlineStr"/>
    </row>
    <row r="685" ht="15" customHeight="1">
      <c r="A685" t="inlineStr">
        <is>
          <t>A 23555-2025</t>
        </is>
      </c>
      <c r="B685" s="1" t="n">
        <v>45792.57824074074</v>
      </c>
      <c r="C685" s="1" t="n">
        <v>46145</v>
      </c>
      <c r="D685" t="inlineStr">
        <is>
          <t>DALARNAS LÄN</t>
        </is>
      </c>
      <c r="E685" t="inlineStr">
        <is>
          <t>ÄLVDALEN</t>
        </is>
      </c>
      <c r="G685" t="n">
        <v>3.1</v>
      </c>
      <c r="H685" t="n">
        <v>0</v>
      </c>
      <c r="I685" t="n">
        <v>0</v>
      </c>
      <c r="J685" t="n">
        <v>0</v>
      </c>
      <c r="K685" t="n">
        <v>0</v>
      </c>
      <c r="L685" t="n">
        <v>0</v>
      </c>
      <c r="M685" t="n">
        <v>0</v>
      </c>
      <c r="N685" t="n">
        <v>0</v>
      </c>
      <c r="O685" t="n">
        <v>0</v>
      </c>
      <c r="P685" t="n">
        <v>0</v>
      </c>
      <c r="Q685" t="n">
        <v>0</v>
      </c>
      <c r="R685" s="2" t="inlineStr"/>
    </row>
    <row r="686" ht="15" customHeight="1">
      <c r="A686" t="inlineStr">
        <is>
          <t>A 51967-2023</t>
        </is>
      </c>
      <c r="B686" s="1" t="n">
        <v>45223.56440972222</v>
      </c>
      <c r="C686" s="1" t="n">
        <v>46145</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23219-2025</t>
        </is>
      </c>
      <c r="B687" s="1" t="n">
        <v>45791.47893518519</v>
      </c>
      <c r="C687" s="1" t="n">
        <v>46145</v>
      </c>
      <c r="D687" t="inlineStr">
        <is>
          <t>DALARNAS LÄN</t>
        </is>
      </c>
      <c r="E687" t="inlineStr">
        <is>
          <t>ÄLVDALEN</t>
        </is>
      </c>
      <c r="F687" t="inlineStr">
        <is>
          <t>Bergvik skog öst AB</t>
        </is>
      </c>
      <c r="G687" t="n">
        <v>16.7</v>
      </c>
      <c r="H687" t="n">
        <v>0</v>
      </c>
      <c r="I687" t="n">
        <v>0</v>
      </c>
      <c r="J687" t="n">
        <v>0</v>
      </c>
      <c r="K687" t="n">
        <v>0</v>
      </c>
      <c r="L687" t="n">
        <v>0</v>
      </c>
      <c r="M687" t="n">
        <v>0</v>
      </c>
      <c r="N687" t="n">
        <v>0</v>
      </c>
      <c r="O687" t="n">
        <v>0</v>
      </c>
      <c r="P687" t="n">
        <v>0</v>
      </c>
      <c r="Q687" t="n">
        <v>0</v>
      </c>
      <c r="R687" s="2" t="inlineStr"/>
    </row>
    <row r="688" ht="15" customHeight="1">
      <c r="A688" t="inlineStr">
        <is>
          <t>A 23328-2024</t>
        </is>
      </c>
      <c r="B688" s="1" t="n">
        <v>45453.46716435185</v>
      </c>
      <c r="C688" s="1" t="n">
        <v>46145</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47645-2024</t>
        </is>
      </c>
      <c r="B689" s="1" t="n">
        <v>45588.37167824074</v>
      </c>
      <c r="C689" s="1" t="n">
        <v>46145</v>
      </c>
      <c r="D689" t="inlineStr">
        <is>
          <t>DALARNAS LÄN</t>
        </is>
      </c>
      <c r="E689" t="inlineStr">
        <is>
          <t>ÄLVDALEN</t>
        </is>
      </c>
      <c r="G689" t="n">
        <v>4.6</v>
      </c>
      <c r="H689" t="n">
        <v>0</v>
      </c>
      <c r="I689" t="n">
        <v>0</v>
      </c>
      <c r="J689" t="n">
        <v>0</v>
      </c>
      <c r="K689" t="n">
        <v>0</v>
      </c>
      <c r="L689" t="n">
        <v>0</v>
      </c>
      <c r="M689" t="n">
        <v>0</v>
      </c>
      <c r="N689" t="n">
        <v>0</v>
      </c>
      <c r="O689" t="n">
        <v>0</v>
      </c>
      <c r="P689" t="n">
        <v>0</v>
      </c>
      <c r="Q689" t="n">
        <v>0</v>
      </c>
      <c r="R689" s="2" t="inlineStr"/>
    </row>
    <row r="690" ht="15" customHeight="1">
      <c r="A690" t="inlineStr">
        <is>
          <t>A 24637-2025</t>
        </is>
      </c>
      <c r="B690" s="1" t="n">
        <v>45798.616875</v>
      </c>
      <c r="C690" s="1" t="n">
        <v>46145</v>
      </c>
      <c r="D690" t="inlineStr">
        <is>
          <t>DALARNAS LÄN</t>
        </is>
      </c>
      <c r="E690" t="inlineStr">
        <is>
          <t>ÄLVDALEN</t>
        </is>
      </c>
      <c r="G690" t="n">
        <v>0.5</v>
      </c>
      <c r="H690" t="n">
        <v>0</v>
      </c>
      <c r="I690" t="n">
        <v>0</v>
      </c>
      <c r="J690" t="n">
        <v>0</v>
      </c>
      <c r="K690" t="n">
        <v>0</v>
      </c>
      <c r="L690" t="n">
        <v>0</v>
      </c>
      <c r="M690" t="n">
        <v>0</v>
      </c>
      <c r="N690" t="n">
        <v>0</v>
      </c>
      <c r="O690" t="n">
        <v>0</v>
      </c>
      <c r="P690" t="n">
        <v>0</v>
      </c>
      <c r="Q690" t="n">
        <v>0</v>
      </c>
      <c r="R690" s="2" t="inlineStr"/>
    </row>
    <row r="691" ht="15" customHeight="1">
      <c r="A691" t="inlineStr">
        <is>
          <t>A 24950-2025</t>
        </is>
      </c>
      <c r="B691" s="1" t="n">
        <v>45799.56943287037</v>
      </c>
      <c r="C691" s="1" t="n">
        <v>46145</v>
      </c>
      <c r="D691" t="inlineStr">
        <is>
          <t>DALARNAS LÄN</t>
        </is>
      </c>
      <c r="E691" t="inlineStr">
        <is>
          <t>ÄLVDALEN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25086-2025</t>
        </is>
      </c>
      <c r="B692" s="1" t="n">
        <v>45800</v>
      </c>
      <c r="C692" s="1" t="n">
        <v>46145</v>
      </c>
      <c r="D692" t="inlineStr">
        <is>
          <t>DALARNAS LÄN</t>
        </is>
      </c>
      <c r="E692" t="inlineStr">
        <is>
          <t>ÄLVDALEN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25879-2025</t>
        </is>
      </c>
      <c r="B693" s="1" t="n">
        <v>45804.49605324074</v>
      </c>
      <c r="C693" s="1" t="n">
        <v>46145</v>
      </c>
      <c r="D693" t="inlineStr">
        <is>
          <t>DALARNAS LÄN</t>
        </is>
      </c>
      <c r="E693" t="inlineStr">
        <is>
          <t>ÄLVDALEN</t>
        </is>
      </c>
      <c r="F693" t="inlineStr">
        <is>
          <t>Allmännings- och besparingsskogar</t>
        </is>
      </c>
      <c r="G693" t="n">
        <v>0.2</v>
      </c>
      <c r="H693" t="n">
        <v>0</v>
      </c>
      <c r="I693" t="n">
        <v>0</v>
      </c>
      <c r="J693" t="n">
        <v>0</v>
      </c>
      <c r="K693" t="n">
        <v>0</v>
      </c>
      <c r="L693" t="n">
        <v>0</v>
      </c>
      <c r="M693" t="n">
        <v>0</v>
      </c>
      <c r="N693" t="n">
        <v>0</v>
      </c>
      <c r="O693" t="n">
        <v>0</v>
      </c>
      <c r="P693" t="n">
        <v>0</v>
      </c>
      <c r="Q693" t="n">
        <v>0</v>
      </c>
      <c r="R693" s="2" t="inlineStr"/>
    </row>
    <row r="694" ht="15" customHeight="1">
      <c r="A694" t="inlineStr">
        <is>
          <t>A 25823-2025</t>
        </is>
      </c>
      <c r="B694" s="1" t="n">
        <v>45804.4396412037</v>
      </c>
      <c r="C694" s="1" t="n">
        <v>46145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50037-2022</t>
        </is>
      </c>
      <c r="B695" s="1" t="n">
        <v>44865.46136574074</v>
      </c>
      <c r="C695" s="1" t="n">
        <v>46145</v>
      </c>
      <c r="D695" t="inlineStr">
        <is>
          <t>DALARNAS LÄN</t>
        </is>
      </c>
      <c r="E695" t="inlineStr">
        <is>
          <t>ÄLVDALEN</t>
        </is>
      </c>
      <c r="F695" t="inlineStr">
        <is>
          <t>Allmännings- och besparingsskogar</t>
        </is>
      </c>
      <c r="G695" t="n">
        <v>5.8</v>
      </c>
      <c r="H695" t="n">
        <v>0</v>
      </c>
      <c r="I695" t="n">
        <v>0</v>
      </c>
      <c r="J695" t="n">
        <v>0</v>
      </c>
      <c r="K695" t="n">
        <v>0</v>
      </c>
      <c r="L695" t="n">
        <v>0</v>
      </c>
      <c r="M695" t="n">
        <v>0</v>
      </c>
      <c r="N695" t="n">
        <v>0</v>
      </c>
      <c r="O695" t="n">
        <v>0</v>
      </c>
      <c r="P695" t="n">
        <v>0</v>
      </c>
      <c r="Q695" t="n">
        <v>0</v>
      </c>
      <c r="R695" s="2" t="inlineStr"/>
    </row>
    <row r="696" ht="15" customHeight="1">
      <c r="A696" t="inlineStr">
        <is>
          <t>A 26285-2025</t>
        </is>
      </c>
      <c r="B696" s="1" t="n">
        <v>45805.61885416666</v>
      </c>
      <c r="C696" s="1" t="n">
        <v>46145</v>
      </c>
      <c r="D696" t="inlineStr">
        <is>
          <t>DALARNAS LÄN</t>
        </is>
      </c>
      <c r="E696" t="inlineStr">
        <is>
          <t>ÄLVDALEN</t>
        </is>
      </c>
      <c r="G696" t="n">
        <v>1.5</v>
      </c>
      <c r="H696" t="n">
        <v>0</v>
      </c>
      <c r="I696" t="n">
        <v>0</v>
      </c>
      <c r="J696" t="n">
        <v>0</v>
      </c>
      <c r="K696" t="n">
        <v>0</v>
      </c>
      <c r="L696" t="n">
        <v>0</v>
      </c>
      <c r="M696" t="n">
        <v>0</v>
      </c>
      <c r="N696" t="n">
        <v>0</v>
      </c>
      <c r="O696" t="n">
        <v>0</v>
      </c>
      <c r="P696" t="n">
        <v>0</v>
      </c>
      <c r="Q696" t="n">
        <v>0</v>
      </c>
      <c r="R696" s="2" t="inlineStr"/>
    </row>
    <row r="697" ht="15" customHeight="1">
      <c r="A697" t="inlineStr">
        <is>
          <t>A 2546-2025</t>
        </is>
      </c>
      <c r="B697" s="1" t="n">
        <v>45674.62240740741</v>
      </c>
      <c r="C697" s="1" t="n">
        <v>46145</v>
      </c>
      <c r="D697" t="inlineStr">
        <is>
          <t>DALARNAS LÄN</t>
        </is>
      </c>
      <c r="E697" t="inlineStr">
        <is>
          <t>ÄLVDALEN</t>
        </is>
      </c>
      <c r="G697" t="n">
        <v>2</v>
      </c>
      <c r="H697" t="n">
        <v>0</v>
      </c>
      <c r="I697" t="n">
        <v>0</v>
      </c>
      <c r="J697" t="n">
        <v>0</v>
      </c>
      <c r="K697" t="n">
        <v>0</v>
      </c>
      <c r="L697" t="n">
        <v>0</v>
      </c>
      <c r="M697" t="n">
        <v>0</v>
      </c>
      <c r="N697" t="n">
        <v>0</v>
      </c>
      <c r="O697" t="n">
        <v>0</v>
      </c>
      <c r="P697" t="n">
        <v>0</v>
      </c>
      <c r="Q697" t="n">
        <v>0</v>
      </c>
      <c r="R697" s="2" t="inlineStr"/>
    </row>
    <row r="698" ht="15" customHeight="1">
      <c r="A698" t="inlineStr">
        <is>
          <t>A 26704-2025</t>
        </is>
      </c>
      <c r="B698" s="1" t="n">
        <v>45810.45271990741</v>
      </c>
      <c r="C698" s="1" t="n">
        <v>46145</v>
      </c>
      <c r="D698" t="inlineStr">
        <is>
          <t>DALARNAS LÄN</t>
        </is>
      </c>
      <c r="E698" t="inlineStr">
        <is>
          <t>ÄLVDALEN</t>
        </is>
      </c>
      <c r="F698" t="inlineStr">
        <is>
          <t>Bergvik skog väst AB</t>
        </is>
      </c>
      <c r="G698" t="n">
        <v>32.3</v>
      </c>
      <c r="H698" t="n">
        <v>0</v>
      </c>
      <c r="I698" t="n">
        <v>0</v>
      </c>
      <c r="J698" t="n">
        <v>0</v>
      </c>
      <c r="K698" t="n">
        <v>0</v>
      </c>
      <c r="L698" t="n">
        <v>0</v>
      </c>
      <c r="M698" t="n">
        <v>0</v>
      </c>
      <c r="N698" t="n">
        <v>0</v>
      </c>
      <c r="O698" t="n">
        <v>0</v>
      </c>
      <c r="P698" t="n">
        <v>0</v>
      </c>
      <c r="Q698" t="n">
        <v>0</v>
      </c>
      <c r="R698" s="2" t="inlineStr"/>
    </row>
    <row r="699" ht="15" customHeight="1">
      <c r="A699" t="inlineStr">
        <is>
          <t>A 27230-2025</t>
        </is>
      </c>
      <c r="B699" s="1" t="n">
        <v>45812.43825231482</v>
      </c>
      <c r="C699" s="1" t="n">
        <v>46145</v>
      </c>
      <c r="D699" t="inlineStr">
        <is>
          <t>DALARNAS LÄN</t>
        </is>
      </c>
      <c r="E699" t="inlineStr">
        <is>
          <t>ÄLVDALEN</t>
        </is>
      </c>
      <c r="F699" t="inlineStr">
        <is>
          <t>Allmännings- och besparingsskogar</t>
        </is>
      </c>
      <c r="G699" t="n">
        <v>4</v>
      </c>
      <c r="H699" t="n">
        <v>0</v>
      </c>
      <c r="I699" t="n">
        <v>0</v>
      </c>
      <c r="J699" t="n">
        <v>0</v>
      </c>
      <c r="K699" t="n">
        <v>0</v>
      </c>
      <c r="L699" t="n">
        <v>0</v>
      </c>
      <c r="M699" t="n">
        <v>0</v>
      </c>
      <c r="N699" t="n">
        <v>0</v>
      </c>
      <c r="O699" t="n">
        <v>0</v>
      </c>
      <c r="P699" t="n">
        <v>0</v>
      </c>
      <c r="Q699" t="n">
        <v>0</v>
      </c>
      <c r="R699" s="2" t="inlineStr"/>
    </row>
    <row r="700" ht="15" customHeight="1">
      <c r="A700" t="inlineStr">
        <is>
          <t>A 27261-2025</t>
        </is>
      </c>
      <c r="B700" s="1" t="n">
        <v>45812.47674768518</v>
      </c>
      <c r="C700" s="1" t="n">
        <v>46145</v>
      </c>
      <c r="D700" t="inlineStr">
        <is>
          <t>DALARNAS LÄN</t>
        </is>
      </c>
      <c r="E700" t="inlineStr">
        <is>
          <t>ÄLVDALEN</t>
        </is>
      </c>
      <c r="F700" t="inlineStr">
        <is>
          <t>Bergvik skog väst AB</t>
        </is>
      </c>
      <c r="G700" t="n">
        <v>9.5</v>
      </c>
      <c r="H700" t="n">
        <v>0</v>
      </c>
      <c r="I700" t="n">
        <v>0</v>
      </c>
      <c r="J700" t="n">
        <v>0</v>
      </c>
      <c r="K700" t="n">
        <v>0</v>
      </c>
      <c r="L700" t="n">
        <v>0</v>
      </c>
      <c r="M700" t="n">
        <v>0</v>
      </c>
      <c r="N700" t="n">
        <v>0</v>
      </c>
      <c r="O700" t="n">
        <v>0</v>
      </c>
      <c r="P700" t="n">
        <v>0</v>
      </c>
      <c r="Q700" t="n">
        <v>0</v>
      </c>
      <c r="R700" s="2" t="inlineStr"/>
    </row>
    <row r="701" ht="15" customHeight="1">
      <c r="A701" t="inlineStr">
        <is>
          <t>A 27090-2025</t>
        </is>
      </c>
      <c r="B701" s="1" t="n">
        <v>45811.66903935185</v>
      </c>
      <c r="C701" s="1" t="n">
        <v>46145</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7998-2024</t>
        </is>
      </c>
      <c r="B702" s="1" t="n">
        <v>45350.6433912037</v>
      </c>
      <c r="C702" s="1" t="n">
        <v>46145</v>
      </c>
      <c r="D702" t="inlineStr">
        <is>
          <t>DALARNAS LÄN</t>
        </is>
      </c>
      <c r="E702" t="inlineStr">
        <is>
          <t>ÄLVDALEN</t>
        </is>
      </c>
      <c r="F702" t="inlineStr">
        <is>
          <t>Kommuner</t>
        </is>
      </c>
      <c r="G702" t="n">
        <v>7.9</v>
      </c>
      <c r="H702" t="n">
        <v>0</v>
      </c>
      <c r="I702" t="n">
        <v>0</v>
      </c>
      <c r="J702" t="n">
        <v>0</v>
      </c>
      <c r="K702" t="n">
        <v>0</v>
      </c>
      <c r="L702" t="n">
        <v>0</v>
      </c>
      <c r="M702" t="n">
        <v>0</v>
      </c>
      <c r="N702" t="n">
        <v>0</v>
      </c>
      <c r="O702" t="n">
        <v>0</v>
      </c>
      <c r="P702" t="n">
        <v>0</v>
      </c>
      <c r="Q702" t="n">
        <v>0</v>
      </c>
      <c r="R702" s="2" t="inlineStr"/>
    </row>
    <row r="703" ht="15" customHeight="1">
      <c r="A703" t="inlineStr">
        <is>
          <t>A 27739-2025</t>
        </is>
      </c>
      <c r="B703" s="1" t="n">
        <v>45815.49082175926</v>
      </c>
      <c r="C703" s="1" t="n">
        <v>46145</v>
      </c>
      <c r="D703" t="inlineStr">
        <is>
          <t>DALARNAS LÄN</t>
        </is>
      </c>
      <c r="E703" t="inlineStr">
        <is>
          <t>ÄLVDALEN</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3904-2024</t>
        </is>
      </c>
      <c r="B704" s="1" t="n">
        <v>45322</v>
      </c>
      <c r="C704" s="1" t="n">
        <v>46145</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27918-2025</t>
        </is>
      </c>
      <c r="B705" s="1" t="n">
        <v>45817.48231481481</v>
      </c>
      <c r="C705" s="1" t="n">
        <v>46145</v>
      </c>
      <c r="D705" t="inlineStr">
        <is>
          <t>DALARNAS LÄN</t>
        </is>
      </c>
      <c r="E705" t="inlineStr">
        <is>
          <t>ÄLVDALEN</t>
        </is>
      </c>
      <c r="G705" t="n">
        <v>5.6</v>
      </c>
      <c r="H705" t="n">
        <v>0</v>
      </c>
      <c r="I705" t="n">
        <v>0</v>
      </c>
      <c r="J705" t="n">
        <v>0</v>
      </c>
      <c r="K705" t="n">
        <v>0</v>
      </c>
      <c r="L705" t="n">
        <v>0</v>
      </c>
      <c r="M705" t="n">
        <v>0</v>
      </c>
      <c r="N705" t="n">
        <v>0</v>
      </c>
      <c r="O705" t="n">
        <v>0</v>
      </c>
      <c r="P705" t="n">
        <v>0</v>
      </c>
      <c r="Q705" t="n">
        <v>0</v>
      </c>
      <c r="R705" s="2" t="inlineStr"/>
    </row>
    <row r="706" ht="15" customHeight="1">
      <c r="A706" t="inlineStr">
        <is>
          <t>A 28838-2025</t>
        </is>
      </c>
      <c r="B706" s="1" t="n">
        <v>45820.56359953704</v>
      </c>
      <c r="C706" s="1" t="n">
        <v>46145</v>
      </c>
      <c r="D706" t="inlineStr">
        <is>
          <t>DALARNAS LÄN</t>
        </is>
      </c>
      <c r="E706" t="inlineStr">
        <is>
          <t>ÄLVDALEN</t>
        </is>
      </c>
      <c r="F706" t="inlineStr">
        <is>
          <t>Allmännings- och besparingsskogar</t>
        </is>
      </c>
      <c r="G706" t="n">
        <v>7.5</v>
      </c>
      <c r="H706" t="n">
        <v>0</v>
      </c>
      <c r="I706" t="n">
        <v>0</v>
      </c>
      <c r="J706" t="n">
        <v>0</v>
      </c>
      <c r="K706" t="n">
        <v>0</v>
      </c>
      <c r="L706" t="n">
        <v>0</v>
      </c>
      <c r="M706" t="n">
        <v>0</v>
      </c>
      <c r="N706" t="n">
        <v>0</v>
      </c>
      <c r="O706" t="n">
        <v>0</v>
      </c>
      <c r="P706" t="n">
        <v>0</v>
      </c>
      <c r="Q706" t="n">
        <v>0</v>
      </c>
      <c r="R706" s="2" t="inlineStr"/>
    </row>
    <row r="707" ht="15" customHeight="1">
      <c r="A707" t="inlineStr">
        <is>
          <t>A 28844-2025</t>
        </is>
      </c>
      <c r="B707" s="1" t="n">
        <v>45820.57053240741</v>
      </c>
      <c r="C707" s="1" t="n">
        <v>46145</v>
      </c>
      <c r="D707" t="inlineStr">
        <is>
          <t>DALARNAS LÄN</t>
        </is>
      </c>
      <c r="E707" t="inlineStr">
        <is>
          <t>ÄLVDALEN</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28842-2025</t>
        </is>
      </c>
      <c r="B708" s="1" t="n">
        <v>45820.56780092593</v>
      </c>
      <c r="C708" s="1" t="n">
        <v>46145</v>
      </c>
      <c r="D708" t="inlineStr">
        <is>
          <t>DALARNAS LÄN</t>
        </is>
      </c>
      <c r="E708" t="inlineStr">
        <is>
          <t>ÄLVDALEN</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30025-2025</t>
        </is>
      </c>
      <c r="B709" s="1" t="n">
        <v>45826.56265046296</v>
      </c>
      <c r="C709" s="1" t="n">
        <v>46145</v>
      </c>
      <c r="D709" t="inlineStr">
        <is>
          <t>DALARNAS LÄN</t>
        </is>
      </c>
      <c r="E709" t="inlineStr">
        <is>
          <t>ÄLVDALEN</t>
        </is>
      </c>
      <c r="G709" t="n">
        <v>9</v>
      </c>
      <c r="H709" t="n">
        <v>0</v>
      </c>
      <c r="I709" t="n">
        <v>0</v>
      </c>
      <c r="J709" t="n">
        <v>0</v>
      </c>
      <c r="K709" t="n">
        <v>0</v>
      </c>
      <c r="L709" t="n">
        <v>0</v>
      </c>
      <c r="M709" t="n">
        <v>0</v>
      </c>
      <c r="N709" t="n">
        <v>0</v>
      </c>
      <c r="O709" t="n">
        <v>0</v>
      </c>
      <c r="P709" t="n">
        <v>0</v>
      </c>
      <c r="Q709" t="n">
        <v>0</v>
      </c>
      <c r="R709" s="2" t="inlineStr"/>
    </row>
    <row r="710" ht="15" customHeight="1">
      <c r="A710" t="inlineStr">
        <is>
          <t>A 30032-2025</t>
        </is>
      </c>
      <c r="B710" s="1" t="n">
        <v>45826.56873842593</v>
      </c>
      <c r="C710" s="1" t="n">
        <v>46145</v>
      </c>
      <c r="D710" t="inlineStr">
        <is>
          <t>DALARNAS LÄN</t>
        </is>
      </c>
      <c r="E710" t="inlineStr">
        <is>
          <t>ÄLVDALEN</t>
        </is>
      </c>
      <c r="G710" t="n">
        <v>5.5</v>
      </c>
      <c r="H710" t="n">
        <v>0</v>
      </c>
      <c r="I710" t="n">
        <v>0</v>
      </c>
      <c r="J710" t="n">
        <v>0</v>
      </c>
      <c r="K710" t="n">
        <v>0</v>
      </c>
      <c r="L710" t="n">
        <v>0</v>
      </c>
      <c r="M710" t="n">
        <v>0</v>
      </c>
      <c r="N710" t="n">
        <v>0</v>
      </c>
      <c r="O710" t="n">
        <v>0</v>
      </c>
      <c r="P710" t="n">
        <v>0</v>
      </c>
      <c r="Q710" t="n">
        <v>0</v>
      </c>
      <c r="R710" s="2" t="inlineStr"/>
    </row>
    <row r="711" ht="15" customHeight="1">
      <c r="A711" t="inlineStr">
        <is>
          <t>A 30502-2025</t>
        </is>
      </c>
      <c r="B711" s="1" t="n">
        <v>45830.82903935185</v>
      </c>
      <c r="C711" s="1" t="n">
        <v>46145</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31796-2025</t>
        </is>
      </c>
      <c r="B712" s="1" t="n">
        <v>45834.54943287037</v>
      </c>
      <c r="C712" s="1" t="n">
        <v>46145</v>
      </c>
      <c r="D712" t="inlineStr">
        <is>
          <t>DALARNAS LÄN</t>
        </is>
      </c>
      <c r="E712" t="inlineStr">
        <is>
          <t>ÄLVDALEN</t>
        </is>
      </c>
      <c r="G712" t="n">
        <v>65.5</v>
      </c>
      <c r="H712" t="n">
        <v>0</v>
      </c>
      <c r="I712" t="n">
        <v>0</v>
      </c>
      <c r="J712" t="n">
        <v>0</v>
      </c>
      <c r="K712" t="n">
        <v>0</v>
      </c>
      <c r="L712" t="n">
        <v>0</v>
      </c>
      <c r="M712" t="n">
        <v>0</v>
      </c>
      <c r="N712" t="n">
        <v>0</v>
      </c>
      <c r="O712" t="n">
        <v>0</v>
      </c>
      <c r="P712" t="n">
        <v>0</v>
      </c>
      <c r="Q712" t="n">
        <v>0</v>
      </c>
      <c r="R712" s="2" t="inlineStr"/>
    </row>
    <row r="713" ht="15" customHeight="1">
      <c r="A713" t="inlineStr">
        <is>
          <t>A 32063-2025</t>
        </is>
      </c>
      <c r="B713" s="1" t="n">
        <v>45835.44703703704</v>
      </c>
      <c r="C713" s="1" t="n">
        <v>46145</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32668-2025</t>
        </is>
      </c>
      <c r="B714" s="1" t="n">
        <v>45838.69678240741</v>
      </c>
      <c r="C714" s="1" t="n">
        <v>46145</v>
      </c>
      <c r="D714" t="inlineStr">
        <is>
          <t>DALARNAS LÄN</t>
        </is>
      </c>
      <c r="E714" t="inlineStr">
        <is>
          <t>ÄLVDALEN</t>
        </is>
      </c>
      <c r="F714" t="inlineStr">
        <is>
          <t>Övriga Aktiebolag</t>
        </is>
      </c>
      <c r="G714" t="n">
        <v>29.5</v>
      </c>
      <c r="H714" t="n">
        <v>0</v>
      </c>
      <c r="I714" t="n">
        <v>0</v>
      </c>
      <c r="J714" t="n">
        <v>0</v>
      </c>
      <c r="K714" t="n">
        <v>0</v>
      </c>
      <c r="L714" t="n">
        <v>0</v>
      </c>
      <c r="M714" t="n">
        <v>0</v>
      </c>
      <c r="N714" t="n">
        <v>0</v>
      </c>
      <c r="O714" t="n">
        <v>0</v>
      </c>
      <c r="P714" t="n">
        <v>0</v>
      </c>
      <c r="Q714" t="n">
        <v>0</v>
      </c>
      <c r="R714" s="2" t="inlineStr"/>
    </row>
    <row r="715" ht="15" customHeight="1">
      <c r="A715" t="inlineStr">
        <is>
          <t>A 34314-2025</t>
        </is>
      </c>
      <c r="B715" s="1" t="n">
        <v>45846</v>
      </c>
      <c r="C715" s="1" t="n">
        <v>46145</v>
      </c>
      <c r="D715" t="inlineStr">
        <is>
          <t>DALARNAS LÄN</t>
        </is>
      </c>
      <c r="E715" t="inlineStr">
        <is>
          <t>ÄLVDALEN</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34739-2025</t>
        </is>
      </c>
      <c r="B716" s="1" t="n">
        <v>45848.60682870371</v>
      </c>
      <c r="C716" s="1" t="n">
        <v>46145</v>
      </c>
      <c r="D716" t="inlineStr">
        <is>
          <t>DALARNAS LÄN</t>
        </is>
      </c>
      <c r="E716" t="inlineStr">
        <is>
          <t>ÄLVDALEN</t>
        </is>
      </c>
      <c r="G716" t="n">
        <v>1</v>
      </c>
      <c r="H716" t="n">
        <v>0</v>
      </c>
      <c r="I716" t="n">
        <v>0</v>
      </c>
      <c r="J716" t="n">
        <v>0</v>
      </c>
      <c r="K716" t="n">
        <v>0</v>
      </c>
      <c r="L716" t="n">
        <v>0</v>
      </c>
      <c r="M716" t="n">
        <v>0</v>
      </c>
      <c r="N716" t="n">
        <v>0</v>
      </c>
      <c r="O716" t="n">
        <v>0</v>
      </c>
      <c r="P716" t="n">
        <v>0</v>
      </c>
      <c r="Q716" t="n">
        <v>0</v>
      </c>
      <c r="R716" s="2" t="inlineStr"/>
    </row>
    <row r="717" ht="15" customHeight="1">
      <c r="A717" t="inlineStr">
        <is>
          <t>A 34778-2025</t>
        </is>
      </c>
      <c r="B717" s="1" t="n">
        <v>45848.66840277778</v>
      </c>
      <c r="C717" s="1" t="n">
        <v>46145</v>
      </c>
      <c r="D717" t="inlineStr">
        <is>
          <t>DALARNAS LÄN</t>
        </is>
      </c>
      <c r="E717" t="inlineStr">
        <is>
          <t>ÄLVDALEN</t>
        </is>
      </c>
      <c r="G717" t="n">
        <v>2.2</v>
      </c>
      <c r="H717" t="n">
        <v>0</v>
      </c>
      <c r="I717" t="n">
        <v>0</v>
      </c>
      <c r="J717" t="n">
        <v>0</v>
      </c>
      <c r="K717" t="n">
        <v>0</v>
      </c>
      <c r="L717" t="n">
        <v>0</v>
      </c>
      <c r="M717" t="n">
        <v>0</v>
      </c>
      <c r="N717" t="n">
        <v>0</v>
      </c>
      <c r="O717" t="n">
        <v>0</v>
      </c>
      <c r="P717" t="n">
        <v>0</v>
      </c>
      <c r="Q717" t="n">
        <v>0</v>
      </c>
      <c r="R717" s="2" t="inlineStr"/>
    </row>
    <row r="718" ht="15" customHeight="1">
      <c r="A718" t="inlineStr">
        <is>
          <t>A 34697-2025</t>
        </is>
      </c>
      <c r="B718" s="1" t="n">
        <v>45848.46181712963</v>
      </c>
      <c r="C718" s="1" t="n">
        <v>46145</v>
      </c>
      <c r="D718" t="inlineStr">
        <is>
          <t>DALARNAS LÄN</t>
        </is>
      </c>
      <c r="E718" t="inlineStr">
        <is>
          <t>ÄLVDALEN</t>
        </is>
      </c>
      <c r="F718" t="inlineStr">
        <is>
          <t>Allmännings- och besparingsskogar</t>
        </is>
      </c>
      <c r="G718" t="n">
        <v>7.8</v>
      </c>
      <c r="H718" t="n">
        <v>0</v>
      </c>
      <c r="I718" t="n">
        <v>0</v>
      </c>
      <c r="J718" t="n">
        <v>0</v>
      </c>
      <c r="K718" t="n">
        <v>0</v>
      </c>
      <c r="L718" t="n">
        <v>0</v>
      </c>
      <c r="M718" t="n">
        <v>0</v>
      </c>
      <c r="N718" t="n">
        <v>0</v>
      </c>
      <c r="O718" t="n">
        <v>0</v>
      </c>
      <c r="P718" t="n">
        <v>0</v>
      </c>
      <c r="Q718" t="n">
        <v>0</v>
      </c>
      <c r="R718" s="2" t="inlineStr"/>
    </row>
    <row r="719" ht="15" customHeight="1">
      <c r="A719" t="inlineStr">
        <is>
          <t>A 34705-2025</t>
        </is>
      </c>
      <c r="B719" s="1" t="n">
        <v>45848.49012731481</v>
      </c>
      <c r="C719" s="1" t="n">
        <v>46145</v>
      </c>
      <c r="D719" t="inlineStr">
        <is>
          <t>DALARNAS LÄN</t>
        </is>
      </c>
      <c r="E719" t="inlineStr">
        <is>
          <t>ÄLVDALEN</t>
        </is>
      </c>
      <c r="F719" t="inlineStr">
        <is>
          <t>Allmännings- och besparingsskogar</t>
        </is>
      </c>
      <c r="G719" t="n">
        <v>1.1</v>
      </c>
      <c r="H719" t="n">
        <v>0</v>
      </c>
      <c r="I719" t="n">
        <v>0</v>
      </c>
      <c r="J719" t="n">
        <v>0</v>
      </c>
      <c r="K719" t="n">
        <v>0</v>
      </c>
      <c r="L719" t="n">
        <v>0</v>
      </c>
      <c r="M719" t="n">
        <v>0</v>
      </c>
      <c r="N719" t="n">
        <v>0</v>
      </c>
      <c r="O719" t="n">
        <v>0</v>
      </c>
      <c r="P719" t="n">
        <v>0</v>
      </c>
      <c r="Q719" t="n">
        <v>0</v>
      </c>
      <c r="R719" s="2" t="inlineStr"/>
    </row>
    <row r="720" ht="15" customHeight="1">
      <c r="A720" t="inlineStr">
        <is>
          <t>A 34645-2025</t>
        </is>
      </c>
      <c r="B720" s="1" t="n">
        <v>45848.33440972222</v>
      </c>
      <c r="C720" s="1" t="n">
        <v>46145</v>
      </c>
      <c r="D720" t="inlineStr">
        <is>
          <t>DALARNAS LÄN</t>
        </is>
      </c>
      <c r="E720" t="inlineStr">
        <is>
          <t>ÄLVDALEN</t>
        </is>
      </c>
      <c r="G720" t="n">
        <v>7.1</v>
      </c>
      <c r="H720" t="n">
        <v>0</v>
      </c>
      <c r="I720" t="n">
        <v>0</v>
      </c>
      <c r="J720" t="n">
        <v>0</v>
      </c>
      <c r="K720" t="n">
        <v>0</v>
      </c>
      <c r="L720" t="n">
        <v>0</v>
      </c>
      <c r="M720" t="n">
        <v>0</v>
      </c>
      <c r="N720" t="n">
        <v>0</v>
      </c>
      <c r="O720" t="n">
        <v>0</v>
      </c>
      <c r="P720" t="n">
        <v>0</v>
      </c>
      <c r="Q720" t="n">
        <v>0</v>
      </c>
      <c r="R720" s="2" t="inlineStr"/>
    </row>
    <row r="721" ht="15" customHeight="1">
      <c r="A721" t="inlineStr">
        <is>
          <t>A 34526-2025</t>
        </is>
      </c>
      <c r="B721" s="1" t="n">
        <v>45847.47820601852</v>
      </c>
      <c r="C721" s="1" t="n">
        <v>46145</v>
      </c>
      <c r="D721" t="inlineStr">
        <is>
          <t>DALARNAS LÄN</t>
        </is>
      </c>
      <c r="E721" t="inlineStr">
        <is>
          <t>ÄLVDALEN</t>
        </is>
      </c>
      <c r="F721" t="inlineStr">
        <is>
          <t>Allmännings- och besparingsskogar</t>
        </is>
      </c>
      <c r="G721" t="n">
        <v>3.9</v>
      </c>
      <c r="H721" t="n">
        <v>0</v>
      </c>
      <c r="I721" t="n">
        <v>0</v>
      </c>
      <c r="J721" t="n">
        <v>0</v>
      </c>
      <c r="K721" t="n">
        <v>0</v>
      </c>
      <c r="L721" t="n">
        <v>0</v>
      </c>
      <c r="M721" t="n">
        <v>0</v>
      </c>
      <c r="N721" t="n">
        <v>0</v>
      </c>
      <c r="O721" t="n">
        <v>0</v>
      </c>
      <c r="P721" t="n">
        <v>0</v>
      </c>
      <c r="Q721" t="n">
        <v>0</v>
      </c>
      <c r="R721" s="2" t="inlineStr"/>
    </row>
    <row r="722" ht="15" customHeight="1">
      <c r="A722" t="inlineStr">
        <is>
          <t>A 34850-2025</t>
        </is>
      </c>
      <c r="B722" s="1" t="n">
        <v>45849.42398148148</v>
      </c>
      <c r="C722" s="1" t="n">
        <v>46145</v>
      </c>
      <c r="D722" t="inlineStr">
        <is>
          <t>DALARNAS LÄN</t>
        </is>
      </c>
      <c r="E722" t="inlineStr">
        <is>
          <t>ÄLVDALEN</t>
        </is>
      </c>
      <c r="F722" t="inlineStr">
        <is>
          <t>Allmännings- och besparingsskogar</t>
        </is>
      </c>
      <c r="G722" t="n">
        <v>12.1</v>
      </c>
      <c r="H722" t="n">
        <v>0</v>
      </c>
      <c r="I722" t="n">
        <v>0</v>
      </c>
      <c r="J722" t="n">
        <v>0</v>
      </c>
      <c r="K722" t="n">
        <v>0</v>
      </c>
      <c r="L722" t="n">
        <v>0</v>
      </c>
      <c r="M722" t="n">
        <v>0</v>
      </c>
      <c r="N722" t="n">
        <v>0</v>
      </c>
      <c r="O722" t="n">
        <v>0</v>
      </c>
      <c r="P722" t="n">
        <v>0</v>
      </c>
      <c r="Q722" t="n">
        <v>0</v>
      </c>
      <c r="R722" s="2" t="inlineStr"/>
    </row>
    <row r="723" ht="15" customHeight="1">
      <c r="A723" t="inlineStr">
        <is>
          <t>A 34914-2025</t>
        </is>
      </c>
      <c r="B723" s="1" t="n">
        <v>45849.54108796296</v>
      </c>
      <c r="C723" s="1" t="n">
        <v>46145</v>
      </c>
      <c r="D723" t="inlineStr">
        <is>
          <t>DALARNAS LÄN</t>
        </is>
      </c>
      <c r="E723" t="inlineStr">
        <is>
          <t>ÄLVDALEN</t>
        </is>
      </c>
      <c r="F723" t="inlineStr">
        <is>
          <t>Allmännings- och besparingsskogar</t>
        </is>
      </c>
      <c r="G723" t="n">
        <v>19.2</v>
      </c>
      <c r="H723" t="n">
        <v>0</v>
      </c>
      <c r="I723" t="n">
        <v>0</v>
      </c>
      <c r="J723" t="n">
        <v>0</v>
      </c>
      <c r="K723" t="n">
        <v>0</v>
      </c>
      <c r="L723" t="n">
        <v>0</v>
      </c>
      <c r="M723" t="n">
        <v>0</v>
      </c>
      <c r="N723" t="n">
        <v>0</v>
      </c>
      <c r="O723" t="n">
        <v>0</v>
      </c>
      <c r="P723" t="n">
        <v>0</v>
      </c>
      <c r="Q723" t="n">
        <v>0</v>
      </c>
      <c r="R723" s="2" t="inlineStr"/>
    </row>
    <row r="724" ht="15" customHeight="1">
      <c r="A724" t="inlineStr">
        <is>
          <t>A 27187-2025</t>
        </is>
      </c>
      <c r="B724" s="1" t="n">
        <v>45812</v>
      </c>
      <c r="C724" s="1" t="n">
        <v>46145</v>
      </c>
      <c r="D724" t="inlineStr">
        <is>
          <t>DALARNAS LÄN</t>
        </is>
      </c>
      <c r="E724" t="inlineStr">
        <is>
          <t>ÄLVDALEN</t>
        </is>
      </c>
      <c r="F724" t="inlineStr">
        <is>
          <t>Allmännings- och besparingsskogar</t>
        </is>
      </c>
      <c r="G724" t="n">
        <v>3</v>
      </c>
      <c r="H724" t="n">
        <v>0</v>
      </c>
      <c r="I724" t="n">
        <v>0</v>
      </c>
      <c r="J724" t="n">
        <v>0</v>
      </c>
      <c r="K724" t="n">
        <v>0</v>
      </c>
      <c r="L724" t="n">
        <v>0</v>
      </c>
      <c r="M724" t="n">
        <v>0</v>
      </c>
      <c r="N724" t="n">
        <v>0</v>
      </c>
      <c r="O724" t="n">
        <v>0</v>
      </c>
      <c r="P724" t="n">
        <v>0</v>
      </c>
      <c r="Q724" t="n">
        <v>0</v>
      </c>
      <c r="R724" s="2" t="inlineStr"/>
    </row>
    <row r="725" ht="15" customHeight="1">
      <c r="A725" t="inlineStr">
        <is>
          <t>A 35993-2025</t>
        </is>
      </c>
      <c r="B725" s="1" t="n">
        <v>45863.48056712963</v>
      </c>
      <c r="C725" s="1" t="n">
        <v>46145</v>
      </c>
      <c r="D725" t="inlineStr">
        <is>
          <t>DALARNAS LÄN</t>
        </is>
      </c>
      <c r="E725" t="inlineStr">
        <is>
          <t>ÄLVDALEN</t>
        </is>
      </c>
      <c r="F725" t="inlineStr">
        <is>
          <t>Bergvik skog öst AB</t>
        </is>
      </c>
      <c r="G725" t="n">
        <v>6.1</v>
      </c>
      <c r="H725" t="n">
        <v>0</v>
      </c>
      <c r="I725" t="n">
        <v>0</v>
      </c>
      <c r="J725" t="n">
        <v>0</v>
      </c>
      <c r="K725" t="n">
        <v>0</v>
      </c>
      <c r="L725" t="n">
        <v>0</v>
      </c>
      <c r="M725" t="n">
        <v>0</v>
      </c>
      <c r="N725" t="n">
        <v>0</v>
      </c>
      <c r="O725" t="n">
        <v>0</v>
      </c>
      <c r="P725" t="n">
        <v>0</v>
      </c>
      <c r="Q725" t="n">
        <v>0</v>
      </c>
      <c r="R725" s="2" t="inlineStr"/>
    </row>
    <row r="726" ht="15" customHeight="1">
      <c r="A726" t="inlineStr">
        <is>
          <t>A 30799-2021</t>
        </is>
      </c>
      <c r="B726" s="1" t="n">
        <v>44365.51483796296</v>
      </c>
      <c r="C726" s="1" t="n">
        <v>46145</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19578-2025</t>
        </is>
      </c>
      <c r="B727" s="1" t="n">
        <v>45770</v>
      </c>
      <c r="C727" s="1" t="n">
        <v>46145</v>
      </c>
      <c r="D727" t="inlineStr">
        <is>
          <t>DALARNAS LÄN</t>
        </is>
      </c>
      <c r="E727" t="inlineStr">
        <is>
          <t>ÄLVDALEN</t>
        </is>
      </c>
      <c r="F727" t="inlineStr">
        <is>
          <t>Sveaskog</t>
        </is>
      </c>
      <c r="G727" t="n">
        <v>15.2</v>
      </c>
      <c r="H727" t="n">
        <v>0</v>
      </c>
      <c r="I727" t="n">
        <v>0</v>
      </c>
      <c r="J727" t="n">
        <v>0</v>
      </c>
      <c r="K727" t="n">
        <v>0</v>
      </c>
      <c r="L727" t="n">
        <v>0</v>
      </c>
      <c r="M727" t="n">
        <v>0</v>
      </c>
      <c r="N727" t="n">
        <v>0</v>
      </c>
      <c r="O727" t="n">
        <v>0</v>
      </c>
      <c r="P727" t="n">
        <v>0</v>
      </c>
      <c r="Q727" t="n">
        <v>0</v>
      </c>
      <c r="R727" s="2" t="inlineStr"/>
    </row>
    <row r="728" ht="15" customHeight="1">
      <c r="A728" t="inlineStr">
        <is>
          <t>A 36257-2025</t>
        </is>
      </c>
      <c r="B728" s="1" t="n">
        <v>45867.591875</v>
      </c>
      <c r="C728" s="1" t="n">
        <v>46145</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17558-2024</t>
        </is>
      </c>
      <c r="B729" s="1" t="n">
        <v>45415.66295138889</v>
      </c>
      <c r="C729" s="1" t="n">
        <v>46145</v>
      </c>
      <c r="D729" t="inlineStr">
        <is>
          <t>DALARNAS LÄN</t>
        </is>
      </c>
      <c r="E729" t="inlineStr">
        <is>
          <t>ÄLVDALEN</t>
        </is>
      </c>
      <c r="G729" t="n">
        <v>2.2</v>
      </c>
      <c r="H729" t="n">
        <v>0</v>
      </c>
      <c r="I729" t="n">
        <v>0</v>
      </c>
      <c r="J729" t="n">
        <v>0</v>
      </c>
      <c r="K729" t="n">
        <v>0</v>
      </c>
      <c r="L729" t="n">
        <v>0</v>
      </c>
      <c r="M729" t="n">
        <v>0</v>
      </c>
      <c r="N729" t="n">
        <v>0</v>
      </c>
      <c r="O729" t="n">
        <v>0</v>
      </c>
      <c r="P729" t="n">
        <v>0</v>
      </c>
      <c r="Q729" t="n">
        <v>0</v>
      </c>
      <c r="R729" s="2" t="inlineStr"/>
    </row>
    <row r="730" ht="15" customHeight="1">
      <c r="A730" t="inlineStr">
        <is>
          <t>A 36830-2025</t>
        </is>
      </c>
      <c r="B730" s="1" t="n">
        <v>45874.34365740741</v>
      </c>
      <c r="C730" s="1" t="n">
        <v>46145</v>
      </c>
      <c r="D730" t="inlineStr">
        <is>
          <t>DALARNAS LÄN</t>
        </is>
      </c>
      <c r="E730" t="inlineStr">
        <is>
          <t>ÄLVDALEN</t>
        </is>
      </c>
      <c r="F730" t="inlineStr">
        <is>
          <t>Bergvik skog väst AB</t>
        </is>
      </c>
      <c r="G730" t="n">
        <v>5</v>
      </c>
      <c r="H730" t="n">
        <v>0</v>
      </c>
      <c r="I730" t="n">
        <v>0</v>
      </c>
      <c r="J730" t="n">
        <v>0</v>
      </c>
      <c r="K730" t="n">
        <v>0</v>
      </c>
      <c r="L730" t="n">
        <v>0</v>
      </c>
      <c r="M730" t="n">
        <v>0</v>
      </c>
      <c r="N730" t="n">
        <v>0</v>
      </c>
      <c r="O730" t="n">
        <v>0</v>
      </c>
      <c r="P730" t="n">
        <v>0</v>
      </c>
      <c r="Q730" t="n">
        <v>0</v>
      </c>
      <c r="R730" s="2" t="inlineStr"/>
    </row>
    <row r="731" ht="15" customHeight="1">
      <c r="A731" t="inlineStr">
        <is>
          <t>A 22454-2021</t>
        </is>
      </c>
      <c r="B731" s="1" t="n">
        <v>44326</v>
      </c>
      <c r="C731" s="1" t="n">
        <v>46145</v>
      </c>
      <c r="D731" t="inlineStr">
        <is>
          <t>DALARNAS LÄN</t>
        </is>
      </c>
      <c r="E731" t="inlineStr">
        <is>
          <t>ÄLVDALEN</t>
        </is>
      </c>
      <c r="F731" t="inlineStr">
        <is>
          <t>Allmännings- och besparingsskogar</t>
        </is>
      </c>
      <c r="G731" t="n">
        <v>4.3</v>
      </c>
      <c r="H731" t="n">
        <v>0</v>
      </c>
      <c r="I731" t="n">
        <v>0</v>
      </c>
      <c r="J731" t="n">
        <v>0</v>
      </c>
      <c r="K731" t="n">
        <v>0</v>
      </c>
      <c r="L731" t="n">
        <v>0</v>
      </c>
      <c r="M731" t="n">
        <v>0</v>
      </c>
      <c r="N731" t="n">
        <v>0</v>
      </c>
      <c r="O731" t="n">
        <v>0</v>
      </c>
      <c r="P731" t="n">
        <v>0</v>
      </c>
      <c r="Q731" t="n">
        <v>0</v>
      </c>
      <c r="R731" s="2" t="inlineStr"/>
    </row>
    <row r="732">
      <c r="A732" t="inlineStr">
        <is>
          <t>A 43990-2024</t>
        </is>
      </c>
      <c r="B732" s="1" t="n">
        <v>45572</v>
      </c>
      <c r="C732" s="1" t="n">
        <v>46145</v>
      </c>
      <c r="D732" t="inlineStr">
        <is>
          <t>DALARNAS LÄN</t>
        </is>
      </c>
      <c r="E732" t="inlineStr">
        <is>
          <t>ÄLVDALEN</t>
        </is>
      </c>
      <c r="F732" t="inlineStr">
        <is>
          <t>Kommuner</t>
        </is>
      </c>
      <c r="G732" t="n">
        <v>0</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2026-05-03T11:06:55Z</dcterms:created>
  <dcterms:modified xmlns:dcterms="http://purl.org/dc/terms/" xmlns:xsi="http://www.w3.org/2001/XMLSchema-instance" xsi:type="dcterms:W3CDTF">2026-05-03T11:06:56Z</dcterms:modified>
</cp:coreProperties>
</file>