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45363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45363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45363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45363</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45363</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45363</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45363</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45363</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45363</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45363</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45363</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45363</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45363</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45363</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45363</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45363</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45363</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45363</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45363</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45363</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45363</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45363</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45363</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45363</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45363</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45363</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45363</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45363</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45363</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c r="Z30">
        <f>HYPERLINK("https://klasma.github.io/Logging_2039/fåglar/A 33608-2021 prioriterade fågelarter.docx", "A 33608-2021")</f>
        <v/>
      </c>
    </row>
    <row r="31" ht="15" customHeight="1">
      <c r="A31" t="inlineStr">
        <is>
          <t>A 54314-2021</t>
        </is>
      </c>
      <c r="B31" s="1" t="n">
        <v>44472</v>
      </c>
      <c r="C31" s="1" t="n">
        <v>45363</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45363</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45363</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45363</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45363</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45363</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45363</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45363</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45363</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45363</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45363</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45363</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45363</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45363</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45363</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45363</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45363</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45363</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45363</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45363</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45363</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45363</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45363</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45363</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45363</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45363</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45363</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45363</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45363</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45363</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45363</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45363</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45363</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45363</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45363</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45363</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45363</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45363</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45363</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45363</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45363</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45363</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45363</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45363</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45363</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45363</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45363</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c r="Z77">
        <f>HYPERLINK("https://klasma.github.io/Logging_2039/fåglar/A 21857-2023 prioriterade fågelarter.docx", "A 21857-2023")</f>
        <v/>
      </c>
    </row>
    <row r="78" ht="15" customHeight="1">
      <c r="A78" t="inlineStr">
        <is>
          <t>A 27967-2023</t>
        </is>
      </c>
      <c r="B78" s="1" t="n">
        <v>45098</v>
      </c>
      <c r="C78" s="1" t="n">
        <v>45363</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45363</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45363</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45363</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45363</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45363</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45363</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45363</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45363</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45363</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45363</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45363</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45363</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45363</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45363</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45363</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45363</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45363</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45363</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45363</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45363</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45363</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45363</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45363</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45363</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45363</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45363</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45363</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45363</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45363</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45363</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45363</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45363</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45363</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45363</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45363</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45363</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45363</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45363</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45363</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45363</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45363</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45363</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9079-2024</t>
        </is>
      </c>
      <c r="B121" s="1" t="n">
        <v>45357</v>
      </c>
      <c r="C121" s="1" t="n">
        <v>45363</v>
      </c>
      <c r="D121" t="inlineStr">
        <is>
          <t>DALARNAS LÄN</t>
        </is>
      </c>
      <c r="E121" t="inlineStr">
        <is>
          <t>ÄLVDALEN</t>
        </is>
      </c>
      <c r="F121" t="inlineStr">
        <is>
          <t>Övriga Aktiebolag</t>
        </is>
      </c>
      <c r="G121" t="n">
        <v>15.2</v>
      </c>
      <c r="H121" t="n">
        <v>1</v>
      </c>
      <c r="I121" t="n">
        <v>0</v>
      </c>
      <c r="J121" t="n">
        <v>0</v>
      </c>
      <c r="K121" t="n">
        <v>0</v>
      </c>
      <c r="L121" t="n">
        <v>0</v>
      </c>
      <c r="M121" t="n">
        <v>0</v>
      </c>
      <c r="N121" t="n">
        <v>0</v>
      </c>
      <c r="O121" t="n">
        <v>0</v>
      </c>
      <c r="P121" t="n">
        <v>0</v>
      </c>
      <c r="Q121" t="n">
        <v>1</v>
      </c>
      <c r="R121" s="2" t="inlineStr">
        <is>
          <t>Fläcknycklar</t>
        </is>
      </c>
      <c r="S121">
        <f>HYPERLINK("https://klasma.github.io/Logging_2039/artfynd/A 9079-2024 artfynd.xlsx", "A 9079-2024")</f>
        <v/>
      </c>
      <c r="T121">
        <f>HYPERLINK("https://klasma.github.io/Logging_2039/kartor/A 9079-2024 karta.png", "A 9079-2024")</f>
        <v/>
      </c>
      <c r="V121">
        <f>HYPERLINK("https://klasma.github.io/Logging_2039/klagomål/A 9079-2024 FSC-klagomål.docx", "A 9079-2024")</f>
        <v/>
      </c>
      <c r="W121">
        <f>HYPERLINK("https://klasma.github.io/Logging_2039/klagomålsmail/A 9079-2024 FSC-klagomål mail.docx", "A 9079-2024")</f>
        <v/>
      </c>
      <c r="X121">
        <f>HYPERLINK("https://klasma.github.io/Logging_2039/tillsyn/A 9079-2024 tillsynsbegäran.docx", "A 9079-2024")</f>
        <v/>
      </c>
      <c r="Y121">
        <f>HYPERLINK("https://klasma.github.io/Logging_2039/tillsynsmail/A 9079-2024 tillsynsbegäran mail.docx", "A 9079-2024")</f>
        <v/>
      </c>
    </row>
    <row r="122" ht="15" customHeight="1">
      <c r="A122" t="inlineStr">
        <is>
          <t>A 9094-2024</t>
        </is>
      </c>
      <c r="B122" s="1" t="n">
        <v>45357</v>
      </c>
      <c r="C122" s="1" t="n">
        <v>45363</v>
      </c>
      <c r="D122" t="inlineStr">
        <is>
          <t>DALARNAS LÄN</t>
        </is>
      </c>
      <c r="E122" t="inlineStr">
        <is>
          <t>ÄLVDALEN</t>
        </is>
      </c>
      <c r="G122" t="n">
        <v>4.6</v>
      </c>
      <c r="H122" t="n">
        <v>0</v>
      </c>
      <c r="I122" t="n">
        <v>0</v>
      </c>
      <c r="J122" t="n">
        <v>1</v>
      </c>
      <c r="K122" t="n">
        <v>0</v>
      </c>
      <c r="L122" t="n">
        <v>0</v>
      </c>
      <c r="M122" t="n">
        <v>0</v>
      </c>
      <c r="N122" t="n">
        <v>0</v>
      </c>
      <c r="O122" t="n">
        <v>1</v>
      </c>
      <c r="P122" t="n">
        <v>0</v>
      </c>
      <c r="Q122" t="n">
        <v>1</v>
      </c>
      <c r="R122" s="2" t="inlineStr">
        <is>
          <t>Nordtagging</t>
        </is>
      </c>
      <c r="S122">
        <f>HYPERLINK("https://klasma.github.io/Logging_2039/artfynd/A 9094-2024 artfynd.xlsx", "A 9094-2024")</f>
        <v/>
      </c>
      <c r="T122">
        <f>HYPERLINK("https://klasma.github.io/Logging_2039/kartor/A 9094-2024 karta.png", "A 9094-2024")</f>
        <v/>
      </c>
      <c r="V122">
        <f>HYPERLINK("https://klasma.github.io/Logging_2039/klagomål/A 9094-2024 FSC-klagomål.docx", "A 9094-2024")</f>
        <v/>
      </c>
      <c r="W122">
        <f>HYPERLINK("https://klasma.github.io/Logging_2039/klagomålsmail/A 9094-2024 FSC-klagomål mail.docx", "A 9094-2024")</f>
        <v/>
      </c>
      <c r="X122">
        <f>HYPERLINK("https://klasma.github.io/Logging_2039/tillsyn/A 9094-2024 tillsynsbegäran.docx", "A 9094-2024")</f>
        <v/>
      </c>
      <c r="Y122">
        <f>HYPERLINK("https://klasma.github.io/Logging_2039/tillsynsmail/A 9094-2024 tillsynsbegäran mail.docx", "A 9094-2024")</f>
        <v/>
      </c>
    </row>
    <row r="123" ht="15" customHeight="1">
      <c r="A123" t="inlineStr">
        <is>
          <t>A 39008-2018</t>
        </is>
      </c>
      <c r="B123" s="1" t="n">
        <v>43339</v>
      </c>
      <c r="C123" s="1" t="n">
        <v>45363</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45363</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45363</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45363</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45363</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45363</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45363</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45363</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45363</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45363</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45363</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45363</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45363</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45363</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45363</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45363</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45363</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45363</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45363</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45363</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45363</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45363</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45363</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45363</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45363</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45363</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45363</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45363</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45363</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45363</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45363</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45363</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45363</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45363</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45363</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45363</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45363</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45363</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45363</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45363</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45363</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45363</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45363</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45363</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45363</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45363</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45363</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45363</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45363</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45363</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45363</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45363</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45363</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45363</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45363</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45363</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45363</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45363</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45363</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45363</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45363</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45363</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45363</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45363</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45363</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45363</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45363</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45363</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45363</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45363</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45363</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45363</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45363</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45363</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45363</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45363</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45363</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45363</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45363</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45363</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45363</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45363</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45363</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45363</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45363</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45363</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45363</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45363</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45363</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45363</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45363</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45363</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45363</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45363</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45363</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45363</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45363</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45363</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45363</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45363</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45363</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45363</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45363</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45363</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45363</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45363</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45363</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45363</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45363</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45363</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45363</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45363</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45363</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45363</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45363</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45363</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45363</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45363</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45363</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45363</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45363</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45363</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45363</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45363</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45363</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45363</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45363</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45363</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45363</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45363</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45363</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45363</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45363</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45363</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45363</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45363</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45363</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45363</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45363</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45363</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45363</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45363</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45363</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45363</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45363</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45363</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45363</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45363</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45363</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45363</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45363</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45363</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45363</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45363</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45363</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45363</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45363</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45363</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45363</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45363</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45363</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45363</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45363</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45363</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45363</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45363</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45363</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45363</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45363</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45363</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45363</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45363</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45363</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45363</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45363</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45363</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45363</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45363</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45363</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45363</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45363</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45363</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45363</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45363</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45363</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45363</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45363</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45363</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45363</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45363</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45363</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45363</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45363</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45363</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45363</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45363</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45363</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45363</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45363</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45363</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45363</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45363</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45363</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45363</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45363</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45363</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45363</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45363</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45363</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45363</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45363</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45363</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45363</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45363</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45363</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45363</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45363</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45363</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45363</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45363</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45363</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45363</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45363</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45363</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45363</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45363</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45363</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45363</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45363</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45363</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45363</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45363</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45363</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45363</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45363</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45363</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45363</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45363</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45363</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45363</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45363</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45363</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45363</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45363</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45363</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45363</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45363</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45363</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45363</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45363</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45363</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45363</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45363</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45363</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45363</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45363</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45363</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45363</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45363</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45363</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45363</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45363</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45363</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45363</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45363</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45363</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45363</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45363</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45363</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45363</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45363</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45363</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45363</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45363</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45363</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45363</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45363</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45363</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45363</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45363</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45363</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45363</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45363</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45363</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45363</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45363</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45363</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45363</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45363</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45363</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45363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45363</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45363</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45363</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45363</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45363</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45363</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45363</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45363</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45363</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45363</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45363</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45363</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45363</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45363</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45363</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45363</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45363</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45363</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45363</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45363</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45363</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45363</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45363</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45363</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45363</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45363</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45363</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45363</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45363</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45363</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45363</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45363</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45363</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45363</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45363</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45363</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45363</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45363</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45363</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45363</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45363</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45363</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45363</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45363</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45363</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45363</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45363</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45363</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45363</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45363</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45363</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45363</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45363</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45363</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45363</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45363</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45363</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45363</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45363</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45363</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45363</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45363</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45363</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45363</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45363</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45363</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45363</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45363</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45363</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45363</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45363</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45363</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45363</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45363</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45363</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45363</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45363</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45363</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45363</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45363</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45363</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45363</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45363</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45363</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45363</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45363</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45363</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45363</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45363</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45363</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45363</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45363</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45363</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45363</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45363</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45363</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45363</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45363</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45363</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45363</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45363</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45363</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45363</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45363</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45363</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45363</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45363</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45363</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45363</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45363</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45363</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45363</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45363</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45363</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45363</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45363</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45363</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45363</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45363</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45363</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45363</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45363</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45363</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45363</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45363</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45363</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45363</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45363</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45363</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45363</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45363</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45363</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45363</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45363</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45363</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45363</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45363</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45363</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45363</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45363</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45363</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45363</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45363</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45363</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45363</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45363</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45363</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45363</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45363</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45363</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45363</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45363</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45363</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45363</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45363</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45363</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45363</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45363</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45363</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45363</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45363</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45363</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45363</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45363</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45363</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45363</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45363</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45363</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45363</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45363</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45363</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45363</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45363</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45363</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45363</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45363</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45363</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45363</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45363</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45363</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45363</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45363</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45363</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45363</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45363</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45363</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45363</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45363</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45363</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45363</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45363</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45363</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45363</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45363</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45363</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45363</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45363</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45363</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45363</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45363</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45363</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45363</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45363</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45363</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45363</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45363</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45363</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45363</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45363</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45363</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45363</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45363</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45363</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45363</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45363</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45363</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45363</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45363</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45363</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45363</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45363</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45363</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45363</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45363</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45363</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45363</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45363</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45363</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45363</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45363</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45363</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45363</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45363</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45363</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45363</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45363</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45363</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45363</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45363</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45363</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45363</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45363</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45363</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45363</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45363</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45363</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45363</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45363</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45363</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45363</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45363</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45363</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45363</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45363</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45363</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45363</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45363</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45363</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45363</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45363</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45363</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45363</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45363</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45363</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45363</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45363</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45363</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45363</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45363</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45363</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45363</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45363</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45363</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45363</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45363</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45363</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45363</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45363</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45363</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45363</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45363</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45363</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45363</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45363</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45363</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45363</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45363</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45363</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45363</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45363</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45363</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45363</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45363</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45363</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45363</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45363</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45363</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45363</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45363</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45363</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45363</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45363</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45363</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45363</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45363</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45363</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45363</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45363</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45363</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45363</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45363</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45363</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45363</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45363</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45363</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45363</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45363</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45363</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45363</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45363</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45363</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45363</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45363</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45363</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45363</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45363</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45363</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45363</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45363</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45363</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45363</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45363</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45363</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45363</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45363</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45363</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45363</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45363</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45363</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45363</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45363</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45363</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45363</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45363</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45363</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45363</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45363</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45363</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45363</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45363</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45363</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45363</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45363</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45363</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45363</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45363</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45363</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45363</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45363</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45363</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45363</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45363</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45363</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45363</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45363</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45363</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45363</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45363</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45363</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45363</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45363</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45363</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45363</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45363</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45363</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45363</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45363</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45363</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45363</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45363</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45363</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45363</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45363</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45363</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45363</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45363</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45363</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45363</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45363</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45363</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45363</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45363</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45363</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45363</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45363</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45363</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45363</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45363</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45363</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45363</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45363</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45363</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45363</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45363</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45363</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45363</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45363</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45363</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45363</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45363</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45363</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45363</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45363</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45363</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45363</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45363</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45363</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45363</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45363</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45363</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5883-2024</t>
        </is>
      </c>
      <c r="B834" s="1" t="n">
        <v>45335</v>
      </c>
      <c r="C834" s="1" t="n">
        <v>45363</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5885-2024</t>
        </is>
      </c>
      <c r="B835" s="1" t="n">
        <v>45335</v>
      </c>
      <c r="C835" s="1" t="n">
        <v>45363</v>
      </c>
      <c r="D835" t="inlineStr">
        <is>
          <t>DALARNAS LÄN</t>
        </is>
      </c>
      <c r="E835" t="inlineStr">
        <is>
          <t>ÄLVDALEN</t>
        </is>
      </c>
      <c r="G835" t="n">
        <v>0.8</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45363</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45363</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45363</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45363</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7541-2024</t>
        </is>
      </c>
      <c r="B840" s="1" t="n">
        <v>45348</v>
      </c>
      <c r="C840" s="1" t="n">
        <v>45363</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row r="841" ht="15" customHeight="1">
      <c r="A841" t="inlineStr">
        <is>
          <t>A 7581-2024</t>
        </is>
      </c>
      <c r="B841" s="1" t="n">
        <v>45348</v>
      </c>
      <c r="C841" s="1" t="n">
        <v>45363</v>
      </c>
      <c r="D841" t="inlineStr">
        <is>
          <t>DALARNAS LÄN</t>
        </is>
      </c>
      <c r="E841" t="inlineStr">
        <is>
          <t>ÄLVDALEN</t>
        </is>
      </c>
      <c r="G841" t="n">
        <v>1.5</v>
      </c>
      <c r="H841" t="n">
        <v>0</v>
      </c>
      <c r="I841" t="n">
        <v>0</v>
      </c>
      <c r="J841" t="n">
        <v>0</v>
      </c>
      <c r="K841" t="n">
        <v>0</v>
      </c>
      <c r="L841" t="n">
        <v>0</v>
      </c>
      <c r="M841" t="n">
        <v>0</v>
      </c>
      <c r="N841" t="n">
        <v>0</v>
      </c>
      <c r="O841" t="n">
        <v>0</v>
      </c>
      <c r="P841" t="n">
        <v>0</v>
      </c>
      <c r="Q841" t="n">
        <v>0</v>
      </c>
      <c r="R841" s="2" t="inlineStr"/>
    </row>
    <row r="842" ht="15" customHeight="1">
      <c r="A842" t="inlineStr">
        <is>
          <t>A 7576-2024</t>
        </is>
      </c>
      <c r="B842" s="1" t="n">
        <v>45348</v>
      </c>
      <c r="C842" s="1" t="n">
        <v>45363</v>
      </c>
      <c r="D842" t="inlineStr">
        <is>
          <t>DALARNAS LÄN</t>
        </is>
      </c>
      <c r="E842" t="inlineStr">
        <is>
          <t>ÄLVDALEN</t>
        </is>
      </c>
      <c r="G842" t="n">
        <v>11.1</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45363</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45363</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9091-2024</t>
        </is>
      </c>
      <c r="B845" s="1" t="n">
        <v>45357</v>
      </c>
      <c r="C845" s="1" t="n">
        <v>45363</v>
      </c>
      <c r="D845" t="inlineStr">
        <is>
          <t>DALARNAS LÄN</t>
        </is>
      </c>
      <c r="E845" t="inlineStr">
        <is>
          <t>ÄLVDALEN</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9100-2024</t>
        </is>
      </c>
      <c r="B846" s="1" t="n">
        <v>45357</v>
      </c>
      <c r="C846" s="1" t="n">
        <v>45363</v>
      </c>
      <c r="D846" t="inlineStr">
        <is>
          <t>DALARNAS LÄN</t>
        </is>
      </c>
      <c r="E846" t="inlineStr">
        <is>
          <t>ÄLVDALEN</t>
        </is>
      </c>
      <c r="F846" t="inlineStr">
        <is>
          <t>Övriga Aktiebolag</t>
        </is>
      </c>
      <c r="G846" t="n">
        <v>6.3</v>
      </c>
      <c r="H846" t="n">
        <v>0</v>
      </c>
      <c r="I846" t="n">
        <v>0</v>
      </c>
      <c r="J846" t="n">
        <v>0</v>
      </c>
      <c r="K846" t="n">
        <v>0</v>
      </c>
      <c r="L846" t="n">
        <v>0</v>
      </c>
      <c r="M846" t="n">
        <v>0</v>
      </c>
      <c r="N846" t="n">
        <v>0</v>
      </c>
      <c r="O846" t="n">
        <v>0</v>
      </c>
      <c r="P846" t="n">
        <v>0</v>
      </c>
      <c r="Q846" t="n">
        <v>0</v>
      </c>
      <c r="R846" s="2" t="inlineStr"/>
    </row>
    <row r="847" ht="15" customHeight="1">
      <c r="A847" t="inlineStr">
        <is>
          <t>A 9108-2024</t>
        </is>
      </c>
      <c r="B847" s="1" t="n">
        <v>45358</v>
      </c>
      <c r="C847" s="1" t="n">
        <v>45363</v>
      </c>
      <c r="D847" t="inlineStr">
        <is>
          <t>DALARNAS LÄN</t>
        </is>
      </c>
      <c r="E847" t="inlineStr">
        <is>
          <t>ÄLVDALEN</t>
        </is>
      </c>
      <c r="F847" t="inlineStr">
        <is>
          <t>Övriga Aktiebolag</t>
        </is>
      </c>
      <c r="G847" t="n">
        <v>24.4</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45363</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9085-2024</t>
        </is>
      </c>
      <c r="B849" s="1" t="n">
        <v>45357</v>
      </c>
      <c r="C849" s="1" t="n">
        <v>45363</v>
      </c>
      <c r="D849" t="inlineStr">
        <is>
          <t>DALARNAS LÄN</t>
        </is>
      </c>
      <c r="E849" t="inlineStr">
        <is>
          <t>ÄLVDALEN</t>
        </is>
      </c>
      <c r="F849" t="inlineStr">
        <is>
          <t>Övriga Aktiebolag</t>
        </is>
      </c>
      <c r="G849" t="n">
        <v>1.7</v>
      </c>
      <c r="H849" t="n">
        <v>0</v>
      </c>
      <c r="I849" t="n">
        <v>0</v>
      </c>
      <c r="J849" t="n">
        <v>0</v>
      </c>
      <c r="K849" t="n">
        <v>0</v>
      </c>
      <c r="L849" t="n">
        <v>0</v>
      </c>
      <c r="M849" t="n">
        <v>0</v>
      </c>
      <c r="N849" t="n">
        <v>0</v>
      </c>
      <c r="O849" t="n">
        <v>0</v>
      </c>
      <c r="P849" t="n">
        <v>0</v>
      </c>
      <c r="Q849" t="n">
        <v>0</v>
      </c>
      <c r="R849" s="2" t="inlineStr"/>
    </row>
    <row r="850">
      <c r="A850" t="inlineStr">
        <is>
          <t>A 9785-2024</t>
        </is>
      </c>
      <c r="B850" s="1" t="n">
        <v>45362</v>
      </c>
      <c r="C850" s="1" t="n">
        <v>45363</v>
      </c>
      <c r="D850" t="inlineStr">
        <is>
          <t>DALARNAS LÄN</t>
        </is>
      </c>
      <c r="E850" t="inlineStr">
        <is>
          <t>ÄLVDALEN</t>
        </is>
      </c>
      <c r="F850" t="inlineStr">
        <is>
          <t>Övriga statliga verk och myndigheter</t>
        </is>
      </c>
      <c r="G850" t="n">
        <v>14.2</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2024-03-12T14:03:35Z</dcterms:created>
  <dcterms:modified xmlns:dcterms="http://purl.org/dc/terms/" xmlns:xsi="http://www.w3.org/2001/XMLSchema-instance" xsi:type="dcterms:W3CDTF">2024-03-12T14:03:36Z</dcterms:modified>
</cp:coreProperties>
</file>