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45755</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45755</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45755</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45755</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45755</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45755</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45755</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45755</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45755</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45755</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45755</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45755</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45755</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45755</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45755</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45755</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45755</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45755</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45755</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45755</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45755</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45755</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45755</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45755</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45755</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45755</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45755</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45755</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45755</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45755</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45755</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45755</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45755</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45755</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45755</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45755</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45755</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45755</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45755</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45755</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45755</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45755</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45755</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45755</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45755</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45755</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45755</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45755</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45755</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45755</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45755</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45755</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45755</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45755</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45755</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45755</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45755</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45755</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45755</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45755</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45755</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45755</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45755</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45755</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45755</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45755</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45755</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45755</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45755</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45755</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45755</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45755</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42208-2019</t>
        </is>
      </c>
      <c r="B88" s="1" t="n">
        <v>43703</v>
      </c>
      <c r="C88" s="1" t="n">
        <v>45755</v>
      </c>
      <c r="D88" t="inlineStr">
        <is>
          <t>DALARNAS LÄN</t>
        </is>
      </c>
      <c r="E88" t="inlineStr">
        <is>
          <t>ÄLVDALEN</t>
        </is>
      </c>
      <c r="G88" t="n">
        <v>21.5</v>
      </c>
      <c r="H88" t="n">
        <v>0</v>
      </c>
      <c r="I88" t="n">
        <v>0</v>
      </c>
      <c r="J88" t="n">
        <v>3</v>
      </c>
      <c r="K88" t="n">
        <v>0</v>
      </c>
      <c r="L88" t="n">
        <v>0</v>
      </c>
      <c r="M88" t="n">
        <v>0</v>
      </c>
      <c r="N88" t="n">
        <v>0</v>
      </c>
      <c r="O88" t="n">
        <v>3</v>
      </c>
      <c r="P88" t="n">
        <v>0</v>
      </c>
      <c r="Q88" t="n">
        <v>3</v>
      </c>
      <c r="R88" s="2" t="inlineStr">
        <is>
          <t>Blanksvart spiklav
Dvärgbägarlav
Vitplätt</t>
        </is>
      </c>
      <c r="S88">
        <f>HYPERLINK("https://klasma.github.io/Logging_2039/artfynd/A 42208-2019 artfynd.xlsx", "A 42208-2019")</f>
        <v/>
      </c>
      <c r="T88">
        <f>HYPERLINK("https://klasma.github.io/Logging_2039/kartor/A 42208-2019 karta.png", "A 42208-2019")</f>
        <v/>
      </c>
      <c r="V88">
        <f>HYPERLINK("https://klasma.github.io/Logging_2039/klagomål/A 42208-2019 FSC-klagomål.docx", "A 42208-2019")</f>
        <v/>
      </c>
      <c r="W88">
        <f>HYPERLINK("https://klasma.github.io/Logging_2039/klagomålsmail/A 42208-2019 FSC-klagomål mail.docx", "A 42208-2019")</f>
        <v/>
      </c>
      <c r="X88">
        <f>HYPERLINK("https://klasma.github.io/Logging_2039/tillsyn/A 42208-2019 tillsynsbegäran.docx", "A 42208-2019")</f>
        <v/>
      </c>
      <c r="Y88">
        <f>HYPERLINK("https://klasma.github.io/Logging_2039/tillsynsmail/A 42208-2019 tillsynsbegäran mail.docx", "A 42208-2019")</f>
        <v/>
      </c>
    </row>
    <row r="89" ht="15" customHeight="1">
      <c r="A89" t="inlineStr">
        <is>
          <t>A 34201-2020</t>
        </is>
      </c>
      <c r="B89" s="1" t="n">
        <v>44029</v>
      </c>
      <c r="C89" s="1" t="n">
        <v>45755</v>
      </c>
      <c r="D89" t="inlineStr">
        <is>
          <t>DALARNAS LÄN</t>
        </is>
      </c>
      <c r="E89" t="inlineStr">
        <is>
          <t>ÄLVDALEN</t>
        </is>
      </c>
      <c r="F89" t="inlineStr">
        <is>
          <t>Sveaskog</t>
        </is>
      </c>
      <c r="G89" t="n">
        <v>6.9</v>
      </c>
      <c r="H89" t="n">
        <v>3</v>
      </c>
      <c r="I89" t="n">
        <v>1</v>
      </c>
      <c r="J89" t="n">
        <v>1</v>
      </c>
      <c r="K89" t="n">
        <v>0</v>
      </c>
      <c r="L89" t="n">
        <v>0</v>
      </c>
      <c r="M89" t="n">
        <v>0</v>
      </c>
      <c r="N89" t="n">
        <v>0</v>
      </c>
      <c r="O89" t="n">
        <v>1</v>
      </c>
      <c r="P89" t="n">
        <v>0</v>
      </c>
      <c r="Q89" t="n">
        <v>3</v>
      </c>
      <c r="R89" s="2" t="inlineStr">
        <is>
          <t>Varglav
Plattlummer
Fläcknycklar</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58570-2020</t>
        </is>
      </c>
      <c r="B90" s="1" t="n">
        <v>44145</v>
      </c>
      <c r="C90" s="1" t="n">
        <v>45755</v>
      </c>
      <c r="D90" t="inlineStr">
        <is>
          <t>DALARNAS LÄN</t>
        </is>
      </c>
      <c r="E90" t="inlineStr">
        <is>
          <t>ÄLVDALEN</t>
        </is>
      </c>
      <c r="F90" t="inlineStr">
        <is>
          <t>Sveaskog</t>
        </is>
      </c>
      <c r="G90" t="n">
        <v>15.3</v>
      </c>
      <c r="H90" t="n">
        <v>0</v>
      </c>
      <c r="I90" t="n">
        <v>1</v>
      </c>
      <c r="J90" t="n">
        <v>2</v>
      </c>
      <c r="K90" t="n">
        <v>0</v>
      </c>
      <c r="L90" t="n">
        <v>0</v>
      </c>
      <c r="M90" t="n">
        <v>0</v>
      </c>
      <c r="N90" t="n">
        <v>0</v>
      </c>
      <c r="O90" t="n">
        <v>2</v>
      </c>
      <c r="P90" t="n">
        <v>0</v>
      </c>
      <c r="Q90" t="n">
        <v>3</v>
      </c>
      <c r="R90" s="2" t="inlineStr">
        <is>
          <t>Kolflarnlav
Vedflamlav
Dropptaggsvamp</t>
        </is>
      </c>
      <c r="S90">
        <f>HYPERLINK("https://klasma.github.io/Logging_2039/artfynd/A 58570-2020 artfynd.xlsx", "A 58570-2020")</f>
        <v/>
      </c>
      <c r="T90">
        <f>HYPERLINK("https://klasma.github.io/Logging_2039/kartor/A 58570-2020 karta.png", "A 58570-2020")</f>
        <v/>
      </c>
      <c r="V90">
        <f>HYPERLINK("https://klasma.github.io/Logging_2039/klagomål/A 58570-2020 FSC-klagomål.docx", "A 58570-2020")</f>
        <v/>
      </c>
      <c r="W90">
        <f>HYPERLINK("https://klasma.github.io/Logging_2039/klagomålsmail/A 58570-2020 FSC-klagomål mail.docx", "A 58570-2020")</f>
        <v/>
      </c>
      <c r="X90">
        <f>HYPERLINK("https://klasma.github.io/Logging_2039/tillsyn/A 58570-2020 tillsynsbegäran.docx", "A 58570-2020")</f>
        <v/>
      </c>
      <c r="Y90">
        <f>HYPERLINK("https://klasma.github.io/Logging_2039/tillsynsmail/A 58570-2020 tillsynsbegäran mail.docx", "A 58570-2020")</f>
        <v/>
      </c>
    </row>
    <row r="91" ht="15" customHeight="1">
      <c r="A91" t="inlineStr">
        <is>
          <t>A 33582-2021</t>
        </is>
      </c>
      <c r="B91" s="1" t="n">
        <v>44377</v>
      </c>
      <c r="C91" s="1" t="n">
        <v>45755</v>
      </c>
      <c r="D91" t="inlineStr">
        <is>
          <t>DALARNAS LÄN</t>
        </is>
      </c>
      <c r="E91" t="inlineStr">
        <is>
          <t>ÄLVDALEN</t>
        </is>
      </c>
      <c r="F91" t="inlineStr">
        <is>
          <t>Sveaskog</t>
        </is>
      </c>
      <c r="G91" t="n">
        <v>9.199999999999999</v>
      </c>
      <c r="H91" t="n">
        <v>0</v>
      </c>
      <c r="I91" t="n">
        <v>1</v>
      </c>
      <c r="J91" t="n">
        <v>2</v>
      </c>
      <c r="K91" t="n">
        <v>0</v>
      </c>
      <c r="L91" t="n">
        <v>0</v>
      </c>
      <c r="M91" t="n">
        <v>0</v>
      </c>
      <c r="N91" t="n">
        <v>0</v>
      </c>
      <c r="O91" t="n">
        <v>2</v>
      </c>
      <c r="P91" t="n">
        <v>0</v>
      </c>
      <c r="Q91" t="n">
        <v>3</v>
      </c>
      <c r="R91" s="2" t="inlineStr">
        <is>
          <t>Blanksvart spiklav
Dvärgbägarlav
Dropptaggsvamp</t>
        </is>
      </c>
      <c r="S91">
        <f>HYPERLINK("https://klasma.github.io/Logging_2039/artfynd/A 33582-2021 artfynd.xlsx", "A 33582-2021")</f>
        <v/>
      </c>
      <c r="T91">
        <f>HYPERLINK("https://klasma.github.io/Logging_2039/kartor/A 33582-2021 karta.png", "A 33582-2021")</f>
        <v/>
      </c>
      <c r="V91">
        <f>HYPERLINK("https://klasma.github.io/Logging_2039/klagomål/A 33582-2021 FSC-klagomål.docx", "A 33582-2021")</f>
        <v/>
      </c>
      <c r="W91">
        <f>HYPERLINK("https://klasma.github.io/Logging_2039/klagomålsmail/A 33582-2021 FSC-klagomål mail.docx", "A 33582-2021")</f>
        <v/>
      </c>
      <c r="X91">
        <f>HYPERLINK("https://klasma.github.io/Logging_2039/tillsyn/A 33582-2021 tillsynsbegäran.docx", "A 33582-2021")</f>
        <v/>
      </c>
      <c r="Y91">
        <f>HYPERLINK("https://klasma.github.io/Logging_2039/tillsynsmail/A 33582-2021 tillsynsbegäran mail.docx", "A 33582-2021")</f>
        <v/>
      </c>
    </row>
    <row r="92" ht="15" customHeight="1">
      <c r="A92" t="inlineStr">
        <is>
          <t>A 51732-2021</t>
        </is>
      </c>
      <c r="B92" s="1" t="n">
        <v>44461</v>
      </c>
      <c r="C92" s="1" t="n">
        <v>45755</v>
      </c>
      <c r="D92" t="inlineStr">
        <is>
          <t>DALARNAS LÄN</t>
        </is>
      </c>
      <c r="E92" t="inlineStr">
        <is>
          <t>ÄLVDALEN</t>
        </is>
      </c>
      <c r="F92" t="inlineStr">
        <is>
          <t>Övriga statliga verk och myndigheter</t>
        </is>
      </c>
      <c r="G92" t="n">
        <v>5</v>
      </c>
      <c r="H92" t="n">
        <v>0</v>
      </c>
      <c r="I92" t="n">
        <v>2</v>
      </c>
      <c r="J92" t="n">
        <v>1</v>
      </c>
      <c r="K92" t="n">
        <v>0</v>
      </c>
      <c r="L92" t="n">
        <v>0</v>
      </c>
      <c r="M92" t="n">
        <v>0</v>
      </c>
      <c r="N92" t="n">
        <v>0</v>
      </c>
      <c r="O92" t="n">
        <v>1</v>
      </c>
      <c r="P92" t="n">
        <v>0</v>
      </c>
      <c r="Q92" t="n">
        <v>3</v>
      </c>
      <c r="R92" s="2" t="inlineStr">
        <is>
          <t>Garnlav
Svavelriska
Vedticka</t>
        </is>
      </c>
      <c r="S92">
        <f>HYPERLINK("https://klasma.github.io/Logging_2039/artfynd/A 51732-2021 artfynd.xlsx", "A 51732-2021")</f>
        <v/>
      </c>
      <c r="T92">
        <f>HYPERLINK("https://klasma.github.io/Logging_2039/kartor/A 51732-2021 karta.png", "A 51732-2021")</f>
        <v/>
      </c>
      <c r="V92">
        <f>HYPERLINK("https://klasma.github.io/Logging_2039/klagomål/A 51732-2021 FSC-klagomål.docx", "A 51732-2021")</f>
        <v/>
      </c>
      <c r="W92">
        <f>HYPERLINK("https://klasma.github.io/Logging_2039/klagomålsmail/A 51732-2021 FSC-klagomål mail.docx", "A 51732-2021")</f>
        <v/>
      </c>
      <c r="X92">
        <f>HYPERLINK("https://klasma.github.io/Logging_2039/tillsyn/A 51732-2021 tillsynsbegäran.docx", "A 51732-2021")</f>
        <v/>
      </c>
      <c r="Y92">
        <f>HYPERLINK("https://klasma.github.io/Logging_2039/tillsynsmail/A 51732-2021 tillsynsbegäran mail.docx", "A 51732-2021")</f>
        <v/>
      </c>
    </row>
    <row r="93" ht="15" customHeight="1">
      <c r="A93" t="inlineStr">
        <is>
          <t>A 54257-2021</t>
        </is>
      </c>
      <c r="B93" s="1" t="n">
        <v>44470</v>
      </c>
      <c r="C93" s="1" t="n">
        <v>45755</v>
      </c>
      <c r="D93" t="inlineStr">
        <is>
          <t>DALARNAS LÄN</t>
        </is>
      </c>
      <c r="E93" t="inlineStr">
        <is>
          <t>ÄLVDALEN</t>
        </is>
      </c>
      <c r="F93" t="inlineStr">
        <is>
          <t>Bergvik skog öst AB</t>
        </is>
      </c>
      <c r="G93" t="n">
        <v>6.8</v>
      </c>
      <c r="H93" t="n">
        <v>0</v>
      </c>
      <c r="I93" t="n">
        <v>1</v>
      </c>
      <c r="J93" t="n">
        <v>2</v>
      </c>
      <c r="K93" t="n">
        <v>0</v>
      </c>
      <c r="L93" t="n">
        <v>0</v>
      </c>
      <c r="M93" t="n">
        <v>0</v>
      </c>
      <c r="N93" t="n">
        <v>0</v>
      </c>
      <c r="O93" t="n">
        <v>2</v>
      </c>
      <c r="P93" t="n">
        <v>0</v>
      </c>
      <c r="Q93" t="n">
        <v>3</v>
      </c>
      <c r="R93" s="2" t="inlineStr">
        <is>
          <t>Motaggsvamp
Mörk kolflarnlav
Dropptaggsvamp</t>
        </is>
      </c>
      <c r="S93">
        <f>HYPERLINK("https://klasma.github.io/Logging_2039/artfynd/A 54257-2021 artfynd.xlsx", "A 54257-2021")</f>
        <v/>
      </c>
      <c r="T93">
        <f>HYPERLINK("https://klasma.github.io/Logging_2039/kartor/A 54257-2021 karta.png", "A 54257-2021")</f>
        <v/>
      </c>
      <c r="V93">
        <f>HYPERLINK("https://klasma.github.io/Logging_2039/klagomål/A 54257-2021 FSC-klagomål.docx", "A 54257-2021")</f>
        <v/>
      </c>
      <c r="W93">
        <f>HYPERLINK("https://klasma.github.io/Logging_2039/klagomålsmail/A 54257-2021 FSC-klagomål mail.docx", "A 54257-2021")</f>
        <v/>
      </c>
      <c r="X93">
        <f>HYPERLINK("https://klasma.github.io/Logging_2039/tillsyn/A 54257-2021 tillsynsbegäran.docx", "A 54257-2021")</f>
        <v/>
      </c>
      <c r="Y93">
        <f>HYPERLINK("https://klasma.github.io/Logging_2039/tillsynsmail/A 54257-2021 tillsynsbegäran mail.docx", "A 54257-2021")</f>
        <v/>
      </c>
    </row>
    <row r="94" ht="15" customHeight="1">
      <c r="A94" t="inlineStr">
        <is>
          <t>A 65467-2021</t>
        </is>
      </c>
      <c r="B94" s="1" t="n">
        <v>44516</v>
      </c>
      <c r="C94" s="1" t="n">
        <v>45755</v>
      </c>
      <c r="D94" t="inlineStr">
        <is>
          <t>DALARNAS LÄN</t>
        </is>
      </c>
      <c r="E94" t="inlineStr">
        <is>
          <t>ÄLVDALEN</t>
        </is>
      </c>
      <c r="F94" t="inlineStr">
        <is>
          <t>Sveaskog</t>
        </is>
      </c>
      <c r="G94" t="n">
        <v>47</v>
      </c>
      <c r="H94" t="n">
        <v>1</v>
      </c>
      <c r="I94" t="n">
        <v>0</v>
      </c>
      <c r="J94" t="n">
        <v>3</v>
      </c>
      <c r="K94" t="n">
        <v>0</v>
      </c>
      <c r="L94" t="n">
        <v>0</v>
      </c>
      <c r="M94" t="n">
        <v>0</v>
      </c>
      <c r="N94" t="n">
        <v>0</v>
      </c>
      <c r="O94" t="n">
        <v>3</v>
      </c>
      <c r="P94" t="n">
        <v>0</v>
      </c>
      <c r="Q94" t="n">
        <v>3</v>
      </c>
      <c r="R94" s="2" t="inlineStr">
        <is>
          <t>Dvärgbägarlav
Garnlav
Varglav</t>
        </is>
      </c>
      <c r="S94">
        <f>HYPERLINK("https://klasma.github.io/Logging_2039/artfynd/A 65467-2021 artfynd.xlsx", "A 65467-2021")</f>
        <v/>
      </c>
      <c r="T94">
        <f>HYPERLINK("https://klasma.github.io/Logging_2039/kartor/A 65467-2021 karta.png", "A 65467-2021")</f>
        <v/>
      </c>
      <c r="V94">
        <f>HYPERLINK("https://klasma.github.io/Logging_2039/klagomål/A 65467-2021 FSC-klagomål.docx", "A 65467-2021")</f>
        <v/>
      </c>
      <c r="W94">
        <f>HYPERLINK("https://klasma.github.io/Logging_2039/klagomålsmail/A 65467-2021 FSC-klagomål mail.docx", "A 65467-2021")</f>
        <v/>
      </c>
      <c r="X94">
        <f>HYPERLINK("https://klasma.github.io/Logging_2039/tillsyn/A 65467-2021 tillsynsbegäran.docx", "A 65467-2021")</f>
        <v/>
      </c>
      <c r="Y94">
        <f>HYPERLINK("https://klasma.github.io/Logging_2039/tillsynsmail/A 65467-2021 tillsynsbegäran mail.docx", "A 65467-2021")</f>
        <v/>
      </c>
    </row>
    <row r="95" ht="15" customHeight="1">
      <c r="A95" t="inlineStr">
        <is>
          <t>A 40720-2022</t>
        </is>
      </c>
      <c r="B95" s="1" t="n">
        <v>44824</v>
      </c>
      <c r="C95" s="1" t="n">
        <v>45755</v>
      </c>
      <c r="D95" t="inlineStr">
        <is>
          <t>DALARNAS LÄN</t>
        </is>
      </c>
      <c r="E95" t="inlineStr">
        <is>
          <t>ÄLVDALEN</t>
        </is>
      </c>
      <c r="F95" t="inlineStr">
        <is>
          <t>Övriga statliga verk och myndigheter</t>
        </is>
      </c>
      <c r="G95" t="n">
        <v>6.7</v>
      </c>
      <c r="H95" t="n">
        <v>0</v>
      </c>
      <c r="I95" t="n">
        <v>0</v>
      </c>
      <c r="J95" t="n">
        <v>3</v>
      </c>
      <c r="K95" t="n">
        <v>0</v>
      </c>
      <c r="L95" t="n">
        <v>0</v>
      </c>
      <c r="M95" t="n">
        <v>0</v>
      </c>
      <c r="N95" t="n">
        <v>0</v>
      </c>
      <c r="O95" t="n">
        <v>3</v>
      </c>
      <c r="P95" t="n">
        <v>0</v>
      </c>
      <c r="Q95" t="n">
        <v>3</v>
      </c>
      <c r="R95" s="2" t="inlineStr">
        <is>
          <t>Dvärgbägarlav
Mörk kolflarnlav
Vedflamlav</t>
        </is>
      </c>
      <c r="S95">
        <f>HYPERLINK("https://klasma.github.io/Logging_2039/artfynd/A 40720-2022 artfynd.xlsx", "A 40720-2022")</f>
        <v/>
      </c>
      <c r="T95">
        <f>HYPERLINK("https://klasma.github.io/Logging_2039/kartor/A 40720-2022 karta.png", "A 40720-2022")</f>
        <v/>
      </c>
      <c r="V95">
        <f>HYPERLINK("https://klasma.github.io/Logging_2039/klagomål/A 40720-2022 FSC-klagomål.docx", "A 40720-2022")</f>
        <v/>
      </c>
      <c r="W95">
        <f>HYPERLINK("https://klasma.github.io/Logging_2039/klagomålsmail/A 40720-2022 FSC-klagomål mail.docx", "A 40720-2022")</f>
        <v/>
      </c>
      <c r="X95">
        <f>HYPERLINK("https://klasma.github.io/Logging_2039/tillsyn/A 40720-2022 tillsynsbegäran.docx", "A 40720-2022")</f>
        <v/>
      </c>
      <c r="Y95">
        <f>HYPERLINK("https://klasma.github.io/Logging_2039/tillsynsmail/A 40720-2022 tillsynsbegäran mail.docx", "A 40720-2022")</f>
        <v/>
      </c>
    </row>
    <row r="96" ht="15" customHeight="1">
      <c r="A96" t="inlineStr">
        <is>
          <t>A 41909-2022</t>
        </is>
      </c>
      <c r="B96" s="1" t="n">
        <v>44830</v>
      </c>
      <c r="C96" s="1" t="n">
        <v>45755</v>
      </c>
      <c r="D96" t="inlineStr">
        <is>
          <t>DALARNAS LÄN</t>
        </is>
      </c>
      <c r="E96" t="inlineStr">
        <is>
          <t>ÄLVDALEN</t>
        </is>
      </c>
      <c r="F96" t="inlineStr">
        <is>
          <t>Sveaskog</t>
        </is>
      </c>
      <c r="G96" t="n">
        <v>3.5</v>
      </c>
      <c r="H96" t="n">
        <v>1</v>
      </c>
      <c r="I96" t="n">
        <v>0</v>
      </c>
      <c r="J96" t="n">
        <v>2</v>
      </c>
      <c r="K96" t="n">
        <v>1</v>
      </c>
      <c r="L96" t="n">
        <v>0</v>
      </c>
      <c r="M96" t="n">
        <v>0</v>
      </c>
      <c r="N96" t="n">
        <v>0</v>
      </c>
      <c r="O96" t="n">
        <v>3</v>
      </c>
      <c r="P96" t="n">
        <v>1</v>
      </c>
      <c r="Q96" t="n">
        <v>3</v>
      </c>
      <c r="R96" s="2" t="inlineStr">
        <is>
          <t>Tajgataggsvamp
Blanksvart spiklav
Talltita</t>
        </is>
      </c>
      <c r="S96">
        <f>HYPERLINK("https://klasma.github.io/Logging_2039/artfynd/A 41909-2022 artfynd.xlsx", "A 41909-2022")</f>
        <v/>
      </c>
      <c r="T96">
        <f>HYPERLINK("https://klasma.github.io/Logging_2039/kartor/A 41909-2022 karta.png", "A 41909-2022")</f>
        <v/>
      </c>
      <c r="V96">
        <f>HYPERLINK("https://klasma.github.io/Logging_2039/klagomål/A 41909-2022 FSC-klagomål.docx", "A 41909-2022")</f>
        <v/>
      </c>
      <c r="W96">
        <f>HYPERLINK("https://klasma.github.io/Logging_2039/klagomålsmail/A 41909-2022 FSC-klagomål mail.docx", "A 41909-2022")</f>
        <v/>
      </c>
      <c r="X96">
        <f>HYPERLINK("https://klasma.github.io/Logging_2039/tillsyn/A 41909-2022 tillsynsbegäran.docx", "A 41909-2022")</f>
        <v/>
      </c>
      <c r="Y96">
        <f>HYPERLINK("https://klasma.github.io/Logging_2039/tillsynsmail/A 41909-2022 tillsynsbegäran mail.docx", "A 41909-2022")</f>
        <v/>
      </c>
      <c r="Z96">
        <f>HYPERLINK("https://klasma.github.io/Logging_2039/fåglar/A 41909-2022 prioriterade fågelarter.docx", "A 41909-2022")</f>
        <v/>
      </c>
    </row>
    <row r="97" ht="15" customHeight="1">
      <c r="A97" t="inlineStr">
        <is>
          <t>A 41921-2022</t>
        </is>
      </c>
      <c r="B97" s="1" t="n">
        <v>44830</v>
      </c>
      <c r="C97" s="1" t="n">
        <v>45755</v>
      </c>
      <c r="D97" t="inlineStr">
        <is>
          <t>DALARNAS LÄN</t>
        </is>
      </c>
      <c r="E97" t="inlineStr">
        <is>
          <t>ÄLVDALEN</t>
        </is>
      </c>
      <c r="F97" t="inlineStr">
        <is>
          <t>Sveaskog</t>
        </is>
      </c>
      <c r="G97" t="n">
        <v>5.4</v>
      </c>
      <c r="H97" t="n">
        <v>1</v>
      </c>
      <c r="I97" t="n">
        <v>0</v>
      </c>
      <c r="J97" t="n">
        <v>3</v>
      </c>
      <c r="K97" t="n">
        <v>0</v>
      </c>
      <c r="L97" t="n">
        <v>0</v>
      </c>
      <c r="M97" t="n">
        <v>0</v>
      </c>
      <c r="N97" t="n">
        <v>0</v>
      </c>
      <c r="O97" t="n">
        <v>3</v>
      </c>
      <c r="P97" t="n">
        <v>0</v>
      </c>
      <c r="Q97" t="n">
        <v>3</v>
      </c>
      <c r="R97" s="2" t="inlineStr">
        <is>
          <t>Blågrå svartspik
Tretåig hackspett
Vedskivlav</t>
        </is>
      </c>
      <c r="S97">
        <f>HYPERLINK("https://klasma.github.io/Logging_2039/artfynd/A 41921-2022 artfynd.xlsx", "A 41921-2022")</f>
        <v/>
      </c>
      <c r="T97">
        <f>HYPERLINK("https://klasma.github.io/Logging_2039/kartor/A 41921-2022 karta.png", "A 41921-2022")</f>
        <v/>
      </c>
      <c r="V97">
        <f>HYPERLINK("https://klasma.github.io/Logging_2039/klagomål/A 41921-2022 FSC-klagomål.docx", "A 41921-2022")</f>
        <v/>
      </c>
      <c r="W97">
        <f>HYPERLINK("https://klasma.github.io/Logging_2039/klagomålsmail/A 41921-2022 FSC-klagomål mail.docx", "A 41921-2022")</f>
        <v/>
      </c>
      <c r="X97">
        <f>HYPERLINK("https://klasma.github.io/Logging_2039/tillsyn/A 41921-2022 tillsynsbegäran.docx", "A 41921-2022")</f>
        <v/>
      </c>
      <c r="Y97">
        <f>HYPERLINK("https://klasma.github.io/Logging_2039/tillsynsmail/A 41921-2022 tillsynsbegäran mail.docx", "A 41921-2022")</f>
        <v/>
      </c>
      <c r="Z97">
        <f>HYPERLINK("https://klasma.github.io/Logging_2039/fåglar/A 41921-2022 prioriterade fågelarter.docx", "A 41921-2022")</f>
        <v/>
      </c>
    </row>
    <row r="98" ht="15" customHeight="1">
      <c r="A98" t="inlineStr">
        <is>
          <t>A 41919-2022</t>
        </is>
      </c>
      <c r="B98" s="1" t="n">
        <v>44830</v>
      </c>
      <c r="C98" s="1" t="n">
        <v>45755</v>
      </c>
      <c r="D98" t="inlineStr">
        <is>
          <t>DALARNAS LÄN</t>
        </is>
      </c>
      <c r="E98" t="inlineStr">
        <is>
          <t>ÄLVDALEN</t>
        </is>
      </c>
      <c r="F98" t="inlineStr">
        <is>
          <t>Sveaskog</t>
        </is>
      </c>
      <c r="G98" t="n">
        <v>0.9</v>
      </c>
      <c r="H98" t="n">
        <v>0</v>
      </c>
      <c r="I98" t="n">
        <v>1</v>
      </c>
      <c r="J98" t="n">
        <v>1</v>
      </c>
      <c r="K98" t="n">
        <v>1</v>
      </c>
      <c r="L98" t="n">
        <v>0</v>
      </c>
      <c r="M98" t="n">
        <v>0</v>
      </c>
      <c r="N98" t="n">
        <v>0</v>
      </c>
      <c r="O98" t="n">
        <v>2</v>
      </c>
      <c r="P98" t="n">
        <v>1</v>
      </c>
      <c r="Q98" t="n">
        <v>3</v>
      </c>
      <c r="R98" s="2" t="inlineStr">
        <is>
          <t>Gräddporing
Blanksvart spiklav
Vedticka</t>
        </is>
      </c>
      <c r="S98">
        <f>HYPERLINK("https://klasma.github.io/Logging_2039/artfynd/A 41919-2022 artfynd.xlsx", "A 41919-2022")</f>
        <v/>
      </c>
      <c r="T98">
        <f>HYPERLINK("https://klasma.github.io/Logging_2039/kartor/A 41919-2022 karta.png", "A 41919-2022")</f>
        <v/>
      </c>
      <c r="V98">
        <f>HYPERLINK("https://klasma.github.io/Logging_2039/klagomål/A 41919-2022 FSC-klagomål.docx", "A 41919-2022")</f>
        <v/>
      </c>
      <c r="W98">
        <f>HYPERLINK("https://klasma.github.io/Logging_2039/klagomålsmail/A 41919-2022 FSC-klagomål mail.docx", "A 41919-2022")</f>
        <v/>
      </c>
      <c r="X98">
        <f>HYPERLINK("https://klasma.github.io/Logging_2039/tillsyn/A 41919-2022 tillsynsbegäran.docx", "A 41919-2022")</f>
        <v/>
      </c>
      <c r="Y98">
        <f>HYPERLINK("https://klasma.github.io/Logging_2039/tillsynsmail/A 41919-2022 tillsynsbegäran mail.docx", "A 41919-2022")</f>
        <v/>
      </c>
    </row>
    <row r="99" ht="15" customHeight="1">
      <c r="A99" t="inlineStr">
        <is>
          <t>A 5476-2023</t>
        </is>
      </c>
      <c r="B99" s="1" t="n">
        <v>44960</v>
      </c>
      <c r="C99" s="1" t="n">
        <v>45755</v>
      </c>
      <c r="D99" t="inlineStr">
        <is>
          <t>DALARNAS LÄN</t>
        </is>
      </c>
      <c r="E99" t="inlineStr">
        <is>
          <t>ÄLVDALEN</t>
        </is>
      </c>
      <c r="F99" t="inlineStr">
        <is>
          <t>Allmännings- och besparingsskogar</t>
        </is>
      </c>
      <c r="G99" t="n">
        <v>2.2</v>
      </c>
      <c r="H99" t="n">
        <v>0</v>
      </c>
      <c r="I99" t="n">
        <v>1</v>
      </c>
      <c r="J99" t="n">
        <v>2</v>
      </c>
      <c r="K99" t="n">
        <v>0</v>
      </c>
      <c r="L99" t="n">
        <v>0</v>
      </c>
      <c r="M99" t="n">
        <v>0</v>
      </c>
      <c r="N99" t="n">
        <v>0</v>
      </c>
      <c r="O99" t="n">
        <v>2</v>
      </c>
      <c r="P99" t="n">
        <v>0</v>
      </c>
      <c r="Q99" t="n">
        <v>3</v>
      </c>
      <c r="R99" s="2" t="inlineStr">
        <is>
          <t>Blågrå svartspik
Kolflarnlav
Dropptaggsvamp</t>
        </is>
      </c>
      <c r="S99">
        <f>HYPERLINK("https://klasma.github.io/Logging_2039/artfynd/A 5476-2023 artfynd.xlsx", "A 5476-2023")</f>
        <v/>
      </c>
      <c r="T99">
        <f>HYPERLINK("https://klasma.github.io/Logging_2039/kartor/A 5476-2023 karta.png", "A 5476-2023")</f>
        <v/>
      </c>
      <c r="V99">
        <f>HYPERLINK("https://klasma.github.io/Logging_2039/klagomål/A 5476-2023 FSC-klagomål.docx", "A 5476-2023")</f>
        <v/>
      </c>
      <c r="W99">
        <f>HYPERLINK("https://klasma.github.io/Logging_2039/klagomålsmail/A 5476-2023 FSC-klagomål mail.docx", "A 5476-2023")</f>
        <v/>
      </c>
      <c r="X99">
        <f>HYPERLINK("https://klasma.github.io/Logging_2039/tillsyn/A 5476-2023 tillsynsbegäran.docx", "A 5476-2023")</f>
        <v/>
      </c>
      <c r="Y99">
        <f>HYPERLINK("https://klasma.github.io/Logging_2039/tillsynsmail/A 5476-2023 tillsynsbegäran mail.docx", "A 5476-2023")</f>
        <v/>
      </c>
    </row>
    <row r="100" ht="15" customHeight="1">
      <c r="A100" t="inlineStr">
        <is>
          <t>A 28848-2023</t>
        </is>
      </c>
      <c r="B100" s="1" t="n">
        <v>45104</v>
      </c>
      <c r="C100" s="1" t="n">
        <v>45755</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45755</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45755</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45755</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45755</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45755</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45755</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45755</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45755</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45755</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45755</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45755</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45755</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45755</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45755</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45755</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45755</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45755</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45755</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45755</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45755</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45755</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45755</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45755</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45755</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45755</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45755</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45755</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45755</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45755</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45755</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45755</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45755</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45755</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45755</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45755</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45755</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45755</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45755</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45755</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45755</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45755</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45755</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45755</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45755</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45755</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45755</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45755</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45755</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45755</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45755</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45755</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45755</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45755</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45755</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45755</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45755</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45755</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45755</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45755</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45755</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45755</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45755</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45755</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45755</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45755</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45755</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45755</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45755</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45755</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45755</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45755</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45755</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45755</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45755</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45755</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45755</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45755</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45755</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45755</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45755</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45755</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45755</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45755</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45755</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45755</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45755</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45755</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45755</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45755</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45755</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45755</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45755</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45755</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45755</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45755</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45755</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45755</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45755</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45755</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45755</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45755</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45755</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45755</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45755</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45755</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45755</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45755</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45755</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45755</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45755</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45755</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45755</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45755</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45755</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45755</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45755</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45755</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45755</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45755</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45755</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45755</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45755</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45755</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45755</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45755</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45755</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45755</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45755</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45755</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45755</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45755</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45755</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45755</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45755</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45755</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45755</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45755</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45755</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45755</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45755</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45755</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45755</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45755</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45755</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45755</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45755</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45755</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45755</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45755</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45755</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45755</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45755</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45755</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45755</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45755</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45755</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45755</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45755</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45755</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45755</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45755</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45755</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45755</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45755</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45755</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45755</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45755</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45755</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45755</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45755</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45755</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45755</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45755</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45755</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45755</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45755</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45755</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45755</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45755</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45755</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45755</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45755</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45755</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45755</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45755</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45755</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45755</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45755</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45755</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45755</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45755</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45755</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45755</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45755</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45755</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45755</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45755</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45755</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45755</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45755</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45755</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45755</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45755</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45755</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45755</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45755</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45755</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45755</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45755</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45755</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45755</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45755</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45755</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45755</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45755</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45755</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45755</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45755</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45755</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45755</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45755</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45755</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45755</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45755</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45755</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45755</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45755</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45755</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45755</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45755</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45755</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45755</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45755</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45755</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45755</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45755</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45755</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45755</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45755</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45755</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45755</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45755</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45755</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45755</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45755</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45755</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45755</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45755</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45755</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45755</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45755</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45755</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45755</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45755</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45755</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45755</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45755</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45755</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45755</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45755</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45755</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45755</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45755</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45755</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45755</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45755</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45755</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45755</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45755</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45755</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45755</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45755</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45755</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45755</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45755</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45755</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45755</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45755</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45755</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45755</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45755</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45755</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45755</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45755</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45755</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45755</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45755</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45755</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45755</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45755</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45755</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45755</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45755</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45755</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45755</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45755</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45755</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45755</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45755</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45755</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45755</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45755</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45755</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45755</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45755</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45755</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45755</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45755</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45755</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45755</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45755</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45755</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45755</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45755</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45755</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45755</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45755</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45755</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45755</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45755</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45755</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45755</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45755</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45755</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45755</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45755</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45755</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45755</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45755</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45755</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45755</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45755</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45755</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45755</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45755</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45755</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45755</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45755</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45755</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45755</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45755</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45755</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45755</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45755</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45755</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45755</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45755</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45755</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45755</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45755</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45755</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45755</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45755</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45755</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45755</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45755</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45755</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45755</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45755</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45755</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45755</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45755</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45755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45755</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45755</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45755</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45755</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45755</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45755</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45755</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45755</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45755</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45755</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45755</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45755</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45755</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45755</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45755</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45755</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45755</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45755</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45755</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45755</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45755</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45755</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45755</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45755</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45755</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45755</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45755</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45755</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45755</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45755</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45755</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45755</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45755</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45755</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45755</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45755</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45755</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45755</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45755</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45755</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45755</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45755</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45755</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45755</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45755</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45755</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45755</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45755</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45755</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45755</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45755</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45755</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45755</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45755</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45755</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45755</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45755</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45755</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45755</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45755</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45755</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45755</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45755</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45755</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45755</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45755</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45755</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45755</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45755</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45755</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45755</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45755</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45755</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45755</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45755</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45755</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45755</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45755</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45755</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45755</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45755</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45755</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45755</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45755</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45755</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45755</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45755</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45755</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45755</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45755</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45755</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45755</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45755</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45755</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45755</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45755</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45755</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45755</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45755</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45755</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45755</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45755</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45755</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45755</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45755</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45755</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45755</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45755</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45755</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45755</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45755</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45755</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45755</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45755</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45755</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45755</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45755</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45755</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45755</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45755</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45755</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45755</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45755</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45755</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45755</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45755</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45755</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45755</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45755</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45755</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45755</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45755</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45755</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45755</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45755</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45755</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45755</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45755</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45755</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45755</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45755</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45755</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45755</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45755</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45755</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45755</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45755</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45755</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45755</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45755</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45755</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45755</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45755</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45755</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45755</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45755</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45755</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45755</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45755</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45755</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45755</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45755</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45755</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45755</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45755</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45755</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45755</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45755</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45755</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45755</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45755</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45755</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45755</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45755</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45755</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45755</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45755</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45755</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45755</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45755</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45755</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45755</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45755</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45755</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45755</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45755</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45755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45755</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45755</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45755</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45755</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45755</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45755</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45755</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45755</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45755</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45755</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45755</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45755</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45755</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45755</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45755</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45755</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45755</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45755</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45755</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45755</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45755</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45755</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45755</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45755</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45755</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45755</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45755</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45755</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45755</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45755</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45755</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45755</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45755</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45755</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45755</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45755</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45755</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45755</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45755</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45755</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45755</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45755</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45755</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45755</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45755</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45755</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45755</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45755</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45755</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45755</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45755</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45755</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45755</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45755</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45755</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45755</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45755</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45755</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45755</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45755</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45755</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45755</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45755</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45755</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45755</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45755</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45755</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45755</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45755</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45755</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45755</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45755</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45755</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45755</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45755</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45755</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45755</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45755</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45755</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45755</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45755</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45755</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45755</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45755</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45755</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45755</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45755</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45755</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45755</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45755</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45755</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45755</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45755</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45755</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45755</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45755</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45755</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45755</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45755</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45755</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45755</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45755</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45755</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45755</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45755</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45755</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45755</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45755</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45755</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45755</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45755</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45755</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45755</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45755</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45755</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45755</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45755</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45755</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45755</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45755</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45755</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45755</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45755</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45755</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45755</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45755</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45755</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45755</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45755</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45755</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45755</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45755</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45755</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45755</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45755</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45755</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45755</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45755</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45755</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45755</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45755</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45755</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45755</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45755</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45755</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45755</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45755</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45755</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45755</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45755</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45755</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45755</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45755</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45755</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45755</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45755</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45755</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45755</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45755</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45755</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45755</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45755</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45755</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45755</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45755</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45755</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45755</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45755</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45755</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45755</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45755</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45755</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45755</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45755</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45755</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45755</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45755</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45755</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45755</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45755</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45755</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45755</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45755</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45755</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45755</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45755</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45755</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45755</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45755</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45755</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45755</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45755</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45755</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45755</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45755</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45755</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45755</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45755</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45755</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45755</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45755</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45755</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45755</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45755</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45755</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45755</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45755</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45755</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45755</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45755</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45755</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45755</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45755</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45755</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45755</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45755</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45755</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45755</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45755</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45755</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45755</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45755</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45755</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45755</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45755</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45755</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45755</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45755</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45755</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45755</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45755</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45755</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45755</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45755</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45755</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45755</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45755</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45755</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45755</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45755</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45755</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45755</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45755</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45755</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45755</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45755</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45755</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45755</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45755</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45755</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45755</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45755</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45755</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45755</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45755</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45755</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45755</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45755</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45755</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45755</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45755</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45755</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45755</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45755</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45755</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45755</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45755</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45755</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45755</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45755</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45755</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45755</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45755</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45755</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45755</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45755</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45755</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45755</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45755</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45755</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45755</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45755</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45755</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45755</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45755</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45755</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45755</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45755</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45755</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45755</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45755</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45755</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45755</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45755</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45755</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45755</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45755</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45755</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45755</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45755</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45755</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45755</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45755</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45755</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45755</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45755</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45755</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45755</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45755</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45755</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45755</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45755</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45755</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45755</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45755</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45755</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45755</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45755</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45755</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45755</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45755</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45755</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45755</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45755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45755</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45755</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45755</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45755</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45755</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45755</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45755</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45755</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45755</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45755</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45755</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45755</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45755</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45755</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45755</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45755</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45755</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45755</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45755</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45755</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45755</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45755</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45755</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45755</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45755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45755</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45755</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45755</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45755</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45755</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45755</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45755</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45755</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45755</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45755</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45755</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45755</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45755</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45755</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45755</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45755</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45755</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45755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45755</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45755</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45755</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45755</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45755</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45755</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45755</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45755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45755</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45755</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45755</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45755</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45755</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45755</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45755</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45755</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45755</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45755</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45755</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45755</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45755</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45755</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45755</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45755</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45755</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45755</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45755</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45755</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45755</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45755</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15738-2025</t>
        </is>
      </c>
      <c r="B1048" s="1" t="n">
        <v>45748</v>
      </c>
      <c r="C1048" s="1" t="n">
        <v>45755</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row r="1049">
      <c r="A1049" t="inlineStr">
        <is>
          <t>A 16746-2025</t>
        </is>
      </c>
      <c r="B1049" s="1" t="n">
        <v>45754</v>
      </c>
      <c r="C1049" s="1" t="n">
        <v>45755</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2025-04-08T16:42:25Z</dcterms:created>
  <dcterms:modified xmlns:dcterms="http://purl.org/dc/terms/" xmlns:xsi="http://www.w3.org/2001/XMLSchema-instance" xsi:type="dcterms:W3CDTF">2025-04-08T16:42:26Z</dcterms:modified>
</cp:coreProperties>
</file>