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45880</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45880</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45880</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45880</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26140-2025</t>
        </is>
      </c>
      <c r="B6" s="1" t="n">
        <v>45805.42238425926</v>
      </c>
      <c r="C6" s="1" t="n">
        <v>45880</v>
      </c>
      <c r="D6" t="inlineStr">
        <is>
          <t>DALARNAS LÄN</t>
        </is>
      </c>
      <c r="E6" t="inlineStr">
        <is>
          <t>ÄLVDALEN</t>
        </is>
      </c>
      <c r="F6" t="inlineStr">
        <is>
          <t>Allmännings- och besparingsskogar</t>
        </is>
      </c>
      <c r="G6" t="n">
        <v>36</v>
      </c>
      <c r="H6" t="n">
        <v>8</v>
      </c>
      <c r="I6" t="n">
        <v>3</v>
      </c>
      <c r="J6" t="n">
        <v>15</v>
      </c>
      <c r="K6" t="n">
        <v>1</v>
      </c>
      <c r="L6" t="n">
        <v>0</v>
      </c>
      <c r="M6" t="n">
        <v>0</v>
      </c>
      <c r="N6" t="n">
        <v>0</v>
      </c>
      <c r="O6" t="n">
        <v>16</v>
      </c>
      <c r="P6" t="n">
        <v>1</v>
      </c>
      <c r="Q6" t="n">
        <v>21</v>
      </c>
      <c r="R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6">
        <f>HYPERLINK("https://klasma.github.io/Logging_2039/artfynd/A 26140-2025 artfynd.xlsx", "A 26140-2025")</f>
        <v/>
      </c>
      <c r="T6">
        <f>HYPERLINK("https://klasma.github.io/Logging_2039/kartor/A 26140-2025 karta.png", "A 26140-2025")</f>
        <v/>
      </c>
      <c r="V6">
        <f>HYPERLINK("https://klasma.github.io/Logging_2039/klagomål/A 26140-2025 FSC-klagomål.docx", "A 26140-2025")</f>
        <v/>
      </c>
      <c r="W6">
        <f>HYPERLINK("https://klasma.github.io/Logging_2039/klagomålsmail/A 26140-2025 FSC-klagomål mail.docx", "A 26140-2025")</f>
        <v/>
      </c>
      <c r="X6">
        <f>HYPERLINK("https://klasma.github.io/Logging_2039/tillsyn/A 26140-2025 tillsynsbegäran.docx", "A 26140-2025")</f>
        <v/>
      </c>
      <c r="Y6">
        <f>HYPERLINK("https://klasma.github.io/Logging_2039/tillsynsmail/A 26140-2025 tillsynsbegäran mail.docx", "A 26140-2025")</f>
        <v/>
      </c>
      <c r="Z6">
        <f>HYPERLINK("https://klasma.github.io/Logging_2039/fåglar/A 26140-2025 prioriterade fågelarter.docx", "A 26140-2025")</f>
        <v/>
      </c>
    </row>
    <row r="7" ht="15" customHeight="1">
      <c r="A7" t="inlineStr">
        <is>
          <t>A 6679-2025</t>
        </is>
      </c>
      <c r="B7" s="1" t="n">
        <v>45700</v>
      </c>
      <c r="C7" s="1" t="n">
        <v>45880</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29779-2025</t>
        </is>
      </c>
      <c r="B8" s="1" t="n">
        <v>45825.64402777778</v>
      </c>
      <c r="C8" s="1" t="n">
        <v>45880</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34215-2024</t>
        </is>
      </c>
      <c r="B9" s="1" t="n">
        <v>45524</v>
      </c>
      <c r="C9" s="1" t="n">
        <v>45880</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45880</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45880</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45880</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30238-2023</t>
        </is>
      </c>
      <c r="B13" s="1" t="n">
        <v>45110.65965277778</v>
      </c>
      <c r="C13" s="1" t="n">
        <v>45880</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63895-2023</t>
        </is>
      </c>
      <c r="B14" s="1" t="n">
        <v>45278</v>
      </c>
      <c r="C14" s="1" t="n">
        <v>45880</v>
      </c>
      <c r="D14" t="inlineStr">
        <is>
          <t>DALARNAS LÄN</t>
        </is>
      </c>
      <c r="E14" t="inlineStr">
        <is>
          <t>ÄLVDALEN</t>
        </is>
      </c>
      <c r="F14" t="inlineStr">
        <is>
          <t>Sveaskog</t>
        </is>
      </c>
      <c r="G14" t="n">
        <v>13.4</v>
      </c>
      <c r="H14" t="n">
        <v>2</v>
      </c>
      <c r="I14" t="n">
        <v>1</v>
      </c>
      <c r="J14" t="n">
        <v>9</v>
      </c>
      <c r="K14" t="n">
        <v>6</v>
      </c>
      <c r="L14" t="n">
        <v>0</v>
      </c>
      <c r="M14" t="n">
        <v>0</v>
      </c>
      <c r="N14" t="n">
        <v>0</v>
      </c>
      <c r="O14" t="n">
        <v>15</v>
      </c>
      <c r="P14" t="n">
        <v>6</v>
      </c>
      <c r="Q14" t="n">
        <v>16</v>
      </c>
      <c r="R14" s="2" t="inlineStr">
        <is>
          <t>Fläckporing
Goliatmusseron
Gräddporing
Laxgröppa
Smalfotad taggsvamp
Spadskinn
Blanksvart spiklav
Blå taggsvamp
Kolflarnlav
Mörk kolflarnlav
Nordtagging
Orange taggsvamp
Varglav
Vedskivlav
Vitplätt
Plattlummer</t>
        </is>
      </c>
      <c r="S14">
        <f>HYPERLINK("https://klasma.github.io/Logging_2039/artfynd/A 63895-2023 artfynd.xlsx", "A 63895-2023")</f>
        <v/>
      </c>
      <c r="T14">
        <f>HYPERLINK("https://klasma.github.io/Logging_2039/kartor/A 63895-2023 karta.png", "A 63895-2023")</f>
        <v/>
      </c>
      <c r="V14">
        <f>HYPERLINK("https://klasma.github.io/Logging_2039/klagomål/A 63895-2023 FSC-klagomål.docx", "A 63895-2023")</f>
        <v/>
      </c>
      <c r="W14">
        <f>HYPERLINK("https://klasma.github.io/Logging_2039/klagomålsmail/A 63895-2023 FSC-klagomål mail.docx", "A 63895-2023")</f>
        <v/>
      </c>
      <c r="X14">
        <f>HYPERLINK("https://klasma.github.io/Logging_2039/tillsyn/A 63895-2023 tillsynsbegäran.docx", "A 63895-2023")</f>
        <v/>
      </c>
      <c r="Y14">
        <f>HYPERLINK("https://klasma.github.io/Logging_2039/tillsynsmail/A 63895-2023 tillsynsbegäran mail.docx", "A 63895-2023")</f>
        <v/>
      </c>
    </row>
    <row r="15" ht="15" customHeight="1">
      <c r="A15" t="inlineStr">
        <is>
          <t>A 19109-2023</t>
        </is>
      </c>
      <c r="B15" s="1" t="n">
        <v>45044</v>
      </c>
      <c r="C15" s="1" t="n">
        <v>45880</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31037-2023</t>
        </is>
      </c>
      <c r="B16" s="1" t="n">
        <v>45113</v>
      </c>
      <c r="C16" s="1" t="n">
        <v>45880</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33285-2025</t>
        </is>
      </c>
      <c r="B17" s="1" t="n">
        <v>45840</v>
      </c>
      <c r="C17" s="1" t="n">
        <v>45880</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30028-2025</t>
        </is>
      </c>
      <c r="B18" s="1" t="n">
        <v>45826.56666666667</v>
      </c>
      <c r="C18" s="1" t="n">
        <v>45880</v>
      </c>
      <c r="D18" t="inlineStr">
        <is>
          <t>DALARNAS LÄN</t>
        </is>
      </c>
      <c r="E18" t="inlineStr">
        <is>
          <t>ÄLVDALEN</t>
        </is>
      </c>
      <c r="F18" t="inlineStr">
        <is>
          <t>Allmännings- och besparingsskogar</t>
        </is>
      </c>
      <c r="G18" t="n">
        <v>20.1</v>
      </c>
      <c r="H18" t="n">
        <v>9</v>
      </c>
      <c r="I18" t="n">
        <v>1</v>
      </c>
      <c r="J18" t="n">
        <v>8</v>
      </c>
      <c r="K18" t="n">
        <v>0</v>
      </c>
      <c r="L18" t="n">
        <v>1</v>
      </c>
      <c r="M18" t="n">
        <v>0</v>
      </c>
      <c r="N18" t="n">
        <v>0</v>
      </c>
      <c r="O18" t="n">
        <v>9</v>
      </c>
      <c r="P18" t="n">
        <v>1</v>
      </c>
      <c r="Q18" t="n">
        <v>14</v>
      </c>
      <c r="R18" s="2" t="inlineStr">
        <is>
          <t>Mosippa
Garnlav
Järpe
Kolflarnlav
Mörk kolflarnlav
Spillkråka
Talltita
Vedflamlav
Vedskivlav
Plattlummer
Tjäder
Fläcknycklar
Nattviol
Revlummer</t>
        </is>
      </c>
      <c r="S18">
        <f>HYPERLINK("https://klasma.github.io/Logging_2039/artfynd/A 30028-2025 artfynd.xlsx", "A 30028-2025")</f>
        <v/>
      </c>
      <c r="T18">
        <f>HYPERLINK("https://klasma.github.io/Logging_2039/kartor/A 30028-2025 karta.png", "A 30028-2025")</f>
        <v/>
      </c>
      <c r="V18">
        <f>HYPERLINK("https://klasma.github.io/Logging_2039/klagomål/A 30028-2025 FSC-klagomål.docx", "A 30028-2025")</f>
        <v/>
      </c>
      <c r="W18">
        <f>HYPERLINK("https://klasma.github.io/Logging_2039/klagomålsmail/A 30028-2025 FSC-klagomål mail.docx", "A 30028-2025")</f>
        <v/>
      </c>
      <c r="X18">
        <f>HYPERLINK("https://klasma.github.io/Logging_2039/tillsyn/A 30028-2025 tillsynsbegäran.docx", "A 30028-2025")</f>
        <v/>
      </c>
      <c r="Y18">
        <f>HYPERLINK("https://klasma.github.io/Logging_2039/tillsynsmail/A 30028-2025 tillsynsbegäran mail.docx", "A 30028-2025")</f>
        <v/>
      </c>
      <c r="Z18">
        <f>HYPERLINK("https://klasma.github.io/Logging_2039/fåglar/A 30028-2025 prioriterade fågelarter.docx", "A 30028-2025")</f>
        <v/>
      </c>
    </row>
    <row r="19" ht="15" customHeight="1">
      <c r="A19" t="inlineStr">
        <is>
          <t>A 28823-2023</t>
        </is>
      </c>
      <c r="B19" s="1" t="n">
        <v>45104.38712962963</v>
      </c>
      <c r="C19" s="1" t="n">
        <v>45880</v>
      </c>
      <c r="D19" t="inlineStr">
        <is>
          <t>DALARNAS LÄN</t>
        </is>
      </c>
      <c r="E19" t="inlineStr">
        <is>
          <t>ÄLVDALEN</t>
        </is>
      </c>
      <c r="F19" t="inlineStr">
        <is>
          <t>Sveaskog</t>
        </is>
      </c>
      <c r="G19" t="n">
        <v>9.800000000000001</v>
      </c>
      <c r="H19" t="n">
        <v>3</v>
      </c>
      <c r="I19" t="n">
        <v>3</v>
      </c>
      <c r="J19" t="n">
        <v>10</v>
      </c>
      <c r="K19" t="n">
        <v>1</v>
      </c>
      <c r="L19" t="n">
        <v>0</v>
      </c>
      <c r="M19" t="n">
        <v>0</v>
      </c>
      <c r="N19" t="n">
        <v>0</v>
      </c>
      <c r="O19" t="n">
        <v>11</v>
      </c>
      <c r="P19" t="n">
        <v>1</v>
      </c>
      <c r="Q19" t="n">
        <v>14</v>
      </c>
      <c r="R19" s="2" t="inlineStr">
        <is>
          <t>Fläckporing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33548-2023</t>
        </is>
      </c>
      <c r="B20" s="1" t="n">
        <v>45118</v>
      </c>
      <c r="C20" s="1" t="n">
        <v>45880</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69728-2021</t>
        </is>
      </c>
      <c r="B21" s="1" t="n">
        <v>44532</v>
      </c>
      <c r="C21" s="1" t="n">
        <v>45880</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5813-2025</t>
        </is>
      </c>
      <c r="B22" s="1" t="n">
        <v>45694</v>
      </c>
      <c r="C22" s="1" t="n">
        <v>45880</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32048-2025</t>
        </is>
      </c>
      <c r="B23" s="1" t="n">
        <v>45835.44097222222</v>
      </c>
      <c r="C23" s="1" t="n">
        <v>45880</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29154-2025</t>
        </is>
      </c>
      <c r="B24" s="1" t="n">
        <v>45821.65135416666</v>
      </c>
      <c r="C24" s="1" t="n">
        <v>45880</v>
      </c>
      <c r="D24" t="inlineStr">
        <is>
          <t>DALARNAS LÄN</t>
        </is>
      </c>
      <c r="E24" t="inlineStr">
        <is>
          <t>ÄLVDALEN</t>
        </is>
      </c>
      <c r="F24" t="inlineStr">
        <is>
          <t>Allmännings- och besparingsskogar</t>
        </is>
      </c>
      <c r="G24" t="n">
        <v>32.2</v>
      </c>
      <c r="H24" t="n">
        <v>4</v>
      </c>
      <c r="I24" t="n">
        <v>0</v>
      </c>
      <c r="J24" t="n">
        <v>8</v>
      </c>
      <c r="K24" t="n">
        <v>0</v>
      </c>
      <c r="L24" t="n">
        <v>0</v>
      </c>
      <c r="M24" t="n">
        <v>0</v>
      </c>
      <c r="N24" t="n">
        <v>0</v>
      </c>
      <c r="O24" t="n">
        <v>8</v>
      </c>
      <c r="P24" t="n">
        <v>0</v>
      </c>
      <c r="Q24" t="n">
        <v>11</v>
      </c>
      <c r="R24" s="2" t="inlineStr">
        <is>
          <t>Garnlav
Kolflarnlav
Mörk kolflarnlav
Spillkråka
Tallticka
Vedflamlav
Vedskivlav
Vitgrynig nållav
Kungsfågel
Vanlig groda
Fläcknycklar</t>
        </is>
      </c>
      <c r="S24">
        <f>HYPERLINK("https://klasma.github.io/Logging_2039/artfynd/A 29154-2025 artfynd.xlsx", "A 29154-2025")</f>
        <v/>
      </c>
      <c r="T24">
        <f>HYPERLINK("https://klasma.github.io/Logging_2039/kartor/A 29154-2025 karta.png", "A 29154-2025")</f>
        <v/>
      </c>
      <c r="V24">
        <f>HYPERLINK("https://klasma.github.io/Logging_2039/klagomål/A 29154-2025 FSC-klagomål.docx", "A 29154-2025")</f>
        <v/>
      </c>
      <c r="W24">
        <f>HYPERLINK("https://klasma.github.io/Logging_2039/klagomålsmail/A 29154-2025 FSC-klagomål mail.docx", "A 29154-2025")</f>
        <v/>
      </c>
      <c r="X24">
        <f>HYPERLINK("https://klasma.github.io/Logging_2039/tillsyn/A 29154-2025 tillsynsbegäran.docx", "A 29154-2025")</f>
        <v/>
      </c>
      <c r="Y24">
        <f>HYPERLINK("https://klasma.github.io/Logging_2039/tillsynsmail/A 29154-2025 tillsynsbegäran mail.docx", "A 29154-2025")</f>
        <v/>
      </c>
      <c r="Z24">
        <f>HYPERLINK("https://klasma.github.io/Logging_2039/fåglar/A 29154-2025 prioriterade fågelarter.docx", "A 29154-2025")</f>
        <v/>
      </c>
    </row>
    <row r="25" ht="15" customHeight="1">
      <c r="A25" t="inlineStr">
        <is>
          <t>A 38364-2021</t>
        </is>
      </c>
      <c r="B25" s="1" t="n">
        <v>44406</v>
      </c>
      <c r="C25" s="1" t="n">
        <v>45880</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45880</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45880</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34765-2025</t>
        </is>
      </c>
      <c r="B28" s="1" t="n">
        <v>45848</v>
      </c>
      <c r="C28" s="1" t="n">
        <v>45880</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30220-2023</t>
        </is>
      </c>
      <c r="B29" s="1" t="n">
        <v>45110.64706018518</v>
      </c>
      <c r="C29" s="1" t="n">
        <v>45880</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31658-2025</t>
        </is>
      </c>
      <c r="B30" s="1" t="n">
        <v>45834.34892361111</v>
      </c>
      <c r="C30" s="1" t="n">
        <v>45880</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66637-2021</t>
        </is>
      </c>
      <c r="B31" s="1" t="n">
        <v>44519</v>
      </c>
      <c r="C31" s="1" t="n">
        <v>45880</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38582-2023</t>
        </is>
      </c>
      <c r="B32" s="1" t="n">
        <v>45162</v>
      </c>
      <c r="C32" s="1" t="n">
        <v>45880</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33487-2025</t>
        </is>
      </c>
      <c r="B33" s="1" t="n">
        <v>45841.50515046297</v>
      </c>
      <c r="C33" s="1" t="n">
        <v>45880</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41913-2022</t>
        </is>
      </c>
      <c r="B34" s="1" t="n">
        <v>44830</v>
      </c>
      <c r="C34" s="1" t="n">
        <v>45880</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17715-2024</t>
        </is>
      </c>
      <c r="B35" s="1" t="n">
        <v>45415</v>
      </c>
      <c r="C35" s="1" t="n">
        <v>45880</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9783-2024</t>
        </is>
      </c>
      <c r="B36" s="1" t="n">
        <v>45362</v>
      </c>
      <c r="C36" s="1" t="n">
        <v>45880</v>
      </c>
      <c r="D36" t="inlineStr">
        <is>
          <t>DALARNAS LÄN</t>
        </is>
      </c>
      <c r="E36" t="inlineStr">
        <is>
          <t>ÄLVDALEN</t>
        </is>
      </c>
      <c r="F36" t="inlineStr">
        <is>
          <t>Övriga statliga verk och myndigheter</t>
        </is>
      </c>
      <c r="G36" t="n">
        <v>7</v>
      </c>
      <c r="H36" t="n">
        <v>0</v>
      </c>
      <c r="I36" t="n">
        <v>1</v>
      </c>
      <c r="J36" t="n">
        <v>6</v>
      </c>
      <c r="K36" t="n">
        <v>0</v>
      </c>
      <c r="L36" t="n">
        <v>0</v>
      </c>
      <c r="M36" t="n">
        <v>0</v>
      </c>
      <c r="N36" t="n">
        <v>0</v>
      </c>
      <c r="O36" t="n">
        <v>6</v>
      </c>
      <c r="P36" t="n">
        <v>0</v>
      </c>
      <c r="Q36" t="n">
        <v>7</v>
      </c>
      <c r="R36" s="2" t="inlineStr">
        <is>
          <t>Blanksvart spiklav
Blågrå svartspik
Kolflarnlav
Mörk kolflarnlav
Vedflamlav
Vedskivlav
Dropptaggsvamp</t>
        </is>
      </c>
      <c r="S36">
        <f>HYPERLINK("https://klasma.github.io/Logging_2039/artfynd/A 9783-2024 artfynd.xlsx", "A 9783-2024")</f>
        <v/>
      </c>
      <c r="T36">
        <f>HYPERLINK("https://klasma.github.io/Logging_2039/kartor/A 9783-2024 karta.png", "A 9783-2024")</f>
        <v/>
      </c>
      <c r="V36">
        <f>HYPERLINK("https://klasma.github.io/Logging_2039/klagomål/A 9783-2024 FSC-klagomål.docx", "A 9783-2024")</f>
        <v/>
      </c>
      <c r="W36">
        <f>HYPERLINK("https://klasma.github.io/Logging_2039/klagomålsmail/A 9783-2024 FSC-klagomål mail.docx", "A 9783-2024")</f>
        <v/>
      </c>
      <c r="X36">
        <f>HYPERLINK("https://klasma.github.io/Logging_2039/tillsyn/A 9783-2024 tillsynsbegäran.docx", "A 9783-2024")</f>
        <v/>
      </c>
      <c r="Y36">
        <f>HYPERLINK("https://klasma.github.io/Logging_2039/tillsynsmail/A 9783-2024 tillsynsbegäran mail.docx", "A 9783-2024")</f>
        <v/>
      </c>
    </row>
    <row r="37" ht="15" customHeight="1">
      <c r="A37" t="inlineStr">
        <is>
          <t>A 33882-2024</t>
        </is>
      </c>
      <c r="B37" s="1" t="n">
        <v>45522</v>
      </c>
      <c r="C37" s="1" t="n">
        <v>45880</v>
      </c>
      <c r="D37" t="inlineStr">
        <is>
          <t>DALARNAS LÄN</t>
        </is>
      </c>
      <c r="E37" t="inlineStr">
        <is>
          <t>ÄLVDALEN</t>
        </is>
      </c>
      <c r="G37" t="n">
        <v>53.8</v>
      </c>
      <c r="H37" t="n">
        <v>3</v>
      </c>
      <c r="I37" t="n">
        <v>1</v>
      </c>
      <c r="J37" t="n">
        <v>5</v>
      </c>
      <c r="K37" t="n">
        <v>0</v>
      </c>
      <c r="L37" t="n">
        <v>0</v>
      </c>
      <c r="M37" t="n">
        <v>0</v>
      </c>
      <c r="N37" t="n">
        <v>0</v>
      </c>
      <c r="O37" t="n">
        <v>5</v>
      </c>
      <c r="P37" t="n">
        <v>0</v>
      </c>
      <c r="Q37" t="n">
        <v>7</v>
      </c>
      <c r="R37" s="2" t="inlineStr">
        <is>
          <t>Garnlav
Granticka
Skrovellav
Tretåig hackspett
Vitplätt
Spindelblomster
Lavskrika</t>
        </is>
      </c>
      <c r="S37">
        <f>HYPERLINK("https://klasma.github.io/Logging_2039/artfynd/A 33882-2024 artfynd.xlsx", "A 33882-2024")</f>
        <v/>
      </c>
      <c r="T37">
        <f>HYPERLINK("https://klasma.github.io/Logging_2039/kartor/A 33882-2024 karta.png", "A 33882-2024")</f>
        <v/>
      </c>
      <c r="V37">
        <f>HYPERLINK("https://klasma.github.io/Logging_2039/klagomål/A 33882-2024 FSC-klagomål.docx", "A 33882-2024")</f>
        <v/>
      </c>
      <c r="W37">
        <f>HYPERLINK("https://klasma.github.io/Logging_2039/klagomålsmail/A 33882-2024 FSC-klagomål mail.docx", "A 33882-2024")</f>
        <v/>
      </c>
      <c r="X37">
        <f>HYPERLINK("https://klasma.github.io/Logging_2039/tillsyn/A 33882-2024 tillsynsbegäran.docx", "A 33882-2024")</f>
        <v/>
      </c>
      <c r="Y37">
        <f>HYPERLINK("https://klasma.github.io/Logging_2039/tillsynsmail/A 33882-2024 tillsynsbegäran mail.docx", "A 33882-2024")</f>
        <v/>
      </c>
      <c r="Z37">
        <f>HYPERLINK("https://klasma.github.io/Logging_2039/fåglar/A 33882-2024 prioriterade fågelarter.docx", "A 33882-2024")</f>
        <v/>
      </c>
    </row>
    <row r="38" ht="15" customHeight="1">
      <c r="A38" t="inlineStr">
        <is>
          <t>A 23427-2025</t>
        </is>
      </c>
      <c r="B38" s="1" t="n">
        <v>45792</v>
      </c>
      <c r="C38" s="1" t="n">
        <v>45880</v>
      </c>
      <c r="D38" t="inlineStr">
        <is>
          <t>DALARNAS LÄN</t>
        </is>
      </c>
      <c r="E38" t="inlineStr">
        <is>
          <t>ÄLVDALEN</t>
        </is>
      </c>
      <c r="F38" t="inlineStr">
        <is>
          <t>Bergvik skog väst AB</t>
        </is>
      </c>
      <c r="G38" t="n">
        <v>11.7</v>
      </c>
      <c r="H38" t="n">
        <v>3</v>
      </c>
      <c r="I38" t="n">
        <v>1</v>
      </c>
      <c r="J38" t="n">
        <v>4</v>
      </c>
      <c r="K38" t="n">
        <v>0</v>
      </c>
      <c r="L38" t="n">
        <v>0</v>
      </c>
      <c r="M38" t="n">
        <v>0</v>
      </c>
      <c r="N38" t="n">
        <v>0</v>
      </c>
      <c r="O38" t="n">
        <v>4</v>
      </c>
      <c r="P38" t="n">
        <v>0</v>
      </c>
      <c r="Q38" t="n">
        <v>7</v>
      </c>
      <c r="R38" s="2" t="inlineStr">
        <is>
          <t>Blågrå svartspik
Garnlav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row>
    <row r="39" ht="15" customHeight="1">
      <c r="A39" t="inlineStr">
        <is>
          <t>A 54314-2021</t>
        </is>
      </c>
      <c r="B39" s="1" t="n">
        <v>44472</v>
      </c>
      <c r="C39" s="1" t="n">
        <v>45880</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19534-2025</t>
        </is>
      </c>
      <c r="B40" s="1" t="n">
        <v>45770.47667824074</v>
      </c>
      <c r="C40" s="1" t="n">
        <v>45880</v>
      </c>
      <c r="D40" t="inlineStr">
        <is>
          <t>DALARNAS LÄN</t>
        </is>
      </c>
      <c r="E40" t="inlineStr">
        <is>
          <t>ÄLVDALEN</t>
        </is>
      </c>
      <c r="F40" t="inlineStr">
        <is>
          <t>Sveaskog</t>
        </is>
      </c>
      <c r="G40" t="n">
        <v>34</v>
      </c>
      <c r="H40" t="n">
        <v>1</v>
      </c>
      <c r="I40" t="n">
        <v>1</v>
      </c>
      <c r="J40" t="n">
        <v>5</v>
      </c>
      <c r="K40" t="n">
        <v>0</v>
      </c>
      <c r="L40" t="n">
        <v>0</v>
      </c>
      <c r="M40" t="n">
        <v>0</v>
      </c>
      <c r="N40" t="n">
        <v>0</v>
      </c>
      <c r="O40" t="n">
        <v>5</v>
      </c>
      <c r="P40" t="n">
        <v>0</v>
      </c>
      <c r="Q40" t="n">
        <v>6</v>
      </c>
      <c r="R40" s="2" t="inlineStr">
        <is>
          <t>Dvärgbägarlav
Kolflarnlav
Mörk kolflarnlav
Varglav
Vedflamlav
Dropptaggsvamp</t>
        </is>
      </c>
      <c r="S40">
        <f>HYPERLINK("https://klasma.github.io/Logging_2039/artfynd/A 19534-2025 artfynd.xlsx", "A 19534-2025")</f>
        <v/>
      </c>
      <c r="T40">
        <f>HYPERLINK("https://klasma.github.io/Logging_2039/kartor/A 19534-2025 karta.png", "A 19534-2025")</f>
        <v/>
      </c>
      <c r="V40">
        <f>HYPERLINK("https://klasma.github.io/Logging_2039/klagomål/A 19534-2025 FSC-klagomål.docx", "A 19534-2025")</f>
        <v/>
      </c>
      <c r="W40">
        <f>HYPERLINK("https://klasma.github.io/Logging_2039/klagomålsmail/A 19534-2025 FSC-klagomål mail.docx", "A 19534-2025")</f>
        <v/>
      </c>
      <c r="X40">
        <f>HYPERLINK("https://klasma.github.io/Logging_2039/tillsyn/A 19534-2025 tillsynsbegäran.docx", "A 19534-2025")</f>
        <v/>
      </c>
      <c r="Y40">
        <f>HYPERLINK("https://klasma.github.io/Logging_2039/tillsynsmail/A 19534-2025 tillsynsbegäran mail.docx", "A 19534-2025")</f>
        <v/>
      </c>
    </row>
    <row r="41" ht="15" customHeight="1">
      <c r="A41" t="inlineStr">
        <is>
          <t>A 54671-2021</t>
        </is>
      </c>
      <c r="B41" s="1" t="n">
        <v>44473</v>
      </c>
      <c r="C41" s="1" t="n">
        <v>45880</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22701-2024</t>
        </is>
      </c>
      <c r="B42" s="1" t="n">
        <v>45448</v>
      </c>
      <c r="C42" s="1" t="n">
        <v>45880</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33822-2025</t>
        </is>
      </c>
      <c r="B43" s="1" t="n">
        <v>45842.46769675926</v>
      </c>
      <c r="C43" s="1" t="n">
        <v>45880</v>
      </c>
      <c r="D43" t="inlineStr">
        <is>
          <t>DALARNAS LÄN</t>
        </is>
      </c>
      <c r="E43" t="inlineStr">
        <is>
          <t>ÄLVDALEN</t>
        </is>
      </c>
      <c r="F43" t="inlineStr">
        <is>
          <t>Sveaskog</t>
        </is>
      </c>
      <c r="G43" t="n">
        <v>3.9</v>
      </c>
      <c r="H43" t="n">
        <v>0</v>
      </c>
      <c r="I43" t="n">
        <v>1</v>
      </c>
      <c r="J43" t="n">
        <v>5</v>
      </c>
      <c r="K43" t="n">
        <v>0</v>
      </c>
      <c r="L43" t="n">
        <v>0</v>
      </c>
      <c r="M43" t="n">
        <v>0</v>
      </c>
      <c r="N43" t="n">
        <v>0</v>
      </c>
      <c r="O43" t="n">
        <v>5</v>
      </c>
      <c r="P43" t="n">
        <v>0</v>
      </c>
      <c r="Q43" t="n">
        <v>6</v>
      </c>
      <c r="R43" s="2" t="inlineStr">
        <is>
          <t>Blå taggsvamp
Kolflarnlav
Motaggsvamp
Mörk kolflarnlav
Vedflamlav
Skarp dropptaggsvamp</t>
        </is>
      </c>
      <c r="S43">
        <f>HYPERLINK("https://klasma.github.io/Logging_2039/artfynd/A 33822-2025 artfynd.xlsx", "A 33822-2025")</f>
        <v/>
      </c>
      <c r="T43">
        <f>HYPERLINK("https://klasma.github.io/Logging_2039/kartor/A 33822-2025 karta.png", "A 33822-2025")</f>
        <v/>
      </c>
      <c r="V43">
        <f>HYPERLINK("https://klasma.github.io/Logging_2039/klagomål/A 33822-2025 FSC-klagomål.docx", "A 33822-2025")</f>
        <v/>
      </c>
      <c r="W43">
        <f>HYPERLINK("https://klasma.github.io/Logging_2039/klagomålsmail/A 33822-2025 FSC-klagomål mail.docx", "A 33822-2025")</f>
        <v/>
      </c>
      <c r="X43">
        <f>HYPERLINK("https://klasma.github.io/Logging_2039/tillsyn/A 33822-2025 tillsynsbegäran.docx", "A 33822-2025")</f>
        <v/>
      </c>
      <c r="Y43">
        <f>HYPERLINK("https://klasma.github.io/Logging_2039/tillsynsmail/A 33822-2025 tillsynsbegäran mail.docx", "A 33822-2025")</f>
        <v/>
      </c>
    </row>
    <row r="44" ht="15" customHeight="1">
      <c r="A44" t="inlineStr">
        <is>
          <t>A 33638-2025</t>
        </is>
      </c>
      <c r="B44" s="1" t="n">
        <v>45841.64807870371</v>
      </c>
      <c r="C44" s="1" t="n">
        <v>45880</v>
      </c>
      <c r="D44" t="inlineStr">
        <is>
          <t>DALARNAS LÄN</t>
        </is>
      </c>
      <c r="E44" t="inlineStr">
        <is>
          <t>ÄLVDALEN</t>
        </is>
      </c>
      <c r="F44" t="inlineStr">
        <is>
          <t>Sveaskog</t>
        </is>
      </c>
      <c r="G44" t="n">
        <v>2.1</v>
      </c>
      <c r="H44" t="n">
        <v>0</v>
      </c>
      <c r="I44" t="n">
        <v>1</v>
      </c>
      <c r="J44" t="n">
        <v>4</v>
      </c>
      <c r="K44" t="n">
        <v>1</v>
      </c>
      <c r="L44" t="n">
        <v>0</v>
      </c>
      <c r="M44" t="n">
        <v>0</v>
      </c>
      <c r="N44" t="n">
        <v>0</v>
      </c>
      <c r="O44" t="n">
        <v>5</v>
      </c>
      <c r="P44" t="n">
        <v>1</v>
      </c>
      <c r="Q44" t="n">
        <v>6</v>
      </c>
      <c r="R44" s="2" t="inlineStr">
        <is>
          <t>Gräddporing
Blanksvart spiklav
Dvärgbägarlav
Kolflarnlav
Mörk kolflarnlav
Dropptaggsvamp</t>
        </is>
      </c>
      <c r="S44">
        <f>HYPERLINK("https://klasma.github.io/Logging_2039/artfynd/A 33638-2025 artfynd.xlsx", "A 33638-2025")</f>
        <v/>
      </c>
      <c r="T44">
        <f>HYPERLINK("https://klasma.github.io/Logging_2039/kartor/A 33638-2025 karta.png", "A 33638-2025")</f>
        <v/>
      </c>
      <c r="V44">
        <f>HYPERLINK("https://klasma.github.io/Logging_2039/klagomål/A 33638-2025 FSC-klagomål.docx", "A 33638-2025")</f>
        <v/>
      </c>
      <c r="W44">
        <f>HYPERLINK("https://klasma.github.io/Logging_2039/klagomålsmail/A 33638-2025 FSC-klagomål mail.docx", "A 33638-2025")</f>
        <v/>
      </c>
      <c r="X44">
        <f>HYPERLINK("https://klasma.github.io/Logging_2039/tillsyn/A 33638-2025 tillsynsbegäran.docx", "A 33638-2025")</f>
        <v/>
      </c>
      <c r="Y44">
        <f>HYPERLINK("https://klasma.github.io/Logging_2039/tillsynsmail/A 33638-2025 tillsynsbegäran mail.docx", "A 33638-2025")</f>
        <v/>
      </c>
    </row>
    <row r="45" ht="15" customHeight="1">
      <c r="A45" t="inlineStr">
        <is>
          <t>A 31821-2025</t>
        </is>
      </c>
      <c r="B45" s="1" t="n">
        <v>45834.57958333333</v>
      </c>
      <c r="C45" s="1" t="n">
        <v>45880</v>
      </c>
      <c r="D45" t="inlineStr">
        <is>
          <t>DALARNAS LÄN</t>
        </is>
      </c>
      <c r="E45" t="inlineStr">
        <is>
          <t>ÄLVDALEN</t>
        </is>
      </c>
      <c r="F45" t="inlineStr">
        <is>
          <t>Allmännings- och besparingsskogar</t>
        </is>
      </c>
      <c r="G45" t="n">
        <v>1.2</v>
      </c>
      <c r="H45" t="n">
        <v>1</v>
      </c>
      <c r="I45" t="n">
        <v>1</v>
      </c>
      <c r="J45" t="n">
        <v>4</v>
      </c>
      <c r="K45" t="n">
        <v>1</v>
      </c>
      <c r="L45" t="n">
        <v>0</v>
      </c>
      <c r="M45" t="n">
        <v>0</v>
      </c>
      <c r="N45" t="n">
        <v>0</v>
      </c>
      <c r="O45" t="n">
        <v>5</v>
      </c>
      <c r="P45" t="n">
        <v>1</v>
      </c>
      <c r="Q45" t="n">
        <v>6</v>
      </c>
      <c r="R45" s="2" t="inlineStr">
        <is>
          <t>Fläckporing
Blanksvart spiklav
Varglav
Vedflamlav
Vedskivlav
Mindre märgborre</t>
        </is>
      </c>
      <c r="S45">
        <f>HYPERLINK("https://klasma.github.io/Logging_2039/artfynd/A 31821-2025 artfynd.xlsx", "A 31821-2025")</f>
        <v/>
      </c>
      <c r="T45">
        <f>HYPERLINK("https://klasma.github.io/Logging_2039/kartor/A 31821-2025 karta.png", "A 31821-2025")</f>
        <v/>
      </c>
      <c r="V45">
        <f>HYPERLINK("https://klasma.github.io/Logging_2039/klagomål/A 31821-2025 FSC-klagomål.docx", "A 31821-2025")</f>
        <v/>
      </c>
      <c r="W45">
        <f>HYPERLINK("https://klasma.github.io/Logging_2039/klagomålsmail/A 31821-2025 FSC-klagomål mail.docx", "A 31821-2025")</f>
        <v/>
      </c>
      <c r="X45">
        <f>HYPERLINK("https://klasma.github.io/Logging_2039/tillsyn/A 31821-2025 tillsynsbegäran.docx", "A 31821-2025")</f>
        <v/>
      </c>
      <c r="Y45">
        <f>HYPERLINK("https://klasma.github.io/Logging_2039/tillsynsmail/A 31821-2025 tillsynsbegäran mail.docx", "A 31821-2025")</f>
        <v/>
      </c>
    </row>
    <row r="46" ht="15" customHeight="1">
      <c r="A46" t="inlineStr">
        <is>
          <t>A 31631-2025</t>
        </is>
      </c>
      <c r="B46" s="1" t="n">
        <v>45834</v>
      </c>
      <c r="C46" s="1" t="n">
        <v>45880</v>
      </c>
      <c r="D46" t="inlineStr">
        <is>
          <t>DALARNAS LÄN</t>
        </is>
      </c>
      <c r="E46" t="inlineStr">
        <is>
          <t>ÄLVDALEN</t>
        </is>
      </c>
      <c r="F46" t="inlineStr">
        <is>
          <t>Sveaskog</t>
        </is>
      </c>
      <c r="G46" t="n">
        <v>9</v>
      </c>
      <c r="H46" t="n">
        <v>0</v>
      </c>
      <c r="I46" t="n">
        <v>1</v>
      </c>
      <c r="J46" t="n">
        <v>5</v>
      </c>
      <c r="K46" t="n">
        <v>0</v>
      </c>
      <c r="L46" t="n">
        <v>0</v>
      </c>
      <c r="M46" t="n">
        <v>0</v>
      </c>
      <c r="N46" t="n">
        <v>0</v>
      </c>
      <c r="O46" t="n">
        <v>5</v>
      </c>
      <c r="P46" t="n">
        <v>0</v>
      </c>
      <c r="Q46" t="n">
        <v>6</v>
      </c>
      <c r="R46" s="2" t="inlineStr">
        <is>
          <t>Dvärgbägarlav
Kolflarnlav
Lunglav
Mörk kolflarnlav
Vedflamlav
Dropptaggsvamp</t>
        </is>
      </c>
      <c r="S46">
        <f>HYPERLINK("https://klasma.github.io/Logging_2039/artfynd/A 31631-2025 artfynd.xlsx", "A 31631-2025")</f>
        <v/>
      </c>
      <c r="T46">
        <f>HYPERLINK("https://klasma.github.io/Logging_2039/kartor/A 31631-2025 karta.png", "A 31631-2025")</f>
        <v/>
      </c>
      <c r="V46">
        <f>HYPERLINK("https://klasma.github.io/Logging_2039/klagomål/A 31631-2025 FSC-klagomål.docx", "A 31631-2025")</f>
        <v/>
      </c>
      <c r="W46">
        <f>HYPERLINK("https://klasma.github.io/Logging_2039/klagomålsmail/A 31631-2025 FSC-klagomål mail.docx", "A 31631-2025")</f>
        <v/>
      </c>
      <c r="X46">
        <f>HYPERLINK("https://klasma.github.io/Logging_2039/tillsyn/A 31631-2025 tillsynsbegäran.docx", "A 31631-2025")</f>
        <v/>
      </c>
      <c r="Y46">
        <f>HYPERLINK("https://klasma.github.io/Logging_2039/tillsynsmail/A 31631-2025 tillsynsbegäran mail.docx", "A 31631-2025")</f>
        <v/>
      </c>
    </row>
    <row r="47" ht="15" customHeight="1">
      <c r="A47" t="inlineStr">
        <is>
          <t>A 39278-2022</t>
        </is>
      </c>
      <c r="B47" s="1" t="n">
        <v>44817</v>
      </c>
      <c r="C47" s="1" t="n">
        <v>45880</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25089-2024</t>
        </is>
      </c>
      <c r="B48" s="1" t="n">
        <v>45462.39879629629</v>
      </c>
      <c r="C48" s="1" t="n">
        <v>45880</v>
      </c>
      <c r="D48" t="inlineStr">
        <is>
          <t>DALARNAS LÄN</t>
        </is>
      </c>
      <c r="E48" t="inlineStr">
        <is>
          <t>ÄLVDALEN</t>
        </is>
      </c>
      <c r="F48" t="inlineStr">
        <is>
          <t>Sveaskog</t>
        </is>
      </c>
      <c r="G48" t="n">
        <v>3.9</v>
      </c>
      <c r="H48" t="n">
        <v>0</v>
      </c>
      <c r="I48" t="n">
        <v>1</v>
      </c>
      <c r="J48" t="n">
        <v>4</v>
      </c>
      <c r="K48" t="n">
        <v>0</v>
      </c>
      <c r="L48" t="n">
        <v>0</v>
      </c>
      <c r="M48" t="n">
        <v>0</v>
      </c>
      <c r="N48" t="n">
        <v>0</v>
      </c>
      <c r="O48" t="n">
        <v>4</v>
      </c>
      <c r="P48" t="n">
        <v>0</v>
      </c>
      <c r="Q48" t="n">
        <v>5</v>
      </c>
      <c r="R48" s="2" t="inlineStr">
        <is>
          <t>Blanksvart spiklav
Kolflarnlav
Mörk kolflarnlav
Vedflamlav
Skarp dropptaggsvamp</t>
        </is>
      </c>
      <c r="S48">
        <f>HYPERLINK("https://klasma.github.io/Logging_2039/artfynd/A 25089-2024 artfynd.xlsx", "A 25089-2024")</f>
        <v/>
      </c>
      <c r="T48">
        <f>HYPERLINK("https://klasma.github.io/Logging_2039/kartor/A 25089-2024 karta.png", "A 25089-2024")</f>
        <v/>
      </c>
      <c r="V48">
        <f>HYPERLINK("https://klasma.github.io/Logging_2039/klagomål/A 25089-2024 FSC-klagomål.docx", "A 25089-2024")</f>
        <v/>
      </c>
      <c r="W48">
        <f>HYPERLINK("https://klasma.github.io/Logging_2039/klagomålsmail/A 25089-2024 FSC-klagomål mail.docx", "A 25089-2024")</f>
        <v/>
      </c>
      <c r="X48">
        <f>HYPERLINK("https://klasma.github.io/Logging_2039/tillsyn/A 25089-2024 tillsynsbegäran.docx", "A 25089-2024")</f>
        <v/>
      </c>
      <c r="Y48">
        <f>HYPERLINK("https://klasma.github.io/Logging_2039/tillsynsmail/A 25089-2024 tillsynsbegäran mail.docx", "A 25089-2024")</f>
        <v/>
      </c>
    </row>
    <row r="49" ht="15" customHeight="1">
      <c r="A49" t="inlineStr">
        <is>
          <t>A 38585-2023</t>
        </is>
      </c>
      <c r="B49" s="1" t="n">
        <v>45162</v>
      </c>
      <c r="C49" s="1" t="n">
        <v>45880</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47285-2024</t>
        </is>
      </c>
      <c r="B50" s="1" t="n">
        <v>45587.26804398148</v>
      </c>
      <c r="C50" s="1" t="n">
        <v>45880</v>
      </c>
      <c r="D50" t="inlineStr">
        <is>
          <t>DALARNAS LÄN</t>
        </is>
      </c>
      <c r="E50" t="inlineStr">
        <is>
          <t>ÄLVDALEN</t>
        </is>
      </c>
      <c r="F50" t="inlineStr">
        <is>
          <t>Sveaskog</t>
        </is>
      </c>
      <c r="G50" t="n">
        <v>17</v>
      </c>
      <c r="H50" t="n">
        <v>0</v>
      </c>
      <c r="I50" t="n">
        <v>1</v>
      </c>
      <c r="J50" t="n">
        <v>4</v>
      </c>
      <c r="K50" t="n">
        <v>0</v>
      </c>
      <c r="L50" t="n">
        <v>0</v>
      </c>
      <c r="M50" t="n">
        <v>0</v>
      </c>
      <c r="N50" t="n">
        <v>0</v>
      </c>
      <c r="O50" t="n">
        <v>4</v>
      </c>
      <c r="P50" t="n">
        <v>0</v>
      </c>
      <c r="Q50" t="n">
        <v>5</v>
      </c>
      <c r="R50" s="2" t="inlineStr">
        <is>
          <t>Kolflarnlav
Mörk kolflarnlav
Orange taggsvamp
Vedflamlav
Dropptaggsvamp</t>
        </is>
      </c>
      <c r="S50">
        <f>HYPERLINK("https://klasma.github.io/Logging_2039/artfynd/A 47285-2024 artfynd.xlsx", "A 47285-2024")</f>
        <v/>
      </c>
      <c r="T50">
        <f>HYPERLINK("https://klasma.github.io/Logging_2039/kartor/A 47285-2024 karta.png", "A 47285-2024")</f>
        <v/>
      </c>
      <c r="V50">
        <f>HYPERLINK("https://klasma.github.io/Logging_2039/klagomål/A 47285-2024 FSC-klagomål.docx", "A 47285-2024")</f>
        <v/>
      </c>
      <c r="W50">
        <f>HYPERLINK("https://klasma.github.io/Logging_2039/klagomålsmail/A 47285-2024 FSC-klagomål mail.docx", "A 47285-2024")</f>
        <v/>
      </c>
      <c r="X50">
        <f>HYPERLINK("https://klasma.github.io/Logging_2039/tillsyn/A 47285-2024 tillsynsbegäran.docx", "A 47285-2024")</f>
        <v/>
      </c>
      <c r="Y50">
        <f>HYPERLINK("https://klasma.github.io/Logging_2039/tillsynsmail/A 47285-2024 tillsynsbegäran mail.docx", "A 47285-2024")</f>
        <v/>
      </c>
    </row>
    <row r="51" ht="15" customHeight="1">
      <c r="A51" t="inlineStr">
        <is>
          <t>A 10282-2024</t>
        </is>
      </c>
      <c r="B51" s="1" t="n">
        <v>45365</v>
      </c>
      <c r="C51" s="1" t="n">
        <v>45880</v>
      </c>
      <c r="D51" t="inlineStr">
        <is>
          <t>DALARNAS LÄN</t>
        </is>
      </c>
      <c r="E51" t="inlineStr">
        <is>
          <t>ÄLVDALEN</t>
        </is>
      </c>
      <c r="G51" t="n">
        <v>1.2</v>
      </c>
      <c r="H51" t="n">
        <v>1</v>
      </c>
      <c r="I51" t="n">
        <v>1</v>
      </c>
      <c r="J51" t="n">
        <v>3</v>
      </c>
      <c r="K51" t="n">
        <v>1</v>
      </c>
      <c r="L51" t="n">
        <v>0</v>
      </c>
      <c r="M51" t="n">
        <v>0</v>
      </c>
      <c r="N51" t="n">
        <v>0</v>
      </c>
      <c r="O51" t="n">
        <v>4</v>
      </c>
      <c r="P51" t="n">
        <v>1</v>
      </c>
      <c r="Q51" t="n">
        <v>5</v>
      </c>
      <c r="R51" s="2" t="inlineStr">
        <is>
          <t>Knärot
Garnlav
Ullticka
Violettgrå tagellav
Vedticka</t>
        </is>
      </c>
      <c r="S51">
        <f>HYPERLINK("https://klasma.github.io/Logging_2039/artfynd/A 10282-2024 artfynd.xlsx", "A 10282-2024")</f>
        <v/>
      </c>
      <c r="T51">
        <f>HYPERLINK("https://klasma.github.io/Logging_2039/kartor/A 10282-2024 karta.png", "A 10282-2024")</f>
        <v/>
      </c>
      <c r="U51">
        <f>HYPERLINK("https://klasma.github.io/Logging_2039/knärot/A 10282-2024 karta knärot.png", "A 10282-2024")</f>
        <v/>
      </c>
      <c r="V51">
        <f>HYPERLINK("https://klasma.github.io/Logging_2039/klagomål/A 10282-2024 FSC-klagomål.docx", "A 10282-2024")</f>
        <v/>
      </c>
      <c r="W51">
        <f>HYPERLINK("https://klasma.github.io/Logging_2039/klagomålsmail/A 10282-2024 FSC-klagomål mail.docx", "A 10282-2024")</f>
        <v/>
      </c>
      <c r="X51">
        <f>HYPERLINK("https://klasma.github.io/Logging_2039/tillsyn/A 10282-2024 tillsynsbegäran.docx", "A 10282-2024")</f>
        <v/>
      </c>
      <c r="Y51">
        <f>HYPERLINK("https://klasma.github.io/Logging_2039/tillsynsmail/A 10282-2024 tillsynsbegäran mail.docx", "A 10282-2024")</f>
        <v/>
      </c>
    </row>
    <row r="52" ht="15" customHeight="1">
      <c r="A52" t="inlineStr">
        <is>
          <t>A 16894-2025</t>
        </is>
      </c>
      <c r="B52" s="1" t="n">
        <v>45755.33045138889</v>
      </c>
      <c r="C52" s="1" t="n">
        <v>45880</v>
      </c>
      <c r="D52" t="inlineStr">
        <is>
          <t>DALARNAS LÄN</t>
        </is>
      </c>
      <c r="E52" t="inlineStr">
        <is>
          <t>ÄLVDALEN</t>
        </is>
      </c>
      <c r="F52" t="inlineStr">
        <is>
          <t>Sveaskog</t>
        </is>
      </c>
      <c r="G52" t="n">
        <v>17.3</v>
      </c>
      <c r="H52" t="n">
        <v>0</v>
      </c>
      <c r="I52" t="n">
        <v>1</v>
      </c>
      <c r="J52" t="n">
        <v>4</v>
      </c>
      <c r="K52" t="n">
        <v>0</v>
      </c>
      <c r="L52" t="n">
        <v>0</v>
      </c>
      <c r="M52" t="n">
        <v>0</v>
      </c>
      <c r="N52" t="n">
        <v>0</v>
      </c>
      <c r="O52" t="n">
        <v>4</v>
      </c>
      <c r="P52" t="n">
        <v>0</v>
      </c>
      <c r="Q52" t="n">
        <v>5</v>
      </c>
      <c r="R52" s="2" t="inlineStr">
        <is>
          <t>Dvärgbägarlav
Kolflarnlav
Mörk kolflarnlav
Vedflamlav
Dropptaggsvamp</t>
        </is>
      </c>
      <c r="S52">
        <f>HYPERLINK("https://klasma.github.io/Logging_2039/artfynd/A 16894-2025 artfynd.xlsx", "A 16894-2025")</f>
        <v/>
      </c>
      <c r="T52">
        <f>HYPERLINK("https://klasma.github.io/Logging_2039/kartor/A 16894-2025 karta.png", "A 16894-2025")</f>
        <v/>
      </c>
      <c r="V52">
        <f>HYPERLINK("https://klasma.github.io/Logging_2039/klagomål/A 16894-2025 FSC-klagomål.docx", "A 16894-2025")</f>
        <v/>
      </c>
      <c r="W52">
        <f>HYPERLINK("https://klasma.github.io/Logging_2039/klagomålsmail/A 16894-2025 FSC-klagomål mail.docx", "A 16894-2025")</f>
        <v/>
      </c>
      <c r="X52">
        <f>HYPERLINK("https://klasma.github.io/Logging_2039/tillsyn/A 16894-2025 tillsynsbegäran.docx", "A 16894-2025")</f>
        <v/>
      </c>
      <c r="Y52">
        <f>HYPERLINK("https://klasma.github.io/Logging_2039/tillsynsmail/A 16894-2025 tillsynsbegäran mail.docx", "A 16894-2025")</f>
        <v/>
      </c>
    </row>
    <row r="53" ht="15" customHeight="1">
      <c r="A53" t="inlineStr">
        <is>
          <t>A 49053-2023</t>
        </is>
      </c>
      <c r="B53" s="1" t="n">
        <v>45210</v>
      </c>
      <c r="C53" s="1" t="n">
        <v>45880</v>
      </c>
      <c r="D53" t="inlineStr">
        <is>
          <t>DALARNAS LÄN</t>
        </is>
      </c>
      <c r="E53" t="inlineStr">
        <is>
          <t>ÄLVDALEN</t>
        </is>
      </c>
      <c r="F53" t="inlineStr">
        <is>
          <t>Sveaskog</t>
        </is>
      </c>
      <c r="G53" t="n">
        <v>3.6</v>
      </c>
      <c r="H53" t="n">
        <v>0</v>
      </c>
      <c r="I53" t="n">
        <v>2</v>
      </c>
      <c r="J53" t="n">
        <v>3</v>
      </c>
      <c r="K53" t="n">
        <v>0</v>
      </c>
      <c r="L53" t="n">
        <v>0</v>
      </c>
      <c r="M53" t="n">
        <v>0</v>
      </c>
      <c r="N53" t="n">
        <v>0</v>
      </c>
      <c r="O53" t="n">
        <v>3</v>
      </c>
      <c r="P53" t="n">
        <v>0</v>
      </c>
      <c r="Q53" t="n">
        <v>5</v>
      </c>
      <c r="R53" s="2" t="inlineStr">
        <is>
          <t>Kolflarnlav
Nordtagging
Vedflamlav
Dropptaggsvamp
Skarp dropptaggsvamp</t>
        </is>
      </c>
      <c r="S53">
        <f>HYPERLINK("https://klasma.github.io/Logging_2039/artfynd/A 49053-2023 artfynd.xlsx", "A 49053-2023")</f>
        <v/>
      </c>
      <c r="T53">
        <f>HYPERLINK("https://klasma.github.io/Logging_2039/kartor/A 49053-2023 karta.png", "A 49053-2023")</f>
        <v/>
      </c>
      <c r="V53">
        <f>HYPERLINK("https://klasma.github.io/Logging_2039/klagomål/A 49053-2023 FSC-klagomål.docx", "A 49053-2023")</f>
        <v/>
      </c>
      <c r="W53">
        <f>HYPERLINK("https://klasma.github.io/Logging_2039/klagomålsmail/A 49053-2023 FSC-klagomål mail.docx", "A 49053-2023")</f>
        <v/>
      </c>
      <c r="X53">
        <f>HYPERLINK("https://klasma.github.io/Logging_2039/tillsyn/A 49053-2023 tillsynsbegäran.docx", "A 49053-2023")</f>
        <v/>
      </c>
      <c r="Y53">
        <f>HYPERLINK("https://klasma.github.io/Logging_2039/tillsynsmail/A 49053-2023 tillsynsbegäran mail.docx", "A 49053-2023")</f>
        <v/>
      </c>
    </row>
    <row r="54" ht="15" customHeight="1">
      <c r="A54" t="inlineStr">
        <is>
          <t>A 36371-2025</t>
        </is>
      </c>
      <c r="B54" s="1" t="n">
        <v>45868</v>
      </c>
      <c r="C54" s="1" t="n">
        <v>45880</v>
      </c>
      <c r="D54" t="inlineStr">
        <is>
          <t>DALARNAS LÄN</t>
        </is>
      </c>
      <c r="E54" t="inlineStr">
        <is>
          <t>ÄLVDALEN</t>
        </is>
      </c>
      <c r="F54" t="inlineStr">
        <is>
          <t>Allmännings- och besparingsskogar</t>
        </is>
      </c>
      <c r="G54" t="n">
        <v>30.8</v>
      </c>
      <c r="H54" t="n">
        <v>0</v>
      </c>
      <c r="I54" t="n">
        <v>1</v>
      </c>
      <c r="J54" t="n">
        <v>4</v>
      </c>
      <c r="K54" t="n">
        <v>0</v>
      </c>
      <c r="L54" t="n">
        <v>0</v>
      </c>
      <c r="M54" t="n">
        <v>0</v>
      </c>
      <c r="N54" t="n">
        <v>0</v>
      </c>
      <c r="O54" t="n">
        <v>4</v>
      </c>
      <c r="P54" t="n">
        <v>0</v>
      </c>
      <c r="Q54" t="n">
        <v>5</v>
      </c>
      <c r="R54" s="2" t="inlineStr">
        <is>
          <t>Garnlav
Mörk kolflarnlav
Vedflamlav
Vedskivlav
Mindre märgborre</t>
        </is>
      </c>
      <c r="S54">
        <f>HYPERLINK("https://klasma.github.io/Logging_2039/artfynd/A 36371-2025 artfynd.xlsx", "A 36371-2025")</f>
        <v/>
      </c>
      <c r="T54">
        <f>HYPERLINK("https://klasma.github.io/Logging_2039/kartor/A 36371-2025 karta.png", "A 36371-2025")</f>
        <v/>
      </c>
      <c r="V54">
        <f>HYPERLINK("https://klasma.github.io/Logging_2039/klagomål/A 36371-2025 FSC-klagomål.docx", "A 36371-2025")</f>
        <v/>
      </c>
      <c r="W54">
        <f>HYPERLINK("https://klasma.github.io/Logging_2039/klagomålsmail/A 36371-2025 FSC-klagomål mail.docx", "A 36371-2025")</f>
        <v/>
      </c>
      <c r="X54">
        <f>HYPERLINK("https://klasma.github.io/Logging_2039/tillsyn/A 36371-2025 tillsynsbegäran.docx", "A 36371-2025")</f>
        <v/>
      </c>
      <c r="Y54">
        <f>HYPERLINK("https://klasma.github.io/Logging_2039/tillsynsmail/A 36371-2025 tillsynsbegäran mail.docx", "A 36371-2025")</f>
        <v/>
      </c>
    </row>
    <row r="55" ht="15" customHeight="1">
      <c r="A55" t="inlineStr">
        <is>
          <t>A 19616-2024</t>
        </is>
      </c>
      <c r="B55" s="1" t="n">
        <v>45432.31541666666</v>
      </c>
      <c r="C55" s="1" t="n">
        <v>45880</v>
      </c>
      <c r="D55" t="inlineStr">
        <is>
          <t>DALARNAS LÄN</t>
        </is>
      </c>
      <c r="E55" t="inlineStr">
        <is>
          <t>ÄLVDALEN</t>
        </is>
      </c>
      <c r="F55" t="inlineStr">
        <is>
          <t>Sveaskog</t>
        </is>
      </c>
      <c r="G55" t="n">
        <v>6.5</v>
      </c>
      <c r="H55" t="n">
        <v>1</v>
      </c>
      <c r="I55" t="n">
        <v>0</v>
      </c>
      <c r="J55" t="n">
        <v>5</v>
      </c>
      <c r="K55" t="n">
        <v>0</v>
      </c>
      <c r="L55" t="n">
        <v>0</v>
      </c>
      <c r="M55" t="n">
        <v>0</v>
      </c>
      <c r="N55" t="n">
        <v>0</v>
      </c>
      <c r="O55" t="n">
        <v>5</v>
      </c>
      <c r="P55" t="n">
        <v>0</v>
      </c>
      <c r="Q55" t="n">
        <v>5</v>
      </c>
      <c r="R55" s="2" t="inlineStr">
        <is>
          <t>Blanksvart spiklav
Kolflarnlav
Mörk kolflarnlav
Varglav
Vedflamlav</t>
        </is>
      </c>
      <c r="S55">
        <f>HYPERLINK("https://klasma.github.io/Logging_2039/artfynd/A 19616-2024 artfynd.xlsx", "A 19616-2024")</f>
        <v/>
      </c>
      <c r="T55">
        <f>HYPERLINK("https://klasma.github.io/Logging_2039/kartor/A 19616-2024 karta.png", "A 19616-2024")</f>
        <v/>
      </c>
      <c r="V55">
        <f>HYPERLINK("https://klasma.github.io/Logging_2039/klagomål/A 19616-2024 FSC-klagomål.docx", "A 19616-2024")</f>
        <v/>
      </c>
      <c r="W55">
        <f>HYPERLINK("https://klasma.github.io/Logging_2039/klagomålsmail/A 19616-2024 FSC-klagomål mail.docx", "A 19616-2024")</f>
        <v/>
      </c>
      <c r="X55">
        <f>HYPERLINK("https://klasma.github.io/Logging_2039/tillsyn/A 19616-2024 tillsynsbegäran.docx", "A 19616-2024")</f>
        <v/>
      </c>
      <c r="Y55">
        <f>HYPERLINK("https://klasma.github.io/Logging_2039/tillsynsmail/A 19616-2024 tillsynsbegäran mail.docx", "A 19616-2024")</f>
        <v/>
      </c>
    </row>
    <row r="56" ht="15" customHeight="1">
      <c r="A56" t="inlineStr">
        <is>
          <t>A 32207-2024</t>
        </is>
      </c>
      <c r="B56" s="1" t="n">
        <v>45511.67440972223</v>
      </c>
      <c r="C56" s="1" t="n">
        <v>45880</v>
      </c>
      <c r="D56" t="inlineStr">
        <is>
          <t>DALARNAS LÄN</t>
        </is>
      </c>
      <c r="E56" t="inlineStr">
        <is>
          <t>ÄLVDALEN</t>
        </is>
      </c>
      <c r="F56" t="inlineStr">
        <is>
          <t>Sveaskog</t>
        </is>
      </c>
      <c r="G56" t="n">
        <v>2.5</v>
      </c>
      <c r="H56" t="n">
        <v>0</v>
      </c>
      <c r="I56" t="n">
        <v>0</v>
      </c>
      <c r="J56" t="n">
        <v>4</v>
      </c>
      <c r="K56" t="n">
        <v>0</v>
      </c>
      <c r="L56" t="n">
        <v>0</v>
      </c>
      <c r="M56" t="n">
        <v>0</v>
      </c>
      <c r="N56" t="n">
        <v>0</v>
      </c>
      <c r="O56" t="n">
        <v>4</v>
      </c>
      <c r="P56" t="n">
        <v>0</v>
      </c>
      <c r="Q56" t="n">
        <v>4</v>
      </c>
      <c r="R56" s="2" t="inlineStr">
        <is>
          <t>Dvärgbägarlav
Kolflarnlav
Mörk kolflarnlav
Vedflamlav</t>
        </is>
      </c>
      <c r="S56">
        <f>HYPERLINK("https://klasma.github.io/Logging_2039/artfynd/A 32207-2024 artfynd.xlsx", "A 32207-2024")</f>
        <v/>
      </c>
      <c r="T56">
        <f>HYPERLINK("https://klasma.github.io/Logging_2039/kartor/A 32207-2024 karta.png", "A 32207-2024")</f>
        <v/>
      </c>
      <c r="V56">
        <f>HYPERLINK("https://klasma.github.io/Logging_2039/klagomål/A 32207-2024 FSC-klagomål.docx", "A 32207-2024")</f>
        <v/>
      </c>
      <c r="W56">
        <f>HYPERLINK("https://klasma.github.io/Logging_2039/klagomålsmail/A 32207-2024 FSC-klagomål mail.docx", "A 32207-2024")</f>
        <v/>
      </c>
      <c r="X56">
        <f>HYPERLINK("https://klasma.github.io/Logging_2039/tillsyn/A 32207-2024 tillsynsbegäran.docx", "A 32207-2024")</f>
        <v/>
      </c>
      <c r="Y56">
        <f>HYPERLINK("https://klasma.github.io/Logging_2039/tillsynsmail/A 32207-2024 tillsynsbegäran mail.docx", "A 32207-2024")</f>
        <v/>
      </c>
    </row>
    <row r="57" ht="15" customHeight="1">
      <c r="A57" t="inlineStr">
        <is>
          <t>A 57505-2024</t>
        </is>
      </c>
      <c r="B57" s="1" t="n">
        <v>45630</v>
      </c>
      <c r="C57" s="1" t="n">
        <v>45880</v>
      </c>
      <c r="D57" t="inlineStr">
        <is>
          <t>DALARNAS LÄN</t>
        </is>
      </c>
      <c r="E57" t="inlineStr">
        <is>
          <t>ÄLVDALEN</t>
        </is>
      </c>
      <c r="F57" t="inlineStr">
        <is>
          <t>Allmännings- och besparingsskogar</t>
        </is>
      </c>
      <c r="G57" t="n">
        <v>2.3</v>
      </c>
      <c r="H57" t="n">
        <v>0</v>
      </c>
      <c r="I57" t="n">
        <v>2</v>
      </c>
      <c r="J57" t="n">
        <v>2</v>
      </c>
      <c r="K57" t="n">
        <v>0</v>
      </c>
      <c r="L57" t="n">
        <v>0</v>
      </c>
      <c r="M57" t="n">
        <v>0</v>
      </c>
      <c r="N57" t="n">
        <v>0</v>
      </c>
      <c r="O57" t="n">
        <v>2</v>
      </c>
      <c r="P57" t="n">
        <v>0</v>
      </c>
      <c r="Q57" t="n">
        <v>4</v>
      </c>
      <c r="R57" s="2" t="inlineStr">
        <is>
          <t>Skrovellav
Vedskivlav
Bronshjon
Vågbandad barkbock</t>
        </is>
      </c>
      <c r="S57">
        <f>HYPERLINK("https://klasma.github.io/Logging_2039/artfynd/A 57505-2024 artfynd.xlsx", "A 57505-2024")</f>
        <v/>
      </c>
      <c r="T57">
        <f>HYPERLINK("https://klasma.github.io/Logging_2039/kartor/A 57505-2024 karta.png", "A 57505-2024")</f>
        <v/>
      </c>
      <c r="V57">
        <f>HYPERLINK("https://klasma.github.io/Logging_2039/klagomål/A 57505-2024 FSC-klagomål.docx", "A 57505-2024")</f>
        <v/>
      </c>
      <c r="W57">
        <f>HYPERLINK("https://klasma.github.io/Logging_2039/klagomålsmail/A 57505-2024 FSC-klagomål mail.docx", "A 57505-2024")</f>
        <v/>
      </c>
      <c r="X57">
        <f>HYPERLINK("https://klasma.github.io/Logging_2039/tillsyn/A 57505-2024 tillsynsbegäran.docx", "A 57505-2024")</f>
        <v/>
      </c>
      <c r="Y57">
        <f>HYPERLINK("https://klasma.github.io/Logging_2039/tillsynsmail/A 57505-2024 tillsynsbegäran mail.docx", "A 57505-2024")</f>
        <v/>
      </c>
    </row>
    <row r="58" ht="15" customHeight="1">
      <c r="A58" t="inlineStr">
        <is>
          <t>A 29252-2023</t>
        </is>
      </c>
      <c r="B58" s="1" t="n">
        <v>45105</v>
      </c>
      <c r="C58" s="1" t="n">
        <v>45880</v>
      </c>
      <c r="D58" t="inlineStr">
        <is>
          <t>DALARNAS LÄN</t>
        </is>
      </c>
      <c r="E58" t="inlineStr">
        <is>
          <t>ÄLVDALEN</t>
        </is>
      </c>
      <c r="F58" t="inlineStr">
        <is>
          <t>Allmännings- och besparingsskogar</t>
        </is>
      </c>
      <c r="G58" t="n">
        <v>3.5</v>
      </c>
      <c r="H58" t="n">
        <v>1</v>
      </c>
      <c r="I58" t="n">
        <v>0</v>
      </c>
      <c r="J58" t="n">
        <v>4</v>
      </c>
      <c r="K58" t="n">
        <v>0</v>
      </c>
      <c r="L58" t="n">
        <v>0</v>
      </c>
      <c r="M58" t="n">
        <v>0</v>
      </c>
      <c r="N58" t="n">
        <v>0</v>
      </c>
      <c r="O58" t="n">
        <v>4</v>
      </c>
      <c r="P58" t="n">
        <v>0</v>
      </c>
      <c r="Q58" t="n">
        <v>4</v>
      </c>
      <c r="R58" s="2" t="inlineStr">
        <is>
          <t>Knottrig blåslav
Kolflarnlav
Varglav
Vedflamlav</t>
        </is>
      </c>
      <c r="S58">
        <f>HYPERLINK("https://klasma.github.io/Logging_2039/artfynd/A 29252-2023 artfynd.xlsx", "A 29252-2023")</f>
        <v/>
      </c>
      <c r="T58">
        <f>HYPERLINK("https://klasma.github.io/Logging_2039/kartor/A 29252-2023 karta.png", "A 29252-2023")</f>
        <v/>
      </c>
      <c r="V58">
        <f>HYPERLINK("https://klasma.github.io/Logging_2039/klagomål/A 29252-2023 FSC-klagomål.docx", "A 29252-2023")</f>
        <v/>
      </c>
      <c r="W58">
        <f>HYPERLINK("https://klasma.github.io/Logging_2039/klagomålsmail/A 29252-2023 FSC-klagomål mail.docx", "A 29252-2023")</f>
        <v/>
      </c>
      <c r="X58">
        <f>HYPERLINK("https://klasma.github.io/Logging_2039/tillsyn/A 29252-2023 tillsynsbegäran.docx", "A 29252-2023")</f>
        <v/>
      </c>
      <c r="Y58">
        <f>HYPERLINK("https://klasma.github.io/Logging_2039/tillsynsmail/A 29252-2023 tillsynsbegäran mail.docx", "A 29252-2023")</f>
        <v/>
      </c>
    </row>
    <row r="59" ht="15" customHeight="1">
      <c r="A59" t="inlineStr">
        <is>
          <t>A 36580-2024</t>
        </is>
      </c>
      <c r="B59" s="1" t="n">
        <v>45537.50400462963</v>
      </c>
      <c r="C59" s="1" t="n">
        <v>45880</v>
      </c>
      <c r="D59" t="inlineStr">
        <is>
          <t>DALARNAS LÄN</t>
        </is>
      </c>
      <c r="E59" t="inlineStr">
        <is>
          <t>ÄLVDALEN</t>
        </is>
      </c>
      <c r="F59" t="inlineStr">
        <is>
          <t>Sveaskog</t>
        </is>
      </c>
      <c r="G59" t="n">
        <v>4.2</v>
      </c>
      <c r="H59" t="n">
        <v>0</v>
      </c>
      <c r="I59" t="n">
        <v>0</v>
      </c>
      <c r="J59" t="n">
        <v>4</v>
      </c>
      <c r="K59" t="n">
        <v>0</v>
      </c>
      <c r="L59" t="n">
        <v>0</v>
      </c>
      <c r="M59" t="n">
        <v>0</v>
      </c>
      <c r="N59" t="n">
        <v>0</v>
      </c>
      <c r="O59" t="n">
        <v>4</v>
      </c>
      <c r="P59" t="n">
        <v>0</v>
      </c>
      <c r="Q59" t="n">
        <v>4</v>
      </c>
      <c r="R59" s="2" t="inlineStr">
        <is>
          <t>Garnlav
Kolflarnlav
Mörk kolflarnlav
Vedflamlav</t>
        </is>
      </c>
      <c r="S59">
        <f>HYPERLINK("https://klasma.github.io/Logging_2039/artfynd/A 36580-2024 artfynd.xlsx", "A 36580-2024")</f>
        <v/>
      </c>
      <c r="T59">
        <f>HYPERLINK("https://klasma.github.io/Logging_2039/kartor/A 36580-2024 karta.png", "A 36580-2024")</f>
        <v/>
      </c>
      <c r="V59">
        <f>HYPERLINK("https://klasma.github.io/Logging_2039/klagomål/A 36580-2024 FSC-klagomål.docx", "A 36580-2024")</f>
        <v/>
      </c>
      <c r="W59">
        <f>HYPERLINK("https://klasma.github.io/Logging_2039/klagomålsmail/A 36580-2024 FSC-klagomål mail.docx", "A 36580-2024")</f>
        <v/>
      </c>
      <c r="X59">
        <f>HYPERLINK("https://klasma.github.io/Logging_2039/tillsyn/A 36580-2024 tillsynsbegäran.docx", "A 36580-2024")</f>
        <v/>
      </c>
      <c r="Y59">
        <f>HYPERLINK("https://klasma.github.io/Logging_2039/tillsynsmail/A 36580-2024 tillsynsbegäran mail.docx", "A 36580-2024")</f>
        <v/>
      </c>
    </row>
    <row r="60" ht="15" customHeight="1">
      <c r="A60" t="inlineStr">
        <is>
          <t>A 49052-2023</t>
        </is>
      </c>
      <c r="B60" s="1" t="n">
        <v>45210</v>
      </c>
      <c r="C60" s="1" t="n">
        <v>45880</v>
      </c>
      <c r="D60" t="inlineStr">
        <is>
          <t>DALARNAS LÄN</t>
        </is>
      </c>
      <c r="E60" t="inlineStr">
        <is>
          <t>ÄLVDALEN</t>
        </is>
      </c>
      <c r="F60" t="inlineStr">
        <is>
          <t>Sveaskog</t>
        </is>
      </c>
      <c r="G60" t="n">
        <v>4.4</v>
      </c>
      <c r="H60" t="n">
        <v>1</v>
      </c>
      <c r="I60" t="n">
        <v>0</v>
      </c>
      <c r="J60" t="n">
        <v>4</v>
      </c>
      <c r="K60" t="n">
        <v>0</v>
      </c>
      <c r="L60" t="n">
        <v>0</v>
      </c>
      <c r="M60" t="n">
        <v>0</v>
      </c>
      <c r="N60" t="n">
        <v>0</v>
      </c>
      <c r="O60" t="n">
        <v>4</v>
      </c>
      <c r="P60" t="n">
        <v>0</v>
      </c>
      <c r="Q60" t="n">
        <v>4</v>
      </c>
      <c r="R60" s="2" t="inlineStr">
        <is>
          <t>Kolflarnlav
Mörk kolflarnlav
Varglav
Vedflamlav</t>
        </is>
      </c>
      <c r="S60">
        <f>HYPERLINK("https://klasma.github.io/Logging_2039/artfynd/A 49052-2023 artfynd.xlsx", "A 49052-2023")</f>
        <v/>
      </c>
      <c r="T60">
        <f>HYPERLINK("https://klasma.github.io/Logging_2039/kartor/A 49052-2023 karta.png", "A 49052-2023")</f>
        <v/>
      </c>
      <c r="V60">
        <f>HYPERLINK("https://klasma.github.io/Logging_2039/klagomål/A 49052-2023 FSC-klagomål.docx", "A 49052-2023")</f>
        <v/>
      </c>
      <c r="W60">
        <f>HYPERLINK("https://klasma.github.io/Logging_2039/klagomålsmail/A 49052-2023 FSC-klagomål mail.docx", "A 49052-2023")</f>
        <v/>
      </c>
      <c r="X60">
        <f>HYPERLINK("https://klasma.github.io/Logging_2039/tillsyn/A 49052-2023 tillsynsbegäran.docx", "A 49052-2023")</f>
        <v/>
      </c>
      <c r="Y60">
        <f>HYPERLINK("https://klasma.github.io/Logging_2039/tillsynsmail/A 49052-2023 tillsynsbegäran mail.docx", "A 49052-2023")</f>
        <v/>
      </c>
    </row>
    <row r="61" ht="15" customHeight="1">
      <c r="A61" t="inlineStr">
        <is>
          <t>A 32204-2024</t>
        </is>
      </c>
      <c r="B61" s="1" t="n">
        <v>45511.67277777778</v>
      </c>
      <c r="C61" s="1" t="n">
        <v>45880</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Blanksvart spiklav
Kolflarnlav
Mörk kolflarnlav
Vedflamlav</t>
        </is>
      </c>
      <c r="S61">
        <f>HYPERLINK("https://klasma.github.io/Logging_2039/artfynd/A 32204-2024 artfynd.xlsx", "A 32204-2024")</f>
        <v/>
      </c>
      <c r="T61">
        <f>HYPERLINK("https://klasma.github.io/Logging_2039/kartor/A 32204-2024 karta.png", "A 32204-2024")</f>
        <v/>
      </c>
      <c r="V61">
        <f>HYPERLINK("https://klasma.github.io/Logging_2039/klagomål/A 32204-2024 FSC-klagomål.docx", "A 32204-2024")</f>
        <v/>
      </c>
      <c r="W61">
        <f>HYPERLINK("https://klasma.github.io/Logging_2039/klagomålsmail/A 32204-2024 FSC-klagomål mail.docx", "A 32204-2024")</f>
        <v/>
      </c>
      <c r="X61">
        <f>HYPERLINK("https://klasma.github.io/Logging_2039/tillsyn/A 32204-2024 tillsynsbegäran.docx", "A 32204-2024")</f>
        <v/>
      </c>
      <c r="Y61">
        <f>HYPERLINK("https://klasma.github.io/Logging_2039/tillsynsmail/A 32204-2024 tillsynsbegäran mail.docx", "A 32204-2024")</f>
        <v/>
      </c>
    </row>
    <row r="62" ht="15" customHeight="1">
      <c r="A62" t="inlineStr">
        <is>
          <t>A 25090-2025</t>
        </is>
      </c>
      <c r="B62" s="1" t="n">
        <v>45800.31733796297</v>
      </c>
      <c r="C62" s="1" t="n">
        <v>45880</v>
      </c>
      <c r="D62" t="inlineStr">
        <is>
          <t>DALARNAS LÄN</t>
        </is>
      </c>
      <c r="E62" t="inlineStr">
        <is>
          <t>ÄLVDALEN</t>
        </is>
      </c>
      <c r="F62" t="inlineStr">
        <is>
          <t>Sveaskog</t>
        </is>
      </c>
      <c r="G62" t="n">
        <v>12.5</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25090-2025 artfynd.xlsx", "A 25090-2025")</f>
        <v/>
      </c>
      <c r="T62">
        <f>HYPERLINK("https://klasma.github.io/Logging_2039/kartor/A 25090-2025 karta.png", "A 25090-2025")</f>
        <v/>
      </c>
      <c r="V62">
        <f>HYPERLINK("https://klasma.github.io/Logging_2039/klagomål/A 25090-2025 FSC-klagomål.docx", "A 25090-2025")</f>
        <v/>
      </c>
      <c r="W62">
        <f>HYPERLINK("https://klasma.github.io/Logging_2039/klagomålsmail/A 25090-2025 FSC-klagomål mail.docx", "A 25090-2025")</f>
        <v/>
      </c>
      <c r="X62">
        <f>HYPERLINK("https://klasma.github.io/Logging_2039/tillsyn/A 25090-2025 tillsynsbegäran.docx", "A 25090-2025")</f>
        <v/>
      </c>
      <c r="Y62">
        <f>HYPERLINK("https://klasma.github.io/Logging_2039/tillsynsmail/A 25090-2025 tillsynsbegäran mail.docx", "A 25090-2025")</f>
        <v/>
      </c>
    </row>
    <row r="63" ht="15" customHeight="1">
      <c r="A63" t="inlineStr">
        <is>
          <t>A 26765-2025</t>
        </is>
      </c>
      <c r="B63" s="1" t="n">
        <v>45810</v>
      </c>
      <c r="C63" s="1" t="n">
        <v>45880</v>
      </c>
      <c r="D63" t="inlineStr">
        <is>
          <t>DALARNAS LÄN</t>
        </is>
      </c>
      <c r="E63" t="inlineStr">
        <is>
          <t>ÄLVDALEN</t>
        </is>
      </c>
      <c r="F63" t="inlineStr">
        <is>
          <t>Allmännings- och besparingsskogar</t>
        </is>
      </c>
      <c r="G63" t="n">
        <v>17.5</v>
      </c>
      <c r="H63" t="n">
        <v>1</v>
      </c>
      <c r="I63" t="n">
        <v>0</v>
      </c>
      <c r="J63" t="n">
        <v>3</v>
      </c>
      <c r="K63" t="n">
        <v>0</v>
      </c>
      <c r="L63" t="n">
        <v>0</v>
      </c>
      <c r="M63" t="n">
        <v>0</v>
      </c>
      <c r="N63" t="n">
        <v>0</v>
      </c>
      <c r="O63" t="n">
        <v>3</v>
      </c>
      <c r="P63" t="n">
        <v>0</v>
      </c>
      <c r="Q63" t="n">
        <v>4</v>
      </c>
      <c r="R63" s="2" t="inlineStr">
        <is>
          <t>Kolflarnlav
Vedflamlav
Vedskivlav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38819-2024</t>
        </is>
      </c>
      <c r="B64" s="1" t="n">
        <v>45547.5541087963</v>
      </c>
      <c r="C64" s="1" t="n">
        <v>45880</v>
      </c>
      <c r="D64" t="inlineStr">
        <is>
          <t>DALARNAS LÄN</t>
        </is>
      </c>
      <c r="E64" t="inlineStr">
        <is>
          <t>ÄLVDALEN</t>
        </is>
      </c>
      <c r="F64" t="inlineStr">
        <is>
          <t>Sveaskog</t>
        </is>
      </c>
      <c r="G64" t="n">
        <v>2.9</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38819-2024 artfynd.xlsx", "A 38819-2024")</f>
        <v/>
      </c>
      <c r="T64">
        <f>HYPERLINK("https://klasma.github.io/Logging_2039/kartor/A 38819-2024 karta.png", "A 38819-2024")</f>
        <v/>
      </c>
      <c r="V64">
        <f>HYPERLINK("https://klasma.github.io/Logging_2039/klagomål/A 38819-2024 FSC-klagomål.docx", "A 38819-2024")</f>
        <v/>
      </c>
      <c r="W64">
        <f>HYPERLINK("https://klasma.github.io/Logging_2039/klagomålsmail/A 38819-2024 FSC-klagomål mail.docx", "A 38819-2024")</f>
        <v/>
      </c>
      <c r="X64">
        <f>HYPERLINK("https://klasma.github.io/Logging_2039/tillsyn/A 38819-2024 tillsynsbegäran.docx", "A 38819-2024")</f>
        <v/>
      </c>
      <c r="Y64">
        <f>HYPERLINK("https://klasma.github.io/Logging_2039/tillsynsmail/A 38819-2024 tillsynsbegäran mail.docx", "A 38819-2024")</f>
        <v/>
      </c>
    </row>
    <row r="65" ht="15" customHeight="1">
      <c r="A65" t="inlineStr">
        <is>
          <t>A 58570-2020</t>
        </is>
      </c>
      <c r="B65" s="1" t="n">
        <v>44145</v>
      </c>
      <c r="C65" s="1" t="n">
        <v>45880</v>
      </c>
      <c r="D65" t="inlineStr">
        <is>
          <t>DALARNAS LÄN</t>
        </is>
      </c>
      <c r="E65" t="inlineStr">
        <is>
          <t>ÄLVDALEN</t>
        </is>
      </c>
      <c r="F65" t="inlineStr">
        <is>
          <t>Sveaskog</t>
        </is>
      </c>
      <c r="G65" t="n">
        <v>15.3</v>
      </c>
      <c r="H65" t="n">
        <v>0</v>
      </c>
      <c r="I65" t="n">
        <v>1</v>
      </c>
      <c r="J65" t="n">
        <v>2</v>
      </c>
      <c r="K65" t="n">
        <v>0</v>
      </c>
      <c r="L65" t="n">
        <v>0</v>
      </c>
      <c r="M65" t="n">
        <v>0</v>
      </c>
      <c r="N65" t="n">
        <v>0</v>
      </c>
      <c r="O65" t="n">
        <v>2</v>
      </c>
      <c r="P65" t="n">
        <v>0</v>
      </c>
      <c r="Q65" t="n">
        <v>3</v>
      </c>
      <c r="R65" s="2" t="inlineStr">
        <is>
          <t>Kolflarnlav
Vedflamlav
Dropptaggsvamp</t>
        </is>
      </c>
      <c r="S65">
        <f>HYPERLINK("https://klasma.github.io/Logging_2039/artfynd/A 58570-2020 artfynd.xlsx", "A 58570-2020")</f>
        <v/>
      </c>
      <c r="T65">
        <f>HYPERLINK("https://klasma.github.io/Logging_2039/kartor/A 58570-2020 karta.png", "A 58570-2020")</f>
        <v/>
      </c>
      <c r="V65">
        <f>HYPERLINK("https://klasma.github.io/Logging_2039/klagomål/A 58570-2020 FSC-klagomål.docx", "A 58570-2020")</f>
        <v/>
      </c>
      <c r="W65">
        <f>HYPERLINK("https://klasma.github.io/Logging_2039/klagomålsmail/A 58570-2020 FSC-klagomål mail.docx", "A 58570-2020")</f>
        <v/>
      </c>
      <c r="X65">
        <f>HYPERLINK("https://klasma.github.io/Logging_2039/tillsyn/A 58570-2020 tillsynsbegäran.docx", "A 58570-2020")</f>
        <v/>
      </c>
      <c r="Y65">
        <f>HYPERLINK("https://klasma.github.io/Logging_2039/tillsynsmail/A 58570-2020 tillsynsbegäran mail.docx", "A 58570-2020")</f>
        <v/>
      </c>
    </row>
    <row r="66" ht="15" customHeight="1">
      <c r="A66" t="inlineStr">
        <is>
          <t>A 18839-2024</t>
        </is>
      </c>
      <c r="B66" s="1" t="n">
        <v>45426</v>
      </c>
      <c r="C66" s="1" t="n">
        <v>45880</v>
      </c>
      <c r="D66" t="inlineStr">
        <is>
          <t>DALARNAS LÄN</t>
        </is>
      </c>
      <c r="E66" t="inlineStr">
        <is>
          <t>ÄLVDALEN</t>
        </is>
      </c>
      <c r="F66" t="inlineStr">
        <is>
          <t>Sveaskog</t>
        </is>
      </c>
      <c r="G66" t="n">
        <v>1.3</v>
      </c>
      <c r="H66" t="n">
        <v>0</v>
      </c>
      <c r="I66" t="n">
        <v>1</v>
      </c>
      <c r="J66" t="n">
        <v>2</v>
      </c>
      <c r="K66" t="n">
        <v>0</v>
      </c>
      <c r="L66" t="n">
        <v>0</v>
      </c>
      <c r="M66" t="n">
        <v>0</v>
      </c>
      <c r="N66" t="n">
        <v>0</v>
      </c>
      <c r="O66" t="n">
        <v>2</v>
      </c>
      <c r="P66" t="n">
        <v>0</v>
      </c>
      <c r="Q66" t="n">
        <v>3</v>
      </c>
      <c r="R66" s="2" t="inlineStr">
        <is>
          <t>Kolflarnlav
Vedflamlav
Dropptaggsvamp</t>
        </is>
      </c>
      <c r="S66">
        <f>HYPERLINK("https://klasma.github.io/Logging_2039/artfynd/A 18839-2024 artfynd.xlsx", "A 18839-2024")</f>
        <v/>
      </c>
      <c r="T66">
        <f>HYPERLINK("https://klasma.github.io/Logging_2039/kartor/A 18839-2024 karta.png", "A 18839-2024")</f>
        <v/>
      </c>
      <c r="V66">
        <f>HYPERLINK("https://klasma.github.io/Logging_2039/klagomål/A 18839-2024 FSC-klagomål.docx", "A 18839-2024")</f>
        <v/>
      </c>
      <c r="W66">
        <f>HYPERLINK("https://klasma.github.io/Logging_2039/klagomålsmail/A 18839-2024 FSC-klagomål mail.docx", "A 18839-2024")</f>
        <v/>
      </c>
      <c r="X66">
        <f>HYPERLINK("https://klasma.github.io/Logging_2039/tillsyn/A 18839-2024 tillsynsbegäran.docx", "A 18839-2024")</f>
        <v/>
      </c>
      <c r="Y66">
        <f>HYPERLINK("https://klasma.github.io/Logging_2039/tillsynsmail/A 18839-2024 tillsynsbegäran mail.docx", "A 18839-2024")</f>
        <v/>
      </c>
    </row>
    <row r="67" ht="15" customHeight="1">
      <c r="A67" t="inlineStr">
        <is>
          <t>A 41921-2022</t>
        </is>
      </c>
      <c r="B67" s="1" t="n">
        <v>44830</v>
      </c>
      <c r="C67" s="1" t="n">
        <v>45880</v>
      </c>
      <c r="D67" t="inlineStr">
        <is>
          <t>DALARNAS LÄN</t>
        </is>
      </c>
      <c r="E67" t="inlineStr">
        <is>
          <t>ÄLVDALEN</t>
        </is>
      </c>
      <c r="F67" t="inlineStr">
        <is>
          <t>Sveaskog</t>
        </is>
      </c>
      <c r="G67" t="n">
        <v>5.4</v>
      </c>
      <c r="H67" t="n">
        <v>1</v>
      </c>
      <c r="I67" t="n">
        <v>0</v>
      </c>
      <c r="J67" t="n">
        <v>3</v>
      </c>
      <c r="K67" t="n">
        <v>0</v>
      </c>
      <c r="L67" t="n">
        <v>0</v>
      </c>
      <c r="M67" t="n">
        <v>0</v>
      </c>
      <c r="N67" t="n">
        <v>0</v>
      </c>
      <c r="O67" t="n">
        <v>3</v>
      </c>
      <c r="P67" t="n">
        <v>0</v>
      </c>
      <c r="Q67" t="n">
        <v>3</v>
      </c>
      <c r="R67" s="2" t="inlineStr">
        <is>
          <t>Blågrå svartspik
Tretåig hackspett
Vedskivlav</t>
        </is>
      </c>
      <c r="S67">
        <f>HYPERLINK("https://klasma.github.io/Logging_2039/artfynd/A 41921-2022 artfynd.xlsx", "A 41921-2022")</f>
        <v/>
      </c>
      <c r="T67">
        <f>HYPERLINK("https://klasma.github.io/Logging_2039/kartor/A 41921-2022 karta.png", "A 41921-2022")</f>
        <v/>
      </c>
      <c r="V67">
        <f>HYPERLINK("https://klasma.github.io/Logging_2039/klagomål/A 41921-2022 FSC-klagomål.docx", "A 41921-2022")</f>
        <v/>
      </c>
      <c r="W67">
        <f>HYPERLINK("https://klasma.github.io/Logging_2039/klagomålsmail/A 41921-2022 FSC-klagomål mail.docx", "A 41921-2022")</f>
        <v/>
      </c>
      <c r="X67">
        <f>HYPERLINK("https://klasma.github.io/Logging_2039/tillsyn/A 41921-2022 tillsynsbegäran.docx", "A 41921-2022")</f>
        <v/>
      </c>
      <c r="Y67">
        <f>HYPERLINK("https://klasma.github.io/Logging_2039/tillsynsmail/A 41921-2022 tillsynsbegäran mail.docx", "A 41921-2022")</f>
        <v/>
      </c>
      <c r="Z67">
        <f>HYPERLINK("https://klasma.github.io/Logging_2039/fåglar/A 41921-2022 prioriterade fågelarter.docx", "A 41921-2022")</f>
        <v/>
      </c>
    </row>
    <row r="68" ht="15" customHeight="1">
      <c r="A68" t="inlineStr">
        <is>
          <t>A 35141-2023</t>
        </is>
      </c>
      <c r="B68" s="1" t="n">
        <v>45145</v>
      </c>
      <c r="C68" s="1" t="n">
        <v>45880</v>
      </c>
      <c r="D68" t="inlineStr">
        <is>
          <t>DALARNAS LÄN</t>
        </is>
      </c>
      <c r="E68" t="inlineStr">
        <is>
          <t>ÄLVDALEN</t>
        </is>
      </c>
      <c r="F68" t="inlineStr">
        <is>
          <t>Sveaskog</t>
        </is>
      </c>
      <c r="G68" t="n">
        <v>1.8</v>
      </c>
      <c r="H68" t="n">
        <v>1</v>
      </c>
      <c r="I68" t="n">
        <v>0</v>
      </c>
      <c r="J68" t="n">
        <v>3</v>
      </c>
      <c r="K68" t="n">
        <v>0</v>
      </c>
      <c r="L68" t="n">
        <v>0</v>
      </c>
      <c r="M68" t="n">
        <v>0</v>
      </c>
      <c r="N68" t="n">
        <v>0</v>
      </c>
      <c r="O68" t="n">
        <v>3</v>
      </c>
      <c r="P68" t="n">
        <v>0</v>
      </c>
      <c r="Q68" t="n">
        <v>3</v>
      </c>
      <c r="R68" s="2" t="inlineStr">
        <is>
          <t>Garnlav
Kolflarnlav
Varglav</t>
        </is>
      </c>
      <c r="S68">
        <f>HYPERLINK("https://klasma.github.io/Logging_2039/artfynd/A 35141-2023 artfynd.xlsx", "A 35141-2023")</f>
        <v/>
      </c>
      <c r="T68">
        <f>HYPERLINK("https://klasma.github.io/Logging_2039/kartor/A 35141-2023 karta.png", "A 35141-2023")</f>
        <v/>
      </c>
      <c r="V68">
        <f>HYPERLINK("https://klasma.github.io/Logging_2039/klagomål/A 35141-2023 FSC-klagomål.docx", "A 35141-2023")</f>
        <v/>
      </c>
      <c r="W68">
        <f>HYPERLINK("https://klasma.github.io/Logging_2039/klagomålsmail/A 35141-2023 FSC-klagomål mail.docx", "A 35141-2023")</f>
        <v/>
      </c>
      <c r="X68">
        <f>HYPERLINK("https://klasma.github.io/Logging_2039/tillsyn/A 35141-2023 tillsynsbegäran.docx", "A 35141-2023")</f>
        <v/>
      </c>
      <c r="Y68">
        <f>HYPERLINK("https://klasma.github.io/Logging_2039/tillsynsmail/A 35141-2023 tillsynsbegäran mail.docx", "A 35141-2023")</f>
        <v/>
      </c>
    </row>
    <row r="69" ht="15" customHeight="1">
      <c r="A69" t="inlineStr">
        <is>
          <t>A 22191-2025</t>
        </is>
      </c>
      <c r="B69" s="1" t="n">
        <v>45785.62809027778</v>
      </c>
      <c r="C69" s="1" t="n">
        <v>45880</v>
      </c>
      <c r="D69" t="inlineStr">
        <is>
          <t>DALARNAS LÄN</t>
        </is>
      </c>
      <c r="E69" t="inlineStr">
        <is>
          <t>ÄLVDALEN</t>
        </is>
      </c>
      <c r="F69" t="inlineStr">
        <is>
          <t>Sveaskog</t>
        </is>
      </c>
      <c r="G69" t="n">
        <v>1.7</v>
      </c>
      <c r="H69" t="n">
        <v>0</v>
      </c>
      <c r="I69" t="n">
        <v>0</v>
      </c>
      <c r="J69" t="n">
        <v>3</v>
      </c>
      <c r="K69" t="n">
        <v>0</v>
      </c>
      <c r="L69" t="n">
        <v>0</v>
      </c>
      <c r="M69" t="n">
        <v>0</v>
      </c>
      <c r="N69" t="n">
        <v>0</v>
      </c>
      <c r="O69" t="n">
        <v>3</v>
      </c>
      <c r="P69" t="n">
        <v>0</v>
      </c>
      <c r="Q69" t="n">
        <v>3</v>
      </c>
      <c r="R69" s="2" t="inlineStr">
        <is>
          <t>Kolflarnlav
Tallticka
Vedflamlav</t>
        </is>
      </c>
      <c r="S69">
        <f>HYPERLINK("https://klasma.github.io/Logging_2039/artfynd/A 22191-2025 artfynd.xlsx", "A 22191-2025")</f>
        <v/>
      </c>
      <c r="T69">
        <f>HYPERLINK("https://klasma.github.io/Logging_2039/kartor/A 22191-2025 karta.png", "A 22191-2025")</f>
        <v/>
      </c>
      <c r="V69">
        <f>HYPERLINK("https://klasma.github.io/Logging_2039/klagomål/A 22191-2025 FSC-klagomål.docx", "A 22191-2025")</f>
        <v/>
      </c>
      <c r="W69">
        <f>HYPERLINK("https://klasma.github.io/Logging_2039/klagomålsmail/A 22191-2025 FSC-klagomål mail.docx", "A 22191-2025")</f>
        <v/>
      </c>
      <c r="X69">
        <f>HYPERLINK("https://klasma.github.io/Logging_2039/tillsyn/A 22191-2025 tillsynsbegäran.docx", "A 22191-2025")</f>
        <v/>
      </c>
      <c r="Y69">
        <f>HYPERLINK("https://klasma.github.io/Logging_2039/tillsynsmail/A 22191-2025 tillsynsbegäran mail.docx", "A 22191-2025")</f>
        <v/>
      </c>
    </row>
    <row r="70" ht="15" customHeight="1">
      <c r="A70" t="inlineStr">
        <is>
          <t>A 44128-2023</t>
        </is>
      </c>
      <c r="B70" s="1" t="n">
        <v>45188.45712962963</v>
      </c>
      <c r="C70" s="1" t="n">
        <v>45880</v>
      </c>
      <c r="D70" t="inlineStr">
        <is>
          <t>DALARNAS LÄN</t>
        </is>
      </c>
      <c r="E70" t="inlineStr">
        <is>
          <t>ÄLVDALEN</t>
        </is>
      </c>
      <c r="F70" t="inlineStr">
        <is>
          <t>Sveaskog</t>
        </is>
      </c>
      <c r="G70" t="n">
        <v>1.8</v>
      </c>
      <c r="H70" t="n">
        <v>0</v>
      </c>
      <c r="I70" t="n">
        <v>1</v>
      </c>
      <c r="J70" t="n">
        <v>2</v>
      </c>
      <c r="K70" t="n">
        <v>0</v>
      </c>
      <c r="L70" t="n">
        <v>0</v>
      </c>
      <c r="M70" t="n">
        <v>0</v>
      </c>
      <c r="N70" t="n">
        <v>0</v>
      </c>
      <c r="O70" t="n">
        <v>2</v>
      </c>
      <c r="P70" t="n">
        <v>0</v>
      </c>
      <c r="Q70" t="n">
        <v>3</v>
      </c>
      <c r="R70" s="2" t="inlineStr">
        <is>
          <t>Blanksvart spiklav
Talltaggsvamp
Skarp dropptaggsvamp</t>
        </is>
      </c>
      <c r="S70">
        <f>HYPERLINK("https://klasma.github.io/Logging_2039/artfynd/A 44128-2023 artfynd.xlsx", "A 44128-2023")</f>
        <v/>
      </c>
      <c r="T70">
        <f>HYPERLINK("https://klasma.github.io/Logging_2039/kartor/A 44128-2023 karta.png", "A 44128-2023")</f>
        <v/>
      </c>
      <c r="V70">
        <f>HYPERLINK("https://klasma.github.io/Logging_2039/klagomål/A 44128-2023 FSC-klagomål.docx", "A 44128-2023")</f>
        <v/>
      </c>
      <c r="W70">
        <f>HYPERLINK("https://klasma.github.io/Logging_2039/klagomålsmail/A 44128-2023 FSC-klagomål mail.docx", "A 44128-2023")</f>
        <v/>
      </c>
      <c r="X70">
        <f>HYPERLINK("https://klasma.github.io/Logging_2039/tillsyn/A 44128-2023 tillsynsbegäran.docx", "A 44128-2023")</f>
        <v/>
      </c>
      <c r="Y70">
        <f>HYPERLINK("https://klasma.github.io/Logging_2039/tillsynsmail/A 44128-2023 tillsynsbegäran mail.docx", "A 44128-2023")</f>
        <v/>
      </c>
    </row>
    <row r="71" ht="15" customHeight="1">
      <c r="A71" t="inlineStr">
        <is>
          <t>A 22291-2025</t>
        </is>
      </c>
      <c r="B71" s="1" t="n">
        <v>45786.34568287037</v>
      </c>
      <c r="C71" s="1" t="n">
        <v>45880</v>
      </c>
      <c r="D71" t="inlineStr">
        <is>
          <t>DALARNAS LÄN</t>
        </is>
      </c>
      <c r="E71" t="inlineStr">
        <is>
          <t>ÄLVDALEN</t>
        </is>
      </c>
      <c r="F71" t="inlineStr">
        <is>
          <t>Sveaskog</t>
        </is>
      </c>
      <c r="G71" t="n">
        <v>3.7</v>
      </c>
      <c r="H71" t="n">
        <v>0</v>
      </c>
      <c r="I71" t="n">
        <v>0</v>
      </c>
      <c r="J71" t="n">
        <v>3</v>
      </c>
      <c r="K71" t="n">
        <v>0</v>
      </c>
      <c r="L71" t="n">
        <v>0</v>
      </c>
      <c r="M71" t="n">
        <v>0</v>
      </c>
      <c r="N71" t="n">
        <v>0</v>
      </c>
      <c r="O71" t="n">
        <v>3</v>
      </c>
      <c r="P71" t="n">
        <v>0</v>
      </c>
      <c r="Q71" t="n">
        <v>3</v>
      </c>
      <c r="R71" s="2" t="inlineStr">
        <is>
          <t>Kolflarnlav
Mörk kolflarnlav
Vedflamlav</t>
        </is>
      </c>
      <c r="S71">
        <f>HYPERLINK("https://klasma.github.io/Logging_2039/artfynd/A 22291-2025 artfynd.xlsx", "A 22291-2025")</f>
        <v/>
      </c>
      <c r="T71">
        <f>HYPERLINK("https://klasma.github.io/Logging_2039/kartor/A 22291-2025 karta.png", "A 22291-2025")</f>
        <v/>
      </c>
      <c r="V71">
        <f>HYPERLINK("https://klasma.github.io/Logging_2039/klagomål/A 22291-2025 FSC-klagomål.docx", "A 22291-2025")</f>
        <v/>
      </c>
      <c r="W71">
        <f>HYPERLINK("https://klasma.github.io/Logging_2039/klagomålsmail/A 22291-2025 FSC-klagomål mail.docx", "A 22291-2025")</f>
        <v/>
      </c>
      <c r="X71">
        <f>HYPERLINK("https://klasma.github.io/Logging_2039/tillsyn/A 22291-2025 tillsynsbegäran.docx", "A 22291-2025")</f>
        <v/>
      </c>
      <c r="Y71">
        <f>HYPERLINK("https://klasma.github.io/Logging_2039/tillsynsmail/A 22291-2025 tillsynsbegäran mail.docx", "A 22291-2025")</f>
        <v/>
      </c>
    </row>
    <row r="72" ht="15" customHeight="1">
      <c r="A72" t="inlineStr">
        <is>
          <t>A 33645-2025</t>
        </is>
      </c>
      <c r="B72" s="1" t="n">
        <v>45841.65282407407</v>
      </c>
      <c r="C72" s="1" t="n">
        <v>45880</v>
      </c>
      <c r="D72" t="inlineStr">
        <is>
          <t>DALARNAS LÄN</t>
        </is>
      </c>
      <c r="E72" t="inlineStr">
        <is>
          <t>ÄLVDALEN</t>
        </is>
      </c>
      <c r="F72" t="inlineStr">
        <is>
          <t>Sveaskog</t>
        </is>
      </c>
      <c r="G72" t="n">
        <v>1.6</v>
      </c>
      <c r="H72" t="n">
        <v>0</v>
      </c>
      <c r="I72" t="n">
        <v>0</v>
      </c>
      <c r="J72" t="n">
        <v>3</v>
      </c>
      <c r="K72" t="n">
        <v>0</v>
      </c>
      <c r="L72" t="n">
        <v>0</v>
      </c>
      <c r="M72" t="n">
        <v>0</v>
      </c>
      <c r="N72" t="n">
        <v>0</v>
      </c>
      <c r="O72" t="n">
        <v>3</v>
      </c>
      <c r="P72" t="n">
        <v>0</v>
      </c>
      <c r="Q72" t="n">
        <v>3</v>
      </c>
      <c r="R72" s="2" t="inlineStr">
        <is>
          <t>Dvärgbägarlav
Kolflarnlav
Vedflamlav</t>
        </is>
      </c>
      <c r="S72">
        <f>HYPERLINK("https://klasma.github.io/Logging_2039/artfynd/A 33645-2025 artfynd.xlsx", "A 33645-2025")</f>
        <v/>
      </c>
      <c r="T72">
        <f>HYPERLINK("https://klasma.github.io/Logging_2039/kartor/A 33645-2025 karta.png", "A 33645-2025")</f>
        <v/>
      </c>
      <c r="V72">
        <f>HYPERLINK("https://klasma.github.io/Logging_2039/klagomål/A 33645-2025 FSC-klagomål.docx", "A 33645-2025")</f>
        <v/>
      </c>
      <c r="W72">
        <f>HYPERLINK("https://klasma.github.io/Logging_2039/klagomålsmail/A 33645-2025 FSC-klagomål mail.docx", "A 33645-2025")</f>
        <v/>
      </c>
      <c r="X72">
        <f>HYPERLINK("https://klasma.github.io/Logging_2039/tillsyn/A 33645-2025 tillsynsbegäran.docx", "A 33645-2025")</f>
        <v/>
      </c>
      <c r="Y72">
        <f>HYPERLINK("https://klasma.github.io/Logging_2039/tillsynsmail/A 33645-2025 tillsynsbegäran mail.docx", "A 33645-2025")</f>
        <v/>
      </c>
    </row>
    <row r="73" ht="15" customHeight="1">
      <c r="A73" t="inlineStr">
        <is>
          <t>A 7024-2024</t>
        </is>
      </c>
      <c r="B73" s="1" t="n">
        <v>45343.57924768519</v>
      </c>
      <c r="C73" s="1" t="n">
        <v>45880</v>
      </c>
      <c r="D73" t="inlineStr">
        <is>
          <t>DALARNAS LÄN</t>
        </is>
      </c>
      <c r="E73" t="inlineStr">
        <is>
          <t>ÄLVDALEN</t>
        </is>
      </c>
      <c r="F73" t="inlineStr">
        <is>
          <t>Sveaskog</t>
        </is>
      </c>
      <c r="G73" t="n">
        <v>30.1</v>
      </c>
      <c r="H73" t="n">
        <v>0</v>
      </c>
      <c r="I73" t="n">
        <v>0</v>
      </c>
      <c r="J73" t="n">
        <v>2</v>
      </c>
      <c r="K73" t="n">
        <v>1</v>
      </c>
      <c r="L73" t="n">
        <v>0</v>
      </c>
      <c r="M73" t="n">
        <v>0</v>
      </c>
      <c r="N73" t="n">
        <v>0</v>
      </c>
      <c r="O73" t="n">
        <v>3</v>
      </c>
      <c r="P73" t="n">
        <v>1</v>
      </c>
      <c r="Q73" t="n">
        <v>3</v>
      </c>
      <c r="R73" s="2" t="inlineStr">
        <is>
          <t>Gräddporing
Nordtagging
Vaddporing</t>
        </is>
      </c>
      <c r="S73">
        <f>HYPERLINK("https://klasma.github.io/Logging_2039/artfynd/A 7024-2024 artfynd.xlsx", "A 7024-2024")</f>
        <v/>
      </c>
      <c r="T73">
        <f>HYPERLINK("https://klasma.github.io/Logging_2039/kartor/A 7024-2024 karta.png", "A 7024-2024")</f>
        <v/>
      </c>
      <c r="V73">
        <f>HYPERLINK("https://klasma.github.io/Logging_2039/klagomål/A 7024-2024 FSC-klagomål.docx", "A 7024-2024")</f>
        <v/>
      </c>
      <c r="W73">
        <f>HYPERLINK("https://klasma.github.io/Logging_2039/klagomålsmail/A 7024-2024 FSC-klagomål mail.docx", "A 7024-2024")</f>
        <v/>
      </c>
      <c r="X73">
        <f>HYPERLINK("https://klasma.github.io/Logging_2039/tillsyn/A 7024-2024 tillsynsbegäran.docx", "A 7024-2024")</f>
        <v/>
      </c>
      <c r="Y73">
        <f>HYPERLINK("https://klasma.github.io/Logging_2039/tillsynsmail/A 7024-2024 tillsynsbegäran mail.docx", "A 7024-2024")</f>
        <v/>
      </c>
    </row>
    <row r="74" ht="15" customHeight="1">
      <c r="A74" t="inlineStr">
        <is>
          <t>A 51732-2021</t>
        </is>
      </c>
      <c r="B74" s="1" t="n">
        <v>44461</v>
      </c>
      <c r="C74" s="1" t="n">
        <v>45880</v>
      </c>
      <c r="D74" t="inlineStr">
        <is>
          <t>DALARNAS LÄN</t>
        </is>
      </c>
      <c r="E74" t="inlineStr">
        <is>
          <t>ÄLVDALEN</t>
        </is>
      </c>
      <c r="F74" t="inlineStr">
        <is>
          <t>Övriga statliga verk och myndigheter</t>
        </is>
      </c>
      <c r="G74" t="n">
        <v>5</v>
      </c>
      <c r="H74" t="n">
        <v>0</v>
      </c>
      <c r="I74" t="n">
        <v>2</v>
      </c>
      <c r="J74" t="n">
        <v>1</v>
      </c>
      <c r="K74" t="n">
        <v>0</v>
      </c>
      <c r="L74" t="n">
        <v>0</v>
      </c>
      <c r="M74" t="n">
        <v>0</v>
      </c>
      <c r="N74" t="n">
        <v>0</v>
      </c>
      <c r="O74" t="n">
        <v>1</v>
      </c>
      <c r="P74" t="n">
        <v>0</v>
      </c>
      <c r="Q74" t="n">
        <v>3</v>
      </c>
      <c r="R74" s="2" t="inlineStr">
        <is>
          <t>Garnlav
Svavelriska
Vedticka</t>
        </is>
      </c>
      <c r="S74">
        <f>HYPERLINK("https://klasma.github.io/Logging_2039/artfynd/A 51732-2021 artfynd.xlsx", "A 51732-2021")</f>
        <v/>
      </c>
      <c r="T74">
        <f>HYPERLINK("https://klasma.github.io/Logging_2039/kartor/A 51732-2021 karta.png", "A 51732-2021")</f>
        <v/>
      </c>
      <c r="V74">
        <f>HYPERLINK("https://klasma.github.io/Logging_2039/klagomål/A 51732-2021 FSC-klagomål.docx", "A 51732-2021")</f>
        <v/>
      </c>
      <c r="W74">
        <f>HYPERLINK("https://klasma.github.io/Logging_2039/klagomålsmail/A 51732-2021 FSC-klagomål mail.docx", "A 51732-2021")</f>
        <v/>
      </c>
      <c r="X74">
        <f>HYPERLINK("https://klasma.github.io/Logging_2039/tillsyn/A 51732-2021 tillsynsbegäran.docx", "A 51732-2021")</f>
        <v/>
      </c>
      <c r="Y74">
        <f>HYPERLINK("https://klasma.github.io/Logging_2039/tillsynsmail/A 51732-2021 tillsynsbegäran mail.docx", "A 51732-2021")</f>
        <v/>
      </c>
    </row>
    <row r="75" ht="15" customHeight="1">
      <c r="A75" t="inlineStr">
        <is>
          <t>A 19262-2025</t>
        </is>
      </c>
      <c r="B75" s="1" t="n">
        <v>45769.51054398148</v>
      </c>
      <c r="C75" s="1" t="n">
        <v>45880</v>
      </c>
      <c r="D75" t="inlineStr">
        <is>
          <t>DALARNAS LÄN</t>
        </is>
      </c>
      <c r="E75" t="inlineStr">
        <is>
          <t>ÄLVDALEN</t>
        </is>
      </c>
      <c r="F75" t="inlineStr">
        <is>
          <t>Allmännings- och besparingsskogar</t>
        </is>
      </c>
      <c r="G75" t="n">
        <v>8.800000000000001</v>
      </c>
      <c r="H75" t="n">
        <v>0</v>
      </c>
      <c r="I75" t="n">
        <v>0</v>
      </c>
      <c r="J75" t="n">
        <v>2</v>
      </c>
      <c r="K75" t="n">
        <v>1</v>
      </c>
      <c r="L75" t="n">
        <v>0</v>
      </c>
      <c r="M75" t="n">
        <v>0</v>
      </c>
      <c r="N75" t="n">
        <v>0</v>
      </c>
      <c r="O75" t="n">
        <v>3</v>
      </c>
      <c r="P75" t="n">
        <v>1</v>
      </c>
      <c r="Q75" t="n">
        <v>3</v>
      </c>
      <c r="R75" s="2" t="inlineStr">
        <is>
          <t>Gräddporing
Dvärgbägarlav
Nordtagging</t>
        </is>
      </c>
      <c r="S75">
        <f>HYPERLINK("https://klasma.github.io/Logging_2039/artfynd/A 19262-2025 artfynd.xlsx", "A 19262-2025")</f>
        <v/>
      </c>
      <c r="T75">
        <f>HYPERLINK("https://klasma.github.io/Logging_2039/kartor/A 19262-2025 karta.png", "A 19262-2025")</f>
        <v/>
      </c>
      <c r="V75">
        <f>HYPERLINK("https://klasma.github.io/Logging_2039/klagomål/A 19262-2025 FSC-klagomål.docx", "A 19262-2025")</f>
        <v/>
      </c>
      <c r="W75">
        <f>HYPERLINK("https://klasma.github.io/Logging_2039/klagomålsmail/A 19262-2025 FSC-klagomål mail.docx", "A 19262-2025")</f>
        <v/>
      </c>
      <c r="X75">
        <f>HYPERLINK("https://klasma.github.io/Logging_2039/tillsyn/A 19262-2025 tillsynsbegäran.docx", "A 19262-2025")</f>
        <v/>
      </c>
      <c r="Y75">
        <f>HYPERLINK("https://klasma.github.io/Logging_2039/tillsynsmail/A 19262-2025 tillsynsbegäran mail.docx", "A 19262-2025")</f>
        <v/>
      </c>
    </row>
    <row r="76" ht="15" customHeight="1">
      <c r="A76" t="inlineStr">
        <is>
          <t>A 26751-2025</t>
        </is>
      </c>
      <c r="B76" s="1" t="n">
        <v>45810.55134259259</v>
      </c>
      <c r="C76" s="1" t="n">
        <v>45880</v>
      </c>
      <c r="D76" t="inlineStr">
        <is>
          <t>DALARNAS LÄN</t>
        </is>
      </c>
      <c r="E76" t="inlineStr">
        <is>
          <t>ÄLVDALEN</t>
        </is>
      </c>
      <c r="F76" t="inlineStr">
        <is>
          <t>Allmännings- och besparingsskogar</t>
        </is>
      </c>
      <c r="G76" t="n">
        <v>3.6</v>
      </c>
      <c r="H76" t="n">
        <v>1</v>
      </c>
      <c r="I76" t="n">
        <v>1</v>
      </c>
      <c r="J76" t="n">
        <v>2</v>
      </c>
      <c r="K76" t="n">
        <v>0</v>
      </c>
      <c r="L76" t="n">
        <v>0</v>
      </c>
      <c r="M76" t="n">
        <v>0</v>
      </c>
      <c r="N76" t="n">
        <v>0</v>
      </c>
      <c r="O76" t="n">
        <v>2</v>
      </c>
      <c r="P76" t="n">
        <v>0</v>
      </c>
      <c r="Q76" t="n">
        <v>3</v>
      </c>
      <c r="R76" s="2" t="inlineStr">
        <is>
          <t>Garnlav
Skrovellav
Spindelblomster</t>
        </is>
      </c>
      <c r="S76">
        <f>HYPERLINK("https://klasma.github.io/Logging_2039/artfynd/A 26751-2025 artfynd.xlsx", "A 26751-2025")</f>
        <v/>
      </c>
      <c r="T76">
        <f>HYPERLINK("https://klasma.github.io/Logging_2039/kartor/A 26751-2025 karta.png", "A 26751-2025")</f>
        <v/>
      </c>
      <c r="V76">
        <f>HYPERLINK("https://klasma.github.io/Logging_2039/klagomål/A 26751-2025 FSC-klagomål.docx", "A 26751-2025")</f>
        <v/>
      </c>
      <c r="W76">
        <f>HYPERLINK("https://klasma.github.io/Logging_2039/klagomålsmail/A 26751-2025 FSC-klagomål mail.docx", "A 26751-2025")</f>
        <v/>
      </c>
      <c r="X76">
        <f>HYPERLINK("https://klasma.github.io/Logging_2039/tillsyn/A 26751-2025 tillsynsbegäran.docx", "A 26751-2025")</f>
        <v/>
      </c>
      <c r="Y76">
        <f>HYPERLINK("https://klasma.github.io/Logging_2039/tillsynsmail/A 26751-2025 tillsynsbegäran mail.docx", "A 26751-2025")</f>
        <v/>
      </c>
    </row>
    <row r="77" ht="15" customHeight="1">
      <c r="A77" t="inlineStr">
        <is>
          <t>A 43740-2024</t>
        </is>
      </c>
      <c r="B77" s="1" t="n">
        <v>45569.65748842592</v>
      </c>
      <c r="C77" s="1" t="n">
        <v>45880</v>
      </c>
      <c r="D77" t="inlineStr">
        <is>
          <t>DALARNAS LÄN</t>
        </is>
      </c>
      <c r="E77" t="inlineStr">
        <is>
          <t>ÄLVDALEN</t>
        </is>
      </c>
      <c r="F77" t="inlineStr">
        <is>
          <t>Sveaskog</t>
        </is>
      </c>
      <c r="G77" t="n">
        <v>2.3</v>
      </c>
      <c r="H77" t="n">
        <v>0</v>
      </c>
      <c r="I77" t="n">
        <v>0</v>
      </c>
      <c r="J77" t="n">
        <v>3</v>
      </c>
      <c r="K77" t="n">
        <v>0</v>
      </c>
      <c r="L77" t="n">
        <v>0</v>
      </c>
      <c r="M77" t="n">
        <v>0</v>
      </c>
      <c r="N77" t="n">
        <v>0</v>
      </c>
      <c r="O77" t="n">
        <v>3</v>
      </c>
      <c r="P77" t="n">
        <v>0</v>
      </c>
      <c r="Q77" t="n">
        <v>3</v>
      </c>
      <c r="R77" s="2" t="inlineStr">
        <is>
          <t>Kolflarnlav
Mörk kolflarnlav
Vedflamlav</t>
        </is>
      </c>
      <c r="S77">
        <f>HYPERLINK("https://klasma.github.io/Logging_2039/artfynd/A 43740-2024 artfynd.xlsx", "A 43740-2024")</f>
        <v/>
      </c>
      <c r="T77">
        <f>HYPERLINK("https://klasma.github.io/Logging_2039/kartor/A 43740-2024 karta.png", "A 43740-2024")</f>
        <v/>
      </c>
      <c r="V77">
        <f>HYPERLINK("https://klasma.github.io/Logging_2039/klagomål/A 43740-2024 FSC-klagomål.docx", "A 43740-2024")</f>
        <v/>
      </c>
      <c r="W77">
        <f>HYPERLINK("https://klasma.github.io/Logging_2039/klagomålsmail/A 43740-2024 FSC-klagomål mail.docx", "A 43740-2024")</f>
        <v/>
      </c>
      <c r="X77">
        <f>HYPERLINK("https://klasma.github.io/Logging_2039/tillsyn/A 43740-2024 tillsynsbegäran.docx", "A 43740-2024")</f>
        <v/>
      </c>
      <c r="Y77">
        <f>HYPERLINK("https://klasma.github.io/Logging_2039/tillsynsmail/A 43740-2024 tillsynsbegäran mail.docx", "A 43740-2024")</f>
        <v/>
      </c>
    </row>
    <row r="78" ht="15" customHeight="1">
      <c r="A78" t="inlineStr">
        <is>
          <t>A 27933-2025</t>
        </is>
      </c>
      <c r="B78" s="1" t="n">
        <v>45817.49630787037</v>
      </c>
      <c r="C78" s="1" t="n">
        <v>45880</v>
      </c>
      <c r="D78" t="inlineStr">
        <is>
          <t>DALARNAS LÄN</t>
        </is>
      </c>
      <c r="E78" t="inlineStr">
        <is>
          <t>ÄLVDALEN</t>
        </is>
      </c>
      <c r="F78" t="inlineStr">
        <is>
          <t>Sveaskog</t>
        </is>
      </c>
      <c r="G78" t="n">
        <v>2.5</v>
      </c>
      <c r="H78" t="n">
        <v>0</v>
      </c>
      <c r="I78" t="n">
        <v>0</v>
      </c>
      <c r="J78" t="n">
        <v>3</v>
      </c>
      <c r="K78" t="n">
        <v>0</v>
      </c>
      <c r="L78" t="n">
        <v>0</v>
      </c>
      <c r="M78" t="n">
        <v>0</v>
      </c>
      <c r="N78" t="n">
        <v>0</v>
      </c>
      <c r="O78" t="n">
        <v>3</v>
      </c>
      <c r="P78" t="n">
        <v>0</v>
      </c>
      <c r="Q78" t="n">
        <v>3</v>
      </c>
      <c r="R78" s="2" t="inlineStr">
        <is>
          <t>Kolflarnlav
Mörk kolflarnlav
Vedflamlav</t>
        </is>
      </c>
      <c r="S78">
        <f>HYPERLINK("https://klasma.github.io/Logging_2039/artfynd/A 27933-2025 artfynd.xlsx", "A 27933-2025")</f>
        <v/>
      </c>
      <c r="T78">
        <f>HYPERLINK("https://klasma.github.io/Logging_2039/kartor/A 27933-2025 karta.png", "A 27933-2025")</f>
        <v/>
      </c>
      <c r="V78">
        <f>HYPERLINK("https://klasma.github.io/Logging_2039/klagomål/A 27933-2025 FSC-klagomål.docx", "A 27933-2025")</f>
        <v/>
      </c>
      <c r="W78">
        <f>HYPERLINK("https://klasma.github.io/Logging_2039/klagomålsmail/A 27933-2025 FSC-klagomål mail.docx", "A 27933-2025")</f>
        <v/>
      </c>
      <c r="X78">
        <f>HYPERLINK("https://klasma.github.io/Logging_2039/tillsyn/A 27933-2025 tillsynsbegäran.docx", "A 27933-2025")</f>
        <v/>
      </c>
      <c r="Y78">
        <f>HYPERLINK("https://klasma.github.io/Logging_2039/tillsynsmail/A 27933-2025 tillsynsbegäran mail.docx", "A 27933-2025")</f>
        <v/>
      </c>
    </row>
    <row r="79" ht="15" customHeight="1">
      <c r="A79" t="inlineStr">
        <is>
          <t>A 41909-2022</t>
        </is>
      </c>
      <c r="B79" s="1" t="n">
        <v>44830</v>
      </c>
      <c r="C79" s="1" t="n">
        <v>45880</v>
      </c>
      <c r="D79" t="inlineStr">
        <is>
          <t>DALARNAS LÄN</t>
        </is>
      </c>
      <c r="E79" t="inlineStr">
        <is>
          <t>ÄLVDALEN</t>
        </is>
      </c>
      <c r="F79" t="inlineStr">
        <is>
          <t>Sveaskog</t>
        </is>
      </c>
      <c r="G79" t="n">
        <v>3.5</v>
      </c>
      <c r="H79" t="n">
        <v>1</v>
      </c>
      <c r="I79" t="n">
        <v>0</v>
      </c>
      <c r="J79" t="n">
        <v>2</v>
      </c>
      <c r="K79" t="n">
        <v>1</v>
      </c>
      <c r="L79" t="n">
        <v>0</v>
      </c>
      <c r="M79" t="n">
        <v>0</v>
      </c>
      <c r="N79" t="n">
        <v>0</v>
      </c>
      <c r="O79" t="n">
        <v>3</v>
      </c>
      <c r="P79" t="n">
        <v>1</v>
      </c>
      <c r="Q79" t="n">
        <v>3</v>
      </c>
      <c r="R79" s="2" t="inlineStr">
        <is>
          <t>Tajgataggsvamp
Blanksvart spiklav
Talltita</t>
        </is>
      </c>
      <c r="S79">
        <f>HYPERLINK("https://klasma.github.io/Logging_2039/artfynd/A 41909-2022 artfynd.xlsx", "A 41909-2022")</f>
        <v/>
      </c>
      <c r="T79">
        <f>HYPERLINK("https://klasma.github.io/Logging_2039/kartor/A 41909-2022 karta.png", "A 41909-2022")</f>
        <v/>
      </c>
      <c r="V79">
        <f>HYPERLINK("https://klasma.github.io/Logging_2039/klagomål/A 41909-2022 FSC-klagomål.docx", "A 41909-2022")</f>
        <v/>
      </c>
      <c r="W79">
        <f>HYPERLINK("https://klasma.github.io/Logging_2039/klagomålsmail/A 41909-2022 FSC-klagomål mail.docx", "A 41909-2022")</f>
        <v/>
      </c>
      <c r="X79">
        <f>HYPERLINK("https://klasma.github.io/Logging_2039/tillsyn/A 41909-2022 tillsynsbegäran.docx", "A 41909-2022")</f>
        <v/>
      </c>
      <c r="Y79">
        <f>HYPERLINK("https://klasma.github.io/Logging_2039/tillsynsmail/A 41909-2022 tillsynsbegäran mail.docx", "A 41909-2022")</f>
        <v/>
      </c>
      <c r="Z79">
        <f>HYPERLINK("https://klasma.github.io/Logging_2039/fåglar/A 41909-2022 prioriterade fågelarter.docx", "A 41909-2022")</f>
        <v/>
      </c>
    </row>
    <row r="80" ht="15" customHeight="1">
      <c r="A80" t="inlineStr">
        <is>
          <t>A 31057-2024</t>
        </is>
      </c>
      <c r="B80" s="1" t="n">
        <v>45502.37813657407</v>
      </c>
      <c r="C80" s="1" t="n">
        <v>45880</v>
      </c>
      <c r="D80" t="inlineStr">
        <is>
          <t>DALARNAS LÄN</t>
        </is>
      </c>
      <c r="E80" t="inlineStr">
        <is>
          <t>ÄLVDALEN</t>
        </is>
      </c>
      <c r="F80" t="inlineStr">
        <is>
          <t>Sveaskog</t>
        </is>
      </c>
      <c r="G80" t="n">
        <v>2.4</v>
      </c>
      <c r="H80" t="n">
        <v>0</v>
      </c>
      <c r="I80" t="n">
        <v>1</v>
      </c>
      <c r="J80" t="n">
        <v>2</v>
      </c>
      <c r="K80" t="n">
        <v>0</v>
      </c>
      <c r="L80" t="n">
        <v>0</v>
      </c>
      <c r="M80" t="n">
        <v>0</v>
      </c>
      <c r="N80" t="n">
        <v>0</v>
      </c>
      <c r="O80" t="n">
        <v>2</v>
      </c>
      <c r="P80" t="n">
        <v>0</v>
      </c>
      <c r="Q80" t="n">
        <v>3</v>
      </c>
      <c r="R80" s="2" t="inlineStr">
        <is>
          <t>Blå taggsvamp
Kolflarnlav
Skarp dropptaggsvamp</t>
        </is>
      </c>
      <c r="S80">
        <f>HYPERLINK("https://klasma.github.io/Logging_2039/artfynd/A 31057-2024 artfynd.xlsx", "A 31057-2024")</f>
        <v/>
      </c>
      <c r="T80">
        <f>HYPERLINK("https://klasma.github.io/Logging_2039/kartor/A 31057-2024 karta.png", "A 31057-2024")</f>
        <v/>
      </c>
      <c r="V80">
        <f>HYPERLINK("https://klasma.github.io/Logging_2039/klagomål/A 31057-2024 FSC-klagomål.docx", "A 31057-2024")</f>
        <v/>
      </c>
      <c r="W80">
        <f>HYPERLINK("https://klasma.github.io/Logging_2039/klagomålsmail/A 31057-2024 FSC-klagomål mail.docx", "A 31057-2024")</f>
        <v/>
      </c>
      <c r="X80">
        <f>HYPERLINK("https://klasma.github.io/Logging_2039/tillsyn/A 31057-2024 tillsynsbegäran.docx", "A 31057-2024")</f>
        <v/>
      </c>
      <c r="Y80">
        <f>HYPERLINK("https://klasma.github.io/Logging_2039/tillsynsmail/A 31057-2024 tillsynsbegäran mail.docx", "A 31057-2024")</f>
        <v/>
      </c>
    </row>
    <row r="81" ht="15" customHeight="1">
      <c r="A81" t="inlineStr">
        <is>
          <t>A 32403-2023</t>
        </is>
      </c>
      <c r="B81" s="1" t="n">
        <v>45120</v>
      </c>
      <c r="C81" s="1" t="n">
        <v>45880</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67709-2021</t>
        </is>
      </c>
      <c r="B82" s="1" t="n">
        <v>44525</v>
      </c>
      <c r="C82" s="1" t="n">
        <v>45880</v>
      </c>
      <c r="D82" t="inlineStr">
        <is>
          <t>DALARNAS LÄN</t>
        </is>
      </c>
      <c r="E82" t="inlineStr">
        <is>
          <t>ÄLVDALEN</t>
        </is>
      </c>
      <c r="F82" t="inlineStr">
        <is>
          <t>Sveaskog</t>
        </is>
      </c>
      <c r="G82" t="n">
        <v>4.4</v>
      </c>
      <c r="H82" t="n">
        <v>0</v>
      </c>
      <c r="I82" t="n">
        <v>2</v>
      </c>
      <c r="J82" t="n">
        <v>0</v>
      </c>
      <c r="K82" t="n">
        <v>0</v>
      </c>
      <c r="L82" t="n">
        <v>0</v>
      </c>
      <c r="M82" t="n">
        <v>0</v>
      </c>
      <c r="N82" t="n">
        <v>0</v>
      </c>
      <c r="O82" t="n">
        <v>0</v>
      </c>
      <c r="P82" t="n">
        <v>0</v>
      </c>
      <c r="Q82" t="n">
        <v>2</v>
      </c>
      <c r="R82" s="2" t="inlineStr">
        <is>
          <t>Dropptaggsvamp
Skarp dropptaggsvamp</t>
        </is>
      </c>
      <c r="S82">
        <f>HYPERLINK("https://klasma.github.io/Logging_2039/artfynd/A 67709-2021 artfynd.xlsx", "A 67709-2021")</f>
        <v/>
      </c>
      <c r="T82">
        <f>HYPERLINK("https://klasma.github.io/Logging_2039/kartor/A 67709-2021 karta.png", "A 67709-2021")</f>
        <v/>
      </c>
      <c r="V82">
        <f>HYPERLINK("https://klasma.github.io/Logging_2039/klagomål/A 67709-2021 FSC-klagomål.docx", "A 67709-2021")</f>
        <v/>
      </c>
      <c r="W82">
        <f>HYPERLINK("https://klasma.github.io/Logging_2039/klagomålsmail/A 67709-2021 FSC-klagomål mail.docx", "A 67709-2021")</f>
        <v/>
      </c>
      <c r="X82">
        <f>HYPERLINK("https://klasma.github.io/Logging_2039/tillsyn/A 67709-2021 tillsynsbegäran.docx", "A 67709-2021")</f>
        <v/>
      </c>
      <c r="Y82">
        <f>HYPERLINK("https://klasma.github.io/Logging_2039/tillsynsmail/A 67709-2021 tillsynsbegäran mail.docx", "A 67709-2021")</f>
        <v/>
      </c>
    </row>
    <row r="83" ht="15" customHeight="1">
      <c r="A83" t="inlineStr">
        <is>
          <t>A 44407-2021</t>
        </is>
      </c>
      <c r="B83" s="1" t="n">
        <v>44435</v>
      </c>
      <c r="C83" s="1" t="n">
        <v>45880</v>
      </c>
      <c r="D83" t="inlineStr">
        <is>
          <t>DALARNAS LÄN</t>
        </is>
      </c>
      <c r="E83" t="inlineStr">
        <is>
          <t>ÄLVDALEN</t>
        </is>
      </c>
      <c r="F83" t="inlineStr">
        <is>
          <t>Sveaskog</t>
        </is>
      </c>
      <c r="G83" t="n">
        <v>4.4</v>
      </c>
      <c r="H83" t="n">
        <v>0</v>
      </c>
      <c r="I83" t="n">
        <v>1</v>
      </c>
      <c r="J83" t="n">
        <v>1</v>
      </c>
      <c r="K83" t="n">
        <v>0</v>
      </c>
      <c r="L83" t="n">
        <v>0</v>
      </c>
      <c r="M83" t="n">
        <v>0</v>
      </c>
      <c r="N83" t="n">
        <v>0</v>
      </c>
      <c r="O83" t="n">
        <v>1</v>
      </c>
      <c r="P83" t="n">
        <v>0</v>
      </c>
      <c r="Q83" t="n">
        <v>2</v>
      </c>
      <c r="R83" s="2" t="inlineStr">
        <is>
          <t>Garnlav
Dropptaggsvamp</t>
        </is>
      </c>
      <c r="S83">
        <f>HYPERLINK("https://klasma.github.io/Logging_2039/artfynd/A 44407-2021 artfynd.xlsx", "A 44407-2021")</f>
        <v/>
      </c>
      <c r="T83">
        <f>HYPERLINK("https://klasma.github.io/Logging_2039/kartor/A 44407-2021 karta.png", "A 44407-2021")</f>
        <v/>
      </c>
      <c r="V83">
        <f>HYPERLINK("https://klasma.github.io/Logging_2039/klagomål/A 44407-2021 FSC-klagomål.docx", "A 44407-2021")</f>
        <v/>
      </c>
      <c r="W83">
        <f>HYPERLINK("https://klasma.github.io/Logging_2039/klagomålsmail/A 44407-2021 FSC-klagomål mail.docx", "A 44407-2021")</f>
        <v/>
      </c>
      <c r="X83">
        <f>HYPERLINK("https://klasma.github.io/Logging_2039/tillsyn/A 44407-2021 tillsynsbegäran.docx", "A 44407-2021")</f>
        <v/>
      </c>
      <c r="Y83">
        <f>HYPERLINK("https://klasma.github.io/Logging_2039/tillsynsmail/A 44407-2021 tillsynsbegäran mail.docx", "A 44407-2021")</f>
        <v/>
      </c>
    </row>
    <row r="84" ht="15" customHeight="1">
      <c r="A84" t="inlineStr">
        <is>
          <t>A 69726-2021</t>
        </is>
      </c>
      <c r="B84" s="1" t="n">
        <v>44532</v>
      </c>
      <c r="C84" s="1" t="n">
        <v>45880</v>
      </c>
      <c r="D84" t="inlineStr">
        <is>
          <t>DALARNAS LÄN</t>
        </is>
      </c>
      <c r="E84" t="inlineStr">
        <is>
          <t>ÄLVDALEN</t>
        </is>
      </c>
      <c r="F84" t="inlineStr">
        <is>
          <t>Sveaskog</t>
        </is>
      </c>
      <c r="G84" t="n">
        <v>7.2</v>
      </c>
      <c r="H84" t="n">
        <v>0</v>
      </c>
      <c r="I84" t="n">
        <v>1</v>
      </c>
      <c r="J84" t="n">
        <v>1</v>
      </c>
      <c r="K84" t="n">
        <v>0</v>
      </c>
      <c r="L84" t="n">
        <v>0</v>
      </c>
      <c r="M84" t="n">
        <v>0</v>
      </c>
      <c r="N84" t="n">
        <v>0</v>
      </c>
      <c r="O84" t="n">
        <v>1</v>
      </c>
      <c r="P84" t="n">
        <v>0</v>
      </c>
      <c r="Q84" t="n">
        <v>2</v>
      </c>
      <c r="R84" s="2" t="inlineStr">
        <is>
          <t>Garnlav
Dropptaggsvamp</t>
        </is>
      </c>
      <c r="S84">
        <f>HYPERLINK("https://klasma.github.io/Logging_2039/artfynd/A 69726-2021 artfynd.xlsx", "A 69726-2021")</f>
        <v/>
      </c>
      <c r="T84">
        <f>HYPERLINK("https://klasma.github.io/Logging_2039/kartor/A 69726-2021 karta.png", "A 69726-2021")</f>
        <v/>
      </c>
      <c r="V84">
        <f>HYPERLINK("https://klasma.github.io/Logging_2039/klagomål/A 69726-2021 FSC-klagomål.docx", "A 69726-2021")</f>
        <v/>
      </c>
      <c r="W84">
        <f>HYPERLINK("https://klasma.github.io/Logging_2039/klagomålsmail/A 69726-2021 FSC-klagomål mail.docx", "A 69726-2021")</f>
        <v/>
      </c>
      <c r="X84">
        <f>HYPERLINK("https://klasma.github.io/Logging_2039/tillsyn/A 69726-2021 tillsynsbegäran.docx", "A 69726-2021")</f>
        <v/>
      </c>
      <c r="Y84">
        <f>HYPERLINK("https://klasma.github.io/Logging_2039/tillsynsmail/A 69726-2021 tillsynsbegäran mail.docx", "A 69726-2021")</f>
        <v/>
      </c>
    </row>
    <row r="85" ht="15" customHeight="1">
      <c r="A85" t="inlineStr">
        <is>
          <t>A 16638-2021</t>
        </is>
      </c>
      <c r="B85" s="1" t="n">
        <v>44284</v>
      </c>
      <c r="C85" s="1" t="n">
        <v>45880</v>
      </c>
      <c r="D85" t="inlineStr">
        <is>
          <t>DALARNAS LÄN</t>
        </is>
      </c>
      <c r="E85" t="inlineStr">
        <is>
          <t>ÄLVDALEN</t>
        </is>
      </c>
      <c r="G85" t="n">
        <v>11.5</v>
      </c>
      <c r="H85" t="n">
        <v>0</v>
      </c>
      <c r="I85" t="n">
        <v>0</v>
      </c>
      <c r="J85" t="n">
        <v>1</v>
      </c>
      <c r="K85" t="n">
        <v>1</v>
      </c>
      <c r="L85" t="n">
        <v>0</v>
      </c>
      <c r="M85" t="n">
        <v>0</v>
      </c>
      <c r="N85" t="n">
        <v>0</v>
      </c>
      <c r="O85" t="n">
        <v>2</v>
      </c>
      <c r="P85" t="n">
        <v>1</v>
      </c>
      <c r="Q85" t="n">
        <v>2</v>
      </c>
      <c r="R85" s="2" t="inlineStr">
        <is>
          <t>Sprickporing
Garnlav</t>
        </is>
      </c>
      <c r="S85">
        <f>HYPERLINK("https://klasma.github.io/Logging_2039/artfynd/A 16638-2021 artfynd.xlsx", "A 16638-2021")</f>
        <v/>
      </c>
      <c r="T85">
        <f>HYPERLINK("https://klasma.github.io/Logging_2039/kartor/A 16638-2021 karta.png", "A 16638-2021")</f>
        <v/>
      </c>
      <c r="V85">
        <f>HYPERLINK("https://klasma.github.io/Logging_2039/klagomål/A 16638-2021 FSC-klagomål.docx", "A 16638-2021")</f>
        <v/>
      </c>
      <c r="W85">
        <f>HYPERLINK("https://klasma.github.io/Logging_2039/klagomålsmail/A 16638-2021 FSC-klagomål mail.docx", "A 16638-2021")</f>
        <v/>
      </c>
      <c r="X85">
        <f>HYPERLINK("https://klasma.github.io/Logging_2039/tillsyn/A 16638-2021 tillsynsbegäran.docx", "A 16638-2021")</f>
        <v/>
      </c>
      <c r="Y85">
        <f>HYPERLINK("https://klasma.github.io/Logging_2039/tillsynsmail/A 16638-2021 tillsynsbegäran mail.docx", "A 16638-2021")</f>
        <v/>
      </c>
    </row>
    <row r="86" ht="15" customHeight="1">
      <c r="A86" t="inlineStr">
        <is>
          <t>A 30615-2021</t>
        </is>
      </c>
      <c r="B86" s="1" t="n">
        <v>44365</v>
      </c>
      <c r="C86" s="1" t="n">
        <v>45880</v>
      </c>
      <c r="D86" t="inlineStr">
        <is>
          <t>DALARNAS LÄN</t>
        </is>
      </c>
      <c r="E86" t="inlineStr">
        <is>
          <t>ÄLVDALEN</t>
        </is>
      </c>
      <c r="F86" t="inlineStr">
        <is>
          <t>Sveaskog</t>
        </is>
      </c>
      <c r="G86" t="n">
        <v>22.8</v>
      </c>
      <c r="H86" t="n">
        <v>0</v>
      </c>
      <c r="I86" t="n">
        <v>1</v>
      </c>
      <c r="J86" t="n">
        <v>0</v>
      </c>
      <c r="K86" t="n">
        <v>1</v>
      </c>
      <c r="L86" t="n">
        <v>0</v>
      </c>
      <c r="M86" t="n">
        <v>0</v>
      </c>
      <c r="N86" t="n">
        <v>0</v>
      </c>
      <c r="O86" t="n">
        <v>1</v>
      </c>
      <c r="P86" t="n">
        <v>1</v>
      </c>
      <c r="Q86" t="n">
        <v>2</v>
      </c>
      <c r="R86" s="2" t="inlineStr">
        <is>
          <t>Smalfotad taggsvamp
Dropptaggsvamp</t>
        </is>
      </c>
      <c r="S86">
        <f>HYPERLINK("https://klasma.github.io/Logging_2039/artfynd/A 30615-2021 artfynd.xlsx", "A 30615-2021")</f>
        <v/>
      </c>
      <c r="T86">
        <f>HYPERLINK("https://klasma.github.io/Logging_2039/kartor/A 30615-2021 karta.png", "A 30615-2021")</f>
        <v/>
      </c>
      <c r="V86">
        <f>HYPERLINK("https://klasma.github.io/Logging_2039/klagomål/A 30615-2021 FSC-klagomål.docx", "A 30615-2021")</f>
        <v/>
      </c>
      <c r="W86">
        <f>HYPERLINK("https://klasma.github.io/Logging_2039/klagomålsmail/A 30615-2021 FSC-klagomål mail.docx", "A 30615-2021")</f>
        <v/>
      </c>
      <c r="X86">
        <f>HYPERLINK("https://klasma.github.io/Logging_2039/tillsyn/A 30615-2021 tillsynsbegäran.docx", "A 30615-2021")</f>
        <v/>
      </c>
      <c r="Y86">
        <f>HYPERLINK("https://klasma.github.io/Logging_2039/tillsynsmail/A 30615-2021 tillsynsbegäran mail.docx", "A 30615-2021")</f>
        <v/>
      </c>
    </row>
    <row r="87" ht="15" customHeight="1">
      <c r="A87" t="inlineStr">
        <is>
          <t>A 27967-2023</t>
        </is>
      </c>
      <c r="B87" s="1" t="n">
        <v>45098.70354166667</v>
      </c>
      <c r="C87" s="1" t="n">
        <v>45880</v>
      </c>
      <c r="D87" t="inlineStr">
        <is>
          <t>DALARNAS LÄN</t>
        </is>
      </c>
      <c r="E87" t="inlineStr">
        <is>
          <t>ÄLVDALEN</t>
        </is>
      </c>
      <c r="F87" t="inlineStr">
        <is>
          <t>Sveaskog</t>
        </is>
      </c>
      <c r="G87" t="n">
        <v>1.9</v>
      </c>
      <c r="H87" t="n">
        <v>0</v>
      </c>
      <c r="I87" t="n">
        <v>0</v>
      </c>
      <c r="J87" t="n">
        <v>2</v>
      </c>
      <c r="K87" t="n">
        <v>0</v>
      </c>
      <c r="L87" t="n">
        <v>0</v>
      </c>
      <c r="M87" t="n">
        <v>0</v>
      </c>
      <c r="N87" t="n">
        <v>0</v>
      </c>
      <c r="O87" t="n">
        <v>2</v>
      </c>
      <c r="P87" t="n">
        <v>0</v>
      </c>
      <c r="Q87" t="n">
        <v>2</v>
      </c>
      <c r="R87" s="2" t="inlineStr">
        <is>
          <t>Kolflarnlav
Mörk kolflarnlav</t>
        </is>
      </c>
      <c r="S87">
        <f>HYPERLINK("https://klasma.github.io/Logging_2039/artfynd/A 27967-2023 artfynd.xlsx", "A 27967-2023")</f>
        <v/>
      </c>
      <c r="T87">
        <f>HYPERLINK("https://klasma.github.io/Logging_2039/kartor/A 27967-2023 karta.png", "A 27967-2023")</f>
        <v/>
      </c>
      <c r="V87">
        <f>HYPERLINK("https://klasma.github.io/Logging_2039/klagomål/A 27967-2023 FSC-klagomål.docx", "A 27967-2023")</f>
        <v/>
      </c>
      <c r="W87">
        <f>HYPERLINK("https://klasma.github.io/Logging_2039/klagomålsmail/A 27967-2023 FSC-klagomål mail.docx", "A 27967-2023")</f>
        <v/>
      </c>
      <c r="X87">
        <f>HYPERLINK("https://klasma.github.io/Logging_2039/tillsyn/A 27967-2023 tillsynsbegäran.docx", "A 27967-2023")</f>
        <v/>
      </c>
      <c r="Y87">
        <f>HYPERLINK("https://klasma.github.io/Logging_2039/tillsynsmail/A 27967-2023 tillsynsbegäran mail.docx", "A 27967-2023")</f>
        <v/>
      </c>
    </row>
    <row r="88" ht="15" customHeight="1">
      <c r="A88" t="inlineStr">
        <is>
          <t>A 40231-2021</t>
        </is>
      </c>
      <c r="B88" s="1" t="n">
        <v>44419.31553240741</v>
      </c>
      <c r="C88" s="1" t="n">
        <v>45880</v>
      </c>
      <c r="D88" t="inlineStr">
        <is>
          <t>DALARNAS LÄN</t>
        </is>
      </c>
      <c r="E88" t="inlineStr">
        <is>
          <t>ÄLVDALEN</t>
        </is>
      </c>
      <c r="F88" t="inlineStr">
        <is>
          <t>Sveaskog</t>
        </is>
      </c>
      <c r="G88" t="n">
        <v>4.1</v>
      </c>
      <c r="H88" t="n">
        <v>0</v>
      </c>
      <c r="I88" t="n">
        <v>1</v>
      </c>
      <c r="J88" t="n">
        <v>1</v>
      </c>
      <c r="K88" t="n">
        <v>0</v>
      </c>
      <c r="L88" t="n">
        <v>0</v>
      </c>
      <c r="M88" t="n">
        <v>0</v>
      </c>
      <c r="N88" t="n">
        <v>0</v>
      </c>
      <c r="O88" t="n">
        <v>1</v>
      </c>
      <c r="P88" t="n">
        <v>0</v>
      </c>
      <c r="Q88" t="n">
        <v>2</v>
      </c>
      <c r="R88" s="2" t="inlineStr">
        <is>
          <t>Garnlav
Dropptaggsvamp</t>
        </is>
      </c>
      <c r="S88">
        <f>HYPERLINK("https://klasma.github.io/Logging_2039/artfynd/A 40231-2021 artfynd.xlsx", "A 40231-2021")</f>
        <v/>
      </c>
      <c r="T88">
        <f>HYPERLINK("https://klasma.github.io/Logging_2039/kartor/A 40231-2021 karta.png", "A 40231-2021")</f>
        <v/>
      </c>
      <c r="V88">
        <f>HYPERLINK("https://klasma.github.io/Logging_2039/klagomål/A 40231-2021 FSC-klagomål.docx", "A 40231-2021")</f>
        <v/>
      </c>
      <c r="W88">
        <f>HYPERLINK("https://klasma.github.io/Logging_2039/klagomålsmail/A 40231-2021 FSC-klagomål mail.docx", "A 40231-2021")</f>
        <v/>
      </c>
      <c r="X88">
        <f>HYPERLINK("https://klasma.github.io/Logging_2039/tillsyn/A 40231-2021 tillsynsbegäran.docx", "A 40231-2021")</f>
        <v/>
      </c>
      <c r="Y88">
        <f>HYPERLINK("https://klasma.github.io/Logging_2039/tillsynsmail/A 40231-2021 tillsynsbegäran mail.docx", "A 40231-2021")</f>
        <v/>
      </c>
    </row>
    <row r="89" ht="15" customHeight="1">
      <c r="A89" t="inlineStr">
        <is>
          <t>A 42848-2023</t>
        </is>
      </c>
      <c r="B89" s="1" t="n">
        <v>45182</v>
      </c>
      <c r="C89" s="1" t="n">
        <v>45880</v>
      </c>
      <c r="D89" t="inlineStr">
        <is>
          <t>DALARNAS LÄN</t>
        </is>
      </c>
      <c r="E89" t="inlineStr">
        <is>
          <t>ÄLVDALEN</t>
        </is>
      </c>
      <c r="F89" t="inlineStr">
        <is>
          <t>Allmännings- och besparingsskogar</t>
        </is>
      </c>
      <c r="G89" t="n">
        <v>1.9</v>
      </c>
      <c r="H89" t="n">
        <v>0</v>
      </c>
      <c r="I89" t="n">
        <v>1</v>
      </c>
      <c r="J89" t="n">
        <v>1</v>
      </c>
      <c r="K89" t="n">
        <v>0</v>
      </c>
      <c r="L89" t="n">
        <v>0</v>
      </c>
      <c r="M89" t="n">
        <v>0</v>
      </c>
      <c r="N89" t="n">
        <v>0</v>
      </c>
      <c r="O89" t="n">
        <v>1</v>
      </c>
      <c r="P89" t="n">
        <v>0</v>
      </c>
      <c r="Q89" t="n">
        <v>2</v>
      </c>
      <c r="R89" s="2" t="inlineStr">
        <is>
          <t>Blå taggsvamp
Dropptaggsvamp</t>
        </is>
      </c>
      <c r="S89">
        <f>HYPERLINK("https://klasma.github.io/Logging_2039/artfynd/A 42848-2023 artfynd.xlsx", "A 42848-2023")</f>
        <v/>
      </c>
      <c r="T89">
        <f>HYPERLINK("https://klasma.github.io/Logging_2039/kartor/A 42848-2023 karta.png", "A 42848-2023")</f>
        <v/>
      </c>
      <c r="V89">
        <f>HYPERLINK("https://klasma.github.io/Logging_2039/klagomål/A 42848-2023 FSC-klagomål.docx", "A 42848-2023")</f>
        <v/>
      </c>
      <c r="W89">
        <f>HYPERLINK("https://klasma.github.io/Logging_2039/klagomålsmail/A 42848-2023 FSC-klagomål mail.docx", "A 42848-2023")</f>
        <v/>
      </c>
      <c r="X89">
        <f>HYPERLINK("https://klasma.github.io/Logging_2039/tillsyn/A 42848-2023 tillsynsbegäran.docx", "A 42848-2023")</f>
        <v/>
      </c>
      <c r="Y89">
        <f>HYPERLINK("https://klasma.github.io/Logging_2039/tillsynsmail/A 42848-2023 tillsynsbegäran mail.docx", "A 42848-2023")</f>
        <v/>
      </c>
    </row>
    <row r="90" ht="15" customHeight="1">
      <c r="A90" t="inlineStr">
        <is>
          <t>A 32206-2024</t>
        </is>
      </c>
      <c r="B90" s="1" t="n">
        <v>45511.67366898148</v>
      </c>
      <c r="C90" s="1" t="n">
        <v>45880</v>
      </c>
      <c r="D90" t="inlineStr">
        <is>
          <t>DALARNAS LÄN</t>
        </is>
      </c>
      <c r="E90" t="inlineStr">
        <is>
          <t>ÄLVDALEN</t>
        </is>
      </c>
      <c r="F90" t="inlineStr">
        <is>
          <t>Sveaskog</t>
        </is>
      </c>
      <c r="G90" t="n">
        <v>8.1</v>
      </c>
      <c r="H90" t="n">
        <v>0</v>
      </c>
      <c r="I90" t="n">
        <v>0</v>
      </c>
      <c r="J90" t="n">
        <v>2</v>
      </c>
      <c r="K90" t="n">
        <v>0</v>
      </c>
      <c r="L90" t="n">
        <v>0</v>
      </c>
      <c r="M90" t="n">
        <v>0</v>
      </c>
      <c r="N90" t="n">
        <v>0</v>
      </c>
      <c r="O90" t="n">
        <v>2</v>
      </c>
      <c r="P90" t="n">
        <v>0</v>
      </c>
      <c r="Q90" t="n">
        <v>2</v>
      </c>
      <c r="R90" s="2" t="inlineStr">
        <is>
          <t>Blanksvart spiklav
Dvärgbägarlav</t>
        </is>
      </c>
      <c r="S90">
        <f>HYPERLINK("https://klasma.github.io/Logging_2039/artfynd/A 32206-2024 artfynd.xlsx", "A 32206-2024")</f>
        <v/>
      </c>
      <c r="T90">
        <f>HYPERLINK("https://klasma.github.io/Logging_2039/kartor/A 32206-2024 karta.png", "A 32206-2024")</f>
        <v/>
      </c>
      <c r="V90">
        <f>HYPERLINK("https://klasma.github.io/Logging_2039/klagomål/A 32206-2024 FSC-klagomål.docx", "A 32206-2024")</f>
        <v/>
      </c>
      <c r="W90">
        <f>HYPERLINK("https://klasma.github.io/Logging_2039/klagomålsmail/A 32206-2024 FSC-klagomål mail.docx", "A 32206-2024")</f>
        <v/>
      </c>
      <c r="X90">
        <f>HYPERLINK("https://klasma.github.io/Logging_2039/tillsyn/A 32206-2024 tillsynsbegäran.docx", "A 32206-2024")</f>
        <v/>
      </c>
      <c r="Y90">
        <f>HYPERLINK("https://klasma.github.io/Logging_2039/tillsynsmail/A 32206-2024 tillsynsbegäran mail.docx", "A 32206-2024")</f>
        <v/>
      </c>
    </row>
    <row r="91" ht="15" customHeight="1">
      <c r="A91" t="inlineStr">
        <is>
          <t>A 52490-2022</t>
        </is>
      </c>
      <c r="B91" s="1" t="n">
        <v>44874</v>
      </c>
      <c r="C91" s="1" t="n">
        <v>45880</v>
      </c>
      <c r="D91" t="inlineStr">
        <is>
          <t>DALARNAS LÄN</t>
        </is>
      </c>
      <c r="E91" t="inlineStr">
        <is>
          <t>ÄLVDALEN</t>
        </is>
      </c>
      <c r="G91" t="n">
        <v>4.3</v>
      </c>
      <c r="H91" t="n">
        <v>0</v>
      </c>
      <c r="I91" t="n">
        <v>1</v>
      </c>
      <c r="J91" t="n">
        <v>1</v>
      </c>
      <c r="K91" t="n">
        <v>0</v>
      </c>
      <c r="L91" t="n">
        <v>0</v>
      </c>
      <c r="M91" t="n">
        <v>0</v>
      </c>
      <c r="N91" t="n">
        <v>0</v>
      </c>
      <c r="O91" t="n">
        <v>1</v>
      </c>
      <c r="P91" t="n">
        <v>0</v>
      </c>
      <c r="Q91" t="n">
        <v>2</v>
      </c>
      <c r="R91" s="2" t="inlineStr">
        <is>
          <t>Garnlav
Dropptaggsvamp</t>
        </is>
      </c>
      <c r="S91">
        <f>HYPERLINK("https://klasma.github.io/Logging_2039/artfynd/A 52490-2022 artfynd.xlsx", "A 52490-2022")</f>
        <v/>
      </c>
      <c r="T91">
        <f>HYPERLINK("https://klasma.github.io/Logging_2039/kartor/A 52490-2022 karta.png", "A 52490-2022")</f>
        <v/>
      </c>
      <c r="V91">
        <f>HYPERLINK("https://klasma.github.io/Logging_2039/klagomål/A 52490-2022 FSC-klagomål.docx", "A 52490-2022")</f>
        <v/>
      </c>
      <c r="W91">
        <f>HYPERLINK("https://klasma.github.io/Logging_2039/klagomålsmail/A 52490-2022 FSC-klagomål mail.docx", "A 52490-2022")</f>
        <v/>
      </c>
      <c r="X91">
        <f>HYPERLINK("https://klasma.github.io/Logging_2039/tillsyn/A 52490-2022 tillsynsbegäran.docx", "A 52490-2022")</f>
        <v/>
      </c>
      <c r="Y91">
        <f>HYPERLINK("https://klasma.github.io/Logging_2039/tillsynsmail/A 52490-2022 tillsynsbegäran mail.docx", "A 52490-2022")</f>
        <v/>
      </c>
    </row>
    <row r="92" ht="15" customHeight="1">
      <c r="A92" t="inlineStr">
        <is>
          <t>A 21629-2022</t>
        </is>
      </c>
      <c r="B92" s="1" t="n">
        <v>44706</v>
      </c>
      <c r="C92" s="1" t="n">
        <v>45880</v>
      </c>
      <c r="D92" t="inlineStr">
        <is>
          <t>DALARNAS LÄN</t>
        </is>
      </c>
      <c r="E92" t="inlineStr">
        <is>
          <t>ÄLVDALEN</t>
        </is>
      </c>
      <c r="F92" t="inlineStr">
        <is>
          <t>Övriga statliga verk och myndigheter</t>
        </is>
      </c>
      <c r="G92" t="n">
        <v>19.2</v>
      </c>
      <c r="H92" t="n">
        <v>0</v>
      </c>
      <c r="I92" t="n">
        <v>1</v>
      </c>
      <c r="J92" t="n">
        <v>1</v>
      </c>
      <c r="K92" t="n">
        <v>0</v>
      </c>
      <c r="L92" t="n">
        <v>0</v>
      </c>
      <c r="M92" t="n">
        <v>0</v>
      </c>
      <c r="N92" t="n">
        <v>0</v>
      </c>
      <c r="O92" t="n">
        <v>1</v>
      </c>
      <c r="P92" t="n">
        <v>0</v>
      </c>
      <c r="Q92" t="n">
        <v>2</v>
      </c>
      <c r="R92" s="2" t="inlineStr">
        <is>
          <t>Vitgrynig nållav
Kransrams</t>
        </is>
      </c>
      <c r="S92">
        <f>HYPERLINK("https://klasma.github.io/Logging_2039/artfynd/A 21629-2022 artfynd.xlsx", "A 21629-2022")</f>
        <v/>
      </c>
      <c r="T92">
        <f>HYPERLINK("https://klasma.github.io/Logging_2039/kartor/A 21629-2022 karta.png", "A 21629-2022")</f>
        <v/>
      </c>
      <c r="V92">
        <f>HYPERLINK("https://klasma.github.io/Logging_2039/klagomål/A 21629-2022 FSC-klagomål.docx", "A 21629-2022")</f>
        <v/>
      </c>
      <c r="W92">
        <f>HYPERLINK("https://klasma.github.io/Logging_2039/klagomålsmail/A 21629-2022 FSC-klagomål mail.docx", "A 21629-2022")</f>
        <v/>
      </c>
      <c r="X92">
        <f>HYPERLINK("https://klasma.github.io/Logging_2039/tillsyn/A 21629-2022 tillsynsbegäran.docx", "A 21629-2022")</f>
        <v/>
      </c>
      <c r="Y92">
        <f>HYPERLINK("https://klasma.github.io/Logging_2039/tillsynsmail/A 21629-2022 tillsynsbegäran mail.docx", "A 21629-2022")</f>
        <v/>
      </c>
    </row>
    <row r="93" ht="15" customHeight="1">
      <c r="A93" t="inlineStr">
        <is>
          <t>A 59429-2024</t>
        </is>
      </c>
      <c r="B93" s="1" t="n">
        <v>45638.42091435185</v>
      </c>
      <c r="C93" s="1" t="n">
        <v>45880</v>
      </c>
      <c r="D93" t="inlineStr">
        <is>
          <t>DALARNAS LÄN</t>
        </is>
      </c>
      <c r="E93" t="inlineStr">
        <is>
          <t>ÄLVDALEN</t>
        </is>
      </c>
      <c r="F93" t="inlineStr">
        <is>
          <t>Allmännings- och besparingsskogar</t>
        </is>
      </c>
      <c r="G93" t="n">
        <v>4.9</v>
      </c>
      <c r="H93" t="n">
        <v>0</v>
      </c>
      <c r="I93" t="n">
        <v>0</v>
      </c>
      <c r="J93" t="n">
        <v>2</v>
      </c>
      <c r="K93" t="n">
        <v>0</v>
      </c>
      <c r="L93" t="n">
        <v>0</v>
      </c>
      <c r="M93" t="n">
        <v>0</v>
      </c>
      <c r="N93" t="n">
        <v>0</v>
      </c>
      <c r="O93" t="n">
        <v>2</v>
      </c>
      <c r="P93" t="n">
        <v>0</v>
      </c>
      <c r="Q93" t="n">
        <v>2</v>
      </c>
      <c r="R93" s="2" t="inlineStr">
        <is>
          <t>Garnlav
Skrovellav</t>
        </is>
      </c>
      <c r="S93">
        <f>HYPERLINK("https://klasma.github.io/Logging_2039/artfynd/A 59429-2024 artfynd.xlsx", "A 59429-2024")</f>
        <v/>
      </c>
      <c r="T93">
        <f>HYPERLINK("https://klasma.github.io/Logging_2039/kartor/A 59429-2024 karta.png", "A 59429-2024")</f>
        <v/>
      </c>
      <c r="V93">
        <f>HYPERLINK("https://klasma.github.io/Logging_2039/klagomål/A 59429-2024 FSC-klagomål.docx", "A 59429-2024")</f>
        <v/>
      </c>
      <c r="W93">
        <f>HYPERLINK("https://klasma.github.io/Logging_2039/klagomålsmail/A 59429-2024 FSC-klagomål mail.docx", "A 59429-2024")</f>
        <v/>
      </c>
      <c r="X93">
        <f>HYPERLINK("https://klasma.github.io/Logging_2039/tillsyn/A 59429-2024 tillsynsbegäran.docx", "A 59429-2024")</f>
        <v/>
      </c>
      <c r="Y93">
        <f>HYPERLINK("https://klasma.github.io/Logging_2039/tillsynsmail/A 59429-2024 tillsynsbegäran mail.docx", "A 59429-2024")</f>
        <v/>
      </c>
    </row>
    <row r="94" ht="15" customHeight="1">
      <c r="A94" t="inlineStr">
        <is>
          <t>A 27937-2025</t>
        </is>
      </c>
      <c r="B94" s="1" t="n">
        <v>45817.50025462963</v>
      </c>
      <c r="C94" s="1" t="n">
        <v>45880</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54632-2021</t>
        </is>
      </c>
      <c r="B95" s="1" t="n">
        <v>44473</v>
      </c>
      <c r="C95" s="1" t="n">
        <v>45880</v>
      </c>
      <c r="D95" t="inlineStr">
        <is>
          <t>DALARNAS LÄN</t>
        </is>
      </c>
      <c r="E95" t="inlineStr">
        <is>
          <t>ÄLVDALEN</t>
        </is>
      </c>
      <c r="G95" t="n">
        <v>4.3</v>
      </c>
      <c r="H95" t="n">
        <v>1</v>
      </c>
      <c r="I95" t="n">
        <v>0</v>
      </c>
      <c r="J95" t="n">
        <v>2</v>
      </c>
      <c r="K95" t="n">
        <v>0</v>
      </c>
      <c r="L95" t="n">
        <v>0</v>
      </c>
      <c r="M95" t="n">
        <v>0</v>
      </c>
      <c r="N95" t="n">
        <v>0</v>
      </c>
      <c r="O95" t="n">
        <v>2</v>
      </c>
      <c r="P95" t="n">
        <v>0</v>
      </c>
      <c r="Q95" t="n">
        <v>2</v>
      </c>
      <c r="R95" s="2" t="inlineStr">
        <is>
          <t>Varglav
Vedflamlav</t>
        </is>
      </c>
      <c r="S95">
        <f>HYPERLINK("https://klasma.github.io/Logging_2039/artfynd/A 54632-2021 artfynd.xlsx", "A 54632-2021")</f>
        <v/>
      </c>
      <c r="T95">
        <f>HYPERLINK("https://klasma.github.io/Logging_2039/kartor/A 54632-2021 karta.png", "A 54632-2021")</f>
        <v/>
      </c>
      <c r="V95">
        <f>HYPERLINK("https://klasma.github.io/Logging_2039/klagomål/A 54632-2021 FSC-klagomål.docx", "A 54632-2021")</f>
        <v/>
      </c>
      <c r="W95">
        <f>HYPERLINK("https://klasma.github.io/Logging_2039/klagomålsmail/A 54632-2021 FSC-klagomål mail.docx", "A 54632-2021")</f>
        <v/>
      </c>
      <c r="X95">
        <f>HYPERLINK("https://klasma.github.io/Logging_2039/tillsyn/A 54632-2021 tillsynsbegäran.docx", "A 54632-2021")</f>
        <v/>
      </c>
      <c r="Y95">
        <f>HYPERLINK("https://klasma.github.io/Logging_2039/tillsynsmail/A 54632-2021 tillsynsbegäran mail.docx", "A 54632-2021")</f>
        <v/>
      </c>
    </row>
    <row r="96" ht="15" customHeight="1">
      <c r="A96" t="inlineStr">
        <is>
          <t>A 31264-2025</t>
        </is>
      </c>
      <c r="B96" s="1" t="n">
        <v>45833.3283912037</v>
      </c>
      <c r="C96" s="1" t="n">
        <v>45880</v>
      </c>
      <c r="D96" t="inlineStr">
        <is>
          <t>DALARNAS LÄN</t>
        </is>
      </c>
      <c r="E96" t="inlineStr">
        <is>
          <t>ÄLVDALEN</t>
        </is>
      </c>
      <c r="F96" t="inlineStr">
        <is>
          <t>Sveaskog</t>
        </is>
      </c>
      <c r="G96" t="n">
        <v>1.3</v>
      </c>
      <c r="H96" t="n">
        <v>2</v>
      </c>
      <c r="I96" t="n">
        <v>0</v>
      </c>
      <c r="J96" t="n">
        <v>1</v>
      </c>
      <c r="K96" t="n">
        <v>0</v>
      </c>
      <c r="L96" t="n">
        <v>1</v>
      </c>
      <c r="M96" t="n">
        <v>0</v>
      </c>
      <c r="N96" t="n">
        <v>0</v>
      </c>
      <c r="O96" t="n">
        <v>2</v>
      </c>
      <c r="P96" t="n">
        <v>1</v>
      </c>
      <c r="Q96" t="n">
        <v>2</v>
      </c>
      <c r="R96" s="2" t="inlineStr">
        <is>
          <t>Mosippa
Drillsnäppa</t>
        </is>
      </c>
      <c r="S96">
        <f>HYPERLINK("https://klasma.github.io/Logging_2039/artfynd/A 31264-2025 artfynd.xlsx", "A 31264-2025")</f>
        <v/>
      </c>
      <c r="T96">
        <f>HYPERLINK("https://klasma.github.io/Logging_2039/kartor/A 31264-2025 karta.png", "A 31264-2025")</f>
        <v/>
      </c>
      <c r="V96">
        <f>HYPERLINK("https://klasma.github.io/Logging_2039/klagomål/A 31264-2025 FSC-klagomål.docx", "A 31264-2025")</f>
        <v/>
      </c>
      <c r="W96">
        <f>HYPERLINK("https://klasma.github.io/Logging_2039/klagomålsmail/A 31264-2025 FSC-klagomål mail.docx", "A 31264-2025")</f>
        <v/>
      </c>
      <c r="X96">
        <f>HYPERLINK("https://klasma.github.io/Logging_2039/tillsyn/A 31264-2025 tillsynsbegäran.docx", "A 31264-2025")</f>
        <v/>
      </c>
      <c r="Y96">
        <f>HYPERLINK("https://klasma.github.io/Logging_2039/tillsynsmail/A 31264-2025 tillsynsbegäran mail.docx", "A 31264-2025")</f>
        <v/>
      </c>
    </row>
    <row r="97" ht="15" customHeight="1">
      <c r="A97" t="inlineStr">
        <is>
          <t>A 31761-2021</t>
        </is>
      </c>
      <c r="B97" s="1" t="n">
        <v>44370</v>
      </c>
      <c r="C97" s="1" t="n">
        <v>45880</v>
      </c>
      <c r="D97" t="inlineStr">
        <is>
          <t>DALARNAS LÄN</t>
        </is>
      </c>
      <c r="E97" t="inlineStr">
        <is>
          <t>ÄLVDALEN</t>
        </is>
      </c>
      <c r="F97" t="inlineStr">
        <is>
          <t>Sveaskog</t>
        </is>
      </c>
      <c r="G97" t="n">
        <v>29.4</v>
      </c>
      <c r="H97" t="n">
        <v>0</v>
      </c>
      <c r="I97" t="n">
        <v>1</v>
      </c>
      <c r="J97" t="n">
        <v>0</v>
      </c>
      <c r="K97" t="n">
        <v>0</v>
      </c>
      <c r="L97" t="n">
        <v>0</v>
      </c>
      <c r="M97" t="n">
        <v>0</v>
      </c>
      <c r="N97" t="n">
        <v>0</v>
      </c>
      <c r="O97" t="n">
        <v>0</v>
      </c>
      <c r="P97" t="n">
        <v>0</v>
      </c>
      <c r="Q97" t="n">
        <v>1</v>
      </c>
      <c r="R97" s="2" t="inlineStr">
        <is>
          <t>Dropptaggsvamp</t>
        </is>
      </c>
      <c r="S97">
        <f>HYPERLINK("https://klasma.github.io/Logging_2039/artfynd/A 31761-2021 artfynd.xlsx", "A 31761-2021")</f>
        <v/>
      </c>
      <c r="T97">
        <f>HYPERLINK("https://klasma.github.io/Logging_2039/kartor/A 31761-2021 karta.png", "A 31761-2021")</f>
        <v/>
      </c>
      <c r="V97">
        <f>HYPERLINK("https://klasma.github.io/Logging_2039/klagomål/A 31761-2021 FSC-klagomål.docx", "A 31761-2021")</f>
        <v/>
      </c>
      <c r="W97">
        <f>HYPERLINK("https://klasma.github.io/Logging_2039/klagomålsmail/A 31761-2021 FSC-klagomål mail.docx", "A 31761-2021")</f>
        <v/>
      </c>
      <c r="X97">
        <f>HYPERLINK("https://klasma.github.io/Logging_2039/tillsyn/A 31761-2021 tillsynsbegäran.docx", "A 31761-2021")</f>
        <v/>
      </c>
      <c r="Y97">
        <f>HYPERLINK("https://klasma.github.io/Logging_2039/tillsynsmail/A 31761-2021 tillsynsbegäran mail.docx", "A 31761-2021")</f>
        <v/>
      </c>
    </row>
    <row r="98" ht="15" customHeight="1">
      <c r="A98" t="inlineStr">
        <is>
          <t>A 50251-2022</t>
        </is>
      </c>
      <c r="B98" s="1" t="n">
        <v>44865</v>
      </c>
      <c r="C98" s="1" t="n">
        <v>45880</v>
      </c>
      <c r="D98" t="inlineStr">
        <is>
          <t>DALARNAS LÄN</t>
        </is>
      </c>
      <c r="E98" t="inlineStr">
        <is>
          <t>ÄLVDALEN</t>
        </is>
      </c>
      <c r="F98" t="inlineStr">
        <is>
          <t>Sveaskog</t>
        </is>
      </c>
      <c r="G98" t="n">
        <v>4.4</v>
      </c>
      <c r="H98" t="n">
        <v>0</v>
      </c>
      <c r="I98" t="n">
        <v>1</v>
      </c>
      <c r="J98" t="n">
        <v>0</v>
      </c>
      <c r="K98" t="n">
        <v>0</v>
      </c>
      <c r="L98" t="n">
        <v>0</v>
      </c>
      <c r="M98" t="n">
        <v>0</v>
      </c>
      <c r="N98" t="n">
        <v>0</v>
      </c>
      <c r="O98" t="n">
        <v>0</v>
      </c>
      <c r="P98" t="n">
        <v>0</v>
      </c>
      <c r="Q98" t="n">
        <v>1</v>
      </c>
      <c r="R98" s="2" t="inlineStr">
        <is>
          <t>Dropptaggsvamp</t>
        </is>
      </c>
      <c r="S98">
        <f>HYPERLINK("https://klasma.github.io/Logging_2039/artfynd/A 50251-2022 artfynd.xlsx", "A 50251-2022")</f>
        <v/>
      </c>
      <c r="T98">
        <f>HYPERLINK("https://klasma.github.io/Logging_2039/kartor/A 50251-2022 karta.png", "A 50251-2022")</f>
        <v/>
      </c>
      <c r="V98">
        <f>HYPERLINK("https://klasma.github.io/Logging_2039/klagomål/A 50251-2022 FSC-klagomål.docx", "A 50251-2022")</f>
        <v/>
      </c>
      <c r="W98">
        <f>HYPERLINK("https://klasma.github.io/Logging_2039/klagomålsmail/A 50251-2022 FSC-klagomål mail.docx", "A 50251-2022")</f>
        <v/>
      </c>
      <c r="X98">
        <f>HYPERLINK("https://klasma.github.io/Logging_2039/tillsyn/A 50251-2022 tillsynsbegäran.docx", "A 50251-2022")</f>
        <v/>
      </c>
      <c r="Y98">
        <f>HYPERLINK("https://klasma.github.io/Logging_2039/tillsynsmail/A 50251-2022 tillsynsbegäran mail.docx", "A 50251-2022")</f>
        <v/>
      </c>
    </row>
    <row r="99" ht="15" customHeight="1">
      <c r="A99" t="inlineStr">
        <is>
          <t>A 30971-2021</t>
        </is>
      </c>
      <c r="B99" s="1" t="n">
        <v>44365.90097222223</v>
      </c>
      <c r="C99" s="1" t="n">
        <v>45880</v>
      </c>
      <c r="D99" t="inlineStr">
        <is>
          <t>DALARNAS LÄN</t>
        </is>
      </c>
      <c r="E99" t="inlineStr">
        <is>
          <t>ÄLVDALEN</t>
        </is>
      </c>
      <c r="F99" t="inlineStr">
        <is>
          <t>Sveaskog</t>
        </is>
      </c>
      <c r="G99" t="n">
        <v>1.9</v>
      </c>
      <c r="H99" t="n">
        <v>0</v>
      </c>
      <c r="I99" t="n">
        <v>1</v>
      </c>
      <c r="J99" t="n">
        <v>0</v>
      </c>
      <c r="K99" t="n">
        <v>0</v>
      </c>
      <c r="L99" t="n">
        <v>0</v>
      </c>
      <c r="M99" t="n">
        <v>0</v>
      </c>
      <c r="N99" t="n">
        <v>0</v>
      </c>
      <c r="O99" t="n">
        <v>0</v>
      </c>
      <c r="P99" t="n">
        <v>0</v>
      </c>
      <c r="Q99" t="n">
        <v>1</v>
      </c>
      <c r="R99" s="2" t="inlineStr">
        <is>
          <t>Dropptaggsvamp</t>
        </is>
      </c>
      <c r="S99">
        <f>HYPERLINK("https://klasma.github.io/Logging_2039/artfynd/A 30971-2021 artfynd.xlsx", "A 30971-2021")</f>
        <v/>
      </c>
      <c r="T99">
        <f>HYPERLINK("https://klasma.github.io/Logging_2039/kartor/A 30971-2021 karta.png", "A 30971-2021")</f>
        <v/>
      </c>
      <c r="V99">
        <f>HYPERLINK("https://klasma.github.io/Logging_2039/klagomål/A 30971-2021 FSC-klagomål.docx", "A 30971-2021")</f>
        <v/>
      </c>
      <c r="W99">
        <f>HYPERLINK("https://klasma.github.io/Logging_2039/klagomålsmail/A 30971-2021 FSC-klagomål mail.docx", "A 30971-2021")</f>
        <v/>
      </c>
      <c r="X99">
        <f>HYPERLINK("https://klasma.github.io/Logging_2039/tillsyn/A 30971-2021 tillsynsbegäran.docx", "A 30971-2021")</f>
        <v/>
      </c>
      <c r="Y99">
        <f>HYPERLINK("https://klasma.github.io/Logging_2039/tillsynsmail/A 30971-2021 tillsynsbegäran mail.docx", "A 30971-2021")</f>
        <v/>
      </c>
    </row>
    <row r="100" ht="15" customHeight="1">
      <c r="A100" t="inlineStr">
        <is>
          <t>A 65500-2021</t>
        </is>
      </c>
      <c r="B100" s="1" t="n">
        <v>44516</v>
      </c>
      <c r="C100" s="1" t="n">
        <v>45880</v>
      </c>
      <c r="D100" t="inlineStr">
        <is>
          <t>DALARNAS LÄN</t>
        </is>
      </c>
      <c r="E100" t="inlineStr">
        <is>
          <t>ÄLVDALEN</t>
        </is>
      </c>
      <c r="F100" t="inlineStr">
        <is>
          <t>Sveaskog</t>
        </is>
      </c>
      <c r="G100" t="n">
        <v>10.4</v>
      </c>
      <c r="H100" t="n">
        <v>1</v>
      </c>
      <c r="I100" t="n">
        <v>0</v>
      </c>
      <c r="J100" t="n">
        <v>1</v>
      </c>
      <c r="K100" t="n">
        <v>0</v>
      </c>
      <c r="L100" t="n">
        <v>0</v>
      </c>
      <c r="M100" t="n">
        <v>0</v>
      </c>
      <c r="N100" t="n">
        <v>0</v>
      </c>
      <c r="O100" t="n">
        <v>1</v>
      </c>
      <c r="P100" t="n">
        <v>0</v>
      </c>
      <c r="Q100" t="n">
        <v>1</v>
      </c>
      <c r="R100" s="2" t="inlineStr">
        <is>
          <t>Varglav</t>
        </is>
      </c>
      <c r="S100">
        <f>HYPERLINK("https://klasma.github.io/Logging_2039/artfynd/A 65500-2021 artfynd.xlsx", "A 65500-2021")</f>
        <v/>
      </c>
      <c r="T100">
        <f>HYPERLINK("https://klasma.github.io/Logging_2039/kartor/A 65500-2021 karta.png", "A 65500-2021")</f>
        <v/>
      </c>
      <c r="V100">
        <f>HYPERLINK("https://klasma.github.io/Logging_2039/klagomål/A 65500-2021 FSC-klagomål.docx", "A 65500-2021")</f>
        <v/>
      </c>
      <c r="W100">
        <f>HYPERLINK("https://klasma.github.io/Logging_2039/klagomålsmail/A 65500-2021 FSC-klagomål mail.docx", "A 65500-2021")</f>
        <v/>
      </c>
      <c r="X100">
        <f>HYPERLINK("https://klasma.github.io/Logging_2039/tillsyn/A 65500-2021 tillsynsbegäran.docx", "A 65500-2021")</f>
        <v/>
      </c>
      <c r="Y100">
        <f>HYPERLINK("https://klasma.github.io/Logging_2039/tillsynsmail/A 65500-2021 tillsynsbegäran mail.docx", "A 65500-2021")</f>
        <v/>
      </c>
    </row>
    <row r="101" ht="15" customHeight="1">
      <c r="A101" t="inlineStr">
        <is>
          <t>A 22759-2021</t>
        </is>
      </c>
      <c r="B101" s="1" t="n">
        <v>44327.86341435185</v>
      </c>
      <c r="C101" s="1" t="n">
        <v>45880</v>
      </c>
      <c r="D101" t="inlineStr">
        <is>
          <t>DALARNAS LÄN</t>
        </is>
      </c>
      <c r="E101" t="inlineStr">
        <is>
          <t>ÄLVDALEN</t>
        </is>
      </c>
      <c r="F101" t="inlineStr">
        <is>
          <t>Sveaskog</t>
        </is>
      </c>
      <c r="G101" t="n">
        <v>1.8</v>
      </c>
      <c r="H101" t="n">
        <v>0</v>
      </c>
      <c r="I101" t="n">
        <v>1</v>
      </c>
      <c r="J101" t="n">
        <v>0</v>
      </c>
      <c r="K101" t="n">
        <v>0</v>
      </c>
      <c r="L101" t="n">
        <v>0</v>
      </c>
      <c r="M101" t="n">
        <v>0</v>
      </c>
      <c r="N101" t="n">
        <v>0</v>
      </c>
      <c r="O101" t="n">
        <v>0</v>
      </c>
      <c r="P101" t="n">
        <v>0</v>
      </c>
      <c r="Q101" t="n">
        <v>1</v>
      </c>
      <c r="R101" s="2" t="inlineStr">
        <is>
          <t>Dropptaggsvamp</t>
        </is>
      </c>
      <c r="S101">
        <f>HYPERLINK("https://klasma.github.io/Logging_2039/artfynd/A 22759-2021 artfynd.xlsx", "A 22759-2021")</f>
        <v/>
      </c>
      <c r="T101">
        <f>HYPERLINK("https://klasma.github.io/Logging_2039/kartor/A 22759-2021 karta.png", "A 22759-2021")</f>
        <v/>
      </c>
      <c r="V101">
        <f>HYPERLINK("https://klasma.github.io/Logging_2039/klagomål/A 22759-2021 FSC-klagomål.docx", "A 22759-2021")</f>
        <v/>
      </c>
      <c r="W101">
        <f>HYPERLINK("https://klasma.github.io/Logging_2039/klagomålsmail/A 22759-2021 FSC-klagomål mail.docx", "A 22759-2021")</f>
        <v/>
      </c>
      <c r="X101">
        <f>HYPERLINK("https://klasma.github.io/Logging_2039/tillsyn/A 22759-2021 tillsynsbegäran.docx", "A 22759-2021")</f>
        <v/>
      </c>
      <c r="Y101">
        <f>HYPERLINK("https://klasma.github.io/Logging_2039/tillsynsmail/A 22759-2021 tillsynsbegäran mail.docx", "A 22759-2021")</f>
        <v/>
      </c>
    </row>
    <row r="102" ht="15" customHeight="1">
      <c r="A102" t="inlineStr">
        <is>
          <t>A 34099-2021</t>
        </is>
      </c>
      <c r="B102" s="1" t="n">
        <v>44379</v>
      </c>
      <c r="C102" s="1" t="n">
        <v>45880</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50252-2022</t>
        </is>
      </c>
      <c r="B103" s="1" t="n">
        <v>44865</v>
      </c>
      <c r="C103" s="1" t="n">
        <v>45880</v>
      </c>
      <c r="D103" t="inlineStr">
        <is>
          <t>DALARNAS LÄN</t>
        </is>
      </c>
      <c r="E103" t="inlineStr">
        <is>
          <t>ÄLVDALEN</t>
        </is>
      </c>
      <c r="F103" t="inlineStr">
        <is>
          <t>Sveaskog</t>
        </is>
      </c>
      <c r="G103" t="n">
        <v>3</v>
      </c>
      <c r="H103" t="n">
        <v>0</v>
      </c>
      <c r="I103" t="n">
        <v>1</v>
      </c>
      <c r="J103" t="n">
        <v>0</v>
      </c>
      <c r="K103" t="n">
        <v>0</v>
      </c>
      <c r="L103" t="n">
        <v>0</v>
      </c>
      <c r="M103" t="n">
        <v>0</v>
      </c>
      <c r="N103" t="n">
        <v>0</v>
      </c>
      <c r="O103" t="n">
        <v>0</v>
      </c>
      <c r="P103" t="n">
        <v>0</v>
      </c>
      <c r="Q103" t="n">
        <v>1</v>
      </c>
      <c r="R103" s="2" t="inlineStr">
        <is>
          <t>Dropptaggsvamp</t>
        </is>
      </c>
      <c r="S103">
        <f>HYPERLINK("https://klasma.github.io/Logging_2039/artfynd/A 50252-2022 artfynd.xlsx", "A 50252-2022")</f>
        <v/>
      </c>
      <c r="T103">
        <f>HYPERLINK("https://klasma.github.io/Logging_2039/kartor/A 50252-2022 karta.png", "A 50252-2022")</f>
        <v/>
      </c>
      <c r="V103">
        <f>HYPERLINK("https://klasma.github.io/Logging_2039/klagomål/A 50252-2022 FSC-klagomål.docx", "A 50252-2022")</f>
        <v/>
      </c>
      <c r="W103">
        <f>HYPERLINK("https://klasma.github.io/Logging_2039/klagomålsmail/A 50252-2022 FSC-klagomål mail.docx", "A 50252-2022")</f>
        <v/>
      </c>
      <c r="X103">
        <f>HYPERLINK("https://klasma.github.io/Logging_2039/tillsyn/A 50252-2022 tillsynsbegäran.docx", "A 50252-2022")</f>
        <v/>
      </c>
      <c r="Y103">
        <f>HYPERLINK("https://klasma.github.io/Logging_2039/tillsynsmail/A 50252-2022 tillsynsbegäran mail.docx", "A 50252-2022")</f>
        <v/>
      </c>
    </row>
    <row r="104" ht="15" customHeight="1">
      <c r="A104" t="inlineStr">
        <is>
          <t>A 22407-2021</t>
        </is>
      </c>
      <c r="B104" s="1" t="n">
        <v>44326.61526620371</v>
      </c>
      <c r="C104" s="1" t="n">
        <v>45880</v>
      </c>
      <c r="D104" t="inlineStr">
        <is>
          <t>DALARNAS LÄN</t>
        </is>
      </c>
      <c r="E104" t="inlineStr">
        <is>
          <t>ÄLVDALEN</t>
        </is>
      </c>
      <c r="F104" t="inlineStr">
        <is>
          <t>Sveaskog</t>
        </is>
      </c>
      <c r="G104" t="n">
        <v>4.2</v>
      </c>
      <c r="H104" t="n">
        <v>0</v>
      </c>
      <c r="I104" t="n">
        <v>1</v>
      </c>
      <c r="J104" t="n">
        <v>0</v>
      </c>
      <c r="K104" t="n">
        <v>0</v>
      </c>
      <c r="L104" t="n">
        <v>0</v>
      </c>
      <c r="M104" t="n">
        <v>0</v>
      </c>
      <c r="N104" t="n">
        <v>0</v>
      </c>
      <c r="O104" t="n">
        <v>0</v>
      </c>
      <c r="P104" t="n">
        <v>0</v>
      </c>
      <c r="Q104" t="n">
        <v>1</v>
      </c>
      <c r="R104" s="2" t="inlineStr">
        <is>
          <t>Dropptaggsvamp</t>
        </is>
      </c>
      <c r="S104">
        <f>HYPERLINK("https://klasma.github.io/Logging_2039/artfynd/A 22407-2021 artfynd.xlsx", "A 22407-2021")</f>
        <v/>
      </c>
      <c r="T104">
        <f>HYPERLINK("https://klasma.github.io/Logging_2039/kartor/A 22407-2021 karta.png", "A 22407-2021")</f>
        <v/>
      </c>
      <c r="V104">
        <f>HYPERLINK("https://klasma.github.io/Logging_2039/klagomål/A 22407-2021 FSC-klagomål.docx", "A 22407-2021")</f>
        <v/>
      </c>
      <c r="W104">
        <f>HYPERLINK("https://klasma.github.io/Logging_2039/klagomålsmail/A 22407-2021 FSC-klagomål mail.docx", "A 22407-2021")</f>
        <v/>
      </c>
      <c r="X104">
        <f>HYPERLINK("https://klasma.github.io/Logging_2039/tillsyn/A 22407-2021 tillsynsbegäran.docx", "A 22407-2021")</f>
        <v/>
      </c>
      <c r="Y104">
        <f>HYPERLINK("https://klasma.github.io/Logging_2039/tillsynsmail/A 22407-2021 tillsynsbegäran mail.docx", "A 22407-2021")</f>
        <v/>
      </c>
    </row>
    <row r="105" ht="15" customHeight="1">
      <c r="A105" t="inlineStr">
        <is>
          <t>A 24847-2021</t>
        </is>
      </c>
      <c r="B105" s="1" t="n">
        <v>44340</v>
      </c>
      <c r="C105" s="1" t="n">
        <v>45880</v>
      </c>
      <c r="D105" t="inlineStr">
        <is>
          <t>DALARNAS LÄN</t>
        </is>
      </c>
      <c r="E105" t="inlineStr">
        <is>
          <t>ÄLVDALEN</t>
        </is>
      </c>
      <c r="F105" t="inlineStr">
        <is>
          <t>Sveaskog</t>
        </is>
      </c>
      <c r="G105" t="n">
        <v>7.1</v>
      </c>
      <c r="H105" t="n">
        <v>1</v>
      </c>
      <c r="I105" t="n">
        <v>0</v>
      </c>
      <c r="J105" t="n">
        <v>1</v>
      </c>
      <c r="K105" t="n">
        <v>0</v>
      </c>
      <c r="L105" t="n">
        <v>0</v>
      </c>
      <c r="M105" t="n">
        <v>0</v>
      </c>
      <c r="N105" t="n">
        <v>0</v>
      </c>
      <c r="O105" t="n">
        <v>1</v>
      </c>
      <c r="P105" t="n">
        <v>0</v>
      </c>
      <c r="Q105" t="n">
        <v>1</v>
      </c>
      <c r="R105" s="2" t="inlineStr">
        <is>
          <t>Varglav</t>
        </is>
      </c>
      <c r="S105">
        <f>HYPERLINK("https://klasma.github.io/Logging_2039/artfynd/A 24847-2021 artfynd.xlsx", "A 24847-2021")</f>
        <v/>
      </c>
      <c r="T105">
        <f>HYPERLINK("https://klasma.github.io/Logging_2039/kartor/A 24847-2021 karta.png", "A 24847-2021")</f>
        <v/>
      </c>
      <c r="V105">
        <f>HYPERLINK("https://klasma.github.io/Logging_2039/klagomål/A 24847-2021 FSC-klagomål.docx", "A 24847-2021")</f>
        <v/>
      </c>
      <c r="W105">
        <f>HYPERLINK("https://klasma.github.io/Logging_2039/klagomålsmail/A 24847-2021 FSC-klagomål mail.docx", "A 24847-2021")</f>
        <v/>
      </c>
      <c r="X105">
        <f>HYPERLINK("https://klasma.github.io/Logging_2039/tillsyn/A 24847-2021 tillsynsbegäran.docx", "A 24847-2021")</f>
        <v/>
      </c>
      <c r="Y105">
        <f>HYPERLINK("https://klasma.github.io/Logging_2039/tillsynsmail/A 24847-2021 tillsynsbegäran mail.docx", "A 24847-2021")</f>
        <v/>
      </c>
    </row>
    <row r="106" ht="15" customHeight="1">
      <c r="A106" t="inlineStr">
        <is>
          <t>A 51477-2022</t>
        </is>
      </c>
      <c r="B106" s="1" t="n">
        <v>44869</v>
      </c>
      <c r="C106" s="1" t="n">
        <v>45880</v>
      </c>
      <c r="D106" t="inlineStr">
        <is>
          <t>DALARNAS LÄN</t>
        </is>
      </c>
      <c r="E106" t="inlineStr">
        <is>
          <t>ÄLVDALEN</t>
        </is>
      </c>
      <c r="F106" t="inlineStr">
        <is>
          <t>Sveaskog</t>
        </is>
      </c>
      <c r="G106" t="n">
        <v>3.8</v>
      </c>
      <c r="H106" t="n">
        <v>0</v>
      </c>
      <c r="I106" t="n">
        <v>1</v>
      </c>
      <c r="J106" t="n">
        <v>0</v>
      </c>
      <c r="K106" t="n">
        <v>0</v>
      </c>
      <c r="L106" t="n">
        <v>0</v>
      </c>
      <c r="M106" t="n">
        <v>0</v>
      </c>
      <c r="N106" t="n">
        <v>0</v>
      </c>
      <c r="O106" t="n">
        <v>0</v>
      </c>
      <c r="P106" t="n">
        <v>0</v>
      </c>
      <c r="Q106" t="n">
        <v>1</v>
      </c>
      <c r="R106" s="2" t="inlineStr">
        <is>
          <t>Dropptaggsvamp</t>
        </is>
      </c>
      <c r="S106">
        <f>HYPERLINK("https://klasma.github.io/Logging_2039/artfynd/A 51477-2022 artfynd.xlsx", "A 51477-2022")</f>
        <v/>
      </c>
      <c r="T106">
        <f>HYPERLINK("https://klasma.github.io/Logging_2039/kartor/A 51477-2022 karta.png", "A 51477-2022")</f>
        <v/>
      </c>
      <c r="V106">
        <f>HYPERLINK("https://klasma.github.io/Logging_2039/klagomål/A 51477-2022 FSC-klagomål.docx", "A 51477-2022")</f>
        <v/>
      </c>
      <c r="W106">
        <f>HYPERLINK("https://klasma.github.io/Logging_2039/klagomålsmail/A 51477-2022 FSC-klagomål mail.docx", "A 51477-2022")</f>
        <v/>
      </c>
      <c r="X106">
        <f>HYPERLINK("https://klasma.github.io/Logging_2039/tillsyn/A 51477-2022 tillsynsbegäran.docx", "A 51477-2022")</f>
        <v/>
      </c>
      <c r="Y106">
        <f>HYPERLINK("https://klasma.github.io/Logging_2039/tillsynsmail/A 51477-2022 tillsynsbegäran mail.docx", "A 51477-2022")</f>
        <v/>
      </c>
    </row>
    <row r="107" ht="15" customHeight="1">
      <c r="A107" t="inlineStr">
        <is>
          <t>A 60419-2021</t>
        </is>
      </c>
      <c r="B107" s="1" t="n">
        <v>44496.40606481482</v>
      </c>
      <c r="C107" s="1" t="n">
        <v>45880</v>
      </c>
      <c r="D107" t="inlineStr">
        <is>
          <t>DALARNAS LÄN</t>
        </is>
      </c>
      <c r="E107" t="inlineStr">
        <is>
          <t>ÄLVDALEN</t>
        </is>
      </c>
      <c r="F107" t="inlineStr">
        <is>
          <t>Sveaskog</t>
        </is>
      </c>
      <c r="G107" t="n">
        <v>9.1</v>
      </c>
      <c r="H107" t="n">
        <v>0</v>
      </c>
      <c r="I107" t="n">
        <v>1</v>
      </c>
      <c r="J107" t="n">
        <v>0</v>
      </c>
      <c r="K107" t="n">
        <v>0</v>
      </c>
      <c r="L107" t="n">
        <v>0</v>
      </c>
      <c r="M107" t="n">
        <v>0</v>
      </c>
      <c r="N107" t="n">
        <v>0</v>
      </c>
      <c r="O107" t="n">
        <v>0</v>
      </c>
      <c r="P107" t="n">
        <v>0</v>
      </c>
      <c r="Q107" t="n">
        <v>1</v>
      </c>
      <c r="R107" s="2" t="inlineStr">
        <is>
          <t>Dropptaggsvamp</t>
        </is>
      </c>
      <c r="S107">
        <f>HYPERLINK("https://klasma.github.io/Logging_2039/artfynd/A 60419-2021 artfynd.xlsx", "A 60419-2021")</f>
        <v/>
      </c>
      <c r="T107">
        <f>HYPERLINK("https://klasma.github.io/Logging_2039/kartor/A 60419-2021 karta.png", "A 60419-2021")</f>
        <v/>
      </c>
      <c r="V107">
        <f>HYPERLINK("https://klasma.github.io/Logging_2039/klagomål/A 60419-2021 FSC-klagomål.docx", "A 60419-2021")</f>
        <v/>
      </c>
      <c r="W107">
        <f>HYPERLINK("https://klasma.github.io/Logging_2039/klagomålsmail/A 60419-2021 FSC-klagomål mail.docx", "A 60419-2021")</f>
        <v/>
      </c>
      <c r="X107">
        <f>HYPERLINK("https://klasma.github.io/Logging_2039/tillsyn/A 60419-2021 tillsynsbegäran.docx", "A 60419-2021")</f>
        <v/>
      </c>
      <c r="Y107">
        <f>HYPERLINK("https://klasma.github.io/Logging_2039/tillsynsmail/A 60419-2021 tillsynsbegäran mail.docx", "A 60419-2021")</f>
        <v/>
      </c>
    </row>
    <row r="108" ht="15" customHeight="1">
      <c r="A108" t="inlineStr">
        <is>
          <t>A 26736-2021</t>
        </is>
      </c>
      <c r="B108" s="1" t="n">
        <v>44349</v>
      </c>
      <c r="C108" s="1" t="n">
        <v>45880</v>
      </c>
      <c r="D108" t="inlineStr">
        <is>
          <t>DALARNAS LÄN</t>
        </is>
      </c>
      <c r="E108" t="inlineStr">
        <is>
          <t>ÄLVDALEN</t>
        </is>
      </c>
      <c r="F108" t="inlineStr">
        <is>
          <t>Sveaskog</t>
        </is>
      </c>
      <c r="G108" t="n">
        <v>5.5</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26736-2021 artfynd.xlsx", "A 26736-2021")</f>
        <v/>
      </c>
      <c r="T108">
        <f>HYPERLINK("https://klasma.github.io/Logging_2039/kartor/A 26736-2021 karta.png", "A 26736-2021")</f>
        <v/>
      </c>
      <c r="V108">
        <f>HYPERLINK("https://klasma.github.io/Logging_2039/klagomål/A 26736-2021 FSC-klagomål.docx", "A 26736-2021")</f>
        <v/>
      </c>
      <c r="W108">
        <f>HYPERLINK("https://klasma.github.io/Logging_2039/klagomålsmail/A 26736-2021 FSC-klagomål mail.docx", "A 26736-2021")</f>
        <v/>
      </c>
      <c r="X108">
        <f>HYPERLINK("https://klasma.github.io/Logging_2039/tillsyn/A 26736-2021 tillsynsbegäran.docx", "A 26736-2021")</f>
        <v/>
      </c>
      <c r="Y108">
        <f>HYPERLINK("https://klasma.github.io/Logging_2039/tillsynsmail/A 26736-2021 tillsynsbegäran mail.docx", "A 26736-2021")</f>
        <v/>
      </c>
    </row>
    <row r="109" ht="15" customHeight="1">
      <c r="A109" t="inlineStr">
        <is>
          <t>A 71652-2021</t>
        </is>
      </c>
      <c r="B109" s="1" t="n">
        <v>44543</v>
      </c>
      <c r="C109" s="1" t="n">
        <v>45880</v>
      </c>
      <c r="D109" t="inlineStr">
        <is>
          <t>DALARNAS LÄN</t>
        </is>
      </c>
      <c r="E109" t="inlineStr">
        <is>
          <t>ÄLVDALEN</t>
        </is>
      </c>
      <c r="G109" t="n">
        <v>4.3</v>
      </c>
      <c r="H109" t="n">
        <v>1</v>
      </c>
      <c r="I109" t="n">
        <v>0</v>
      </c>
      <c r="J109" t="n">
        <v>1</v>
      </c>
      <c r="K109" t="n">
        <v>0</v>
      </c>
      <c r="L109" t="n">
        <v>0</v>
      </c>
      <c r="M109" t="n">
        <v>0</v>
      </c>
      <c r="N109" t="n">
        <v>0</v>
      </c>
      <c r="O109" t="n">
        <v>1</v>
      </c>
      <c r="P109" t="n">
        <v>0</v>
      </c>
      <c r="Q109" t="n">
        <v>1</v>
      </c>
      <c r="R109" s="2" t="inlineStr">
        <is>
          <t>Tretåig hackspett</t>
        </is>
      </c>
      <c r="S109">
        <f>HYPERLINK("https://klasma.github.io/Logging_2039/artfynd/A 71652-2021 artfynd.xlsx", "A 71652-2021")</f>
        <v/>
      </c>
      <c r="T109">
        <f>HYPERLINK("https://klasma.github.io/Logging_2039/kartor/A 71652-2021 karta.png", "A 71652-2021")</f>
        <v/>
      </c>
      <c r="V109">
        <f>HYPERLINK("https://klasma.github.io/Logging_2039/klagomål/A 71652-2021 FSC-klagomål.docx", "A 71652-2021")</f>
        <v/>
      </c>
      <c r="W109">
        <f>HYPERLINK("https://klasma.github.io/Logging_2039/klagomålsmail/A 71652-2021 FSC-klagomål mail.docx", "A 71652-2021")</f>
        <v/>
      </c>
      <c r="X109">
        <f>HYPERLINK("https://klasma.github.io/Logging_2039/tillsyn/A 71652-2021 tillsynsbegäran.docx", "A 71652-2021")</f>
        <v/>
      </c>
      <c r="Y109">
        <f>HYPERLINK("https://klasma.github.io/Logging_2039/tillsynsmail/A 71652-2021 tillsynsbegäran mail.docx", "A 71652-2021")</f>
        <v/>
      </c>
      <c r="Z109">
        <f>HYPERLINK("https://klasma.github.io/Logging_2039/fåglar/A 71652-2021 prioriterade fågelarter.docx", "A 71652-2021")</f>
        <v/>
      </c>
    </row>
    <row r="110" ht="15" customHeight="1">
      <c r="A110" t="inlineStr">
        <is>
          <t>A 14277-2024</t>
        </is>
      </c>
      <c r="B110" s="1" t="n">
        <v>45393.60042824074</v>
      </c>
      <c r="C110" s="1" t="n">
        <v>45880</v>
      </c>
      <c r="D110" t="inlineStr">
        <is>
          <t>DALARNAS LÄN</t>
        </is>
      </c>
      <c r="E110" t="inlineStr">
        <is>
          <t>ÄLVDALEN</t>
        </is>
      </c>
      <c r="F110" t="inlineStr">
        <is>
          <t>Allmännings- och besparingsskogar</t>
        </is>
      </c>
      <c r="G110" t="n">
        <v>2.8</v>
      </c>
      <c r="H110" t="n">
        <v>1</v>
      </c>
      <c r="I110" t="n">
        <v>0</v>
      </c>
      <c r="J110" t="n">
        <v>1</v>
      </c>
      <c r="K110" t="n">
        <v>0</v>
      </c>
      <c r="L110" t="n">
        <v>0</v>
      </c>
      <c r="M110" t="n">
        <v>0</v>
      </c>
      <c r="N110" t="n">
        <v>0</v>
      </c>
      <c r="O110" t="n">
        <v>1</v>
      </c>
      <c r="P110" t="n">
        <v>0</v>
      </c>
      <c r="Q110" t="n">
        <v>1</v>
      </c>
      <c r="R110" s="2" t="inlineStr">
        <is>
          <t>Talltita</t>
        </is>
      </c>
      <c r="S110">
        <f>HYPERLINK("https://klasma.github.io/Logging_2039/artfynd/A 14277-2024 artfynd.xlsx", "A 14277-2024")</f>
        <v/>
      </c>
      <c r="T110">
        <f>HYPERLINK("https://klasma.github.io/Logging_2039/kartor/A 14277-2024 karta.png", "A 14277-2024")</f>
        <v/>
      </c>
      <c r="V110">
        <f>HYPERLINK("https://klasma.github.io/Logging_2039/klagomål/A 14277-2024 FSC-klagomål.docx", "A 14277-2024")</f>
        <v/>
      </c>
      <c r="W110">
        <f>HYPERLINK("https://klasma.github.io/Logging_2039/klagomålsmail/A 14277-2024 FSC-klagomål mail.docx", "A 14277-2024")</f>
        <v/>
      </c>
      <c r="X110">
        <f>HYPERLINK("https://klasma.github.io/Logging_2039/tillsyn/A 14277-2024 tillsynsbegäran.docx", "A 14277-2024")</f>
        <v/>
      </c>
      <c r="Y110">
        <f>HYPERLINK("https://klasma.github.io/Logging_2039/tillsynsmail/A 14277-2024 tillsynsbegäran mail.docx", "A 14277-2024")</f>
        <v/>
      </c>
      <c r="Z110">
        <f>HYPERLINK("https://klasma.github.io/Logging_2039/fåglar/A 14277-2024 prioriterade fågelarter.docx", "A 14277-2024")</f>
        <v/>
      </c>
    </row>
    <row r="111" ht="15" customHeight="1">
      <c r="A111" t="inlineStr">
        <is>
          <t>A 662-2025</t>
        </is>
      </c>
      <c r="B111" s="1" t="n">
        <v>45664</v>
      </c>
      <c r="C111" s="1" t="n">
        <v>45880</v>
      </c>
      <c r="D111" t="inlineStr">
        <is>
          <t>DALARNAS LÄN</t>
        </is>
      </c>
      <c r="E111" t="inlineStr">
        <is>
          <t>ÄLVDALEN</t>
        </is>
      </c>
      <c r="G111" t="n">
        <v>20</v>
      </c>
      <c r="H111" t="n">
        <v>0</v>
      </c>
      <c r="I111" t="n">
        <v>0</v>
      </c>
      <c r="J111" t="n">
        <v>1</v>
      </c>
      <c r="K111" t="n">
        <v>0</v>
      </c>
      <c r="L111" t="n">
        <v>0</v>
      </c>
      <c r="M111" t="n">
        <v>0</v>
      </c>
      <c r="N111" t="n">
        <v>0</v>
      </c>
      <c r="O111" t="n">
        <v>1</v>
      </c>
      <c r="P111" t="n">
        <v>0</v>
      </c>
      <c r="Q111" t="n">
        <v>1</v>
      </c>
      <c r="R111" s="2" t="inlineStr">
        <is>
          <t>Garnlav</t>
        </is>
      </c>
      <c r="S111">
        <f>HYPERLINK("https://klasma.github.io/Logging_2039/artfynd/A 662-2025 artfynd.xlsx", "A 662-2025")</f>
        <v/>
      </c>
      <c r="T111">
        <f>HYPERLINK("https://klasma.github.io/Logging_2039/kartor/A 662-2025 karta.png", "A 662-2025")</f>
        <v/>
      </c>
      <c r="V111">
        <f>HYPERLINK("https://klasma.github.io/Logging_2039/klagomål/A 662-2025 FSC-klagomål.docx", "A 662-2025")</f>
        <v/>
      </c>
      <c r="W111">
        <f>HYPERLINK("https://klasma.github.io/Logging_2039/klagomålsmail/A 662-2025 FSC-klagomål mail.docx", "A 662-2025")</f>
        <v/>
      </c>
      <c r="X111">
        <f>HYPERLINK("https://klasma.github.io/Logging_2039/tillsyn/A 662-2025 tillsynsbegäran.docx", "A 662-2025")</f>
        <v/>
      </c>
      <c r="Y111">
        <f>HYPERLINK("https://klasma.github.io/Logging_2039/tillsynsmail/A 662-2025 tillsynsbegäran mail.docx", "A 662-2025")</f>
        <v/>
      </c>
    </row>
    <row r="112" ht="15" customHeight="1">
      <c r="A112" t="inlineStr">
        <is>
          <t>A 23872-2023</t>
        </is>
      </c>
      <c r="B112" s="1" t="n">
        <v>45078</v>
      </c>
      <c r="C112" s="1" t="n">
        <v>45880</v>
      </c>
      <c r="D112" t="inlineStr">
        <is>
          <t>DALARNAS LÄN</t>
        </is>
      </c>
      <c r="E112" t="inlineStr">
        <is>
          <t>ÄLVDALEN</t>
        </is>
      </c>
      <c r="F112" t="inlineStr">
        <is>
          <t>Allmännings- och besparingsskogar</t>
        </is>
      </c>
      <c r="G112" t="n">
        <v>79.5</v>
      </c>
      <c r="H112" t="n">
        <v>1</v>
      </c>
      <c r="I112" t="n">
        <v>0</v>
      </c>
      <c r="J112" t="n">
        <v>0</v>
      </c>
      <c r="K112" t="n">
        <v>0</v>
      </c>
      <c r="L112" t="n">
        <v>0</v>
      </c>
      <c r="M112" t="n">
        <v>0</v>
      </c>
      <c r="N112" t="n">
        <v>0</v>
      </c>
      <c r="O112" t="n">
        <v>0</v>
      </c>
      <c r="P112" t="n">
        <v>0</v>
      </c>
      <c r="Q112" t="n">
        <v>1</v>
      </c>
      <c r="R112" s="2" t="inlineStr">
        <is>
          <t>Vanlig groda</t>
        </is>
      </c>
      <c r="S112">
        <f>HYPERLINK("https://klasma.github.io/Logging_2039/artfynd/A 23872-2023 artfynd.xlsx", "A 23872-2023")</f>
        <v/>
      </c>
      <c r="T112">
        <f>HYPERLINK("https://klasma.github.io/Logging_2039/kartor/A 23872-2023 karta.png", "A 23872-2023")</f>
        <v/>
      </c>
      <c r="V112">
        <f>HYPERLINK("https://klasma.github.io/Logging_2039/klagomål/A 23872-2023 FSC-klagomål.docx", "A 23872-2023")</f>
        <v/>
      </c>
      <c r="W112">
        <f>HYPERLINK("https://klasma.github.io/Logging_2039/klagomålsmail/A 23872-2023 FSC-klagomål mail.docx", "A 23872-2023")</f>
        <v/>
      </c>
      <c r="X112">
        <f>HYPERLINK("https://klasma.github.io/Logging_2039/tillsyn/A 23872-2023 tillsynsbegäran.docx", "A 23872-2023")</f>
        <v/>
      </c>
      <c r="Y112">
        <f>HYPERLINK("https://klasma.github.io/Logging_2039/tillsynsmail/A 23872-2023 tillsynsbegäran mail.docx", "A 23872-2023")</f>
        <v/>
      </c>
    </row>
    <row r="113" ht="15" customHeight="1">
      <c r="A113" t="inlineStr">
        <is>
          <t>A 30691-2024</t>
        </is>
      </c>
      <c r="B113" s="1" t="n">
        <v>45496.26998842593</v>
      </c>
      <c r="C113" s="1" t="n">
        <v>45880</v>
      </c>
      <c r="D113" t="inlineStr">
        <is>
          <t>DALARNAS LÄN</t>
        </is>
      </c>
      <c r="E113" t="inlineStr">
        <is>
          <t>ÄLVDALEN</t>
        </is>
      </c>
      <c r="G113" t="n">
        <v>2.9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30691-2024 artfynd.xlsx", "A 30691-2024")</f>
        <v/>
      </c>
      <c r="T113">
        <f>HYPERLINK("https://klasma.github.io/Logging_2039/kartor/A 30691-2024 karta.png", "A 30691-2024")</f>
        <v/>
      </c>
      <c r="V113">
        <f>HYPERLINK("https://klasma.github.io/Logging_2039/klagomål/A 30691-2024 FSC-klagomål.docx", "A 30691-2024")</f>
        <v/>
      </c>
      <c r="W113">
        <f>HYPERLINK("https://klasma.github.io/Logging_2039/klagomålsmail/A 30691-2024 FSC-klagomål mail.docx", "A 30691-2024")</f>
        <v/>
      </c>
      <c r="X113">
        <f>HYPERLINK("https://klasma.github.io/Logging_2039/tillsyn/A 30691-2024 tillsynsbegäran.docx", "A 30691-2024")</f>
        <v/>
      </c>
      <c r="Y113">
        <f>HYPERLINK("https://klasma.github.io/Logging_2039/tillsynsmail/A 30691-2024 tillsynsbegäran mail.docx", "A 30691-2024")</f>
        <v/>
      </c>
    </row>
    <row r="114" ht="15" customHeight="1">
      <c r="A114" t="inlineStr">
        <is>
          <t>A 55062-2022</t>
        </is>
      </c>
      <c r="B114" s="1" t="n">
        <v>44881</v>
      </c>
      <c r="C114" s="1" t="n">
        <v>45880</v>
      </c>
      <c r="D114" t="inlineStr">
        <is>
          <t>DALARNAS LÄN</t>
        </is>
      </c>
      <c r="E114" t="inlineStr">
        <is>
          <t>ÄLVDALEN</t>
        </is>
      </c>
      <c r="F114" t="inlineStr">
        <is>
          <t>Övriga statliga verk och myndigheter</t>
        </is>
      </c>
      <c r="G114" t="n">
        <v>28.1</v>
      </c>
      <c r="H114" t="n">
        <v>1</v>
      </c>
      <c r="I114" t="n">
        <v>0</v>
      </c>
      <c r="J114" t="n">
        <v>1</v>
      </c>
      <c r="K114" t="n">
        <v>0</v>
      </c>
      <c r="L114" t="n">
        <v>0</v>
      </c>
      <c r="M114" t="n">
        <v>0</v>
      </c>
      <c r="N114" t="n">
        <v>0</v>
      </c>
      <c r="O114" t="n">
        <v>1</v>
      </c>
      <c r="P114" t="n">
        <v>0</v>
      </c>
      <c r="Q114" t="n">
        <v>1</v>
      </c>
      <c r="R114" s="2" t="inlineStr">
        <is>
          <t>Utter</t>
        </is>
      </c>
      <c r="S114">
        <f>HYPERLINK("https://klasma.github.io/Logging_2039/artfynd/A 55062-2022 artfynd.xlsx", "A 55062-2022")</f>
        <v/>
      </c>
      <c r="T114">
        <f>HYPERLINK("https://klasma.github.io/Logging_2039/kartor/A 55062-2022 karta.png", "A 55062-2022")</f>
        <v/>
      </c>
      <c r="V114">
        <f>HYPERLINK("https://klasma.github.io/Logging_2039/klagomål/A 55062-2022 FSC-klagomål.docx", "A 55062-2022")</f>
        <v/>
      </c>
      <c r="W114">
        <f>HYPERLINK("https://klasma.github.io/Logging_2039/klagomålsmail/A 55062-2022 FSC-klagomål mail.docx", "A 55062-2022")</f>
        <v/>
      </c>
      <c r="X114">
        <f>HYPERLINK("https://klasma.github.io/Logging_2039/tillsyn/A 55062-2022 tillsynsbegäran.docx", "A 55062-2022")</f>
        <v/>
      </c>
      <c r="Y114">
        <f>HYPERLINK("https://klasma.github.io/Logging_2039/tillsynsmail/A 55062-2022 tillsynsbegäran mail.docx", "A 55062-2022")</f>
        <v/>
      </c>
    </row>
    <row r="115" ht="15" customHeight="1">
      <c r="A115" t="inlineStr">
        <is>
          <t>A 31145-2024</t>
        </is>
      </c>
      <c r="B115" s="1" t="n">
        <v>45502.85956018518</v>
      </c>
      <c r="C115" s="1" t="n">
        <v>45880</v>
      </c>
      <c r="D115" t="inlineStr">
        <is>
          <t>DALARNAS LÄN</t>
        </is>
      </c>
      <c r="E115" t="inlineStr">
        <is>
          <t>ÄLVDALEN</t>
        </is>
      </c>
      <c r="G115" t="n">
        <v>1.2</v>
      </c>
      <c r="H115" t="n">
        <v>1</v>
      </c>
      <c r="I115" t="n">
        <v>0</v>
      </c>
      <c r="J115" t="n">
        <v>1</v>
      </c>
      <c r="K115" t="n">
        <v>0</v>
      </c>
      <c r="L115" t="n">
        <v>0</v>
      </c>
      <c r="M115" t="n">
        <v>0</v>
      </c>
      <c r="N115" t="n">
        <v>0</v>
      </c>
      <c r="O115" t="n">
        <v>1</v>
      </c>
      <c r="P115" t="n">
        <v>0</v>
      </c>
      <c r="Q115" t="n">
        <v>1</v>
      </c>
      <c r="R115" s="2" t="inlineStr">
        <is>
          <t>Tretåig hackspett</t>
        </is>
      </c>
      <c r="S115">
        <f>HYPERLINK("https://klasma.github.io/Logging_2039/artfynd/A 31145-2024 artfynd.xlsx", "A 31145-2024")</f>
        <v/>
      </c>
      <c r="T115">
        <f>HYPERLINK("https://klasma.github.io/Logging_2039/kartor/A 31145-2024 karta.png", "A 31145-2024")</f>
        <v/>
      </c>
      <c r="V115">
        <f>HYPERLINK("https://klasma.github.io/Logging_2039/klagomål/A 31145-2024 FSC-klagomål.docx", "A 31145-2024")</f>
        <v/>
      </c>
      <c r="W115">
        <f>HYPERLINK("https://klasma.github.io/Logging_2039/klagomålsmail/A 31145-2024 FSC-klagomål mail.docx", "A 31145-2024")</f>
        <v/>
      </c>
      <c r="X115">
        <f>HYPERLINK("https://klasma.github.io/Logging_2039/tillsyn/A 31145-2024 tillsynsbegäran.docx", "A 31145-2024")</f>
        <v/>
      </c>
      <c r="Y115">
        <f>HYPERLINK("https://klasma.github.io/Logging_2039/tillsynsmail/A 31145-2024 tillsynsbegäran mail.docx", "A 31145-2024")</f>
        <v/>
      </c>
      <c r="Z115">
        <f>HYPERLINK("https://klasma.github.io/Logging_2039/fåglar/A 31145-2024 prioriterade fågelarter.docx", "A 31145-2024")</f>
        <v/>
      </c>
    </row>
    <row r="116" ht="15" customHeight="1">
      <c r="A116" t="inlineStr">
        <is>
          <t>A 45202-2024</t>
        </is>
      </c>
      <c r="B116" s="1" t="n">
        <v>45575</v>
      </c>
      <c r="C116" s="1" t="n">
        <v>45880</v>
      </c>
      <c r="D116" t="inlineStr">
        <is>
          <t>DALARNAS LÄN</t>
        </is>
      </c>
      <c r="E116" t="inlineStr">
        <is>
          <t>ÄLVDALEN</t>
        </is>
      </c>
      <c r="G116" t="n">
        <v>184.5</v>
      </c>
      <c r="H116" t="n">
        <v>1</v>
      </c>
      <c r="I116" t="n">
        <v>0</v>
      </c>
      <c r="J116" t="n">
        <v>0</v>
      </c>
      <c r="K116" t="n">
        <v>0</v>
      </c>
      <c r="L116" t="n">
        <v>0</v>
      </c>
      <c r="M116" t="n">
        <v>0</v>
      </c>
      <c r="N116" t="n">
        <v>0</v>
      </c>
      <c r="O116" t="n">
        <v>0</v>
      </c>
      <c r="P116" t="n">
        <v>0</v>
      </c>
      <c r="Q116" t="n">
        <v>1</v>
      </c>
      <c r="R116" s="2" t="inlineStr">
        <is>
          <t>Lavskrika</t>
        </is>
      </c>
      <c r="S116">
        <f>HYPERLINK("https://klasma.github.io/Logging_2039/artfynd/A 45202-2024 artfynd.xlsx", "A 45202-2024")</f>
        <v/>
      </c>
      <c r="T116">
        <f>HYPERLINK("https://klasma.github.io/Logging_2039/kartor/A 45202-2024 karta.png", "A 45202-2024")</f>
        <v/>
      </c>
      <c r="V116">
        <f>HYPERLINK("https://klasma.github.io/Logging_2039/klagomål/A 45202-2024 FSC-klagomål.docx", "A 45202-2024")</f>
        <v/>
      </c>
      <c r="W116">
        <f>HYPERLINK("https://klasma.github.io/Logging_2039/klagomålsmail/A 45202-2024 FSC-klagomål mail.docx", "A 45202-2024")</f>
        <v/>
      </c>
      <c r="X116">
        <f>HYPERLINK("https://klasma.github.io/Logging_2039/tillsyn/A 45202-2024 tillsynsbegäran.docx", "A 45202-2024")</f>
        <v/>
      </c>
      <c r="Y116">
        <f>HYPERLINK("https://klasma.github.io/Logging_2039/tillsynsmail/A 45202-2024 tillsynsbegäran mail.docx", "A 45202-2024")</f>
        <v/>
      </c>
      <c r="Z116">
        <f>HYPERLINK("https://klasma.github.io/Logging_2039/fåglar/A 45202-2024 prioriterade fågelarter.docx", "A 45202-2024")</f>
        <v/>
      </c>
    </row>
    <row r="117" ht="15" customHeight="1">
      <c r="A117" t="inlineStr">
        <is>
          <t>A 22286-2025</t>
        </is>
      </c>
      <c r="B117" s="1" t="n">
        <v>45786.34402777778</v>
      </c>
      <c r="C117" s="1" t="n">
        <v>45880</v>
      </c>
      <c r="D117" t="inlineStr">
        <is>
          <t>DALARNAS LÄN</t>
        </is>
      </c>
      <c r="E117" t="inlineStr">
        <is>
          <t>ÄLVDALEN</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HYPERLINK("https://klasma.github.io/Logging_2039/artfynd/A 22286-2025 artfynd.xlsx", "A 22286-2025")</f>
        <v/>
      </c>
      <c r="T117">
        <f>HYPERLINK("https://klasma.github.io/Logging_2039/kartor/A 22286-2025 karta.png", "A 22286-2025")</f>
        <v/>
      </c>
      <c r="V117">
        <f>HYPERLINK("https://klasma.github.io/Logging_2039/klagomål/A 22286-2025 FSC-klagomål.docx", "A 22286-2025")</f>
        <v/>
      </c>
      <c r="W117">
        <f>HYPERLINK("https://klasma.github.io/Logging_2039/klagomålsmail/A 22286-2025 FSC-klagomål mail.docx", "A 22286-2025")</f>
        <v/>
      </c>
      <c r="X117">
        <f>HYPERLINK("https://klasma.github.io/Logging_2039/tillsyn/A 22286-2025 tillsynsbegäran.docx", "A 22286-2025")</f>
        <v/>
      </c>
      <c r="Y117">
        <f>HYPERLINK("https://klasma.github.io/Logging_2039/tillsynsmail/A 22286-2025 tillsynsbegäran mail.docx", "A 22286-2025")</f>
        <v/>
      </c>
    </row>
    <row r="118" ht="15" customHeight="1">
      <c r="A118" t="inlineStr">
        <is>
          <t>A 32199-2024</t>
        </is>
      </c>
      <c r="B118" s="1" t="n">
        <v>45511.66325231481</v>
      </c>
      <c r="C118" s="1" t="n">
        <v>45880</v>
      </c>
      <c r="D118" t="inlineStr">
        <is>
          <t>DALARNAS LÄN</t>
        </is>
      </c>
      <c r="E118" t="inlineStr">
        <is>
          <t>ÄLVDALEN</t>
        </is>
      </c>
      <c r="F118" t="inlineStr">
        <is>
          <t>Sveaskog</t>
        </is>
      </c>
      <c r="G118" t="n">
        <v>4.6</v>
      </c>
      <c r="H118" t="n">
        <v>1</v>
      </c>
      <c r="I118" t="n">
        <v>0</v>
      </c>
      <c r="J118" t="n">
        <v>1</v>
      </c>
      <c r="K118" t="n">
        <v>0</v>
      </c>
      <c r="L118" t="n">
        <v>0</v>
      </c>
      <c r="M118" t="n">
        <v>0</v>
      </c>
      <c r="N118" t="n">
        <v>0</v>
      </c>
      <c r="O118" t="n">
        <v>1</v>
      </c>
      <c r="P118" t="n">
        <v>0</v>
      </c>
      <c r="Q118" t="n">
        <v>1</v>
      </c>
      <c r="R118" s="2" t="inlineStr">
        <is>
          <t>Varglav</t>
        </is>
      </c>
      <c r="S118">
        <f>HYPERLINK("https://klasma.github.io/Logging_2039/artfynd/A 32199-2024 artfynd.xlsx", "A 32199-2024")</f>
        <v/>
      </c>
      <c r="T118">
        <f>HYPERLINK("https://klasma.github.io/Logging_2039/kartor/A 32199-2024 karta.png", "A 32199-2024")</f>
        <v/>
      </c>
      <c r="V118">
        <f>HYPERLINK("https://klasma.github.io/Logging_2039/klagomål/A 32199-2024 FSC-klagomål.docx", "A 32199-2024")</f>
        <v/>
      </c>
      <c r="W118">
        <f>HYPERLINK("https://klasma.github.io/Logging_2039/klagomålsmail/A 32199-2024 FSC-klagomål mail.docx", "A 32199-2024")</f>
        <v/>
      </c>
      <c r="X118">
        <f>HYPERLINK("https://klasma.github.io/Logging_2039/tillsyn/A 32199-2024 tillsynsbegäran.docx", "A 32199-2024")</f>
        <v/>
      </c>
      <c r="Y118">
        <f>HYPERLINK("https://klasma.github.io/Logging_2039/tillsynsmail/A 32199-2024 tillsynsbegäran mail.docx", "A 32199-2024")</f>
        <v/>
      </c>
    </row>
    <row r="119" ht="15" customHeight="1">
      <c r="A119" t="inlineStr">
        <is>
          <t>A 50981-2024</t>
        </is>
      </c>
      <c r="B119" s="1" t="n">
        <v>45603.36233796296</v>
      </c>
      <c r="C119" s="1" t="n">
        <v>45880</v>
      </c>
      <c r="D119" t="inlineStr">
        <is>
          <t>DALARNAS LÄN</t>
        </is>
      </c>
      <c r="E119" t="inlineStr">
        <is>
          <t>ÄLVDALEN</t>
        </is>
      </c>
      <c r="G119" t="n">
        <v>5.1</v>
      </c>
      <c r="H119" t="n">
        <v>0</v>
      </c>
      <c r="I119" t="n">
        <v>0</v>
      </c>
      <c r="J119" t="n">
        <v>1</v>
      </c>
      <c r="K119" t="n">
        <v>0</v>
      </c>
      <c r="L119" t="n">
        <v>0</v>
      </c>
      <c r="M119" t="n">
        <v>0</v>
      </c>
      <c r="N119" t="n">
        <v>0</v>
      </c>
      <c r="O119" t="n">
        <v>1</v>
      </c>
      <c r="P119" t="n">
        <v>0</v>
      </c>
      <c r="Q119" t="n">
        <v>1</v>
      </c>
      <c r="R119" s="2" t="inlineStr">
        <is>
          <t>Vedskivlav</t>
        </is>
      </c>
      <c r="S119">
        <f>HYPERLINK("https://klasma.github.io/Logging_2039/artfynd/A 50981-2024 artfynd.xlsx", "A 50981-2024")</f>
        <v/>
      </c>
      <c r="T119">
        <f>HYPERLINK("https://klasma.github.io/Logging_2039/kartor/A 50981-2024 karta.png", "A 50981-2024")</f>
        <v/>
      </c>
      <c r="V119">
        <f>HYPERLINK("https://klasma.github.io/Logging_2039/klagomål/A 50981-2024 FSC-klagomål.docx", "A 50981-2024")</f>
        <v/>
      </c>
      <c r="W119">
        <f>HYPERLINK("https://klasma.github.io/Logging_2039/klagomålsmail/A 50981-2024 FSC-klagomål mail.docx", "A 50981-2024")</f>
        <v/>
      </c>
      <c r="X119">
        <f>HYPERLINK("https://klasma.github.io/Logging_2039/tillsyn/A 50981-2024 tillsynsbegäran.docx", "A 50981-2024")</f>
        <v/>
      </c>
      <c r="Y119">
        <f>HYPERLINK("https://klasma.github.io/Logging_2039/tillsynsmail/A 50981-2024 tillsynsbegäran mail.docx", "A 50981-2024")</f>
        <v/>
      </c>
    </row>
    <row r="120" ht="15" customHeight="1">
      <c r="A120" t="inlineStr">
        <is>
          <t>A 19614-2024</t>
        </is>
      </c>
      <c r="B120" s="1" t="n">
        <v>45432.30798611111</v>
      </c>
      <c r="C120" s="1" t="n">
        <v>45880</v>
      </c>
      <c r="D120" t="inlineStr">
        <is>
          <t>DALARNAS LÄN</t>
        </is>
      </c>
      <c r="E120" t="inlineStr">
        <is>
          <t>ÄLVDALEN</t>
        </is>
      </c>
      <c r="F120" t="inlineStr">
        <is>
          <t>Sveaskog</t>
        </is>
      </c>
      <c r="G120" t="n">
        <v>2.9</v>
      </c>
      <c r="H120" t="n">
        <v>0</v>
      </c>
      <c r="I120" t="n">
        <v>0</v>
      </c>
      <c r="J120" t="n">
        <v>1</v>
      </c>
      <c r="K120" t="n">
        <v>0</v>
      </c>
      <c r="L120" t="n">
        <v>0</v>
      </c>
      <c r="M120" t="n">
        <v>0</v>
      </c>
      <c r="N120" t="n">
        <v>0</v>
      </c>
      <c r="O120" t="n">
        <v>1</v>
      </c>
      <c r="P120" t="n">
        <v>0</v>
      </c>
      <c r="Q120" t="n">
        <v>1</v>
      </c>
      <c r="R120" s="2" t="inlineStr">
        <is>
          <t>Mörk kolflarnlav</t>
        </is>
      </c>
      <c r="S120">
        <f>HYPERLINK("https://klasma.github.io/Logging_2039/artfynd/A 19614-2024 artfynd.xlsx", "A 19614-2024")</f>
        <v/>
      </c>
      <c r="T120">
        <f>HYPERLINK("https://klasma.github.io/Logging_2039/kartor/A 19614-2024 karta.png", "A 19614-2024")</f>
        <v/>
      </c>
      <c r="V120">
        <f>HYPERLINK("https://klasma.github.io/Logging_2039/klagomål/A 19614-2024 FSC-klagomål.docx", "A 19614-2024")</f>
        <v/>
      </c>
      <c r="W120">
        <f>HYPERLINK("https://klasma.github.io/Logging_2039/klagomålsmail/A 19614-2024 FSC-klagomål mail.docx", "A 19614-2024")</f>
        <v/>
      </c>
      <c r="X120">
        <f>HYPERLINK("https://klasma.github.io/Logging_2039/tillsyn/A 19614-2024 tillsynsbegäran.docx", "A 19614-2024")</f>
        <v/>
      </c>
      <c r="Y120">
        <f>HYPERLINK("https://klasma.github.io/Logging_2039/tillsynsmail/A 19614-2024 tillsynsbegäran mail.docx", "A 19614-2024")</f>
        <v/>
      </c>
    </row>
    <row r="121" ht="15" customHeight="1">
      <c r="A121" t="inlineStr">
        <is>
          <t>A 35352-2025</t>
        </is>
      </c>
      <c r="B121" s="1" t="n">
        <v>45853</v>
      </c>
      <c r="C121" s="1" t="n">
        <v>45880</v>
      </c>
      <c r="D121" t="inlineStr">
        <is>
          <t>DALARNAS LÄN</t>
        </is>
      </c>
      <c r="E121" t="inlineStr">
        <is>
          <t>ÄLVDALEN</t>
        </is>
      </c>
      <c r="F121" t="inlineStr">
        <is>
          <t>Sveaskog</t>
        </is>
      </c>
      <c r="G121" t="n">
        <v>0.7</v>
      </c>
      <c r="H121" t="n">
        <v>0</v>
      </c>
      <c r="I121" t="n">
        <v>0</v>
      </c>
      <c r="J121" t="n">
        <v>0</v>
      </c>
      <c r="K121" t="n">
        <v>1</v>
      </c>
      <c r="L121" t="n">
        <v>0</v>
      </c>
      <c r="M121" t="n">
        <v>0</v>
      </c>
      <c r="N121" t="n">
        <v>0</v>
      </c>
      <c r="O121" t="n">
        <v>1</v>
      </c>
      <c r="P121" t="n">
        <v>1</v>
      </c>
      <c r="Q121" t="n">
        <v>1</v>
      </c>
      <c r="R121" s="2" t="inlineStr">
        <is>
          <t>Gräddporing</t>
        </is>
      </c>
      <c r="S121">
        <f>HYPERLINK("https://klasma.github.io/Logging_2039/artfynd/A 35352-2025 artfynd.xlsx", "A 35352-2025")</f>
        <v/>
      </c>
      <c r="T121">
        <f>HYPERLINK("https://klasma.github.io/Logging_2039/kartor/A 35352-2025 karta.png", "A 35352-2025")</f>
        <v/>
      </c>
      <c r="V121">
        <f>HYPERLINK("https://klasma.github.io/Logging_2039/klagomål/A 35352-2025 FSC-klagomål.docx", "A 35352-2025")</f>
        <v/>
      </c>
      <c r="W121">
        <f>HYPERLINK("https://klasma.github.io/Logging_2039/klagomålsmail/A 35352-2025 FSC-klagomål mail.docx", "A 35352-2025")</f>
        <v/>
      </c>
      <c r="X121">
        <f>HYPERLINK("https://klasma.github.io/Logging_2039/tillsyn/A 35352-2025 tillsynsbegäran.docx", "A 35352-2025")</f>
        <v/>
      </c>
      <c r="Y121">
        <f>HYPERLINK("https://klasma.github.io/Logging_2039/tillsynsmail/A 35352-2025 tillsynsbegäran mail.docx", "A 35352-2025")</f>
        <v/>
      </c>
    </row>
    <row r="122" ht="15" customHeight="1">
      <c r="A122" t="inlineStr">
        <is>
          <t>A 27923-2025</t>
        </is>
      </c>
      <c r="B122" s="1" t="n">
        <v>45817.48814814815</v>
      </c>
      <c r="C122" s="1" t="n">
        <v>45880</v>
      </c>
      <c r="D122" t="inlineStr">
        <is>
          <t>DALARNAS LÄN</t>
        </is>
      </c>
      <c r="E122" t="inlineStr">
        <is>
          <t>ÄLVDALEN</t>
        </is>
      </c>
      <c r="G122" t="n">
        <v>2.9</v>
      </c>
      <c r="H122" t="n">
        <v>1</v>
      </c>
      <c r="I122" t="n">
        <v>0</v>
      </c>
      <c r="J122" t="n">
        <v>0</v>
      </c>
      <c r="K122" t="n">
        <v>0</v>
      </c>
      <c r="L122" t="n">
        <v>0</v>
      </c>
      <c r="M122" t="n">
        <v>0</v>
      </c>
      <c r="N122" t="n">
        <v>0</v>
      </c>
      <c r="O122" t="n">
        <v>0</v>
      </c>
      <c r="P122" t="n">
        <v>0</v>
      </c>
      <c r="Q122" t="n">
        <v>1</v>
      </c>
      <c r="R122" s="2" t="inlineStr">
        <is>
          <t>Lavskrika</t>
        </is>
      </c>
      <c r="S122">
        <f>HYPERLINK("https://klasma.github.io/Logging_2039/artfynd/A 27923-2025 artfynd.xlsx", "A 27923-2025")</f>
        <v/>
      </c>
      <c r="T122">
        <f>HYPERLINK("https://klasma.github.io/Logging_2039/kartor/A 27923-2025 karta.png", "A 27923-2025")</f>
        <v/>
      </c>
      <c r="V122">
        <f>HYPERLINK("https://klasma.github.io/Logging_2039/klagomål/A 27923-2025 FSC-klagomål.docx", "A 27923-2025")</f>
        <v/>
      </c>
      <c r="W122">
        <f>HYPERLINK("https://klasma.github.io/Logging_2039/klagomålsmail/A 27923-2025 FSC-klagomål mail.docx", "A 27923-2025")</f>
        <v/>
      </c>
      <c r="X122">
        <f>HYPERLINK("https://klasma.github.io/Logging_2039/tillsyn/A 27923-2025 tillsynsbegäran.docx", "A 27923-2025")</f>
        <v/>
      </c>
      <c r="Y122">
        <f>HYPERLINK("https://klasma.github.io/Logging_2039/tillsynsmail/A 27923-2025 tillsynsbegäran mail.docx", "A 27923-2025")</f>
        <v/>
      </c>
      <c r="Z122">
        <f>HYPERLINK("https://klasma.github.io/Logging_2039/fåglar/A 27923-2025 prioriterade fågelarter.docx", "A 27923-2025")</f>
        <v/>
      </c>
    </row>
    <row r="123" ht="15" customHeight="1">
      <c r="A123" t="inlineStr">
        <is>
          <t>A 27929-2025</t>
        </is>
      </c>
      <c r="B123" s="1" t="n">
        <v>45817.49222222222</v>
      </c>
      <c r="C123" s="1" t="n">
        <v>45880</v>
      </c>
      <c r="D123" t="inlineStr">
        <is>
          <t>DALARNAS LÄN</t>
        </is>
      </c>
      <c r="E123" t="inlineStr">
        <is>
          <t>ÄLVDALEN</t>
        </is>
      </c>
      <c r="F123" t="inlineStr">
        <is>
          <t>Sveaskog</t>
        </is>
      </c>
      <c r="G123" t="n">
        <v>2.7</v>
      </c>
      <c r="H123" t="n">
        <v>0</v>
      </c>
      <c r="I123" t="n">
        <v>1</v>
      </c>
      <c r="J123" t="n">
        <v>0</v>
      </c>
      <c r="K123" t="n">
        <v>0</v>
      </c>
      <c r="L123" t="n">
        <v>0</v>
      </c>
      <c r="M123" t="n">
        <v>0</v>
      </c>
      <c r="N123" t="n">
        <v>0</v>
      </c>
      <c r="O123" t="n">
        <v>0</v>
      </c>
      <c r="P123" t="n">
        <v>0</v>
      </c>
      <c r="Q123" t="n">
        <v>1</v>
      </c>
      <c r="R123" s="2" t="inlineStr">
        <is>
          <t>Dropptaggsvamp</t>
        </is>
      </c>
      <c r="S123">
        <f>HYPERLINK("https://klasma.github.io/Logging_2039/artfynd/A 27929-2025 artfynd.xlsx", "A 27929-2025")</f>
        <v/>
      </c>
      <c r="T123">
        <f>HYPERLINK("https://klasma.github.io/Logging_2039/kartor/A 27929-2025 karta.png", "A 27929-2025")</f>
        <v/>
      </c>
      <c r="V123">
        <f>HYPERLINK("https://klasma.github.io/Logging_2039/klagomål/A 27929-2025 FSC-klagomål.docx", "A 27929-2025")</f>
        <v/>
      </c>
      <c r="W123">
        <f>HYPERLINK("https://klasma.github.io/Logging_2039/klagomålsmail/A 27929-2025 FSC-klagomål mail.docx", "A 27929-2025")</f>
        <v/>
      </c>
      <c r="X123">
        <f>HYPERLINK("https://klasma.github.io/Logging_2039/tillsyn/A 27929-2025 tillsynsbegäran.docx", "A 27929-2025")</f>
        <v/>
      </c>
      <c r="Y123">
        <f>HYPERLINK("https://klasma.github.io/Logging_2039/tillsynsmail/A 27929-2025 tillsynsbegäran mail.docx", "A 27929-2025")</f>
        <v/>
      </c>
    </row>
    <row r="124" ht="15" customHeight="1">
      <c r="A124" t="inlineStr">
        <is>
          <t>A 36574-2021</t>
        </is>
      </c>
      <c r="B124" s="1" t="n">
        <v>44391</v>
      </c>
      <c r="C124" s="1" t="n">
        <v>45880</v>
      </c>
      <c r="D124" t="inlineStr">
        <is>
          <t>DALARNAS LÄN</t>
        </is>
      </c>
      <c r="E124" t="inlineStr">
        <is>
          <t>ÄLVDALEN</t>
        </is>
      </c>
      <c r="F124" t="inlineStr">
        <is>
          <t>Sveaskog</t>
        </is>
      </c>
      <c r="G124" t="n">
        <v>26.2</v>
      </c>
      <c r="H124" t="n">
        <v>1</v>
      </c>
      <c r="I124" t="n">
        <v>0</v>
      </c>
      <c r="J124" t="n">
        <v>0</v>
      </c>
      <c r="K124" t="n">
        <v>0</v>
      </c>
      <c r="L124" t="n">
        <v>0</v>
      </c>
      <c r="M124" t="n">
        <v>0</v>
      </c>
      <c r="N124" t="n">
        <v>0</v>
      </c>
      <c r="O124" t="n">
        <v>0</v>
      </c>
      <c r="P124" t="n">
        <v>0</v>
      </c>
      <c r="Q124" t="n">
        <v>1</v>
      </c>
      <c r="R124" s="2" t="inlineStr">
        <is>
          <t>Lavskrika</t>
        </is>
      </c>
      <c r="S124">
        <f>HYPERLINK("https://klasma.github.io/Logging_2039/artfynd/A 36574-2021 artfynd.xlsx", "A 36574-2021")</f>
        <v/>
      </c>
      <c r="T124">
        <f>HYPERLINK("https://klasma.github.io/Logging_2039/kartor/A 36574-2021 karta.png", "A 36574-2021")</f>
        <v/>
      </c>
      <c r="V124">
        <f>HYPERLINK("https://klasma.github.io/Logging_2039/klagomål/A 36574-2021 FSC-klagomål.docx", "A 36574-2021")</f>
        <v/>
      </c>
      <c r="W124">
        <f>HYPERLINK("https://klasma.github.io/Logging_2039/klagomålsmail/A 36574-2021 FSC-klagomål mail.docx", "A 36574-2021")</f>
        <v/>
      </c>
      <c r="X124">
        <f>HYPERLINK("https://klasma.github.io/Logging_2039/tillsyn/A 36574-2021 tillsynsbegäran.docx", "A 36574-2021")</f>
        <v/>
      </c>
      <c r="Y124">
        <f>HYPERLINK("https://klasma.github.io/Logging_2039/tillsynsmail/A 36574-2021 tillsynsbegäran mail.docx", "A 36574-2021")</f>
        <v/>
      </c>
      <c r="Z124">
        <f>HYPERLINK("https://klasma.github.io/Logging_2039/fåglar/A 36574-2021 prioriterade fågelarter.docx", "A 36574-2021")</f>
        <v/>
      </c>
    </row>
    <row r="125" ht="15" customHeight="1">
      <c r="A125" t="inlineStr">
        <is>
          <t>A 45201-2024</t>
        </is>
      </c>
      <c r="B125" s="1" t="n">
        <v>45575</v>
      </c>
      <c r="C125" s="1" t="n">
        <v>45880</v>
      </c>
      <c r="D125" t="inlineStr">
        <is>
          <t>DALARNAS LÄN</t>
        </is>
      </c>
      <c r="E125" t="inlineStr">
        <is>
          <t>ÄLVDALEN</t>
        </is>
      </c>
      <c r="G125" t="n">
        <v>24.6</v>
      </c>
      <c r="H125" t="n">
        <v>1</v>
      </c>
      <c r="I125" t="n">
        <v>0</v>
      </c>
      <c r="J125" t="n">
        <v>1</v>
      </c>
      <c r="K125" t="n">
        <v>0</v>
      </c>
      <c r="L125" t="n">
        <v>0</v>
      </c>
      <c r="M125" t="n">
        <v>0</v>
      </c>
      <c r="N125" t="n">
        <v>0</v>
      </c>
      <c r="O125" t="n">
        <v>1</v>
      </c>
      <c r="P125" t="n">
        <v>0</v>
      </c>
      <c r="Q125" t="n">
        <v>1</v>
      </c>
      <c r="R125" s="2" t="inlineStr">
        <is>
          <t>Varglav</t>
        </is>
      </c>
      <c r="S125">
        <f>HYPERLINK("https://klasma.github.io/Logging_2039/artfynd/A 45201-2024 artfynd.xlsx", "A 45201-2024")</f>
        <v/>
      </c>
      <c r="T125">
        <f>HYPERLINK("https://klasma.github.io/Logging_2039/kartor/A 45201-2024 karta.png", "A 45201-2024")</f>
        <v/>
      </c>
      <c r="V125">
        <f>HYPERLINK("https://klasma.github.io/Logging_2039/klagomål/A 45201-2024 FSC-klagomål.docx", "A 45201-2024")</f>
        <v/>
      </c>
      <c r="W125">
        <f>HYPERLINK("https://klasma.github.io/Logging_2039/klagomålsmail/A 45201-2024 FSC-klagomål mail.docx", "A 45201-2024")</f>
        <v/>
      </c>
      <c r="X125">
        <f>HYPERLINK("https://klasma.github.io/Logging_2039/tillsyn/A 45201-2024 tillsynsbegäran.docx", "A 45201-2024")</f>
        <v/>
      </c>
      <c r="Y125">
        <f>HYPERLINK("https://klasma.github.io/Logging_2039/tillsynsmail/A 45201-2024 tillsynsbegäran mail.docx", "A 45201-2024")</f>
        <v/>
      </c>
    </row>
    <row r="126" ht="15" customHeight="1">
      <c r="A126" t="inlineStr">
        <is>
          <t>A 11061-2021</t>
        </is>
      </c>
      <c r="B126" s="1" t="n">
        <v>44260</v>
      </c>
      <c r="C126" s="1" t="n">
        <v>45880</v>
      </c>
      <c r="D126" t="inlineStr">
        <is>
          <t>DALARNAS LÄN</t>
        </is>
      </c>
      <c r="E126" t="inlineStr">
        <is>
          <t>ÄLVDALEN</t>
        </is>
      </c>
      <c r="F126" t="inlineStr">
        <is>
          <t>Övriga statliga verk och myndigheter</t>
        </is>
      </c>
      <c r="G126" t="n">
        <v>43.7</v>
      </c>
      <c r="H126" t="n">
        <v>1</v>
      </c>
      <c r="I126" t="n">
        <v>0</v>
      </c>
      <c r="J126" t="n">
        <v>0</v>
      </c>
      <c r="K126" t="n">
        <v>0</v>
      </c>
      <c r="L126" t="n">
        <v>0</v>
      </c>
      <c r="M126" t="n">
        <v>0</v>
      </c>
      <c r="N126" t="n">
        <v>0</v>
      </c>
      <c r="O126" t="n">
        <v>0</v>
      </c>
      <c r="P126" t="n">
        <v>0</v>
      </c>
      <c r="Q126" t="n">
        <v>1</v>
      </c>
      <c r="R126" s="2" t="inlineStr">
        <is>
          <t>Större vattensalamander</t>
        </is>
      </c>
      <c r="S126">
        <f>HYPERLINK("https://klasma.github.io/Logging_2039/artfynd/A 11061-2021 artfynd.xlsx", "A 11061-2021")</f>
        <v/>
      </c>
      <c r="T126">
        <f>HYPERLINK("https://klasma.github.io/Logging_2039/kartor/A 11061-2021 karta.png", "A 11061-2021")</f>
        <v/>
      </c>
      <c r="V126">
        <f>HYPERLINK("https://klasma.github.io/Logging_2039/klagomål/A 11061-2021 FSC-klagomål.docx", "A 11061-2021")</f>
        <v/>
      </c>
      <c r="W126">
        <f>HYPERLINK("https://klasma.github.io/Logging_2039/klagomålsmail/A 11061-2021 FSC-klagomål mail.docx", "A 11061-2021")</f>
        <v/>
      </c>
      <c r="X126">
        <f>HYPERLINK("https://klasma.github.io/Logging_2039/tillsyn/A 11061-2021 tillsynsbegäran.docx", "A 11061-2021")</f>
        <v/>
      </c>
      <c r="Y126">
        <f>HYPERLINK("https://klasma.github.io/Logging_2039/tillsynsmail/A 11061-2021 tillsynsbegäran mail.docx", "A 11061-2021")</f>
        <v/>
      </c>
    </row>
    <row r="127" ht="15" customHeight="1">
      <c r="A127" t="inlineStr">
        <is>
          <t>A 19313-2021</t>
        </is>
      </c>
      <c r="B127" s="1" t="n">
        <v>44309</v>
      </c>
      <c r="C127" s="1" t="n">
        <v>45880</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15603-2022</t>
        </is>
      </c>
      <c r="B128" s="1" t="n">
        <v>44662.62577546296</v>
      </c>
      <c r="C128" s="1" t="n">
        <v>45880</v>
      </c>
      <c r="D128" t="inlineStr">
        <is>
          <t>DALARNAS LÄN</t>
        </is>
      </c>
      <c r="E128" t="inlineStr">
        <is>
          <t>ÄLVDALEN</t>
        </is>
      </c>
      <c r="G128" t="n">
        <v>2.6</v>
      </c>
      <c r="H128" t="n">
        <v>0</v>
      </c>
      <c r="I128" t="n">
        <v>0</v>
      </c>
      <c r="J128" t="n">
        <v>0</v>
      </c>
      <c r="K128" t="n">
        <v>0</v>
      </c>
      <c r="L128" t="n">
        <v>0</v>
      </c>
      <c r="M128" t="n">
        <v>0</v>
      </c>
      <c r="N128" t="n">
        <v>0</v>
      </c>
      <c r="O128" t="n">
        <v>0</v>
      </c>
      <c r="P128" t="n">
        <v>0</v>
      </c>
      <c r="Q128" t="n">
        <v>0</v>
      </c>
      <c r="R128" s="2" t="inlineStr"/>
    </row>
    <row r="129" ht="15" customHeight="1">
      <c r="A129" t="inlineStr">
        <is>
          <t>A 31167-2021</t>
        </is>
      </c>
      <c r="B129" s="1" t="n">
        <v>44368.58009259259</v>
      </c>
      <c r="C129" s="1" t="n">
        <v>45880</v>
      </c>
      <c r="D129" t="inlineStr">
        <is>
          <t>DALARNAS LÄN</t>
        </is>
      </c>
      <c r="E129" t="inlineStr">
        <is>
          <t>ÄLVDALEN</t>
        </is>
      </c>
      <c r="G129" t="n">
        <v>1.3</v>
      </c>
      <c r="H129" t="n">
        <v>0</v>
      </c>
      <c r="I129" t="n">
        <v>0</v>
      </c>
      <c r="J129" t="n">
        <v>0</v>
      </c>
      <c r="K129" t="n">
        <v>0</v>
      </c>
      <c r="L129" t="n">
        <v>0</v>
      </c>
      <c r="M129" t="n">
        <v>0</v>
      </c>
      <c r="N129" t="n">
        <v>0</v>
      </c>
      <c r="O129" t="n">
        <v>0</v>
      </c>
      <c r="P129" t="n">
        <v>0</v>
      </c>
      <c r="Q129" t="n">
        <v>0</v>
      </c>
      <c r="R129" s="2" t="inlineStr"/>
    </row>
    <row r="130" ht="15" customHeight="1">
      <c r="A130" t="inlineStr">
        <is>
          <t>A 39267-2021</t>
        </is>
      </c>
      <c r="B130" s="1" t="n">
        <v>44413</v>
      </c>
      <c r="C130" s="1" t="n">
        <v>45880</v>
      </c>
      <c r="D130" t="inlineStr">
        <is>
          <t>DALARNAS LÄN</t>
        </is>
      </c>
      <c r="E130" t="inlineStr">
        <is>
          <t>ÄLVDALEN</t>
        </is>
      </c>
      <c r="G130" t="n">
        <v>2.4</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45880</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45880</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37740-2022</t>
        </is>
      </c>
      <c r="B133" s="1" t="n">
        <v>44810.58001157407</v>
      </c>
      <c r="C133" s="1" t="n">
        <v>45880</v>
      </c>
      <c r="D133" t="inlineStr">
        <is>
          <t>DALARNAS LÄN</t>
        </is>
      </c>
      <c r="E133" t="inlineStr">
        <is>
          <t>ÄLVDALEN</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45880</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45880</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45880</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45880</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45880</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40235-2021</t>
        </is>
      </c>
      <c r="B139" s="1" t="n">
        <v>44419.31731481481</v>
      </c>
      <c r="C139" s="1" t="n">
        <v>45880</v>
      </c>
      <c r="D139" t="inlineStr">
        <is>
          <t>DALARNAS LÄN</t>
        </is>
      </c>
      <c r="E139" t="inlineStr">
        <is>
          <t>ÄLVDALEN</t>
        </is>
      </c>
      <c r="F139" t="inlineStr">
        <is>
          <t>Sveaskog</t>
        </is>
      </c>
      <c r="G139" t="n">
        <v>3.3</v>
      </c>
      <c r="H139" t="n">
        <v>0</v>
      </c>
      <c r="I139" t="n">
        <v>0</v>
      </c>
      <c r="J139" t="n">
        <v>0</v>
      </c>
      <c r="K139" t="n">
        <v>0</v>
      </c>
      <c r="L139" t="n">
        <v>0</v>
      </c>
      <c r="M139" t="n">
        <v>0</v>
      </c>
      <c r="N139" t="n">
        <v>0</v>
      </c>
      <c r="O139" t="n">
        <v>0</v>
      </c>
      <c r="P139" t="n">
        <v>0</v>
      </c>
      <c r="Q139" t="n">
        <v>0</v>
      </c>
      <c r="R139" s="2" t="inlineStr"/>
    </row>
    <row r="140" ht="15" customHeight="1">
      <c r="A140" t="inlineStr">
        <is>
          <t>A 45783-2022</t>
        </is>
      </c>
      <c r="B140" s="1" t="n">
        <v>44846</v>
      </c>
      <c r="C140" s="1" t="n">
        <v>45880</v>
      </c>
      <c r="D140" t="inlineStr">
        <is>
          <t>DALARNAS LÄN</t>
        </is>
      </c>
      <c r="E140" t="inlineStr">
        <is>
          <t>ÄLVDALEN</t>
        </is>
      </c>
      <c r="G140" t="n">
        <v>9.1</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45880</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45880</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24849-2021</t>
        </is>
      </c>
      <c r="B143" s="1" t="n">
        <v>44340.86222222223</v>
      </c>
      <c r="C143" s="1" t="n">
        <v>45880</v>
      </c>
      <c r="D143" t="inlineStr">
        <is>
          <t>DALARNAS LÄN</t>
        </is>
      </c>
      <c r="E143" t="inlineStr">
        <is>
          <t>ÄLVDALEN</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26874-2021</t>
        </is>
      </c>
      <c r="B144" s="1" t="n">
        <v>44349</v>
      </c>
      <c r="C144" s="1" t="n">
        <v>45880</v>
      </c>
      <c r="D144" t="inlineStr">
        <is>
          <t>DALARNAS LÄN</t>
        </is>
      </c>
      <c r="E144" t="inlineStr">
        <is>
          <t>ÄLVDALEN</t>
        </is>
      </c>
      <c r="F144" t="inlineStr">
        <is>
          <t>Bergvik skog öst AB</t>
        </is>
      </c>
      <c r="G144" t="n">
        <v>3.2</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45880</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45880</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45880</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45880</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45880</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45880</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45880</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45880</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45880</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45880</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45880</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45880</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45227-2022</t>
        </is>
      </c>
      <c r="B157" s="1" t="n">
        <v>44844</v>
      </c>
      <c r="C157" s="1" t="n">
        <v>45880</v>
      </c>
      <c r="D157" t="inlineStr">
        <is>
          <t>DALARNAS LÄN</t>
        </is>
      </c>
      <c r="E157" t="inlineStr">
        <is>
          <t>ÄLVDALEN</t>
        </is>
      </c>
      <c r="F157" t="inlineStr">
        <is>
          <t>Bergvik skog väst AB</t>
        </is>
      </c>
      <c r="G157" t="n">
        <v>22.3</v>
      </c>
      <c r="H157" t="n">
        <v>0</v>
      </c>
      <c r="I157" t="n">
        <v>0</v>
      </c>
      <c r="J157" t="n">
        <v>0</v>
      </c>
      <c r="K157" t="n">
        <v>0</v>
      </c>
      <c r="L157" t="n">
        <v>0</v>
      </c>
      <c r="M157" t="n">
        <v>0</v>
      </c>
      <c r="N157" t="n">
        <v>0</v>
      </c>
      <c r="O157" t="n">
        <v>0</v>
      </c>
      <c r="P157" t="n">
        <v>0</v>
      </c>
      <c r="Q157" t="n">
        <v>0</v>
      </c>
      <c r="R157" s="2" t="inlineStr"/>
    </row>
    <row r="158" ht="15" customHeight="1">
      <c r="A158" t="inlineStr">
        <is>
          <t>A 22651-2021</t>
        </is>
      </c>
      <c r="B158" s="1" t="n">
        <v>44327</v>
      </c>
      <c r="C158" s="1" t="n">
        <v>45880</v>
      </c>
      <c r="D158" t="inlineStr">
        <is>
          <t>DALARNAS LÄN</t>
        </is>
      </c>
      <c r="E158" t="inlineStr">
        <is>
          <t>ÄLVDALEN</t>
        </is>
      </c>
      <c r="G158" t="n">
        <v>5.9</v>
      </c>
      <c r="H158" t="n">
        <v>0</v>
      </c>
      <c r="I158" t="n">
        <v>0</v>
      </c>
      <c r="J158" t="n">
        <v>0</v>
      </c>
      <c r="K158" t="n">
        <v>0</v>
      </c>
      <c r="L158" t="n">
        <v>0</v>
      </c>
      <c r="M158" t="n">
        <v>0</v>
      </c>
      <c r="N158" t="n">
        <v>0</v>
      </c>
      <c r="O158" t="n">
        <v>0</v>
      </c>
      <c r="P158" t="n">
        <v>0</v>
      </c>
      <c r="Q158" t="n">
        <v>0</v>
      </c>
      <c r="R158" s="2" t="inlineStr"/>
    </row>
    <row r="159" ht="15" customHeight="1">
      <c r="A159" t="inlineStr">
        <is>
          <t>A 49737-2020</t>
        </is>
      </c>
      <c r="B159" s="1" t="n">
        <v>44106</v>
      </c>
      <c r="C159" s="1" t="n">
        <v>45880</v>
      </c>
      <c r="D159" t="inlineStr">
        <is>
          <t>DALARNAS LÄN</t>
        </is>
      </c>
      <c r="E159" t="inlineStr">
        <is>
          <t>ÄLVDALEN</t>
        </is>
      </c>
      <c r="G159" t="n">
        <v>1</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45880</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39311-2022</t>
        </is>
      </c>
      <c r="B161" s="1" t="n">
        <v>44817.69123842593</v>
      </c>
      <c r="C161" s="1" t="n">
        <v>45880</v>
      </c>
      <c r="D161" t="inlineStr">
        <is>
          <t>DALARNAS LÄN</t>
        </is>
      </c>
      <c r="E161" t="inlineStr">
        <is>
          <t>ÄLVDALEN</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41020-2021</t>
        </is>
      </c>
      <c r="B162" s="1" t="n">
        <v>44421</v>
      </c>
      <c r="C162" s="1" t="n">
        <v>45880</v>
      </c>
      <c r="D162" t="inlineStr">
        <is>
          <t>DALARNAS LÄN</t>
        </is>
      </c>
      <c r="E162" t="inlineStr">
        <is>
          <t>ÄLVDALEN</t>
        </is>
      </c>
      <c r="G162" t="n">
        <v>5.5</v>
      </c>
      <c r="H162" t="n">
        <v>0</v>
      </c>
      <c r="I162" t="n">
        <v>0</v>
      </c>
      <c r="J162" t="n">
        <v>0</v>
      </c>
      <c r="K162" t="n">
        <v>0</v>
      </c>
      <c r="L162" t="n">
        <v>0</v>
      </c>
      <c r="M162" t="n">
        <v>0</v>
      </c>
      <c r="N162" t="n">
        <v>0</v>
      </c>
      <c r="O162" t="n">
        <v>0</v>
      </c>
      <c r="P162" t="n">
        <v>0</v>
      </c>
      <c r="Q162" t="n">
        <v>0</v>
      </c>
      <c r="R162" s="2" t="inlineStr"/>
    </row>
    <row r="163" ht="15" customHeight="1">
      <c r="A163" t="inlineStr">
        <is>
          <t>A 52064-2022</t>
        </is>
      </c>
      <c r="B163" s="1" t="n">
        <v>44873.34854166667</v>
      </c>
      <c r="C163" s="1" t="n">
        <v>45880</v>
      </c>
      <c r="D163" t="inlineStr">
        <is>
          <t>DALARNAS LÄN</t>
        </is>
      </c>
      <c r="E163" t="inlineStr">
        <is>
          <t>ÄLVDALEN</t>
        </is>
      </c>
      <c r="G163" t="n">
        <v>0.3</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45880</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45880</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45880</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45880</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45880</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45880</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45880</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45880</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45880</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45880</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45880</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28712-2021</t>
        </is>
      </c>
      <c r="B175" s="1" t="n">
        <v>44357</v>
      </c>
      <c r="C175" s="1" t="n">
        <v>45880</v>
      </c>
      <c r="D175" t="inlineStr">
        <is>
          <t>DALARNAS LÄN</t>
        </is>
      </c>
      <c r="E175" t="inlineStr">
        <is>
          <t>ÄLVDALEN</t>
        </is>
      </c>
      <c r="G175" t="n">
        <v>2</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45880</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45880</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45880</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45880</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45880</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45880</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45880</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45880</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45880</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45880</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45880</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45880</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45880</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41814-2020</t>
        </is>
      </c>
      <c r="B189" s="1" t="n">
        <v>44074</v>
      </c>
      <c r="C189" s="1" t="n">
        <v>45880</v>
      </c>
      <c r="D189" t="inlineStr">
        <is>
          <t>DALARNAS LÄN</t>
        </is>
      </c>
      <c r="E189" t="inlineStr">
        <is>
          <t>ÄLVDALEN</t>
        </is>
      </c>
      <c r="G189" t="n">
        <v>0.3</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45880</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45880</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17627-2022</t>
        </is>
      </c>
      <c r="B192" s="1" t="n">
        <v>44680</v>
      </c>
      <c r="C192" s="1" t="n">
        <v>45880</v>
      </c>
      <c r="D192" t="inlineStr">
        <is>
          <t>DALARNAS LÄN</t>
        </is>
      </c>
      <c r="E192" t="inlineStr">
        <is>
          <t>ÄLVDALEN</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30249-2021</t>
        </is>
      </c>
      <c r="B193" s="1" t="n">
        <v>44363</v>
      </c>
      <c r="C193" s="1" t="n">
        <v>45880</v>
      </c>
      <c r="D193" t="inlineStr">
        <is>
          <t>DALARNAS LÄN</t>
        </is>
      </c>
      <c r="E193" t="inlineStr">
        <is>
          <t>ÄLVDALEN</t>
        </is>
      </c>
      <c r="F193" t="inlineStr">
        <is>
          <t>Sveaskog</t>
        </is>
      </c>
      <c r="G193" t="n">
        <v>0.2</v>
      </c>
      <c r="H193" t="n">
        <v>0</v>
      </c>
      <c r="I193" t="n">
        <v>0</v>
      </c>
      <c r="J193" t="n">
        <v>0</v>
      </c>
      <c r="K193" t="n">
        <v>0</v>
      </c>
      <c r="L193" t="n">
        <v>0</v>
      </c>
      <c r="M193" t="n">
        <v>0</v>
      </c>
      <c r="N193" t="n">
        <v>0</v>
      </c>
      <c r="O193" t="n">
        <v>0</v>
      </c>
      <c r="P193" t="n">
        <v>0</v>
      </c>
      <c r="Q193" t="n">
        <v>0</v>
      </c>
      <c r="R193" s="2" t="inlineStr"/>
    </row>
    <row r="194" ht="15" customHeight="1">
      <c r="A194" t="inlineStr">
        <is>
          <t>A 30255-2021</t>
        </is>
      </c>
      <c r="B194" s="1" t="n">
        <v>44363</v>
      </c>
      <c r="C194" s="1" t="n">
        <v>45880</v>
      </c>
      <c r="D194" t="inlineStr">
        <is>
          <t>DALARNAS LÄN</t>
        </is>
      </c>
      <c r="E194" t="inlineStr">
        <is>
          <t>ÄLVDALEN</t>
        </is>
      </c>
      <c r="F194" t="inlineStr">
        <is>
          <t>Sveaskog</t>
        </is>
      </c>
      <c r="G194" t="n">
        <v>4.1</v>
      </c>
      <c r="H194" t="n">
        <v>0</v>
      </c>
      <c r="I194" t="n">
        <v>0</v>
      </c>
      <c r="J194" t="n">
        <v>0</v>
      </c>
      <c r="K194" t="n">
        <v>0</v>
      </c>
      <c r="L194" t="n">
        <v>0</v>
      </c>
      <c r="M194" t="n">
        <v>0</v>
      </c>
      <c r="N194" t="n">
        <v>0</v>
      </c>
      <c r="O194" t="n">
        <v>0</v>
      </c>
      <c r="P194" t="n">
        <v>0</v>
      </c>
      <c r="Q194" t="n">
        <v>0</v>
      </c>
      <c r="R194" s="2" t="inlineStr"/>
    </row>
    <row r="195" ht="15" customHeight="1">
      <c r="A195" t="inlineStr">
        <is>
          <t>A 7530-2022</t>
        </is>
      </c>
      <c r="B195" s="1" t="n">
        <v>44607</v>
      </c>
      <c r="C195" s="1" t="n">
        <v>45880</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54407-2022</t>
        </is>
      </c>
      <c r="B196" s="1" t="n">
        <v>44882.54866898148</v>
      </c>
      <c r="C196" s="1" t="n">
        <v>45880</v>
      </c>
      <c r="D196" t="inlineStr">
        <is>
          <t>DALARNAS LÄN</t>
        </is>
      </c>
      <c r="E196" t="inlineStr">
        <is>
          <t>ÄLVDALEN</t>
        </is>
      </c>
      <c r="F196" t="inlineStr">
        <is>
          <t>Bergvik skog väst AB</t>
        </is>
      </c>
      <c r="G196" t="n">
        <v>3.5</v>
      </c>
      <c r="H196" t="n">
        <v>0</v>
      </c>
      <c r="I196" t="n">
        <v>0</v>
      </c>
      <c r="J196" t="n">
        <v>0</v>
      </c>
      <c r="K196" t="n">
        <v>0</v>
      </c>
      <c r="L196" t="n">
        <v>0</v>
      </c>
      <c r="M196" t="n">
        <v>0</v>
      </c>
      <c r="N196" t="n">
        <v>0</v>
      </c>
      <c r="O196" t="n">
        <v>0</v>
      </c>
      <c r="P196" t="n">
        <v>0</v>
      </c>
      <c r="Q196" t="n">
        <v>0</v>
      </c>
      <c r="R196" s="2" t="inlineStr"/>
    </row>
    <row r="197" ht="15" customHeight="1">
      <c r="A197" t="inlineStr">
        <is>
          <t>A 22454-2021</t>
        </is>
      </c>
      <c r="B197" s="1" t="n">
        <v>44326</v>
      </c>
      <c r="C197" s="1" t="n">
        <v>45880</v>
      </c>
      <c r="D197" t="inlineStr">
        <is>
          <t>DALARNAS LÄN</t>
        </is>
      </c>
      <c r="E197" t="inlineStr">
        <is>
          <t>ÄLVDALEN</t>
        </is>
      </c>
      <c r="F197" t="inlineStr">
        <is>
          <t>Allmännings- och besparingsskogar</t>
        </is>
      </c>
      <c r="G197" t="n">
        <v>4.3</v>
      </c>
      <c r="H197" t="n">
        <v>0</v>
      </c>
      <c r="I197" t="n">
        <v>0</v>
      </c>
      <c r="J197" t="n">
        <v>0</v>
      </c>
      <c r="K197" t="n">
        <v>0</v>
      </c>
      <c r="L197" t="n">
        <v>0</v>
      </c>
      <c r="M197" t="n">
        <v>0</v>
      </c>
      <c r="N197" t="n">
        <v>0</v>
      </c>
      <c r="O197" t="n">
        <v>0</v>
      </c>
      <c r="P197" t="n">
        <v>0</v>
      </c>
      <c r="Q197" t="n">
        <v>0</v>
      </c>
      <c r="R197" s="2" t="inlineStr"/>
    </row>
    <row r="198" ht="15" customHeight="1">
      <c r="A198" t="inlineStr">
        <is>
          <t>A 19759-2021</t>
        </is>
      </c>
      <c r="B198" s="1" t="n">
        <v>44309</v>
      </c>
      <c r="C198" s="1" t="n">
        <v>45880</v>
      </c>
      <c r="D198" t="inlineStr">
        <is>
          <t>DALARNAS LÄN</t>
        </is>
      </c>
      <c r="E198" t="inlineStr">
        <is>
          <t>ÄLVDALEN</t>
        </is>
      </c>
      <c r="G198" t="n">
        <v>1.3</v>
      </c>
      <c r="H198" t="n">
        <v>0</v>
      </c>
      <c r="I198" t="n">
        <v>0</v>
      </c>
      <c r="J198" t="n">
        <v>0</v>
      </c>
      <c r="K198" t="n">
        <v>0</v>
      </c>
      <c r="L198" t="n">
        <v>0</v>
      </c>
      <c r="M198" t="n">
        <v>0</v>
      </c>
      <c r="N198" t="n">
        <v>0</v>
      </c>
      <c r="O198" t="n">
        <v>0</v>
      </c>
      <c r="P198" t="n">
        <v>0</v>
      </c>
      <c r="Q198" t="n">
        <v>0</v>
      </c>
      <c r="R198" s="2" t="inlineStr"/>
    </row>
    <row r="199" ht="15" customHeight="1">
      <c r="A199" t="inlineStr">
        <is>
          <t>A 31714-2021</t>
        </is>
      </c>
      <c r="B199" s="1" t="n">
        <v>44369.82663194444</v>
      </c>
      <c r="C199" s="1" t="n">
        <v>45880</v>
      </c>
      <c r="D199" t="inlineStr">
        <is>
          <t>DALARNAS LÄN</t>
        </is>
      </c>
      <c r="E199" t="inlineStr">
        <is>
          <t>ÄLVDALEN</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37009-2021</t>
        </is>
      </c>
      <c r="B200" s="1" t="n">
        <v>44393.6384837963</v>
      </c>
      <c r="C200" s="1" t="n">
        <v>45880</v>
      </c>
      <c r="D200" t="inlineStr">
        <is>
          <t>DALARNAS LÄN</t>
        </is>
      </c>
      <c r="E200" t="inlineStr">
        <is>
          <t>ÄLVDALEN</t>
        </is>
      </c>
      <c r="F200" t="inlineStr">
        <is>
          <t>Bergvik skog öst AB</t>
        </is>
      </c>
      <c r="G200" t="n">
        <v>3.3</v>
      </c>
      <c r="H200" t="n">
        <v>0</v>
      </c>
      <c r="I200" t="n">
        <v>0</v>
      </c>
      <c r="J200" t="n">
        <v>0</v>
      </c>
      <c r="K200" t="n">
        <v>0</v>
      </c>
      <c r="L200" t="n">
        <v>0</v>
      </c>
      <c r="M200" t="n">
        <v>0</v>
      </c>
      <c r="N200" t="n">
        <v>0</v>
      </c>
      <c r="O200" t="n">
        <v>0</v>
      </c>
      <c r="P200" t="n">
        <v>0</v>
      </c>
      <c r="Q200" t="n">
        <v>0</v>
      </c>
      <c r="R200" s="2" t="inlineStr"/>
    </row>
    <row r="201" ht="15" customHeight="1">
      <c r="A201" t="inlineStr">
        <is>
          <t>A 51161-2021</t>
        </is>
      </c>
      <c r="B201" s="1" t="n">
        <v>44461.46195601852</v>
      </c>
      <c r="C201" s="1" t="n">
        <v>45880</v>
      </c>
      <c r="D201" t="inlineStr">
        <is>
          <t>DALARNAS LÄN</t>
        </is>
      </c>
      <c r="E201" t="inlineStr">
        <is>
          <t>ÄLVDALEN</t>
        </is>
      </c>
      <c r="G201" t="n">
        <v>2</v>
      </c>
      <c r="H201" t="n">
        <v>0</v>
      </c>
      <c r="I201" t="n">
        <v>0</v>
      </c>
      <c r="J201" t="n">
        <v>0</v>
      </c>
      <c r="K201" t="n">
        <v>0</v>
      </c>
      <c r="L201" t="n">
        <v>0</v>
      </c>
      <c r="M201" t="n">
        <v>0</v>
      </c>
      <c r="N201" t="n">
        <v>0</v>
      </c>
      <c r="O201" t="n">
        <v>0</v>
      </c>
      <c r="P201" t="n">
        <v>0</v>
      </c>
      <c r="Q201" t="n">
        <v>0</v>
      </c>
      <c r="R201" s="2" t="inlineStr"/>
    </row>
    <row r="202" ht="15" customHeight="1">
      <c r="A202" t="inlineStr">
        <is>
          <t>A 21279-2022</t>
        </is>
      </c>
      <c r="B202" s="1" t="n">
        <v>44705</v>
      </c>
      <c r="C202" s="1" t="n">
        <v>45880</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28011-2021</t>
        </is>
      </c>
      <c r="B203" s="1" t="n">
        <v>44355.35329861111</v>
      </c>
      <c r="C203" s="1" t="n">
        <v>45880</v>
      </c>
      <c r="D203" t="inlineStr">
        <is>
          <t>DALARNAS LÄN</t>
        </is>
      </c>
      <c r="E203" t="inlineStr">
        <is>
          <t>ÄLVDALEN</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51504-2022</t>
        </is>
      </c>
      <c r="B204" s="1" t="n">
        <v>44869</v>
      </c>
      <c r="C204" s="1" t="n">
        <v>45880</v>
      </c>
      <c r="D204" t="inlineStr">
        <is>
          <t>DALARNAS LÄN</t>
        </is>
      </c>
      <c r="E204" t="inlineStr">
        <is>
          <t>ÄLVDALEN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20050-2021</t>
        </is>
      </c>
      <c r="B205" s="1" t="n">
        <v>44314</v>
      </c>
      <c r="C205" s="1" t="n">
        <v>45880</v>
      </c>
      <c r="D205" t="inlineStr">
        <is>
          <t>DALARNAS LÄN</t>
        </is>
      </c>
      <c r="E205" t="inlineStr">
        <is>
          <t>ÄLVDALEN</t>
        </is>
      </c>
      <c r="G205" t="n">
        <v>1.6</v>
      </c>
      <c r="H205" t="n">
        <v>0</v>
      </c>
      <c r="I205" t="n">
        <v>0</v>
      </c>
      <c r="J205" t="n">
        <v>0</v>
      </c>
      <c r="K205" t="n">
        <v>0</v>
      </c>
      <c r="L205" t="n">
        <v>0</v>
      </c>
      <c r="M205" t="n">
        <v>0</v>
      </c>
      <c r="N205" t="n">
        <v>0</v>
      </c>
      <c r="O205" t="n">
        <v>0</v>
      </c>
      <c r="P205" t="n">
        <v>0</v>
      </c>
      <c r="Q205" t="n">
        <v>0</v>
      </c>
      <c r="R205" s="2" t="inlineStr"/>
    </row>
    <row r="206" ht="15" customHeight="1">
      <c r="A206" t="inlineStr">
        <is>
          <t>A 30254-2021</t>
        </is>
      </c>
      <c r="B206" s="1" t="n">
        <v>44363</v>
      </c>
      <c r="C206" s="1" t="n">
        <v>45880</v>
      </c>
      <c r="D206" t="inlineStr">
        <is>
          <t>DALARNAS LÄN</t>
        </is>
      </c>
      <c r="E206" t="inlineStr">
        <is>
          <t>ÄLVDALEN</t>
        </is>
      </c>
      <c r="F206" t="inlineStr">
        <is>
          <t>Sveaskog</t>
        </is>
      </c>
      <c r="G206" t="n">
        <v>8.1</v>
      </c>
      <c r="H206" t="n">
        <v>0</v>
      </c>
      <c r="I206" t="n">
        <v>0</v>
      </c>
      <c r="J206" t="n">
        <v>0</v>
      </c>
      <c r="K206" t="n">
        <v>0</v>
      </c>
      <c r="L206" t="n">
        <v>0</v>
      </c>
      <c r="M206" t="n">
        <v>0</v>
      </c>
      <c r="N206" t="n">
        <v>0</v>
      </c>
      <c r="O206" t="n">
        <v>0</v>
      </c>
      <c r="P206" t="n">
        <v>0</v>
      </c>
      <c r="Q206" t="n">
        <v>0</v>
      </c>
      <c r="R206" s="2" t="inlineStr"/>
    </row>
    <row r="207" ht="15" customHeight="1">
      <c r="A207" t="inlineStr">
        <is>
          <t>A 40234-2021</t>
        </is>
      </c>
      <c r="B207" s="1" t="n">
        <v>44419</v>
      </c>
      <c r="C207" s="1" t="n">
        <v>45880</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12066-2022</t>
        </is>
      </c>
      <c r="B208" s="1" t="n">
        <v>44636</v>
      </c>
      <c r="C208" s="1" t="n">
        <v>45880</v>
      </c>
      <c r="D208" t="inlineStr">
        <is>
          <t>DALARNAS LÄN</t>
        </is>
      </c>
      <c r="E208" t="inlineStr">
        <is>
          <t>ÄLVDALEN</t>
        </is>
      </c>
      <c r="G208" t="n">
        <v>4.4</v>
      </c>
      <c r="H208" t="n">
        <v>0</v>
      </c>
      <c r="I208" t="n">
        <v>0</v>
      </c>
      <c r="J208" t="n">
        <v>0</v>
      </c>
      <c r="K208" t="n">
        <v>0</v>
      </c>
      <c r="L208" t="n">
        <v>0</v>
      </c>
      <c r="M208" t="n">
        <v>0</v>
      </c>
      <c r="N208" t="n">
        <v>0</v>
      </c>
      <c r="O208" t="n">
        <v>0</v>
      </c>
      <c r="P208" t="n">
        <v>0</v>
      </c>
      <c r="Q208" t="n">
        <v>0</v>
      </c>
      <c r="R208" s="2" t="inlineStr"/>
    </row>
    <row r="209" ht="15" customHeight="1">
      <c r="A209" t="inlineStr">
        <is>
          <t>A 38957-2022</t>
        </is>
      </c>
      <c r="B209" s="1" t="n">
        <v>44816</v>
      </c>
      <c r="C209" s="1" t="n">
        <v>45880</v>
      </c>
      <c r="D209" t="inlineStr">
        <is>
          <t>DALARNAS LÄN</t>
        </is>
      </c>
      <c r="E209" t="inlineStr">
        <is>
          <t>ÄLVDALEN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57783-2021</t>
        </is>
      </c>
      <c r="B210" s="1" t="n">
        <v>44484</v>
      </c>
      <c r="C210" s="1" t="n">
        <v>45880</v>
      </c>
      <c r="D210" t="inlineStr">
        <is>
          <t>DALARNAS LÄN</t>
        </is>
      </c>
      <c r="E210" t="inlineStr">
        <is>
          <t>ÄLVDALEN</t>
        </is>
      </c>
      <c r="G210" t="n">
        <v>6.9</v>
      </c>
      <c r="H210" t="n">
        <v>0</v>
      </c>
      <c r="I210" t="n">
        <v>0</v>
      </c>
      <c r="J210" t="n">
        <v>0</v>
      </c>
      <c r="K210" t="n">
        <v>0</v>
      </c>
      <c r="L210" t="n">
        <v>0</v>
      </c>
      <c r="M210" t="n">
        <v>0</v>
      </c>
      <c r="N210" t="n">
        <v>0</v>
      </c>
      <c r="O210" t="n">
        <v>0</v>
      </c>
      <c r="P210" t="n">
        <v>0</v>
      </c>
      <c r="Q210" t="n">
        <v>0</v>
      </c>
      <c r="R210" s="2" t="inlineStr"/>
    </row>
    <row r="211" ht="15" customHeight="1">
      <c r="A211" t="inlineStr">
        <is>
          <t>A 66887-2021</t>
        </is>
      </c>
      <c r="B211" s="1" t="n">
        <v>44522.47883101852</v>
      </c>
      <c r="C211" s="1" t="n">
        <v>45880</v>
      </c>
      <c r="D211" t="inlineStr">
        <is>
          <t>DALARNAS LÄN</t>
        </is>
      </c>
      <c r="E211" t="inlineStr">
        <is>
          <t>ÄLVDALEN</t>
        </is>
      </c>
      <c r="G211" t="n">
        <v>1.8</v>
      </c>
      <c r="H211" t="n">
        <v>0</v>
      </c>
      <c r="I211" t="n">
        <v>0</v>
      </c>
      <c r="J211" t="n">
        <v>0</v>
      </c>
      <c r="K211" t="n">
        <v>0</v>
      </c>
      <c r="L211" t="n">
        <v>0</v>
      </c>
      <c r="M211" t="n">
        <v>0</v>
      </c>
      <c r="N211" t="n">
        <v>0</v>
      </c>
      <c r="O211" t="n">
        <v>0</v>
      </c>
      <c r="P211" t="n">
        <v>0</v>
      </c>
      <c r="Q211" t="n">
        <v>0</v>
      </c>
      <c r="R211" s="2" t="inlineStr"/>
    </row>
    <row r="212" ht="15" customHeight="1">
      <c r="A212" t="inlineStr">
        <is>
          <t>A 36825-2021</t>
        </is>
      </c>
      <c r="B212" s="1" t="n">
        <v>44393</v>
      </c>
      <c r="C212" s="1" t="n">
        <v>45880</v>
      </c>
      <c r="D212" t="inlineStr">
        <is>
          <t>DALARNAS LÄN</t>
        </is>
      </c>
      <c r="E212" t="inlineStr">
        <is>
          <t>ÄLVDALEN</t>
        </is>
      </c>
      <c r="F212" t="inlineStr">
        <is>
          <t>Sveaskog</t>
        </is>
      </c>
      <c r="G212" t="n">
        <v>12.2</v>
      </c>
      <c r="H212" t="n">
        <v>0</v>
      </c>
      <c r="I212" t="n">
        <v>0</v>
      </c>
      <c r="J212" t="n">
        <v>0</v>
      </c>
      <c r="K212" t="n">
        <v>0</v>
      </c>
      <c r="L212" t="n">
        <v>0</v>
      </c>
      <c r="M212" t="n">
        <v>0</v>
      </c>
      <c r="N212" t="n">
        <v>0</v>
      </c>
      <c r="O212" t="n">
        <v>0</v>
      </c>
      <c r="P212" t="n">
        <v>0</v>
      </c>
      <c r="Q212" t="n">
        <v>0</v>
      </c>
      <c r="R212" s="2" t="inlineStr"/>
    </row>
    <row r="213" ht="15" customHeight="1">
      <c r="A213" t="inlineStr">
        <is>
          <t>A 72846-2021</t>
        </is>
      </c>
      <c r="B213" s="1" t="n">
        <v>44547</v>
      </c>
      <c r="C213" s="1" t="n">
        <v>45880</v>
      </c>
      <c r="D213" t="inlineStr">
        <is>
          <t>DALARNAS LÄN</t>
        </is>
      </c>
      <c r="E213" t="inlineStr">
        <is>
          <t>ÄLVDALEN</t>
        </is>
      </c>
      <c r="F213" t="inlineStr">
        <is>
          <t>Bergvik skog öst AB</t>
        </is>
      </c>
      <c r="G213" t="n">
        <v>1.5</v>
      </c>
      <c r="H213" t="n">
        <v>0</v>
      </c>
      <c r="I213" t="n">
        <v>0</v>
      </c>
      <c r="J213" t="n">
        <v>0</v>
      </c>
      <c r="K213" t="n">
        <v>0</v>
      </c>
      <c r="L213" t="n">
        <v>0</v>
      </c>
      <c r="M213" t="n">
        <v>0</v>
      </c>
      <c r="N213" t="n">
        <v>0</v>
      </c>
      <c r="O213" t="n">
        <v>0</v>
      </c>
      <c r="P213" t="n">
        <v>0</v>
      </c>
      <c r="Q213" t="n">
        <v>0</v>
      </c>
      <c r="R213" s="2" t="inlineStr"/>
    </row>
    <row r="214" ht="15" customHeight="1">
      <c r="A214" t="inlineStr">
        <is>
          <t>A 15045-2021</t>
        </is>
      </c>
      <c r="B214" s="1" t="n">
        <v>44281</v>
      </c>
      <c r="C214" s="1" t="n">
        <v>45880</v>
      </c>
      <c r="D214" t="inlineStr">
        <is>
          <t>DALARNAS LÄN</t>
        </is>
      </c>
      <c r="E214" t="inlineStr">
        <is>
          <t>ÄLVDALEN</t>
        </is>
      </c>
      <c r="G214" t="n">
        <v>1</v>
      </c>
      <c r="H214" t="n">
        <v>0</v>
      </c>
      <c r="I214" t="n">
        <v>0</v>
      </c>
      <c r="J214" t="n">
        <v>0</v>
      </c>
      <c r="K214" t="n">
        <v>0</v>
      </c>
      <c r="L214" t="n">
        <v>0</v>
      </c>
      <c r="M214" t="n">
        <v>0</v>
      </c>
      <c r="N214" t="n">
        <v>0</v>
      </c>
      <c r="O214" t="n">
        <v>0</v>
      </c>
      <c r="P214" t="n">
        <v>0</v>
      </c>
      <c r="Q214" t="n">
        <v>0</v>
      </c>
      <c r="R214" s="2" t="inlineStr"/>
    </row>
    <row r="215" ht="15" customHeight="1">
      <c r="A215" t="inlineStr">
        <is>
          <t>A 27022-2021</t>
        </is>
      </c>
      <c r="B215" s="1" t="n">
        <v>44350.38857638889</v>
      </c>
      <c r="C215" s="1" t="n">
        <v>45880</v>
      </c>
      <c r="D215" t="inlineStr">
        <is>
          <t>DALARNAS LÄN</t>
        </is>
      </c>
      <c r="E215" t="inlineStr">
        <is>
          <t>ÄLVDALEN</t>
        </is>
      </c>
      <c r="G215" t="n">
        <v>0.9</v>
      </c>
      <c r="H215" t="n">
        <v>0</v>
      </c>
      <c r="I215" t="n">
        <v>0</v>
      </c>
      <c r="J215" t="n">
        <v>0</v>
      </c>
      <c r="K215" t="n">
        <v>0</v>
      </c>
      <c r="L215" t="n">
        <v>0</v>
      </c>
      <c r="M215" t="n">
        <v>0</v>
      </c>
      <c r="N215" t="n">
        <v>0</v>
      </c>
      <c r="O215" t="n">
        <v>0</v>
      </c>
      <c r="P215" t="n">
        <v>0</v>
      </c>
      <c r="Q215" t="n">
        <v>0</v>
      </c>
      <c r="R215" s="2" t="inlineStr"/>
    </row>
    <row r="216" ht="15" customHeight="1">
      <c r="A216" t="inlineStr">
        <is>
          <t>A 55990-2021</t>
        </is>
      </c>
      <c r="B216" s="1" t="n">
        <v>44477.40155092593</v>
      </c>
      <c r="C216" s="1" t="n">
        <v>45880</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59658-2021</t>
        </is>
      </c>
      <c r="B217" s="1" t="n">
        <v>44494.3159375</v>
      </c>
      <c r="C217" s="1" t="n">
        <v>45880</v>
      </c>
      <c r="D217" t="inlineStr">
        <is>
          <t>DALARNAS LÄN</t>
        </is>
      </c>
      <c r="E217" t="inlineStr">
        <is>
          <t>ÄLVDALEN</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25602-2022</t>
        </is>
      </c>
      <c r="B218" s="1" t="n">
        <v>44732.6975</v>
      </c>
      <c r="C218" s="1" t="n">
        <v>45880</v>
      </c>
      <c r="D218" t="inlineStr">
        <is>
          <t>DALARNAS LÄN</t>
        </is>
      </c>
      <c r="E218" t="inlineStr">
        <is>
          <t>ÄLVDALEN</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54138-2020</t>
        </is>
      </c>
      <c r="B219" s="1" t="n">
        <v>44125</v>
      </c>
      <c r="C219" s="1" t="n">
        <v>45880</v>
      </c>
      <c r="D219" t="inlineStr">
        <is>
          <t>DALARNAS LÄN</t>
        </is>
      </c>
      <c r="E219" t="inlineStr">
        <is>
          <t>ÄLVDALEN</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7232-2021</t>
        </is>
      </c>
      <c r="B220" s="1" t="n">
        <v>44238</v>
      </c>
      <c r="C220" s="1" t="n">
        <v>45880</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33689-2021</t>
        </is>
      </c>
      <c r="B221" s="1" t="n">
        <v>44378</v>
      </c>
      <c r="C221" s="1" t="n">
        <v>45880</v>
      </c>
      <c r="D221" t="inlineStr">
        <is>
          <t>DALARNAS LÄN</t>
        </is>
      </c>
      <c r="E221" t="inlineStr">
        <is>
          <t>ÄLVDALEN</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30969-2021</t>
        </is>
      </c>
      <c r="B222" s="1" t="n">
        <v>44365.89862268518</v>
      </c>
      <c r="C222" s="1" t="n">
        <v>45880</v>
      </c>
      <c r="D222" t="inlineStr">
        <is>
          <t>DALARNAS LÄN</t>
        </is>
      </c>
      <c r="E222" t="inlineStr">
        <is>
          <t>ÄLVDALEN</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49587-2020</t>
        </is>
      </c>
      <c r="B223" s="1" t="n">
        <v>44106</v>
      </c>
      <c r="C223" s="1" t="n">
        <v>45880</v>
      </c>
      <c r="D223" t="inlineStr">
        <is>
          <t>DALARNAS LÄN</t>
        </is>
      </c>
      <c r="E223" t="inlineStr">
        <is>
          <t>ÄLVDALEN</t>
        </is>
      </c>
      <c r="G223" t="n">
        <v>0.9</v>
      </c>
      <c r="H223" t="n">
        <v>0</v>
      </c>
      <c r="I223" t="n">
        <v>0</v>
      </c>
      <c r="J223" t="n">
        <v>0</v>
      </c>
      <c r="K223" t="n">
        <v>0</v>
      </c>
      <c r="L223" t="n">
        <v>0</v>
      </c>
      <c r="M223" t="n">
        <v>0</v>
      </c>
      <c r="N223" t="n">
        <v>0</v>
      </c>
      <c r="O223" t="n">
        <v>0</v>
      </c>
      <c r="P223" t="n">
        <v>0</v>
      </c>
      <c r="Q223" t="n">
        <v>0</v>
      </c>
      <c r="R223" s="2" t="inlineStr"/>
    </row>
    <row r="224" ht="15" customHeight="1">
      <c r="A224" t="inlineStr">
        <is>
          <t>A 61563-2021</t>
        </is>
      </c>
      <c r="B224" s="1" t="n">
        <v>44501</v>
      </c>
      <c r="C224" s="1" t="n">
        <v>45880</v>
      </c>
      <c r="D224" t="inlineStr">
        <is>
          <t>DALARNAS LÄN</t>
        </is>
      </c>
      <c r="E224" t="inlineStr">
        <is>
          <t>ÄLVDALEN</t>
        </is>
      </c>
      <c r="G224" t="n">
        <v>0.6</v>
      </c>
      <c r="H224" t="n">
        <v>0</v>
      </c>
      <c r="I224" t="n">
        <v>0</v>
      </c>
      <c r="J224" t="n">
        <v>0</v>
      </c>
      <c r="K224" t="n">
        <v>0</v>
      </c>
      <c r="L224" t="n">
        <v>0</v>
      </c>
      <c r="M224" t="n">
        <v>0</v>
      </c>
      <c r="N224" t="n">
        <v>0</v>
      </c>
      <c r="O224" t="n">
        <v>0</v>
      </c>
      <c r="P224" t="n">
        <v>0</v>
      </c>
      <c r="Q224" t="n">
        <v>0</v>
      </c>
      <c r="R224" s="2" t="inlineStr"/>
    </row>
    <row r="225" ht="15" customHeight="1">
      <c r="A225" t="inlineStr">
        <is>
          <t>A 71282-2021</t>
        </is>
      </c>
      <c r="B225" s="1" t="n">
        <v>44539</v>
      </c>
      <c r="C225" s="1" t="n">
        <v>45880</v>
      </c>
      <c r="D225" t="inlineStr">
        <is>
          <t>DALARNAS LÄN</t>
        </is>
      </c>
      <c r="E225" t="inlineStr">
        <is>
          <t>ÄLVDALEN</t>
        </is>
      </c>
      <c r="G225" t="n">
        <v>1.3</v>
      </c>
      <c r="H225" t="n">
        <v>0</v>
      </c>
      <c r="I225" t="n">
        <v>0</v>
      </c>
      <c r="J225" t="n">
        <v>0</v>
      </c>
      <c r="K225" t="n">
        <v>0</v>
      </c>
      <c r="L225" t="n">
        <v>0</v>
      </c>
      <c r="M225" t="n">
        <v>0</v>
      </c>
      <c r="N225" t="n">
        <v>0</v>
      </c>
      <c r="O225" t="n">
        <v>0</v>
      </c>
      <c r="P225" t="n">
        <v>0</v>
      </c>
      <c r="Q225" t="n">
        <v>0</v>
      </c>
      <c r="R225" s="2" t="inlineStr"/>
    </row>
    <row r="226" ht="15" customHeight="1">
      <c r="A226" t="inlineStr">
        <is>
          <t>A 70252-2021</t>
        </is>
      </c>
      <c r="B226" s="1" t="n">
        <v>44536</v>
      </c>
      <c r="C226" s="1" t="n">
        <v>45880</v>
      </c>
      <c r="D226" t="inlineStr">
        <is>
          <t>DALARNAS LÄN</t>
        </is>
      </c>
      <c r="E226" t="inlineStr">
        <is>
          <t>ÄLVDALEN</t>
        </is>
      </c>
      <c r="F226" t="inlineStr">
        <is>
          <t>Sveaskog</t>
        </is>
      </c>
      <c r="G226" t="n">
        <v>0.6</v>
      </c>
      <c r="H226" t="n">
        <v>0</v>
      </c>
      <c r="I226" t="n">
        <v>0</v>
      </c>
      <c r="J226" t="n">
        <v>0</v>
      </c>
      <c r="K226" t="n">
        <v>0</v>
      </c>
      <c r="L226" t="n">
        <v>0</v>
      </c>
      <c r="M226" t="n">
        <v>0</v>
      </c>
      <c r="N226" t="n">
        <v>0</v>
      </c>
      <c r="O226" t="n">
        <v>0</v>
      </c>
      <c r="P226" t="n">
        <v>0</v>
      </c>
      <c r="Q226" t="n">
        <v>0</v>
      </c>
      <c r="R226" s="2" t="inlineStr"/>
    </row>
    <row r="227" ht="15" customHeight="1">
      <c r="A227" t="inlineStr">
        <is>
          <t>A 37490-2021</t>
        </is>
      </c>
      <c r="B227" s="1" t="n">
        <v>44399</v>
      </c>
      <c r="C227" s="1" t="n">
        <v>45880</v>
      </c>
      <c r="D227" t="inlineStr">
        <is>
          <t>DALARNAS LÄN</t>
        </is>
      </c>
      <c r="E227" t="inlineStr">
        <is>
          <t>ÄLVDALEN</t>
        </is>
      </c>
      <c r="G227" t="n">
        <v>1.5</v>
      </c>
      <c r="H227" t="n">
        <v>0</v>
      </c>
      <c r="I227" t="n">
        <v>0</v>
      </c>
      <c r="J227" t="n">
        <v>0</v>
      </c>
      <c r="K227" t="n">
        <v>0</v>
      </c>
      <c r="L227" t="n">
        <v>0</v>
      </c>
      <c r="M227" t="n">
        <v>0</v>
      </c>
      <c r="N227" t="n">
        <v>0</v>
      </c>
      <c r="O227" t="n">
        <v>0</v>
      </c>
      <c r="P227" t="n">
        <v>0</v>
      </c>
      <c r="Q227" t="n">
        <v>0</v>
      </c>
      <c r="R227" s="2" t="inlineStr"/>
    </row>
    <row r="228" ht="15" customHeight="1">
      <c r="A228" t="inlineStr">
        <is>
          <t>A 30225-2023</t>
        </is>
      </c>
      <c r="B228" s="1" t="n">
        <v>45110.64971064815</v>
      </c>
      <c r="C228" s="1" t="n">
        <v>45880</v>
      </c>
      <c r="D228" t="inlineStr">
        <is>
          <t>DALARNAS LÄN</t>
        </is>
      </c>
      <c r="E228" t="inlineStr">
        <is>
          <t>ÄLVDALEN</t>
        </is>
      </c>
      <c r="F228" t="inlineStr">
        <is>
          <t>Allmännings- och besparingsskogar</t>
        </is>
      </c>
      <c r="G228" t="n">
        <v>0.6</v>
      </c>
      <c r="H228" t="n">
        <v>0</v>
      </c>
      <c r="I228" t="n">
        <v>0</v>
      </c>
      <c r="J228" t="n">
        <v>0</v>
      </c>
      <c r="K228" t="n">
        <v>0</v>
      </c>
      <c r="L228" t="n">
        <v>0</v>
      </c>
      <c r="M228" t="n">
        <v>0</v>
      </c>
      <c r="N228" t="n">
        <v>0</v>
      </c>
      <c r="O228" t="n">
        <v>0</v>
      </c>
      <c r="P228" t="n">
        <v>0</v>
      </c>
      <c r="Q228" t="n">
        <v>0</v>
      </c>
      <c r="R228" s="2" t="inlineStr"/>
    </row>
    <row r="229" ht="15" customHeight="1">
      <c r="A229" t="inlineStr">
        <is>
          <t>A 59692-2024</t>
        </is>
      </c>
      <c r="B229" s="1" t="n">
        <v>45639.40686342592</v>
      </c>
      <c r="C229" s="1" t="n">
        <v>45880</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19567-2025</t>
        </is>
      </c>
      <c r="B230" s="1" t="n">
        <v>45770.5349537037</v>
      </c>
      <c r="C230" s="1" t="n">
        <v>45880</v>
      </c>
      <c r="D230" t="inlineStr">
        <is>
          <t>DALARNAS LÄN</t>
        </is>
      </c>
      <c r="E230" t="inlineStr">
        <is>
          <t>ÄLVDALEN</t>
        </is>
      </c>
      <c r="F230" t="inlineStr">
        <is>
          <t>Allmännings- och besparingsskogar</t>
        </is>
      </c>
      <c r="G230" t="n">
        <v>3.7</v>
      </c>
      <c r="H230" t="n">
        <v>0</v>
      </c>
      <c r="I230" t="n">
        <v>0</v>
      </c>
      <c r="J230" t="n">
        <v>0</v>
      </c>
      <c r="K230" t="n">
        <v>0</v>
      </c>
      <c r="L230" t="n">
        <v>0</v>
      </c>
      <c r="M230" t="n">
        <v>0</v>
      </c>
      <c r="N230" t="n">
        <v>0</v>
      </c>
      <c r="O230" t="n">
        <v>0</v>
      </c>
      <c r="P230" t="n">
        <v>0</v>
      </c>
      <c r="Q230" t="n">
        <v>0</v>
      </c>
      <c r="R230" s="2" t="inlineStr"/>
    </row>
    <row r="231" ht="15" customHeight="1">
      <c r="A231" t="inlineStr">
        <is>
          <t>A 46559-2023</t>
        </is>
      </c>
      <c r="B231" s="1" t="n">
        <v>45187</v>
      </c>
      <c r="C231" s="1" t="n">
        <v>45880</v>
      </c>
      <c r="D231" t="inlineStr">
        <is>
          <t>DALARNAS LÄN</t>
        </is>
      </c>
      <c r="E231" t="inlineStr">
        <is>
          <t>ÄLVDALEN</t>
        </is>
      </c>
      <c r="G231" t="n">
        <v>9.6</v>
      </c>
      <c r="H231" t="n">
        <v>0</v>
      </c>
      <c r="I231" t="n">
        <v>0</v>
      </c>
      <c r="J231" t="n">
        <v>0</v>
      </c>
      <c r="K231" t="n">
        <v>0</v>
      </c>
      <c r="L231" t="n">
        <v>0</v>
      </c>
      <c r="M231" t="n">
        <v>0</v>
      </c>
      <c r="N231" t="n">
        <v>0</v>
      </c>
      <c r="O231" t="n">
        <v>0</v>
      </c>
      <c r="P231" t="n">
        <v>0</v>
      </c>
      <c r="Q231" t="n">
        <v>0</v>
      </c>
      <c r="R231" s="2" t="inlineStr"/>
    </row>
    <row r="232" ht="15" customHeight="1">
      <c r="A232" t="inlineStr">
        <is>
          <t>A 27480-2022</t>
        </is>
      </c>
      <c r="B232" s="1" t="n">
        <v>44742.60590277778</v>
      </c>
      <c r="C232" s="1" t="n">
        <v>45880</v>
      </c>
      <c r="D232" t="inlineStr">
        <is>
          <t>DALARNAS LÄN</t>
        </is>
      </c>
      <c r="E232" t="inlineStr">
        <is>
          <t>ÄLVDALEN</t>
        </is>
      </c>
      <c r="F232" t="inlineStr">
        <is>
          <t>Bergvik skog väst AB</t>
        </is>
      </c>
      <c r="G232" t="n">
        <v>4.1</v>
      </c>
      <c r="H232" t="n">
        <v>0</v>
      </c>
      <c r="I232" t="n">
        <v>0</v>
      </c>
      <c r="J232" t="n">
        <v>0</v>
      </c>
      <c r="K232" t="n">
        <v>0</v>
      </c>
      <c r="L232" t="n">
        <v>0</v>
      </c>
      <c r="M232" t="n">
        <v>0</v>
      </c>
      <c r="N232" t="n">
        <v>0</v>
      </c>
      <c r="O232" t="n">
        <v>0</v>
      </c>
      <c r="P232" t="n">
        <v>0</v>
      </c>
      <c r="Q232" t="n">
        <v>0</v>
      </c>
      <c r="R232" s="2" t="inlineStr"/>
    </row>
    <row r="233" ht="15" customHeight="1">
      <c r="A233" t="inlineStr">
        <is>
          <t>A 28467-2024</t>
        </is>
      </c>
      <c r="B233" s="1" t="n">
        <v>45477.71173611111</v>
      </c>
      <c r="C233" s="1" t="n">
        <v>45880</v>
      </c>
      <c r="D233" t="inlineStr">
        <is>
          <t>DALARNAS LÄN</t>
        </is>
      </c>
      <c r="E233" t="inlineStr">
        <is>
          <t>ÄLVDALEN</t>
        </is>
      </c>
      <c r="G233" t="n">
        <v>4</v>
      </c>
      <c r="H233" t="n">
        <v>0</v>
      </c>
      <c r="I233" t="n">
        <v>0</v>
      </c>
      <c r="J233" t="n">
        <v>0</v>
      </c>
      <c r="K233" t="n">
        <v>0</v>
      </c>
      <c r="L233" t="n">
        <v>0</v>
      </c>
      <c r="M233" t="n">
        <v>0</v>
      </c>
      <c r="N233" t="n">
        <v>0</v>
      </c>
      <c r="O233" t="n">
        <v>0</v>
      </c>
      <c r="P233" t="n">
        <v>0</v>
      </c>
      <c r="Q233" t="n">
        <v>0</v>
      </c>
      <c r="R233" s="2" t="inlineStr"/>
    </row>
    <row r="234" ht="15" customHeight="1">
      <c r="A234" t="inlineStr">
        <is>
          <t>A 70140-2021</t>
        </is>
      </c>
      <c r="B234" s="1" t="n">
        <v>44533</v>
      </c>
      <c r="C234" s="1" t="n">
        <v>45880</v>
      </c>
      <c r="D234" t="inlineStr">
        <is>
          <t>DALARNAS LÄN</t>
        </is>
      </c>
      <c r="E234" t="inlineStr">
        <is>
          <t>ÄLVDALEN</t>
        </is>
      </c>
      <c r="G234" t="n">
        <v>2.5</v>
      </c>
      <c r="H234" t="n">
        <v>0</v>
      </c>
      <c r="I234" t="n">
        <v>0</v>
      </c>
      <c r="J234" t="n">
        <v>0</v>
      </c>
      <c r="K234" t="n">
        <v>0</v>
      </c>
      <c r="L234" t="n">
        <v>0</v>
      </c>
      <c r="M234" t="n">
        <v>0</v>
      </c>
      <c r="N234" t="n">
        <v>0</v>
      </c>
      <c r="O234" t="n">
        <v>0</v>
      </c>
      <c r="P234" t="n">
        <v>0</v>
      </c>
      <c r="Q234" t="n">
        <v>0</v>
      </c>
      <c r="R234" s="2" t="inlineStr"/>
    </row>
    <row r="235" ht="15" customHeight="1">
      <c r="A235" t="inlineStr">
        <is>
          <t>A 32031-2023</t>
        </is>
      </c>
      <c r="B235" s="1" t="n">
        <v>45107</v>
      </c>
      <c r="C235" s="1" t="n">
        <v>45880</v>
      </c>
      <c r="D235" t="inlineStr">
        <is>
          <t>DALARNAS LÄN</t>
        </is>
      </c>
      <c r="E235" t="inlineStr">
        <is>
          <t>ÄLVDALEN</t>
        </is>
      </c>
      <c r="G235" t="n">
        <v>2.7</v>
      </c>
      <c r="H235" t="n">
        <v>0</v>
      </c>
      <c r="I235" t="n">
        <v>0</v>
      </c>
      <c r="J235" t="n">
        <v>0</v>
      </c>
      <c r="K235" t="n">
        <v>0</v>
      </c>
      <c r="L235" t="n">
        <v>0</v>
      </c>
      <c r="M235" t="n">
        <v>0</v>
      </c>
      <c r="N235" t="n">
        <v>0</v>
      </c>
      <c r="O235" t="n">
        <v>0</v>
      </c>
      <c r="P235" t="n">
        <v>0</v>
      </c>
      <c r="Q235" t="n">
        <v>0</v>
      </c>
      <c r="R235" s="2" t="inlineStr"/>
    </row>
    <row r="236" ht="15" customHeight="1">
      <c r="A236" t="inlineStr">
        <is>
          <t>A 46927-2024</t>
        </is>
      </c>
      <c r="B236" s="1" t="n">
        <v>45584.69063657407</v>
      </c>
      <c r="C236" s="1" t="n">
        <v>45880</v>
      </c>
      <c r="D236" t="inlineStr">
        <is>
          <t>DALARNAS LÄN</t>
        </is>
      </c>
      <c r="E236" t="inlineStr">
        <is>
          <t>ÄLVDALEN</t>
        </is>
      </c>
      <c r="G236" t="n">
        <v>1.5</v>
      </c>
      <c r="H236" t="n">
        <v>0</v>
      </c>
      <c r="I236" t="n">
        <v>0</v>
      </c>
      <c r="J236" t="n">
        <v>0</v>
      </c>
      <c r="K236" t="n">
        <v>0</v>
      </c>
      <c r="L236" t="n">
        <v>0</v>
      </c>
      <c r="M236" t="n">
        <v>0</v>
      </c>
      <c r="N236" t="n">
        <v>0</v>
      </c>
      <c r="O236" t="n">
        <v>0</v>
      </c>
      <c r="P236" t="n">
        <v>0</v>
      </c>
      <c r="Q236" t="n">
        <v>0</v>
      </c>
      <c r="R236" s="2" t="inlineStr"/>
    </row>
    <row r="237" ht="15" customHeight="1">
      <c r="A237" t="inlineStr">
        <is>
          <t>A 58848-2022</t>
        </is>
      </c>
      <c r="B237" s="1" t="n">
        <v>44896</v>
      </c>
      <c r="C237" s="1" t="n">
        <v>45880</v>
      </c>
      <c r="D237" t="inlineStr">
        <is>
          <t>DALARNAS LÄN</t>
        </is>
      </c>
      <c r="E237" t="inlineStr">
        <is>
          <t>ÄLVDALEN</t>
        </is>
      </c>
      <c r="F237" t="inlineStr">
        <is>
          <t>Övriga statliga verk och myndigheter</t>
        </is>
      </c>
      <c r="G237" t="n">
        <v>18.1</v>
      </c>
      <c r="H237" t="n">
        <v>0</v>
      </c>
      <c r="I237" t="n">
        <v>0</v>
      </c>
      <c r="J237" t="n">
        <v>0</v>
      </c>
      <c r="K237" t="n">
        <v>0</v>
      </c>
      <c r="L237" t="n">
        <v>0</v>
      </c>
      <c r="M237" t="n">
        <v>0</v>
      </c>
      <c r="N237" t="n">
        <v>0</v>
      </c>
      <c r="O237" t="n">
        <v>0</v>
      </c>
      <c r="P237" t="n">
        <v>0</v>
      </c>
      <c r="Q237" t="n">
        <v>0</v>
      </c>
      <c r="R237" s="2" t="inlineStr"/>
    </row>
    <row r="238" ht="15" customHeight="1">
      <c r="A238" t="inlineStr">
        <is>
          <t>A 19992-2023</t>
        </is>
      </c>
      <c r="B238" s="1" t="n">
        <v>45054.61501157407</v>
      </c>
      <c r="C238" s="1" t="n">
        <v>45880</v>
      </c>
      <c r="D238" t="inlineStr">
        <is>
          <t>DALARNAS LÄN</t>
        </is>
      </c>
      <c r="E238" t="inlineStr">
        <is>
          <t>ÄLVDALEN</t>
        </is>
      </c>
      <c r="G238" t="n">
        <v>3.9</v>
      </c>
      <c r="H238" t="n">
        <v>0</v>
      </c>
      <c r="I238" t="n">
        <v>0</v>
      </c>
      <c r="J238" t="n">
        <v>0</v>
      </c>
      <c r="K238" t="n">
        <v>0</v>
      </c>
      <c r="L238" t="n">
        <v>0</v>
      </c>
      <c r="M238" t="n">
        <v>0</v>
      </c>
      <c r="N238" t="n">
        <v>0</v>
      </c>
      <c r="O238" t="n">
        <v>0</v>
      </c>
      <c r="P238" t="n">
        <v>0</v>
      </c>
      <c r="Q238" t="n">
        <v>0</v>
      </c>
      <c r="R238" s="2" t="inlineStr"/>
    </row>
    <row r="239" ht="15" customHeight="1">
      <c r="A239" t="inlineStr">
        <is>
          <t>A 45122-2023</t>
        </is>
      </c>
      <c r="B239" s="1" t="n">
        <v>45191.44871527778</v>
      </c>
      <c r="C239" s="1" t="n">
        <v>45880</v>
      </c>
      <c r="D239" t="inlineStr">
        <is>
          <t>DALARNAS LÄN</t>
        </is>
      </c>
      <c r="E239" t="inlineStr">
        <is>
          <t>ÄLVDALEN</t>
        </is>
      </c>
      <c r="G239" t="n">
        <v>2.7</v>
      </c>
      <c r="H239" t="n">
        <v>0</v>
      </c>
      <c r="I239" t="n">
        <v>0</v>
      </c>
      <c r="J239" t="n">
        <v>0</v>
      </c>
      <c r="K239" t="n">
        <v>0</v>
      </c>
      <c r="L239" t="n">
        <v>0</v>
      </c>
      <c r="M239" t="n">
        <v>0</v>
      </c>
      <c r="N239" t="n">
        <v>0</v>
      </c>
      <c r="O239" t="n">
        <v>0</v>
      </c>
      <c r="P239" t="n">
        <v>0</v>
      </c>
      <c r="Q239" t="n">
        <v>0</v>
      </c>
      <c r="R239" s="2" t="inlineStr"/>
    </row>
    <row r="240" ht="15" customHeight="1">
      <c r="A240" t="inlineStr">
        <is>
          <t>A 47743-2024</t>
        </is>
      </c>
      <c r="B240" s="1" t="n">
        <v>45588.52550925926</v>
      </c>
      <c r="C240" s="1" t="n">
        <v>45880</v>
      </c>
      <c r="D240" t="inlineStr">
        <is>
          <t>DALARNAS LÄN</t>
        </is>
      </c>
      <c r="E240" t="inlineStr">
        <is>
          <t>ÄLVDALEN</t>
        </is>
      </c>
      <c r="G240" t="n">
        <v>4.4</v>
      </c>
      <c r="H240" t="n">
        <v>0</v>
      </c>
      <c r="I240" t="n">
        <v>0</v>
      </c>
      <c r="J240" t="n">
        <v>0</v>
      </c>
      <c r="K240" t="n">
        <v>0</v>
      </c>
      <c r="L240" t="n">
        <v>0</v>
      </c>
      <c r="M240" t="n">
        <v>0</v>
      </c>
      <c r="N240" t="n">
        <v>0</v>
      </c>
      <c r="O240" t="n">
        <v>0</v>
      </c>
      <c r="P240" t="n">
        <v>0</v>
      </c>
      <c r="Q240" t="n">
        <v>0</v>
      </c>
      <c r="R240" s="2" t="inlineStr"/>
    </row>
    <row r="241" ht="15" customHeight="1">
      <c r="A241" t="inlineStr">
        <is>
          <t>A 8496-2025</t>
        </is>
      </c>
      <c r="B241" s="1" t="n">
        <v>45709.51084490741</v>
      </c>
      <c r="C241" s="1" t="n">
        <v>45880</v>
      </c>
      <c r="D241" t="inlineStr">
        <is>
          <t>DALARNAS LÄN</t>
        </is>
      </c>
      <c r="E241" t="inlineStr">
        <is>
          <t>ÄLVDALEN</t>
        </is>
      </c>
      <c r="G241" t="n">
        <v>1.4</v>
      </c>
      <c r="H241" t="n">
        <v>0</v>
      </c>
      <c r="I241" t="n">
        <v>0</v>
      </c>
      <c r="J241" t="n">
        <v>0</v>
      </c>
      <c r="K241" t="n">
        <v>0</v>
      </c>
      <c r="L241" t="n">
        <v>0</v>
      </c>
      <c r="M241" t="n">
        <v>0</v>
      </c>
      <c r="N241" t="n">
        <v>0</v>
      </c>
      <c r="O241" t="n">
        <v>0</v>
      </c>
      <c r="P241" t="n">
        <v>0</v>
      </c>
      <c r="Q241" t="n">
        <v>0</v>
      </c>
      <c r="R241" s="2" t="inlineStr"/>
    </row>
    <row r="242" ht="15" customHeight="1">
      <c r="A242" t="inlineStr">
        <is>
          <t>A 43990-2024</t>
        </is>
      </c>
      <c r="B242" s="1" t="n">
        <v>45572</v>
      </c>
      <c r="C242" s="1" t="n">
        <v>45880</v>
      </c>
      <c r="D242" t="inlineStr">
        <is>
          <t>DALARNAS LÄN</t>
        </is>
      </c>
      <c r="E242" t="inlineStr">
        <is>
          <t>ÄLVDALEN</t>
        </is>
      </c>
      <c r="F242" t="inlineStr">
        <is>
          <t>Kommuner</t>
        </is>
      </c>
      <c r="G242" t="n">
        <v>0</v>
      </c>
      <c r="H242" t="n">
        <v>0</v>
      </c>
      <c r="I242" t="n">
        <v>0</v>
      </c>
      <c r="J242" t="n">
        <v>0</v>
      </c>
      <c r="K242" t="n">
        <v>0</v>
      </c>
      <c r="L242" t="n">
        <v>0</v>
      </c>
      <c r="M242" t="n">
        <v>0</v>
      </c>
      <c r="N242" t="n">
        <v>0</v>
      </c>
      <c r="O242" t="n">
        <v>0</v>
      </c>
      <c r="P242" t="n">
        <v>0</v>
      </c>
      <c r="Q242" t="n">
        <v>0</v>
      </c>
      <c r="R242" s="2" t="inlineStr"/>
    </row>
    <row r="243" ht="15" customHeight="1">
      <c r="A243" t="inlineStr">
        <is>
          <t>A 58004-2020</t>
        </is>
      </c>
      <c r="B243" s="1" t="n">
        <v>44140</v>
      </c>
      <c r="C243" s="1" t="n">
        <v>45880</v>
      </c>
      <c r="D243" t="inlineStr">
        <is>
          <t>DALARNAS LÄN</t>
        </is>
      </c>
      <c r="E243" t="inlineStr">
        <is>
          <t>ÄLVDALEN</t>
        </is>
      </c>
      <c r="G243" t="n">
        <v>2.9</v>
      </c>
      <c r="H243" t="n">
        <v>0</v>
      </c>
      <c r="I243" t="n">
        <v>0</v>
      </c>
      <c r="J243" t="n">
        <v>0</v>
      </c>
      <c r="K243" t="n">
        <v>0</v>
      </c>
      <c r="L243" t="n">
        <v>0</v>
      </c>
      <c r="M243" t="n">
        <v>0</v>
      </c>
      <c r="N243" t="n">
        <v>0</v>
      </c>
      <c r="O243" t="n">
        <v>0</v>
      </c>
      <c r="P243" t="n">
        <v>0</v>
      </c>
      <c r="Q243" t="n">
        <v>0</v>
      </c>
      <c r="R243" s="2" t="inlineStr"/>
    </row>
    <row r="244" ht="15" customHeight="1">
      <c r="A244" t="inlineStr">
        <is>
          <t>A 46926-2024</t>
        </is>
      </c>
      <c r="B244" s="1" t="n">
        <v>45584.68275462963</v>
      </c>
      <c r="C244" s="1" t="n">
        <v>45880</v>
      </c>
      <c r="D244" t="inlineStr">
        <is>
          <t>DALARNAS LÄN</t>
        </is>
      </c>
      <c r="E244" t="inlineStr">
        <is>
          <t>ÄLVDALEN</t>
        </is>
      </c>
      <c r="G244" t="n">
        <v>4.4</v>
      </c>
      <c r="H244" t="n">
        <v>0</v>
      </c>
      <c r="I244" t="n">
        <v>0</v>
      </c>
      <c r="J244" t="n">
        <v>0</v>
      </c>
      <c r="K244" t="n">
        <v>0</v>
      </c>
      <c r="L244" t="n">
        <v>0</v>
      </c>
      <c r="M244" t="n">
        <v>0</v>
      </c>
      <c r="N244" t="n">
        <v>0</v>
      </c>
      <c r="O244" t="n">
        <v>0</v>
      </c>
      <c r="P244" t="n">
        <v>0</v>
      </c>
      <c r="Q244" t="n">
        <v>0</v>
      </c>
      <c r="R244" s="2" t="inlineStr"/>
    </row>
    <row r="245" ht="15" customHeight="1">
      <c r="A245" t="inlineStr">
        <is>
          <t>A 45245-2022</t>
        </is>
      </c>
      <c r="B245" s="1" t="n">
        <v>44844.48002314815</v>
      </c>
      <c r="C245" s="1" t="n">
        <v>45880</v>
      </c>
      <c r="D245" t="inlineStr">
        <is>
          <t>DALARNAS LÄN</t>
        </is>
      </c>
      <c r="E245" t="inlineStr">
        <is>
          <t>ÄLVDALEN</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30355-2021</t>
        </is>
      </c>
      <c r="B246" s="1" t="n">
        <v>44364</v>
      </c>
      <c r="C246" s="1" t="n">
        <v>45880</v>
      </c>
      <c r="D246" t="inlineStr">
        <is>
          <t>DALARNAS LÄN</t>
        </is>
      </c>
      <c r="E246" t="inlineStr">
        <is>
          <t>ÄLVDALEN</t>
        </is>
      </c>
      <c r="G246" t="n">
        <v>2.3</v>
      </c>
      <c r="H246" t="n">
        <v>0</v>
      </c>
      <c r="I246" t="n">
        <v>0</v>
      </c>
      <c r="J246" t="n">
        <v>0</v>
      </c>
      <c r="K246" t="n">
        <v>0</v>
      </c>
      <c r="L246" t="n">
        <v>0</v>
      </c>
      <c r="M246" t="n">
        <v>0</v>
      </c>
      <c r="N246" t="n">
        <v>0</v>
      </c>
      <c r="O246" t="n">
        <v>0</v>
      </c>
      <c r="P246" t="n">
        <v>0</v>
      </c>
      <c r="Q246" t="n">
        <v>0</v>
      </c>
      <c r="R246" s="2" t="inlineStr"/>
    </row>
    <row r="247" ht="15" customHeight="1">
      <c r="A247" t="inlineStr">
        <is>
          <t>A 14089-2022</t>
        </is>
      </c>
      <c r="B247" s="1" t="n">
        <v>44651</v>
      </c>
      <c r="C247" s="1" t="n">
        <v>45880</v>
      </c>
      <c r="D247" t="inlineStr">
        <is>
          <t>DALARNAS LÄN</t>
        </is>
      </c>
      <c r="E247" t="inlineStr">
        <is>
          <t>ÄLVDALEN</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57560-2024</t>
        </is>
      </c>
      <c r="B248" s="1" t="n">
        <v>45630.4566550926</v>
      </c>
      <c r="C248" s="1" t="n">
        <v>45880</v>
      </c>
      <c r="D248" t="inlineStr">
        <is>
          <t>DALARNAS LÄN</t>
        </is>
      </c>
      <c r="E248" t="inlineStr">
        <is>
          <t>ÄLVDALEN</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63329-2023</t>
        </is>
      </c>
      <c r="B249" s="1" t="n">
        <v>45274.38255787037</v>
      </c>
      <c r="C249" s="1" t="n">
        <v>45880</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20584-2025</t>
        </is>
      </c>
      <c r="B250" s="1" t="n">
        <v>45775.695</v>
      </c>
      <c r="C250" s="1" t="n">
        <v>45880</v>
      </c>
      <c r="D250" t="inlineStr">
        <is>
          <t>DALARNAS LÄN</t>
        </is>
      </c>
      <c r="E250" t="inlineStr">
        <is>
          <t>ÄLVDALEN</t>
        </is>
      </c>
      <c r="G250" t="n">
        <v>1.8</v>
      </c>
      <c r="H250" t="n">
        <v>0</v>
      </c>
      <c r="I250" t="n">
        <v>0</v>
      </c>
      <c r="J250" t="n">
        <v>0</v>
      </c>
      <c r="K250" t="n">
        <v>0</v>
      </c>
      <c r="L250" t="n">
        <v>0</v>
      </c>
      <c r="M250" t="n">
        <v>0</v>
      </c>
      <c r="N250" t="n">
        <v>0</v>
      </c>
      <c r="O250" t="n">
        <v>0</v>
      </c>
      <c r="P250" t="n">
        <v>0</v>
      </c>
      <c r="Q250" t="n">
        <v>0</v>
      </c>
      <c r="R250" s="2" t="inlineStr"/>
    </row>
    <row r="251" ht="15" customHeight="1">
      <c r="A251" t="inlineStr">
        <is>
          <t>A 49063-2023</t>
        </is>
      </c>
      <c r="B251" s="1" t="n">
        <v>45210</v>
      </c>
      <c r="C251" s="1" t="n">
        <v>45880</v>
      </c>
      <c r="D251" t="inlineStr">
        <is>
          <t>DALARNAS LÄN</t>
        </is>
      </c>
      <c r="E251" t="inlineStr">
        <is>
          <t>ÄLVDALEN</t>
        </is>
      </c>
      <c r="G251" t="n">
        <v>4.1</v>
      </c>
      <c r="H251" t="n">
        <v>0</v>
      </c>
      <c r="I251" t="n">
        <v>0</v>
      </c>
      <c r="J251" t="n">
        <v>0</v>
      </c>
      <c r="K251" t="n">
        <v>0</v>
      </c>
      <c r="L251" t="n">
        <v>0</v>
      </c>
      <c r="M251" t="n">
        <v>0</v>
      </c>
      <c r="N251" t="n">
        <v>0</v>
      </c>
      <c r="O251" t="n">
        <v>0</v>
      </c>
      <c r="P251" t="n">
        <v>0</v>
      </c>
      <c r="Q251" t="n">
        <v>0</v>
      </c>
      <c r="R251" s="2" t="inlineStr"/>
    </row>
    <row r="252" ht="15" customHeight="1">
      <c r="A252" t="inlineStr">
        <is>
          <t>A 2381-2024</t>
        </is>
      </c>
      <c r="B252" s="1" t="n">
        <v>45310.64228009259</v>
      </c>
      <c r="C252" s="1" t="n">
        <v>45880</v>
      </c>
      <c r="D252" t="inlineStr">
        <is>
          <t>DALARNAS LÄN</t>
        </is>
      </c>
      <c r="E252" t="inlineStr">
        <is>
          <t>ÄLVDALEN</t>
        </is>
      </c>
      <c r="G252" t="n">
        <v>1.1</v>
      </c>
      <c r="H252" t="n">
        <v>0</v>
      </c>
      <c r="I252" t="n">
        <v>0</v>
      </c>
      <c r="J252" t="n">
        <v>0</v>
      </c>
      <c r="K252" t="n">
        <v>0</v>
      </c>
      <c r="L252" t="n">
        <v>0</v>
      </c>
      <c r="M252" t="n">
        <v>0</v>
      </c>
      <c r="N252" t="n">
        <v>0</v>
      </c>
      <c r="O252" t="n">
        <v>0</v>
      </c>
      <c r="P252" t="n">
        <v>0</v>
      </c>
      <c r="Q252" t="n">
        <v>0</v>
      </c>
      <c r="R252" s="2" t="inlineStr"/>
    </row>
    <row r="253" ht="15" customHeight="1">
      <c r="A253" t="inlineStr">
        <is>
          <t>A 3903-2024</t>
        </is>
      </c>
      <c r="B253" s="1" t="n">
        <v>45322</v>
      </c>
      <c r="C253" s="1" t="n">
        <v>45880</v>
      </c>
      <c r="D253" t="inlineStr">
        <is>
          <t>DALARNAS LÄN</t>
        </is>
      </c>
      <c r="E253" t="inlineStr">
        <is>
          <t>ÄLVDALEN</t>
        </is>
      </c>
      <c r="G253" t="n">
        <v>0.7</v>
      </c>
      <c r="H253" t="n">
        <v>0</v>
      </c>
      <c r="I253" t="n">
        <v>0</v>
      </c>
      <c r="J253" t="n">
        <v>0</v>
      </c>
      <c r="K253" t="n">
        <v>0</v>
      </c>
      <c r="L253" t="n">
        <v>0</v>
      </c>
      <c r="M253" t="n">
        <v>0</v>
      </c>
      <c r="N253" t="n">
        <v>0</v>
      </c>
      <c r="O253" t="n">
        <v>0</v>
      </c>
      <c r="P253" t="n">
        <v>0</v>
      </c>
      <c r="Q253" t="n">
        <v>0</v>
      </c>
      <c r="R253" s="2" t="inlineStr"/>
    </row>
    <row r="254" ht="15" customHeight="1">
      <c r="A254" t="inlineStr">
        <is>
          <t>A 3914-2024</t>
        </is>
      </c>
      <c r="B254" s="1" t="n">
        <v>45322</v>
      </c>
      <c r="C254" s="1" t="n">
        <v>45880</v>
      </c>
      <c r="D254" t="inlineStr">
        <is>
          <t>DALARNAS LÄN</t>
        </is>
      </c>
      <c r="E254" t="inlineStr">
        <is>
          <t>ÄLVDALEN</t>
        </is>
      </c>
      <c r="G254" t="n">
        <v>0.3</v>
      </c>
      <c r="H254" t="n">
        <v>0</v>
      </c>
      <c r="I254" t="n">
        <v>0</v>
      </c>
      <c r="J254" t="n">
        <v>0</v>
      </c>
      <c r="K254" t="n">
        <v>0</v>
      </c>
      <c r="L254" t="n">
        <v>0</v>
      </c>
      <c r="M254" t="n">
        <v>0</v>
      </c>
      <c r="N254" t="n">
        <v>0</v>
      </c>
      <c r="O254" t="n">
        <v>0</v>
      </c>
      <c r="P254" t="n">
        <v>0</v>
      </c>
      <c r="Q254" t="n">
        <v>0</v>
      </c>
      <c r="R254" s="2" t="inlineStr"/>
    </row>
    <row r="255" ht="15" customHeight="1">
      <c r="A255" t="inlineStr">
        <is>
          <t>A 39010-2024</t>
        </is>
      </c>
      <c r="B255" s="1" t="n">
        <v>45548</v>
      </c>
      <c r="C255" s="1" t="n">
        <v>45880</v>
      </c>
      <c r="D255" t="inlineStr">
        <is>
          <t>DALARNAS LÄN</t>
        </is>
      </c>
      <c r="E255" t="inlineStr">
        <is>
          <t>ÄLVDALEN</t>
        </is>
      </c>
      <c r="G255" t="n">
        <v>1.7</v>
      </c>
      <c r="H255" t="n">
        <v>0</v>
      </c>
      <c r="I255" t="n">
        <v>0</v>
      </c>
      <c r="J255" t="n">
        <v>0</v>
      </c>
      <c r="K255" t="n">
        <v>0</v>
      </c>
      <c r="L255" t="n">
        <v>0</v>
      </c>
      <c r="M255" t="n">
        <v>0</v>
      </c>
      <c r="N255" t="n">
        <v>0</v>
      </c>
      <c r="O255" t="n">
        <v>0</v>
      </c>
      <c r="P255" t="n">
        <v>0</v>
      </c>
      <c r="Q255" t="n">
        <v>0</v>
      </c>
      <c r="R255" s="2" t="inlineStr"/>
    </row>
    <row r="256" ht="15" customHeight="1">
      <c r="A256" t="inlineStr">
        <is>
          <t>A 6791-2025</t>
        </is>
      </c>
      <c r="B256" s="1" t="n">
        <v>45700.66315972222</v>
      </c>
      <c r="C256" s="1" t="n">
        <v>45880</v>
      </c>
      <c r="D256" t="inlineStr">
        <is>
          <t>DALARNAS LÄN</t>
        </is>
      </c>
      <c r="E256" t="inlineStr">
        <is>
          <t>ÄLVDALEN</t>
        </is>
      </c>
      <c r="G256" t="n">
        <v>30.2</v>
      </c>
      <c r="H256" t="n">
        <v>0</v>
      </c>
      <c r="I256" t="n">
        <v>0</v>
      </c>
      <c r="J256" t="n">
        <v>0</v>
      </c>
      <c r="K256" t="n">
        <v>0</v>
      </c>
      <c r="L256" t="n">
        <v>0</v>
      </c>
      <c r="M256" t="n">
        <v>0</v>
      </c>
      <c r="N256" t="n">
        <v>0</v>
      </c>
      <c r="O256" t="n">
        <v>0</v>
      </c>
      <c r="P256" t="n">
        <v>0</v>
      </c>
      <c r="Q256" t="n">
        <v>0</v>
      </c>
      <c r="R256" s="2" t="inlineStr"/>
    </row>
    <row r="257" ht="15" customHeight="1">
      <c r="A257" t="inlineStr">
        <is>
          <t>A 1804-2024</t>
        </is>
      </c>
      <c r="B257" s="1" t="n">
        <v>45307.59216435185</v>
      </c>
      <c r="C257" s="1" t="n">
        <v>45880</v>
      </c>
      <c r="D257" t="inlineStr">
        <is>
          <t>DALARNAS LÄN</t>
        </is>
      </c>
      <c r="E257" t="inlineStr">
        <is>
          <t>ÄLVDALEN</t>
        </is>
      </c>
      <c r="G257" t="n">
        <v>1.9</v>
      </c>
      <c r="H257" t="n">
        <v>0</v>
      </c>
      <c r="I257" t="n">
        <v>0</v>
      </c>
      <c r="J257" t="n">
        <v>0</v>
      </c>
      <c r="K257" t="n">
        <v>0</v>
      </c>
      <c r="L257" t="n">
        <v>0</v>
      </c>
      <c r="M257" t="n">
        <v>0</v>
      </c>
      <c r="N257" t="n">
        <v>0</v>
      </c>
      <c r="O257" t="n">
        <v>0</v>
      </c>
      <c r="P257" t="n">
        <v>0</v>
      </c>
      <c r="Q257" t="n">
        <v>0</v>
      </c>
      <c r="R257" s="2" t="inlineStr"/>
    </row>
    <row r="258" ht="15" customHeight="1">
      <c r="A258" t="inlineStr">
        <is>
          <t>A 57817-2023</t>
        </is>
      </c>
      <c r="B258" s="1" t="n">
        <v>45247</v>
      </c>
      <c r="C258" s="1" t="n">
        <v>45880</v>
      </c>
      <c r="D258" t="inlineStr">
        <is>
          <t>DALARNAS LÄN</t>
        </is>
      </c>
      <c r="E258" t="inlineStr">
        <is>
          <t>ÄLVDALEN</t>
        </is>
      </c>
      <c r="G258" t="n">
        <v>6.4</v>
      </c>
      <c r="H258" t="n">
        <v>0</v>
      </c>
      <c r="I258" t="n">
        <v>0</v>
      </c>
      <c r="J258" t="n">
        <v>0</v>
      </c>
      <c r="K258" t="n">
        <v>0</v>
      </c>
      <c r="L258" t="n">
        <v>0</v>
      </c>
      <c r="M258" t="n">
        <v>0</v>
      </c>
      <c r="N258" t="n">
        <v>0</v>
      </c>
      <c r="O258" t="n">
        <v>0</v>
      </c>
      <c r="P258" t="n">
        <v>0</v>
      </c>
      <c r="Q258" t="n">
        <v>0</v>
      </c>
      <c r="R258" s="2" t="inlineStr"/>
    </row>
    <row r="259" ht="15" customHeight="1">
      <c r="A259" t="inlineStr">
        <is>
          <t>A 60793-2022</t>
        </is>
      </c>
      <c r="B259" s="1" t="n">
        <v>44911</v>
      </c>
      <c r="C259" s="1" t="n">
        <v>45880</v>
      </c>
      <c r="D259" t="inlineStr">
        <is>
          <t>DALARNAS LÄN</t>
        </is>
      </c>
      <c r="E259" t="inlineStr">
        <is>
          <t>ÄLVDALEN</t>
        </is>
      </c>
      <c r="G259" t="n">
        <v>0.5</v>
      </c>
      <c r="H259" t="n">
        <v>0</v>
      </c>
      <c r="I259" t="n">
        <v>0</v>
      </c>
      <c r="J259" t="n">
        <v>0</v>
      </c>
      <c r="K259" t="n">
        <v>0</v>
      </c>
      <c r="L259" t="n">
        <v>0</v>
      </c>
      <c r="M259" t="n">
        <v>0</v>
      </c>
      <c r="N259" t="n">
        <v>0</v>
      </c>
      <c r="O259" t="n">
        <v>0</v>
      </c>
      <c r="P259" t="n">
        <v>0</v>
      </c>
      <c r="Q259" t="n">
        <v>0</v>
      </c>
      <c r="R259" s="2" t="inlineStr"/>
    </row>
    <row r="260" ht="15" customHeight="1">
      <c r="A260" t="inlineStr">
        <is>
          <t>A 28884-2023</t>
        </is>
      </c>
      <c r="B260" s="1" t="n">
        <v>45104.48320601852</v>
      </c>
      <c r="C260" s="1" t="n">
        <v>45880</v>
      </c>
      <c r="D260" t="inlineStr">
        <is>
          <t>DALARNAS LÄN</t>
        </is>
      </c>
      <c r="E260" t="inlineStr">
        <is>
          <t>ÄLVDALEN</t>
        </is>
      </c>
      <c r="F260" t="inlineStr">
        <is>
          <t>Allmännings- och besparingsskogar</t>
        </is>
      </c>
      <c r="G260" t="n">
        <v>1.1</v>
      </c>
      <c r="H260" t="n">
        <v>0</v>
      </c>
      <c r="I260" t="n">
        <v>0</v>
      </c>
      <c r="J260" t="n">
        <v>0</v>
      </c>
      <c r="K260" t="n">
        <v>0</v>
      </c>
      <c r="L260" t="n">
        <v>0</v>
      </c>
      <c r="M260" t="n">
        <v>0</v>
      </c>
      <c r="N260" t="n">
        <v>0</v>
      </c>
      <c r="O260" t="n">
        <v>0</v>
      </c>
      <c r="P260" t="n">
        <v>0</v>
      </c>
      <c r="Q260" t="n">
        <v>0</v>
      </c>
      <c r="R260" s="2" t="inlineStr"/>
    </row>
    <row r="261" ht="15" customHeight="1">
      <c r="A261" t="inlineStr">
        <is>
          <t>A 7232-2025</t>
        </is>
      </c>
      <c r="B261" s="1" t="n">
        <v>45702.51415509259</v>
      </c>
      <c r="C261" s="1" t="n">
        <v>45880</v>
      </c>
      <c r="D261" t="inlineStr">
        <is>
          <t>DALARNAS LÄN</t>
        </is>
      </c>
      <c r="E261" t="inlineStr">
        <is>
          <t>ÄLVDALEN</t>
        </is>
      </c>
      <c r="F261" t="inlineStr">
        <is>
          <t>Allmännings- och besparingsskogar</t>
        </is>
      </c>
      <c r="G261" t="n">
        <v>1.4</v>
      </c>
      <c r="H261" t="n">
        <v>0</v>
      </c>
      <c r="I261" t="n">
        <v>0</v>
      </c>
      <c r="J261" t="n">
        <v>0</v>
      </c>
      <c r="K261" t="n">
        <v>0</v>
      </c>
      <c r="L261" t="n">
        <v>0</v>
      </c>
      <c r="M261" t="n">
        <v>0</v>
      </c>
      <c r="N261" t="n">
        <v>0</v>
      </c>
      <c r="O261" t="n">
        <v>0</v>
      </c>
      <c r="P261" t="n">
        <v>0</v>
      </c>
      <c r="Q261" t="n">
        <v>0</v>
      </c>
      <c r="R261" s="2" t="inlineStr"/>
    </row>
    <row r="262" ht="15" customHeight="1">
      <c r="A262" t="inlineStr">
        <is>
          <t>A 32838-2023</t>
        </is>
      </c>
      <c r="B262" s="1" t="n">
        <v>45124</v>
      </c>
      <c r="C262" s="1" t="n">
        <v>45880</v>
      </c>
      <c r="D262" t="inlineStr">
        <is>
          <t>DALARNAS LÄN</t>
        </is>
      </c>
      <c r="E262" t="inlineStr">
        <is>
          <t>ÄLVDALEN</t>
        </is>
      </c>
      <c r="G262" t="n">
        <v>3.7</v>
      </c>
      <c r="H262" t="n">
        <v>0</v>
      </c>
      <c r="I262" t="n">
        <v>0</v>
      </c>
      <c r="J262" t="n">
        <v>0</v>
      </c>
      <c r="K262" t="n">
        <v>0</v>
      </c>
      <c r="L262" t="n">
        <v>0</v>
      </c>
      <c r="M262" t="n">
        <v>0</v>
      </c>
      <c r="N262" t="n">
        <v>0</v>
      </c>
      <c r="O262" t="n">
        <v>0</v>
      </c>
      <c r="P262" t="n">
        <v>0</v>
      </c>
      <c r="Q262" t="n">
        <v>0</v>
      </c>
      <c r="R262" s="2" t="inlineStr"/>
    </row>
    <row r="263" ht="15" customHeight="1">
      <c r="A263" t="inlineStr">
        <is>
          <t>A 26080-2021</t>
        </is>
      </c>
      <c r="B263" s="1" t="n">
        <v>44344</v>
      </c>
      <c r="C263" s="1" t="n">
        <v>45880</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505-2024</t>
        </is>
      </c>
      <c r="B264" s="1" t="n">
        <v>45299</v>
      </c>
      <c r="C264" s="1" t="n">
        <v>45880</v>
      </c>
      <c r="D264" t="inlineStr">
        <is>
          <t>DALARNAS LÄN</t>
        </is>
      </c>
      <c r="E264" t="inlineStr">
        <is>
          <t>ÄLVDALEN</t>
        </is>
      </c>
      <c r="G264" t="n">
        <v>1.4</v>
      </c>
      <c r="H264" t="n">
        <v>0</v>
      </c>
      <c r="I264" t="n">
        <v>0</v>
      </c>
      <c r="J264" t="n">
        <v>0</v>
      </c>
      <c r="K264" t="n">
        <v>0</v>
      </c>
      <c r="L264" t="n">
        <v>0</v>
      </c>
      <c r="M264" t="n">
        <v>0</v>
      </c>
      <c r="N264" t="n">
        <v>0</v>
      </c>
      <c r="O264" t="n">
        <v>0</v>
      </c>
      <c r="P264" t="n">
        <v>0</v>
      </c>
      <c r="Q264" t="n">
        <v>0</v>
      </c>
      <c r="R264" s="2" t="inlineStr"/>
    </row>
    <row r="265" ht="15" customHeight="1">
      <c r="A265" t="inlineStr">
        <is>
          <t>A 33-2021</t>
        </is>
      </c>
      <c r="B265" s="1" t="n">
        <v>44198</v>
      </c>
      <c r="C265" s="1" t="n">
        <v>45880</v>
      </c>
      <c r="D265" t="inlineStr">
        <is>
          <t>DALARNAS LÄN</t>
        </is>
      </c>
      <c r="E265" t="inlineStr">
        <is>
          <t>ÄLVDALEN</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42332-2023</t>
        </is>
      </c>
      <c r="B266" s="1" t="n">
        <v>45175</v>
      </c>
      <c r="C266" s="1" t="n">
        <v>45880</v>
      </c>
      <c r="D266" t="inlineStr">
        <is>
          <t>DALARNAS LÄN</t>
        </is>
      </c>
      <c r="E266" t="inlineStr">
        <is>
          <t>ÄLVDALEN</t>
        </is>
      </c>
      <c r="G266" t="n">
        <v>2.7</v>
      </c>
      <c r="H266" t="n">
        <v>0</v>
      </c>
      <c r="I266" t="n">
        <v>0</v>
      </c>
      <c r="J266" t="n">
        <v>0</v>
      </c>
      <c r="K266" t="n">
        <v>0</v>
      </c>
      <c r="L266" t="n">
        <v>0</v>
      </c>
      <c r="M266" t="n">
        <v>0</v>
      </c>
      <c r="N266" t="n">
        <v>0</v>
      </c>
      <c r="O266" t="n">
        <v>0</v>
      </c>
      <c r="P266" t="n">
        <v>0</v>
      </c>
      <c r="Q266" t="n">
        <v>0</v>
      </c>
      <c r="R266" s="2" t="inlineStr"/>
    </row>
    <row r="267" ht="15" customHeight="1">
      <c r="A267" t="inlineStr">
        <is>
          <t>A 59177-2023</t>
        </is>
      </c>
      <c r="B267" s="1" t="n">
        <v>45253</v>
      </c>
      <c r="C267" s="1" t="n">
        <v>45880</v>
      </c>
      <c r="D267" t="inlineStr">
        <is>
          <t>DALARNAS LÄN</t>
        </is>
      </c>
      <c r="E267" t="inlineStr">
        <is>
          <t>ÄLVDALEN</t>
        </is>
      </c>
      <c r="G267" t="n">
        <v>0.6</v>
      </c>
      <c r="H267" t="n">
        <v>0</v>
      </c>
      <c r="I267" t="n">
        <v>0</v>
      </c>
      <c r="J267" t="n">
        <v>0</v>
      </c>
      <c r="K267" t="n">
        <v>0</v>
      </c>
      <c r="L267" t="n">
        <v>0</v>
      </c>
      <c r="M267" t="n">
        <v>0</v>
      </c>
      <c r="N267" t="n">
        <v>0</v>
      </c>
      <c r="O267" t="n">
        <v>0</v>
      </c>
      <c r="P267" t="n">
        <v>0</v>
      </c>
      <c r="Q267" t="n">
        <v>0</v>
      </c>
      <c r="R267" s="2" t="inlineStr"/>
    </row>
    <row r="268" ht="15" customHeight="1">
      <c r="A268" t="inlineStr">
        <is>
          <t>A 53408-2023</t>
        </is>
      </c>
      <c r="B268" s="1" t="n">
        <v>45229</v>
      </c>
      <c r="C268" s="1" t="n">
        <v>45880</v>
      </c>
      <c r="D268" t="inlineStr">
        <is>
          <t>DALARNAS LÄN</t>
        </is>
      </c>
      <c r="E268" t="inlineStr">
        <is>
          <t>ÄLVDALEN</t>
        </is>
      </c>
      <c r="G268" t="n">
        <v>2</v>
      </c>
      <c r="H268" t="n">
        <v>0</v>
      </c>
      <c r="I268" t="n">
        <v>0</v>
      </c>
      <c r="J268" t="n">
        <v>0</v>
      </c>
      <c r="K268" t="n">
        <v>0</v>
      </c>
      <c r="L268" t="n">
        <v>0</v>
      </c>
      <c r="M268" t="n">
        <v>0</v>
      </c>
      <c r="N268" t="n">
        <v>0</v>
      </c>
      <c r="O268" t="n">
        <v>0</v>
      </c>
      <c r="P268" t="n">
        <v>0</v>
      </c>
      <c r="Q268" t="n">
        <v>0</v>
      </c>
      <c r="R268" s="2" t="inlineStr"/>
    </row>
    <row r="269" ht="15" customHeight="1">
      <c r="A269" t="inlineStr">
        <is>
          <t>A 20146-2025</t>
        </is>
      </c>
      <c r="B269" s="1" t="n">
        <v>45772.53324074074</v>
      </c>
      <c r="C269" s="1" t="n">
        <v>45880</v>
      </c>
      <c r="D269" t="inlineStr">
        <is>
          <t>DALARNAS LÄN</t>
        </is>
      </c>
      <c r="E269" t="inlineStr">
        <is>
          <t>ÄLVDALEN</t>
        </is>
      </c>
      <c r="F269" t="inlineStr">
        <is>
          <t>Allmännings- och besparingsskogar</t>
        </is>
      </c>
      <c r="G269" t="n">
        <v>24.3</v>
      </c>
      <c r="H269" t="n">
        <v>0</v>
      </c>
      <c r="I269" t="n">
        <v>0</v>
      </c>
      <c r="J269" t="n">
        <v>0</v>
      </c>
      <c r="K269" t="n">
        <v>0</v>
      </c>
      <c r="L269" t="n">
        <v>0</v>
      </c>
      <c r="M269" t="n">
        <v>0</v>
      </c>
      <c r="N269" t="n">
        <v>0</v>
      </c>
      <c r="O269" t="n">
        <v>0</v>
      </c>
      <c r="P269" t="n">
        <v>0</v>
      </c>
      <c r="Q269" t="n">
        <v>0</v>
      </c>
      <c r="R269" s="2" t="inlineStr"/>
    </row>
    <row r="270" ht="15" customHeight="1">
      <c r="A270" t="inlineStr">
        <is>
          <t>A 48954-2023</t>
        </is>
      </c>
      <c r="B270" s="1" t="n">
        <v>45209.58488425926</v>
      </c>
      <c r="C270" s="1" t="n">
        <v>45880</v>
      </c>
      <c r="D270" t="inlineStr">
        <is>
          <t>DALARNAS LÄN</t>
        </is>
      </c>
      <c r="E270" t="inlineStr">
        <is>
          <t>ÄLVDALEN</t>
        </is>
      </c>
      <c r="G270" t="n">
        <v>7</v>
      </c>
      <c r="H270" t="n">
        <v>0</v>
      </c>
      <c r="I270" t="n">
        <v>0</v>
      </c>
      <c r="J270" t="n">
        <v>0</v>
      </c>
      <c r="K270" t="n">
        <v>0</v>
      </c>
      <c r="L270" t="n">
        <v>0</v>
      </c>
      <c r="M270" t="n">
        <v>0</v>
      </c>
      <c r="N270" t="n">
        <v>0</v>
      </c>
      <c r="O270" t="n">
        <v>0</v>
      </c>
      <c r="P270" t="n">
        <v>0</v>
      </c>
      <c r="Q270" t="n">
        <v>0</v>
      </c>
      <c r="R270" s="2" t="inlineStr"/>
    </row>
    <row r="271" ht="15" customHeight="1">
      <c r="A271" t="inlineStr">
        <is>
          <t>A 18075-2024</t>
        </is>
      </c>
      <c r="B271" s="1" t="n">
        <v>45420.43453703704</v>
      </c>
      <c r="C271" s="1" t="n">
        <v>45880</v>
      </c>
      <c r="D271" t="inlineStr">
        <is>
          <t>DALARNAS LÄN</t>
        </is>
      </c>
      <c r="E271" t="inlineStr">
        <is>
          <t>ÄLVDALEN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57539-2024</t>
        </is>
      </c>
      <c r="B272" s="1" t="n">
        <v>45630.43707175926</v>
      </c>
      <c r="C272" s="1" t="n">
        <v>45880</v>
      </c>
      <c r="D272" t="inlineStr">
        <is>
          <t>DALARNAS LÄN</t>
        </is>
      </c>
      <c r="E272" t="inlineStr">
        <is>
          <t>ÄLVDALEN</t>
        </is>
      </c>
      <c r="G272" t="n">
        <v>6.7</v>
      </c>
      <c r="H272" t="n">
        <v>0</v>
      </c>
      <c r="I272" t="n">
        <v>0</v>
      </c>
      <c r="J272" t="n">
        <v>0</v>
      </c>
      <c r="K272" t="n">
        <v>0</v>
      </c>
      <c r="L272" t="n">
        <v>0</v>
      </c>
      <c r="M272" t="n">
        <v>0</v>
      </c>
      <c r="N272" t="n">
        <v>0</v>
      </c>
      <c r="O272" t="n">
        <v>0</v>
      </c>
      <c r="P272" t="n">
        <v>0</v>
      </c>
      <c r="Q272" t="n">
        <v>0</v>
      </c>
      <c r="R272" s="2" t="inlineStr"/>
    </row>
    <row r="273" ht="15" customHeight="1">
      <c r="A273" t="inlineStr">
        <is>
          <t>A 21832-2021</t>
        </is>
      </c>
      <c r="B273" s="1" t="n">
        <v>44322.6378125</v>
      </c>
      <c r="C273" s="1" t="n">
        <v>45880</v>
      </c>
      <c r="D273" t="inlineStr">
        <is>
          <t>DALARNAS LÄN</t>
        </is>
      </c>
      <c r="E273" t="inlineStr">
        <is>
          <t>ÄLVDALEN</t>
        </is>
      </c>
      <c r="F273" t="inlineStr">
        <is>
          <t>Allmännings- och besparingsskogar</t>
        </is>
      </c>
      <c r="G273" t="n">
        <v>2.5</v>
      </c>
      <c r="H273" t="n">
        <v>0</v>
      </c>
      <c r="I273" t="n">
        <v>0</v>
      </c>
      <c r="J273" t="n">
        <v>0</v>
      </c>
      <c r="K273" t="n">
        <v>0</v>
      </c>
      <c r="L273" t="n">
        <v>0</v>
      </c>
      <c r="M273" t="n">
        <v>0</v>
      </c>
      <c r="N273" t="n">
        <v>0</v>
      </c>
      <c r="O273" t="n">
        <v>0</v>
      </c>
      <c r="P273" t="n">
        <v>0</v>
      </c>
      <c r="Q273" t="n">
        <v>0</v>
      </c>
      <c r="R273" s="2" t="inlineStr"/>
    </row>
    <row r="274" ht="15" customHeight="1">
      <c r="A274" t="inlineStr">
        <is>
          <t>A 28473-2024</t>
        </is>
      </c>
      <c r="B274" s="1" t="n">
        <v>45477.73017361111</v>
      </c>
      <c r="C274" s="1" t="n">
        <v>45880</v>
      </c>
      <c r="D274" t="inlineStr">
        <is>
          <t>DALARNAS LÄN</t>
        </is>
      </c>
      <c r="E274" t="inlineStr">
        <is>
          <t>ÄLVDALEN</t>
        </is>
      </c>
      <c r="G274" t="n">
        <v>5</v>
      </c>
      <c r="H274" t="n">
        <v>0</v>
      </c>
      <c r="I274" t="n">
        <v>0</v>
      </c>
      <c r="J274" t="n">
        <v>0</v>
      </c>
      <c r="K274" t="n">
        <v>0</v>
      </c>
      <c r="L274" t="n">
        <v>0</v>
      </c>
      <c r="M274" t="n">
        <v>0</v>
      </c>
      <c r="N274" t="n">
        <v>0</v>
      </c>
      <c r="O274" t="n">
        <v>0</v>
      </c>
      <c r="P274" t="n">
        <v>0</v>
      </c>
      <c r="Q274" t="n">
        <v>0</v>
      </c>
      <c r="R274" s="2" t="inlineStr"/>
    </row>
    <row r="275" ht="15" customHeight="1">
      <c r="A275" t="inlineStr">
        <is>
          <t>A 28479-2024</t>
        </is>
      </c>
      <c r="B275" s="1" t="n">
        <v>45477.74017361111</v>
      </c>
      <c r="C275" s="1" t="n">
        <v>45880</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41158-2024</t>
        </is>
      </c>
      <c r="B276" s="1" t="n">
        <v>45559.47958333333</v>
      </c>
      <c r="C276" s="1" t="n">
        <v>45880</v>
      </c>
      <c r="D276" t="inlineStr">
        <is>
          <t>DALARNAS LÄN</t>
        </is>
      </c>
      <c r="E276" t="inlineStr">
        <is>
          <t>ÄLVDALEN</t>
        </is>
      </c>
      <c r="G276" t="n">
        <v>5.6</v>
      </c>
      <c r="H276" t="n">
        <v>0</v>
      </c>
      <c r="I276" t="n">
        <v>0</v>
      </c>
      <c r="J276" t="n">
        <v>0</v>
      </c>
      <c r="K276" t="n">
        <v>0</v>
      </c>
      <c r="L276" t="n">
        <v>0</v>
      </c>
      <c r="M276" t="n">
        <v>0</v>
      </c>
      <c r="N276" t="n">
        <v>0</v>
      </c>
      <c r="O276" t="n">
        <v>0</v>
      </c>
      <c r="P276" t="n">
        <v>0</v>
      </c>
      <c r="Q276" t="n">
        <v>0</v>
      </c>
      <c r="R276" s="2" t="inlineStr"/>
    </row>
    <row r="277" ht="15" customHeight="1">
      <c r="A277" t="inlineStr">
        <is>
          <t>A 33102-2023</t>
        </is>
      </c>
      <c r="B277" s="1" t="n">
        <v>45114</v>
      </c>
      <c r="C277" s="1" t="n">
        <v>45880</v>
      </c>
      <c r="D277" t="inlineStr">
        <is>
          <t>DALARNAS LÄN</t>
        </is>
      </c>
      <c r="E277" t="inlineStr">
        <is>
          <t>ÄLVDALEN</t>
        </is>
      </c>
      <c r="G277" t="n">
        <v>1.6</v>
      </c>
      <c r="H277" t="n">
        <v>0</v>
      </c>
      <c r="I277" t="n">
        <v>0</v>
      </c>
      <c r="J277" t="n">
        <v>0</v>
      </c>
      <c r="K277" t="n">
        <v>0</v>
      </c>
      <c r="L277" t="n">
        <v>0</v>
      </c>
      <c r="M277" t="n">
        <v>0</v>
      </c>
      <c r="N277" t="n">
        <v>0</v>
      </c>
      <c r="O277" t="n">
        <v>0</v>
      </c>
      <c r="P277" t="n">
        <v>0</v>
      </c>
      <c r="Q277" t="n">
        <v>0</v>
      </c>
      <c r="R277" s="2" t="inlineStr"/>
    </row>
    <row r="278" ht="15" customHeight="1">
      <c r="A278" t="inlineStr">
        <is>
          <t>A 38277-2024</t>
        </is>
      </c>
      <c r="B278" s="1" t="n">
        <v>45545.61171296296</v>
      </c>
      <c r="C278" s="1" t="n">
        <v>45880</v>
      </c>
      <c r="D278" t="inlineStr">
        <is>
          <t>DALARNAS LÄN</t>
        </is>
      </c>
      <c r="E278" t="inlineStr">
        <is>
          <t>ÄLVDALEN</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36285-2024</t>
        </is>
      </c>
      <c r="B279" s="1" t="n">
        <v>45534.59008101852</v>
      </c>
      <c r="C279" s="1" t="n">
        <v>45880</v>
      </c>
      <c r="D279" t="inlineStr">
        <is>
          <t>DALARNAS LÄN</t>
        </is>
      </c>
      <c r="E279" t="inlineStr">
        <is>
          <t>ÄLVDALEN</t>
        </is>
      </c>
      <c r="G279" t="n">
        <v>4.9</v>
      </c>
      <c r="H279" t="n">
        <v>0</v>
      </c>
      <c r="I279" t="n">
        <v>0</v>
      </c>
      <c r="J279" t="n">
        <v>0</v>
      </c>
      <c r="K279" t="n">
        <v>0</v>
      </c>
      <c r="L279" t="n">
        <v>0</v>
      </c>
      <c r="M279" t="n">
        <v>0</v>
      </c>
      <c r="N279" t="n">
        <v>0</v>
      </c>
      <c r="O279" t="n">
        <v>0</v>
      </c>
      <c r="P279" t="n">
        <v>0</v>
      </c>
      <c r="Q279" t="n">
        <v>0</v>
      </c>
      <c r="R279" s="2" t="inlineStr"/>
    </row>
    <row r="280" ht="15" customHeight="1">
      <c r="A280" t="inlineStr">
        <is>
          <t>A 37439-2024</t>
        </is>
      </c>
      <c r="B280" s="1" t="n">
        <v>45540</v>
      </c>
      <c r="C280" s="1" t="n">
        <v>45880</v>
      </c>
      <c r="D280" t="inlineStr">
        <is>
          <t>DALARNAS LÄN</t>
        </is>
      </c>
      <c r="E280" t="inlineStr">
        <is>
          <t>ÄLVDALEN</t>
        </is>
      </c>
      <c r="G280" t="n">
        <v>1.5</v>
      </c>
      <c r="H280" t="n">
        <v>0</v>
      </c>
      <c r="I280" t="n">
        <v>0</v>
      </c>
      <c r="J280" t="n">
        <v>0</v>
      </c>
      <c r="K280" t="n">
        <v>0</v>
      </c>
      <c r="L280" t="n">
        <v>0</v>
      </c>
      <c r="M280" t="n">
        <v>0</v>
      </c>
      <c r="N280" t="n">
        <v>0</v>
      </c>
      <c r="O280" t="n">
        <v>0</v>
      </c>
      <c r="P280" t="n">
        <v>0</v>
      </c>
      <c r="Q280" t="n">
        <v>0</v>
      </c>
      <c r="R280" s="2" t="inlineStr"/>
    </row>
    <row r="281" ht="15" customHeight="1">
      <c r="A281" t="inlineStr">
        <is>
          <t>A 32361-2024</t>
        </is>
      </c>
      <c r="B281" s="1" t="n">
        <v>45512.56725694444</v>
      </c>
      <c r="C281" s="1" t="n">
        <v>45880</v>
      </c>
      <c r="D281" t="inlineStr">
        <is>
          <t>DALARNAS LÄN</t>
        </is>
      </c>
      <c r="E281" t="inlineStr">
        <is>
          <t>ÄLVDALEN</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32363-2024</t>
        </is>
      </c>
      <c r="B282" s="1" t="n">
        <v>45512</v>
      </c>
      <c r="C282" s="1" t="n">
        <v>45880</v>
      </c>
      <c r="D282" t="inlineStr">
        <is>
          <t>DALARNAS LÄN</t>
        </is>
      </c>
      <c r="E282" t="inlineStr">
        <is>
          <t>ÄLVDALEN</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47869-2023</t>
        </is>
      </c>
      <c r="B283" s="1" t="n">
        <v>45204</v>
      </c>
      <c r="C283" s="1" t="n">
        <v>45880</v>
      </c>
      <c r="D283" t="inlineStr">
        <is>
          <t>DALARNAS LÄN</t>
        </is>
      </c>
      <c r="E283" t="inlineStr">
        <is>
          <t>ÄLVDALEN</t>
        </is>
      </c>
      <c r="G283" t="n">
        <v>11</v>
      </c>
      <c r="H283" t="n">
        <v>0</v>
      </c>
      <c r="I283" t="n">
        <v>0</v>
      </c>
      <c r="J283" t="n">
        <v>0</v>
      </c>
      <c r="K283" t="n">
        <v>0</v>
      </c>
      <c r="L283" t="n">
        <v>0</v>
      </c>
      <c r="M283" t="n">
        <v>0</v>
      </c>
      <c r="N283" t="n">
        <v>0</v>
      </c>
      <c r="O283" t="n">
        <v>0</v>
      </c>
      <c r="P283" t="n">
        <v>0</v>
      </c>
      <c r="Q283" t="n">
        <v>0</v>
      </c>
      <c r="R283" s="2" t="inlineStr"/>
    </row>
    <row r="284" ht="15" customHeight="1">
      <c r="A284" t="inlineStr">
        <is>
          <t>A 30985-2023</t>
        </is>
      </c>
      <c r="B284" s="1" t="n">
        <v>45113</v>
      </c>
      <c r="C284" s="1" t="n">
        <v>45880</v>
      </c>
      <c r="D284" t="inlineStr">
        <is>
          <t>DALARNAS LÄN</t>
        </is>
      </c>
      <c r="E284" t="inlineStr">
        <is>
          <t>ÄLVDALEN</t>
        </is>
      </c>
      <c r="F284" t="inlineStr">
        <is>
          <t>Allmännings- och besparingsskogar</t>
        </is>
      </c>
      <c r="G284" t="n">
        <v>2.9</v>
      </c>
      <c r="H284" t="n">
        <v>0</v>
      </c>
      <c r="I284" t="n">
        <v>0</v>
      </c>
      <c r="J284" t="n">
        <v>0</v>
      </c>
      <c r="K284" t="n">
        <v>0</v>
      </c>
      <c r="L284" t="n">
        <v>0</v>
      </c>
      <c r="M284" t="n">
        <v>0</v>
      </c>
      <c r="N284" t="n">
        <v>0</v>
      </c>
      <c r="O284" t="n">
        <v>0</v>
      </c>
      <c r="P284" t="n">
        <v>0</v>
      </c>
      <c r="Q284" t="n">
        <v>0</v>
      </c>
      <c r="R284" s="2" t="inlineStr"/>
    </row>
    <row r="285" ht="15" customHeight="1">
      <c r="A285" t="inlineStr">
        <is>
          <t>A 1698-2025</t>
        </is>
      </c>
      <c r="B285" s="1" t="n">
        <v>45670</v>
      </c>
      <c r="C285" s="1" t="n">
        <v>45880</v>
      </c>
      <c r="D285" t="inlineStr">
        <is>
          <t>DALARNAS LÄN</t>
        </is>
      </c>
      <c r="E285" t="inlineStr">
        <is>
          <t>ÄLVDALEN</t>
        </is>
      </c>
      <c r="G285" t="n">
        <v>10.2</v>
      </c>
      <c r="H285" t="n">
        <v>0</v>
      </c>
      <c r="I285" t="n">
        <v>0</v>
      </c>
      <c r="J285" t="n">
        <v>0</v>
      </c>
      <c r="K285" t="n">
        <v>0</v>
      </c>
      <c r="L285" t="n">
        <v>0</v>
      </c>
      <c r="M285" t="n">
        <v>0</v>
      </c>
      <c r="N285" t="n">
        <v>0</v>
      </c>
      <c r="O285" t="n">
        <v>0</v>
      </c>
      <c r="P285" t="n">
        <v>0</v>
      </c>
      <c r="Q285" t="n">
        <v>0</v>
      </c>
      <c r="R285" s="2" t="inlineStr"/>
    </row>
    <row r="286" ht="15" customHeight="1">
      <c r="A286" t="inlineStr">
        <is>
          <t>A 9045-2025</t>
        </is>
      </c>
      <c r="B286" s="1" t="n">
        <v>45713.62837962963</v>
      </c>
      <c r="C286" s="1" t="n">
        <v>45880</v>
      </c>
      <c r="D286" t="inlineStr">
        <is>
          <t>DALARNAS LÄN</t>
        </is>
      </c>
      <c r="E286" t="inlineStr">
        <is>
          <t>ÄLVDALEN</t>
        </is>
      </c>
      <c r="F286" t="inlineStr">
        <is>
          <t>Allmännings- och besparingsskogar</t>
        </is>
      </c>
      <c r="G286" t="n">
        <v>39.1</v>
      </c>
      <c r="H286" t="n">
        <v>0</v>
      </c>
      <c r="I286" t="n">
        <v>0</v>
      </c>
      <c r="J286" t="n">
        <v>0</v>
      </c>
      <c r="K286" t="n">
        <v>0</v>
      </c>
      <c r="L286" t="n">
        <v>0</v>
      </c>
      <c r="M286" t="n">
        <v>0</v>
      </c>
      <c r="N286" t="n">
        <v>0</v>
      </c>
      <c r="O286" t="n">
        <v>0</v>
      </c>
      <c r="P286" t="n">
        <v>0</v>
      </c>
      <c r="Q286" t="n">
        <v>0</v>
      </c>
      <c r="R286" s="2" t="inlineStr"/>
    </row>
    <row r="287" ht="15" customHeight="1">
      <c r="A287" t="inlineStr">
        <is>
          <t>A 12318-2025</t>
        </is>
      </c>
      <c r="B287" s="1" t="n">
        <v>45729.87777777778</v>
      </c>
      <c r="C287" s="1" t="n">
        <v>45880</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49968-2020</t>
        </is>
      </c>
      <c r="B288" s="1" t="n">
        <v>44109</v>
      </c>
      <c r="C288" s="1" t="n">
        <v>45880</v>
      </c>
      <c r="D288" t="inlineStr">
        <is>
          <t>DALARNAS LÄN</t>
        </is>
      </c>
      <c r="E288" t="inlineStr">
        <is>
          <t>ÄLVDALEN</t>
        </is>
      </c>
      <c r="F288" t="inlineStr">
        <is>
          <t>Övriga Aktiebolag</t>
        </is>
      </c>
      <c r="G288" t="n">
        <v>11.8</v>
      </c>
      <c r="H288" t="n">
        <v>0</v>
      </c>
      <c r="I288" t="n">
        <v>0</v>
      </c>
      <c r="J288" t="n">
        <v>0</v>
      </c>
      <c r="K288" t="n">
        <v>0</v>
      </c>
      <c r="L288" t="n">
        <v>0</v>
      </c>
      <c r="M288" t="n">
        <v>0</v>
      </c>
      <c r="N288" t="n">
        <v>0</v>
      </c>
      <c r="O288" t="n">
        <v>0</v>
      </c>
      <c r="P288" t="n">
        <v>0</v>
      </c>
      <c r="Q288" t="n">
        <v>0</v>
      </c>
      <c r="R288" s="2" t="inlineStr"/>
    </row>
    <row r="289" ht="15" customHeight="1">
      <c r="A289" t="inlineStr">
        <is>
          <t>A 27615-2023</t>
        </is>
      </c>
      <c r="B289" s="1" t="n">
        <v>45097</v>
      </c>
      <c r="C289" s="1" t="n">
        <v>45880</v>
      </c>
      <c r="D289" t="inlineStr">
        <is>
          <t>DALARNAS LÄN</t>
        </is>
      </c>
      <c r="E289" t="inlineStr">
        <is>
          <t>ÄLVDALEN</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31047-2024</t>
        </is>
      </c>
      <c r="B290" s="1" t="n">
        <v>45502.33021990741</v>
      </c>
      <c r="C290" s="1" t="n">
        <v>45880</v>
      </c>
      <c r="D290" t="inlineStr">
        <is>
          <t>DALARNAS LÄN</t>
        </is>
      </c>
      <c r="E290" t="inlineStr">
        <is>
          <t>ÄLVDALEN</t>
        </is>
      </c>
      <c r="F290" t="inlineStr">
        <is>
          <t>Sveaskog</t>
        </is>
      </c>
      <c r="G290" t="n">
        <v>8</v>
      </c>
      <c r="H290" t="n">
        <v>0</v>
      </c>
      <c r="I290" t="n">
        <v>0</v>
      </c>
      <c r="J290" t="n">
        <v>0</v>
      </c>
      <c r="K290" t="n">
        <v>0</v>
      </c>
      <c r="L290" t="n">
        <v>0</v>
      </c>
      <c r="M290" t="n">
        <v>0</v>
      </c>
      <c r="N290" t="n">
        <v>0</v>
      </c>
      <c r="O290" t="n">
        <v>0</v>
      </c>
      <c r="P290" t="n">
        <v>0</v>
      </c>
      <c r="Q290" t="n">
        <v>0</v>
      </c>
      <c r="R290" s="2" t="inlineStr"/>
    </row>
    <row r="291" ht="15" customHeight="1">
      <c r="A291" t="inlineStr">
        <is>
          <t>A 45167-2022</t>
        </is>
      </c>
      <c r="B291" s="1" t="n">
        <v>44844</v>
      </c>
      <c r="C291" s="1" t="n">
        <v>45880</v>
      </c>
      <c r="D291" t="inlineStr">
        <is>
          <t>DALARNAS LÄN</t>
        </is>
      </c>
      <c r="E291" t="inlineStr">
        <is>
          <t>ÄLVDALEN</t>
        </is>
      </c>
      <c r="G291" t="n">
        <v>1.2</v>
      </c>
      <c r="H291" t="n">
        <v>0</v>
      </c>
      <c r="I291" t="n">
        <v>0</v>
      </c>
      <c r="J291" t="n">
        <v>0</v>
      </c>
      <c r="K291" t="n">
        <v>0</v>
      </c>
      <c r="L291" t="n">
        <v>0</v>
      </c>
      <c r="M291" t="n">
        <v>0</v>
      </c>
      <c r="N291" t="n">
        <v>0</v>
      </c>
      <c r="O291" t="n">
        <v>0</v>
      </c>
      <c r="P291" t="n">
        <v>0</v>
      </c>
      <c r="Q291" t="n">
        <v>0</v>
      </c>
      <c r="R291" s="2" t="inlineStr"/>
    </row>
    <row r="292" ht="15" customHeight="1">
      <c r="A292" t="inlineStr">
        <is>
          <t>A 55778-2021</t>
        </is>
      </c>
      <c r="B292" s="1" t="n">
        <v>44476</v>
      </c>
      <c r="C292" s="1" t="n">
        <v>45880</v>
      </c>
      <c r="D292" t="inlineStr">
        <is>
          <t>DALARNAS LÄN</t>
        </is>
      </c>
      <c r="E292" t="inlineStr">
        <is>
          <t>ÄLVDALEN</t>
        </is>
      </c>
      <c r="G292" t="n">
        <v>3.2</v>
      </c>
      <c r="H292" t="n">
        <v>0</v>
      </c>
      <c r="I292" t="n">
        <v>0</v>
      </c>
      <c r="J292" t="n">
        <v>0</v>
      </c>
      <c r="K292" t="n">
        <v>0</v>
      </c>
      <c r="L292" t="n">
        <v>0</v>
      </c>
      <c r="M292" t="n">
        <v>0</v>
      </c>
      <c r="N292" t="n">
        <v>0</v>
      </c>
      <c r="O292" t="n">
        <v>0</v>
      </c>
      <c r="P292" t="n">
        <v>0</v>
      </c>
      <c r="Q292" t="n">
        <v>0</v>
      </c>
      <c r="R292" s="2" t="inlineStr"/>
    </row>
    <row r="293" ht="15" customHeight="1">
      <c r="A293" t="inlineStr">
        <is>
          <t>A 14938-2023</t>
        </is>
      </c>
      <c r="B293" s="1" t="n">
        <v>45015</v>
      </c>
      <c r="C293" s="1" t="n">
        <v>45880</v>
      </c>
      <c r="D293" t="inlineStr">
        <is>
          <t>DALARNAS LÄN</t>
        </is>
      </c>
      <c r="E293" t="inlineStr">
        <is>
          <t>ÄLVDALEN</t>
        </is>
      </c>
      <c r="G293" t="n">
        <v>1.8</v>
      </c>
      <c r="H293" t="n">
        <v>0</v>
      </c>
      <c r="I293" t="n">
        <v>0</v>
      </c>
      <c r="J293" t="n">
        <v>0</v>
      </c>
      <c r="K293" t="n">
        <v>0</v>
      </c>
      <c r="L293" t="n">
        <v>0</v>
      </c>
      <c r="M293" t="n">
        <v>0</v>
      </c>
      <c r="N293" t="n">
        <v>0</v>
      </c>
      <c r="O293" t="n">
        <v>0</v>
      </c>
      <c r="P293" t="n">
        <v>0</v>
      </c>
      <c r="Q293" t="n">
        <v>0</v>
      </c>
      <c r="R293" s="2" t="inlineStr"/>
    </row>
    <row r="294" ht="15" customHeight="1">
      <c r="A294" t="inlineStr">
        <is>
          <t>A 56487-2024</t>
        </is>
      </c>
      <c r="B294" s="1" t="n">
        <v>45625.48621527778</v>
      </c>
      <c r="C294" s="1" t="n">
        <v>45880</v>
      </c>
      <c r="D294" t="inlineStr">
        <is>
          <t>DALARNAS LÄN</t>
        </is>
      </c>
      <c r="E294" t="inlineStr">
        <is>
          <t>ÄLVDALEN</t>
        </is>
      </c>
      <c r="F294" t="inlineStr">
        <is>
          <t>Allmännings- och besparingsskogar</t>
        </is>
      </c>
      <c r="G294" t="n">
        <v>5.6</v>
      </c>
      <c r="H294" t="n">
        <v>0</v>
      </c>
      <c r="I294" t="n">
        <v>0</v>
      </c>
      <c r="J294" t="n">
        <v>0</v>
      </c>
      <c r="K294" t="n">
        <v>0</v>
      </c>
      <c r="L294" t="n">
        <v>0</v>
      </c>
      <c r="M294" t="n">
        <v>0</v>
      </c>
      <c r="N294" t="n">
        <v>0</v>
      </c>
      <c r="O294" t="n">
        <v>0</v>
      </c>
      <c r="P294" t="n">
        <v>0</v>
      </c>
      <c r="Q294" t="n">
        <v>0</v>
      </c>
      <c r="R294" s="2" t="inlineStr"/>
    </row>
    <row r="295" ht="15" customHeight="1">
      <c r="A295" t="inlineStr">
        <is>
          <t>A 60265-2021</t>
        </is>
      </c>
      <c r="B295" s="1" t="n">
        <v>44495.68053240741</v>
      </c>
      <c r="C295" s="1" t="n">
        <v>45880</v>
      </c>
      <c r="D295" t="inlineStr">
        <is>
          <t>DALARNAS LÄN</t>
        </is>
      </c>
      <c r="E295" t="inlineStr">
        <is>
          <t>ÄLVDALEN</t>
        </is>
      </c>
      <c r="F295" t="inlineStr">
        <is>
          <t>Allmännings- och besparingsskogar</t>
        </is>
      </c>
      <c r="G295" t="n">
        <v>10</v>
      </c>
      <c r="H295" t="n">
        <v>0</v>
      </c>
      <c r="I295" t="n">
        <v>0</v>
      </c>
      <c r="J295" t="n">
        <v>0</v>
      </c>
      <c r="K295" t="n">
        <v>0</v>
      </c>
      <c r="L295" t="n">
        <v>0</v>
      </c>
      <c r="M295" t="n">
        <v>0</v>
      </c>
      <c r="N295" t="n">
        <v>0</v>
      </c>
      <c r="O295" t="n">
        <v>0</v>
      </c>
      <c r="P295" t="n">
        <v>0</v>
      </c>
      <c r="Q295" t="n">
        <v>0</v>
      </c>
      <c r="R295" s="2" t="inlineStr"/>
    </row>
    <row r="296" ht="15" customHeight="1">
      <c r="A296" t="inlineStr">
        <is>
          <t>A 52401-2020</t>
        </is>
      </c>
      <c r="B296" s="1" t="n">
        <v>44113</v>
      </c>
      <c r="C296" s="1" t="n">
        <v>45880</v>
      </c>
      <c r="D296" t="inlineStr">
        <is>
          <t>DALARNAS LÄN</t>
        </is>
      </c>
      <c r="E296" t="inlineStr">
        <is>
          <t>ÄLVDALEN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56882-2022</t>
        </is>
      </c>
      <c r="B297" s="1" t="n">
        <v>44894</v>
      </c>
      <c r="C297" s="1" t="n">
        <v>45880</v>
      </c>
      <c r="D297" t="inlineStr">
        <is>
          <t>DALARNAS LÄN</t>
        </is>
      </c>
      <c r="E297" t="inlineStr">
        <is>
          <t>ÄLVDALEN</t>
        </is>
      </c>
      <c r="G297" t="n">
        <v>7.4</v>
      </c>
      <c r="H297" t="n">
        <v>0</v>
      </c>
      <c r="I297" t="n">
        <v>0</v>
      </c>
      <c r="J297" t="n">
        <v>0</v>
      </c>
      <c r="K297" t="n">
        <v>0</v>
      </c>
      <c r="L297" t="n">
        <v>0</v>
      </c>
      <c r="M297" t="n">
        <v>0</v>
      </c>
      <c r="N297" t="n">
        <v>0</v>
      </c>
      <c r="O297" t="n">
        <v>0</v>
      </c>
      <c r="P297" t="n">
        <v>0</v>
      </c>
      <c r="Q297" t="n">
        <v>0</v>
      </c>
      <c r="R297" s="2" t="inlineStr"/>
    </row>
    <row r="298" ht="15" customHeight="1">
      <c r="A298" t="inlineStr">
        <is>
          <t>A 5826-2023</t>
        </is>
      </c>
      <c r="B298" s="1" t="n">
        <v>44963.52038194444</v>
      </c>
      <c r="C298" s="1" t="n">
        <v>45880</v>
      </c>
      <c r="D298" t="inlineStr">
        <is>
          <t>DALARNAS LÄN</t>
        </is>
      </c>
      <c r="E298" t="inlineStr">
        <is>
          <t>ÄLVDALEN</t>
        </is>
      </c>
      <c r="G298" t="n">
        <v>1.7</v>
      </c>
      <c r="H298" t="n">
        <v>0</v>
      </c>
      <c r="I298" t="n">
        <v>0</v>
      </c>
      <c r="J298" t="n">
        <v>0</v>
      </c>
      <c r="K298" t="n">
        <v>0</v>
      </c>
      <c r="L298" t="n">
        <v>0</v>
      </c>
      <c r="M298" t="n">
        <v>0</v>
      </c>
      <c r="N298" t="n">
        <v>0</v>
      </c>
      <c r="O298" t="n">
        <v>0</v>
      </c>
      <c r="P298" t="n">
        <v>0</v>
      </c>
      <c r="Q298" t="n">
        <v>0</v>
      </c>
      <c r="R298" s="2" t="inlineStr"/>
    </row>
    <row r="299" ht="15" customHeight="1">
      <c r="A299" t="inlineStr">
        <is>
          <t>A 59138-2023</t>
        </is>
      </c>
      <c r="B299" s="1" t="n">
        <v>45253</v>
      </c>
      <c r="C299" s="1" t="n">
        <v>45880</v>
      </c>
      <c r="D299" t="inlineStr">
        <is>
          <t>DALARNAS LÄN</t>
        </is>
      </c>
      <c r="E299" t="inlineStr">
        <is>
          <t>ÄLVDALEN</t>
        </is>
      </c>
      <c r="G299" t="n">
        <v>0.4</v>
      </c>
      <c r="H299" t="n">
        <v>0</v>
      </c>
      <c r="I299" t="n">
        <v>0</v>
      </c>
      <c r="J299" t="n">
        <v>0</v>
      </c>
      <c r="K299" t="n">
        <v>0</v>
      </c>
      <c r="L299" t="n">
        <v>0</v>
      </c>
      <c r="M299" t="n">
        <v>0</v>
      </c>
      <c r="N299" t="n">
        <v>0</v>
      </c>
      <c r="O299" t="n">
        <v>0</v>
      </c>
      <c r="P299" t="n">
        <v>0</v>
      </c>
      <c r="Q299" t="n">
        <v>0</v>
      </c>
      <c r="R299" s="2" t="inlineStr"/>
    </row>
    <row r="300" ht="15" customHeight="1">
      <c r="A300" t="inlineStr">
        <is>
          <t>A 32622-2023</t>
        </is>
      </c>
      <c r="B300" s="1" t="n">
        <v>45121</v>
      </c>
      <c r="C300" s="1" t="n">
        <v>45880</v>
      </c>
      <c r="D300" t="inlineStr">
        <is>
          <t>DALARNAS LÄN</t>
        </is>
      </c>
      <c r="E300" t="inlineStr">
        <is>
          <t>ÄLVDALEN</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57470-2023</t>
        </is>
      </c>
      <c r="B301" s="1" t="n">
        <v>45246</v>
      </c>
      <c r="C301" s="1" t="n">
        <v>45880</v>
      </c>
      <c r="D301" t="inlineStr">
        <is>
          <t>DALARNAS LÄN</t>
        </is>
      </c>
      <c r="E301" t="inlineStr">
        <is>
          <t>ÄLVDALEN</t>
        </is>
      </c>
      <c r="G301" t="n">
        <v>0.4</v>
      </c>
      <c r="H301" t="n">
        <v>0</v>
      </c>
      <c r="I301" t="n">
        <v>0</v>
      </c>
      <c r="J301" t="n">
        <v>0</v>
      </c>
      <c r="K301" t="n">
        <v>0</v>
      </c>
      <c r="L301" t="n">
        <v>0</v>
      </c>
      <c r="M301" t="n">
        <v>0</v>
      </c>
      <c r="N301" t="n">
        <v>0</v>
      </c>
      <c r="O301" t="n">
        <v>0</v>
      </c>
      <c r="P301" t="n">
        <v>0</v>
      </c>
      <c r="Q301" t="n">
        <v>0</v>
      </c>
      <c r="R301" s="2" t="inlineStr"/>
    </row>
    <row r="302" ht="15" customHeight="1">
      <c r="A302" t="inlineStr">
        <is>
          <t>A 5567-2021</t>
        </is>
      </c>
      <c r="B302" s="1" t="n">
        <v>44230</v>
      </c>
      <c r="C302" s="1" t="n">
        <v>45880</v>
      </c>
      <c r="D302" t="inlineStr">
        <is>
          <t>DALARNAS LÄN</t>
        </is>
      </c>
      <c r="E302" t="inlineStr">
        <is>
          <t>ÄLVDALEN</t>
        </is>
      </c>
      <c r="F302" t="inlineStr">
        <is>
          <t>Övriga statliga verk och myndigheter</t>
        </is>
      </c>
      <c r="G302" t="n">
        <v>29.1</v>
      </c>
      <c r="H302" t="n">
        <v>0</v>
      </c>
      <c r="I302" t="n">
        <v>0</v>
      </c>
      <c r="J302" t="n">
        <v>0</v>
      </c>
      <c r="K302" t="n">
        <v>0</v>
      </c>
      <c r="L302" t="n">
        <v>0</v>
      </c>
      <c r="M302" t="n">
        <v>0</v>
      </c>
      <c r="N302" t="n">
        <v>0</v>
      </c>
      <c r="O302" t="n">
        <v>0</v>
      </c>
      <c r="P302" t="n">
        <v>0</v>
      </c>
      <c r="Q302" t="n">
        <v>0</v>
      </c>
      <c r="R302" s="2" t="inlineStr"/>
    </row>
    <row r="303" ht="15" customHeight="1">
      <c r="A303" t="inlineStr">
        <is>
          <t>A 1081-2025</t>
        </is>
      </c>
      <c r="B303" s="1" t="n">
        <v>45666.61589120371</v>
      </c>
      <c r="C303" s="1" t="n">
        <v>45880</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1088-2025</t>
        </is>
      </c>
      <c r="B304" s="1" t="n">
        <v>45666.62162037037</v>
      </c>
      <c r="C304" s="1" t="n">
        <v>45880</v>
      </c>
      <c r="D304" t="inlineStr">
        <is>
          <t>DALARNAS LÄN</t>
        </is>
      </c>
      <c r="E304" t="inlineStr">
        <is>
          <t>ÄLVDALEN</t>
        </is>
      </c>
      <c r="G304" t="n">
        <v>5.4</v>
      </c>
      <c r="H304" t="n">
        <v>0</v>
      </c>
      <c r="I304" t="n">
        <v>0</v>
      </c>
      <c r="J304" t="n">
        <v>0</v>
      </c>
      <c r="K304" t="n">
        <v>0</v>
      </c>
      <c r="L304" t="n">
        <v>0</v>
      </c>
      <c r="M304" t="n">
        <v>0</v>
      </c>
      <c r="N304" t="n">
        <v>0</v>
      </c>
      <c r="O304" t="n">
        <v>0</v>
      </c>
      <c r="P304" t="n">
        <v>0</v>
      </c>
      <c r="Q304" t="n">
        <v>0</v>
      </c>
      <c r="R304" s="2" t="inlineStr"/>
    </row>
    <row r="305" ht="15" customHeight="1">
      <c r="A305" t="inlineStr">
        <is>
          <t>A 5170-2024</t>
        </is>
      </c>
      <c r="B305" s="1" t="n">
        <v>45330.55390046296</v>
      </c>
      <c r="C305" s="1" t="n">
        <v>45880</v>
      </c>
      <c r="D305" t="inlineStr">
        <is>
          <t>DALARNAS LÄN</t>
        </is>
      </c>
      <c r="E305" t="inlineStr">
        <is>
          <t>ÄLVDALEN</t>
        </is>
      </c>
      <c r="G305" t="n">
        <v>15.8</v>
      </c>
      <c r="H305" t="n">
        <v>0</v>
      </c>
      <c r="I305" t="n">
        <v>0</v>
      </c>
      <c r="J305" t="n">
        <v>0</v>
      </c>
      <c r="K305" t="n">
        <v>0</v>
      </c>
      <c r="L305" t="n">
        <v>0</v>
      </c>
      <c r="M305" t="n">
        <v>0</v>
      </c>
      <c r="N305" t="n">
        <v>0</v>
      </c>
      <c r="O305" t="n">
        <v>0</v>
      </c>
      <c r="P305" t="n">
        <v>0</v>
      </c>
      <c r="Q305" t="n">
        <v>0</v>
      </c>
      <c r="R305" s="2" t="inlineStr"/>
    </row>
    <row r="306" ht="15" customHeight="1">
      <c r="A306" t="inlineStr">
        <is>
          <t>A 30987-2023</t>
        </is>
      </c>
      <c r="B306" s="1" t="n">
        <v>45113</v>
      </c>
      <c r="C306" s="1" t="n">
        <v>45880</v>
      </c>
      <c r="D306" t="inlineStr">
        <is>
          <t>DALARNAS LÄN</t>
        </is>
      </c>
      <c r="E306" t="inlineStr">
        <is>
          <t>ÄLVDALEN</t>
        </is>
      </c>
      <c r="F306" t="inlineStr">
        <is>
          <t>Allmännings- och besparingsskogar</t>
        </is>
      </c>
      <c r="G306" t="n">
        <v>3.8</v>
      </c>
      <c r="H306" t="n">
        <v>0</v>
      </c>
      <c r="I306" t="n">
        <v>0</v>
      </c>
      <c r="J306" t="n">
        <v>0</v>
      </c>
      <c r="K306" t="n">
        <v>0</v>
      </c>
      <c r="L306" t="n">
        <v>0</v>
      </c>
      <c r="M306" t="n">
        <v>0</v>
      </c>
      <c r="N306" t="n">
        <v>0</v>
      </c>
      <c r="O306" t="n">
        <v>0</v>
      </c>
      <c r="P306" t="n">
        <v>0</v>
      </c>
      <c r="Q306" t="n">
        <v>0</v>
      </c>
      <c r="R306" s="2" t="inlineStr"/>
    </row>
    <row r="307" ht="15" customHeight="1">
      <c r="A307" t="inlineStr">
        <is>
          <t>A 30143-2024</t>
        </is>
      </c>
      <c r="B307" s="1" t="n">
        <v>45488</v>
      </c>
      <c r="C307" s="1" t="n">
        <v>45880</v>
      </c>
      <c r="D307" t="inlineStr">
        <is>
          <t>DALARNAS LÄN</t>
        </is>
      </c>
      <c r="E307" t="inlineStr">
        <is>
          <t>ÄLVDALEN</t>
        </is>
      </c>
      <c r="G307" t="n">
        <v>1</v>
      </c>
      <c r="H307" t="n">
        <v>0</v>
      </c>
      <c r="I307" t="n">
        <v>0</v>
      </c>
      <c r="J307" t="n">
        <v>0</v>
      </c>
      <c r="K307" t="n">
        <v>0</v>
      </c>
      <c r="L307" t="n">
        <v>0</v>
      </c>
      <c r="M307" t="n">
        <v>0</v>
      </c>
      <c r="N307" t="n">
        <v>0</v>
      </c>
      <c r="O307" t="n">
        <v>0</v>
      </c>
      <c r="P307" t="n">
        <v>0</v>
      </c>
      <c r="Q307" t="n">
        <v>0</v>
      </c>
      <c r="R307" s="2" t="inlineStr"/>
    </row>
    <row r="308" ht="15" customHeight="1">
      <c r="A308" t="inlineStr">
        <is>
          <t>A 30146-2024</t>
        </is>
      </c>
      <c r="B308" s="1" t="n">
        <v>45488</v>
      </c>
      <c r="C308" s="1" t="n">
        <v>45880</v>
      </c>
      <c r="D308" t="inlineStr">
        <is>
          <t>DALARNAS LÄN</t>
        </is>
      </c>
      <c r="E308" t="inlineStr">
        <is>
          <t>ÄLVDALEN</t>
        </is>
      </c>
      <c r="G308" t="n">
        <v>1.1</v>
      </c>
      <c r="H308" t="n">
        <v>0</v>
      </c>
      <c r="I308" t="n">
        <v>0</v>
      </c>
      <c r="J308" t="n">
        <v>0</v>
      </c>
      <c r="K308" t="n">
        <v>0</v>
      </c>
      <c r="L308" t="n">
        <v>0</v>
      </c>
      <c r="M308" t="n">
        <v>0</v>
      </c>
      <c r="N308" t="n">
        <v>0</v>
      </c>
      <c r="O308" t="n">
        <v>0</v>
      </c>
      <c r="P308" t="n">
        <v>0</v>
      </c>
      <c r="Q308" t="n">
        <v>0</v>
      </c>
      <c r="R308" s="2" t="inlineStr"/>
    </row>
    <row r="309" ht="15" customHeight="1">
      <c r="A309" t="inlineStr">
        <is>
          <t>A 30147-2024</t>
        </is>
      </c>
      <c r="B309" s="1" t="n">
        <v>45488</v>
      </c>
      <c r="C309" s="1" t="n">
        <v>45880</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47936-2024</t>
        </is>
      </c>
      <c r="B310" s="1" t="n">
        <v>45589.34738425926</v>
      </c>
      <c r="C310" s="1" t="n">
        <v>45880</v>
      </c>
      <c r="D310" t="inlineStr">
        <is>
          <t>DALARNAS LÄN</t>
        </is>
      </c>
      <c r="E310" t="inlineStr">
        <is>
          <t>ÄLVDALEN</t>
        </is>
      </c>
      <c r="G310" t="n">
        <v>1.5</v>
      </c>
      <c r="H310" t="n">
        <v>0</v>
      </c>
      <c r="I310" t="n">
        <v>0</v>
      </c>
      <c r="J310" t="n">
        <v>0</v>
      </c>
      <c r="K310" t="n">
        <v>0</v>
      </c>
      <c r="L310" t="n">
        <v>0</v>
      </c>
      <c r="M310" t="n">
        <v>0</v>
      </c>
      <c r="N310" t="n">
        <v>0</v>
      </c>
      <c r="O310" t="n">
        <v>0</v>
      </c>
      <c r="P310" t="n">
        <v>0</v>
      </c>
      <c r="Q310" t="n">
        <v>0</v>
      </c>
      <c r="R310" s="2" t="inlineStr"/>
    </row>
    <row r="311" ht="15" customHeight="1">
      <c r="A311" t="inlineStr">
        <is>
          <t>A 15760-2024</t>
        </is>
      </c>
      <c r="B311" s="1" t="n">
        <v>45404</v>
      </c>
      <c r="C311" s="1" t="n">
        <v>45880</v>
      </c>
      <c r="D311" t="inlineStr">
        <is>
          <t>DALARNAS LÄN</t>
        </is>
      </c>
      <c r="E311" t="inlineStr">
        <is>
          <t>ÄLVDALEN</t>
        </is>
      </c>
      <c r="G311" t="n">
        <v>1.9</v>
      </c>
      <c r="H311" t="n">
        <v>0</v>
      </c>
      <c r="I311" t="n">
        <v>0</v>
      </c>
      <c r="J311" t="n">
        <v>0</v>
      </c>
      <c r="K311" t="n">
        <v>0</v>
      </c>
      <c r="L311" t="n">
        <v>0</v>
      </c>
      <c r="M311" t="n">
        <v>0</v>
      </c>
      <c r="N311" t="n">
        <v>0</v>
      </c>
      <c r="O311" t="n">
        <v>0</v>
      </c>
      <c r="P311" t="n">
        <v>0</v>
      </c>
      <c r="Q311" t="n">
        <v>0</v>
      </c>
      <c r="R311" s="2" t="inlineStr"/>
    </row>
    <row r="312" ht="15" customHeight="1">
      <c r="A312" t="inlineStr">
        <is>
          <t>A 53168-2024</t>
        </is>
      </c>
      <c r="B312" s="1" t="n">
        <v>45611.65569444445</v>
      </c>
      <c r="C312" s="1" t="n">
        <v>45880</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47080-2024</t>
        </is>
      </c>
      <c r="B313" s="1" t="n">
        <v>45586.50578703704</v>
      </c>
      <c r="C313" s="1" t="n">
        <v>45880</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29129-2024</t>
        </is>
      </c>
      <c r="B314" s="1" t="n">
        <v>45482.35762731481</v>
      </c>
      <c r="C314" s="1" t="n">
        <v>45880</v>
      </c>
      <c r="D314" t="inlineStr">
        <is>
          <t>DALARNAS LÄN</t>
        </is>
      </c>
      <c r="E314" t="inlineStr">
        <is>
          <t>ÄLVDALEN</t>
        </is>
      </c>
      <c r="F314" t="inlineStr">
        <is>
          <t>Allmännings- och besparingsskogar</t>
        </is>
      </c>
      <c r="G314" t="n">
        <v>19.8</v>
      </c>
      <c r="H314" t="n">
        <v>0</v>
      </c>
      <c r="I314" t="n">
        <v>0</v>
      </c>
      <c r="J314" t="n">
        <v>0</v>
      </c>
      <c r="K314" t="n">
        <v>0</v>
      </c>
      <c r="L314" t="n">
        <v>0</v>
      </c>
      <c r="M314" t="n">
        <v>0</v>
      </c>
      <c r="N314" t="n">
        <v>0</v>
      </c>
      <c r="O314" t="n">
        <v>0</v>
      </c>
      <c r="P314" t="n">
        <v>0</v>
      </c>
      <c r="Q314" t="n">
        <v>0</v>
      </c>
      <c r="R314" s="2" t="inlineStr"/>
    </row>
    <row r="315" ht="15" customHeight="1">
      <c r="A315" t="inlineStr">
        <is>
          <t>A 46881-2020</t>
        </is>
      </c>
      <c r="B315" s="1" t="n">
        <v>44096</v>
      </c>
      <c r="C315" s="1" t="n">
        <v>45880</v>
      </c>
      <c r="D315" t="inlineStr">
        <is>
          <t>DALARNAS LÄN</t>
        </is>
      </c>
      <c r="E315" t="inlineStr">
        <is>
          <t>ÄLVDALEN</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2377-2024</t>
        </is>
      </c>
      <c r="B316" s="1" t="n">
        <v>45310.63633101852</v>
      </c>
      <c r="C316" s="1" t="n">
        <v>45880</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2384-2024</t>
        </is>
      </c>
      <c r="B317" s="1" t="n">
        <v>45310.65099537037</v>
      </c>
      <c r="C317" s="1" t="n">
        <v>45880</v>
      </c>
      <c r="D317" t="inlineStr">
        <is>
          <t>DALARNAS LÄN</t>
        </is>
      </c>
      <c r="E317" t="inlineStr">
        <is>
          <t>ÄLVDALEN</t>
        </is>
      </c>
      <c r="G317" t="n">
        <v>2.7</v>
      </c>
      <c r="H317" t="n">
        <v>0</v>
      </c>
      <c r="I317" t="n">
        <v>0</v>
      </c>
      <c r="J317" t="n">
        <v>0</v>
      </c>
      <c r="K317" t="n">
        <v>0</v>
      </c>
      <c r="L317" t="n">
        <v>0</v>
      </c>
      <c r="M317" t="n">
        <v>0</v>
      </c>
      <c r="N317" t="n">
        <v>0</v>
      </c>
      <c r="O317" t="n">
        <v>0</v>
      </c>
      <c r="P317" t="n">
        <v>0</v>
      </c>
      <c r="Q317" t="n">
        <v>0</v>
      </c>
      <c r="R317" s="2" t="inlineStr"/>
    </row>
    <row r="318" ht="15" customHeight="1">
      <c r="A318" t="inlineStr">
        <is>
          <t>A 9108-2024</t>
        </is>
      </c>
      <c r="B318" s="1" t="n">
        <v>45357.96072916667</v>
      </c>
      <c r="C318" s="1" t="n">
        <v>45880</v>
      </c>
      <c r="D318" t="inlineStr">
        <is>
          <t>DALARNAS LÄN</t>
        </is>
      </c>
      <c r="E318" t="inlineStr">
        <is>
          <t>ÄLVDALEN</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5883-2024</t>
        </is>
      </c>
      <c r="B319" s="1" t="n">
        <v>45335.69585648148</v>
      </c>
      <c r="C319" s="1" t="n">
        <v>45880</v>
      </c>
      <c r="D319" t="inlineStr">
        <is>
          <t>DALARNAS LÄN</t>
        </is>
      </c>
      <c r="E319" t="inlineStr">
        <is>
          <t>ÄLVDALEN</t>
        </is>
      </c>
      <c r="G319" t="n">
        <v>12</v>
      </c>
      <c r="H319" t="n">
        <v>0</v>
      </c>
      <c r="I319" t="n">
        <v>0</v>
      </c>
      <c r="J319" t="n">
        <v>0</v>
      </c>
      <c r="K319" t="n">
        <v>0</v>
      </c>
      <c r="L319" t="n">
        <v>0</v>
      </c>
      <c r="M319" t="n">
        <v>0</v>
      </c>
      <c r="N319" t="n">
        <v>0</v>
      </c>
      <c r="O319" t="n">
        <v>0</v>
      </c>
      <c r="P319" t="n">
        <v>0</v>
      </c>
      <c r="Q319" t="n">
        <v>0</v>
      </c>
      <c r="R319" s="2" t="inlineStr"/>
    </row>
    <row r="320" ht="15" customHeight="1">
      <c r="A320" t="inlineStr">
        <is>
          <t>A 39006-2024</t>
        </is>
      </c>
      <c r="B320" s="1" t="n">
        <v>45548.42846064815</v>
      </c>
      <c r="C320" s="1" t="n">
        <v>45880</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63079-2021</t>
        </is>
      </c>
      <c r="B321" s="1" t="n">
        <v>44505.56753472222</v>
      </c>
      <c r="C321" s="1" t="n">
        <v>45880</v>
      </c>
      <c r="D321" t="inlineStr">
        <is>
          <t>DALARNAS LÄN</t>
        </is>
      </c>
      <c r="E321" t="inlineStr">
        <is>
          <t>ÄLVDALEN</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74324-2021</t>
        </is>
      </c>
      <c r="B322" s="1" t="n">
        <v>44558</v>
      </c>
      <c r="C322" s="1" t="n">
        <v>45880</v>
      </c>
      <c r="D322" t="inlineStr">
        <is>
          <t>DALARNAS LÄN</t>
        </is>
      </c>
      <c r="E322" t="inlineStr">
        <is>
          <t>ÄLVDALEN</t>
        </is>
      </c>
      <c r="G322" t="n">
        <v>1.2</v>
      </c>
      <c r="H322" t="n">
        <v>0</v>
      </c>
      <c r="I322" t="n">
        <v>0</v>
      </c>
      <c r="J322" t="n">
        <v>0</v>
      </c>
      <c r="K322" t="n">
        <v>0</v>
      </c>
      <c r="L322" t="n">
        <v>0</v>
      </c>
      <c r="M322" t="n">
        <v>0</v>
      </c>
      <c r="N322" t="n">
        <v>0</v>
      </c>
      <c r="O322" t="n">
        <v>0</v>
      </c>
      <c r="P322" t="n">
        <v>0</v>
      </c>
      <c r="Q322" t="n">
        <v>0</v>
      </c>
      <c r="R322" s="2" t="inlineStr"/>
    </row>
    <row r="323" ht="15" customHeight="1">
      <c r="A323" t="inlineStr">
        <is>
          <t>A 20924-2025</t>
        </is>
      </c>
      <c r="B323" s="1" t="n">
        <v>45777</v>
      </c>
      <c r="C323" s="1" t="n">
        <v>45880</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21395-2025</t>
        </is>
      </c>
      <c r="B324" s="1" t="n">
        <v>45782.48197916667</v>
      </c>
      <c r="C324" s="1" t="n">
        <v>45880</v>
      </c>
      <c r="D324" t="inlineStr">
        <is>
          <t>DALARNAS LÄN</t>
        </is>
      </c>
      <c r="E324" t="inlineStr">
        <is>
          <t>ÄLVDALEN</t>
        </is>
      </c>
      <c r="G324" t="n">
        <v>6.4</v>
      </c>
      <c r="H324" t="n">
        <v>0</v>
      </c>
      <c r="I324" t="n">
        <v>0</v>
      </c>
      <c r="J324" t="n">
        <v>0</v>
      </c>
      <c r="K324" t="n">
        <v>0</v>
      </c>
      <c r="L324" t="n">
        <v>0</v>
      </c>
      <c r="M324" t="n">
        <v>0</v>
      </c>
      <c r="N324" t="n">
        <v>0</v>
      </c>
      <c r="O324" t="n">
        <v>0</v>
      </c>
      <c r="P324" t="n">
        <v>0</v>
      </c>
      <c r="Q324" t="n">
        <v>0</v>
      </c>
      <c r="R324" s="2" t="inlineStr"/>
    </row>
    <row r="325" ht="15" customHeight="1">
      <c r="A325" t="inlineStr">
        <is>
          <t>A 52060-2022</t>
        </is>
      </c>
      <c r="B325" s="1" t="n">
        <v>44873.34417824074</v>
      </c>
      <c r="C325" s="1" t="n">
        <v>45880</v>
      </c>
      <c r="D325" t="inlineStr">
        <is>
          <t>DALARNAS LÄN</t>
        </is>
      </c>
      <c r="E325" t="inlineStr">
        <is>
          <t>ÄLVDALEN</t>
        </is>
      </c>
      <c r="G325" t="n">
        <v>1</v>
      </c>
      <c r="H325" t="n">
        <v>0</v>
      </c>
      <c r="I325" t="n">
        <v>0</v>
      </c>
      <c r="J325" t="n">
        <v>0</v>
      </c>
      <c r="K325" t="n">
        <v>0</v>
      </c>
      <c r="L325" t="n">
        <v>0</v>
      </c>
      <c r="M325" t="n">
        <v>0</v>
      </c>
      <c r="N325" t="n">
        <v>0</v>
      </c>
      <c r="O325" t="n">
        <v>0</v>
      </c>
      <c r="P325" t="n">
        <v>0</v>
      </c>
      <c r="Q325" t="n">
        <v>0</v>
      </c>
      <c r="R325" s="2" t="inlineStr"/>
    </row>
    <row r="326" ht="15" customHeight="1">
      <c r="A326" t="inlineStr">
        <is>
          <t>A 62355-2022</t>
        </is>
      </c>
      <c r="B326" s="1" t="n">
        <v>44923</v>
      </c>
      <c r="C326" s="1" t="n">
        <v>45880</v>
      </c>
      <c r="D326" t="inlineStr">
        <is>
          <t>DALARNAS LÄN</t>
        </is>
      </c>
      <c r="E326" t="inlineStr">
        <is>
          <t>ÄLVDALEN</t>
        </is>
      </c>
      <c r="G326" t="n">
        <v>4.3</v>
      </c>
      <c r="H326" t="n">
        <v>0</v>
      </c>
      <c r="I326" t="n">
        <v>0</v>
      </c>
      <c r="J326" t="n">
        <v>0</v>
      </c>
      <c r="K326" t="n">
        <v>0</v>
      </c>
      <c r="L326" t="n">
        <v>0</v>
      </c>
      <c r="M326" t="n">
        <v>0</v>
      </c>
      <c r="N326" t="n">
        <v>0</v>
      </c>
      <c r="O326" t="n">
        <v>0</v>
      </c>
      <c r="P326" t="n">
        <v>0</v>
      </c>
      <c r="Q326" t="n">
        <v>0</v>
      </c>
      <c r="R326" s="2" t="inlineStr"/>
    </row>
    <row r="327" ht="15" customHeight="1">
      <c r="A327" t="inlineStr">
        <is>
          <t>A 68204-2021</t>
        </is>
      </c>
      <c r="B327" s="1" t="n">
        <v>44526</v>
      </c>
      <c r="C327" s="1" t="n">
        <v>45880</v>
      </c>
      <c r="D327" t="inlineStr">
        <is>
          <t>DALARNAS LÄN</t>
        </is>
      </c>
      <c r="E327" t="inlineStr">
        <is>
          <t>ÄLVDALEN</t>
        </is>
      </c>
      <c r="F327" t="inlineStr">
        <is>
          <t>Kyrkan</t>
        </is>
      </c>
      <c r="G327" t="n">
        <v>5</v>
      </c>
      <c r="H327" t="n">
        <v>0</v>
      </c>
      <c r="I327" t="n">
        <v>0</v>
      </c>
      <c r="J327" t="n">
        <v>0</v>
      </c>
      <c r="K327" t="n">
        <v>0</v>
      </c>
      <c r="L327" t="n">
        <v>0</v>
      </c>
      <c r="M327" t="n">
        <v>0</v>
      </c>
      <c r="N327" t="n">
        <v>0</v>
      </c>
      <c r="O327" t="n">
        <v>0</v>
      </c>
      <c r="P327" t="n">
        <v>0</v>
      </c>
      <c r="Q327" t="n">
        <v>0</v>
      </c>
      <c r="R327" s="2" t="inlineStr"/>
    </row>
    <row r="328" ht="15" customHeight="1">
      <c r="A328" t="inlineStr">
        <is>
          <t>A 21629-2025</t>
        </is>
      </c>
      <c r="B328" s="1" t="n">
        <v>45783.4247337963</v>
      </c>
      <c r="C328" s="1" t="n">
        <v>45880</v>
      </c>
      <c r="D328" t="inlineStr">
        <is>
          <t>DALARNAS LÄN</t>
        </is>
      </c>
      <c r="E328" t="inlineStr">
        <is>
          <t>ÄLVDALEN</t>
        </is>
      </c>
      <c r="G328" t="n">
        <v>1.8</v>
      </c>
      <c r="H328" t="n">
        <v>0</v>
      </c>
      <c r="I328" t="n">
        <v>0</v>
      </c>
      <c r="J328" t="n">
        <v>0</v>
      </c>
      <c r="K328" t="n">
        <v>0</v>
      </c>
      <c r="L328" t="n">
        <v>0</v>
      </c>
      <c r="M328" t="n">
        <v>0</v>
      </c>
      <c r="N328" t="n">
        <v>0</v>
      </c>
      <c r="O328" t="n">
        <v>0</v>
      </c>
      <c r="P328" t="n">
        <v>0</v>
      </c>
      <c r="Q328" t="n">
        <v>0</v>
      </c>
      <c r="R328" s="2" t="inlineStr"/>
    </row>
    <row r="329" ht="15" customHeight="1">
      <c r="A329" t="inlineStr">
        <is>
          <t>A 61575-2024</t>
        </is>
      </c>
      <c r="B329" s="1" t="n">
        <v>45646.61907407407</v>
      </c>
      <c r="C329" s="1" t="n">
        <v>45880</v>
      </c>
      <c r="D329" t="inlineStr">
        <is>
          <t>DALARNAS LÄN</t>
        </is>
      </c>
      <c r="E329" t="inlineStr">
        <is>
          <t>ÄLVDALEN</t>
        </is>
      </c>
      <c r="G329" t="n">
        <v>0.6</v>
      </c>
      <c r="H329" t="n">
        <v>0</v>
      </c>
      <c r="I329" t="n">
        <v>0</v>
      </c>
      <c r="J329" t="n">
        <v>0</v>
      </c>
      <c r="K329" t="n">
        <v>0</v>
      </c>
      <c r="L329" t="n">
        <v>0</v>
      </c>
      <c r="M329" t="n">
        <v>0</v>
      </c>
      <c r="N329" t="n">
        <v>0</v>
      </c>
      <c r="O329" t="n">
        <v>0</v>
      </c>
      <c r="P329" t="n">
        <v>0</v>
      </c>
      <c r="Q329" t="n">
        <v>0</v>
      </c>
      <c r="R329" s="2" t="inlineStr"/>
    </row>
    <row r="330" ht="15" customHeight="1">
      <c r="A330" t="inlineStr">
        <is>
          <t>A 21613-2025</t>
        </is>
      </c>
      <c r="B330" s="1" t="n">
        <v>45783.39542824074</v>
      </c>
      <c r="C330" s="1" t="n">
        <v>45880</v>
      </c>
      <c r="D330" t="inlineStr">
        <is>
          <t>DALARNAS LÄN</t>
        </is>
      </c>
      <c r="E330" t="inlineStr">
        <is>
          <t>ÄLVDALEN</t>
        </is>
      </c>
      <c r="G330" t="n">
        <v>3.4</v>
      </c>
      <c r="H330" t="n">
        <v>0</v>
      </c>
      <c r="I330" t="n">
        <v>0</v>
      </c>
      <c r="J330" t="n">
        <v>0</v>
      </c>
      <c r="K330" t="n">
        <v>0</v>
      </c>
      <c r="L330" t="n">
        <v>0</v>
      </c>
      <c r="M330" t="n">
        <v>0</v>
      </c>
      <c r="N330" t="n">
        <v>0</v>
      </c>
      <c r="O330" t="n">
        <v>0</v>
      </c>
      <c r="P330" t="n">
        <v>0</v>
      </c>
      <c r="Q330" t="n">
        <v>0</v>
      </c>
      <c r="R330" s="2" t="inlineStr"/>
    </row>
    <row r="331" ht="15" customHeight="1">
      <c r="A331" t="inlineStr">
        <is>
          <t>A 36462-2024</t>
        </is>
      </c>
      <c r="B331" s="1" t="n">
        <v>45537.35211805555</v>
      </c>
      <c r="C331" s="1" t="n">
        <v>45880</v>
      </c>
      <c r="D331" t="inlineStr">
        <is>
          <t>DALARNAS LÄN</t>
        </is>
      </c>
      <c r="E331" t="inlineStr">
        <is>
          <t>ÄLVDALEN</t>
        </is>
      </c>
      <c r="G331" t="n">
        <v>5</v>
      </c>
      <c r="H331" t="n">
        <v>0</v>
      </c>
      <c r="I331" t="n">
        <v>0</v>
      </c>
      <c r="J331" t="n">
        <v>0</v>
      </c>
      <c r="K331" t="n">
        <v>0</v>
      </c>
      <c r="L331" t="n">
        <v>0</v>
      </c>
      <c r="M331" t="n">
        <v>0</v>
      </c>
      <c r="N331" t="n">
        <v>0</v>
      </c>
      <c r="O331" t="n">
        <v>0</v>
      </c>
      <c r="P331" t="n">
        <v>0</v>
      </c>
      <c r="Q331" t="n">
        <v>0</v>
      </c>
      <c r="R331" s="2" t="inlineStr"/>
    </row>
    <row r="332" ht="15" customHeight="1">
      <c r="A332" t="inlineStr">
        <is>
          <t>A 37061-2024</t>
        </is>
      </c>
      <c r="B332" s="1" t="n">
        <v>45539</v>
      </c>
      <c r="C332" s="1" t="n">
        <v>45880</v>
      </c>
      <c r="D332" t="inlineStr">
        <is>
          <t>DALARNAS LÄN</t>
        </is>
      </c>
      <c r="E332" t="inlineStr">
        <is>
          <t>ÄLVDALEN</t>
        </is>
      </c>
      <c r="G332" t="n">
        <v>0.8</v>
      </c>
      <c r="H332" t="n">
        <v>0</v>
      </c>
      <c r="I332" t="n">
        <v>0</v>
      </c>
      <c r="J332" t="n">
        <v>0</v>
      </c>
      <c r="K332" t="n">
        <v>0</v>
      </c>
      <c r="L332" t="n">
        <v>0</v>
      </c>
      <c r="M332" t="n">
        <v>0</v>
      </c>
      <c r="N332" t="n">
        <v>0</v>
      </c>
      <c r="O332" t="n">
        <v>0</v>
      </c>
      <c r="P332" t="n">
        <v>0</v>
      </c>
      <c r="Q332" t="n">
        <v>0</v>
      </c>
      <c r="R332" s="2" t="inlineStr"/>
    </row>
    <row r="333" ht="15" customHeight="1">
      <c r="A333" t="inlineStr">
        <is>
          <t>A 23553-2025</t>
        </is>
      </c>
      <c r="B333" s="1" t="n">
        <v>45792</v>
      </c>
      <c r="C333" s="1" t="n">
        <v>45880</v>
      </c>
      <c r="D333" t="inlineStr">
        <is>
          <t>DALARNAS LÄN</t>
        </is>
      </c>
      <c r="E333" t="inlineStr">
        <is>
          <t>ÄLVDALEN</t>
        </is>
      </c>
      <c r="G333" t="n">
        <v>46.2</v>
      </c>
      <c r="H333" t="n">
        <v>0</v>
      </c>
      <c r="I333" t="n">
        <v>0</v>
      </c>
      <c r="J333" t="n">
        <v>0</v>
      </c>
      <c r="K333" t="n">
        <v>0</v>
      </c>
      <c r="L333" t="n">
        <v>0</v>
      </c>
      <c r="M333" t="n">
        <v>0</v>
      </c>
      <c r="N333" t="n">
        <v>0</v>
      </c>
      <c r="O333" t="n">
        <v>0</v>
      </c>
      <c r="P333" t="n">
        <v>0</v>
      </c>
      <c r="Q333" t="n">
        <v>0</v>
      </c>
      <c r="R333" s="2" t="inlineStr"/>
    </row>
    <row r="334" ht="15" customHeight="1">
      <c r="A334" t="inlineStr">
        <is>
          <t>A 7581-2024</t>
        </is>
      </c>
      <c r="B334" s="1" t="n">
        <v>45348.49204861111</v>
      </c>
      <c r="C334" s="1" t="n">
        <v>45880</v>
      </c>
      <c r="D334" t="inlineStr">
        <is>
          <t>DALARNAS LÄN</t>
        </is>
      </c>
      <c r="E334" t="inlineStr">
        <is>
          <t>ÄLVDALEN</t>
        </is>
      </c>
      <c r="G334" t="n">
        <v>1.5</v>
      </c>
      <c r="H334" t="n">
        <v>0</v>
      </c>
      <c r="I334" t="n">
        <v>0</v>
      </c>
      <c r="J334" t="n">
        <v>0</v>
      </c>
      <c r="K334" t="n">
        <v>0</v>
      </c>
      <c r="L334" t="n">
        <v>0</v>
      </c>
      <c r="M334" t="n">
        <v>0</v>
      </c>
      <c r="N334" t="n">
        <v>0</v>
      </c>
      <c r="O334" t="n">
        <v>0</v>
      </c>
      <c r="P334" t="n">
        <v>0</v>
      </c>
      <c r="Q334" t="n">
        <v>0</v>
      </c>
      <c r="R334" s="2" t="inlineStr"/>
    </row>
    <row r="335" ht="15" customHeight="1">
      <c r="A335" t="inlineStr">
        <is>
          <t>A 32594-2023</t>
        </is>
      </c>
      <c r="B335" s="1" t="n">
        <v>45121.50986111111</v>
      </c>
      <c r="C335" s="1" t="n">
        <v>45880</v>
      </c>
      <c r="D335" t="inlineStr">
        <is>
          <t>DALARNAS LÄN</t>
        </is>
      </c>
      <c r="E335" t="inlineStr">
        <is>
          <t>ÄLVDALEN</t>
        </is>
      </c>
      <c r="G335" t="n">
        <v>4</v>
      </c>
      <c r="H335" t="n">
        <v>0</v>
      </c>
      <c r="I335" t="n">
        <v>0</v>
      </c>
      <c r="J335" t="n">
        <v>0</v>
      </c>
      <c r="K335" t="n">
        <v>0</v>
      </c>
      <c r="L335" t="n">
        <v>0</v>
      </c>
      <c r="M335" t="n">
        <v>0</v>
      </c>
      <c r="N335" t="n">
        <v>0</v>
      </c>
      <c r="O335" t="n">
        <v>0</v>
      </c>
      <c r="P335" t="n">
        <v>0</v>
      </c>
      <c r="Q335" t="n">
        <v>0</v>
      </c>
      <c r="R335" s="2" t="inlineStr"/>
    </row>
    <row r="336" ht="15" customHeight="1">
      <c r="A336" t="inlineStr">
        <is>
          <t>A 49956-2020</t>
        </is>
      </c>
      <c r="B336" s="1" t="n">
        <v>44109</v>
      </c>
      <c r="C336" s="1" t="n">
        <v>45880</v>
      </c>
      <c r="D336" t="inlineStr">
        <is>
          <t>DALARNAS LÄN</t>
        </is>
      </c>
      <c r="E336" t="inlineStr">
        <is>
          <t>ÄLVDALEN</t>
        </is>
      </c>
      <c r="F336" t="inlineStr">
        <is>
          <t>Övriga Aktiebolag</t>
        </is>
      </c>
      <c r="G336" t="n">
        <v>25.8</v>
      </c>
      <c r="H336" t="n">
        <v>0</v>
      </c>
      <c r="I336" t="n">
        <v>0</v>
      </c>
      <c r="J336" t="n">
        <v>0</v>
      </c>
      <c r="K336" t="n">
        <v>0</v>
      </c>
      <c r="L336" t="n">
        <v>0</v>
      </c>
      <c r="M336" t="n">
        <v>0</v>
      </c>
      <c r="N336" t="n">
        <v>0</v>
      </c>
      <c r="O336" t="n">
        <v>0</v>
      </c>
      <c r="P336" t="n">
        <v>0</v>
      </c>
      <c r="Q336" t="n">
        <v>0</v>
      </c>
      <c r="R336" s="2" t="inlineStr"/>
    </row>
    <row r="337" ht="15" customHeight="1">
      <c r="A337" t="inlineStr">
        <is>
          <t>A 771-2025</t>
        </is>
      </c>
      <c r="B337" s="1" t="n">
        <v>45665.46518518519</v>
      </c>
      <c r="C337" s="1" t="n">
        <v>45880</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22189-2025</t>
        </is>
      </c>
      <c r="B338" s="1" t="n">
        <v>45785.62479166667</v>
      </c>
      <c r="C338" s="1" t="n">
        <v>45880</v>
      </c>
      <c r="D338" t="inlineStr">
        <is>
          <t>DALARNAS LÄN</t>
        </is>
      </c>
      <c r="E338" t="inlineStr">
        <is>
          <t>ÄLVDALEN</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54338-2020</t>
        </is>
      </c>
      <c r="B339" s="1" t="n">
        <v>44126</v>
      </c>
      <c r="C339" s="1" t="n">
        <v>45880</v>
      </c>
      <c r="D339" t="inlineStr">
        <is>
          <t>DALARNAS LÄN</t>
        </is>
      </c>
      <c r="E339" t="inlineStr">
        <is>
          <t>ÄLVDALEN</t>
        </is>
      </c>
      <c r="G339" t="n">
        <v>3.4</v>
      </c>
      <c r="H339" t="n">
        <v>0</v>
      </c>
      <c r="I339" t="n">
        <v>0</v>
      </c>
      <c r="J339" t="n">
        <v>0</v>
      </c>
      <c r="K339" t="n">
        <v>0</v>
      </c>
      <c r="L339" t="n">
        <v>0</v>
      </c>
      <c r="M339" t="n">
        <v>0</v>
      </c>
      <c r="N339" t="n">
        <v>0</v>
      </c>
      <c r="O339" t="n">
        <v>0</v>
      </c>
      <c r="P339" t="n">
        <v>0</v>
      </c>
      <c r="Q339" t="n">
        <v>0</v>
      </c>
      <c r="R339" s="2" t="inlineStr"/>
    </row>
    <row r="340" ht="15" customHeight="1">
      <c r="A340" t="inlineStr">
        <is>
          <t>A 28239-2024</t>
        </is>
      </c>
      <c r="B340" s="1" t="n">
        <v>45468</v>
      </c>
      <c r="C340" s="1" t="n">
        <v>45880</v>
      </c>
      <c r="D340" t="inlineStr">
        <is>
          <t>DALARNAS LÄN</t>
        </is>
      </c>
      <c r="E340" t="inlineStr">
        <is>
          <t>ÄLVDALEN</t>
        </is>
      </c>
      <c r="G340" t="n">
        <v>4</v>
      </c>
      <c r="H340" t="n">
        <v>0</v>
      </c>
      <c r="I340" t="n">
        <v>0</v>
      </c>
      <c r="J340" t="n">
        <v>0</v>
      </c>
      <c r="K340" t="n">
        <v>0</v>
      </c>
      <c r="L340" t="n">
        <v>0</v>
      </c>
      <c r="M340" t="n">
        <v>0</v>
      </c>
      <c r="N340" t="n">
        <v>0</v>
      </c>
      <c r="O340" t="n">
        <v>0</v>
      </c>
      <c r="P340" t="n">
        <v>0</v>
      </c>
      <c r="Q340" t="n">
        <v>0</v>
      </c>
      <c r="R340" s="2" t="inlineStr"/>
    </row>
    <row r="341" ht="15" customHeight="1">
      <c r="A341" t="inlineStr">
        <is>
          <t>A 47525-2024</t>
        </is>
      </c>
      <c r="B341" s="1" t="n">
        <v>45587.6328587963</v>
      </c>
      <c r="C341" s="1" t="n">
        <v>45880</v>
      </c>
      <c r="D341" t="inlineStr">
        <is>
          <t>DALARNAS LÄN</t>
        </is>
      </c>
      <c r="E341" t="inlineStr">
        <is>
          <t>ÄLVDALEN</t>
        </is>
      </c>
      <c r="F341" t="inlineStr">
        <is>
          <t>Bergvik skog väst AB</t>
        </is>
      </c>
      <c r="G341" t="n">
        <v>4.6</v>
      </c>
      <c r="H341" t="n">
        <v>0</v>
      </c>
      <c r="I341" t="n">
        <v>0</v>
      </c>
      <c r="J341" t="n">
        <v>0</v>
      </c>
      <c r="K341" t="n">
        <v>0</v>
      </c>
      <c r="L341" t="n">
        <v>0</v>
      </c>
      <c r="M341" t="n">
        <v>0</v>
      </c>
      <c r="N341" t="n">
        <v>0</v>
      </c>
      <c r="O341" t="n">
        <v>0</v>
      </c>
      <c r="P341" t="n">
        <v>0</v>
      </c>
      <c r="Q341" t="n">
        <v>0</v>
      </c>
      <c r="R341" s="2" t="inlineStr"/>
    </row>
    <row r="342" ht="15" customHeight="1">
      <c r="A342" t="inlineStr">
        <is>
          <t>A 22279-2025</t>
        </is>
      </c>
      <c r="B342" s="1" t="n">
        <v>45786.33336805556</v>
      </c>
      <c r="C342" s="1" t="n">
        <v>45880</v>
      </c>
      <c r="D342" t="inlineStr">
        <is>
          <t>DALARNAS LÄN</t>
        </is>
      </c>
      <c r="E342" t="inlineStr">
        <is>
          <t>ÄLVDALEN</t>
        </is>
      </c>
      <c r="F342" t="inlineStr">
        <is>
          <t>Allmännings- och besparingsskogar</t>
        </is>
      </c>
      <c r="G342" t="n">
        <v>11.2</v>
      </c>
      <c r="H342" t="n">
        <v>0</v>
      </c>
      <c r="I342" t="n">
        <v>0</v>
      </c>
      <c r="J342" t="n">
        <v>0</v>
      </c>
      <c r="K342" t="n">
        <v>0</v>
      </c>
      <c r="L342" t="n">
        <v>0</v>
      </c>
      <c r="M342" t="n">
        <v>0</v>
      </c>
      <c r="N342" t="n">
        <v>0</v>
      </c>
      <c r="O342" t="n">
        <v>0</v>
      </c>
      <c r="P342" t="n">
        <v>0</v>
      </c>
      <c r="Q342" t="n">
        <v>0</v>
      </c>
      <c r="R342" s="2" t="inlineStr"/>
    </row>
    <row r="343" ht="15" customHeight="1">
      <c r="A343" t="inlineStr">
        <is>
          <t>A 34835-2023</t>
        </is>
      </c>
      <c r="B343" s="1" t="n">
        <v>45141</v>
      </c>
      <c r="C343" s="1" t="n">
        <v>45880</v>
      </c>
      <c r="D343" t="inlineStr">
        <is>
          <t>DALARNAS LÄN</t>
        </is>
      </c>
      <c r="E343" t="inlineStr">
        <is>
          <t>ÄLVDALEN</t>
        </is>
      </c>
      <c r="G343" t="n">
        <v>3.4</v>
      </c>
      <c r="H343" t="n">
        <v>0</v>
      </c>
      <c r="I343" t="n">
        <v>0</v>
      </c>
      <c r="J343" t="n">
        <v>0</v>
      </c>
      <c r="K343" t="n">
        <v>0</v>
      </c>
      <c r="L343" t="n">
        <v>0</v>
      </c>
      <c r="M343" t="n">
        <v>0</v>
      </c>
      <c r="N343" t="n">
        <v>0</v>
      </c>
      <c r="O343" t="n">
        <v>0</v>
      </c>
      <c r="P343" t="n">
        <v>0</v>
      </c>
      <c r="Q343" t="n">
        <v>0</v>
      </c>
      <c r="R343" s="2" t="inlineStr"/>
    </row>
    <row r="344" ht="15" customHeight="1">
      <c r="A344" t="inlineStr">
        <is>
          <t>A 41137-2024</t>
        </is>
      </c>
      <c r="B344" s="1" t="n">
        <v>45559.46734953704</v>
      </c>
      <c r="C344" s="1" t="n">
        <v>45880</v>
      </c>
      <c r="D344" t="inlineStr">
        <is>
          <t>DALARNAS LÄN</t>
        </is>
      </c>
      <c r="E344" t="inlineStr">
        <is>
          <t>ÄLVDALEN</t>
        </is>
      </c>
      <c r="G344" t="n">
        <v>4.8</v>
      </c>
      <c r="H344" t="n">
        <v>0</v>
      </c>
      <c r="I344" t="n">
        <v>0</v>
      </c>
      <c r="J344" t="n">
        <v>0</v>
      </c>
      <c r="K344" t="n">
        <v>0</v>
      </c>
      <c r="L344" t="n">
        <v>0</v>
      </c>
      <c r="M344" t="n">
        <v>0</v>
      </c>
      <c r="N344" t="n">
        <v>0</v>
      </c>
      <c r="O344" t="n">
        <v>0</v>
      </c>
      <c r="P344" t="n">
        <v>0</v>
      </c>
      <c r="Q344" t="n">
        <v>0</v>
      </c>
      <c r="R344" s="2" t="inlineStr"/>
    </row>
    <row r="345" ht="15" customHeight="1">
      <c r="A345" t="inlineStr">
        <is>
          <t>A 39064-2021</t>
        </is>
      </c>
      <c r="B345" s="1" t="n">
        <v>44411</v>
      </c>
      <c r="C345" s="1" t="n">
        <v>45880</v>
      </c>
      <c r="D345" t="inlineStr">
        <is>
          <t>DALARNAS LÄN</t>
        </is>
      </c>
      <c r="E345" t="inlineStr">
        <is>
          <t>ÄLVDALEN</t>
        </is>
      </c>
      <c r="F345" t="inlineStr">
        <is>
          <t>Övriga statliga verk och myndigheter</t>
        </is>
      </c>
      <c r="G345" t="n">
        <v>4.5</v>
      </c>
      <c r="H345" t="n">
        <v>0</v>
      </c>
      <c r="I345" t="n">
        <v>0</v>
      </c>
      <c r="J345" t="n">
        <v>0</v>
      </c>
      <c r="K345" t="n">
        <v>0</v>
      </c>
      <c r="L345" t="n">
        <v>0</v>
      </c>
      <c r="M345" t="n">
        <v>0</v>
      </c>
      <c r="N345" t="n">
        <v>0</v>
      </c>
      <c r="O345" t="n">
        <v>0</v>
      </c>
      <c r="P345" t="n">
        <v>0</v>
      </c>
      <c r="Q345" t="n">
        <v>0</v>
      </c>
      <c r="R345" s="2" t="inlineStr"/>
    </row>
    <row r="346" ht="15" customHeight="1">
      <c r="A346" t="inlineStr">
        <is>
          <t>A 30727-2024</t>
        </is>
      </c>
      <c r="B346" s="1" t="n">
        <v>45496.55789351852</v>
      </c>
      <c r="C346" s="1" t="n">
        <v>45880</v>
      </c>
      <c r="D346" t="inlineStr">
        <is>
          <t>DALARNAS LÄN</t>
        </is>
      </c>
      <c r="E346" t="inlineStr">
        <is>
          <t>ÄLVDALEN</t>
        </is>
      </c>
      <c r="F346" t="inlineStr">
        <is>
          <t>Allmännings- och besparingsskogar</t>
        </is>
      </c>
      <c r="G346" t="n">
        <v>35.7</v>
      </c>
      <c r="H346" t="n">
        <v>0</v>
      </c>
      <c r="I346" t="n">
        <v>0</v>
      </c>
      <c r="J346" t="n">
        <v>0</v>
      </c>
      <c r="K346" t="n">
        <v>0</v>
      </c>
      <c r="L346" t="n">
        <v>0</v>
      </c>
      <c r="M346" t="n">
        <v>0</v>
      </c>
      <c r="N346" t="n">
        <v>0</v>
      </c>
      <c r="O346" t="n">
        <v>0</v>
      </c>
      <c r="P346" t="n">
        <v>0</v>
      </c>
      <c r="Q346" t="n">
        <v>0</v>
      </c>
      <c r="R346" s="2" t="inlineStr"/>
    </row>
    <row r="347" ht="15" customHeight="1">
      <c r="A347" t="inlineStr">
        <is>
          <t>A 629-2025</t>
        </is>
      </c>
      <c r="B347" s="1" t="n">
        <v>45660</v>
      </c>
      <c r="C347" s="1" t="n">
        <v>45880</v>
      </c>
      <c r="D347" t="inlineStr">
        <is>
          <t>DALARNAS LÄN</t>
        </is>
      </c>
      <c r="E347" t="inlineStr">
        <is>
          <t>ÄLVDALEN</t>
        </is>
      </c>
      <c r="F347" t="inlineStr">
        <is>
          <t>Allmännings- och besparingsskogar</t>
        </is>
      </c>
      <c r="G347" t="n">
        <v>0.6</v>
      </c>
      <c r="H347" t="n">
        <v>0</v>
      </c>
      <c r="I347" t="n">
        <v>0</v>
      </c>
      <c r="J347" t="n">
        <v>0</v>
      </c>
      <c r="K347" t="n">
        <v>0</v>
      </c>
      <c r="L347" t="n">
        <v>0</v>
      </c>
      <c r="M347" t="n">
        <v>0</v>
      </c>
      <c r="N347" t="n">
        <v>0</v>
      </c>
      <c r="O347" t="n">
        <v>0</v>
      </c>
      <c r="P347" t="n">
        <v>0</v>
      </c>
      <c r="Q347" t="n">
        <v>0</v>
      </c>
      <c r="R347" s="2" t="inlineStr"/>
    </row>
    <row r="348" ht="15" customHeight="1">
      <c r="A348" t="inlineStr">
        <is>
          <t>A 52469-2022</t>
        </is>
      </c>
      <c r="B348" s="1" t="n">
        <v>44874</v>
      </c>
      <c r="C348" s="1" t="n">
        <v>45880</v>
      </c>
      <c r="D348" t="inlineStr">
        <is>
          <t>DALARNAS LÄN</t>
        </is>
      </c>
      <c r="E348" t="inlineStr">
        <is>
          <t>ÄLVDALEN</t>
        </is>
      </c>
      <c r="G348" t="n">
        <v>1.7</v>
      </c>
      <c r="H348" t="n">
        <v>0</v>
      </c>
      <c r="I348" t="n">
        <v>0</v>
      </c>
      <c r="J348" t="n">
        <v>0</v>
      </c>
      <c r="K348" t="n">
        <v>0</v>
      </c>
      <c r="L348" t="n">
        <v>0</v>
      </c>
      <c r="M348" t="n">
        <v>0</v>
      </c>
      <c r="N348" t="n">
        <v>0</v>
      </c>
      <c r="O348" t="n">
        <v>0</v>
      </c>
      <c r="P348" t="n">
        <v>0</v>
      </c>
      <c r="Q348" t="n">
        <v>0</v>
      </c>
      <c r="R348" s="2" t="inlineStr"/>
    </row>
    <row r="349" ht="15" customHeight="1">
      <c r="A349" t="inlineStr">
        <is>
          <t>A 19708-2024</t>
        </is>
      </c>
      <c r="B349" s="1" t="n">
        <v>45432.55324074074</v>
      </c>
      <c r="C349" s="1" t="n">
        <v>45880</v>
      </c>
      <c r="D349" t="inlineStr">
        <is>
          <t>DALARNAS LÄN</t>
        </is>
      </c>
      <c r="E349" t="inlineStr">
        <is>
          <t>ÄLVDALEN</t>
        </is>
      </c>
      <c r="G349" t="n">
        <v>12.4</v>
      </c>
      <c r="H349" t="n">
        <v>0</v>
      </c>
      <c r="I349" t="n">
        <v>0</v>
      </c>
      <c r="J349" t="n">
        <v>0</v>
      </c>
      <c r="K349" t="n">
        <v>0</v>
      </c>
      <c r="L349" t="n">
        <v>0</v>
      </c>
      <c r="M349" t="n">
        <v>0</v>
      </c>
      <c r="N349" t="n">
        <v>0</v>
      </c>
      <c r="O349" t="n">
        <v>0</v>
      </c>
      <c r="P349" t="n">
        <v>0</v>
      </c>
      <c r="Q349" t="n">
        <v>0</v>
      </c>
      <c r="R349" s="2" t="inlineStr"/>
    </row>
    <row r="350" ht="15" customHeight="1">
      <c r="A350" t="inlineStr">
        <is>
          <t>A 30411-2024</t>
        </is>
      </c>
      <c r="B350" s="1" t="n">
        <v>45491.62447916667</v>
      </c>
      <c r="C350" s="1" t="n">
        <v>45880</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21469-2024</t>
        </is>
      </c>
      <c r="B351" s="1" t="n">
        <v>45441.486875</v>
      </c>
      <c r="C351" s="1" t="n">
        <v>45880</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32740-2024</t>
        </is>
      </c>
      <c r="B352" s="1" t="n">
        <v>45516.43834490741</v>
      </c>
      <c r="C352" s="1" t="n">
        <v>45880</v>
      </c>
      <c r="D352" t="inlineStr">
        <is>
          <t>DALARNAS LÄN</t>
        </is>
      </c>
      <c r="E352" t="inlineStr">
        <is>
          <t>ÄLVDALEN</t>
        </is>
      </c>
      <c r="G352" t="n">
        <v>2.1</v>
      </c>
      <c r="H352" t="n">
        <v>0</v>
      </c>
      <c r="I352" t="n">
        <v>0</v>
      </c>
      <c r="J352" t="n">
        <v>0</v>
      </c>
      <c r="K352" t="n">
        <v>0</v>
      </c>
      <c r="L352" t="n">
        <v>0</v>
      </c>
      <c r="M352" t="n">
        <v>0</v>
      </c>
      <c r="N352" t="n">
        <v>0</v>
      </c>
      <c r="O352" t="n">
        <v>0</v>
      </c>
      <c r="P352" t="n">
        <v>0</v>
      </c>
      <c r="Q352" t="n">
        <v>0</v>
      </c>
      <c r="R352" s="2" t="inlineStr"/>
    </row>
    <row r="353" ht="15" customHeight="1">
      <c r="A353" t="inlineStr">
        <is>
          <t>A 17051-2023</t>
        </is>
      </c>
      <c r="B353" s="1" t="n">
        <v>45034</v>
      </c>
      <c r="C353" s="1" t="n">
        <v>45880</v>
      </c>
      <c r="D353" t="inlineStr">
        <is>
          <t>DALARNAS LÄN</t>
        </is>
      </c>
      <c r="E353" t="inlineStr">
        <is>
          <t>ÄLVDALEN</t>
        </is>
      </c>
      <c r="G353" t="n">
        <v>4.2</v>
      </c>
      <c r="H353" t="n">
        <v>0</v>
      </c>
      <c r="I353" t="n">
        <v>0</v>
      </c>
      <c r="J353" t="n">
        <v>0</v>
      </c>
      <c r="K353" t="n">
        <v>0</v>
      </c>
      <c r="L353" t="n">
        <v>0</v>
      </c>
      <c r="M353" t="n">
        <v>0</v>
      </c>
      <c r="N353" t="n">
        <v>0</v>
      </c>
      <c r="O353" t="n">
        <v>0</v>
      </c>
      <c r="P353" t="n">
        <v>0</v>
      </c>
      <c r="Q353" t="n">
        <v>0</v>
      </c>
      <c r="R353" s="2" t="inlineStr"/>
    </row>
    <row r="354" ht="15" customHeight="1">
      <c r="A354" t="inlineStr">
        <is>
          <t>A 22577-2025</t>
        </is>
      </c>
      <c r="B354" s="1" t="n">
        <v>45789.36928240741</v>
      </c>
      <c r="C354" s="1" t="n">
        <v>45880</v>
      </c>
      <c r="D354" t="inlineStr">
        <is>
          <t>DALARNAS LÄN</t>
        </is>
      </c>
      <c r="E354" t="inlineStr">
        <is>
          <t>ÄLVDALEN</t>
        </is>
      </c>
      <c r="F354" t="inlineStr">
        <is>
          <t>Allmännings- och besparingsskogar</t>
        </is>
      </c>
      <c r="G354" t="n">
        <v>18.1</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45880</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47666-2024</t>
        </is>
      </c>
      <c r="B356" s="1" t="n">
        <v>45588.39283564815</v>
      </c>
      <c r="C356" s="1" t="n">
        <v>45880</v>
      </c>
      <c r="D356" t="inlineStr">
        <is>
          <t>DALARNAS LÄN</t>
        </is>
      </c>
      <c r="E356" t="inlineStr">
        <is>
          <t>ÄLVDALEN</t>
        </is>
      </c>
      <c r="G356" t="n">
        <v>1.5</v>
      </c>
      <c r="H356" t="n">
        <v>0</v>
      </c>
      <c r="I356" t="n">
        <v>0</v>
      </c>
      <c r="J356" t="n">
        <v>0</v>
      </c>
      <c r="K356" t="n">
        <v>0</v>
      </c>
      <c r="L356" t="n">
        <v>0</v>
      </c>
      <c r="M356" t="n">
        <v>0</v>
      </c>
      <c r="N356" t="n">
        <v>0</v>
      </c>
      <c r="O356" t="n">
        <v>0</v>
      </c>
      <c r="P356" t="n">
        <v>0</v>
      </c>
      <c r="Q356" t="n">
        <v>0</v>
      </c>
      <c r="R356" s="2" t="inlineStr"/>
    </row>
    <row r="357" ht="15" customHeight="1">
      <c r="A357" t="inlineStr">
        <is>
          <t>A 47071-2023</t>
        </is>
      </c>
      <c r="B357" s="1" t="n">
        <v>45201.60141203704</v>
      </c>
      <c r="C357" s="1" t="n">
        <v>45880</v>
      </c>
      <c r="D357" t="inlineStr">
        <is>
          <t>DALARNAS LÄN</t>
        </is>
      </c>
      <c r="E357" t="inlineStr">
        <is>
          <t>ÄLVDALEN</t>
        </is>
      </c>
      <c r="F357" t="inlineStr">
        <is>
          <t>Bergvik skog väst AB</t>
        </is>
      </c>
      <c r="G357" t="n">
        <v>2.6</v>
      </c>
      <c r="H357" t="n">
        <v>0</v>
      </c>
      <c r="I357" t="n">
        <v>0</v>
      </c>
      <c r="J357" t="n">
        <v>0</v>
      </c>
      <c r="K357" t="n">
        <v>0</v>
      </c>
      <c r="L357" t="n">
        <v>0</v>
      </c>
      <c r="M357" t="n">
        <v>0</v>
      </c>
      <c r="N357" t="n">
        <v>0</v>
      </c>
      <c r="O357" t="n">
        <v>0</v>
      </c>
      <c r="P357" t="n">
        <v>0</v>
      </c>
      <c r="Q357" t="n">
        <v>0</v>
      </c>
      <c r="R357" s="2" t="inlineStr"/>
    </row>
    <row r="358" ht="15" customHeight="1">
      <c r="A358" t="inlineStr">
        <is>
          <t>A 50056-2024</t>
        </is>
      </c>
      <c r="B358" s="1" t="n">
        <v>45600.34134259259</v>
      </c>
      <c r="C358" s="1" t="n">
        <v>45880</v>
      </c>
      <c r="D358" t="inlineStr">
        <is>
          <t>DALARNAS LÄN</t>
        </is>
      </c>
      <c r="E358" t="inlineStr">
        <is>
          <t>ÄLVDALEN</t>
        </is>
      </c>
      <c r="G358" t="n">
        <v>1.5</v>
      </c>
      <c r="H358" t="n">
        <v>0</v>
      </c>
      <c r="I358" t="n">
        <v>0</v>
      </c>
      <c r="J358" t="n">
        <v>0</v>
      </c>
      <c r="K358" t="n">
        <v>0</v>
      </c>
      <c r="L358" t="n">
        <v>0</v>
      </c>
      <c r="M358" t="n">
        <v>0</v>
      </c>
      <c r="N358" t="n">
        <v>0</v>
      </c>
      <c r="O358" t="n">
        <v>0</v>
      </c>
      <c r="P358" t="n">
        <v>0</v>
      </c>
      <c r="Q358" t="n">
        <v>0</v>
      </c>
      <c r="R358" s="2" t="inlineStr"/>
    </row>
    <row r="359" ht="15" customHeight="1">
      <c r="A359" t="inlineStr">
        <is>
          <t>A 62314-2022</t>
        </is>
      </c>
      <c r="B359" s="1" t="n">
        <v>44916</v>
      </c>
      <c r="C359" s="1" t="n">
        <v>45880</v>
      </c>
      <c r="D359" t="inlineStr">
        <is>
          <t>DALARNAS LÄN</t>
        </is>
      </c>
      <c r="E359" t="inlineStr">
        <is>
          <t>ÄLVDALEN</t>
        </is>
      </c>
      <c r="G359" t="n">
        <v>2.7</v>
      </c>
      <c r="H359" t="n">
        <v>0</v>
      </c>
      <c r="I359" t="n">
        <v>0</v>
      </c>
      <c r="J359" t="n">
        <v>0</v>
      </c>
      <c r="K359" t="n">
        <v>0</v>
      </c>
      <c r="L359" t="n">
        <v>0</v>
      </c>
      <c r="M359" t="n">
        <v>0</v>
      </c>
      <c r="N359" t="n">
        <v>0</v>
      </c>
      <c r="O359" t="n">
        <v>0</v>
      </c>
      <c r="P359" t="n">
        <v>0</v>
      </c>
      <c r="Q359" t="n">
        <v>0</v>
      </c>
      <c r="R359" s="2" t="inlineStr"/>
    </row>
    <row r="360" ht="15" customHeight="1">
      <c r="A360" t="inlineStr">
        <is>
          <t>A 22303-2025</t>
        </is>
      </c>
      <c r="B360" s="1" t="n">
        <v>45786</v>
      </c>
      <c r="C360" s="1" t="n">
        <v>45880</v>
      </c>
      <c r="D360" t="inlineStr">
        <is>
          <t>DALARNAS LÄN</t>
        </is>
      </c>
      <c r="E360" t="inlineStr">
        <is>
          <t>ÄLVDALEN</t>
        </is>
      </c>
      <c r="G360" t="n">
        <v>3.7</v>
      </c>
      <c r="H360" t="n">
        <v>0</v>
      </c>
      <c r="I360" t="n">
        <v>0</v>
      </c>
      <c r="J360" t="n">
        <v>0</v>
      </c>
      <c r="K360" t="n">
        <v>0</v>
      </c>
      <c r="L360" t="n">
        <v>0</v>
      </c>
      <c r="M360" t="n">
        <v>0</v>
      </c>
      <c r="N360" t="n">
        <v>0</v>
      </c>
      <c r="O360" t="n">
        <v>0</v>
      </c>
      <c r="P360" t="n">
        <v>0</v>
      </c>
      <c r="Q360" t="n">
        <v>0</v>
      </c>
      <c r="R360" s="2" t="inlineStr"/>
    </row>
    <row r="361" ht="15" customHeight="1">
      <c r="A361" t="inlineStr">
        <is>
          <t>A 43900-2024</t>
        </is>
      </c>
      <c r="B361" s="1" t="n">
        <v>45572.41975694444</v>
      </c>
      <c r="C361" s="1" t="n">
        <v>45880</v>
      </c>
      <c r="D361" t="inlineStr">
        <is>
          <t>DALARNAS LÄN</t>
        </is>
      </c>
      <c r="E361" t="inlineStr">
        <is>
          <t>ÄLVDALEN</t>
        </is>
      </c>
      <c r="F361" t="inlineStr">
        <is>
          <t>Bergvik skog väst AB</t>
        </is>
      </c>
      <c r="G361" t="n">
        <v>7.3</v>
      </c>
      <c r="H361" t="n">
        <v>0</v>
      </c>
      <c r="I361" t="n">
        <v>0</v>
      </c>
      <c r="J361" t="n">
        <v>0</v>
      </c>
      <c r="K361" t="n">
        <v>0</v>
      </c>
      <c r="L361" t="n">
        <v>0</v>
      </c>
      <c r="M361" t="n">
        <v>0</v>
      </c>
      <c r="N361" t="n">
        <v>0</v>
      </c>
      <c r="O361" t="n">
        <v>0</v>
      </c>
      <c r="P361" t="n">
        <v>0</v>
      </c>
      <c r="Q361" t="n">
        <v>0</v>
      </c>
      <c r="R361" s="2" t="inlineStr"/>
    </row>
    <row r="362" ht="15" customHeight="1">
      <c r="A362" t="inlineStr">
        <is>
          <t>A 22559-2025</t>
        </is>
      </c>
      <c r="B362" s="1" t="n">
        <v>45789.32916666667</v>
      </c>
      <c r="C362" s="1" t="n">
        <v>45880</v>
      </c>
      <c r="D362" t="inlineStr">
        <is>
          <t>DALARNAS LÄN</t>
        </is>
      </c>
      <c r="E362" t="inlineStr">
        <is>
          <t>ÄLVDALEN</t>
        </is>
      </c>
      <c r="F362" t="inlineStr">
        <is>
          <t>Allmännings- och besparingsskogar</t>
        </is>
      </c>
      <c r="G362" t="n">
        <v>6.4</v>
      </c>
      <c r="H362" t="n">
        <v>0</v>
      </c>
      <c r="I362" t="n">
        <v>0</v>
      </c>
      <c r="J362" t="n">
        <v>0</v>
      </c>
      <c r="K362" t="n">
        <v>0</v>
      </c>
      <c r="L362" t="n">
        <v>0</v>
      </c>
      <c r="M362" t="n">
        <v>0</v>
      </c>
      <c r="N362" t="n">
        <v>0</v>
      </c>
      <c r="O362" t="n">
        <v>0</v>
      </c>
      <c r="P362" t="n">
        <v>0</v>
      </c>
      <c r="Q362" t="n">
        <v>0</v>
      </c>
      <c r="R362" s="2" t="inlineStr"/>
    </row>
    <row r="363" ht="15" customHeight="1">
      <c r="A363" t="inlineStr">
        <is>
          <t>A 59108-2022</t>
        </is>
      </c>
      <c r="B363" s="1" t="n">
        <v>44904</v>
      </c>
      <c r="C363" s="1" t="n">
        <v>45880</v>
      </c>
      <c r="D363" t="inlineStr">
        <is>
          <t>DALARNAS LÄN</t>
        </is>
      </c>
      <c r="E363" t="inlineStr">
        <is>
          <t>ÄLVDALEN</t>
        </is>
      </c>
      <c r="G363" t="n">
        <v>1.3</v>
      </c>
      <c r="H363" t="n">
        <v>0</v>
      </c>
      <c r="I363" t="n">
        <v>0</v>
      </c>
      <c r="J363" t="n">
        <v>0</v>
      </c>
      <c r="K363" t="n">
        <v>0</v>
      </c>
      <c r="L363" t="n">
        <v>0</v>
      </c>
      <c r="M363" t="n">
        <v>0</v>
      </c>
      <c r="N363" t="n">
        <v>0</v>
      </c>
      <c r="O363" t="n">
        <v>0</v>
      </c>
      <c r="P363" t="n">
        <v>0</v>
      </c>
      <c r="Q363" t="n">
        <v>0</v>
      </c>
      <c r="R363" s="2" t="inlineStr"/>
    </row>
    <row r="364" ht="15" customHeight="1">
      <c r="A364" t="inlineStr">
        <is>
          <t>A 47751-2024</t>
        </is>
      </c>
      <c r="B364" s="1" t="n">
        <v>45588.53628472222</v>
      </c>
      <c r="C364" s="1" t="n">
        <v>45880</v>
      </c>
      <c r="D364" t="inlineStr">
        <is>
          <t>DALARNAS LÄN</t>
        </is>
      </c>
      <c r="E364" t="inlineStr">
        <is>
          <t>ÄLVDALEN</t>
        </is>
      </c>
      <c r="G364" t="n">
        <v>0.6</v>
      </c>
      <c r="H364" t="n">
        <v>0</v>
      </c>
      <c r="I364" t="n">
        <v>0</v>
      </c>
      <c r="J364" t="n">
        <v>0</v>
      </c>
      <c r="K364" t="n">
        <v>0</v>
      </c>
      <c r="L364" t="n">
        <v>0</v>
      </c>
      <c r="M364" t="n">
        <v>0</v>
      </c>
      <c r="N364" t="n">
        <v>0</v>
      </c>
      <c r="O364" t="n">
        <v>0</v>
      </c>
      <c r="P364" t="n">
        <v>0</v>
      </c>
      <c r="Q364" t="n">
        <v>0</v>
      </c>
      <c r="R364" s="2" t="inlineStr"/>
    </row>
    <row r="365" ht="15" customHeight="1">
      <c r="A365" t="inlineStr">
        <is>
          <t>A 22631-2025</t>
        </is>
      </c>
      <c r="B365" s="1" t="n">
        <v>45789.44056712963</v>
      </c>
      <c r="C365" s="1" t="n">
        <v>45880</v>
      </c>
      <c r="D365" t="inlineStr">
        <is>
          <t>DALARNAS LÄN</t>
        </is>
      </c>
      <c r="E365" t="inlineStr">
        <is>
          <t>ÄLVDALEN</t>
        </is>
      </c>
      <c r="F365" t="inlineStr">
        <is>
          <t>Allmännings- och besparingsskogar</t>
        </is>
      </c>
      <c r="G365" t="n">
        <v>2</v>
      </c>
      <c r="H365" t="n">
        <v>0</v>
      </c>
      <c r="I365" t="n">
        <v>0</v>
      </c>
      <c r="J365" t="n">
        <v>0</v>
      </c>
      <c r="K365" t="n">
        <v>0</v>
      </c>
      <c r="L365" t="n">
        <v>0</v>
      </c>
      <c r="M365" t="n">
        <v>0</v>
      </c>
      <c r="N365" t="n">
        <v>0</v>
      </c>
      <c r="O365" t="n">
        <v>0</v>
      </c>
      <c r="P365" t="n">
        <v>0</v>
      </c>
      <c r="Q365" t="n">
        <v>0</v>
      </c>
      <c r="R365" s="2" t="inlineStr"/>
    </row>
    <row r="366" ht="15" customHeight="1">
      <c r="A366" t="inlineStr">
        <is>
          <t>A 32352-2023</t>
        </is>
      </c>
      <c r="B366" s="1" t="n">
        <v>45120</v>
      </c>
      <c r="C366" s="1" t="n">
        <v>45880</v>
      </c>
      <c r="D366" t="inlineStr">
        <is>
          <t>DALARNAS LÄN</t>
        </is>
      </c>
      <c r="E366" t="inlineStr">
        <is>
          <t>ÄLVDALEN</t>
        </is>
      </c>
      <c r="G366" t="n">
        <v>2</v>
      </c>
      <c r="H366" t="n">
        <v>0</v>
      </c>
      <c r="I366" t="n">
        <v>0</v>
      </c>
      <c r="J366" t="n">
        <v>0</v>
      </c>
      <c r="K366" t="n">
        <v>0</v>
      </c>
      <c r="L366" t="n">
        <v>0</v>
      </c>
      <c r="M366" t="n">
        <v>0</v>
      </c>
      <c r="N366" t="n">
        <v>0</v>
      </c>
      <c r="O366" t="n">
        <v>0</v>
      </c>
      <c r="P366" t="n">
        <v>0</v>
      </c>
      <c r="Q366" t="n">
        <v>0</v>
      </c>
      <c r="R366" s="2" t="inlineStr"/>
    </row>
    <row r="367" ht="15" customHeight="1">
      <c r="A367" t="inlineStr">
        <is>
          <t>A 59668-2024</t>
        </is>
      </c>
      <c r="B367" s="1" t="n">
        <v>45639.37899305556</v>
      </c>
      <c r="C367" s="1" t="n">
        <v>45880</v>
      </c>
      <c r="D367" t="inlineStr">
        <is>
          <t>DALARNAS LÄN</t>
        </is>
      </c>
      <c r="E367" t="inlineStr">
        <is>
          <t>ÄLVDALEN</t>
        </is>
      </c>
      <c r="G367" t="n">
        <v>2.5</v>
      </c>
      <c r="H367" t="n">
        <v>0</v>
      </c>
      <c r="I367" t="n">
        <v>0</v>
      </c>
      <c r="J367" t="n">
        <v>0</v>
      </c>
      <c r="K367" t="n">
        <v>0</v>
      </c>
      <c r="L367" t="n">
        <v>0</v>
      </c>
      <c r="M367" t="n">
        <v>0</v>
      </c>
      <c r="N367" t="n">
        <v>0</v>
      </c>
      <c r="O367" t="n">
        <v>0</v>
      </c>
      <c r="P367" t="n">
        <v>0</v>
      </c>
      <c r="Q367" t="n">
        <v>0</v>
      </c>
      <c r="R367" s="2" t="inlineStr"/>
    </row>
    <row r="368" ht="15" customHeight="1">
      <c r="A368" t="inlineStr">
        <is>
          <t>A 59671-2024</t>
        </is>
      </c>
      <c r="B368" s="1" t="n">
        <v>45639.3862962963</v>
      </c>
      <c r="C368" s="1" t="n">
        <v>45880</v>
      </c>
      <c r="D368" t="inlineStr">
        <is>
          <t>DALARNAS LÄN</t>
        </is>
      </c>
      <c r="E368" t="inlineStr">
        <is>
          <t>ÄLVDALEN</t>
        </is>
      </c>
      <c r="G368" t="n">
        <v>2.2</v>
      </c>
      <c r="H368" t="n">
        <v>0</v>
      </c>
      <c r="I368" t="n">
        <v>0</v>
      </c>
      <c r="J368" t="n">
        <v>0</v>
      </c>
      <c r="K368" t="n">
        <v>0</v>
      </c>
      <c r="L368" t="n">
        <v>0</v>
      </c>
      <c r="M368" t="n">
        <v>0</v>
      </c>
      <c r="N368" t="n">
        <v>0</v>
      </c>
      <c r="O368" t="n">
        <v>0</v>
      </c>
      <c r="P368" t="n">
        <v>0</v>
      </c>
      <c r="Q368" t="n">
        <v>0</v>
      </c>
      <c r="R368" s="2" t="inlineStr"/>
    </row>
    <row r="369" ht="15" customHeight="1">
      <c r="A369" t="inlineStr">
        <is>
          <t>A 49723-2023</t>
        </is>
      </c>
      <c r="B369" s="1" t="n">
        <v>45212</v>
      </c>
      <c r="C369" s="1" t="n">
        <v>45880</v>
      </c>
      <c r="D369" t="inlineStr">
        <is>
          <t>DALARNAS LÄN</t>
        </is>
      </c>
      <c r="E369" t="inlineStr">
        <is>
          <t>ÄLVDALEN</t>
        </is>
      </c>
      <c r="F369" t="inlineStr">
        <is>
          <t>Bergvik skog väst AB</t>
        </is>
      </c>
      <c r="G369" t="n">
        <v>5</v>
      </c>
      <c r="H369" t="n">
        <v>0</v>
      </c>
      <c r="I369" t="n">
        <v>0</v>
      </c>
      <c r="J369" t="n">
        <v>0</v>
      </c>
      <c r="K369" t="n">
        <v>0</v>
      </c>
      <c r="L369" t="n">
        <v>0</v>
      </c>
      <c r="M369" t="n">
        <v>0</v>
      </c>
      <c r="N369" t="n">
        <v>0</v>
      </c>
      <c r="O369" t="n">
        <v>0</v>
      </c>
      <c r="P369" t="n">
        <v>0</v>
      </c>
      <c r="Q369" t="n">
        <v>0</v>
      </c>
      <c r="R369" s="2" t="inlineStr"/>
    </row>
    <row r="370" ht="15" customHeight="1">
      <c r="A370" t="inlineStr">
        <is>
          <t>A 43903-2024</t>
        </is>
      </c>
      <c r="B370" s="1" t="n">
        <v>45572</v>
      </c>
      <c r="C370" s="1" t="n">
        <v>45880</v>
      </c>
      <c r="D370" t="inlineStr">
        <is>
          <t>DALARNAS LÄN</t>
        </is>
      </c>
      <c r="E370" t="inlineStr">
        <is>
          <t>ÄLVDALEN</t>
        </is>
      </c>
      <c r="F370" t="inlineStr">
        <is>
          <t>Bergvik skog väst AB</t>
        </is>
      </c>
      <c r="G370" t="n">
        <v>0.7</v>
      </c>
      <c r="H370" t="n">
        <v>0</v>
      </c>
      <c r="I370" t="n">
        <v>0</v>
      </c>
      <c r="J370" t="n">
        <v>0</v>
      </c>
      <c r="K370" t="n">
        <v>0</v>
      </c>
      <c r="L370" t="n">
        <v>0</v>
      </c>
      <c r="M370" t="n">
        <v>0</v>
      </c>
      <c r="N370" t="n">
        <v>0</v>
      </c>
      <c r="O370" t="n">
        <v>0</v>
      </c>
      <c r="P370" t="n">
        <v>0</v>
      </c>
      <c r="Q370" t="n">
        <v>0</v>
      </c>
      <c r="R370" s="2" t="inlineStr"/>
    </row>
    <row r="371" ht="15" customHeight="1">
      <c r="A371" t="inlineStr">
        <is>
          <t>A 22909-2025</t>
        </is>
      </c>
      <c r="B371" s="1" t="n">
        <v>45790.42219907408</v>
      </c>
      <c r="C371" s="1" t="n">
        <v>45880</v>
      </c>
      <c r="D371" t="inlineStr">
        <is>
          <t>DALARNAS LÄN</t>
        </is>
      </c>
      <c r="E371" t="inlineStr">
        <is>
          <t>ÄLVDALEN</t>
        </is>
      </c>
      <c r="G371" t="n">
        <v>1.1</v>
      </c>
      <c r="H371" t="n">
        <v>0</v>
      </c>
      <c r="I371" t="n">
        <v>0</v>
      </c>
      <c r="J371" t="n">
        <v>0</v>
      </c>
      <c r="K371" t="n">
        <v>0</v>
      </c>
      <c r="L371" t="n">
        <v>0</v>
      </c>
      <c r="M371" t="n">
        <v>0</v>
      </c>
      <c r="N371" t="n">
        <v>0</v>
      </c>
      <c r="O371" t="n">
        <v>0</v>
      </c>
      <c r="P371" t="n">
        <v>0</v>
      </c>
      <c r="Q371" t="n">
        <v>0</v>
      </c>
      <c r="R371" s="2" t="inlineStr"/>
    </row>
    <row r="372" ht="15" customHeight="1">
      <c r="A372" t="inlineStr">
        <is>
          <t>A 5885-2024</t>
        </is>
      </c>
      <c r="B372" s="1" t="n">
        <v>45335</v>
      </c>
      <c r="C372" s="1" t="n">
        <v>45880</v>
      </c>
      <c r="D372" t="inlineStr">
        <is>
          <t>DALARNAS LÄN</t>
        </is>
      </c>
      <c r="E372" t="inlineStr">
        <is>
          <t>ÄLVDALEN</t>
        </is>
      </c>
      <c r="G372" t="n">
        <v>0.8</v>
      </c>
      <c r="H372" t="n">
        <v>0</v>
      </c>
      <c r="I372" t="n">
        <v>0</v>
      </c>
      <c r="J372" t="n">
        <v>0</v>
      </c>
      <c r="K372" t="n">
        <v>0</v>
      </c>
      <c r="L372" t="n">
        <v>0</v>
      </c>
      <c r="M372" t="n">
        <v>0</v>
      </c>
      <c r="N372" t="n">
        <v>0</v>
      </c>
      <c r="O372" t="n">
        <v>0</v>
      </c>
      <c r="P372" t="n">
        <v>0</v>
      </c>
      <c r="Q372" t="n">
        <v>0</v>
      </c>
      <c r="R372" s="2" t="inlineStr"/>
    </row>
    <row r="373" ht="15" customHeight="1">
      <c r="A373" t="inlineStr">
        <is>
          <t>A 17558-2024</t>
        </is>
      </c>
      <c r="B373" s="1" t="n">
        <v>45415.66295138889</v>
      </c>
      <c r="C373" s="1" t="n">
        <v>45880</v>
      </c>
      <c r="D373" t="inlineStr">
        <is>
          <t>DALARNAS LÄN</t>
        </is>
      </c>
      <c r="E373" t="inlineStr">
        <is>
          <t>ÄLVDALEN</t>
        </is>
      </c>
      <c r="G373" t="n">
        <v>2.2</v>
      </c>
      <c r="H373" t="n">
        <v>0</v>
      </c>
      <c r="I373" t="n">
        <v>0</v>
      </c>
      <c r="J373" t="n">
        <v>0</v>
      </c>
      <c r="K373" t="n">
        <v>0</v>
      </c>
      <c r="L373" t="n">
        <v>0</v>
      </c>
      <c r="M373" t="n">
        <v>0</v>
      </c>
      <c r="N373" t="n">
        <v>0</v>
      </c>
      <c r="O373" t="n">
        <v>0</v>
      </c>
      <c r="P373" t="n">
        <v>0</v>
      </c>
      <c r="Q373" t="n">
        <v>0</v>
      </c>
      <c r="R373" s="2" t="inlineStr"/>
    </row>
    <row r="374" ht="15" customHeight="1">
      <c r="A374" t="inlineStr">
        <is>
          <t>A 23555-2025</t>
        </is>
      </c>
      <c r="B374" s="1" t="n">
        <v>45792.57824074074</v>
      </c>
      <c r="C374" s="1" t="n">
        <v>45880</v>
      </c>
      <c r="D374" t="inlineStr">
        <is>
          <t>DALARNAS LÄN</t>
        </is>
      </c>
      <c r="E374" t="inlineStr">
        <is>
          <t>ÄLVDALEN</t>
        </is>
      </c>
      <c r="G374" t="n">
        <v>3.1</v>
      </c>
      <c r="H374" t="n">
        <v>0</v>
      </c>
      <c r="I374" t="n">
        <v>0</v>
      </c>
      <c r="J374" t="n">
        <v>0</v>
      </c>
      <c r="K374" t="n">
        <v>0</v>
      </c>
      <c r="L374" t="n">
        <v>0</v>
      </c>
      <c r="M374" t="n">
        <v>0</v>
      </c>
      <c r="N374" t="n">
        <v>0</v>
      </c>
      <c r="O374" t="n">
        <v>0</v>
      </c>
      <c r="P374" t="n">
        <v>0</v>
      </c>
      <c r="Q374" t="n">
        <v>0</v>
      </c>
      <c r="R374" s="2" t="inlineStr"/>
    </row>
    <row r="375" ht="15" customHeight="1">
      <c r="A375" t="inlineStr">
        <is>
          <t>A 51967-2023</t>
        </is>
      </c>
      <c r="B375" s="1" t="n">
        <v>45223.56440972222</v>
      </c>
      <c r="C375" s="1" t="n">
        <v>45880</v>
      </c>
      <c r="D375" t="inlineStr">
        <is>
          <t>DALARNAS LÄN</t>
        </is>
      </c>
      <c r="E375" t="inlineStr">
        <is>
          <t>ÄLVDALEN</t>
        </is>
      </c>
      <c r="G375" t="n">
        <v>2.2</v>
      </c>
      <c r="H375" t="n">
        <v>0</v>
      </c>
      <c r="I375" t="n">
        <v>0</v>
      </c>
      <c r="J375" t="n">
        <v>0</v>
      </c>
      <c r="K375" t="n">
        <v>0</v>
      </c>
      <c r="L375" t="n">
        <v>0</v>
      </c>
      <c r="M375" t="n">
        <v>0</v>
      </c>
      <c r="N375" t="n">
        <v>0</v>
      </c>
      <c r="O375" t="n">
        <v>0</v>
      </c>
      <c r="P375" t="n">
        <v>0</v>
      </c>
      <c r="Q375" t="n">
        <v>0</v>
      </c>
      <c r="R375" s="2" t="inlineStr"/>
    </row>
    <row r="376" ht="15" customHeight="1">
      <c r="A376" t="inlineStr">
        <is>
          <t>A 23219-2025</t>
        </is>
      </c>
      <c r="B376" s="1" t="n">
        <v>45791.47893518519</v>
      </c>
      <c r="C376" s="1" t="n">
        <v>45880</v>
      </c>
      <c r="D376" t="inlineStr">
        <is>
          <t>DALARNAS LÄN</t>
        </is>
      </c>
      <c r="E376" t="inlineStr">
        <is>
          <t>ÄLVDALEN</t>
        </is>
      </c>
      <c r="F376" t="inlineStr">
        <is>
          <t>Bergvik skog öst AB</t>
        </is>
      </c>
      <c r="G376" t="n">
        <v>16.7</v>
      </c>
      <c r="H376" t="n">
        <v>0</v>
      </c>
      <c r="I376" t="n">
        <v>0</v>
      </c>
      <c r="J376" t="n">
        <v>0</v>
      </c>
      <c r="K376" t="n">
        <v>0</v>
      </c>
      <c r="L376" t="n">
        <v>0</v>
      </c>
      <c r="M376" t="n">
        <v>0</v>
      </c>
      <c r="N376" t="n">
        <v>0</v>
      </c>
      <c r="O376" t="n">
        <v>0</v>
      </c>
      <c r="P376" t="n">
        <v>0</v>
      </c>
      <c r="Q376" t="n">
        <v>0</v>
      </c>
      <c r="R376" s="2" t="inlineStr"/>
    </row>
    <row r="377" ht="15" customHeight="1">
      <c r="A377" t="inlineStr">
        <is>
          <t>A 8492-2025</t>
        </is>
      </c>
      <c r="B377" s="1" t="n">
        <v>45709.50980324074</v>
      </c>
      <c r="C377" s="1" t="n">
        <v>45880</v>
      </c>
      <c r="D377" t="inlineStr">
        <is>
          <t>DALARNAS LÄN</t>
        </is>
      </c>
      <c r="E377" t="inlineStr">
        <is>
          <t>ÄLVDALEN</t>
        </is>
      </c>
      <c r="G377" t="n">
        <v>1.4</v>
      </c>
      <c r="H377" t="n">
        <v>0</v>
      </c>
      <c r="I377" t="n">
        <v>0</v>
      </c>
      <c r="J377" t="n">
        <v>0</v>
      </c>
      <c r="K377" t="n">
        <v>0</v>
      </c>
      <c r="L377" t="n">
        <v>0</v>
      </c>
      <c r="M377" t="n">
        <v>0</v>
      </c>
      <c r="N377" t="n">
        <v>0</v>
      </c>
      <c r="O377" t="n">
        <v>0</v>
      </c>
      <c r="P377" t="n">
        <v>0</v>
      </c>
      <c r="Q377" t="n">
        <v>0</v>
      </c>
      <c r="R377" s="2" t="inlineStr"/>
    </row>
    <row r="378" ht="15" customHeight="1">
      <c r="A378" t="inlineStr">
        <is>
          <t>A 47877-2023</t>
        </is>
      </c>
      <c r="B378" s="1" t="n">
        <v>45204</v>
      </c>
      <c r="C378" s="1" t="n">
        <v>45880</v>
      </c>
      <c r="D378" t="inlineStr">
        <is>
          <t>DALARNAS LÄN</t>
        </is>
      </c>
      <c r="E378" t="inlineStr">
        <is>
          <t>ÄLVDALEN</t>
        </is>
      </c>
      <c r="G378" t="n">
        <v>4.8</v>
      </c>
      <c r="H378" t="n">
        <v>0</v>
      </c>
      <c r="I378" t="n">
        <v>0</v>
      </c>
      <c r="J378" t="n">
        <v>0</v>
      </c>
      <c r="K378" t="n">
        <v>0</v>
      </c>
      <c r="L378" t="n">
        <v>0</v>
      </c>
      <c r="M378" t="n">
        <v>0</v>
      </c>
      <c r="N378" t="n">
        <v>0</v>
      </c>
      <c r="O378" t="n">
        <v>0</v>
      </c>
      <c r="P378" t="n">
        <v>0</v>
      </c>
      <c r="Q378" t="n">
        <v>0</v>
      </c>
      <c r="R378" s="2" t="inlineStr"/>
    </row>
    <row r="379" ht="15" customHeight="1">
      <c r="A379" t="inlineStr">
        <is>
          <t>A 47087-2024</t>
        </is>
      </c>
      <c r="B379" s="1" t="n">
        <v>45586.50946759259</v>
      </c>
      <c r="C379" s="1" t="n">
        <v>45880</v>
      </c>
      <c r="D379" t="inlineStr">
        <is>
          <t>DALARNAS LÄN</t>
        </is>
      </c>
      <c r="E379" t="inlineStr">
        <is>
          <t>ÄLVDALEN</t>
        </is>
      </c>
      <c r="G379" t="n">
        <v>2.6</v>
      </c>
      <c r="H379" t="n">
        <v>0</v>
      </c>
      <c r="I379" t="n">
        <v>0</v>
      </c>
      <c r="J379" t="n">
        <v>0</v>
      </c>
      <c r="K379" t="n">
        <v>0</v>
      </c>
      <c r="L379" t="n">
        <v>0</v>
      </c>
      <c r="M379" t="n">
        <v>0</v>
      </c>
      <c r="N379" t="n">
        <v>0</v>
      </c>
      <c r="O379" t="n">
        <v>0</v>
      </c>
      <c r="P379" t="n">
        <v>0</v>
      </c>
      <c r="Q379" t="n">
        <v>0</v>
      </c>
      <c r="R379" s="2" t="inlineStr"/>
    </row>
    <row r="380" ht="15" customHeight="1">
      <c r="A380" t="inlineStr">
        <is>
          <t>A 33107-2023</t>
        </is>
      </c>
      <c r="B380" s="1" t="n">
        <v>45114</v>
      </c>
      <c r="C380" s="1" t="n">
        <v>45880</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713-2022</t>
        </is>
      </c>
      <c r="B381" s="1" t="n">
        <v>44568</v>
      </c>
      <c r="C381" s="1" t="n">
        <v>45880</v>
      </c>
      <c r="D381" t="inlineStr">
        <is>
          <t>DALARNAS LÄN</t>
        </is>
      </c>
      <c r="E381" t="inlineStr">
        <is>
          <t>ÄLVDALEN</t>
        </is>
      </c>
      <c r="G381" t="n">
        <v>1.6</v>
      </c>
      <c r="H381" t="n">
        <v>0</v>
      </c>
      <c r="I381" t="n">
        <v>0</v>
      </c>
      <c r="J381" t="n">
        <v>0</v>
      </c>
      <c r="K381" t="n">
        <v>0</v>
      </c>
      <c r="L381" t="n">
        <v>0</v>
      </c>
      <c r="M381" t="n">
        <v>0</v>
      </c>
      <c r="N381" t="n">
        <v>0</v>
      </c>
      <c r="O381" t="n">
        <v>0</v>
      </c>
      <c r="P381" t="n">
        <v>0</v>
      </c>
      <c r="Q381" t="n">
        <v>0</v>
      </c>
      <c r="R381" s="2" t="inlineStr"/>
    </row>
    <row r="382" ht="15" customHeight="1">
      <c r="A382" t="inlineStr">
        <is>
          <t>A 59478-2024</t>
        </is>
      </c>
      <c r="B382" s="1" t="n">
        <v>45638.52181712963</v>
      </c>
      <c r="C382" s="1" t="n">
        <v>45880</v>
      </c>
      <c r="D382" t="inlineStr">
        <is>
          <t>DALARNAS LÄN</t>
        </is>
      </c>
      <c r="E382" t="inlineStr">
        <is>
          <t>ÄLVDALEN</t>
        </is>
      </c>
      <c r="F382" t="inlineStr">
        <is>
          <t>Allmännings- och besparingsskogar</t>
        </is>
      </c>
      <c r="G382" t="n">
        <v>6.9</v>
      </c>
      <c r="H382" t="n">
        <v>0</v>
      </c>
      <c r="I382" t="n">
        <v>0</v>
      </c>
      <c r="J382" t="n">
        <v>0</v>
      </c>
      <c r="K382" t="n">
        <v>0</v>
      </c>
      <c r="L382" t="n">
        <v>0</v>
      </c>
      <c r="M382" t="n">
        <v>0</v>
      </c>
      <c r="N382" t="n">
        <v>0</v>
      </c>
      <c r="O382" t="n">
        <v>0</v>
      </c>
      <c r="P382" t="n">
        <v>0</v>
      </c>
      <c r="Q382" t="n">
        <v>0</v>
      </c>
      <c r="R382" s="2" t="inlineStr"/>
    </row>
    <row r="383" ht="15" customHeight="1">
      <c r="A383" t="inlineStr">
        <is>
          <t>A 32187-2024</t>
        </is>
      </c>
      <c r="B383" s="1" t="n">
        <v>45511.64925925926</v>
      </c>
      <c r="C383" s="1" t="n">
        <v>45880</v>
      </c>
      <c r="D383" t="inlineStr">
        <is>
          <t>DALARNAS LÄN</t>
        </is>
      </c>
      <c r="E383" t="inlineStr">
        <is>
          <t>ÄLVDALEN</t>
        </is>
      </c>
      <c r="F383" t="inlineStr">
        <is>
          <t>Allmännings- och besparingsskogar</t>
        </is>
      </c>
      <c r="G383" t="n">
        <v>20</v>
      </c>
      <c r="H383" t="n">
        <v>0</v>
      </c>
      <c r="I383" t="n">
        <v>0</v>
      </c>
      <c r="J383" t="n">
        <v>0</v>
      </c>
      <c r="K383" t="n">
        <v>0</v>
      </c>
      <c r="L383" t="n">
        <v>0</v>
      </c>
      <c r="M383" t="n">
        <v>0</v>
      </c>
      <c r="N383" t="n">
        <v>0</v>
      </c>
      <c r="O383" t="n">
        <v>0</v>
      </c>
      <c r="P383" t="n">
        <v>0</v>
      </c>
      <c r="Q383" t="n">
        <v>0</v>
      </c>
      <c r="R383" s="2" t="inlineStr"/>
    </row>
    <row r="384" ht="15" customHeight="1">
      <c r="A384" t="inlineStr">
        <is>
          <t>A 760-2025</t>
        </is>
      </c>
      <c r="B384" s="1" t="n">
        <v>45665.44936342593</v>
      </c>
      <c r="C384" s="1" t="n">
        <v>45880</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777-2025</t>
        </is>
      </c>
      <c r="B385" s="1" t="n">
        <v>45665.47403935185</v>
      </c>
      <c r="C385" s="1" t="n">
        <v>45880</v>
      </c>
      <c r="D385" t="inlineStr">
        <is>
          <t>DALARNAS LÄN</t>
        </is>
      </c>
      <c r="E385" t="inlineStr">
        <is>
          <t>ÄLVDALEN</t>
        </is>
      </c>
      <c r="G385" t="n">
        <v>2.4</v>
      </c>
      <c r="H385" t="n">
        <v>0</v>
      </c>
      <c r="I385" t="n">
        <v>0</v>
      </c>
      <c r="J385" t="n">
        <v>0</v>
      </c>
      <c r="K385" t="n">
        <v>0</v>
      </c>
      <c r="L385" t="n">
        <v>0</v>
      </c>
      <c r="M385" t="n">
        <v>0</v>
      </c>
      <c r="N385" t="n">
        <v>0</v>
      </c>
      <c r="O385" t="n">
        <v>0</v>
      </c>
      <c r="P385" t="n">
        <v>0</v>
      </c>
      <c r="Q385" t="n">
        <v>0</v>
      </c>
      <c r="R385" s="2" t="inlineStr"/>
    </row>
    <row r="386" ht="15" customHeight="1">
      <c r="A386" t="inlineStr">
        <is>
          <t>A 54076-2024</t>
        </is>
      </c>
      <c r="B386" s="1" t="n">
        <v>45616</v>
      </c>
      <c r="C386" s="1" t="n">
        <v>45880</v>
      </c>
      <c r="D386" t="inlineStr">
        <is>
          <t>DALARNAS LÄN</t>
        </is>
      </c>
      <c r="E386" t="inlineStr">
        <is>
          <t>ÄLVDALEN</t>
        </is>
      </c>
      <c r="G386" t="n">
        <v>1.7</v>
      </c>
      <c r="H386" t="n">
        <v>0</v>
      </c>
      <c r="I386" t="n">
        <v>0</v>
      </c>
      <c r="J386" t="n">
        <v>0</v>
      </c>
      <c r="K386" t="n">
        <v>0</v>
      </c>
      <c r="L386" t="n">
        <v>0</v>
      </c>
      <c r="M386" t="n">
        <v>0</v>
      </c>
      <c r="N386" t="n">
        <v>0</v>
      </c>
      <c r="O386" t="n">
        <v>0</v>
      </c>
      <c r="P386" t="n">
        <v>0</v>
      </c>
      <c r="Q386" t="n">
        <v>0</v>
      </c>
      <c r="R386" s="2" t="inlineStr"/>
    </row>
    <row r="387" ht="15" customHeight="1">
      <c r="A387" t="inlineStr">
        <is>
          <t>A 57665-2024</t>
        </is>
      </c>
      <c r="B387" s="1" t="n">
        <v>45630.62005787037</v>
      </c>
      <c r="C387" s="1" t="n">
        <v>45880</v>
      </c>
      <c r="D387" t="inlineStr">
        <is>
          <t>DALARNAS LÄN</t>
        </is>
      </c>
      <c r="E387" t="inlineStr">
        <is>
          <t>ÄLVDALEN</t>
        </is>
      </c>
      <c r="F387" t="inlineStr">
        <is>
          <t>Allmännings- och besparingsskogar</t>
        </is>
      </c>
      <c r="G387" t="n">
        <v>2</v>
      </c>
      <c r="H387" t="n">
        <v>0</v>
      </c>
      <c r="I387" t="n">
        <v>0</v>
      </c>
      <c r="J387" t="n">
        <v>0</v>
      </c>
      <c r="K387" t="n">
        <v>0</v>
      </c>
      <c r="L387" t="n">
        <v>0</v>
      </c>
      <c r="M387" t="n">
        <v>0</v>
      </c>
      <c r="N387" t="n">
        <v>0</v>
      </c>
      <c r="O387" t="n">
        <v>0</v>
      </c>
      <c r="P387" t="n">
        <v>0</v>
      </c>
      <c r="Q387" t="n">
        <v>0</v>
      </c>
      <c r="R387" s="2" t="inlineStr"/>
    </row>
    <row r="388" ht="15" customHeight="1">
      <c r="A388" t="inlineStr">
        <is>
          <t>A 32668-2025</t>
        </is>
      </c>
      <c r="B388" s="1" t="n">
        <v>45838.69678240741</v>
      </c>
      <c r="C388" s="1" t="n">
        <v>45880</v>
      </c>
      <c r="D388" t="inlineStr">
        <is>
          <t>DALARNAS LÄN</t>
        </is>
      </c>
      <c r="E388" t="inlineStr">
        <is>
          <t>ÄLVDALEN</t>
        </is>
      </c>
      <c r="F388" t="inlineStr">
        <is>
          <t>Övriga Aktiebolag</t>
        </is>
      </c>
      <c r="G388" t="n">
        <v>29.5</v>
      </c>
      <c r="H388" t="n">
        <v>0</v>
      </c>
      <c r="I388" t="n">
        <v>0</v>
      </c>
      <c r="J388" t="n">
        <v>0</v>
      </c>
      <c r="K388" t="n">
        <v>0</v>
      </c>
      <c r="L388" t="n">
        <v>0</v>
      </c>
      <c r="M388" t="n">
        <v>0</v>
      </c>
      <c r="N388" t="n">
        <v>0</v>
      </c>
      <c r="O388" t="n">
        <v>0</v>
      </c>
      <c r="P388" t="n">
        <v>0</v>
      </c>
      <c r="Q388" t="n">
        <v>0</v>
      </c>
      <c r="R388" s="2" t="inlineStr"/>
    </row>
    <row r="389" ht="15" customHeight="1">
      <c r="A389" t="inlineStr">
        <is>
          <t>A 32063-2025</t>
        </is>
      </c>
      <c r="B389" s="1" t="n">
        <v>45835.44703703704</v>
      </c>
      <c r="C389" s="1" t="n">
        <v>45880</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59209-2022</t>
        </is>
      </c>
      <c r="B390" s="1" t="n">
        <v>44904</v>
      </c>
      <c r="C390" s="1" t="n">
        <v>45880</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23328-2024</t>
        </is>
      </c>
      <c r="B391" s="1" t="n">
        <v>45453.46716435185</v>
      </c>
      <c r="C391" s="1" t="n">
        <v>45880</v>
      </c>
      <c r="D391" t="inlineStr">
        <is>
          <t>DALARNAS LÄN</t>
        </is>
      </c>
      <c r="E391" t="inlineStr">
        <is>
          <t>ÄLVDALEN</t>
        </is>
      </c>
      <c r="G391" t="n">
        <v>2.7</v>
      </c>
      <c r="H391" t="n">
        <v>0</v>
      </c>
      <c r="I391" t="n">
        <v>0</v>
      </c>
      <c r="J391" t="n">
        <v>0</v>
      </c>
      <c r="K391" t="n">
        <v>0</v>
      </c>
      <c r="L391" t="n">
        <v>0</v>
      </c>
      <c r="M391" t="n">
        <v>0</v>
      </c>
      <c r="N391" t="n">
        <v>0</v>
      </c>
      <c r="O391" t="n">
        <v>0</v>
      </c>
      <c r="P391" t="n">
        <v>0</v>
      </c>
      <c r="Q391" t="n">
        <v>0</v>
      </c>
      <c r="R391" s="2" t="inlineStr"/>
    </row>
    <row r="392" ht="15" customHeight="1">
      <c r="A392" t="inlineStr">
        <is>
          <t>A 74322-2021</t>
        </is>
      </c>
      <c r="B392" s="1" t="n">
        <v>44558</v>
      </c>
      <c r="C392" s="1" t="n">
        <v>45880</v>
      </c>
      <c r="D392" t="inlineStr">
        <is>
          <t>DALARNAS LÄN</t>
        </is>
      </c>
      <c r="E392" t="inlineStr">
        <is>
          <t>ÄLVDALEN</t>
        </is>
      </c>
      <c r="G392" t="n">
        <v>1.2</v>
      </c>
      <c r="H392" t="n">
        <v>0</v>
      </c>
      <c r="I392" t="n">
        <v>0</v>
      </c>
      <c r="J392" t="n">
        <v>0</v>
      </c>
      <c r="K392" t="n">
        <v>0</v>
      </c>
      <c r="L392" t="n">
        <v>0</v>
      </c>
      <c r="M392" t="n">
        <v>0</v>
      </c>
      <c r="N392" t="n">
        <v>0</v>
      </c>
      <c r="O392" t="n">
        <v>0</v>
      </c>
      <c r="P392" t="n">
        <v>0</v>
      </c>
      <c r="Q392" t="n">
        <v>0</v>
      </c>
      <c r="R392" s="2" t="inlineStr"/>
    </row>
    <row r="393" ht="15" customHeight="1">
      <c r="A393" t="inlineStr">
        <is>
          <t>A 30414-2024</t>
        </is>
      </c>
      <c r="B393" s="1" t="n">
        <v>45491.63538194444</v>
      </c>
      <c r="C393" s="1" t="n">
        <v>45880</v>
      </c>
      <c r="D393" t="inlineStr">
        <is>
          <t>DALARNAS LÄN</t>
        </is>
      </c>
      <c r="E393" t="inlineStr">
        <is>
          <t>ÄLVDALEN</t>
        </is>
      </c>
      <c r="G393" t="n">
        <v>0.7</v>
      </c>
      <c r="H393" t="n">
        <v>0</v>
      </c>
      <c r="I393" t="n">
        <v>0</v>
      </c>
      <c r="J393" t="n">
        <v>0</v>
      </c>
      <c r="K393" t="n">
        <v>0</v>
      </c>
      <c r="L393" t="n">
        <v>0</v>
      </c>
      <c r="M393" t="n">
        <v>0</v>
      </c>
      <c r="N393" t="n">
        <v>0</v>
      </c>
      <c r="O393" t="n">
        <v>0</v>
      </c>
      <c r="P393" t="n">
        <v>0</v>
      </c>
      <c r="Q393" t="n">
        <v>0</v>
      </c>
      <c r="R393" s="2" t="inlineStr"/>
    </row>
    <row r="394" ht="15" customHeight="1">
      <c r="A394" t="inlineStr">
        <is>
          <t>A 32237-2025</t>
        </is>
      </c>
      <c r="B394" s="1" t="n">
        <v>45835.61434027777</v>
      </c>
      <c r="C394" s="1" t="n">
        <v>45880</v>
      </c>
      <c r="D394" t="inlineStr">
        <is>
          <t>DALARNAS LÄN</t>
        </is>
      </c>
      <c r="E394" t="inlineStr">
        <is>
          <t>ÄLVDALEN</t>
        </is>
      </c>
      <c r="G394" t="n">
        <v>4.6</v>
      </c>
      <c r="H394" t="n">
        <v>0</v>
      </c>
      <c r="I394" t="n">
        <v>0</v>
      </c>
      <c r="J394" t="n">
        <v>0</v>
      </c>
      <c r="K394" t="n">
        <v>0</v>
      </c>
      <c r="L394" t="n">
        <v>0</v>
      </c>
      <c r="M394" t="n">
        <v>0</v>
      </c>
      <c r="N394" t="n">
        <v>0</v>
      </c>
      <c r="O394" t="n">
        <v>0</v>
      </c>
      <c r="P394" t="n">
        <v>0</v>
      </c>
      <c r="Q394" t="n">
        <v>0</v>
      </c>
      <c r="R394" s="2" t="inlineStr"/>
    </row>
    <row r="395" ht="15" customHeight="1">
      <c r="A395" t="inlineStr">
        <is>
          <t>A 57533-2024</t>
        </is>
      </c>
      <c r="B395" s="1" t="n">
        <v>45630.4246875</v>
      </c>
      <c r="C395" s="1" t="n">
        <v>45880</v>
      </c>
      <c r="D395" t="inlineStr">
        <is>
          <t>DALARNAS LÄN</t>
        </is>
      </c>
      <c r="E395" t="inlineStr">
        <is>
          <t>ÄLVDALEN</t>
        </is>
      </c>
      <c r="G395" t="n">
        <v>2.5</v>
      </c>
      <c r="H395" t="n">
        <v>0</v>
      </c>
      <c r="I395" t="n">
        <v>0</v>
      </c>
      <c r="J395" t="n">
        <v>0</v>
      </c>
      <c r="K395" t="n">
        <v>0</v>
      </c>
      <c r="L395" t="n">
        <v>0</v>
      </c>
      <c r="M395" t="n">
        <v>0</v>
      </c>
      <c r="N395" t="n">
        <v>0</v>
      </c>
      <c r="O395" t="n">
        <v>0</v>
      </c>
      <c r="P395" t="n">
        <v>0</v>
      </c>
      <c r="Q395" t="n">
        <v>0</v>
      </c>
      <c r="R395" s="2" t="inlineStr"/>
    </row>
    <row r="396" ht="15" customHeight="1">
      <c r="A396" t="inlineStr">
        <is>
          <t>A 47645-2024</t>
        </is>
      </c>
      <c r="B396" s="1" t="n">
        <v>45588.37167824074</v>
      </c>
      <c r="C396" s="1" t="n">
        <v>45880</v>
      </c>
      <c r="D396" t="inlineStr">
        <is>
          <t>DALARNAS LÄN</t>
        </is>
      </c>
      <c r="E396" t="inlineStr">
        <is>
          <t>ÄLVDALEN</t>
        </is>
      </c>
      <c r="G396" t="n">
        <v>4.6</v>
      </c>
      <c r="H396" t="n">
        <v>0</v>
      </c>
      <c r="I396" t="n">
        <v>0</v>
      </c>
      <c r="J396" t="n">
        <v>0</v>
      </c>
      <c r="K396" t="n">
        <v>0</v>
      </c>
      <c r="L396" t="n">
        <v>0</v>
      </c>
      <c r="M396" t="n">
        <v>0</v>
      </c>
      <c r="N396" t="n">
        <v>0</v>
      </c>
      <c r="O396" t="n">
        <v>0</v>
      </c>
      <c r="P396" t="n">
        <v>0</v>
      </c>
      <c r="Q396" t="n">
        <v>0</v>
      </c>
      <c r="R396" s="2" t="inlineStr"/>
    </row>
    <row r="397" ht="15" customHeight="1">
      <c r="A397" t="inlineStr">
        <is>
          <t>A 43351-2024</t>
        </is>
      </c>
      <c r="B397" s="1" t="n">
        <v>45568.56023148148</v>
      </c>
      <c r="C397" s="1" t="n">
        <v>45880</v>
      </c>
      <c r="D397" t="inlineStr">
        <is>
          <t>DALARNAS LÄN</t>
        </is>
      </c>
      <c r="E397" t="inlineStr">
        <is>
          <t>ÄLVDALEN</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37730-2023</t>
        </is>
      </c>
      <c r="B398" s="1" t="n">
        <v>45159</v>
      </c>
      <c r="C398" s="1" t="n">
        <v>45880</v>
      </c>
      <c r="D398" t="inlineStr">
        <is>
          <t>DALARNAS LÄN</t>
        </is>
      </c>
      <c r="E398" t="inlineStr">
        <is>
          <t>ÄLVDALEN</t>
        </is>
      </c>
      <c r="G398" t="n">
        <v>5.4</v>
      </c>
      <c r="H398" t="n">
        <v>0</v>
      </c>
      <c r="I398" t="n">
        <v>0</v>
      </c>
      <c r="J398" t="n">
        <v>0</v>
      </c>
      <c r="K398" t="n">
        <v>0</v>
      </c>
      <c r="L398" t="n">
        <v>0</v>
      </c>
      <c r="M398" t="n">
        <v>0</v>
      </c>
      <c r="N398" t="n">
        <v>0</v>
      </c>
      <c r="O398" t="n">
        <v>0</v>
      </c>
      <c r="P398" t="n">
        <v>0</v>
      </c>
      <c r="Q398" t="n">
        <v>0</v>
      </c>
      <c r="R398" s="2" t="inlineStr"/>
    </row>
    <row r="399" ht="15" customHeight="1">
      <c r="A399" t="inlineStr">
        <is>
          <t>A 59545-2024</t>
        </is>
      </c>
      <c r="B399" s="1" t="n">
        <v>45638.62018518519</v>
      </c>
      <c r="C399" s="1" t="n">
        <v>45880</v>
      </c>
      <c r="D399" t="inlineStr">
        <is>
          <t>DALARNAS LÄN</t>
        </is>
      </c>
      <c r="E399" t="inlineStr">
        <is>
          <t>ÄLVDALEN</t>
        </is>
      </c>
      <c r="G399" t="n">
        <v>7.9</v>
      </c>
      <c r="H399" t="n">
        <v>0</v>
      </c>
      <c r="I399" t="n">
        <v>0</v>
      </c>
      <c r="J399" t="n">
        <v>0</v>
      </c>
      <c r="K399" t="n">
        <v>0</v>
      </c>
      <c r="L399" t="n">
        <v>0</v>
      </c>
      <c r="M399" t="n">
        <v>0</v>
      </c>
      <c r="N399" t="n">
        <v>0</v>
      </c>
      <c r="O399" t="n">
        <v>0</v>
      </c>
      <c r="P399" t="n">
        <v>0</v>
      </c>
      <c r="Q399" t="n">
        <v>0</v>
      </c>
      <c r="R399" s="2" t="inlineStr"/>
    </row>
    <row r="400" ht="15" customHeight="1">
      <c r="A400" t="inlineStr">
        <is>
          <t>A 54493-2023</t>
        </is>
      </c>
      <c r="B400" s="1" t="n">
        <v>45233.50606481481</v>
      </c>
      <c r="C400" s="1" t="n">
        <v>45880</v>
      </c>
      <c r="D400" t="inlineStr">
        <is>
          <t>DALARNAS LÄN</t>
        </is>
      </c>
      <c r="E400" t="inlineStr">
        <is>
          <t>ÄLVDALEN</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45155-2023</t>
        </is>
      </c>
      <c r="B401" s="1" t="n">
        <v>45187</v>
      </c>
      <c r="C401" s="1" t="n">
        <v>45880</v>
      </c>
      <c r="D401" t="inlineStr">
        <is>
          <t>DALARNAS LÄN</t>
        </is>
      </c>
      <c r="E401" t="inlineStr">
        <is>
          <t>ÄLVDALEN</t>
        </is>
      </c>
      <c r="G401" t="n">
        <v>40.1</v>
      </c>
      <c r="H401" t="n">
        <v>0</v>
      </c>
      <c r="I401" t="n">
        <v>0</v>
      </c>
      <c r="J401" t="n">
        <v>0</v>
      </c>
      <c r="K401" t="n">
        <v>0</v>
      </c>
      <c r="L401" t="n">
        <v>0</v>
      </c>
      <c r="M401" t="n">
        <v>0</v>
      </c>
      <c r="N401" t="n">
        <v>0</v>
      </c>
      <c r="O401" t="n">
        <v>0</v>
      </c>
      <c r="P401" t="n">
        <v>0</v>
      </c>
      <c r="Q401" t="n">
        <v>0</v>
      </c>
      <c r="R401" s="2" t="inlineStr"/>
    </row>
    <row r="402" ht="15" customHeight="1">
      <c r="A402" t="inlineStr">
        <is>
          <t>A 13000-2022</t>
        </is>
      </c>
      <c r="B402" s="1" t="n">
        <v>44643.44597222222</v>
      </c>
      <c r="C402" s="1" t="n">
        <v>45880</v>
      </c>
      <c r="D402" t="inlineStr">
        <is>
          <t>DALARNAS LÄN</t>
        </is>
      </c>
      <c r="E402" t="inlineStr">
        <is>
          <t>ÄLVDALEN</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23999-2024</t>
        </is>
      </c>
      <c r="B403" s="1" t="n">
        <v>45456.37555555555</v>
      </c>
      <c r="C403" s="1" t="n">
        <v>45880</v>
      </c>
      <c r="D403" t="inlineStr">
        <is>
          <t>DALARNAS LÄN</t>
        </is>
      </c>
      <c r="E403" t="inlineStr">
        <is>
          <t>ÄLVDALEN</t>
        </is>
      </c>
      <c r="G403" t="n">
        <v>1</v>
      </c>
      <c r="H403" t="n">
        <v>0</v>
      </c>
      <c r="I403" t="n">
        <v>0</v>
      </c>
      <c r="J403" t="n">
        <v>0</v>
      </c>
      <c r="K403" t="n">
        <v>0</v>
      </c>
      <c r="L403" t="n">
        <v>0</v>
      </c>
      <c r="M403" t="n">
        <v>0</v>
      </c>
      <c r="N403" t="n">
        <v>0</v>
      </c>
      <c r="O403" t="n">
        <v>0</v>
      </c>
      <c r="P403" t="n">
        <v>0</v>
      </c>
      <c r="Q403" t="n">
        <v>0</v>
      </c>
      <c r="R403" s="2" t="inlineStr"/>
    </row>
    <row r="404" ht="15" customHeight="1">
      <c r="A404" t="inlineStr">
        <is>
          <t>A 24002-2024</t>
        </is>
      </c>
      <c r="B404" s="1" t="n">
        <v>45456.3827662037</v>
      </c>
      <c r="C404" s="1" t="n">
        <v>45880</v>
      </c>
      <c r="D404" t="inlineStr">
        <is>
          <t>DALARNAS LÄN</t>
        </is>
      </c>
      <c r="E404" t="inlineStr">
        <is>
          <t>ÄLVDALEN</t>
        </is>
      </c>
      <c r="G404" t="n">
        <v>1</v>
      </c>
      <c r="H404" t="n">
        <v>0</v>
      </c>
      <c r="I404" t="n">
        <v>0</v>
      </c>
      <c r="J404" t="n">
        <v>0</v>
      </c>
      <c r="K404" t="n">
        <v>0</v>
      </c>
      <c r="L404" t="n">
        <v>0</v>
      </c>
      <c r="M404" t="n">
        <v>0</v>
      </c>
      <c r="N404" t="n">
        <v>0</v>
      </c>
      <c r="O404" t="n">
        <v>0</v>
      </c>
      <c r="P404" t="n">
        <v>0</v>
      </c>
      <c r="Q404" t="n">
        <v>0</v>
      </c>
      <c r="R404" s="2" t="inlineStr"/>
    </row>
    <row r="405" ht="15" customHeight="1">
      <c r="A405" t="inlineStr">
        <is>
          <t>A 24637-2025</t>
        </is>
      </c>
      <c r="B405" s="1" t="n">
        <v>45798.616875</v>
      </c>
      <c r="C405" s="1" t="n">
        <v>45880</v>
      </c>
      <c r="D405" t="inlineStr">
        <is>
          <t>DALARNAS LÄN</t>
        </is>
      </c>
      <c r="E405" t="inlineStr">
        <is>
          <t>ÄLVDALEN</t>
        </is>
      </c>
      <c r="G405" t="n">
        <v>0.5</v>
      </c>
      <c r="H405" t="n">
        <v>0</v>
      </c>
      <c r="I405" t="n">
        <v>0</v>
      </c>
      <c r="J405" t="n">
        <v>0</v>
      </c>
      <c r="K405" t="n">
        <v>0</v>
      </c>
      <c r="L405" t="n">
        <v>0</v>
      </c>
      <c r="M405" t="n">
        <v>0</v>
      </c>
      <c r="N405" t="n">
        <v>0</v>
      </c>
      <c r="O405" t="n">
        <v>0</v>
      </c>
      <c r="P405" t="n">
        <v>0</v>
      </c>
      <c r="Q405" t="n">
        <v>0</v>
      </c>
      <c r="R405" s="2" t="inlineStr"/>
    </row>
    <row r="406" ht="15" customHeight="1">
      <c r="A406" t="inlineStr">
        <is>
          <t>A 19588-2025</t>
        </is>
      </c>
      <c r="B406" s="1" t="n">
        <v>45770</v>
      </c>
      <c r="C406" s="1" t="n">
        <v>45880</v>
      </c>
      <c r="D406" t="inlineStr">
        <is>
          <t>DALARNAS LÄN</t>
        </is>
      </c>
      <c r="E406" t="inlineStr">
        <is>
          <t>ÄLVDALEN</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7917-2025</t>
        </is>
      </c>
      <c r="B407" s="1" t="n">
        <v>45707.35225694445</v>
      </c>
      <c r="C407" s="1" t="n">
        <v>45880</v>
      </c>
      <c r="D407" t="inlineStr">
        <is>
          <t>DALARNAS LÄN</t>
        </is>
      </c>
      <c r="E407" t="inlineStr">
        <is>
          <t>ÄLVDALEN</t>
        </is>
      </c>
      <c r="G407" t="n">
        <v>4.2</v>
      </c>
      <c r="H407" t="n">
        <v>0</v>
      </c>
      <c r="I407" t="n">
        <v>0</v>
      </c>
      <c r="J407" t="n">
        <v>0</v>
      </c>
      <c r="K407" t="n">
        <v>0</v>
      </c>
      <c r="L407" t="n">
        <v>0</v>
      </c>
      <c r="M407" t="n">
        <v>0</v>
      </c>
      <c r="N407" t="n">
        <v>0</v>
      </c>
      <c r="O407" t="n">
        <v>0</v>
      </c>
      <c r="P407" t="n">
        <v>0</v>
      </c>
      <c r="Q407" t="n">
        <v>0</v>
      </c>
      <c r="R407" s="2" t="inlineStr"/>
    </row>
    <row r="408" ht="15" customHeight="1">
      <c r="A408" t="inlineStr">
        <is>
          <t>A 7937-2025</t>
        </is>
      </c>
      <c r="B408" s="1" t="n">
        <v>45707.3953125</v>
      </c>
      <c r="C408" s="1" t="n">
        <v>45880</v>
      </c>
      <c r="D408" t="inlineStr">
        <is>
          <t>DALARNAS LÄN</t>
        </is>
      </c>
      <c r="E408" t="inlineStr">
        <is>
          <t>ÄLVDALEN</t>
        </is>
      </c>
      <c r="F408" t="inlineStr">
        <is>
          <t>Allmännings- och besparingsskogar</t>
        </is>
      </c>
      <c r="G408" t="n">
        <v>1.2</v>
      </c>
      <c r="H408" t="n">
        <v>0</v>
      </c>
      <c r="I408" t="n">
        <v>0</v>
      </c>
      <c r="J408" t="n">
        <v>0</v>
      </c>
      <c r="K408" t="n">
        <v>0</v>
      </c>
      <c r="L408" t="n">
        <v>0</v>
      </c>
      <c r="M408" t="n">
        <v>0</v>
      </c>
      <c r="N408" t="n">
        <v>0</v>
      </c>
      <c r="O408" t="n">
        <v>0</v>
      </c>
      <c r="P408" t="n">
        <v>0</v>
      </c>
      <c r="Q408" t="n">
        <v>0</v>
      </c>
      <c r="R408" s="2" t="inlineStr"/>
    </row>
    <row r="409" ht="15" customHeight="1">
      <c r="A409" t="inlineStr">
        <is>
          <t>A 32359-2024</t>
        </is>
      </c>
      <c r="B409" s="1" t="n">
        <v>45512.56623842593</v>
      </c>
      <c r="C409" s="1" t="n">
        <v>45880</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39283-2024</t>
        </is>
      </c>
      <c r="B410" s="1" t="n">
        <v>45551.36314814815</v>
      </c>
      <c r="C410" s="1" t="n">
        <v>45880</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24950-2025</t>
        </is>
      </c>
      <c r="B411" s="1" t="n">
        <v>45799.56943287037</v>
      </c>
      <c r="C411" s="1" t="n">
        <v>45880</v>
      </c>
      <c r="D411" t="inlineStr">
        <is>
          <t>DALARNAS LÄN</t>
        </is>
      </c>
      <c r="E411" t="inlineStr">
        <is>
          <t>ÄLVDALEN</t>
        </is>
      </c>
      <c r="F411" t="inlineStr">
        <is>
          <t>Sveaskog</t>
        </is>
      </c>
      <c r="G411" t="n">
        <v>0.4</v>
      </c>
      <c r="H411" t="n">
        <v>0</v>
      </c>
      <c r="I411" t="n">
        <v>0</v>
      </c>
      <c r="J411" t="n">
        <v>0</v>
      </c>
      <c r="K411" t="n">
        <v>0</v>
      </c>
      <c r="L411" t="n">
        <v>0</v>
      </c>
      <c r="M411" t="n">
        <v>0</v>
      </c>
      <c r="N411" t="n">
        <v>0</v>
      </c>
      <c r="O411" t="n">
        <v>0</v>
      </c>
      <c r="P411" t="n">
        <v>0</v>
      </c>
      <c r="Q411" t="n">
        <v>0</v>
      </c>
      <c r="R411" s="2" t="inlineStr"/>
    </row>
    <row r="412" ht="15" customHeight="1">
      <c r="A412" t="inlineStr">
        <is>
          <t>A 15759-2024</t>
        </is>
      </c>
      <c r="B412" s="1" t="n">
        <v>45404</v>
      </c>
      <c r="C412" s="1" t="n">
        <v>45880</v>
      </c>
      <c r="D412" t="inlineStr">
        <is>
          <t>DALARNAS LÄN</t>
        </is>
      </c>
      <c r="E412" t="inlineStr">
        <is>
          <t>ÄLVDALEN</t>
        </is>
      </c>
      <c r="G412" t="n">
        <v>1.4</v>
      </c>
      <c r="H412" t="n">
        <v>0</v>
      </c>
      <c r="I412" t="n">
        <v>0</v>
      </c>
      <c r="J412" t="n">
        <v>0</v>
      </c>
      <c r="K412" t="n">
        <v>0</v>
      </c>
      <c r="L412" t="n">
        <v>0</v>
      </c>
      <c r="M412" t="n">
        <v>0</v>
      </c>
      <c r="N412" t="n">
        <v>0</v>
      </c>
      <c r="O412" t="n">
        <v>0</v>
      </c>
      <c r="P412" t="n">
        <v>0</v>
      </c>
      <c r="Q412" t="n">
        <v>0</v>
      </c>
      <c r="R412" s="2" t="inlineStr"/>
    </row>
    <row r="413" ht="15" customHeight="1">
      <c r="A413" t="inlineStr">
        <is>
          <t>A 24762-2023</t>
        </is>
      </c>
      <c r="B413" s="1" t="n">
        <v>45084.6283912037</v>
      </c>
      <c r="C413" s="1" t="n">
        <v>45880</v>
      </c>
      <c r="D413" t="inlineStr">
        <is>
          <t>DALARNAS LÄN</t>
        </is>
      </c>
      <c r="E413" t="inlineStr">
        <is>
          <t>ÄLVDALEN</t>
        </is>
      </c>
      <c r="F413" t="inlineStr">
        <is>
          <t>Sveaskog</t>
        </is>
      </c>
      <c r="G413" t="n">
        <v>4.1</v>
      </c>
      <c r="H413" t="n">
        <v>0</v>
      </c>
      <c r="I413" t="n">
        <v>0</v>
      </c>
      <c r="J413" t="n">
        <v>0</v>
      </c>
      <c r="K413" t="n">
        <v>0</v>
      </c>
      <c r="L413" t="n">
        <v>0</v>
      </c>
      <c r="M413" t="n">
        <v>0</v>
      </c>
      <c r="N413" t="n">
        <v>0</v>
      </c>
      <c r="O413" t="n">
        <v>0</v>
      </c>
      <c r="P413" t="n">
        <v>0</v>
      </c>
      <c r="Q413" t="n">
        <v>0</v>
      </c>
      <c r="R413" s="2" t="inlineStr"/>
    </row>
    <row r="414" ht="15" customHeight="1">
      <c r="A414" t="inlineStr">
        <is>
          <t>A 7576-2024</t>
        </is>
      </c>
      <c r="B414" s="1" t="n">
        <v>45348.47555555555</v>
      </c>
      <c r="C414" s="1" t="n">
        <v>45880</v>
      </c>
      <c r="D414" t="inlineStr">
        <is>
          <t>DALARNAS LÄN</t>
        </is>
      </c>
      <c r="E414" t="inlineStr">
        <is>
          <t>ÄLVDALEN</t>
        </is>
      </c>
      <c r="G414" t="n">
        <v>11.1</v>
      </c>
      <c r="H414" t="n">
        <v>0</v>
      </c>
      <c r="I414" t="n">
        <v>0</v>
      </c>
      <c r="J414" t="n">
        <v>0</v>
      </c>
      <c r="K414" t="n">
        <v>0</v>
      </c>
      <c r="L414" t="n">
        <v>0</v>
      </c>
      <c r="M414" t="n">
        <v>0</v>
      </c>
      <c r="N414" t="n">
        <v>0</v>
      </c>
      <c r="O414" t="n">
        <v>0</v>
      </c>
      <c r="P414" t="n">
        <v>0</v>
      </c>
      <c r="Q414" t="n">
        <v>0</v>
      </c>
      <c r="R414" s="2" t="inlineStr"/>
    </row>
    <row r="415" ht="15" customHeight="1">
      <c r="A415" t="inlineStr">
        <is>
          <t>A 25086-2025</t>
        </is>
      </c>
      <c r="B415" s="1" t="n">
        <v>45800</v>
      </c>
      <c r="C415" s="1" t="n">
        <v>45880</v>
      </c>
      <c r="D415" t="inlineStr">
        <is>
          <t>DALARNAS LÄN</t>
        </is>
      </c>
      <c r="E415" t="inlineStr">
        <is>
          <t>ÄLVDALEN</t>
        </is>
      </c>
      <c r="F415" t="inlineStr">
        <is>
          <t>Sveaskog</t>
        </is>
      </c>
      <c r="G415" t="n">
        <v>10.7</v>
      </c>
      <c r="H415" t="n">
        <v>0</v>
      </c>
      <c r="I415" t="n">
        <v>0</v>
      </c>
      <c r="J415" t="n">
        <v>0</v>
      </c>
      <c r="K415" t="n">
        <v>0</v>
      </c>
      <c r="L415" t="n">
        <v>0</v>
      </c>
      <c r="M415" t="n">
        <v>0</v>
      </c>
      <c r="N415" t="n">
        <v>0</v>
      </c>
      <c r="O415" t="n">
        <v>0</v>
      </c>
      <c r="P415" t="n">
        <v>0</v>
      </c>
      <c r="Q415" t="n">
        <v>0</v>
      </c>
      <c r="R415" s="2" t="inlineStr"/>
    </row>
    <row r="416" ht="15" customHeight="1">
      <c r="A416" t="inlineStr">
        <is>
          <t>A 62315-2022</t>
        </is>
      </c>
      <c r="B416" s="1" t="n">
        <v>44916</v>
      </c>
      <c r="C416" s="1" t="n">
        <v>45880</v>
      </c>
      <c r="D416" t="inlineStr">
        <is>
          <t>DALARNAS LÄN</t>
        </is>
      </c>
      <c r="E416" t="inlineStr">
        <is>
          <t>ÄLVDALEN</t>
        </is>
      </c>
      <c r="G416" t="n">
        <v>2.1</v>
      </c>
      <c r="H416" t="n">
        <v>0</v>
      </c>
      <c r="I416" t="n">
        <v>0</v>
      </c>
      <c r="J416" t="n">
        <v>0</v>
      </c>
      <c r="K416" t="n">
        <v>0</v>
      </c>
      <c r="L416" t="n">
        <v>0</v>
      </c>
      <c r="M416" t="n">
        <v>0</v>
      </c>
      <c r="N416" t="n">
        <v>0</v>
      </c>
      <c r="O416" t="n">
        <v>0</v>
      </c>
      <c r="P416" t="n">
        <v>0</v>
      </c>
      <c r="Q416" t="n">
        <v>0</v>
      </c>
      <c r="R416" s="2" t="inlineStr"/>
    </row>
    <row r="417" ht="15" customHeight="1">
      <c r="A417" t="inlineStr">
        <is>
          <t>A 56222-2023</t>
        </is>
      </c>
      <c r="B417" s="1" t="n">
        <v>45240</v>
      </c>
      <c r="C417" s="1" t="n">
        <v>45880</v>
      </c>
      <c r="D417" t="inlineStr">
        <is>
          <t>DALARNAS LÄN</t>
        </is>
      </c>
      <c r="E417" t="inlineStr">
        <is>
          <t>ÄLVDALEN</t>
        </is>
      </c>
      <c r="F417" t="inlineStr">
        <is>
          <t>Övriga Aktiebolag</t>
        </is>
      </c>
      <c r="G417" t="n">
        <v>3.2</v>
      </c>
      <c r="H417" t="n">
        <v>0</v>
      </c>
      <c r="I417" t="n">
        <v>0</v>
      </c>
      <c r="J417" t="n">
        <v>0</v>
      </c>
      <c r="K417" t="n">
        <v>0</v>
      </c>
      <c r="L417" t="n">
        <v>0</v>
      </c>
      <c r="M417" t="n">
        <v>0</v>
      </c>
      <c r="N417" t="n">
        <v>0</v>
      </c>
      <c r="O417" t="n">
        <v>0</v>
      </c>
      <c r="P417" t="n">
        <v>0</v>
      </c>
      <c r="Q417" t="n">
        <v>0</v>
      </c>
      <c r="R417" s="2" t="inlineStr"/>
    </row>
    <row r="418" ht="15" customHeight="1">
      <c r="A418" t="inlineStr">
        <is>
          <t>A 56224-2023</t>
        </is>
      </c>
      <c r="B418" s="1" t="n">
        <v>45240</v>
      </c>
      <c r="C418" s="1" t="n">
        <v>45880</v>
      </c>
      <c r="D418" t="inlineStr">
        <is>
          <t>DALARNAS LÄN</t>
        </is>
      </c>
      <c r="E418" t="inlineStr">
        <is>
          <t>ÄLVDALEN</t>
        </is>
      </c>
      <c r="F418" t="inlineStr">
        <is>
          <t>Övriga Aktiebolag</t>
        </is>
      </c>
      <c r="G418" t="n">
        <v>10.9</v>
      </c>
      <c r="H418" t="n">
        <v>0</v>
      </c>
      <c r="I418" t="n">
        <v>0</v>
      </c>
      <c r="J418" t="n">
        <v>0</v>
      </c>
      <c r="K418" t="n">
        <v>0</v>
      </c>
      <c r="L418" t="n">
        <v>0</v>
      </c>
      <c r="M418" t="n">
        <v>0</v>
      </c>
      <c r="N418" t="n">
        <v>0</v>
      </c>
      <c r="O418" t="n">
        <v>0</v>
      </c>
      <c r="P418" t="n">
        <v>0</v>
      </c>
      <c r="Q418" t="n">
        <v>0</v>
      </c>
      <c r="R418" s="2" t="inlineStr"/>
    </row>
    <row r="419" ht="15" customHeight="1">
      <c r="A419" t="inlineStr">
        <is>
          <t>A 8192-2025</t>
        </is>
      </c>
      <c r="B419" s="1" t="n">
        <v>45708.41151620371</v>
      </c>
      <c r="C419" s="1" t="n">
        <v>45880</v>
      </c>
      <c r="D419" t="inlineStr">
        <is>
          <t>DALARNAS LÄN</t>
        </is>
      </c>
      <c r="E419" t="inlineStr">
        <is>
          <t>ÄLVDALEN</t>
        </is>
      </c>
      <c r="F419" t="inlineStr">
        <is>
          <t>Allmännings- och besparingsskogar</t>
        </is>
      </c>
      <c r="G419" t="n">
        <v>15.1</v>
      </c>
      <c r="H419" t="n">
        <v>0</v>
      </c>
      <c r="I419" t="n">
        <v>0</v>
      </c>
      <c r="J419" t="n">
        <v>0</v>
      </c>
      <c r="K419" t="n">
        <v>0</v>
      </c>
      <c r="L419" t="n">
        <v>0</v>
      </c>
      <c r="M419" t="n">
        <v>0</v>
      </c>
      <c r="N419" t="n">
        <v>0</v>
      </c>
      <c r="O419" t="n">
        <v>0</v>
      </c>
      <c r="P419" t="n">
        <v>0</v>
      </c>
      <c r="Q419" t="n">
        <v>0</v>
      </c>
      <c r="R419" s="2" t="inlineStr"/>
    </row>
    <row r="420" ht="15" customHeight="1">
      <c r="A420" t="inlineStr">
        <is>
          <t>A 1790-2024</t>
        </is>
      </c>
      <c r="B420" s="1" t="n">
        <v>45307.5731712963</v>
      </c>
      <c r="C420" s="1" t="n">
        <v>45880</v>
      </c>
      <c r="D420" t="inlineStr">
        <is>
          <t>DALARNAS LÄN</t>
        </is>
      </c>
      <c r="E420" t="inlineStr">
        <is>
          <t>ÄLVDALEN</t>
        </is>
      </c>
      <c r="G420" t="n">
        <v>1.9</v>
      </c>
      <c r="H420" t="n">
        <v>0</v>
      </c>
      <c r="I420" t="n">
        <v>0</v>
      </c>
      <c r="J420" t="n">
        <v>0</v>
      </c>
      <c r="K420" t="n">
        <v>0</v>
      </c>
      <c r="L420" t="n">
        <v>0</v>
      </c>
      <c r="M420" t="n">
        <v>0</v>
      </c>
      <c r="N420" t="n">
        <v>0</v>
      </c>
      <c r="O420" t="n">
        <v>0</v>
      </c>
      <c r="P420" t="n">
        <v>0</v>
      </c>
      <c r="Q420" t="n">
        <v>0</v>
      </c>
      <c r="R420" s="2" t="inlineStr"/>
    </row>
    <row r="421" ht="15" customHeight="1">
      <c r="A421" t="inlineStr">
        <is>
          <t>A 25879-2025</t>
        </is>
      </c>
      <c r="B421" s="1" t="n">
        <v>45804.49605324074</v>
      </c>
      <c r="C421" s="1" t="n">
        <v>45880</v>
      </c>
      <c r="D421" t="inlineStr">
        <is>
          <t>DALARNAS LÄN</t>
        </is>
      </c>
      <c r="E421" t="inlineStr">
        <is>
          <t>ÄLVDALEN</t>
        </is>
      </c>
      <c r="F421" t="inlineStr">
        <is>
          <t>Allmännings- och besparingsskogar</t>
        </is>
      </c>
      <c r="G421" t="n">
        <v>0.2</v>
      </c>
      <c r="H421" t="n">
        <v>0</v>
      </c>
      <c r="I421" t="n">
        <v>0</v>
      </c>
      <c r="J421" t="n">
        <v>0</v>
      </c>
      <c r="K421" t="n">
        <v>0</v>
      </c>
      <c r="L421" t="n">
        <v>0</v>
      </c>
      <c r="M421" t="n">
        <v>0</v>
      </c>
      <c r="N421" t="n">
        <v>0</v>
      </c>
      <c r="O421" t="n">
        <v>0</v>
      </c>
      <c r="P421" t="n">
        <v>0</v>
      </c>
      <c r="Q421" t="n">
        <v>0</v>
      </c>
      <c r="R421" s="2" t="inlineStr"/>
    </row>
    <row r="422" ht="15" customHeight="1">
      <c r="A422" t="inlineStr">
        <is>
          <t>A 46011-2023</t>
        </is>
      </c>
      <c r="B422" s="1" t="n">
        <v>45196.38245370371</v>
      </c>
      <c r="C422" s="1" t="n">
        <v>45880</v>
      </c>
      <c r="D422" t="inlineStr">
        <is>
          <t>DALARNAS LÄN</t>
        </is>
      </c>
      <c r="E422" t="inlineStr">
        <is>
          <t>ÄLVDALEN</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52167-2024</t>
        </is>
      </c>
      <c r="B423" s="1" t="n">
        <v>45608.53949074074</v>
      </c>
      <c r="C423" s="1" t="n">
        <v>45880</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25754-2025</t>
        </is>
      </c>
      <c r="B424" s="1" t="n">
        <v>45804.32020833333</v>
      </c>
      <c r="C424" s="1" t="n">
        <v>45880</v>
      </c>
      <c r="D424" t="inlineStr">
        <is>
          <t>DALARNAS LÄN</t>
        </is>
      </c>
      <c r="E424" t="inlineStr">
        <is>
          <t>ÄLVDALEN</t>
        </is>
      </c>
      <c r="F424" t="inlineStr">
        <is>
          <t>Kommuner</t>
        </is>
      </c>
      <c r="G424" t="n">
        <v>2.2</v>
      </c>
      <c r="H424" t="n">
        <v>0</v>
      </c>
      <c r="I424" t="n">
        <v>0</v>
      </c>
      <c r="J424" t="n">
        <v>0</v>
      </c>
      <c r="K424" t="n">
        <v>0</v>
      </c>
      <c r="L424" t="n">
        <v>0</v>
      </c>
      <c r="M424" t="n">
        <v>0</v>
      </c>
      <c r="N424" t="n">
        <v>0</v>
      </c>
      <c r="O424" t="n">
        <v>0</v>
      </c>
      <c r="P424" t="n">
        <v>0</v>
      </c>
      <c r="Q424" t="n">
        <v>0</v>
      </c>
      <c r="R424" s="2" t="inlineStr"/>
    </row>
    <row r="425" ht="15" customHeight="1">
      <c r="A425" t="inlineStr">
        <is>
          <t>A 25823-2025</t>
        </is>
      </c>
      <c r="B425" s="1" t="n">
        <v>45804.4396412037</v>
      </c>
      <c r="C425" s="1" t="n">
        <v>45880</v>
      </c>
      <c r="D425" t="inlineStr">
        <is>
          <t>DALARNAS LÄN</t>
        </is>
      </c>
      <c r="E425" t="inlineStr">
        <is>
          <t>ÄLVDALEN</t>
        </is>
      </c>
      <c r="G425" t="n">
        <v>1.2</v>
      </c>
      <c r="H425" t="n">
        <v>0</v>
      </c>
      <c r="I425" t="n">
        <v>0</v>
      </c>
      <c r="J425" t="n">
        <v>0</v>
      </c>
      <c r="K425" t="n">
        <v>0</v>
      </c>
      <c r="L425" t="n">
        <v>0</v>
      </c>
      <c r="M425" t="n">
        <v>0</v>
      </c>
      <c r="N425" t="n">
        <v>0</v>
      </c>
      <c r="O425" t="n">
        <v>0</v>
      </c>
      <c r="P425" t="n">
        <v>0</v>
      </c>
      <c r="Q425" t="n">
        <v>0</v>
      </c>
      <c r="R425" s="2" t="inlineStr"/>
    </row>
    <row r="426" ht="15" customHeight="1">
      <c r="A426" t="inlineStr">
        <is>
          <t>A 50037-2022</t>
        </is>
      </c>
      <c r="B426" s="1" t="n">
        <v>44865.46136574074</v>
      </c>
      <c r="C426" s="1" t="n">
        <v>45880</v>
      </c>
      <c r="D426" t="inlineStr">
        <is>
          <t>DALARNAS LÄN</t>
        </is>
      </c>
      <c r="E426" t="inlineStr">
        <is>
          <t>ÄLVDALEN</t>
        </is>
      </c>
      <c r="F426" t="inlineStr">
        <is>
          <t>Allmännings- och besparingsskogar</t>
        </is>
      </c>
      <c r="G426" t="n">
        <v>5.8</v>
      </c>
      <c r="H426" t="n">
        <v>0</v>
      </c>
      <c r="I426" t="n">
        <v>0</v>
      </c>
      <c r="J426" t="n">
        <v>0</v>
      </c>
      <c r="K426" t="n">
        <v>0</v>
      </c>
      <c r="L426" t="n">
        <v>0</v>
      </c>
      <c r="M426" t="n">
        <v>0</v>
      </c>
      <c r="N426" t="n">
        <v>0</v>
      </c>
      <c r="O426" t="n">
        <v>0</v>
      </c>
      <c r="P426" t="n">
        <v>0</v>
      </c>
      <c r="Q426" t="n">
        <v>0</v>
      </c>
      <c r="R426" s="2" t="inlineStr"/>
    </row>
    <row r="427" ht="15" customHeight="1">
      <c r="A427" t="inlineStr">
        <is>
          <t>A 41004-2023</t>
        </is>
      </c>
      <c r="B427" s="1" t="n">
        <v>45173</v>
      </c>
      <c r="C427" s="1" t="n">
        <v>45880</v>
      </c>
      <c r="D427" t="inlineStr">
        <is>
          <t>DALARNAS LÄN</t>
        </is>
      </c>
      <c r="E427" t="inlineStr">
        <is>
          <t>ÄLVDALEN</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25758-2025</t>
        </is>
      </c>
      <c r="B428" s="1" t="n">
        <v>45804.33314814815</v>
      </c>
      <c r="C428" s="1" t="n">
        <v>45880</v>
      </c>
      <c r="D428" t="inlineStr">
        <is>
          <t>DALARNAS LÄN</t>
        </is>
      </c>
      <c r="E428" t="inlineStr">
        <is>
          <t>ÄLVDALEN</t>
        </is>
      </c>
      <c r="F428" t="inlineStr">
        <is>
          <t>Kommuner</t>
        </is>
      </c>
      <c r="G428" t="n">
        <v>2.2</v>
      </c>
      <c r="H428" t="n">
        <v>0</v>
      </c>
      <c r="I428" t="n">
        <v>0</v>
      </c>
      <c r="J428" t="n">
        <v>0</v>
      </c>
      <c r="K428" t="n">
        <v>0</v>
      </c>
      <c r="L428" t="n">
        <v>0</v>
      </c>
      <c r="M428" t="n">
        <v>0</v>
      </c>
      <c r="N428" t="n">
        <v>0</v>
      </c>
      <c r="O428" t="n">
        <v>0</v>
      </c>
      <c r="P428" t="n">
        <v>0</v>
      </c>
      <c r="Q428" t="n">
        <v>0</v>
      </c>
      <c r="R428" s="2" t="inlineStr"/>
    </row>
    <row r="429" ht="15" customHeight="1">
      <c r="A429" t="inlineStr">
        <is>
          <t>A 36741-2020</t>
        </is>
      </c>
      <c r="B429" s="1" t="n">
        <v>44053</v>
      </c>
      <c r="C429" s="1" t="n">
        <v>45880</v>
      </c>
      <c r="D429" t="inlineStr">
        <is>
          <t>DALARNAS LÄN</t>
        </is>
      </c>
      <c r="E429" t="inlineStr">
        <is>
          <t>ÄLVDALEN</t>
        </is>
      </c>
      <c r="G429" t="n">
        <v>2.1</v>
      </c>
      <c r="H429" t="n">
        <v>0</v>
      </c>
      <c r="I429" t="n">
        <v>0</v>
      </c>
      <c r="J429" t="n">
        <v>0</v>
      </c>
      <c r="K429" t="n">
        <v>0</v>
      </c>
      <c r="L429" t="n">
        <v>0</v>
      </c>
      <c r="M429" t="n">
        <v>0</v>
      </c>
      <c r="N429" t="n">
        <v>0</v>
      </c>
      <c r="O429" t="n">
        <v>0</v>
      </c>
      <c r="P429" t="n">
        <v>0</v>
      </c>
      <c r="Q429" t="n">
        <v>0</v>
      </c>
      <c r="R429" s="2" t="inlineStr"/>
    </row>
    <row r="430" ht="15" customHeight="1">
      <c r="A430" t="inlineStr">
        <is>
          <t>A 34705-2025</t>
        </is>
      </c>
      <c r="B430" s="1" t="n">
        <v>45848.49012731481</v>
      </c>
      <c r="C430" s="1" t="n">
        <v>45880</v>
      </c>
      <c r="D430" t="inlineStr">
        <is>
          <t>DALARNAS LÄN</t>
        </is>
      </c>
      <c r="E430" t="inlineStr">
        <is>
          <t>ÄLVDALEN</t>
        </is>
      </c>
      <c r="F430" t="inlineStr">
        <is>
          <t>Allmännings- och besparingsskogar</t>
        </is>
      </c>
      <c r="G430" t="n">
        <v>1.1</v>
      </c>
      <c r="H430" t="n">
        <v>0</v>
      </c>
      <c r="I430" t="n">
        <v>0</v>
      </c>
      <c r="J430" t="n">
        <v>0</v>
      </c>
      <c r="K430" t="n">
        <v>0</v>
      </c>
      <c r="L430" t="n">
        <v>0</v>
      </c>
      <c r="M430" t="n">
        <v>0</v>
      </c>
      <c r="N430" t="n">
        <v>0</v>
      </c>
      <c r="O430" t="n">
        <v>0</v>
      </c>
      <c r="P430" t="n">
        <v>0</v>
      </c>
      <c r="Q430" t="n">
        <v>0</v>
      </c>
      <c r="R430" s="2" t="inlineStr"/>
    </row>
    <row r="431" ht="15" customHeight="1">
      <c r="A431" t="inlineStr">
        <is>
          <t>A 34739-2025</t>
        </is>
      </c>
      <c r="B431" s="1" t="n">
        <v>45848.60682870371</v>
      </c>
      <c r="C431" s="1" t="n">
        <v>45880</v>
      </c>
      <c r="D431" t="inlineStr">
        <is>
          <t>DALARNAS LÄN</t>
        </is>
      </c>
      <c r="E431" t="inlineStr">
        <is>
          <t>ÄLVDALEN</t>
        </is>
      </c>
      <c r="G431" t="n">
        <v>1</v>
      </c>
      <c r="H431" t="n">
        <v>0</v>
      </c>
      <c r="I431" t="n">
        <v>0</v>
      </c>
      <c r="J431" t="n">
        <v>0</v>
      </c>
      <c r="K431" t="n">
        <v>0</v>
      </c>
      <c r="L431" t="n">
        <v>0</v>
      </c>
      <c r="M431" t="n">
        <v>0</v>
      </c>
      <c r="N431" t="n">
        <v>0</v>
      </c>
      <c r="O431" t="n">
        <v>0</v>
      </c>
      <c r="P431" t="n">
        <v>0</v>
      </c>
      <c r="Q431" t="n">
        <v>0</v>
      </c>
      <c r="R431" s="2" t="inlineStr"/>
    </row>
    <row r="432" ht="15" customHeight="1">
      <c r="A432" t="inlineStr">
        <is>
          <t>A 49203-2023</t>
        </is>
      </c>
      <c r="B432" s="1" t="n">
        <v>45210</v>
      </c>
      <c r="C432" s="1" t="n">
        <v>45880</v>
      </c>
      <c r="D432" t="inlineStr">
        <is>
          <t>DALARNAS LÄN</t>
        </is>
      </c>
      <c r="E432" t="inlineStr">
        <is>
          <t>ÄLVDALEN</t>
        </is>
      </c>
      <c r="F432" t="inlineStr">
        <is>
          <t>Bergvik skog väst AB</t>
        </is>
      </c>
      <c r="G432" t="n">
        <v>18.2</v>
      </c>
      <c r="H432" t="n">
        <v>0</v>
      </c>
      <c r="I432" t="n">
        <v>0</v>
      </c>
      <c r="J432" t="n">
        <v>0</v>
      </c>
      <c r="K432" t="n">
        <v>0</v>
      </c>
      <c r="L432" t="n">
        <v>0</v>
      </c>
      <c r="M432" t="n">
        <v>0</v>
      </c>
      <c r="N432" t="n">
        <v>0</v>
      </c>
      <c r="O432" t="n">
        <v>0</v>
      </c>
      <c r="P432" t="n">
        <v>0</v>
      </c>
      <c r="Q432" t="n">
        <v>0</v>
      </c>
      <c r="R432" s="2" t="inlineStr"/>
    </row>
    <row r="433" ht="15" customHeight="1">
      <c r="A433" t="inlineStr">
        <is>
          <t>A 34526-2025</t>
        </is>
      </c>
      <c r="B433" s="1" t="n">
        <v>45847.47820601852</v>
      </c>
      <c r="C433" s="1" t="n">
        <v>45880</v>
      </c>
      <c r="D433" t="inlineStr">
        <is>
          <t>DALARNAS LÄN</t>
        </is>
      </c>
      <c r="E433" t="inlineStr">
        <is>
          <t>ÄLVDALEN</t>
        </is>
      </c>
      <c r="F433" t="inlineStr">
        <is>
          <t>Allmännings- och besparingsskogar</t>
        </is>
      </c>
      <c r="G433" t="n">
        <v>3.9</v>
      </c>
      <c r="H433" t="n">
        <v>0</v>
      </c>
      <c r="I433" t="n">
        <v>0</v>
      </c>
      <c r="J433" t="n">
        <v>0</v>
      </c>
      <c r="K433" t="n">
        <v>0</v>
      </c>
      <c r="L433" t="n">
        <v>0</v>
      </c>
      <c r="M433" t="n">
        <v>0</v>
      </c>
      <c r="N433" t="n">
        <v>0</v>
      </c>
      <c r="O433" t="n">
        <v>0</v>
      </c>
      <c r="P433" t="n">
        <v>0</v>
      </c>
      <c r="Q433" t="n">
        <v>0</v>
      </c>
      <c r="R433" s="2" t="inlineStr"/>
    </row>
    <row r="434" ht="15" customHeight="1">
      <c r="A434" t="inlineStr">
        <is>
          <t>A 34314-2025</t>
        </is>
      </c>
      <c r="B434" s="1" t="n">
        <v>45846</v>
      </c>
      <c r="C434" s="1" t="n">
        <v>45880</v>
      </c>
      <c r="D434" t="inlineStr">
        <is>
          <t>DALARNAS LÄN</t>
        </is>
      </c>
      <c r="E434" t="inlineStr">
        <is>
          <t>ÄLVDALEN</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26285-2025</t>
        </is>
      </c>
      <c r="B435" s="1" t="n">
        <v>45805.61885416666</v>
      </c>
      <c r="C435" s="1" t="n">
        <v>45880</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6675-2025</t>
        </is>
      </c>
      <c r="B436" s="1" t="n">
        <v>45700.47643518518</v>
      </c>
      <c r="C436" s="1" t="n">
        <v>45880</v>
      </c>
      <c r="D436" t="inlineStr">
        <is>
          <t>DALARNAS LÄN</t>
        </is>
      </c>
      <c r="E436" t="inlineStr">
        <is>
          <t>ÄLVDALEN</t>
        </is>
      </c>
      <c r="F436" t="inlineStr">
        <is>
          <t>Allmännings- och besparingsskogar</t>
        </is>
      </c>
      <c r="G436" t="n">
        <v>1.2</v>
      </c>
      <c r="H436" t="n">
        <v>0</v>
      </c>
      <c r="I436" t="n">
        <v>0</v>
      </c>
      <c r="J436" t="n">
        <v>0</v>
      </c>
      <c r="K436" t="n">
        <v>0</v>
      </c>
      <c r="L436" t="n">
        <v>0</v>
      </c>
      <c r="M436" t="n">
        <v>0</v>
      </c>
      <c r="N436" t="n">
        <v>0</v>
      </c>
      <c r="O436" t="n">
        <v>0</v>
      </c>
      <c r="P436" t="n">
        <v>0</v>
      </c>
      <c r="Q436" t="n">
        <v>0</v>
      </c>
      <c r="R436" s="2" t="inlineStr"/>
    </row>
    <row r="437" ht="15" customHeight="1">
      <c r="A437" t="inlineStr">
        <is>
          <t>A 443-2025</t>
        </is>
      </c>
      <c r="B437" s="1" t="n">
        <v>45664.39349537037</v>
      </c>
      <c r="C437" s="1" t="n">
        <v>45880</v>
      </c>
      <c r="D437" t="inlineStr">
        <is>
          <t>DALARNAS LÄN</t>
        </is>
      </c>
      <c r="E437" t="inlineStr">
        <is>
          <t>ÄLVDALEN</t>
        </is>
      </c>
      <c r="G437" t="n">
        <v>0.8</v>
      </c>
      <c r="H437" t="n">
        <v>0</v>
      </c>
      <c r="I437" t="n">
        <v>0</v>
      </c>
      <c r="J437" t="n">
        <v>0</v>
      </c>
      <c r="K437" t="n">
        <v>0</v>
      </c>
      <c r="L437" t="n">
        <v>0</v>
      </c>
      <c r="M437" t="n">
        <v>0</v>
      </c>
      <c r="N437" t="n">
        <v>0</v>
      </c>
      <c r="O437" t="n">
        <v>0</v>
      </c>
      <c r="P437" t="n">
        <v>0</v>
      </c>
      <c r="Q437" t="n">
        <v>0</v>
      </c>
      <c r="R437" s="2" t="inlineStr"/>
    </row>
    <row r="438" ht="15" customHeight="1">
      <c r="A438" t="inlineStr">
        <is>
          <t>A 5583-2025</t>
        </is>
      </c>
      <c r="B438" s="1" t="n">
        <v>45693.55244212963</v>
      </c>
      <c r="C438" s="1" t="n">
        <v>45880</v>
      </c>
      <c r="D438" t="inlineStr">
        <is>
          <t>DALARNAS LÄN</t>
        </is>
      </c>
      <c r="E438" t="inlineStr">
        <is>
          <t>ÄLVDALEN</t>
        </is>
      </c>
      <c r="G438" t="n">
        <v>0.9</v>
      </c>
      <c r="H438" t="n">
        <v>0</v>
      </c>
      <c r="I438" t="n">
        <v>0</v>
      </c>
      <c r="J438" t="n">
        <v>0</v>
      </c>
      <c r="K438" t="n">
        <v>0</v>
      </c>
      <c r="L438" t="n">
        <v>0</v>
      </c>
      <c r="M438" t="n">
        <v>0</v>
      </c>
      <c r="N438" t="n">
        <v>0</v>
      </c>
      <c r="O438" t="n">
        <v>0</v>
      </c>
      <c r="P438" t="n">
        <v>0</v>
      </c>
      <c r="Q438" t="n">
        <v>0</v>
      </c>
      <c r="R438" s="2" t="inlineStr"/>
    </row>
    <row r="439" ht="15" customHeight="1">
      <c r="A439" t="inlineStr">
        <is>
          <t>A 34645-2025</t>
        </is>
      </c>
      <c r="B439" s="1" t="n">
        <v>45848.33440972222</v>
      </c>
      <c r="C439" s="1" t="n">
        <v>45880</v>
      </c>
      <c r="D439" t="inlineStr">
        <is>
          <t>DALARNAS LÄN</t>
        </is>
      </c>
      <c r="E439" t="inlineStr">
        <is>
          <t>ÄLVDALEN</t>
        </is>
      </c>
      <c r="G439" t="n">
        <v>7.1</v>
      </c>
      <c r="H439" t="n">
        <v>0</v>
      </c>
      <c r="I439" t="n">
        <v>0</v>
      </c>
      <c r="J439" t="n">
        <v>0</v>
      </c>
      <c r="K439" t="n">
        <v>0</v>
      </c>
      <c r="L439" t="n">
        <v>0</v>
      </c>
      <c r="M439" t="n">
        <v>0</v>
      </c>
      <c r="N439" t="n">
        <v>0</v>
      </c>
      <c r="O439" t="n">
        <v>0</v>
      </c>
      <c r="P439" t="n">
        <v>0</v>
      </c>
      <c r="Q439" t="n">
        <v>0</v>
      </c>
      <c r="R439" s="2" t="inlineStr"/>
    </row>
    <row r="440" ht="15" customHeight="1">
      <c r="A440" t="inlineStr">
        <is>
          <t>A 24009-2024</t>
        </is>
      </c>
      <c r="B440" s="1" t="n">
        <v>45456.40030092592</v>
      </c>
      <c r="C440" s="1" t="n">
        <v>45880</v>
      </c>
      <c r="D440" t="inlineStr">
        <is>
          <t>DALARNAS LÄN</t>
        </is>
      </c>
      <c r="E440" t="inlineStr">
        <is>
          <t>ÄLVDALEN</t>
        </is>
      </c>
      <c r="G440" t="n">
        <v>1.1</v>
      </c>
      <c r="H440" t="n">
        <v>0</v>
      </c>
      <c r="I440" t="n">
        <v>0</v>
      </c>
      <c r="J440" t="n">
        <v>0</v>
      </c>
      <c r="K440" t="n">
        <v>0</v>
      </c>
      <c r="L440" t="n">
        <v>0</v>
      </c>
      <c r="M440" t="n">
        <v>0</v>
      </c>
      <c r="N440" t="n">
        <v>0</v>
      </c>
      <c r="O440" t="n">
        <v>0</v>
      </c>
      <c r="P440" t="n">
        <v>0</v>
      </c>
      <c r="Q440" t="n">
        <v>0</v>
      </c>
      <c r="R440" s="2" t="inlineStr"/>
    </row>
    <row r="441" ht="15" customHeight="1">
      <c r="A441" t="inlineStr">
        <is>
          <t>A 34697-2025</t>
        </is>
      </c>
      <c r="B441" s="1" t="n">
        <v>45848.46181712963</v>
      </c>
      <c r="C441" s="1" t="n">
        <v>45880</v>
      </c>
      <c r="D441" t="inlineStr">
        <is>
          <t>DALARNAS LÄN</t>
        </is>
      </c>
      <c r="E441" t="inlineStr">
        <is>
          <t>ÄLVDALEN</t>
        </is>
      </c>
      <c r="F441" t="inlineStr">
        <is>
          <t>Allmännings- och besparingsskogar</t>
        </is>
      </c>
      <c r="G441" t="n">
        <v>7.8</v>
      </c>
      <c r="H441" t="n">
        <v>0</v>
      </c>
      <c r="I441" t="n">
        <v>0</v>
      </c>
      <c r="J441" t="n">
        <v>0</v>
      </c>
      <c r="K441" t="n">
        <v>0</v>
      </c>
      <c r="L441" t="n">
        <v>0</v>
      </c>
      <c r="M441" t="n">
        <v>0</v>
      </c>
      <c r="N441" t="n">
        <v>0</v>
      </c>
      <c r="O441" t="n">
        <v>0</v>
      </c>
      <c r="P441" t="n">
        <v>0</v>
      </c>
      <c r="Q441" t="n">
        <v>0</v>
      </c>
      <c r="R441" s="2" t="inlineStr"/>
    </row>
    <row r="442" ht="15" customHeight="1">
      <c r="A442" t="inlineStr">
        <is>
          <t>A 34778-2025</t>
        </is>
      </c>
      <c r="B442" s="1" t="n">
        <v>45848.66840277778</v>
      </c>
      <c r="C442" s="1" t="n">
        <v>45880</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59444-2024</t>
        </is>
      </c>
      <c r="B443" s="1" t="n">
        <v>45638.45292824074</v>
      </c>
      <c r="C443" s="1" t="n">
        <v>45880</v>
      </c>
      <c r="D443" t="inlineStr">
        <is>
          <t>DALARNAS LÄN</t>
        </is>
      </c>
      <c r="E443" t="inlineStr">
        <is>
          <t>ÄLVDALEN</t>
        </is>
      </c>
      <c r="G443" t="n">
        <v>3.9</v>
      </c>
      <c r="H443" t="n">
        <v>0</v>
      </c>
      <c r="I443" t="n">
        <v>0</v>
      </c>
      <c r="J443" t="n">
        <v>0</v>
      </c>
      <c r="K443" t="n">
        <v>0</v>
      </c>
      <c r="L443" t="n">
        <v>0</v>
      </c>
      <c r="M443" t="n">
        <v>0</v>
      </c>
      <c r="N443" t="n">
        <v>0</v>
      </c>
      <c r="O443" t="n">
        <v>0</v>
      </c>
      <c r="P443" t="n">
        <v>0</v>
      </c>
      <c r="Q443" t="n">
        <v>0</v>
      </c>
      <c r="R443" s="2" t="inlineStr"/>
    </row>
    <row r="444" ht="15" customHeight="1">
      <c r="A444" t="inlineStr">
        <is>
          <t>A 59483-2024</t>
        </is>
      </c>
      <c r="B444" s="1" t="n">
        <v>45638.52847222222</v>
      </c>
      <c r="C444" s="1" t="n">
        <v>45880</v>
      </c>
      <c r="D444" t="inlineStr">
        <is>
          <t>DALARNAS LÄN</t>
        </is>
      </c>
      <c r="E444" t="inlineStr">
        <is>
          <t>ÄLVDALEN</t>
        </is>
      </c>
      <c r="F444" t="inlineStr">
        <is>
          <t>Allmännings- och besparingsskogar</t>
        </is>
      </c>
      <c r="G444" t="n">
        <v>6.9</v>
      </c>
      <c r="H444" t="n">
        <v>0</v>
      </c>
      <c r="I444" t="n">
        <v>0</v>
      </c>
      <c r="J444" t="n">
        <v>0</v>
      </c>
      <c r="K444" t="n">
        <v>0</v>
      </c>
      <c r="L444" t="n">
        <v>0</v>
      </c>
      <c r="M444" t="n">
        <v>0</v>
      </c>
      <c r="N444" t="n">
        <v>0</v>
      </c>
      <c r="O444" t="n">
        <v>0</v>
      </c>
      <c r="P444" t="n">
        <v>0</v>
      </c>
      <c r="Q444" t="n">
        <v>0</v>
      </c>
      <c r="R444" s="2" t="inlineStr"/>
    </row>
    <row r="445" ht="15" customHeight="1">
      <c r="A445" t="inlineStr">
        <is>
          <t>A 2546-2025</t>
        </is>
      </c>
      <c r="B445" s="1" t="n">
        <v>45674.62240740741</v>
      </c>
      <c r="C445" s="1" t="n">
        <v>45880</v>
      </c>
      <c r="D445" t="inlineStr">
        <is>
          <t>DALARNAS LÄN</t>
        </is>
      </c>
      <c r="E445" t="inlineStr">
        <is>
          <t>ÄLVDALEN</t>
        </is>
      </c>
      <c r="G445" t="n">
        <v>2</v>
      </c>
      <c r="H445" t="n">
        <v>0</v>
      </c>
      <c r="I445" t="n">
        <v>0</v>
      </c>
      <c r="J445" t="n">
        <v>0</v>
      </c>
      <c r="K445" t="n">
        <v>0</v>
      </c>
      <c r="L445" t="n">
        <v>0</v>
      </c>
      <c r="M445" t="n">
        <v>0</v>
      </c>
      <c r="N445" t="n">
        <v>0</v>
      </c>
      <c r="O445" t="n">
        <v>0</v>
      </c>
      <c r="P445" t="n">
        <v>0</v>
      </c>
      <c r="Q445" t="n">
        <v>0</v>
      </c>
      <c r="R445" s="2" t="inlineStr"/>
    </row>
    <row r="446" ht="15" customHeight="1">
      <c r="A446" t="inlineStr">
        <is>
          <t>A 34850-2025</t>
        </is>
      </c>
      <c r="B446" s="1" t="n">
        <v>45849.42398148148</v>
      </c>
      <c r="C446" s="1" t="n">
        <v>45880</v>
      </c>
      <c r="D446" t="inlineStr">
        <is>
          <t>DALARNAS LÄN</t>
        </is>
      </c>
      <c r="E446" t="inlineStr">
        <is>
          <t>ÄLVDALEN</t>
        </is>
      </c>
      <c r="F446" t="inlineStr">
        <is>
          <t>Allmännings- och besparingsskogar</t>
        </is>
      </c>
      <c r="G446" t="n">
        <v>12.1</v>
      </c>
      <c r="H446" t="n">
        <v>0</v>
      </c>
      <c r="I446" t="n">
        <v>0</v>
      </c>
      <c r="J446" t="n">
        <v>0</v>
      </c>
      <c r="K446" t="n">
        <v>0</v>
      </c>
      <c r="L446" t="n">
        <v>0</v>
      </c>
      <c r="M446" t="n">
        <v>0</v>
      </c>
      <c r="N446" t="n">
        <v>0</v>
      </c>
      <c r="O446" t="n">
        <v>0</v>
      </c>
      <c r="P446" t="n">
        <v>0</v>
      </c>
      <c r="Q446" t="n">
        <v>0</v>
      </c>
      <c r="R446" s="2" t="inlineStr"/>
    </row>
    <row r="447" ht="15" customHeight="1">
      <c r="A447" t="inlineStr">
        <is>
          <t>A 26704-2025</t>
        </is>
      </c>
      <c r="B447" s="1" t="n">
        <v>45810.45271990741</v>
      </c>
      <c r="C447" s="1" t="n">
        <v>45880</v>
      </c>
      <c r="D447" t="inlineStr">
        <is>
          <t>DALARNAS LÄN</t>
        </is>
      </c>
      <c r="E447" t="inlineStr">
        <is>
          <t>ÄLVDALEN</t>
        </is>
      </c>
      <c r="F447" t="inlineStr">
        <is>
          <t>Bergvik skog väst AB</t>
        </is>
      </c>
      <c r="G447" t="n">
        <v>32.3</v>
      </c>
      <c r="H447" t="n">
        <v>0</v>
      </c>
      <c r="I447" t="n">
        <v>0</v>
      </c>
      <c r="J447" t="n">
        <v>0</v>
      </c>
      <c r="K447" t="n">
        <v>0</v>
      </c>
      <c r="L447" t="n">
        <v>0</v>
      </c>
      <c r="M447" t="n">
        <v>0</v>
      </c>
      <c r="N447" t="n">
        <v>0</v>
      </c>
      <c r="O447" t="n">
        <v>0</v>
      </c>
      <c r="P447" t="n">
        <v>0</v>
      </c>
      <c r="Q447" t="n">
        <v>0</v>
      </c>
      <c r="R447" s="2" t="inlineStr"/>
    </row>
    <row r="448" ht="15" customHeight="1">
      <c r="A448" t="inlineStr">
        <is>
          <t>A 36640-2023</t>
        </is>
      </c>
      <c r="B448" s="1" t="n">
        <v>45153.54498842593</v>
      </c>
      <c r="C448" s="1" t="n">
        <v>45880</v>
      </c>
      <c r="D448" t="inlineStr">
        <is>
          <t>DALARNAS LÄN</t>
        </is>
      </c>
      <c r="E448" t="inlineStr">
        <is>
          <t>ÄLVDALEN</t>
        </is>
      </c>
      <c r="G448" t="n">
        <v>2.3</v>
      </c>
      <c r="H448" t="n">
        <v>0</v>
      </c>
      <c r="I448" t="n">
        <v>0</v>
      </c>
      <c r="J448" t="n">
        <v>0</v>
      </c>
      <c r="K448" t="n">
        <v>0</v>
      </c>
      <c r="L448" t="n">
        <v>0</v>
      </c>
      <c r="M448" t="n">
        <v>0</v>
      </c>
      <c r="N448" t="n">
        <v>0</v>
      </c>
      <c r="O448" t="n">
        <v>0</v>
      </c>
      <c r="P448" t="n">
        <v>0</v>
      </c>
      <c r="Q448" t="n">
        <v>0</v>
      </c>
      <c r="R448" s="2" t="inlineStr"/>
    </row>
    <row r="449" ht="15" customHeight="1">
      <c r="A449" t="inlineStr">
        <is>
          <t>A 61072-2024</t>
        </is>
      </c>
      <c r="B449" s="1" t="n">
        <v>45645.50583333334</v>
      </c>
      <c r="C449" s="1" t="n">
        <v>45880</v>
      </c>
      <c r="D449" t="inlineStr">
        <is>
          <t>DALARNAS LÄN</t>
        </is>
      </c>
      <c r="E449" t="inlineStr">
        <is>
          <t>ÄLVDALEN</t>
        </is>
      </c>
      <c r="G449" t="n">
        <v>3.9</v>
      </c>
      <c r="H449" t="n">
        <v>0</v>
      </c>
      <c r="I449" t="n">
        <v>0</v>
      </c>
      <c r="J449" t="n">
        <v>0</v>
      </c>
      <c r="K449" t="n">
        <v>0</v>
      </c>
      <c r="L449" t="n">
        <v>0</v>
      </c>
      <c r="M449" t="n">
        <v>0</v>
      </c>
      <c r="N449" t="n">
        <v>0</v>
      </c>
      <c r="O449" t="n">
        <v>0</v>
      </c>
      <c r="P449" t="n">
        <v>0</v>
      </c>
      <c r="Q449" t="n">
        <v>0</v>
      </c>
      <c r="R449" s="2" t="inlineStr"/>
    </row>
    <row r="450" ht="15" customHeight="1">
      <c r="A450" t="inlineStr">
        <is>
          <t>A 34914-2025</t>
        </is>
      </c>
      <c r="B450" s="1" t="n">
        <v>45849.54108796296</v>
      </c>
      <c r="C450" s="1" t="n">
        <v>45880</v>
      </c>
      <c r="D450" t="inlineStr">
        <is>
          <t>DALARNAS LÄN</t>
        </is>
      </c>
      <c r="E450" t="inlineStr">
        <is>
          <t>ÄLVDALEN</t>
        </is>
      </c>
      <c r="F450" t="inlineStr">
        <is>
          <t>Allmännings- och besparingsskogar</t>
        </is>
      </c>
      <c r="G450" t="n">
        <v>19.2</v>
      </c>
      <c r="H450" t="n">
        <v>0</v>
      </c>
      <c r="I450" t="n">
        <v>0</v>
      </c>
      <c r="J450" t="n">
        <v>0</v>
      </c>
      <c r="K450" t="n">
        <v>0</v>
      </c>
      <c r="L450" t="n">
        <v>0</v>
      </c>
      <c r="M450" t="n">
        <v>0</v>
      </c>
      <c r="N450" t="n">
        <v>0</v>
      </c>
      <c r="O450" t="n">
        <v>0</v>
      </c>
      <c r="P450" t="n">
        <v>0</v>
      </c>
      <c r="Q450" t="n">
        <v>0</v>
      </c>
      <c r="R450" s="2" t="inlineStr"/>
    </row>
    <row r="451" ht="15" customHeight="1">
      <c r="A451" t="inlineStr">
        <is>
          <t>A 7913-2025</t>
        </is>
      </c>
      <c r="B451" s="1" t="n">
        <v>45707.34497685185</v>
      </c>
      <c r="C451" s="1" t="n">
        <v>45880</v>
      </c>
      <c r="D451" t="inlineStr">
        <is>
          <t>DALARNAS LÄN</t>
        </is>
      </c>
      <c r="E451" t="inlineStr">
        <is>
          <t>ÄLVDALEN</t>
        </is>
      </c>
      <c r="F451" t="inlineStr">
        <is>
          <t>Allmännings- och besparingsskogar</t>
        </is>
      </c>
      <c r="G451" t="n">
        <v>7.5</v>
      </c>
      <c r="H451" t="n">
        <v>0</v>
      </c>
      <c r="I451" t="n">
        <v>0</v>
      </c>
      <c r="J451" t="n">
        <v>0</v>
      </c>
      <c r="K451" t="n">
        <v>0</v>
      </c>
      <c r="L451" t="n">
        <v>0</v>
      </c>
      <c r="M451" t="n">
        <v>0</v>
      </c>
      <c r="N451" t="n">
        <v>0</v>
      </c>
      <c r="O451" t="n">
        <v>0</v>
      </c>
      <c r="P451" t="n">
        <v>0</v>
      </c>
      <c r="Q451" t="n">
        <v>0</v>
      </c>
      <c r="R451" s="2" t="inlineStr"/>
    </row>
    <row r="452" ht="15" customHeight="1">
      <c r="A452" t="inlineStr">
        <is>
          <t>A 42649-2023</t>
        </is>
      </c>
      <c r="B452" s="1" t="n">
        <v>45181.53310185186</v>
      </c>
      <c r="C452" s="1" t="n">
        <v>45880</v>
      </c>
      <c r="D452" t="inlineStr">
        <is>
          <t>DALARNAS LÄN</t>
        </is>
      </c>
      <c r="E452" t="inlineStr">
        <is>
          <t>ÄLVDALEN</t>
        </is>
      </c>
      <c r="G452" t="n">
        <v>5.3</v>
      </c>
      <c r="H452" t="n">
        <v>0</v>
      </c>
      <c r="I452" t="n">
        <v>0</v>
      </c>
      <c r="J452" t="n">
        <v>0</v>
      </c>
      <c r="K452" t="n">
        <v>0</v>
      </c>
      <c r="L452" t="n">
        <v>0</v>
      </c>
      <c r="M452" t="n">
        <v>0</v>
      </c>
      <c r="N452" t="n">
        <v>0</v>
      </c>
      <c r="O452" t="n">
        <v>0</v>
      </c>
      <c r="P452" t="n">
        <v>0</v>
      </c>
      <c r="Q452" t="n">
        <v>0</v>
      </c>
      <c r="R452" s="2" t="inlineStr"/>
    </row>
    <row r="453" ht="15" customHeight="1">
      <c r="A453" t="inlineStr">
        <is>
          <t>A 33099-2023</t>
        </is>
      </c>
      <c r="B453" s="1" t="n">
        <v>45114</v>
      </c>
      <c r="C453" s="1" t="n">
        <v>45880</v>
      </c>
      <c r="D453" t="inlineStr">
        <is>
          <t>DALARNAS LÄN</t>
        </is>
      </c>
      <c r="E453" t="inlineStr">
        <is>
          <t>ÄLVDALEN</t>
        </is>
      </c>
      <c r="G453" t="n">
        <v>3.5</v>
      </c>
      <c r="H453" t="n">
        <v>0</v>
      </c>
      <c r="I453" t="n">
        <v>0</v>
      </c>
      <c r="J453" t="n">
        <v>0</v>
      </c>
      <c r="K453" t="n">
        <v>0</v>
      </c>
      <c r="L453" t="n">
        <v>0</v>
      </c>
      <c r="M453" t="n">
        <v>0</v>
      </c>
      <c r="N453" t="n">
        <v>0</v>
      </c>
      <c r="O453" t="n">
        <v>0</v>
      </c>
      <c r="P453" t="n">
        <v>0</v>
      </c>
      <c r="Q453" t="n">
        <v>0</v>
      </c>
      <c r="R453" s="2" t="inlineStr"/>
    </row>
    <row r="454" ht="15" customHeight="1">
      <c r="A454" t="inlineStr">
        <is>
          <t>A 33100-2023</t>
        </is>
      </c>
      <c r="B454" s="1" t="n">
        <v>45114</v>
      </c>
      <c r="C454" s="1" t="n">
        <v>45880</v>
      </c>
      <c r="D454" t="inlineStr">
        <is>
          <t>DALARNAS LÄN</t>
        </is>
      </c>
      <c r="E454" t="inlineStr">
        <is>
          <t>ÄLVDALEN</t>
        </is>
      </c>
      <c r="G454" t="n">
        <v>0.5</v>
      </c>
      <c r="H454" t="n">
        <v>0</v>
      </c>
      <c r="I454" t="n">
        <v>0</v>
      </c>
      <c r="J454" t="n">
        <v>0</v>
      </c>
      <c r="K454" t="n">
        <v>0</v>
      </c>
      <c r="L454" t="n">
        <v>0</v>
      </c>
      <c r="M454" t="n">
        <v>0</v>
      </c>
      <c r="N454" t="n">
        <v>0</v>
      </c>
      <c r="O454" t="n">
        <v>0</v>
      </c>
      <c r="P454" t="n">
        <v>0</v>
      </c>
      <c r="Q454" t="n">
        <v>0</v>
      </c>
      <c r="R454" s="2" t="inlineStr"/>
    </row>
    <row r="455" ht="15" customHeight="1">
      <c r="A455" t="inlineStr">
        <is>
          <t>A 31332-2023</t>
        </is>
      </c>
      <c r="B455" s="1" t="n">
        <v>45114</v>
      </c>
      <c r="C455" s="1" t="n">
        <v>45880</v>
      </c>
      <c r="D455" t="inlineStr">
        <is>
          <t>DALARNAS LÄN</t>
        </is>
      </c>
      <c r="E455" t="inlineStr">
        <is>
          <t>ÄLVDALEN</t>
        </is>
      </c>
      <c r="F455" t="inlineStr">
        <is>
          <t>Övriga statliga verk och myndigheter</t>
        </is>
      </c>
      <c r="G455" t="n">
        <v>0.5</v>
      </c>
      <c r="H455" t="n">
        <v>0</v>
      </c>
      <c r="I455" t="n">
        <v>0</v>
      </c>
      <c r="J455" t="n">
        <v>0</v>
      </c>
      <c r="K455" t="n">
        <v>0</v>
      </c>
      <c r="L455" t="n">
        <v>0</v>
      </c>
      <c r="M455" t="n">
        <v>0</v>
      </c>
      <c r="N455" t="n">
        <v>0</v>
      </c>
      <c r="O455" t="n">
        <v>0</v>
      </c>
      <c r="P455" t="n">
        <v>0</v>
      </c>
      <c r="Q455" t="n">
        <v>0</v>
      </c>
      <c r="R455" s="2" t="inlineStr"/>
    </row>
    <row r="456" ht="15" customHeight="1">
      <c r="A456" t="inlineStr">
        <is>
          <t>A 15952-2021</t>
        </is>
      </c>
      <c r="B456" s="1" t="n">
        <v>44286</v>
      </c>
      <c r="C456" s="1" t="n">
        <v>45880</v>
      </c>
      <c r="D456" t="inlineStr">
        <is>
          <t>DALARNAS LÄN</t>
        </is>
      </c>
      <c r="E456" t="inlineStr">
        <is>
          <t>ÄLVDALEN</t>
        </is>
      </c>
      <c r="F456" t="inlineStr">
        <is>
          <t>Övriga statliga verk och myndigheter</t>
        </is>
      </c>
      <c r="G456" t="n">
        <v>6.6</v>
      </c>
      <c r="H456" t="n">
        <v>0</v>
      </c>
      <c r="I456" t="n">
        <v>0</v>
      </c>
      <c r="J456" t="n">
        <v>0</v>
      </c>
      <c r="K456" t="n">
        <v>0</v>
      </c>
      <c r="L456" t="n">
        <v>0</v>
      </c>
      <c r="M456" t="n">
        <v>0</v>
      </c>
      <c r="N456" t="n">
        <v>0</v>
      </c>
      <c r="O456" t="n">
        <v>0</v>
      </c>
      <c r="P456" t="n">
        <v>0</v>
      </c>
      <c r="Q456" t="n">
        <v>0</v>
      </c>
      <c r="R456" s="2" t="inlineStr"/>
    </row>
    <row r="457" ht="15" customHeight="1">
      <c r="A457" t="inlineStr">
        <is>
          <t>A 61070-2024</t>
        </is>
      </c>
      <c r="B457" s="1" t="n">
        <v>45645.50170138889</v>
      </c>
      <c r="C457" s="1" t="n">
        <v>45880</v>
      </c>
      <c r="D457" t="inlineStr">
        <is>
          <t>DALARNAS LÄN</t>
        </is>
      </c>
      <c r="E457" t="inlineStr">
        <is>
          <t>ÄLVDALEN</t>
        </is>
      </c>
      <c r="G457" t="n">
        <v>5.6</v>
      </c>
      <c r="H457" t="n">
        <v>0</v>
      </c>
      <c r="I457" t="n">
        <v>0</v>
      </c>
      <c r="J457" t="n">
        <v>0</v>
      </c>
      <c r="K457" t="n">
        <v>0</v>
      </c>
      <c r="L457" t="n">
        <v>0</v>
      </c>
      <c r="M457" t="n">
        <v>0</v>
      </c>
      <c r="N457" t="n">
        <v>0</v>
      </c>
      <c r="O457" t="n">
        <v>0</v>
      </c>
      <c r="P457" t="n">
        <v>0</v>
      </c>
      <c r="Q457" t="n">
        <v>0</v>
      </c>
      <c r="R457" s="2" t="inlineStr"/>
    </row>
    <row r="458" ht="15" customHeight="1">
      <c r="A458" t="inlineStr">
        <is>
          <t>A 45203-2024</t>
        </is>
      </c>
      <c r="B458" s="1" t="n">
        <v>45575</v>
      </c>
      <c r="C458" s="1" t="n">
        <v>45880</v>
      </c>
      <c r="D458" t="inlineStr">
        <is>
          <t>DALARNAS LÄN</t>
        </is>
      </c>
      <c r="E458" t="inlineStr">
        <is>
          <t>ÄLVDALEN</t>
        </is>
      </c>
      <c r="G458" t="n">
        <v>7.3</v>
      </c>
      <c r="H458" t="n">
        <v>0</v>
      </c>
      <c r="I458" t="n">
        <v>0</v>
      </c>
      <c r="J458" t="n">
        <v>0</v>
      </c>
      <c r="K458" t="n">
        <v>0</v>
      </c>
      <c r="L458" t="n">
        <v>0</v>
      </c>
      <c r="M458" t="n">
        <v>0</v>
      </c>
      <c r="N458" t="n">
        <v>0</v>
      </c>
      <c r="O458" t="n">
        <v>0</v>
      </c>
      <c r="P458" t="n">
        <v>0</v>
      </c>
      <c r="Q458" t="n">
        <v>0</v>
      </c>
      <c r="R458" s="2" t="inlineStr"/>
    </row>
    <row r="459" ht="15" customHeight="1">
      <c r="A459" t="inlineStr">
        <is>
          <t>A 19761-2021</t>
        </is>
      </c>
      <c r="B459" s="1" t="n">
        <v>44309</v>
      </c>
      <c r="C459" s="1" t="n">
        <v>45880</v>
      </c>
      <c r="D459" t="inlineStr">
        <is>
          <t>DALARNAS LÄN</t>
        </is>
      </c>
      <c r="E459" t="inlineStr">
        <is>
          <t>ÄLVDALEN</t>
        </is>
      </c>
      <c r="G459" t="n">
        <v>4.3</v>
      </c>
      <c r="H459" t="n">
        <v>0</v>
      </c>
      <c r="I459" t="n">
        <v>0</v>
      </c>
      <c r="J459" t="n">
        <v>0</v>
      </c>
      <c r="K459" t="n">
        <v>0</v>
      </c>
      <c r="L459" t="n">
        <v>0</v>
      </c>
      <c r="M459" t="n">
        <v>0</v>
      </c>
      <c r="N459" t="n">
        <v>0</v>
      </c>
      <c r="O459" t="n">
        <v>0</v>
      </c>
      <c r="P459" t="n">
        <v>0</v>
      </c>
      <c r="Q459" t="n">
        <v>0</v>
      </c>
      <c r="R459" s="2" t="inlineStr"/>
    </row>
    <row r="460" ht="15" customHeight="1">
      <c r="A460" t="inlineStr">
        <is>
          <t>A 29713-2022</t>
        </is>
      </c>
      <c r="B460" s="1" t="n">
        <v>44755</v>
      </c>
      <c r="C460" s="1" t="n">
        <v>45880</v>
      </c>
      <c r="D460" t="inlineStr">
        <is>
          <t>DALARNAS LÄN</t>
        </is>
      </c>
      <c r="E460" t="inlineStr">
        <is>
          <t>ÄLVDALEN</t>
        </is>
      </c>
      <c r="G460" t="n">
        <v>2.8</v>
      </c>
      <c r="H460" t="n">
        <v>0</v>
      </c>
      <c r="I460" t="n">
        <v>0</v>
      </c>
      <c r="J460" t="n">
        <v>0</v>
      </c>
      <c r="K460" t="n">
        <v>0</v>
      </c>
      <c r="L460" t="n">
        <v>0</v>
      </c>
      <c r="M460" t="n">
        <v>0</v>
      </c>
      <c r="N460" t="n">
        <v>0</v>
      </c>
      <c r="O460" t="n">
        <v>0</v>
      </c>
      <c r="P460" t="n">
        <v>0</v>
      </c>
      <c r="Q460" t="n">
        <v>0</v>
      </c>
      <c r="R460" s="2" t="inlineStr"/>
    </row>
    <row r="461" ht="15" customHeight="1">
      <c r="A461" t="inlineStr">
        <is>
          <t>A 27230-2025</t>
        </is>
      </c>
      <c r="B461" s="1" t="n">
        <v>45812.43825231482</v>
      </c>
      <c r="C461" s="1" t="n">
        <v>45880</v>
      </c>
      <c r="D461" t="inlineStr">
        <is>
          <t>DALARNAS LÄN</t>
        </is>
      </c>
      <c r="E461" t="inlineStr">
        <is>
          <t>ÄLVDALEN</t>
        </is>
      </c>
      <c r="F461" t="inlineStr">
        <is>
          <t>Allmännings- och besparingsskogar</t>
        </is>
      </c>
      <c r="G461" t="n">
        <v>4</v>
      </c>
      <c r="H461" t="n">
        <v>0</v>
      </c>
      <c r="I461" t="n">
        <v>0</v>
      </c>
      <c r="J461" t="n">
        <v>0</v>
      </c>
      <c r="K461" t="n">
        <v>0</v>
      </c>
      <c r="L461" t="n">
        <v>0</v>
      </c>
      <c r="M461" t="n">
        <v>0</v>
      </c>
      <c r="N461" t="n">
        <v>0</v>
      </c>
      <c r="O461" t="n">
        <v>0</v>
      </c>
      <c r="P461" t="n">
        <v>0</v>
      </c>
      <c r="Q461" t="n">
        <v>0</v>
      </c>
      <c r="R461" s="2" t="inlineStr"/>
    </row>
    <row r="462" ht="15" customHeight="1">
      <c r="A462" t="inlineStr">
        <is>
          <t>A 27261-2025</t>
        </is>
      </c>
      <c r="B462" s="1" t="n">
        <v>45812.47674768518</v>
      </c>
      <c r="C462" s="1" t="n">
        <v>45880</v>
      </c>
      <c r="D462" t="inlineStr">
        <is>
          <t>DALARNAS LÄN</t>
        </is>
      </c>
      <c r="E462" t="inlineStr">
        <is>
          <t>ÄLVDALEN</t>
        </is>
      </c>
      <c r="F462" t="inlineStr">
        <is>
          <t>Bergvik skog väst AB</t>
        </is>
      </c>
      <c r="G462" t="n">
        <v>9.5</v>
      </c>
      <c r="H462" t="n">
        <v>0</v>
      </c>
      <c r="I462" t="n">
        <v>0</v>
      </c>
      <c r="J462" t="n">
        <v>0</v>
      </c>
      <c r="K462" t="n">
        <v>0</v>
      </c>
      <c r="L462" t="n">
        <v>0</v>
      </c>
      <c r="M462" t="n">
        <v>0</v>
      </c>
      <c r="N462" t="n">
        <v>0</v>
      </c>
      <c r="O462" t="n">
        <v>0</v>
      </c>
      <c r="P462" t="n">
        <v>0</v>
      </c>
      <c r="Q462" t="n">
        <v>0</v>
      </c>
      <c r="R462" s="2" t="inlineStr"/>
    </row>
    <row r="463" ht="15" customHeight="1">
      <c r="A463" t="inlineStr">
        <is>
          <t>A 27187-2025</t>
        </is>
      </c>
      <c r="B463" s="1" t="n">
        <v>45812.36554398148</v>
      </c>
      <c r="C463" s="1" t="n">
        <v>45880</v>
      </c>
      <c r="D463" t="inlineStr">
        <is>
          <t>DALARNAS LÄN</t>
        </is>
      </c>
      <c r="E463" t="inlineStr">
        <is>
          <t>ÄLVDALEN</t>
        </is>
      </c>
      <c r="F463" t="inlineStr">
        <is>
          <t>Allmännings- och besparingsskogar</t>
        </is>
      </c>
      <c r="G463" t="n">
        <v>3</v>
      </c>
      <c r="H463" t="n">
        <v>0</v>
      </c>
      <c r="I463" t="n">
        <v>0</v>
      </c>
      <c r="J463" t="n">
        <v>0</v>
      </c>
      <c r="K463" t="n">
        <v>0</v>
      </c>
      <c r="L463" t="n">
        <v>0</v>
      </c>
      <c r="M463" t="n">
        <v>0</v>
      </c>
      <c r="N463" t="n">
        <v>0</v>
      </c>
      <c r="O463" t="n">
        <v>0</v>
      </c>
      <c r="P463" t="n">
        <v>0</v>
      </c>
      <c r="Q463" t="n">
        <v>0</v>
      </c>
      <c r="R463" s="2" t="inlineStr"/>
    </row>
    <row r="464" ht="15" customHeight="1">
      <c r="A464" t="inlineStr">
        <is>
          <t>A 27090-2025</t>
        </is>
      </c>
      <c r="B464" s="1" t="n">
        <v>45811.66903935185</v>
      </c>
      <c r="C464" s="1" t="n">
        <v>45880</v>
      </c>
      <c r="D464" t="inlineStr">
        <is>
          <t>DALARNAS LÄN</t>
        </is>
      </c>
      <c r="E464" t="inlineStr">
        <is>
          <t>ÄLVDALEN</t>
        </is>
      </c>
      <c r="G464" t="n">
        <v>2.3</v>
      </c>
      <c r="H464" t="n">
        <v>0</v>
      </c>
      <c r="I464" t="n">
        <v>0</v>
      </c>
      <c r="J464" t="n">
        <v>0</v>
      </c>
      <c r="K464" t="n">
        <v>0</v>
      </c>
      <c r="L464" t="n">
        <v>0</v>
      </c>
      <c r="M464" t="n">
        <v>0</v>
      </c>
      <c r="N464" t="n">
        <v>0</v>
      </c>
      <c r="O464" t="n">
        <v>0</v>
      </c>
      <c r="P464" t="n">
        <v>0</v>
      </c>
      <c r="Q464" t="n">
        <v>0</v>
      </c>
      <c r="R464" s="2" t="inlineStr"/>
    </row>
    <row r="465" ht="15" customHeight="1">
      <c r="A465" t="inlineStr">
        <is>
          <t>A 7164-2021</t>
        </is>
      </c>
      <c r="B465" s="1" t="n">
        <v>44238</v>
      </c>
      <c r="C465" s="1" t="n">
        <v>45880</v>
      </c>
      <c r="D465" t="inlineStr">
        <is>
          <t>DALARNAS LÄN</t>
        </is>
      </c>
      <c r="E465" t="inlineStr">
        <is>
          <t>ÄLVDALEN</t>
        </is>
      </c>
      <c r="G465" t="n">
        <v>1.1</v>
      </c>
      <c r="H465" t="n">
        <v>0</v>
      </c>
      <c r="I465" t="n">
        <v>0</v>
      </c>
      <c r="J465" t="n">
        <v>0</v>
      </c>
      <c r="K465" t="n">
        <v>0</v>
      </c>
      <c r="L465" t="n">
        <v>0</v>
      </c>
      <c r="M465" t="n">
        <v>0</v>
      </c>
      <c r="N465" t="n">
        <v>0</v>
      </c>
      <c r="O465" t="n">
        <v>0</v>
      </c>
      <c r="P465" t="n">
        <v>0</v>
      </c>
      <c r="Q465" t="n">
        <v>0</v>
      </c>
      <c r="R465" s="2" t="inlineStr"/>
    </row>
    <row r="466" ht="15" customHeight="1">
      <c r="A466" t="inlineStr">
        <is>
          <t>A 3893-2024</t>
        </is>
      </c>
      <c r="B466" s="1" t="n">
        <v>45322</v>
      </c>
      <c r="C466" s="1" t="n">
        <v>45880</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627-2025</t>
        </is>
      </c>
      <c r="B467" s="1" t="n">
        <v>45660</v>
      </c>
      <c r="C467" s="1" t="n">
        <v>45880</v>
      </c>
      <c r="D467" t="inlineStr">
        <is>
          <t>DALARNAS LÄN</t>
        </is>
      </c>
      <c r="E467" t="inlineStr">
        <is>
          <t>ÄLVDALEN</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10817-2025</t>
        </is>
      </c>
      <c r="B468" s="1" t="n">
        <v>45722.54625</v>
      </c>
      <c r="C468" s="1" t="n">
        <v>45880</v>
      </c>
      <c r="D468" t="inlineStr">
        <is>
          <t>DALARNAS LÄN</t>
        </is>
      </c>
      <c r="E468" t="inlineStr">
        <is>
          <t>ÄLVDALEN</t>
        </is>
      </c>
      <c r="F468" t="inlineStr">
        <is>
          <t>Kommuner</t>
        </is>
      </c>
      <c r="G468" t="n">
        <v>0.7</v>
      </c>
      <c r="H468" t="n">
        <v>0</v>
      </c>
      <c r="I468" t="n">
        <v>0</v>
      </c>
      <c r="J468" t="n">
        <v>0</v>
      </c>
      <c r="K468" t="n">
        <v>0</v>
      </c>
      <c r="L468" t="n">
        <v>0</v>
      </c>
      <c r="M468" t="n">
        <v>0</v>
      </c>
      <c r="N468" t="n">
        <v>0</v>
      </c>
      <c r="O468" t="n">
        <v>0</v>
      </c>
      <c r="P468" t="n">
        <v>0</v>
      </c>
      <c r="Q468" t="n">
        <v>0</v>
      </c>
      <c r="R468" s="2" t="inlineStr"/>
    </row>
    <row r="469" ht="15" customHeight="1">
      <c r="A469" t="inlineStr">
        <is>
          <t>A 10831-2025</t>
        </is>
      </c>
      <c r="B469" s="1" t="n">
        <v>45722.56425925926</v>
      </c>
      <c r="C469" s="1" t="n">
        <v>45880</v>
      </c>
      <c r="D469" t="inlineStr">
        <is>
          <t>DALARNAS LÄN</t>
        </is>
      </c>
      <c r="E469" t="inlineStr">
        <is>
          <t>ÄLVDALEN</t>
        </is>
      </c>
      <c r="F469" t="inlineStr">
        <is>
          <t>Kommuner</t>
        </is>
      </c>
      <c r="G469" t="n">
        <v>0.5</v>
      </c>
      <c r="H469" t="n">
        <v>0</v>
      </c>
      <c r="I469" t="n">
        <v>0</v>
      </c>
      <c r="J469" t="n">
        <v>0</v>
      </c>
      <c r="K469" t="n">
        <v>0</v>
      </c>
      <c r="L469" t="n">
        <v>0</v>
      </c>
      <c r="M469" t="n">
        <v>0</v>
      </c>
      <c r="N469" t="n">
        <v>0</v>
      </c>
      <c r="O469" t="n">
        <v>0</v>
      </c>
      <c r="P469" t="n">
        <v>0</v>
      </c>
      <c r="Q469" t="n">
        <v>0</v>
      </c>
      <c r="R469" s="2" t="inlineStr"/>
    </row>
    <row r="470" ht="15" customHeight="1">
      <c r="A470" t="inlineStr">
        <is>
          <t>A 37665-2023</t>
        </is>
      </c>
      <c r="B470" s="1" t="n">
        <v>45159.5371875</v>
      </c>
      <c r="C470" s="1" t="n">
        <v>45880</v>
      </c>
      <c r="D470" t="inlineStr">
        <is>
          <t>DALARNAS LÄN</t>
        </is>
      </c>
      <c r="E470" t="inlineStr">
        <is>
          <t>ÄLVDALEN</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1310-2024</t>
        </is>
      </c>
      <c r="B471" s="1" t="n">
        <v>45303</v>
      </c>
      <c r="C471" s="1" t="n">
        <v>45880</v>
      </c>
      <c r="D471" t="inlineStr">
        <is>
          <t>DALARNAS LÄN</t>
        </is>
      </c>
      <c r="E471" t="inlineStr">
        <is>
          <t>ÄLVDALEN</t>
        </is>
      </c>
      <c r="G471" t="n">
        <v>4.3</v>
      </c>
      <c r="H471" t="n">
        <v>0</v>
      </c>
      <c r="I471" t="n">
        <v>0</v>
      </c>
      <c r="J471" t="n">
        <v>0</v>
      </c>
      <c r="K471" t="n">
        <v>0</v>
      </c>
      <c r="L471" t="n">
        <v>0</v>
      </c>
      <c r="M471" t="n">
        <v>0</v>
      </c>
      <c r="N471" t="n">
        <v>0</v>
      </c>
      <c r="O471" t="n">
        <v>0</v>
      </c>
      <c r="P471" t="n">
        <v>0</v>
      </c>
      <c r="Q471" t="n">
        <v>0</v>
      </c>
      <c r="R471" s="2" t="inlineStr"/>
    </row>
    <row r="472" ht="15" customHeight="1">
      <c r="A472" t="inlineStr">
        <is>
          <t>A 15251-2021</t>
        </is>
      </c>
      <c r="B472" s="1" t="n">
        <v>44284</v>
      </c>
      <c r="C472" s="1" t="n">
        <v>45880</v>
      </c>
      <c r="D472" t="inlineStr">
        <is>
          <t>DALARNAS LÄN</t>
        </is>
      </c>
      <c r="E472" t="inlineStr">
        <is>
          <t>ÄLVDALEN</t>
        </is>
      </c>
      <c r="G472" t="n">
        <v>6.1</v>
      </c>
      <c r="H472" t="n">
        <v>0</v>
      </c>
      <c r="I472" t="n">
        <v>0</v>
      </c>
      <c r="J472" t="n">
        <v>0</v>
      </c>
      <c r="K472" t="n">
        <v>0</v>
      </c>
      <c r="L472" t="n">
        <v>0</v>
      </c>
      <c r="M472" t="n">
        <v>0</v>
      </c>
      <c r="N472" t="n">
        <v>0</v>
      </c>
      <c r="O472" t="n">
        <v>0</v>
      </c>
      <c r="P472" t="n">
        <v>0</v>
      </c>
      <c r="Q472" t="n">
        <v>0</v>
      </c>
      <c r="R472" s="2" t="inlineStr"/>
    </row>
    <row r="473" ht="15" customHeight="1">
      <c r="A473" t="inlineStr">
        <is>
          <t>A 47081-2023</t>
        </is>
      </c>
      <c r="B473" s="1" t="n">
        <v>45201.61148148148</v>
      </c>
      <c r="C473" s="1" t="n">
        <v>45880</v>
      </c>
      <c r="D473" t="inlineStr">
        <is>
          <t>DALARNAS LÄN</t>
        </is>
      </c>
      <c r="E473" t="inlineStr">
        <is>
          <t>ÄLVDALEN</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23369-2023</t>
        </is>
      </c>
      <c r="B474" s="1" t="n">
        <v>45076</v>
      </c>
      <c r="C474" s="1" t="n">
        <v>45880</v>
      </c>
      <c r="D474" t="inlineStr">
        <is>
          <t>DALARNAS LÄN</t>
        </is>
      </c>
      <c r="E474" t="inlineStr">
        <is>
          <t>ÄLVDALEN</t>
        </is>
      </c>
      <c r="G474" t="n">
        <v>1.5</v>
      </c>
      <c r="H474" t="n">
        <v>0</v>
      </c>
      <c r="I474" t="n">
        <v>0</v>
      </c>
      <c r="J474" t="n">
        <v>0</v>
      </c>
      <c r="K474" t="n">
        <v>0</v>
      </c>
      <c r="L474" t="n">
        <v>0</v>
      </c>
      <c r="M474" t="n">
        <v>0</v>
      </c>
      <c r="N474" t="n">
        <v>0</v>
      </c>
      <c r="O474" t="n">
        <v>0</v>
      </c>
      <c r="P474" t="n">
        <v>0</v>
      </c>
      <c r="Q474" t="n">
        <v>0</v>
      </c>
      <c r="R474" s="2" t="inlineStr"/>
    </row>
    <row r="475" ht="15" customHeight="1">
      <c r="A475" t="inlineStr">
        <is>
          <t>A 19527-2025</t>
        </is>
      </c>
      <c r="B475" s="1" t="n">
        <v>45770.46546296297</v>
      </c>
      <c r="C475" s="1" t="n">
        <v>45880</v>
      </c>
      <c r="D475" t="inlineStr">
        <is>
          <t>DALARNAS LÄN</t>
        </is>
      </c>
      <c r="E475" t="inlineStr">
        <is>
          <t>ÄLVDALEN</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7998-2024</t>
        </is>
      </c>
      <c r="B476" s="1" t="n">
        <v>45350.6433912037</v>
      </c>
      <c r="C476" s="1" t="n">
        <v>45880</v>
      </c>
      <c r="D476" t="inlineStr">
        <is>
          <t>DALARNAS LÄN</t>
        </is>
      </c>
      <c r="E476" t="inlineStr">
        <is>
          <t>ÄLVDALEN</t>
        </is>
      </c>
      <c r="F476" t="inlineStr">
        <is>
          <t>Kommuner</t>
        </is>
      </c>
      <c r="G476" t="n">
        <v>7.9</v>
      </c>
      <c r="H476" t="n">
        <v>0</v>
      </c>
      <c r="I476" t="n">
        <v>0</v>
      </c>
      <c r="J476" t="n">
        <v>0</v>
      </c>
      <c r="K476" t="n">
        <v>0</v>
      </c>
      <c r="L476" t="n">
        <v>0</v>
      </c>
      <c r="M476" t="n">
        <v>0</v>
      </c>
      <c r="N476" t="n">
        <v>0</v>
      </c>
      <c r="O476" t="n">
        <v>0</v>
      </c>
      <c r="P476" t="n">
        <v>0</v>
      </c>
      <c r="Q476" t="n">
        <v>0</v>
      </c>
      <c r="R476" s="2" t="inlineStr"/>
    </row>
    <row r="477" ht="15" customHeight="1">
      <c r="A477" t="inlineStr">
        <is>
          <t>A 27739-2025</t>
        </is>
      </c>
      <c r="B477" s="1" t="n">
        <v>45815.49082175926</v>
      </c>
      <c r="C477" s="1" t="n">
        <v>45880</v>
      </c>
      <c r="D477" t="inlineStr">
        <is>
          <t>DALARNAS LÄN</t>
        </is>
      </c>
      <c r="E477" t="inlineStr">
        <is>
          <t>ÄLVDALEN</t>
        </is>
      </c>
      <c r="F477" t="inlineStr">
        <is>
          <t>Bergvik skog väst AB</t>
        </is>
      </c>
      <c r="G477" t="n">
        <v>1.5</v>
      </c>
      <c r="H477" t="n">
        <v>0</v>
      </c>
      <c r="I477" t="n">
        <v>0</v>
      </c>
      <c r="J477" t="n">
        <v>0</v>
      </c>
      <c r="K477" t="n">
        <v>0</v>
      </c>
      <c r="L477" t="n">
        <v>0</v>
      </c>
      <c r="M477" t="n">
        <v>0</v>
      </c>
      <c r="N477" t="n">
        <v>0</v>
      </c>
      <c r="O477" t="n">
        <v>0</v>
      </c>
      <c r="P477" t="n">
        <v>0</v>
      </c>
      <c r="Q477" t="n">
        <v>0</v>
      </c>
      <c r="R477" s="2" t="inlineStr"/>
    </row>
    <row r="478" ht="15" customHeight="1">
      <c r="A478" t="inlineStr">
        <is>
          <t>A 3904-2024</t>
        </is>
      </c>
      <c r="B478" s="1" t="n">
        <v>45322</v>
      </c>
      <c r="C478" s="1" t="n">
        <v>45880</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6001-2024</t>
        </is>
      </c>
      <c r="B479" s="1" t="n">
        <v>45336</v>
      </c>
      <c r="C479" s="1" t="n">
        <v>45880</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19583-2025</t>
        </is>
      </c>
      <c r="B480" s="1" t="n">
        <v>45770</v>
      </c>
      <c r="C480" s="1" t="n">
        <v>45880</v>
      </c>
      <c r="D480" t="inlineStr">
        <is>
          <t>DALARNAS LÄN</t>
        </is>
      </c>
      <c r="E480" t="inlineStr">
        <is>
          <t>ÄLVDALEN</t>
        </is>
      </c>
      <c r="F480" t="inlineStr">
        <is>
          <t>Sveaskog</t>
        </is>
      </c>
      <c r="G480" t="n">
        <v>24.1</v>
      </c>
      <c r="H480" t="n">
        <v>0</v>
      </c>
      <c r="I480" t="n">
        <v>0</v>
      </c>
      <c r="J480" t="n">
        <v>0</v>
      </c>
      <c r="K480" t="n">
        <v>0</v>
      </c>
      <c r="L480" t="n">
        <v>0</v>
      </c>
      <c r="M480" t="n">
        <v>0</v>
      </c>
      <c r="N480" t="n">
        <v>0</v>
      </c>
      <c r="O480" t="n">
        <v>0</v>
      </c>
      <c r="P480" t="n">
        <v>0</v>
      </c>
      <c r="Q480" t="n">
        <v>0</v>
      </c>
      <c r="R480" s="2" t="inlineStr"/>
    </row>
    <row r="481" ht="15" customHeight="1">
      <c r="A481" t="inlineStr">
        <is>
          <t>A 44119-2022</t>
        </is>
      </c>
      <c r="B481" s="1" t="n">
        <v>44839.39157407408</v>
      </c>
      <c r="C481" s="1" t="n">
        <v>45880</v>
      </c>
      <c r="D481" t="inlineStr">
        <is>
          <t>DALARNAS LÄN</t>
        </is>
      </c>
      <c r="E481" t="inlineStr">
        <is>
          <t>ÄLVDALEN</t>
        </is>
      </c>
      <c r="G481" t="n">
        <v>3.2</v>
      </c>
      <c r="H481" t="n">
        <v>0</v>
      </c>
      <c r="I481" t="n">
        <v>0</v>
      </c>
      <c r="J481" t="n">
        <v>0</v>
      </c>
      <c r="K481" t="n">
        <v>0</v>
      </c>
      <c r="L481" t="n">
        <v>0</v>
      </c>
      <c r="M481" t="n">
        <v>0</v>
      </c>
      <c r="N481" t="n">
        <v>0</v>
      </c>
      <c r="O481" t="n">
        <v>0</v>
      </c>
      <c r="P481" t="n">
        <v>0</v>
      </c>
      <c r="Q481" t="n">
        <v>0</v>
      </c>
      <c r="R481" s="2" t="inlineStr"/>
    </row>
    <row r="482" ht="15" customHeight="1">
      <c r="A482" t="inlineStr">
        <is>
          <t>A 50385-2024</t>
        </is>
      </c>
      <c r="B482" s="1" t="n">
        <v>45600</v>
      </c>
      <c r="C482" s="1" t="n">
        <v>45880</v>
      </c>
      <c r="D482" t="inlineStr">
        <is>
          <t>DALARNAS LÄN</t>
        </is>
      </c>
      <c r="E482" t="inlineStr">
        <is>
          <t>ÄLVDALEN</t>
        </is>
      </c>
      <c r="F482" t="inlineStr">
        <is>
          <t>Övriga statliga verk och myndigheter</t>
        </is>
      </c>
      <c r="G482" t="n">
        <v>13.9</v>
      </c>
      <c r="H482" t="n">
        <v>0</v>
      </c>
      <c r="I482" t="n">
        <v>0</v>
      </c>
      <c r="J482" t="n">
        <v>0</v>
      </c>
      <c r="K482" t="n">
        <v>0</v>
      </c>
      <c r="L482" t="n">
        <v>0</v>
      </c>
      <c r="M482" t="n">
        <v>0</v>
      </c>
      <c r="N482" t="n">
        <v>0</v>
      </c>
      <c r="O482" t="n">
        <v>0</v>
      </c>
      <c r="P482" t="n">
        <v>0</v>
      </c>
      <c r="Q482" t="n">
        <v>0</v>
      </c>
      <c r="R482" s="2" t="inlineStr"/>
    </row>
    <row r="483" ht="15" customHeight="1">
      <c r="A483" t="inlineStr">
        <is>
          <t>A 9719-2023</t>
        </is>
      </c>
      <c r="B483" s="1" t="n">
        <v>44978</v>
      </c>
      <c r="C483" s="1" t="n">
        <v>45880</v>
      </c>
      <c r="D483" t="inlineStr">
        <is>
          <t>DALARNAS LÄN</t>
        </is>
      </c>
      <c r="E483" t="inlineStr">
        <is>
          <t>ÄLVDALEN</t>
        </is>
      </c>
      <c r="G483" t="n">
        <v>20.2</v>
      </c>
      <c r="H483" t="n">
        <v>0</v>
      </c>
      <c r="I483" t="n">
        <v>0</v>
      </c>
      <c r="J483" t="n">
        <v>0</v>
      </c>
      <c r="K483" t="n">
        <v>0</v>
      </c>
      <c r="L483" t="n">
        <v>0</v>
      </c>
      <c r="M483" t="n">
        <v>0</v>
      </c>
      <c r="N483" t="n">
        <v>0</v>
      </c>
      <c r="O483" t="n">
        <v>0</v>
      </c>
      <c r="P483" t="n">
        <v>0</v>
      </c>
      <c r="Q483" t="n">
        <v>0</v>
      </c>
      <c r="R483" s="2" t="inlineStr"/>
    </row>
    <row r="484" ht="15" customHeight="1">
      <c r="A484" t="inlineStr">
        <is>
          <t>A 40003-2022</t>
        </is>
      </c>
      <c r="B484" s="1" t="n">
        <v>44820.36509259259</v>
      </c>
      <c r="C484" s="1" t="n">
        <v>45880</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68219-2021</t>
        </is>
      </c>
      <c r="B485" s="1" t="n">
        <v>44526.57060185185</v>
      </c>
      <c r="C485" s="1" t="n">
        <v>45880</v>
      </c>
      <c r="D485" t="inlineStr">
        <is>
          <t>DALARNAS LÄN</t>
        </is>
      </c>
      <c r="E485" t="inlineStr">
        <is>
          <t>ÄLVDALEN</t>
        </is>
      </c>
      <c r="F485" t="inlineStr">
        <is>
          <t>Kyrkan</t>
        </is>
      </c>
      <c r="G485" t="n">
        <v>2.7</v>
      </c>
      <c r="H485" t="n">
        <v>0</v>
      </c>
      <c r="I485" t="n">
        <v>0</v>
      </c>
      <c r="J485" t="n">
        <v>0</v>
      </c>
      <c r="K485" t="n">
        <v>0</v>
      </c>
      <c r="L485" t="n">
        <v>0</v>
      </c>
      <c r="M485" t="n">
        <v>0</v>
      </c>
      <c r="N485" t="n">
        <v>0</v>
      </c>
      <c r="O485" t="n">
        <v>0</v>
      </c>
      <c r="P485" t="n">
        <v>0</v>
      </c>
      <c r="Q485" t="n">
        <v>0</v>
      </c>
      <c r="R485" s="2" t="inlineStr"/>
    </row>
    <row r="486" ht="15" customHeight="1">
      <c r="A486" t="inlineStr">
        <is>
          <t>A 19578-2025</t>
        </is>
      </c>
      <c r="B486" s="1" t="n">
        <v>45770</v>
      </c>
      <c r="C486" s="1" t="n">
        <v>45880</v>
      </c>
      <c r="D486" t="inlineStr">
        <is>
          <t>DALARNAS LÄN</t>
        </is>
      </c>
      <c r="E486" t="inlineStr">
        <is>
          <t>ÄLVDALEN</t>
        </is>
      </c>
      <c r="F486" t="inlineStr">
        <is>
          <t>Sveaskog</t>
        </is>
      </c>
      <c r="G486" t="n">
        <v>15.2</v>
      </c>
      <c r="H486" t="n">
        <v>0</v>
      </c>
      <c r="I486" t="n">
        <v>0</v>
      </c>
      <c r="J486" t="n">
        <v>0</v>
      </c>
      <c r="K486" t="n">
        <v>0</v>
      </c>
      <c r="L486" t="n">
        <v>0</v>
      </c>
      <c r="M486" t="n">
        <v>0</v>
      </c>
      <c r="N486" t="n">
        <v>0</v>
      </c>
      <c r="O486" t="n">
        <v>0</v>
      </c>
      <c r="P486" t="n">
        <v>0</v>
      </c>
      <c r="Q486" t="n">
        <v>0</v>
      </c>
      <c r="R486" s="2" t="inlineStr"/>
    </row>
    <row r="487" ht="15" customHeight="1">
      <c r="A487" t="inlineStr">
        <is>
          <t>A 27918-2025</t>
        </is>
      </c>
      <c r="B487" s="1" t="n">
        <v>45817.48231481481</v>
      </c>
      <c r="C487" s="1" t="n">
        <v>45880</v>
      </c>
      <c r="D487" t="inlineStr">
        <is>
          <t>DALARNAS LÄN</t>
        </is>
      </c>
      <c r="E487" t="inlineStr">
        <is>
          <t>ÄLVDALEN</t>
        </is>
      </c>
      <c r="G487" t="n">
        <v>5.6</v>
      </c>
      <c r="H487" t="n">
        <v>0</v>
      </c>
      <c r="I487" t="n">
        <v>0</v>
      </c>
      <c r="J487" t="n">
        <v>0</v>
      </c>
      <c r="K487" t="n">
        <v>0</v>
      </c>
      <c r="L487" t="n">
        <v>0</v>
      </c>
      <c r="M487" t="n">
        <v>0</v>
      </c>
      <c r="N487" t="n">
        <v>0</v>
      </c>
      <c r="O487" t="n">
        <v>0</v>
      </c>
      <c r="P487" t="n">
        <v>0</v>
      </c>
      <c r="Q487" t="n">
        <v>0</v>
      </c>
      <c r="R487" s="2" t="inlineStr"/>
    </row>
    <row r="488" ht="15" customHeight="1">
      <c r="A488" t="inlineStr">
        <is>
          <t>A 48849-2022</t>
        </is>
      </c>
      <c r="B488" s="1" t="n">
        <v>44859</v>
      </c>
      <c r="C488" s="1" t="n">
        <v>45880</v>
      </c>
      <c r="D488" t="inlineStr">
        <is>
          <t>DALARNAS LÄN</t>
        </is>
      </c>
      <c r="E488" t="inlineStr">
        <is>
          <t>ÄLVDALEN</t>
        </is>
      </c>
      <c r="F488" t="inlineStr">
        <is>
          <t>Allmännings- och besparingsskogar</t>
        </is>
      </c>
      <c r="G488" t="n">
        <v>2.4</v>
      </c>
      <c r="H488" t="n">
        <v>0</v>
      </c>
      <c r="I488" t="n">
        <v>0</v>
      </c>
      <c r="J488" t="n">
        <v>0</v>
      </c>
      <c r="K488" t="n">
        <v>0</v>
      </c>
      <c r="L488" t="n">
        <v>0</v>
      </c>
      <c r="M488" t="n">
        <v>0</v>
      </c>
      <c r="N488" t="n">
        <v>0</v>
      </c>
      <c r="O488" t="n">
        <v>0</v>
      </c>
      <c r="P488" t="n">
        <v>0</v>
      </c>
      <c r="Q488" t="n">
        <v>0</v>
      </c>
      <c r="R488" s="2" t="inlineStr"/>
    </row>
    <row r="489" ht="15" customHeight="1">
      <c r="A489" t="inlineStr">
        <is>
          <t>A 29610-2024</t>
        </is>
      </c>
      <c r="B489" s="1" t="n">
        <v>45484</v>
      </c>
      <c r="C489" s="1" t="n">
        <v>45880</v>
      </c>
      <c r="D489" t="inlineStr">
        <is>
          <t>DALARNAS LÄN</t>
        </is>
      </c>
      <c r="E489" t="inlineStr">
        <is>
          <t>ÄLVDALEN</t>
        </is>
      </c>
      <c r="G489" t="n">
        <v>1</v>
      </c>
      <c r="H489" t="n">
        <v>0</v>
      </c>
      <c r="I489" t="n">
        <v>0</v>
      </c>
      <c r="J489" t="n">
        <v>0</v>
      </c>
      <c r="K489" t="n">
        <v>0</v>
      </c>
      <c r="L489" t="n">
        <v>0</v>
      </c>
      <c r="M489" t="n">
        <v>0</v>
      </c>
      <c r="N489" t="n">
        <v>0</v>
      </c>
      <c r="O489" t="n">
        <v>0</v>
      </c>
      <c r="P489" t="n">
        <v>0</v>
      </c>
      <c r="Q489" t="n">
        <v>0</v>
      </c>
      <c r="R489" s="2" t="inlineStr"/>
    </row>
    <row r="490" ht="15" customHeight="1">
      <c r="A490" t="inlineStr">
        <is>
          <t>A 52483-2023</t>
        </is>
      </c>
      <c r="B490" s="1" t="n">
        <v>45225</v>
      </c>
      <c r="C490" s="1" t="n">
        <v>45880</v>
      </c>
      <c r="D490" t="inlineStr">
        <is>
          <t>DALARNAS LÄN</t>
        </is>
      </c>
      <c r="E490" t="inlineStr">
        <is>
          <t>ÄLVDALEN</t>
        </is>
      </c>
      <c r="F490" t="inlineStr">
        <is>
          <t>Allmännings- och besparingsskogar</t>
        </is>
      </c>
      <c r="G490" t="n">
        <v>30.9</v>
      </c>
      <c r="H490" t="n">
        <v>0</v>
      </c>
      <c r="I490" t="n">
        <v>0</v>
      </c>
      <c r="J490" t="n">
        <v>0</v>
      </c>
      <c r="K490" t="n">
        <v>0</v>
      </c>
      <c r="L490" t="n">
        <v>0</v>
      </c>
      <c r="M490" t="n">
        <v>0</v>
      </c>
      <c r="N490" t="n">
        <v>0</v>
      </c>
      <c r="O490" t="n">
        <v>0</v>
      </c>
      <c r="P490" t="n">
        <v>0</v>
      </c>
      <c r="Q490" t="n">
        <v>0</v>
      </c>
      <c r="R490" s="2" t="inlineStr"/>
      <c r="U490">
        <f>HYPERLINK("https://klasma.github.io/Logging_2039/knärot/A 52483-2023 karta knärot.png", "A 52483-2023")</f>
        <v/>
      </c>
      <c r="V490">
        <f>HYPERLINK("https://klasma.github.io/Logging_2039/klagomål/A 52483-2023 FSC-klagomål.docx", "A 52483-2023")</f>
        <v/>
      </c>
      <c r="W490">
        <f>HYPERLINK("https://klasma.github.io/Logging_2039/klagomålsmail/A 52483-2023 FSC-klagomål mail.docx", "A 52483-2023")</f>
        <v/>
      </c>
      <c r="X490">
        <f>HYPERLINK("https://klasma.github.io/Logging_2039/tillsyn/A 52483-2023 tillsynsbegäran.docx", "A 52483-2023")</f>
        <v/>
      </c>
      <c r="Y490">
        <f>HYPERLINK("https://klasma.github.io/Logging_2039/tillsynsmail/A 52483-2023 tillsynsbegäran mail.docx", "A 52483-2023")</f>
        <v/>
      </c>
    </row>
    <row r="491" ht="15" customHeight="1">
      <c r="A491" t="inlineStr">
        <is>
          <t>A 28838-2025</t>
        </is>
      </c>
      <c r="B491" s="1" t="n">
        <v>45820.56359953704</v>
      </c>
      <c r="C491" s="1" t="n">
        <v>45880</v>
      </c>
      <c r="D491" t="inlineStr">
        <is>
          <t>DALARNAS LÄN</t>
        </is>
      </c>
      <c r="E491" t="inlineStr">
        <is>
          <t>ÄLVDALEN</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28844-2025</t>
        </is>
      </c>
      <c r="B492" s="1" t="n">
        <v>45820.57053240741</v>
      </c>
      <c r="C492" s="1" t="n">
        <v>45880</v>
      </c>
      <c r="D492" t="inlineStr">
        <is>
          <t>DALARNAS LÄN</t>
        </is>
      </c>
      <c r="E492" t="inlineStr">
        <is>
          <t>ÄLVDALEN</t>
        </is>
      </c>
      <c r="F492" t="inlineStr">
        <is>
          <t>Allmännings- och besparingsskogar</t>
        </is>
      </c>
      <c r="G492" t="n">
        <v>1.3</v>
      </c>
      <c r="H492" t="n">
        <v>0</v>
      </c>
      <c r="I492" t="n">
        <v>0</v>
      </c>
      <c r="J492" t="n">
        <v>0</v>
      </c>
      <c r="K492" t="n">
        <v>0</v>
      </c>
      <c r="L492" t="n">
        <v>0</v>
      </c>
      <c r="M492" t="n">
        <v>0</v>
      </c>
      <c r="N492" t="n">
        <v>0</v>
      </c>
      <c r="O492" t="n">
        <v>0</v>
      </c>
      <c r="P492" t="n">
        <v>0</v>
      </c>
      <c r="Q492" t="n">
        <v>0</v>
      </c>
      <c r="R492" s="2" t="inlineStr"/>
    </row>
    <row r="493" ht="15" customHeight="1">
      <c r="A493" t="inlineStr">
        <is>
          <t>A 28842-2025</t>
        </is>
      </c>
      <c r="B493" s="1" t="n">
        <v>45820.56780092593</v>
      </c>
      <c r="C493" s="1" t="n">
        <v>45880</v>
      </c>
      <c r="D493" t="inlineStr">
        <is>
          <t>DALARNAS LÄN</t>
        </is>
      </c>
      <c r="E493" t="inlineStr">
        <is>
          <t>ÄLVDALEN</t>
        </is>
      </c>
      <c r="F493" t="inlineStr">
        <is>
          <t>Allmännings- och besparingsskogar</t>
        </is>
      </c>
      <c r="G493" t="n">
        <v>3.7</v>
      </c>
      <c r="H493" t="n">
        <v>0</v>
      </c>
      <c r="I493" t="n">
        <v>0</v>
      </c>
      <c r="J493" t="n">
        <v>0</v>
      </c>
      <c r="K493" t="n">
        <v>0</v>
      </c>
      <c r="L493" t="n">
        <v>0</v>
      </c>
      <c r="M493" t="n">
        <v>0</v>
      </c>
      <c r="N493" t="n">
        <v>0</v>
      </c>
      <c r="O493" t="n">
        <v>0</v>
      </c>
      <c r="P493" t="n">
        <v>0</v>
      </c>
      <c r="Q493" t="n">
        <v>0</v>
      </c>
      <c r="R493" s="2" t="inlineStr"/>
    </row>
    <row r="494" ht="15" customHeight="1">
      <c r="A494" t="inlineStr">
        <is>
          <t>A 36593-2023</t>
        </is>
      </c>
      <c r="B494" s="1" t="n">
        <v>45153.47732638889</v>
      </c>
      <c r="C494" s="1" t="n">
        <v>45880</v>
      </c>
      <c r="D494" t="inlineStr">
        <is>
          <t>DALARNAS LÄN</t>
        </is>
      </c>
      <c r="E494" t="inlineStr">
        <is>
          <t>ÄLVDALEN</t>
        </is>
      </c>
      <c r="G494" t="n">
        <v>0.9</v>
      </c>
      <c r="H494" t="n">
        <v>0</v>
      </c>
      <c r="I494" t="n">
        <v>0</v>
      </c>
      <c r="J494" t="n">
        <v>0</v>
      </c>
      <c r="K494" t="n">
        <v>0</v>
      </c>
      <c r="L494" t="n">
        <v>0</v>
      </c>
      <c r="M494" t="n">
        <v>0</v>
      </c>
      <c r="N494" t="n">
        <v>0</v>
      </c>
      <c r="O494" t="n">
        <v>0</v>
      </c>
      <c r="P494" t="n">
        <v>0</v>
      </c>
      <c r="Q494" t="n">
        <v>0</v>
      </c>
      <c r="R494" s="2" t="inlineStr"/>
    </row>
    <row r="495" ht="15" customHeight="1">
      <c r="A495" t="inlineStr">
        <is>
          <t>A 3900-2024</t>
        </is>
      </c>
      <c r="B495" s="1" t="n">
        <v>45322</v>
      </c>
      <c r="C495" s="1" t="n">
        <v>45880</v>
      </c>
      <c r="D495" t="inlineStr">
        <is>
          <t>DALARNAS LÄN</t>
        </is>
      </c>
      <c r="E495" t="inlineStr">
        <is>
          <t>ÄLVDALEN</t>
        </is>
      </c>
      <c r="G495" t="n">
        <v>1.1</v>
      </c>
      <c r="H495" t="n">
        <v>0</v>
      </c>
      <c r="I495" t="n">
        <v>0</v>
      </c>
      <c r="J495" t="n">
        <v>0</v>
      </c>
      <c r="K495" t="n">
        <v>0</v>
      </c>
      <c r="L495" t="n">
        <v>0</v>
      </c>
      <c r="M495" t="n">
        <v>0</v>
      </c>
      <c r="N495" t="n">
        <v>0</v>
      </c>
      <c r="O495" t="n">
        <v>0</v>
      </c>
      <c r="P495" t="n">
        <v>0</v>
      </c>
      <c r="Q495" t="n">
        <v>0</v>
      </c>
      <c r="R495" s="2" t="inlineStr"/>
    </row>
    <row r="496" ht="15" customHeight="1">
      <c r="A496" t="inlineStr">
        <is>
          <t>A 2375-2024</t>
        </is>
      </c>
      <c r="B496" s="1" t="n">
        <v>45310</v>
      </c>
      <c r="C496" s="1" t="n">
        <v>45880</v>
      </c>
      <c r="D496" t="inlineStr">
        <is>
          <t>DALARNAS LÄN</t>
        </is>
      </c>
      <c r="E496" t="inlineStr">
        <is>
          <t>ÄLVDALEN</t>
        </is>
      </c>
      <c r="G496" t="n">
        <v>5.4</v>
      </c>
      <c r="H496" t="n">
        <v>0</v>
      </c>
      <c r="I496" t="n">
        <v>0</v>
      </c>
      <c r="J496" t="n">
        <v>0</v>
      </c>
      <c r="K496" t="n">
        <v>0</v>
      </c>
      <c r="L496" t="n">
        <v>0</v>
      </c>
      <c r="M496" t="n">
        <v>0</v>
      </c>
      <c r="N496" t="n">
        <v>0</v>
      </c>
      <c r="O496" t="n">
        <v>0</v>
      </c>
      <c r="P496" t="n">
        <v>0</v>
      </c>
      <c r="Q496" t="n">
        <v>0</v>
      </c>
      <c r="R496" s="2" t="inlineStr"/>
    </row>
    <row r="497" ht="15" customHeight="1">
      <c r="A497" t="inlineStr">
        <is>
          <t>A 8538-2025</t>
        </is>
      </c>
      <c r="B497" s="1" t="n">
        <v>45709.59030092593</v>
      </c>
      <c r="C497" s="1" t="n">
        <v>45880</v>
      </c>
      <c r="D497" t="inlineStr">
        <is>
          <t>DALARNAS LÄN</t>
        </is>
      </c>
      <c r="E497" t="inlineStr">
        <is>
          <t>ÄLVDALEN</t>
        </is>
      </c>
      <c r="F497" t="inlineStr">
        <is>
          <t>Allmännings- och besparingsskogar</t>
        </is>
      </c>
      <c r="G497" t="n">
        <v>0.6</v>
      </c>
      <c r="H497" t="n">
        <v>0</v>
      </c>
      <c r="I497" t="n">
        <v>0</v>
      </c>
      <c r="J497" t="n">
        <v>0</v>
      </c>
      <c r="K497" t="n">
        <v>0</v>
      </c>
      <c r="L497" t="n">
        <v>0</v>
      </c>
      <c r="M497" t="n">
        <v>0</v>
      </c>
      <c r="N497" t="n">
        <v>0</v>
      </c>
      <c r="O497" t="n">
        <v>0</v>
      </c>
      <c r="P497" t="n">
        <v>0</v>
      </c>
      <c r="Q497" t="n">
        <v>0</v>
      </c>
      <c r="R497" s="2" t="inlineStr"/>
    </row>
    <row r="498" ht="15" customHeight="1">
      <c r="A498" t="inlineStr">
        <is>
          <t>A 35161-2023</t>
        </is>
      </c>
      <c r="B498" s="1" t="n">
        <v>45145.57525462963</v>
      </c>
      <c r="C498" s="1" t="n">
        <v>45880</v>
      </c>
      <c r="D498" t="inlineStr">
        <is>
          <t>DALARNAS LÄN</t>
        </is>
      </c>
      <c r="E498" t="inlineStr">
        <is>
          <t>ÄLVDALEN</t>
        </is>
      </c>
      <c r="F498" t="inlineStr">
        <is>
          <t>Sveaskog</t>
        </is>
      </c>
      <c r="G498" t="n">
        <v>1.9</v>
      </c>
      <c r="H498" t="n">
        <v>0</v>
      </c>
      <c r="I498" t="n">
        <v>0</v>
      </c>
      <c r="J498" t="n">
        <v>0</v>
      </c>
      <c r="K498" t="n">
        <v>0</v>
      </c>
      <c r="L498" t="n">
        <v>0</v>
      </c>
      <c r="M498" t="n">
        <v>0</v>
      </c>
      <c r="N498" t="n">
        <v>0</v>
      </c>
      <c r="O498" t="n">
        <v>0</v>
      </c>
      <c r="P498" t="n">
        <v>0</v>
      </c>
      <c r="Q498" t="n">
        <v>0</v>
      </c>
      <c r="R498" s="2" t="inlineStr"/>
    </row>
    <row r="499" ht="15" customHeight="1">
      <c r="A499" t="inlineStr">
        <is>
          <t>A 36284-2024</t>
        </is>
      </c>
      <c r="B499" s="1" t="n">
        <v>45534.5897337963</v>
      </c>
      <c r="C499" s="1" t="n">
        <v>45880</v>
      </c>
      <c r="D499" t="inlineStr">
        <is>
          <t>DALARNAS LÄN</t>
        </is>
      </c>
      <c r="E499" t="inlineStr">
        <is>
          <t>ÄLVDALEN</t>
        </is>
      </c>
      <c r="G499" t="n">
        <v>3.4</v>
      </c>
      <c r="H499" t="n">
        <v>0</v>
      </c>
      <c r="I499" t="n">
        <v>0</v>
      </c>
      <c r="J499" t="n">
        <v>0</v>
      </c>
      <c r="K499" t="n">
        <v>0</v>
      </c>
      <c r="L499" t="n">
        <v>0</v>
      </c>
      <c r="M499" t="n">
        <v>0</v>
      </c>
      <c r="N499" t="n">
        <v>0</v>
      </c>
      <c r="O499" t="n">
        <v>0</v>
      </c>
      <c r="P499" t="n">
        <v>0</v>
      </c>
      <c r="Q499" t="n">
        <v>0</v>
      </c>
      <c r="R499" s="2" t="inlineStr"/>
    </row>
    <row r="500" ht="15" customHeight="1">
      <c r="A500" t="inlineStr">
        <is>
          <t>A 35993-2025</t>
        </is>
      </c>
      <c r="B500" s="1" t="n">
        <v>45863.48056712963</v>
      </c>
      <c r="C500" s="1" t="n">
        <v>45880</v>
      </c>
      <c r="D500" t="inlineStr">
        <is>
          <t>DALARNAS LÄN</t>
        </is>
      </c>
      <c r="E500" t="inlineStr">
        <is>
          <t>ÄLVDALEN</t>
        </is>
      </c>
      <c r="F500" t="inlineStr">
        <is>
          <t>Bergvik skog öst AB</t>
        </is>
      </c>
      <c r="G500" t="n">
        <v>6.1</v>
      </c>
      <c r="H500" t="n">
        <v>0</v>
      </c>
      <c r="I500" t="n">
        <v>0</v>
      </c>
      <c r="J500" t="n">
        <v>0</v>
      </c>
      <c r="K500" t="n">
        <v>0</v>
      </c>
      <c r="L500" t="n">
        <v>0</v>
      </c>
      <c r="M500" t="n">
        <v>0</v>
      </c>
      <c r="N500" t="n">
        <v>0</v>
      </c>
      <c r="O500" t="n">
        <v>0</v>
      </c>
      <c r="P500" t="n">
        <v>0</v>
      </c>
      <c r="Q500" t="n">
        <v>0</v>
      </c>
      <c r="R500" s="2" t="inlineStr"/>
    </row>
    <row r="501" ht="15" customHeight="1">
      <c r="A501" t="inlineStr">
        <is>
          <t>A 54632-2021</t>
        </is>
      </c>
      <c r="B501" s="1" t="n">
        <v>44473</v>
      </c>
      <c r="C501" s="1" t="n">
        <v>45880</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c r="T501">
        <f>HYPERLINK("https://klasma.github.io/Logging_2039/kartor/A 54632-2021 karta.png", "A 54632-2021")</f>
        <v/>
      </c>
      <c r="V501">
        <f>HYPERLINK("https://klasma.github.io/Logging_2039/klagomål/A 54632-2021 FSC-klagomål.docx", "A 54632-2021")</f>
        <v/>
      </c>
      <c r="W501">
        <f>HYPERLINK("https://klasma.github.io/Logging_2039/klagomålsmail/A 54632-2021 FSC-klagomål mail.docx", "A 54632-2021")</f>
        <v/>
      </c>
      <c r="X501">
        <f>HYPERLINK("https://klasma.github.io/Logging_2039/tillsyn/A 54632-2021 tillsynsbegäran.docx", "A 54632-2021")</f>
        <v/>
      </c>
      <c r="Y501">
        <f>HYPERLINK("https://klasma.github.io/Logging_2039/tillsynsmail/A 54632-2021 tillsynsbegäran mail.docx", "A 54632-2021")</f>
        <v/>
      </c>
    </row>
    <row r="502" ht="15" customHeight="1">
      <c r="A502" t="inlineStr">
        <is>
          <t>A 30025-2025</t>
        </is>
      </c>
      <c r="B502" s="1" t="n">
        <v>45826.56265046296</v>
      </c>
      <c r="C502" s="1" t="n">
        <v>45880</v>
      </c>
      <c r="D502" t="inlineStr">
        <is>
          <t>DALARNAS LÄN</t>
        </is>
      </c>
      <c r="E502" t="inlineStr">
        <is>
          <t>ÄLVDALEN</t>
        </is>
      </c>
      <c r="G502" t="n">
        <v>9</v>
      </c>
      <c r="H502" t="n">
        <v>0</v>
      </c>
      <c r="I502" t="n">
        <v>0</v>
      </c>
      <c r="J502" t="n">
        <v>0</v>
      </c>
      <c r="K502" t="n">
        <v>0</v>
      </c>
      <c r="L502" t="n">
        <v>0</v>
      </c>
      <c r="M502" t="n">
        <v>0</v>
      </c>
      <c r="N502" t="n">
        <v>0</v>
      </c>
      <c r="O502" t="n">
        <v>0</v>
      </c>
      <c r="P502" t="n">
        <v>0</v>
      </c>
      <c r="Q502" t="n">
        <v>0</v>
      </c>
      <c r="R502" s="2" t="inlineStr"/>
    </row>
    <row r="503" ht="15" customHeight="1">
      <c r="A503" t="inlineStr">
        <is>
          <t>A 30032-2025</t>
        </is>
      </c>
      <c r="B503" s="1" t="n">
        <v>45826.56873842593</v>
      </c>
      <c r="C503" s="1" t="n">
        <v>45880</v>
      </c>
      <c r="D503" t="inlineStr">
        <is>
          <t>DALARNAS LÄN</t>
        </is>
      </c>
      <c r="E503" t="inlineStr">
        <is>
          <t>ÄLVDALEN</t>
        </is>
      </c>
      <c r="G503" t="n">
        <v>5.5</v>
      </c>
      <c r="H503" t="n">
        <v>0</v>
      </c>
      <c r="I503" t="n">
        <v>0</v>
      </c>
      <c r="J503" t="n">
        <v>0</v>
      </c>
      <c r="K503" t="n">
        <v>0</v>
      </c>
      <c r="L503" t="n">
        <v>0</v>
      </c>
      <c r="M503" t="n">
        <v>0</v>
      </c>
      <c r="N503" t="n">
        <v>0</v>
      </c>
      <c r="O503" t="n">
        <v>0</v>
      </c>
      <c r="P503" t="n">
        <v>0</v>
      </c>
      <c r="Q503" t="n">
        <v>0</v>
      </c>
      <c r="R503" s="2" t="inlineStr"/>
    </row>
    <row r="504" ht="15" customHeight="1">
      <c r="A504" t="inlineStr">
        <is>
          <t>A 36327-2025</t>
        </is>
      </c>
      <c r="B504" s="1" t="n">
        <v>45868.42211805555</v>
      </c>
      <c r="C504" s="1" t="n">
        <v>45880</v>
      </c>
      <c r="D504" t="inlineStr">
        <is>
          <t>DALARNAS LÄN</t>
        </is>
      </c>
      <c r="E504" t="inlineStr">
        <is>
          <t>ÄLVDALEN</t>
        </is>
      </c>
      <c r="F504" t="inlineStr">
        <is>
          <t>Allmännings- och besparingsskogar</t>
        </is>
      </c>
      <c r="G504" t="n">
        <v>16.9</v>
      </c>
      <c r="H504" t="n">
        <v>0</v>
      </c>
      <c r="I504" t="n">
        <v>0</v>
      </c>
      <c r="J504" t="n">
        <v>0</v>
      </c>
      <c r="K504" t="n">
        <v>0</v>
      </c>
      <c r="L504" t="n">
        <v>0</v>
      </c>
      <c r="M504" t="n">
        <v>0</v>
      </c>
      <c r="N504" t="n">
        <v>0</v>
      </c>
      <c r="O504" t="n">
        <v>0</v>
      </c>
      <c r="P504" t="n">
        <v>0</v>
      </c>
      <c r="Q504" t="n">
        <v>0</v>
      </c>
      <c r="R504" s="2" t="inlineStr"/>
    </row>
    <row r="505" ht="15" customHeight="1">
      <c r="A505" t="inlineStr">
        <is>
          <t>A 8069-2025</t>
        </is>
      </c>
      <c r="B505" s="1" t="n">
        <v>45707.64342592593</v>
      </c>
      <c r="C505" s="1" t="n">
        <v>45880</v>
      </c>
      <c r="D505" t="inlineStr">
        <is>
          <t>DALARNAS LÄN</t>
        </is>
      </c>
      <c r="E505" t="inlineStr">
        <is>
          <t>ÄLVDALEN</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36257-2025</t>
        </is>
      </c>
      <c r="B506" s="1" t="n">
        <v>45867.591875</v>
      </c>
      <c r="C506" s="1" t="n">
        <v>45880</v>
      </c>
      <c r="D506" t="inlineStr">
        <is>
          <t>DALARNAS LÄN</t>
        </is>
      </c>
      <c r="E506" t="inlineStr">
        <is>
          <t>ÄLVDALEN</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19587-2025</t>
        </is>
      </c>
      <c r="B507" s="1" t="n">
        <v>45770.56820601852</v>
      </c>
      <c r="C507" s="1" t="n">
        <v>45880</v>
      </c>
      <c r="D507" t="inlineStr">
        <is>
          <t>DALARNAS LÄN</t>
        </is>
      </c>
      <c r="E507" t="inlineStr">
        <is>
          <t>ÄLVDALEN</t>
        </is>
      </c>
      <c r="F507" t="inlineStr">
        <is>
          <t>Allmännings- och besparingsskogar</t>
        </is>
      </c>
      <c r="G507" t="n">
        <v>1.4</v>
      </c>
      <c r="H507" t="n">
        <v>0</v>
      </c>
      <c r="I507" t="n">
        <v>0</v>
      </c>
      <c r="J507" t="n">
        <v>0</v>
      </c>
      <c r="K507" t="n">
        <v>0</v>
      </c>
      <c r="L507" t="n">
        <v>0</v>
      </c>
      <c r="M507" t="n">
        <v>0</v>
      </c>
      <c r="N507" t="n">
        <v>0</v>
      </c>
      <c r="O507" t="n">
        <v>0</v>
      </c>
      <c r="P507" t="n">
        <v>0</v>
      </c>
      <c r="Q507" t="n">
        <v>0</v>
      </c>
      <c r="R507" s="2" t="inlineStr"/>
    </row>
    <row r="508" ht="15" customHeight="1">
      <c r="A508" t="inlineStr">
        <is>
          <t>A 15738-2025</t>
        </is>
      </c>
      <c r="B508" s="1" t="n">
        <v>45748.54524305555</v>
      </c>
      <c r="C508" s="1" t="n">
        <v>45880</v>
      </c>
      <c r="D508" t="inlineStr">
        <is>
          <t>DALARNAS LÄN</t>
        </is>
      </c>
      <c r="E508" t="inlineStr">
        <is>
          <t>ÄLVDALEN</t>
        </is>
      </c>
      <c r="G508" t="n">
        <v>4.5</v>
      </c>
      <c r="H508" t="n">
        <v>0</v>
      </c>
      <c r="I508" t="n">
        <v>0</v>
      </c>
      <c r="J508" t="n">
        <v>0</v>
      </c>
      <c r="K508" t="n">
        <v>0</v>
      </c>
      <c r="L508" t="n">
        <v>0</v>
      </c>
      <c r="M508" t="n">
        <v>0</v>
      </c>
      <c r="N508" t="n">
        <v>0</v>
      </c>
      <c r="O508" t="n">
        <v>0</v>
      </c>
      <c r="P508" t="n">
        <v>0</v>
      </c>
      <c r="Q508" t="n">
        <v>0</v>
      </c>
      <c r="R508" s="2" t="inlineStr"/>
    </row>
    <row r="509" ht="15" customHeight="1">
      <c r="A509" t="inlineStr">
        <is>
          <t>A 747-2025</t>
        </is>
      </c>
      <c r="B509" s="1" t="n">
        <v>45665.43965277778</v>
      </c>
      <c r="C509" s="1" t="n">
        <v>45880</v>
      </c>
      <c r="D509" t="inlineStr">
        <is>
          <t>DALARNAS LÄN</t>
        </is>
      </c>
      <c r="E509" t="inlineStr">
        <is>
          <t>ÄLVDALEN</t>
        </is>
      </c>
      <c r="G509" t="n">
        <v>1.5</v>
      </c>
      <c r="H509" t="n">
        <v>0</v>
      </c>
      <c r="I509" t="n">
        <v>0</v>
      </c>
      <c r="J509" t="n">
        <v>0</v>
      </c>
      <c r="K509" t="n">
        <v>0</v>
      </c>
      <c r="L509" t="n">
        <v>0</v>
      </c>
      <c r="M509" t="n">
        <v>0</v>
      </c>
      <c r="N509" t="n">
        <v>0</v>
      </c>
      <c r="O509" t="n">
        <v>0</v>
      </c>
      <c r="P509" t="n">
        <v>0</v>
      </c>
      <c r="Q509" t="n">
        <v>0</v>
      </c>
      <c r="R509" s="2" t="inlineStr"/>
    </row>
    <row r="510" ht="15" customHeight="1">
      <c r="A510" t="inlineStr">
        <is>
          <t>A 3196-2025</t>
        </is>
      </c>
      <c r="B510" s="1" t="n">
        <v>45679.42957175926</v>
      </c>
      <c r="C510" s="1" t="n">
        <v>45880</v>
      </c>
      <c r="D510" t="inlineStr">
        <is>
          <t>DALARNAS LÄN</t>
        </is>
      </c>
      <c r="E510" t="inlineStr">
        <is>
          <t>ÄLVDALEN</t>
        </is>
      </c>
      <c r="G510" t="n">
        <v>5.2</v>
      </c>
      <c r="H510" t="n">
        <v>0</v>
      </c>
      <c r="I510" t="n">
        <v>0</v>
      </c>
      <c r="J510" t="n">
        <v>0</v>
      </c>
      <c r="K510" t="n">
        <v>0</v>
      </c>
      <c r="L510" t="n">
        <v>0</v>
      </c>
      <c r="M510" t="n">
        <v>0</v>
      </c>
      <c r="N510" t="n">
        <v>0</v>
      </c>
      <c r="O510" t="n">
        <v>0</v>
      </c>
      <c r="P510" t="n">
        <v>0</v>
      </c>
      <c r="Q510" t="n">
        <v>0</v>
      </c>
      <c r="R510" s="2" t="inlineStr"/>
    </row>
    <row r="511" ht="15" customHeight="1">
      <c r="A511" t="inlineStr">
        <is>
          <t>A 19182-2023</t>
        </is>
      </c>
      <c r="B511" s="1" t="n">
        <v>45048</v>
      </c>
      <c r="C511" s="1" t="n">
        <v>45880</v>
      </c>
      <c r="D511" t="inlineStr">
        <is>
          <t>DALARNAS LÄN</t>
        </is>
      </c>
      <c r="E511" t="inlineStr">
        <is>
          <t>ÄLVDALEN</t>
        </is>
      </c>
      <c r="G511" t="n">
        <v>0.6</v>
      </c>
      <c r="H511" t="n">
        <v>0</v>
      </c>
      <c r="I511" t="n">
        <v>0</v>
      </c>
      <c r="J511" t="n">
        <v>0</v>
      </c>
      <c r="K511" t="n">
        <v>0</v>
      </c>
      <c r="L511" t="n">
        <v>0</v>
      </c>
      <c r="M511" t="n">
        <v>0</v>
      </c>
      <c r="N511" t="n">
        <v>0</v>
      </c>
      <c r="O511" t="n">
        <v>0</v>
      </c>
      <c r="P511" t="n">
        <v>0</v>
      </c>
      <c r="Q511" t="n">
        <v>0</v>
      </c>
      <c r="R511" s="2" t="inlineStr"/>
    </row>
    <row r="512" ht="15" customHeight="1">
      <c r="A512" t="inlineStr">
        <is>
          <t>A 52249-2022</t>
        </is>
      </c>
      <c r="B512" s="1" t="n">
        <v>44873</v>
      </c>
      <c r="C512" s="1" t="n">
        <v>45880</v>
      </c>
      <c r="D512" t="inlineStr">
        <is>
          <t>DALARNAS LÄN</t>
        </is>
      </c>
      <c r="E512" t="inlineStr">
        <is>
          <t>ÄLVDALEN</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6230-2024</t>
        </is>
      </c>
      <c r="B513" s="1" t="n">
        <v>45337</v>
      </c>
      <c r="C513" s="1" t="n">
        <v>45880</v>
      </c>
      <c r="D513" t="inlineStr">
        <is>
          <t>DALARNAS LÄN</t>
        </is>
      </c>
      <c r="E513" t="inlineStr">
        <is>
          <t>ÄLVDALEN</t>
        </is>
      </c>
      <c r="G513" t="n">
        <v>6.2</v>
      </c>
      <c r="H513" t="n">
        <v>0</v>
      </c>
      <c r="I513" t="n">
        <v>0</v>
      </c>
      <c r="J513" t="n">
        <v>0</v>
      </c>
      <c r="K513" t="n">
        <v>0</v>
      </c>
      <c r="L513" t="n">
        <v>0</v>
      </c>
      <c r="M513" t="n">
        <v>0</v>
      </c>
      <c r="N513" t="n">
        <v>0</v>
      </c>
      <c r="O513" t="n">
        <v>0</v>
      </c>
      <c r="P513" t="n">
        <v>0</v>
      </c>
      <c r="Q513" t="n">
        <v>0</v>
      </c>
      <c r="R513" s="2" t="inlineStr"/>
    </row>
    <row r="514" ht="15" customHeight="1">
      <c r="A514" t="inlineStr">
        <is>
          <t>A 68383-2021</t>
        </is>
      </c>
      <c r="B514" s="1" t="n">
        <v>44529</v>
      </c>
      <c r="C514" s="1" t="n">
        <v>45880</v>
      </c>
      <c r="D514" t="inlineStr">
        <is>
          <t>DALARNAS LÄN</t>
        </is>
      </c>
      <c r="E514" t="inlineStr">
        <is>
          <t>ÄLVDALEN</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47873-2023</t>
        </is>
      </c>
      <c r="B515" s="1" t="n">
        <v>45204</v>
      </c>
      <c r="C515" s="1" t="n">
        <v>45880</v>
      </c>
      <c r="D515" t="inlineStr">
        <is>
          <t>DALARNAS LÄN</t>
        </is>
      </c>
      <c r="E515" t="inlineStr">
        <is>
          <t>ÄLVDALEN</t>
        </is>
      </c>
      <c r="G515" t="n">
        <v>1.3</v>
      </c>
      <c r="H515" t="n">
        <v>0</v>
      </c>
      <c r="I515" t="n">
        <v>0</v>
      </c>
      <c r="J515" t="n">
        <v>0</v>
      </c>
      <c r="K515" t="n">
        <v>0</v>
      </c>
      <c r="L515" t="n">
        <v>0</v>
      </c>
      <c r="M515" t="n">
        <v>0</v>
      </c>
      <c r="N515" t="n">
        <v>0</v>
      </c>
      <c r="O515" t="n">
        <v>0</v>
      </c>
      <c r="P515" t="n">
        <v>0</v>
      </c>
      <c r="Q515" t="n">
        <v>0</v>
      </c>
      <c r="R515" s="2" t="inlineStr"/>
    </row>
    <row r="516" ht="15" customHeight="1">
      <c r="A516" t="inlineStr">
        <is>
          <t>A 31690-2024</t>
        </is>
      </c>
      <c r="B516" s="1" t="n">
        <v>45507</v>
      </c>
      <c r="C516" s="1" t="n">
        <v>45880</v>
      </c>
      <c r="D516" t="inlineStr">
        <is>
          <t>DALARNAS LÄN</t>
        </is>
      </c>
      <c r="E516" t="inlineStr">
        <is>
          <t>ÄLVDALEN</t>
        </is>
      </c>
      <c r="G516" t="n">
        <v>2.3</v>
      </c>
      <c r="H516" t="n">
        <v>0</v>
      </c>
      <c r="I516" t="n">
        <v>0</v>
      </c>
      <c r="J516" t="n">
        <v>0</v>
      </c>
      <c r="K516" t="n">
        <v>0</v>
      </c>
      <c r="L516" t="n">
        <v>0</v>
      </c>
      <c r="M516" t="n">
        <v>0</v>
      </c>
      <c r="N516" t="n">
        <v>0</v>
      </c>
      <c r="O516" t="n">
        <v>0</v>
      </c>
      <c r="P516" t="n">
        <v>0</v>
      </c>
      <c r="Q516" t="n">
        <v>0</v>
      </c>
      <c r="R516" s="2" t="inlineStr"/>
    </row>
    <row r="517" ht="15" customHeight="1">
      <c r="A517" t="inlineStr">
        <is>
          <t>A 23570-2023</t>
        </is>
      </c>
      <c r="B517" s="1" t="n">
        <v>45077</v>
      </c>
      <c r="C517" s="1" t="n">
        <v>45880</v>
      </c>
      <c r="D517" t="inlineStr">
        <is>
          <t>DALARNAS LÄN</t>
        </is>
      </c>
      <c r="E517" t="inlineStr">
        <is>
          <t>ÄLVDALEN</t>
        </is>
      </c>
      <c r="G517" t="n">
        <v>4.9</v>
      </c>
      <c r="H517" t="n">
        <v>0</v>
      </c>
      <c r="I517" t="n">
        <v>0</v>
      </c>
      <c r="J517" t="n">
        <v>0</v>
      </c>
      <c r="K517" t="n">
        <v>0</v>
      </c>
      <c r="L517" t="n">
        <v>0</v>
      </c>
      <c r="M517" t="n">
        <v>0</v>
      </c>
      <c r="N517" t="n">
        <v>0</v>
      </c>
      <c r="O517" t="n">
        <v>0</v>
      </c>
      <c r="P517" t="n">
        <v>0</v>
      </c>
      <c r="Q517" t="n">
        <v>0</v>
      </c>
      <c r="R517" s="2" t="inlineStr"/>
    </row>
    <row r="518" ht="15" customHeight="1">
      <c r="A518" t="inlineStr">
        <is>
          <t>A 39227-2024</t>
        </is>
      </c>
      <c r="B518" s="1" t="n">
        <v>45550.50548611111</v>
      </c>
      <c r="C518" s="1" t="n">
        <v>45880</v>
      </c>
      <c r="D518" t="inlineStr">
        <is>
          <t>DALARNAS LÄN</t>
        </is>
      </c>
      <c r="E518" t="inlineStr">
        <is>
          <t>ÄLVDALEN</t>
        </is>
      </c>
      <c r="G518" t="n">
        <v>0.2</v>
      </c>
      <c r="H518" t="n">
        <v>0</v>
      </c>
      <c r="I518" t="n">
        <v>0</v>
      </c>
      <c r="J518" t="n">
        <v>0</v>
      </c>
      <c r="K518" t="n">
        <v>0</v>
      </c>
      <c r="L518" t="n">
        <v>0</v>
      </c>
      <c r="M518" t="n">
        <v>0</v>
      </c>
      <c r="N518" t="n">
        <v>0</v>
      </c>
      <c r="O518" t="n">
        <v>0</v>
      </c>
      <c r="P518" t="n">
        <v>0</v>
      </c>
      <c r="Q518" t="n">
        <v>0</v>
      </c>
      <c r="R518" s="2" t="inlineStr"/>
    </row>
    <row r="519" ht="15" customHeight="1">
      <c r="A519" t="inlineStr">
        <is>
          <t>A 30502-2025</t>
        </is>
      </c>
      <c r="B519" s="1" t="n">
        <v>45830.82903935185</v>
      </c>
      <c r="C519" s="1" t="n">
        <v>45880</v>
      </c>
      <c r="D519" t="inlineStr">
        <is>
          <t>DALARNAS LÄN</t>
        </is>
      </c>
      <c r="E519" t="inlineStr">
        <is>
          <t>ÄLVDALEN</t>
        </is>
      </c>
      <c r="G519" t="n">
        <v>2.3</v>
      </c>
      <c r="H519" t="n">
        <v>0</v>
      </c>
      <c r="I519" t="n">
        <v>0</v>
      </c>
      <c r="J519" t="n">
        <v>0</v>
      </c>
      <c r="K519" t="n">
        <v>0</v>
      </c>
      <c r="L519" t="n">
        <v>0</v>
      </c>
      <c r="M519" t="n">
        <v>0</v>
      </c>
      <c r="N519" t="n">
        <v>0</v>
      </c>
      <c r="O519" t="n">
        <v>0</v>
      </c>
      <c r="P519" t="n">
        <v>0</v>
      </c>
      <c r="Q519" t="n">
        <v>0</v>
      </c>
      <c r="R519" s="2" t="inlineStr"/>
    </row>
    <row r="520" ht="15" customHeight="1">
      <c r="A520" t="inlineStr">
        <is>
          <t>A 510-2024</t>
        </is>
      </c>
      <c r="B520" s="1" t="n">
        <v>45299.39997685186</v>
      </c>
      <c r="C520" s="1" t="n">
        <v>45880</v>
      </c>
      <c r="D520" t="inlineStr">
        <is>
          <t>DALARNAS LÄN</t>
        </is>
      </c>
      <c r="E520" t="inlineStr">
        <is>
          <t>ÄLVDALEN</t>
        </is>
      </c>
      <c r="G520" t="n">
        <v>1.5</v>
      </c>
      <c r="H520" t="n">
        <v>0</v>
      </c>
      <c r="I520" t="n">
        <v>0</v>
      </c>
      <c r="J520" t="n">
        <v>0</v>
      </c>
      <c r="K520" t="n">
        <v>0</v>
      </c>
      <c r="L520" t="n">
        <v>0</v>
      </c>
      <c r="M520" t="n">
        <v>0</v>
      </c>
      <c r="N520" t="n">
        <v>0</v>
      </c>
      <c r="O520" t="n">
        <v>0</v>
      </c>
      <c r="P520" t="n">
        <v>0</v>
      </c>
      <c r="Q520" t="n">
        <v>0</v>
      </c>
      <c r="R520" s="2" t="inlineStr"/>
    </row>
    <row r="521" ht="15" customHeight="1">
      <c r="A521" t="inlineStr">
        <is>
          <t>A 36830-2025</t>
        </is>
      </c>
      <c r="B521" s="1" t="n">
        <v>45874.34365740741</v>
      </c>
      <c r="C521" s="1" t="n">
        <v>45880</v>
      </c>
      <c r="D521" t="inlineStr">
        <is>
          <t>DALARNAS LÄN</t>
        </is>
      </c>
      <c r="E521" t="inlineStr">
        <is>
          <t>ÄLVDALEN</t>
        </is>
      </c>
      <c r="F521" t="inlineStr">
        <is>
          <t>Bergvik skog väst AB</t>
        </is>
      </c>
      <c r="G521" t="n">
        <v>5</v>
      </c>
      <c r="H521" t="n">
        <v>0</v>
      </c>
      <c r="I521" t="n">
        <v>0</v>
      </c>
      <c r="J521" t="n">
        <v>0</v>
      </c>
      <c r="K521" t="n">
        <v>0</v>
      </c>
      <c r="L521" t="n">
        <v>0</v>
      </c>
      <c r="M521" t="n">
        <v>0</v>
      </c>
      <c r="N521" t="n">
        <v>0</v>
      </c>
      <c r="O521" t="n">
        <v>0</v>
      </c>
      <c r="P521" t="n">
        <v>0</v>
      </c>
      <c r="Q521" t="n">
        <v>0</v>
      </c>
      <c r="R521" s="2" t="inlineStr"/>
    </row>
    <row r="522" ht="15" customHeight="1">
      <c r="A522" t="inlineStr">
        <is>
          <t>A 4662-2024</t>
        </is>
      </c>
      <c r="B522" s="1" t="n">
        <v>45328.465625</v>
      </c>
      <c r="C522" s="1" t="n">
        <v>45880</v>
      </c>
      <c r="D522" t="inlineStr">
        <is>
          <t>DALARNAS LÄN</t>
        </is>
      </c>
      <c r="E522" t="inlineStr">
        <is>
          <t>ÄLVDALEN</t>
        </is>
      </c>
      <c r="G522" t="n">
        <v>4.9</v>
      </c>
      <c r="H522" t="n">
        <v>0</v>
      </c>
      <c r="I522" t="n">
        <v>0</v>
      </c>
      <c r="J522" t="n">
        <v>0</v>
      </c>
      <c r="K522" t="n">
        <v>0</v>
      </c>
      <c r="L522" t="n">
        <v>0</v>
      </c>
      <c r="M522" t="n">
        <v>0</v>
      </c>
      <c r="N522" t="n">
        <v>0</v>
      </c>
      <c r="O522" t="n">
        <v>0</v>
      </c>
      <c r="P522" t="n">
        <v>0</v>
      </c>
      <c r="Q522" t="n">
        <v>0</v>
      </c>
      <c r="R522" s="2" t="inlineStr"/>
    </row>
    <row r="523" ht="15" customHeight="1">
      <c r="A523" t="inlineStr">
        <is>
          <t>A 5063-2025</t>
        </is>
      </c>
      <c r="B523" s="1" t="n">
        <v>45691.47466435185</v>
      </c>
      <c r="C523" s="1" t="n">
        <v>45880</v>
      </c>
      <c r="D523" t="inlineStr">
        <is>
          <t>DALARNAS LÄN</t>
        </is>
      </c>
      <c r="E523" t="inlineStr">
        <is>
          <t>ÄLVDALEN</t>
        </is>
      </c>
      <c r="F523" t="inlineStr">
        <is>
          <t>Bergvik skog väst AB</t>
        </is>
      </c>
      <c r="G523" t="n">
        <v>2.8</v>
      </c>
      <c r="H523" t="n">
        <v>0</v>
      </c>
      <c r="I523" t="n">
        <v>0</v>
      </c>
      <c r="J523" t="n">
        <v>0</v>
      </c>
      <c r="K523" t="n">
        <v>0</v>
      </c>
      <c r="L523" t="n">
        <v>0</v>
      </c>
      <c r="M523" t="n">
        <v>0</v>
      </c>
      <c r="N523" t="n">
        <v>0</v>
      </c>
      <c r="O523" t="n">
        <v>0</v>
      </c>
      <c r="P523" t="n">
        <v>0</v>
      </c>
      <c r="Q523" t="n">
        <v>0</v>
      </c>
      <c r="R523" s="2" t="inlineStr"/>
    </row>
    <row r="524" ht="15" customHeight="1">
      <c r="A524" t="inlineStr">
        <is>
          <t>A 31796-2025</t>
        </is>
      </c>
      <c r="B524" s="1" t="n">
        <v>45834.54943287037</v>
      </c>
      <c r="C524" s="1" t="n">
        <v>45880</v>
      </c>
      <c r="D524" t="inlineStr">
        <is>
          <t>DALARNAS LÄN</t>
        </is>
      </c>
      <c r="E524" t="inlineStr">
        <is>
          <t>ÄLVDALEN</t>
        </is>
      </c>
      <c r="G524" t="n">
        <v>65.5</v>
      </c>
      <c r="H524" t="n">
        <v>0</v>
      </c>
      <c r="I524" t="n">
        <v>0</v>
      </c>
      <c r="J524" t="n">
        <v>0</v>
      </c>
      <c r="K524" t="n">
        <v>0</v>
      </c>
      <c r="L524" t="n">
        <v>0</v>
      </c>
      <c r="M524" t="n">
        <v>0</v>
      </c>
      <c r="N524" t="n">
        <v>0</v>
      </c>
      <c r="O524" t="n">
        <v>0</v>
      </c>
      <c r="P524" t="n">
        <v>0</v>
      </c>
      <c r="Q524" t="n">
        <v>0</v>
      </c>
      <c r="R524" s="2" t="inlineStr"/>
    </row>
    <row r="525" ht="15" customHeight="1">
      <c r="A525" t="inlineStr">
        <is>
          <t>A 37438-2024</t>
        </is>
      </c>
      <c r="B525" s="1" t="n">
        <v>45540</v>
      </c>
      <c r="C525" s="1" t="n">
        <v>45880</v>
      </c>
      <c r="D525" t="inlineStr">
        <is>
          <t>DALARNAS LÄN</t>
        </is>
      </c>
      <c r="E525" t="inlineStr">
        <is>
          <t>ÄLVDALEN</t>
        </is>
      </c>
      <c r="G525" t="n">
        <v>3.9</v>
      </c>
      <c r="H525" t="n">
        <v>0</v>
      </c>
      <c r="I525" t="n">
        <v>0</v>
      </c>
      <c r="J525" t="n">
        <v>0</v>
      </c>
      <c r="K525" t="n">
        <v>0</v>
      </c>
      <c r="L525" t="n">
        <v>0</v>
      </c>
      <c r="M525" t="n">
        <v>0</v>
      </c>
      <c r="N525" t="n">
        <v>0</v>
      </c>
      <c r="O525" t="n">
        <v>0</v>
      </c>
      <c r="P525" t="n">
        <v>0</v>
      </c>
      <c r="Q525" t="n">
        <v>0</v>
      </c>
      <c r="R525" s="2" t="inlineStr"/>
    </row>
    <row r="526" ht="15" customHeight="1">
      <c r="A526" t="inlineStr">
        <is>
          <t>A 37186-2025</t>
        </is>
      </c>
      <c r="B526" s="1" t="n">
        <v>45875.63905092593</v>
      </c>
      <c r="C526" s="1" t="n">
        <v>45880</v>
      </c>
      <c r="D526" t="inlineStr">
        <is>
          <t>DALARNAS LÄN</t>
        </is>
      </c>
      <c r="E526" t="inlineStr">
        <is>
          <t>ÄLVDALEN</t>
        </is>
      </c>
      <c r="G526" t="n">
        <v>0.5</v>
      </c>
      <c r="H526" t="n">
        <v>0</v>
      </c>
      <c r="I526" t="n">
        <v>0</v>
      </c>
      <c r="J526" t="n">
        <v>0</v>
      </c>
      <c r="K526" t="n">
        <v>0</v>
      </c>
      <c r="L526" t="n">
        <v>0</v>
      </c>
      <c r="M526" t="n">
        <v>0</v>
      </c>
      <c r="N526" t="n">
        <v>0</v>
      </c>
      <c r="O526" t="n">
        <v>0</v>
      </c>
      <c r="P526" t="n">
        <v>0</v>
      </c>
      <c r="Q526" t="n">
        <v>0</v>
      </c>
      <c r="R526" s="2" t="inlineStr"/>
    </row>
    <row r="527" ht="15" customHeight="1">
      <c r="A527" t="inlineStr">
        <is>
          <t>A 42679-2024</t>
        </is>
      </c>
      <c r="B527" s="1" t="n">
        <v>45566.37706018519</v>
      </c>
      <c r="C527" s="1" t="n">
        <v>45880</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19553-2025</t>
        </is>
      </c>
      <c r="B528" s="1" t="n">
        <v>45770</v>
      </c>
      <c r="C528" s="1" t="n">
        <v>45880</v>
      </c>
      <c r="D528" t="inlineStr">
        <is>
          <t>DALARNAS LÄN</t>
        </is>
      </c>
      <c r="E528" t="inlineStr">
        <is>
          <t>ÄLVDALEN</t>
        </is>
      </c>
      <c r="F528" t="inlineStr">
        <is>
          <t>Sveaskog</t>
        </is>
      </c>
      <c r="G528" t="n">
        <v>25.2</v>
      </c>
      <c r="H528" t="n">
        <v>0</v>
      </c>
      <c r="I528" t="n">
        <v>0</v>
      </c>
      <c r="J528" t="n">
        <v>0</v>
      </c>
      <c r="K528" t="n">
        <v>0</v>
      </c>
      <c r="L528" t="n">
        <v>0</v>
      </c>
      <c r="M528" t="n">
        <v>0</v>
      </c>
      <c r="N528" t="n">
        <v>0</v>
      </c>
      <c r="O528" t="n">
        <v>0</v>
      </c>
      <c r="P528" t="n">
        <v>0</v>
      </c>
      <c r="Q528" t="n">
        <v>0</v>
      </c>
      <c r="R528" s="2" t="inlineStr"/>
    </row>
    <row r="529" ht="15" customHeight="1">
      <c r="A529" t="inlineStr">
        <is>
          <t>A 4380-2024</t>
        </is>
      </c>
      <c r="B529" s="1" t="n">
        <v>45327</v>
      </c>
      <c r="C529" s="1" t="n">
        <v>45880</v>
      </c>
      <c r="D529" t="inlineStr">
        <is>
          <t>DALARNAS LÄN</t>
        </is>
      </c>
      <c r="E529" t="inlineStr">
        <is>
          <t>ÄLVDALEN</t>
        </is>
      </c>
      <c r="G529" t="n">
        <v>6.3</v>
      </c>
      <c r="H529" t="n">
        <v>0</v>
      </c>
      <c r="I529" t="n">
        <v>0</v>
      </c>
      <c r="J529" t="n">
        <v>0</v>
      </c>
      <c r="K529" t="n">
        <v>0</v>
      </c>
      <c r="L529" t="n">
        <v>0</v>
      </c>
      <c r="M529" t="n">
        <v>0</v>
      </c>
      <c r="N529" t="n">
        <v>0</v>
      </c>
      <c r="O529" t="n">
        <v>0</v>
      </c>
      <c r="P529" t="n">
        <v>0</v>
      </c>
      <c r="Q529" t="n">
        <v>0</v>
      </c>
      <c r="R529" s="2" t="inlineStr"/>
    </row>
    <row r="530" ht="15" customHeight="1">
      <c r="A530" t="inlineStr">
        <is>
          <t>A 41446-2024</t>
        </is>
      </c>
      <c r="B530" s="1" t="n">
        <v>45560.39483796297</v>
      </c>
      <c r="C530" s="1" t="n">
        <v>45880</v>
      </c>
      <c r="D530" t="inlineStr">
        <is>
          <t>DALARNAS LÄN</t>
        </is>
      </c>
      <c r="E530" t="inlineStr">
        <is>
          <t>ÄLVDALEN</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17346-2022</t>
        </is>
      </c>
      <c r="B531" s="1" t="n">
        <v>44678.56600694444</v>
      </c>
      <c r="C531" s="1" t="n">
        <v>45880</v>
      </c>
      <c r="D531" t="inlineStr">
        <is>
          <t>DALARNAS LÄN</t>
        </is>
      </c>
      <c r="E531" t="inlineStr">
        <is>
          <t>ÄLVDALEN</t>
        </is>
      </c>
      <c r="G531" t="n">
        <v>4.4</v>
      </c>
      <c r="H531" t="n">
        <v>0</v>
      </c>
      <c r="I531" t="n">
        <v>0</v>
      </c>
      <c r="J531" t="n">
        <v>0</v>
      </c>
      <c r="K531" t="n">
        <v>0</v>
      </c>
      <c r="L531" t="n">
        <v>0</v>
      </c>
      <c r="M531" t="n">
        <v>0</v>
      </c>
      <c r="N531" t="n">
        <v>0</v>
      </c>
      <c r="O531" t="n">
        <v>0</v>
      </c>
      <c r="P531" t="n">
        <v>0</v>
      </c>
      <c r="Q531" t="n">
        <v>0</v>
      </c>
      <c r="R531" s="2" t="inlineStr"/>
    </row>
    <row r="532" ht="15" customHeight="1">
      <c r="A532" t="inlineStr">
        <is>
          <t>A 61450-2022</t>
        </is>
      </c>
      <c r="B532" s="1" t="n">
        <v>44910</v>
      </c>
      <c r="C532" s="1" t="n">
        <v>45880</v>
      </c>
      <c r="D532" t="inlineStr">
        <is>
          <t>DALARNAS LÄN</t>
        </is>
      </c>
      <c r="E532" t="inlineStr">
        <is>
          <t>ÄLVDALEN</t>
        </is>
      </c>
      <c r="G532" t="n">
        <v>0.7</v>
      </c>
      <c r="H532" t="n">
        <v>0</v>
      </c>
      <c r="I532" t="n">
        <v>0</v>
      </c>
      <c r="J532" t="n">
        <v>0</v>
      </c>
      <c r="K532" t="n">
        <v>0</v>
      </c>
      <c r="L532" t="n">
        <v>0</v>
      </c>
      <c r="M532" t="n">
        <v>0</v>
      </c>
      <c r="N532" t="n">
        <v>0</v>
      </c>
      <c r="O532" t="n">
        <v>0</v>
      </c>
      <c r="P532" t="n">
        <v>0</v>
      </c>
      <c r="Q532" t="n">
        <v>0</v>
      </c>
      <c r="R532" s="2" t="inlineStr"/>
    </row>
    <row r="533" ht="15" customHeight="1">
      <c r="A533" t="inlineStr">
        <is>
          <t>A 63296-2020</t>
        </is>
      </c>
      <c r="B533" s="1" t="n">
        <v>44165</v>
      </c>
      <c r="C533" s="1" t="n">
        <v>45880</v>
      </c>
      <c r="D533" t="inlineStr">
        <is>
          <t>DALARNAS LÄN</t>
        </is>
      </c>
      <c r="E533" t="inlineStr">
        <is>
          <t>ÄLVDALEN</t>
        </is>
      </c>
      <c r="F533" t="inlineStr">
        <is>
          <t>Bergvik skog väst AB</t>
        </is>
      </c>
      <c r="G533" t="n">
        <v>2.8</v>
      </c>
      <c r="H533" t="n">
        <v>0</v>
      </c>
      <c r="I533" t="n">
        <v>0</v>
      </c>
      <c r="J533" t="n">
        <v>0</v>
      </c>
      <c r="K533" t="n">
        <v>0</v>
      </c>
      <c r="L533" t="n">
        <v>0</v>
      </c>
      <c r="M533" t="n">
        <v>0</v>
      </c>
      <c r="N533" t="n">
        <v>0</v>
      </c>
      <c r="O533" t="n">
        <v>0</v>
      </c>
      <c r="P533" t="n">
        <v>0</v>
      </c>
      <c r="Q533" t="n">
        <v>0</v>
      </c>
      <c r="R533" s="2" t="inlineStr"/>
    </row>
    <row r="534" ht="15" customHeight="1">
      <c r="A534" t="inlineStr">
        <is>
          <t>A 32009-2021</t>
        </is>
      </c>
      <c r="B534" s="1" t="n">
        <v>44370.63354166667</v>
      </c>
      <c r="C534" s="1" t="n">
        <v>45880</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59207-2022</t>
        </is>
      </c>
      <c r="B535" s="1" t="n">
        <v>44904</v>
      </c>
      <c r="C535" s="1" t="n">
        <v>45880</v>
      </c>
      <c r="D535" t="inlineStr">
        <is>
          <t>DALARNAS LÄN</t>
        </is>
      </c>
      <c r="E535" t="inlineStr">
        <is>
          <t>ÄLVDALEN</t>
        </is>
      </c>
      <c r="G535" t="n">
        <v>4.7</v>
      </c>
      <c r="H535" t="n">
        <v>0</v>
      </c>
      <c r="I535" t="n">
        <v>0</v>
      </c>
      <c r="J535" t="n">
        <v>0</v>
      </c>
      <c r="K535" t="n">
        <v>0</v>
      </c>
      <c r="L535" t="n">
        <v>0</v>
      </c>
      <c r="M535" t="n">
        <v>0</v>
      </c>
      <c r="N535" t="n">
        <v>0</v>
      </c>
      <c r="O535" t="n">
        <v>0</v>
      </c>
      <c r="P535" t="n">
        <v>0</v>
      </c>
      <c r="Q535" t="n">
        <v>0</v>
      </c>
      <c r="R535" s="2" t="inlineStr"/>
    </row>
    <row r="536" ht="15" customHeight="1">
      <c r="A536" t="inlineStr">
        <is>
          <t>A 57821-2023</t>
        </is>
      </c>
      <c r="B536" s="1" t="n">
        <v>45247</v>
      </c>
      <c r="C536" s="1" t="n">
        <v>45880</v>
      </c>
      <c r="D536" t="inlineStr">
        <is>
          <t>DALARNAS LÄN</t>
        </is>
      </c>
      <c r="E536" t="inlineStr">
        <is>
          <t>ÄLVDALEN</t>
        </is>
      </c>
      <c r="G536" t="n">
        <v>0.7</v>
      </c>
      <c r="H536" t="n">
        <v>0</v>
      </c>
      <c r="I536" t="n">
        <v>0</v>
      </c>
      <c r="J536" t="n">
        <v>0</v>
      </c>
      <c r="K536" t="n">
        <v>0</v>
      </c>
      <c r="L536" t="n">
        <v>0</v>
      </c>
      <c r="M536" t="n">
        <v>0</v>
      </c>
      <c r="N536" t="n">
        <v>0</v>
      </c>
      <c r="O536" t="n">
        <v>0</v>
      </c>
      <c r="P536" t="n">
        <v>0</v>
      </c>
      <c r="Q536" t="n">
        <v>0</v>
      </c>
      <c r="R536" s="2" t="inlineStr"/>
    </row>
    <row r="537" ht="15" customHeight="1">
      <c r="A537" t="inlineStr">
        <is>
          <t>A 26734-2021</t>
        </is>
      </c>
      <c r="B537" s="1" t="n">
        <v>44349.39537037037</v>
      </c>
      <c r="C537" s="1" t="n">
        <v>45880</v>
      </c>
      <c r="D537" t="inlineStr">
        <is>
          <t>DALARNAS LÄN</t>
        </is>
      </c>
      <c r="E537" t="inlineStr">
        <is>
          <t>ÄLVDALEN</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23129-2023</t>
        </is>
      </c>
      <c r="B538" s="1" t="n">
        <v>45075</v>
      </c>
      <c r="C538" s="1" t="n">
        <v>45880</v>
      </c>
      <c r="D538" t="inlineStr">
        <is>
          <t>DALARNAS LÄN</t>
        </is>
      </c>
      <c r="E538" t="inlineStr">
        <is>
          <t>ÄLVDALEN</t>
        </is>
      </c>
      <c r="G538" t="n">
        <v>0.8</v>
      </c>
      <c r="H538" t="n">
        <v>0</v>
      </c>
      <c r="I538" t="n">
        <v>0</v>
      </c>
      <c r="J538" t="n">
        <v>0</v>
      </c>
      <c r="K538" t="n">
        <v>0</v>
      </c>
      <c r="L538" t="n">
        <v>0</v>
      </c>
      <c r="M538" t="n">
        <v>0</v>
      </c>
      <c r="N538" t="n">
        <v>0</v>
      </c>
      <c r="O538" t="n">
        <v>0</v>
      </c>
      <c r="P538" t="n">
        <v>0</v>
      </c>
      <c r="Q538" t="n">
        <v>0</v>
      </c>
      <c r="R538" s="2" t="inlineStr"/>
    </row>
    <row r="539" ht="15" customHeight="1">
      <c r="A539" t="inlineStr">
        <is>
          <t>A 57467-2023</t>
        </is>
      </c>
      <c r="B539" s="1" t="n">
        <v>45246.36751157408</v>
      </c>
      <c r="C539" s="1" t="n">
        <v>45880</v>
      </c>
      <c r="D539" t="inlineStr">
        <is>
          <t>DALARNAS LÄN</t>
        </is>
      </c>
      <c r="E539" t="inlineStr">
        <is>
          <t>ÄLVDALEN</t>
        </is>
      </c>
      <c r="G539" t="n">
        <v>0.2</v>
      </c>
      <c r="H539" t="n">
        <v>0</v>
      </c>
      <c r="I539" t="n">
        <v>0</v>
      </c>
      <c r="J539" t="n">
        <v>0</v>
      </c>
      <c r="K539" t="n">
        <v>0</v>
      </c>
      <c r="L539" t="n">
        <v>0</v>
      </c>
      <c r="M539" t="n">
        <v>0</v>
      </c>
      <c r="N539" t="n">
        <v>0</v>
      </c>
      <c r="O539" t="n">
        <v>0</v>
      </c>
      <c r="P539" t="n">
        <v>0</v>
      </c>
      <c r="Q539" t="n">
        <v>0</v>
      </c>
      <c r="R539" s="2" t="inlineStr"/>
    </row>
    <row r="540" ht="15" customHeight="1">
      <c r="A540" t="inlineStr">
        <is>
          <t>A 22847-2023</t>
        </is>
      </c>
      <c r="B540" s="1" t="n">
        <v>45072</v>
      </c>
      <c r="C540" s="1" t="n">
        <v>45880</v>
      </c>
      <c r="D540" t="inlineStr">
        <is>
          <t>DALARNAS LÄN</t>
        </is>
      </c>
      <c r="E540" t="inlineStr">
        <is>
          <t>ÄLVDALEN</t>
        </is>
      </c>
      <c r="F540" t="inlineStr">
        <is>
          <t>Bergvik skog väst AB</t>
        </is>
      </c>
      <c r="G540" t="n">
        <v>8.1</v>
      </c>
      <c r="H540" t="n">
        <v>0</v>
      </c>
      <c r="I540" t="n">
        <v>0</v>
      </c>
      <c r="J540" t="n">
        <v>0</v>
      </c>
      <c r="K540" t="n">
        <v>0</v>
      </c>
      <c r="L540" t="n">
        <v>0</v>
      </c>
      <c r="M540" t="n">
        <v>0</v>
      </c>
      <c r="N540" t="n">
        <v>0</v>
      </c>
      <c r="O540" t="n">
        <v>0</v>
      </c>
      <c r="P540" t="n">
        <v>0</v>
      </c>
      <c r="Q540" t="n">
        <v>0</v>
      </c>
      <c r="R540" s="2" t="inlineStr"/>
    </row>
    <row r="541" ht="15" customHeight="1">
      <c r="A541" t="inlineStr">
        <is>
          <t>A 42426-2023</t>
        </is>
      </c>
      <c r="B541" s="1" t="n">
        <v>45175</v>
      </c>
      <c r="C541" s="1" t="n">
        <v>45880</v>
      </c>
      <c r="D541" t="inlineStr">
        <is>
          <t>DALARNAS LÄN</t>
        </is>
      </c>
      <c r="E541" t="inlineStr">
        <is>
          <t>ÄLVDALEN</t>
        </is>
      </c>
      <c r="G541" t="n">
        <v>3.6</v>
      </c>
      <c r="H541" t="n">
        <v>0</v>
      </c>
      <c r="I541" t="n">
        <v>0</v>
      </c>
      <c r="J541" t="n">
        <v>0</v>
      </c>
      <c r="K541" t="n">
        <v>0</v>
      </c>
      <c r="L541" t="n">
        <v>0</v>
      </c>
      <c r="M541" t="n">
        <v>0</v>
      </c>
      <c r="N541" t="n">
        <v>0</v>
      </c>
      <c r="O541" t="n">
        <v>0</v>
      </c>
      <c r="P541" t="n">
        <v>0</v>
      </c>
      <c r="Q541" t="n">
        <v>0</v>
      </c>
      <c r="R541" s="2" t="inlineStr"/>
    </row>
    <row r="542" ht="15" customHeight="1">
      <c r="A542" t="inlineStr">
        <is>
          <t>A 32362-2021</t>
        </is>
      </c>
      <c r="B542" s="1" t="n">
        <v>44371</v>
      </c>
      <c r="C542" s="1" t="n">
        <v>45880</v>
      </c>
      <c r="D542" t="inlineStr">
        <is>
          <t>DALARNAS LÄN</t>
        </is>
      </c>
      <c r="E542" t="inlineStr">
        <is>
          <t>ÄLVDALEN</t>
        </is>
      </c>
      <c r="F542" t="inlineStr">
        <is>
          <t>Sveaskog</t>
        </is>
      </c>
      <c r="G542" t="n">
        <v>3.7</v>
      </c>
      <c r="H542" t="n">
        <v>0</v>
      </c>
      <c r="I542" t="n">
        <v>0</v>
      </c>
      <c r="J542" t="n">
        <v>0</v>
      </c>
      <c r="K542" t="n">
        <v>0</v>
      </c>
      <c r="L542" t="n">
        <v>0</v>
      </c>
      <c r="M542" t="n">
        <v>0</v>
      </c>
      <c r="N542" t="n">
        <v>0</v>
      </c>
      <c r="O542" t="n">
        <v>0</v>
      </c>
      <c r="P542" t="n">
        <v>0</v>
      </c>
      <c r="Q542" t="n">
        <v>0</v>
      </c>
      <c r="R542" s="2" t="inlineStr"/>
    </row>
    <row r="543" ht="15" customHeight="1">
      <c r="A543" t="inlineStr">
        <is>
          <t>A 29710-2022</t>
        </is>
      </c>
      <c r="B543" s="1" t="n">
        <v>44755</v>
      </c>
      <c r="C543" s="1" t="n">
        <v>45880</v>
      </c>
      <c r="D543" t="inlineStr">
        <is>
          <t>DALARNAS LÄN</t>
        </is>
      </c>
      <c r="E543" t="inlineStr">
        <is>
          <t>ÄLVDALEN</t>
        </is>
      </c>
      <c r="F543" t="inlineStr">
        <is>
          <t>Sveaskog</t>
        </is>
      </c>
      <c r="G543" t="n">
        <v>9.1</v>
      </c>
      <c r="H543" t="n">
        <v>0</v>
      </c>
      <c r="I543" t="n">
        <v>0</v>
      </c>
      <c r="J543" t="n">
        <v>0</v>
      </c>
      <c r="K543" t="n">
        <v>0</v>
      </c>
      <c r="L543" t="n">
        <v>0</v>
      </c>
      <c r="M543" t="n">
        <v>0</v>
      </c>
      <c r="N543" t="n">
        <v>0</v>
      </c>
      <c r="O543" t="n">
        <v>0</v>
      </c>
      <c r="P543" t="n">
        <v>0</v>
      </c>
      <c r="Q543" t="n">
        <v>0</v>
      </c>
      <c r="R543" s="2" t="inlineStr"/>
    </row>
    <row r="544" ht="15" customHeight="1">
      <c r="A544" t="inlineStr">
        <is>
          <t>A 60642-2021</t>
        </is>
      </c>
      <c r="B544" s="1" t="n">
        <v>44496.61677083333</v>
      </c>
      <c r="C544" s="1" t="n">
        <v>45880</v>
      </c>
      <c r="D544" t="inlineStr">
        <is>
          <t>DALARNAS LÄN</t>
        </is>
      </c>
      <c r="E544" t="inlineStr">
        <is>
          <t>ÄLVDALEN</t>
        </is>
      </c>
      <c r="F544" t="inlineStr">
        <is>
          <t>Allmännings- och besparingsskogar</t>
        </is>
      </c>
      <c r="G544" t="n">
        <v>0.9</v>
      </c>
      <c r="H544" t="n">
        <v>0</v>
      </c>
      <c r="I544" t="n">
        <v>0</v>
      </c>
      <c r="J544" t="n">
        <v>0</v>
      </c>
      <c r="K544" t="n">
        <v>0</v>
      </c>
      <c r="L544" t="n">
        <v>0</v>
      </c>
      <c r="M544" t="n">
        <v>0</v>
      </c>
      <c r="N544" t="n">
        <v>0</v>
      </c>
      <c r="O544" t="n">
        <v>0</v>
      </c>
      <c r="P544" t="n">
        <v>0</v>
      </c>
      <c r="Q544" t="n">
        <v>0</v>
      </c>
      <c r="R544" s="2" t="inlineStr"/>
    </row>
    <row r="545" ht="15" customHeight="1">
      <c r="A545" t="inlineStr">
        <is>
          <t>A 44386-2021</t>
        </is>
      </c>
      <c r="B545" s="1" t="n">
        <v>44435</v>
      </c>
      <c r="C545" s="1" t="n">
        <v>45880</v>
      </c>
      <c r="D545" t="inlineStr">
        <is>
          <t>DALARNAS LÄN</t>
        </is>
      </c>
      <c r="E545" t="inlineStr">
        <is>
          <t>ÄLVDALEN</t>
        </is>
      </c>
      <c r="F545" t="inlineStr">
        <is>
          <t>Sveaskog</t>
        </is>
      </c>
      <c r="G545" t="n">
        <v>2.4</v>
      </c>
      <c r="H545" t="n">
        <v>0</v>
      </c>
      <c r="I545" t="n">
        <v>0</v>
      </c>
      <c r="J545" t="n">
        <v>0</v>
      </c>
      <c r="K545" t="n">
        <v>0</v>
      </c>
      <c r="L545" t="n">
        <v>0</v>
      </c>
      <c r="M545" t="n">
        <v>0</v>
      </c>
      <c r="N545" t="n">
        <v>0</v>
      </c>
      <c r="O545" t="n">
        <v>0</v>
      </c>
      <c r="P545" t="n">
        <v>0</v>
      </c>
      <c r="Q545" t="n">
        <v>0</v>
      </c>
      <c r="R545" s="2" t="inlineStr"/>
    </row>
    <row r="546" ht="15" customHeight="1">
      <c r="A546" t="inlineStr">
        <is>
          <t>A 49906-2024</t>
        </is>
      </c>
      <c r="B546" s="1" t="n">
        <v>45597.55230324074</v>
      </c>
      <c r="C546" s="1" t="n">
        <v>45880</v>
      </c>
      <c r="D546" t="inlineStr">
        <is>
          <t>DALARNAS LÄN</t>
        </is>
      </c>
      <c r="E546" t="inlineStr">
        <is>
          <t>ÄLVDALEN</t>
        </is>
      </c>
      <c r="G546" t="n">
        <v>4.2</v>
      </c>
      <c r="H546" t="n">
        <v>0</v>
      </c>
      <c r="I546" t="n">
        <v>0</v>
      </c>
      <c r="J546" t="n">
        <v>0</v>
      </c>
      <c r="K546" t="n">
        <v>0</v>
      </c>
      <c r="L546" t="n">
        <v>0</v>
      </c>
      <c r="M546" t="n">
        <v>0</v>
      </c>
      <c r="N546" t="n">
        <v>0</v>
      </c>
      <c r="O546" t="n">
        <v>0</v>
      </c>
      <c r="P546" t="n">
        <v>0</v>
      </c>
      <c r="Q546" t="n">
        <v>0</v>
      </c>
      <c r="R546" s="2" t="inlineStr"/>
    </row>
    <row r="547" ht="15" customHeight="1">
      <c r="A547" t="inlineStr">
        <is>
          <t>A 8784-2024</t>
        </is>
      </c>
      <c r="B547" s="1" t="n">
        <v>45356.58180555556</v>
      </c>
      <c r="C547" s="1" t="n">
        <v>45880</v>
      </c>
      <c r="D547" t="inlineStr">
        <is>
          <t>DALARNAS LÄN</t>
        </is>
      </c>
      <c r="E547" t="inlineStr">
        <is>
          <t>ÄLVDALEN</t>
        </is>
      </c>
      <c r="G547" t="n">
        <v>1.6</v>
      </c>
      <c r="H547" t="n">
        <v>0</v>
      </c>
      <c r="I547" t="n">
        <v>0</v>
      </c>
      <c r="J547" t="n">
        <v>0</v>
      </c>
      <c r="K547" t="n">
        <v>0</v>
      </c>
      <c r="L547" t="n">
        <v>0</v>
      </c>
      <c r="M547" t="n">
        <v>0</v>
      </c>
      <c r="N547" t="n">
        <v>0</v>
      </c>
      <c r="O547" t="n">
        <v>0</v>
      </c>
      <c r="P547" t="n">
        <v>0</v>
      </c>
      <c r="Q547" t="n">
        <v>0</v>
      </c>
      <c r="R547" s="2" t="inlineStr"/>
    </row>
    <row r="548" ht="15" customHeight="1">
      <c r="A548" t="inlineStr">
        <is>
          <t>A 8146-2025</t>
        </is>
      </c>
      <c r="B548" s="1" t="n">
        <v>45708.30415509259</v>
      </c>
      <c r="C548" s="1" t="n">
        <v>45880</v>
      </c>
      <c r="D548" t="inlineStr">
        <is>
          <t>DALARNAS LÄN</t>
        </is>
      </c>
      <c r="E548" t="inlineStr">
        <is>
          <t>ÄLVDALEN</t>
        </is>
      </c>
      <c r="F548" t="inlineStr">
        <is>
          <t>Allmännings- och besparingsskogar</t>
        </is>
      </c>
      <c r="G548" t="n">
        <v>1</v>
      </c>
      <c r="H548" t="n">
        <v>0</v>
      </c>
      <c r="I548" t="n">
        <v>0</v>
      </c>
      <c r="J548" t="n">
        <v>0</v>
      </c>
      <c r="K548" t="n">
        <v>0</v>
      </c>
      <c r="L548" t="n">
        <v>0</v>
      </c>
      <c r="M548" t="n">
        <v>0</v>
      </c>
      <c r="N548" t="n">
        <v>0</v>
      </c>
      <c r="O548" t="n">
        <v>0</v>
      </c>
      <c r="P548" t="n">
        <v>0</v>
      </c>
      <c r="Q548" t="n">
        <v>0</v>
      </c>
      <c r="R548" s="2" t="inlineStr"/>
    </row>
    <row r="549" ht="15" customHeight="1">
      <c r="A549" t="inlineStr">
        <is>
          <t>A 31857-2023</t>
        </is>
      </c>
      <c r="B549" s="1" t="n">
        <v>45106</v>
      </c>
      <c r="C549" s="1" t="n">
        <v>45880</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14489-2025</t>
        </is>
      </c>
      <c r="B550" s="1" t="n">
        <v>45741.60680555556</v>
      </c>
      <c r="C550" s="1" t="n">
        <v>45880</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49236-2023</t>
        </is>
      </c>
      <c r="B551" s="1" t="n">
        <v>45210.63995370371</v>
      </c>
      <c r="C551" s="1" t="n">
        <v>45880</v>
      </c>
      <c r="D551" t="inlineStr">
        <is>
          <t>DALARNAS LÄN</t>
        </is>
      </c>
      <c r="E551" t="inlineStr">
        <is>
          <t>ÄLVDALEN</t>
        </is>
      </c>
      <c r="F551" t="inlineStr">
        <is>
          <t>Bergvik skog väst AB</t>
        </is>
      </c>
      <c r="G551" t="n">
        <v>4.4</v>
      </c>
      <c r="H551" t="n">
        <v>0</v>
      </c>
      <c r="I551" t="n">
        <v>0</v>
      </c>
      <c r="J551" t="n">
        <v>0</v>
      </c>
      <c r="K551" t="n">
        <v>0</v>
      </c>
      <c r="L551" t="n">
        <v>0</v>
      </c>
      <c r="M551" t="n">
        <v>0</v>
      </c>
      <c r="N551" t="n">
        <v>0</v>
      </c>
      <c r="O551" t="n">
        <v>0</v>
      </c>
      <c r="P551" t="n">
        <v>0</v>
      </c>
      <c r="Q551" t="n">
        <v>0</v>
      </c>
      <c r="R551" s="2" t="inlineStr"/>
    </row>
    <row r="552" ht="15" customHeight="1">
      <c r="A552" t="inlineStr">
        <is>
          <t>A 48552-2024</t>
        </is>
      </c>
      <c r="B552" s="1" t="n">
        <v>45593.37266203704</v>
      </c>
      <c r="C552" s="1" t="n">
        <v>45880</v>
      </c>
      <c r="D552" t="inlineStr">
        <is>
          <t>DALARNAS LÄN</t>
        </is>
      </c>
      <c r="E552" t="inlineStr">
        <is>
          <t>ÄLVDALEN</t>
        </is>
      </c>
      <c r="G552" t="n">
        <v>4.1</v>
      </c>
      <c r="H552" t="n">
        <v>0</v>
      </c>
      <c r="I552" t="n">
        <v>0</v>
      </c>
      <c r="J552" t="n">
        <v>0</v>
      </c>
      <c r="K552" t="n">
        <v>0</v>
      </c>
      <c r="L552" t="n">
        <v>0</v>
      </c>
      <c r="M552" t="n">
        <v>0</v>
      </c>
      <c r="N552" t="n">
        <v>0</v>
      </c>
      <c r="O552" t="n">
        <v>0</v>
      </c>
      <c r="P552" t="n">
        <v>0</v>
      </c>
      <c r="Q552" t="n">
        <v>0</v>
      </c>
      <c r="R552" s="2" t="inlineStr"/>
    </row>
    <row r="553" ht="15" customHeight="1">
      <c r="A553" t="inlineStr">
        <is>
          <t>A 59676-2024</t>
        </is>
      </c>
      <c r="B553" s="1" t="n">
        <v>45639.39060185185</v>
      </c>
      <c r="C553" s="1" t="n">
        <v>45880</v>
      </c>
      <c r="D553" t="inlineStr">
        <is>
          <t>DALARNAS LÄN</t>
        </is>
      </c>
      <c r="E553" t="inlineStr">
        <is>
          <t>ÄLVDALEN</t>
        </is>
      </c>
      <c r="G553" t="n">
        <v>2.7</v>
      </c>
      <c r="H553" t="n">
        <v>0</v>
      </c>
      <c r="I553" t="n">
        <v>0</v>
      </c>
      <c r="J553" t="n">
        <v>0</v>
      </c>
      <c r="K553" t="n">
        <v>0</v>
      </c>
      <c r="L553" t="n">
        <v>0</v>
      </c>
      <c r="M553" t="n">
        <v>0</v>
      </c>
      <c r="N553" t="n">
        <v>0</v>
      </c>
      <c r="O553" t="n">
        <v>0</v>
      </c>
      <c r="P553" t="n">
        <v>0</v>
      </c>
      <c r="Q553" t="n">
        <v>0</v>
      </c>
      <c r="R553" s="2" t="inlineStr"/>
    </row>
    <row r="554" ht="15" customHeight="1">
      <c r="A554" t="inlineStr">
        <is>
          <t>A 431-2023</t>
        </is>
      </c>
      <c r="B554" s="1" t="n">
        <v>44923</v>
      </c>
      <c r="C554" s="1" t="n">
        <v>45880</v>
      </c>
      <c r="D554" t="inlineStr">
        <is>
          <t>DALARNAS LÄN</t>
        </is>
      </c>
      <c r="E554" t="inlineStr">
        <is>
          <t>ÄLVDALEN</t>
        </is>
      </c>
      <c r="G554" t="n">
        <v>2.9</v>
      </c>
      <c r="H554" t="n">
        <v>0</v>
      </c>
      <c r="I554" t="n">
        <v>0</v>
      </c>
      <c r="J554" t="n">
        <v>0</v>
      </c>
      <c r="K554" t="n">
        <v>0</v>
      </c>
      <c r="L554" t="n">
        <v>0</v>
      </c>
      <c r="M554" t="n">
        <v>0</v>
      </c>
      <c r="N554" t="n">
        <v>0</v>
      </c>
      <c r="O554" t="n">
        <v>0</v>
      </c>
      <c r="P554" t="n">
        <v>0</v>
      </c>
      <c r="Q554" t="n">
        <v>0</v>
      </c>
      <c r="R554" s="2" t="inlineStr"/>
    </row>
    <row r="555" ht="15" customHeight="1">
      <c r="A555" t="inlineStr">
        <is>
          <t>A 55589-2022</t>
        </is>
      </c>
      <c r="B555" s="1" t="n">
        <v>44888.40673611111</v>
      </c>
      <c r="C555" s="1" t="n">
        <v>45880</v>
      </c>
      <c r="D555" t="inlineStr">
        <is>
          <t>DALARNAS LÄN</t>
        </is>
      </c>
      <c r="E555" t="inlineStr">
        <is>
          <t>ÄLVDALEN</t>
        </is>
      </c>
      <c r="G555" t="n">
        <v>1.5</v>
      </c>
      <c r="H555" t="n">
        <v>0</v>
      </c>
      <c r="I555" t="n">
        <v>0</v>
      </c>
      <c r="J555" t="n">
        <v>0</v>
      </c>
      <c r="K555" t="n">
        <v>0</v>
      </c>
      <c r="L555" t="n">
        <v>0</v>
      </c>
      <c r="M555" t="n">
        <v>0</v>
      </c>
      <c r="N555" t="n">
        <v>0</v>
      </c>
      <c r="O555" t="n">
        <v>0</v>
      </c>
      <c r="P555" t="n">
        <v>0</v>
      </c>
      <c r="Q555" t="n">
        <v>0</v>
      </c>
      <c r="R555" s="2" t="inlineStr"/>
    </row>
    <row r="556" ht="15" customHeight="1">
      <c r="A556" t="inlineStr">
        <is>
          <t>A 29819-2024</t>
        </is>
      </c>
      <c r="B556" s="1" t="n">
        <v>45485.55760416666</v>
      </c>
      <c r="C556" s="1" t="n">
        <v>45880</v>
      </c>
      <c r="D556" t="inlineStr">
        <is>
          <t>DALARNAS LÄN</t>
        </is>
      </c>
      <c r="E556" t="inlineStr">
        <is>
          <t>ÄLVDALEN</t>
        </is>
      </c>
      <c r="G556" t="n">
        <v>1.4</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44873.41295138889</v>
      </c>
      <c r="C557" s="1" t="n">
        <v>45880</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c r="A558" t="inlineStr">
        <is>
          <t>A 59547-2023</t>
        </is>
      </c>
      <c r="B558" s="1" t="n">
        <v>45254.55645833333</v>
      </c>
      <c r="C558" s="1" t="n">
        <v>45880</v>
      </c>
      <c r="D558" t="inlineStr">
        <is>
          <t>DALARNAS LÄN</t>
        </is>
      </c>
      <c r="E558" t="inlineStr">
        <is>
          <t>ÄLVDALEN</t>
        </is>
      </c>
      <c r="G558" t="n">
        <v>2.5</v>
      </c>
      <c r="H558" t="n">
        <v>0</v>
      </c>
      <c r="I558" t="n">
        <v>0</v>
      </c>
      <c r="J558" t="n">
        <v>0</v>
      </c>
      <c r="K558" t="n">
        <v>0</v>
      </c>
      <c r="L558" t="n">
        <v>0</v>
      </c>
      <c r="M558" t="n">
        <v>0</v>
      </c>
      <c r="N558" t="n">
        <v>0</v>
      </c>
      <c r="O558" t="n">
        <v>0</v>
      </c>
      <c r="P558" t="n">
        <v>0</v>
      </c>
      <c r="Q558" t="n">
        <v>0</v>
      </c>
      <c r="R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2025-08-11T08:26:46Z</dcterms:created>
  <dcterms:modified xmlns:dcterms="http://purl.org/dc/terms/" xmlns:xsi="http://www.w3.org/2001/XMLSchema-instance" xsi:type="dcterms:W3CDTF">2025-08-11T08:26:47Z</dcterms:modified>
</cp:coreProperties>
</file>